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20730" windowHeight="11760" firstSheet="1" activeTab="2"/>
  </bookViews>
  <sheets>
    <sheet name="Mẫu số 11C. Bảng tổng hợp giá d" sheetId="1" state="hidden" r:id="rId1"/>
    <sheet name="BIỂU HỢP ĐỒNG" sheetId="2" r:id="rId2"/>
    <sheet name="PLHĐ PS" sheetId="3" r:id="rId3"/>
    <sheet name="Sheet1" sheetId="4" r:id="rId4"/>
  </sheets>
  <externalReferences>
    <externalReference r:id="rId5"/>
    <externalReference r:id="rId6"/>
    <externalReference r:id="rId7"/>
    <externalReference r:id="rId8"/>
  </externalReferences>
  <definedNames>
    <definedName name="_xlnm._FilterDatabase" localSheetId="1" hidden="1">'BIỂU HỢP ĐỒNG'!$A$5:$O$5</definedName>
    <definedName name="_xlnm._FilterDatabase" localSheetId="0" hidden="1">'Mẫu số 11C. Bảng tổng hợp giá d'!$A$5:$I$1382</definedName>
    <definedName name="_xlnm._FilterDatabase" localSheetId="2" hidden="1">'PLHĐ PS'!$A$5:$R$1550</definedName>
    <definedName name="_xlnm.Print_Area" localSheetId="1">'BIỂU HỢP ĐỒNG'!$B$1:$M$1392</definedName>
    <definedName name="_xlnm.Print_Area" localSheetId="2">'PLHĐ PS'!$B$1:$P$1555</definedName>
    <definedName name="_xlnm.Print_Titles" localSheetId="1">'BIỂU HỢP ĐỒNG'!$4:$5</definedName>
    <definedName name="_xlnm.Print_Titles" localSheetId="2">'PLHĐ PS'!$4:$5</definedName>
  </definedNames>
  <calcPr calcId="144525"/>
</workbook>
</file>

<file path=xl/calcChain.xml><?xml version="1.0" encoding="utf-8"?>
<calcChain xmlns="http://schemas.openxmlformats.org/spreadsheetml/2006/main">
  <c r="M696" i="3" l="1"/>
  <c r="L696" i="3"/>
  <c r="N696" i="3"/>
  <c r="M6" i="3"/>
  <c r="P698" i="3"/>
  <c r="P702" i="3"/>
  <c r="P703" i="3"/>
  <c r="P704" i="3"/>
  <c r="P705" i="3"/>
  <c r="M1572" i="3" l="1"/>
  <c r="M1571" i="3"/>
  <c r="P1549" i="3"/>
  <c r="P1548" i="3"/>
  <c r="M1546" i="3"/>
  <c r="L1545" i="3"/>
  <c r="P1544" i="3"/>
  <c r="M1543" i="3"/>
  <c r="L1543" i="3"/>
  <c r="J1543" i="3"/>
  <c r="I1543" i="3"/>
  <c r="O1542" i="3"/>
  <c r="J1542" i="3"/>
  <c r="I1542" i="3"/>
  <c r="O1541" i="3"/>
  <c r="N1541" i="3"/>
  <c r="M1541" i="3"/>
  <c r="L1541" i="3"/>
  <c r="J1541" i="3"/>
  <c r="I1541" i="3"/>
  <c r="J1540" i="3"/>
  <c r="I1540" i="3"/>
  <c r="O1539" i="3"/>
  <c r="N1539" i="3"/>
  <c r="M1539" i="3"/>
  <c r="P1539" i="3" s="1"/>
  <c r="J1539" i="3"/>
  <c r="L1539" i="3" s="1"/>
  <c r="I1539" i="3"/>
  <c r="J1538" i="3"/>
  <c r="N1538" i="3" s="1"/>
  <c r="I1538" i="3"/>
  <c r="J1537" i="3"/>
  <c r="I1537" i="3"/>
  <c r="J1536" i="3"/>
  <c r="I1536" i="3"/>
  <c r="O1535" i="3"/>
  <c r="N1535" i="3"/>
  <c r="M1535" i="3"/>
  <c r="P1535" i="3" s="1"/>
  <c r="L1535" i="3"/>
  <c r="J1535" i="3"/>
  <c r="I1535" i="3"/>
  <c r="J1534" i="3"/>
  <c r="O1534" i="3" s="1"/>
  <c r="I1534" i="3"/>
  <c r="O1533" i="3"/>
  <c r="N1533" i="3"/>
  <c r="J1533" i="3"/>
  <c r="I1533" i="3"/>
  <c r="J1532" i="3"/>
  <c r="M1532" i="3" s="1"/>
  <c r="I1532" i="3"/>
  <c r="J1531" i="3"/>
  <c r="I1531" i="3"/>
  <c r="P1530" i="3"/>
  <c r="O1529" i="3"/>
  <c r="N1529" i="3"/>
  <c r="M1529" i="3"/>
  <c r="L1529" i="3"/>
  <c r="I1529" i="3"/>
  <c r="O1528" i="3"/>
  <c r="N1528" i="3"/>
  <c r="M1528" i="3"/>
  <c r="L1528" i="3"/>
  <c r="P1528" i="3" s="1"/>
  <c r="I1528" i="3"/>
  <c r="O1527" i="3"/>
  <c r="N1527" i="3"/>
  <c r="M1527" i="3"/>
  <c r="P1527" i="3" s="1"/>
  <c r="L1527" i="3"/>
  <c r="I1527" i="3"/>
  <c r="O1526" i="3"/>
  <c r="N1526" i="3"/>
  <c r="M1526" i="3"/>
  <c r="L1526" i="3"/>
  <c r="P1526" i="3" s="1"/>
  <c r="I1526" i="3"/>
  <c r="O1525" i="3"/>
  <c r="N1525" i="3"/>
  <c r="M1525" i="3"/>
  <c r="L1525" i="3"/>
  <c r="P1525" i="3" s="1"/>
  <c r="I1525" i="3"/>
  <c r="I1523" i="3"/>
  <c r="I1522" i="3"/>
  <c r="I1521" i="3"/>
  <c r="I1520" i="3"/>
  <c r="I1519" i="3"/>
  <c r="I1518" i="3"/>
  <c r="I1517" i="3"/>
  <c r="I1516" i="3"/>
  <c r="I1515" i="3"/>
  <c r="I1514" i="3"/>
  <c r="I1513" i="3"/>
  <c r="I1512" i="3"/>
  <c r="I1511" i="3"/>
  <c r="I1510" i="3"/>
  <c r="I1509" i="3"/>
  <c r="I1508" i="3"/>
  <c r="I1507" i="3"/>
  <c r="I1506" i="3"/>
  <c r="I1505" i="3"/>
  <c r="I1504" i="3"/>
  <c r="I1503" i="3"/>
  <c r="I1502" i="3"/>
  <c r="O1501" i="3"/>
  <c r="N1501" i="3"/>
  <c r="J1501" i="3"/>
  <c r="I1501" i="3"/>
  <c r="I1500" i="3"/>
  <c r="I1499" i="3"/>
  <c r="I1498" i="3"/>
  <c r="I1497" i="3"/>
  <c r="I1496" i="3"/>
  <c r="I1495" i="3"/>
  <c r="I1494" i="3"/>
  <c r="I1493" i="3"/>
  <c r="I1492" i="3"/>
  <c r="I1491" i="3"/>
  <c r="I1490" i="3"/>
  <c r="I1489" i="3"/>
  <c r="I1488" i="3"/>
  <c r="I1487" i="3"/>
  <c r="I1486" i="3"/>
  <c r="I1485" i="3"/>
  <c r="I1484" i="3"/>
  <c r="I1483" i="3"/>
  <c r="I1482" i="3"/>
  <c r="I1481" i="3"/>
  <c r="I1480" i="3"/>
  <c r="I1479" i="3"/>
  <c r="I1478" i="3"/>
  <c r="I1477" i="3"/>
  <c r="I1476" i="3"/>
  <c r="I1475" i="3"/>
  <c r="I1474" i="3"/>
  <c r="I1473" i="3"/>
  <c r="I1472" i="3"/>
  <c r="I1471" i="3"/>
  <c r="I1470" i="3"/>
  <c r="I1469" i="3"/>
  <c r="I1468" i="3"/>
  <c r="I1467" i="3"/>
  <c r="I1466" i="3"/>
  <c r="I1465" i="3"/>
  <c r="I1464" i="3"/>
  <c r="I1463" i="3"/>
  <c r="I1462" i="3"/>
  <c r="I1461" i="3"/>
  <c r="I1460" i="3"/>
  <c r="I1459" i="3"/>
  <c r="I1458" i="3"/>
  <c r="I1457" i="3"/>
  <c r="I1456" i="3"/>
  <c r="I1455" i="3"/>
  <c r="I1454" i="3"/>
  <c r="I1453" i="3"/>
  <c r="I1452" i="3"/>
  <c r="I1451" i="3"/>
  <c r="I1450" i="3"/>
  <c r="I1449" i="3"/>
  <c r="I1448" i="3"/>
  <c r="I1447" i="3"/>
  <c r="I1446" i="3"/>
  <c r="I1445" i="3"/>
  <c r="I1444" i="3"/>
  <c r="I1443" i="3"/>
  <c r="I1442" i="3"/>
  <c r="I1441" i="3"/>
  <c r="I1440" i="3"/>
  <c r="I1439" i="3"/>
  <c r="I1438" i="3"/>
  <c r="I1437" i="3"/>
  <c r="I1436" i="3"/>
  <c r="I1435" i="3"/>
  <c r="I1434" i="3"/>
  <c r="I1433" i="3"/>
  <c r="I1432" i="3"/>
  <c r="I1431" i="3"/>
  <c r="I1430" i="3"/>
  <c r="I1429" i="3"/>
  <c r="I1428" i="3"/>
  <c r="I1427" i="3"/>
  <c r="I1426" i="3"/>
  <c r="I1425" i="3"/>
  <c r="I1424" i="3"/>
  <c r="I1423" i="3"/>
  <c r="I1422" i="3"/>
  <c r="I1421" i="3"/>
  <c r="I1420" i="3"/>
  <c r="I1419" i="3"/>
  <c r="I1418" i="3"/>
  <c r="I1417" i="3"/>
  <c r="I1416" i="3"/>
  <c r="I1415" i="3"/>
  <c r="I1414" i="3"/>
  <c r="I1413" i="3"/>
  <c r="I1412" i="3"/>
  <c r="M1411" i="3"/>
  <c r="J1411" i="3"/>
  <c r="I1411" i="3"/>
  <c r="I1410" i="3"/>
  <c r="I1409" i="3"/>
  <c r="I1408" i="3"/>
  <c r="I1407" i="3"/>
  <c r="I1406" i="3"/>
  <c r="I1405" i="3"/>
  <c r="I1404" i="3"/>
  <c r="I1403" i="3"/>
  <c r="I1402" i="3"/>
  <c r="G1402" i="3"/>
  <c r="I1401" i="3"/>
  <c r="I1400" i="3"/>
  <c r="I1399" i="3"/>
  <c r="I1398" i="3"/>
  <c r="I1397" i="3"/>
  <c r="I1396" i="3"/>
  <c r="I1395" i="3"/>
  <c r="I1394" i="3"/>
  <c r="I1393" i="3"/>
  <c r="I1392" i="3"/>
  <c r="I1391" i="3"/>
  <c r="I1390" i="3"/>
  <c r="I1389" i="3"/>
  <c r="I1388" i="3"/>
  <c r="I1387" i="3"/>
  <c r="I1386" i="3"/>
  <c r="I1385" i="3"/>
  <c r="I1384" i="3"/>
  <c r="I1383" i="3"/>
  <c r="I1382" i="3"/>
  <c r="I1381" i="3"/>
  <c r="I1380" i="3"/>
  <c r="I1379" i="3"/>
  <c r="I1378" i="3"/>
  <c r="I1377" i="3"/>
  <c r="I1376" i="3"/>
  <c r="I1375" i="3"/>
  <c r="I1374" i="3"/>
  <c r="I1373" i="3"/>
  <c r="I1372" i="3"/>
  <c r="I1371" i="3"/>
  <c r="I1370" i="3"/>
  <c r="I1369" i="3"/>
  <c r="I1368" i="3"/>
  <c r="I1367" i="3"/>
  <c r="I1366" i="3"/>
  <c r="I1365" i="3"/>
  <c r="I1364" i="3"/>
  <c r="I1363" i="3"/>
  <c r="I1362" i="3"/>
  <c r="I1361" i="3"/>
  <c r="I1360" i="3"/>
  <c r="I1359" i="3"/>
  <c r="I1358" i="3"/>
  <c r="I1357" i="3"/>
  <c r="I1356" i="3"/>
  <c r="I1355" i="3"/>
  <c r="I1354" i="3"/>
  <c r="I1353" i="3"/>
  <c r="I1352" i="3"/>
  <c r="I1351" i="3"/>
  <c r="I1350" i="3"/>
  <c r="I1349" i="3"/>
  <c r="I1348" i="3"/>
  <c r="I1347" i="3"/>
  <c r="I1346" i="3"/>
  <c r="I1345" i="3"/>
  <c r="I1344" i="3"/>
  <c r="I1343" i="3"/>
  <c r="I1342" i="3"/>
  <c r="I1341" i="3"/>
  <c r="I1340" i="3"/>
  <c r="I1339" i="3"/>
  <c r="I1338" i="3"/>
  <c r="I1337" i="3"/>
  <c r="I1336" i="3"/>
  <c r="I1335" i="3"/>
  <c r="I1334" i="3"/>
  <c r="I1333" i="3"/>
  <c r="I1332" i="3"/>
  <c r="I1331" i="3"/>
  <c r="I1330" i="3"/>
  <c r="I1329" i="3"/>
  <c r="I1328" i="3"/>
  <c r="I1327" i="3"/>
  <c r="I1326" i="3"/>
  <c r="I1325" i="3"/>
  <c r="I1324" i="3"/>
  <c r="I1323" i="3"/>
  <c r="I1322" i="3"/>
  <c r="I1321" i="3"/>
  <c r="I1320" i="3"/>
  <c r="I1319" i="3"/>
  <c r="I1318" i="3"/>
  <c r="I1317" i="3"/>
  <c r="I1316" i="3"/>
  <c r="I1315" i="3"/>
  <c r="I1314" i="3"/>
  <c r="I1313" i="3"/>
  <c r="I1312" i="3"/>
  <c r="I1311" i="3"/>
  <c r="I1310" i="3"/>
  <c r="I1309" i="3"/>
  <c r="I1308" i="3"/>
  <c r="I1307" i="3"/>
  <c r="I1306" i="3"/>
  <c r="I1305" i="3"/>
  <c r="I1304" i="3"/>
  <c r="I1303" i="3"/>
  <c r="I1302" i="3"/>
  <c r="I1301" i="3"/>
  <c r="I1300" i="3"/>
  <c r="I1299" i="3"/>
  <c r="I1298" i="3"/>
  <c r="I1297" i="3"/>
  <c r="I1296" i="3"/>
  <c r="I1295" i="3"/>
  <c r="I1294" i="3"/>
  <c r="I1293" i="3"/>
  <c r="I1292" i="3"/>
  <c r="I1291" i="3"/>
  <c r="I1290" i="3"/>
  <c r="I1289" i="3"/>
  <c r="I1288" i="3"/>
  <c r="I1287" i="3"/>
  <c r="I1286" i="3"/>
  <c r="I1285" i="3"/>
  <c r="I1284" i="3"/>
  <c r="I1283" i="3"/>
  <c r="I1282" i="3"/>
  <c r="I1281" i="3"/>
  <c r="I1280" i="3"/>
  <c r="I1279" i="3"/>
  <c r="I1278" i="3"/>
  <c r="I1277" i="3"/>
  <c r="I1276" i="3"/>
  <c r="I1275" i="3"/>
  <c r="I1274" i="3"/>
  <c r="I1273" i="3"/>
  <c r="I1272" i="3"/>
  <c r="I1271" i="3"/>
  <c r="I1270" i="3"/>
  <c r="I1269" i="3"/>
  <c r="P1268" i="3"/>
  <c r="I1267" i="3"/>
  <c r="I1266" i="3"/>
  <c r="I1265" i="3"/>
  <c r="I1264" i="3"/>
  <c r="I1263" i="3"/>
  <c r="I1262" i="3"/>
  <c r="I1261" i="3"/>
  <c r="I1260" i="3"/>
  <c r="I1259" i="3"/>
  <c r="I1258" i="3"/>
  <c r="I1257" i="3"/>
  <c r="I1256" i="3"/>
  <c r="I1255" i="3"/>
  <c r="I1254" i="3"/>
  <c r="I1253" i="3"/>
  <c r="I1252" i="3"/>
  <c r="I1251" i="3"/>
  <c r="I1250" i="3"/>
  <c r="I1249" i="3"/>
  <c r="P1248" i="3"/>
  <c r="I1247" i="3"/>
  <c r="I1246" i="3"/>
  <c r="I1245" i="3"/>
  <c r="N1244" i="3"/>
  <c r="M1244" i="3"/>
  <c r="J1244" i="3"/>
  <c r="L1244" i="3" s="1"/>
  <c r="I1244" i="3"/>
  <c r="I1243" i="3"/>
  <c r="I1242" i="3"/>
  <c r="I1241" i="3"/>
  <c r="I1240" i="3"/>
  <c r="O1239" i="3"/>
  <c r="J1239" i="3"/>
  <c r="I1239" i="3"/>
  <c r="I1238" i="3"/>
  <c r="I1237" i="3"/>
  <c r="I1236" i="3"/>
  <c r="I1235" i="3"/>
  <c r="I1234" i="3"/>
  <c r="I1233" i="3"/>
  <c r="I1232" i="3"/>
  <c r="I1231" i="3"/>
  <c r="I1230" i="3"/>
  <c r="I1229" i="3"/>
  <c r="I1228" i="3"/>
  <c r="I1227" i="3"/>
  <c r="P1226" i="3"/>
  <c r="I1225" i="3"/>
  <c r="I1224" i="3"/>
  <c r="I1223" i="3"/>
  <c r="I1222" i="3"/>
  <c r="M1221" i="3"/>
  <c r="L1221" i="3"/>
  <c r="J1221" i="3"/>
  <c r="N1221" i="3" s="1"/>
  <c r="I1221" i="3"/>
  <c r="I1220" i="3"/>
  <c r="I1219" i="3"/>
  <c r="I1218" i="3"/>
  <c r="I1217" i="3"/>
  <c r="I1216" i="3"/>
  <c r="I1215" i="3"/>
  <c r="I1214" i="3"/>
  <c r="I1213" i="3"/>
  <c r="I1212" i="3"/>
  <c r="I1211" i="3"/>
  <c r="I1210" i="3"/>
  <c r="I1209" i="3"/>
  <c r="I1208" i="3"/>
  <c r="I1207" i="3"/>
  <c r="I1206" i="3"/>
  <c r="I1205" i="3"/>
  <c r="P1204" i="3"/>
  <c r="I1203" i="3"/>
  <c r="I1202" i="3"/>
  <c r="I1201" i="3"/>
  <c r="I1200" i="3"/>
  <c r="I1199" i="3"/>
  <c r="I1198" i="3"/>
  <c r="I1197" i="3"/>
  <c r="I1196" i="3"/>
  <c r="I1195" i="3"/>
  <c r="I1194" i="3"/>
  <c r="I1193" i="3"/>
  <c r="J1192" i="3"/>
  <c r="I1192" i="3"/>
  <c r="I1191" i="3"/>
  <c r="I1190" i="3"/>
  <c r="I1189" i="3"/>
  <c r="I1188" i="3"/>
  <c r="I1187" i="3"/>
  <c r="I1186" i="3"/>
  <c r="I1185" i="3"/>
  <c r="I1184" i="3"/>
  <c r="I1183" i="3"/>
  <c r="I1182" i="3"/>
  <c r="I1181" i="3"/>
  <c r="I1180" i="3"/>
  <c r="I1179" i="3"/>
  <c r="I1178" i="3"/>
  <c r="I1177" i="3"/>
  <c r="I1176" i="3"/>
  <c r="I1175" i="3"/>
  <c r="I1174" i="3"/>
  <c r="I1173" i="3"/>
  <c r="I1172" i="3"/>
  <c r="I1171" i="3"/>
  <c r="I1170" i="3"/>
  <c r="I1169" i="3"/>
  <c r="I1168" i="3"/>
  <c r="I1167" i="3"/>
  <c r="I1166" i="3"/>
  <c r="I1165" i="3"/>
  <c r="I1164" i="3"/>
  <c r="I1163" i="3"/>
  <c r="I1162" i="3"/>
  <c r="I1161" i="3"/>
  <c r="I1160" i="3"/>
  <c r="I1159" i="3"/>
  <c r="P1158" i="3"/>
  <c r="O1157" i="3"/>
  <c r="P1157" i="3" s="1"/>
  <c r="N1157" i="3"/>
  <c r="M1157" i="3"/>
  <c r="L1157" i="3"/>
  <c r="I1157" i="3"/>
  <c r="O1156" i="3"/>
  <c r="N1156" i="3"/>
  <c r="M1156" i="3"/>
  <c r="L1156" i="3"/>
  <c r="P1156" i="3" s="1"/>
  <c r="I1156" i="3"/>
  <c r="O1154" i="3"/>
  <c r="N1154" i="3"/>
  <c r="M1154" i="3"/>
  <c r="P1154" i="3" s="1"/>
  <c r="L1154" i="3"/>
  <c r="I1154" i="3"/>
  <c r="O1153" i="3"/>
  <c r="P1153" i="3" s="1"/>
  <c r="N1153" i="3"/>
  <c r="M1153" i="3"/>
  <c r="L1153" i="3"/>
  <c r="I1153" i="3"/>
  <c r="O1152" i="3"/>
  <c r="N1152" i="3"/>
  <c r="M1152" i="3"/>
  <c r="L1152" i="3"/>
  <c r="P1152" i="3" s="1"/>
  <c r="I1152" i="3"/>
  <c r="O1150" i="3"/>
  <c r="N1150" i="3"/>
  <c r="P1150" i="3" s="1"/>
  <c r="M1150" i="3"/>
  <c r="L1150" i="3"/>
  <c r="I1150" i="3"/>
  <c r="O1149" i="3"/>
  <c r="N1149" i="3"/>
  <c r="M1149" i="3"/>
  <c r="L1149" i="3"/>
  <c r="P1149" i="3" s="1"/>
  <c r="I1149" i="3"/>
  <c r="O1148" i="3"/>
  <c r="N1148" i="3"/>
  <c r="M1148" i="3"/>
  <c r="P1148" i="3" s="1"/>
  <c r="L1148" i="3"/>
  <c r="I1148" i="3"/>
  <c r="O1146" i="3"/>
  <c r="N1146" i="3"/>
  <c r="M1146" i="3"/>
  <c r="L1146" i="3"/>
  <c r="I1146" i="3"/>
  <c r="O1145" i="3"/>
  <c r="N1145" i="3"/>
  <c r="M1145" i="3"/>
  <c r="L1145" i="3"/>
  <c r="P1145" i="3" s="1"/>
  <c r="I1145" i="3"/>
  <c r="O1143" i="3"/>
  <c r="N1143" i="3"/>
  <c r="M1143" i="3"/>
  <c r="L1143" i="3"/>
  <c r="P1143" i="3" s="1"/>
  <c r="I1143" i="3"/>
  <c r="O1142" i="3"/>
  <c r="P1142" i="3" s="1"/>
  <c r="N1142" i="3"/>
  <c r="M1142" i="3"/>
  <c r="L1142" i="3"/>
  <c r="I1142" i="3"/>
  <c r="P1140" i="3"/>
  <c r="O1140" i="3"/>
  <c r="N1140" i="3"/>
  <c r="M1140" i="3"/>
  <c r="L1140" i="3"/>
  <c r="I1140" i="3"/>
  <c r="O1139" i="3"/>
  <c r="N1139" i="3"/>
  <c r="M1139" i="3"/>
  <c r="L1139" i="3"/>
  <c r="I1139" i="3"/>
  <c r="P1138" i="3"/>
  <c r="O1138" i="3"/>
  <c r="N1138" i="3"/>
  <c r="M1138" i="3"/>
  <c r="L1138" i="3"/>
  <c r="I1138" i="3"/>
  <c r="O1137" i="3"/>
  <c r="N1137" i="3"/>
  <c r="M1137" i="3"/>
  <c r="L1137" i="3"/>
  <c r="P1137" i="3" s="1"/>
  <c r="I1137" i="3"/>
  <c r="O1136" i="3"/>
  <c r="N1136" i="3"/>
  <c r="M1136" i="3"/>
  <c r="P1136" i="3" s="1"/>
  <c r="L1136" i="3"/>
  <c r="I1136" i="3"/>
  <c r="P1135" i="3"/>
  <c r="O1135" i="3"/>
  <c r="N1135" i="3"/>
  <c r="M1135" i="3"/>
  <c r="L1135" i="3"/>
  <c r="I1135" i="3"/>
  <c r="O1134" i="3"/>
  <c r="P1134" i="3" s="1"/>
  <c r="N1134" i="3"/>
  <c r="M1134" i="3"/>
  <c r="L1134" i="3"/>
  <c r="I1134" i="3"/>
  <c r="O1132" i="3"/>
  <c r="N1132" i="3"/>
  <c r="M1132" i="3"/>
  <c r="L1132" i="3"/>
  <c r="P1132" i="3" s="1"/>
  <c r="I1132" i="3"/>
  <c r="O1131" i="3"/>
  <c r="N1131" i="3"/>
  <c r="M1131" i="3"/>
  <c r="L1131" i="3"/>
  <c r="I1131" i="3"/>
  <c r="O1130" i="3"/>
  <c r="N1130" i="3"/>
  <c r="M1130" i="3"/>
  <c r="L1130" i="3"/>
  <c r="I1130" i="3"/>
  <c r="O1129" i="3"/>
  <c r="N1129" i="3"/>
  <c r="M1129" i="3"/>
  <c r="L1129" i="3"/>
  <c r="P1129" i="3" s="1"/>
  <c r="I1129" i="3"/>
  <c r="O1127" i="3"/>
  <c r="N1127" i="3"/>
  <c r="M1127" i="3"/>
  <c r="L1127" i="3"/>
  <c r="I1127" i="3"/>
  <c r="P1126" i="3"/>
  <c r="O1126" i="3"/>
  <c r="N1126" i="3"/>
  <c r="M1126" i="3"/>
  <c r="L1126" i="3"/>
  <c r="I1126" i="3"/>
  <c r="O1125" i="3"/>
  <c r="N1125" i="3"/>
  <c r="M1125" i="3"/>
  <c r="L1125" i="3"/>
  <c r="I1125" i="3"/>
  <c r="O1124" i="3"/>
  <c r="N1124" i="3"/>
  <c r="M1124" i="3"/>
  <c r="L1124" i="3"/>
  <c r="P1124" i="3" s="1"/>
  <c r="I1124" i="3"/>
  <c r="O1123" i="3"/>
  <c r="N1123" i="3"/>
  <c r="P1123" i="3" s="1"/>
  <c r="M1123" i="3"/>
  <c r="L1123" i="3"/>
  <c r="I1123" i="3"/>
  <c r="O1122" i="3"/>
  <c r="N1122" i="3"/>
  <c r="M1122" i="3"/>
  <c r="P1122" i="3" s="1"/>
  <c r="L1122" i="3"/>
  <c r="I1122" i="3"/>
  <c r="O1121" i="3"/>
  <c r="N1121" i="3"/>
  <c r="M1121" i="3"/>
  <c r="L1121" i="3"/>
  <c r="P1121" i="3" s="1"/>
  <c r="I1121" i="3"/>
  <c r="O1120" i="3"/>
  <c r="N1120" i="3"/>
  <c r="M1120" i="3"/>
  <c r="L1120" i="3"/>
  <c r="I1120" i="3"/>
  <c r="O1118" i="3"/>
  <c r="N1118" i="3"/>
  <c r="M1118" i="3"/>
  <c r="P1118" i="3" s="1"/>
  <c r="L1118" i="3"/>
  <c r="I1118" i="3"/>
  <c r="P1117" i="3"/>
  <c r="O1117" i="3"/>
  <c r="N1117" i="3"/>
  <c r="M1117" i="3"/>
  <c r="L1117" i="3"/>
  <c r="I1117" i="3"/>
  <c r="O1116" i="3"/>
  <c r="N1116" i="3"/>
  <c r="M1116" i="3"/>
  <c r="L1116" i="3"/>
  <c r="P1116" i="3" s="1"/>
  <c r="I1116" i="3"/>
  <c r="O1115" i="3"/>
  <c r="N1115" i="3"/>
  <c r="M1115" i="3"/>
  <c r="L1115" i="3"/>
  <c r="P1115" i="3" s="1"/>
  <c r="I1115" i="3"/>
  <c r="O1114" i="3"/>
  <c r="P1114" i="3" s="1"/>
  <c r="N1114" i="3"/>
  <c r="M1114" i="3"/>
  <c r="L1114" i="3"/>
  <c r="I1114" i="3"/>
  <c r="O1113" i="3"/>
  <c r="N1113" i="3"/>
  <c r="M1113" i="3"/>
  <c r="L1113" i="3"/>
  <c r="P1113" i="3" s="1"/>
  <c r="I1113" i="3"/>
  <c r="O1112" i="3"/>
  <c r="N1112" i="3"/>
  <c r="M1112" i="3"/>
  <c r="L1112" i="3"/>
  <c r="P1112" i="3" s="1"/>
  <c r="I1112" i="3"/>
  <c r="O1111" i="3"/>
  <c r="N1111" i="3"/>
  <c r="M1111" i="3"/>
  <c r="L1111" i="3"/>
  <c r="I1111" i="3"/>
  <c r="O1109" i="3"/>
  <c r="N1109" i="3"/>
  <c r="M1109" i="3"/>
  <c r="L1109" i="3"/>
  <c r="P1109" i="3" s="1"/>
  <c r="I1109" i="3"/>
  <c r="O1107" i="3"/>
  <c r="N1107" i="3"/>
  <c r="P1107" i="3" s="1"/>
  <c r="M1107" i="3"/>
  <c r="L1107" i="3"/>
  <c r="I1107" i="3"/>
  <c r="O1106" i="3"/>
  <c r="N1106" i="3"/>
  <c r="M1106" i="3"/>
  <c r="L1106" i="3"/>
  <c r="P1106" i="3" s="1"/>
  <c r="I1106" i="3"/>
  <c r="O1105" i="3"/>
  <c r="N1105" i="3"/>
  <c r="P1105" i="3" s="1"/>
  <c r="M1105" i="3"/>
  <c r="L1105" i="3"/>
  <c r="I1105" i="3"/>
  <c r="O1104" i="3"/>
  <c r="N1104" i="3"/>
  <c r="M1104" i="3"/>
  <c r="L1104" i="3"/>
  <c r="P1104" i="3" s="1"/>
  <c r="I1104" i="3"/>
  <c r="O1103" i="3"/>
  <c r="N1103" i="3"/>
  <c r="M1103" i="3"/>
  <c r="P1103" i="3" s="1"/>
  <c r="L1103" i="3"/>
  <c r="I1103" i="3"/>
  <c r="P1102" i="3"/>
  <c r="O1102" i="3"/>
  <c r="N1102" i="3"/>
  <c r="M1102" i="3"/>
  <c r="L1102" i="3"/>
  <c r="I1102" i="3"/>
  <c r="O1101" i="3"/>
  <c r="N1101" i="3"/>
  <c r="M1101" i="3"/>
  <c r="P1101" i="3" s="1"/>
  <c r="L1101" i="3"/>
  <c r="I1101" i="3"/>
  <c r="O1100" i="3"/>
  <c r="N1100" i="3"/>
  <c r="P1100" i="3" s="1"/>
  <c r="M1100" i="3"/>
  <c r="L1100" i="3"/>
  <c r="I1100" i="3"/>
  <c r="O1099" i="3"/>
  <c r="N1099" i="3"/>
  <c r="M1099" i="3"/>
  <c r="P1099" i="3" s="1"/>
  <c r="L1099" i="3"/>
  <c r="I1099" i="3"/>
  <c r="O1097" i="3"/>
  <c r="N1097" i="3"/>
  <c r="M1097" i="3"/>
  <c r="L1097" i="3"/>
  <c r="I1097" i="3"/>
  <c r="O1096" i="3"/>
  <c r="P1096" i="3" s="1"/>
  <c r="N1096" i="3"/>
  <c r="M1096" i="3"/>
  <c r="L1096" i="3"/>
  <c r="I1096" i="3"/>
  <c r="O1095" i="3"/>
  <c r="N1095" i="3"/>
  <c r="M1095" i="3"/>
  <c r="L1095" i="3"/>
  <c r="P1095" i="3" s="1"/>
  <c r="I1095" i="3"/>
  <c r="O1094" i="3"/>
  <c r="N1094" i="3"/>
  <c r="P1094" i="3" s="1"/>
  <c r="M1094" i="3"/>
  <c r="L1094" i="3"/>
  <c r="I1094" i="3"/>
  <c r="O1093" i="3"/>
  <c r="N1093" i="3"/>
  <c r="M1093" i="3"/>
  <c r="L1093" i="3"/>
  <c r="I1093" i="3"/>
  <c r="O1092" i="3"/>
  <c r="N1092" i="3"/>
  <c r="M1092" i="3"/>
  <c r="L1092" i="3"/>
  <c r="P1092" i="3" s="1"/>
  <c r="I1092" i="3"/>
  <c r="O1091" i="3"/>
  <c r="N1091" i="3"/>
  <c r="M1091" i="3"/>
  <c r="L1091" i="3"/>
  <c r="I1091" i="3"/>
  <c r="P1089" i="3"/>
  <c r="O1089" i="3"/>
  <c r="N1089" i="3"/>
  <c r="M1089" i="3"/>
  <c r="L1089" i="3"/>
  <c r="I1089" i="3"/>
  <c r="O1088" i="3"/>
  <c r="N1088" i="3"/>
  <c r="M1088" i="3"/>
  <c r="L1088" i="3"/>
  <c r="P1088" i="3" s="1"/>
  <c r="I1088" i="3"/>
  <c r="P1087" i="3"/>
  <c r="O1087" i="3"/>
  <c r="N1087" i="3"/>
  <c r="M1087" i="3"/>
  <c r="L1087" i="3"/>
  <c r="I1087" i="3"/>
  <c r="O1085" i="3"/>
  <c r="N1085" i="3"/>
  <c r="M1085" i="3"/>
  <c r="P1085" i="3" s="1"/>
  <c r="L1085" i="3"/>
  <c r="I1085" i="3"/>
  <c r="I1083" i="3"/>
  <c r="I1082" i="3"/>
  <c r="I1081" i="3"/>
  <c r="I1080" i="3"/>
  <c r="I1079" i="3"/>
  <c r="I1078" i="3"/>
  <c r="F1077" i="3"/>
  <c r="F1076" i="3"/>
  <c r="I1075" i="3"/>
  <c r="I1074" i="3"/>
  <c r="P1073" i="3"/>
  <c r="O1073" i="3"/>
  <c r="N1073" i="3"/>
  <c r="M1073" i="3"/>
  <c r="L1073" i="3"/>
  <c r="I1073" i="3"/>
  <c r="I1072" i="3"/>
  <c r="I1071" i="3"/>
  <c r="I1070" i="3"/>
  <c r="I1069" i="3"/>
  <c r="I1068" i="3"/>
  <c r="F1068" i="3"/>
  <c r="O1067" i="3"/>
  <c r="N1067" i="3"/>
  <c r="P1067" i="3" s="1"/>
  <c r="M1067" i="3"/>
  <c r="L1067" i="3"/>
  <c r="I1067" i="3"/>
  <c r="I1066" i="3"/>
  <c r="I1065" i="3"/>
  <c r="I1064" i="3"/>
  <c r="I1063" i="3"/>
  <c r="F1062" i="3"/>
  <c r="F1061" i="3"/>
  <c r="O1060" i="3"/>
  <c r="N1060" i="3"/>
  <c r="L1060" i="3"/>
  <c r="F1060" i="3"/>
  <c r="M1060" i="3" s="1"/>
  <c r="P1060" i="3" s="1"/>
  <c r="I1059" i="3"/>
  <c r="I1058" i="3"/>
  <c r="I1057" i="3"/>
  <c r="F1056" i="3"/>
  <c r="I1055" i="3"/>
  <c r="O1054" i="3"/>
  <c r="P1054" i="3" s="1"/>
  <c r="N1054" i="3"/>
  <c r="M1054" i="3"/>
  <c r="L1054" i="3"/>
  <c r="I1054" i="3"/>
  <c r="I1053" i="3"/>
  <c r="P1052" i="3"/>
  <c r="O1052" i="3"/>
  <c r="N1052" i="3"/>
  <c r="M1052" i="3"/>
  <c r="L1052" i="3"/>
  <c r="I1052" i="3"/>
  <c r="I1051" i="3"/>
  <c r="I1050" i="3"/>
  <c r="O1049" i="3"/>
  <c r="N1049" i="3"/>
  <c r="M1049" i="3"/>
  <c r="L1049" i="3"/>
  <c r="P1049" i="3" s="1"/>
  <c r="I1049" i="3"/>
  <c r="I1048" i="3"/>
  <c r="I1047" i="3"/>
  <c r="I1046" i="3"/>
  <c r="I1045" i="3"/>
  <c r="I1044" i="3"/>
  <c r="I1043" i="3"/>
  <c r="I1042" i="3"/>
  <c r="I1041" i="3"/>
  <c r="I1040" i="3"/>
  <c r="I1039" i="3"/>
  <c r="O1038" i="3"/>
  <c r="N1038" i="3"/>
  <c r="L1038" i="3"/>
  <c r="I1038" i="3"/>
  <c r="F1038" i="3"/>
  <c r="M1038" i="3" s="1"/>
  <c r="P1038" i="3" s="1"/>
  <c r="I1037" i="3"/>
  <c r="F1036" i="3"/>
  <c r="O1035" i="3"/>
  <c r="N1035" i="3"/>
  <c r="M1035" i="3"/>
  <c r="P1035" i="3" s="1"/>
  <c r="L1035" i="3"/>
  <c r="F1035" i="3"/>
  <c r="I1035" i="3" s="1"/>
  <c r="I1034" i="3"/>
  <c r="O1033" i="3"/>
  <c r="N1033" i="3"/>
  <c r="M1033" i="3"/>
  <c r="L1033" i="3"/>
  <c r="P1033" i="3" s="1"/>
  <c r="F1033" i="3"/>
  <c r="I1033" i="3" s="1"/>
  <c r="I1032" i="3"/>
  <c r="I1031" i="3"/>
  <c r="F1031" i="3"/>
  <c r="I1030" i="3"/>
  <c r="F1030" i="3"/>
  <c r="I1029" i="3"/>
  <c r="F1029" i="3"/>
  <c r="I1028" i="3"/>
  <c r="I1027" i="3"/>
  <c r="I1026" i="3"/>
  <c r="I1025" i="3"/>
  <c r="I1024" i="3"/>
  <c r="I1023" i="3"/>
  <c r="I1022" i="3"/>
  <c r="O1021" i="3"/>
  <c r="N1021" i="3"/>
  <c r="L1021" i="3"/>
  <c r="F1021" i="3"/>
  <c r="M1021" i="3" s="1"/>
  <c r="I1020" i="3"/>
  <c r="F1019" i="3"/>
  <c r="I1018" i="3"/>
  <c r="F1018" i="3"/>
  <c r="I1017" i="3"/>
  <c r="F1017" i="3"/>
  <c r="F1016" i="3"/>
  <c r="I1015" i="3"/>
  <c r="F1015" i="3"/>
  <c r="I1014" i="3"/>
  <c r="F1014" i="3"/>
  <c r="F1013" i="3"/>
  <c r="I1013" i="3" s="1"/>
  <c r="I1012" i="3"/>
  <c r="I1011" i="3"/>
  <c r="I1010" i="3"/>
  <c r="I1009" i="3"/>
  <c r="I1008" i="3"/>
  <c r="I1007" i="3"/>
  <c r="I1006" i="3"/>
  <c r="I1005" i="3"/>
  <c r="P1004" i="3"/>
  <c r="P1003" i="3"/>
  <c r="O1003" i="3"/>
  <c r="N1003" i="3"/>
  <c r="M1003" i="3"/>
  <c r="L1003" i="3"/>
  <c r="I1003" i="3"/>
  <c r="O1002" i="3"/>
  <c r="N1002" i="3"/>
  <c r="M1002" i="3"/>
  <c r="P1002" i="3" s="1"/>
  <c r="L1002" i="3"/>
  <c r="I1002" i="3"/>
  <c r="O1001" i="3"/>
  <c r="N1001" i="3"/>
  <c r="M1001" i="3"/>
  <c r="P1001" i="3" s="1"/>
  <c r="L1001" i="3"/>
  <c r="I1001" i="3"/>
  <c r="O1000" i="3"/>
  <c r="P1000" i="3" s="1"/>
  <c r="N1000" i="3"/>
  <c r="M1000" i="3"/>
  <c r="L1000" i="3"/>
  <c r="I1000" i="3"/>
  <c r="O999" i="3"/>
  <c r="N999" i="3"/>
  <c r="M999" i="3"/>
  <c r="L999" i="3"/>
  <c r="P999" i="3" s="1"/>
  <c r="I999" i="3"/>
  <c r="O998" i="3"/>
  <c r="N998" i="3"/>
  <c r="P998" i="3" s="1"/>
  <c r="M998" i="3"/>
  <c r="L998" i="3"/>
  <c r="I998" i="3"/>
  <c r="O997" i="3"/>
  <c r="N997" i="3"/>
  <c r="M997" i="3"/>
  <c r="L997" i="3"/>
  <c r="P997" i="3" s="1"/>
  <c r="I997" i="3"/>
  <c r="O996" i="3"/>
  <c r="N996" i="3"/>
  <c r="M996" i="3"/>
  <c r="P996" i="3" s="1"/>
  <c r="L996" i="3"/>
  <c r="I996" i="3"/>
  <c r="O994" i="3"/>
  <c r="N994" i="3"/>
  <c r="M994" i="3"/>
  <c r="L994" i="3"/>
  <c r="I994" i="3"/>
  <c r="O993" i="3"/>
  <c r="P993" i="3" s="1"/>
  <c r="N993" i="3"/>
  <c r="M993" i="3"/>
  <c r="L993" i="3"/>
  <c r="I993" i="3"/>
  <c r="O992" i="3"/>
  <c r="N992" i="3"/>
  <c r="M992" i="3"/>
  <c r="L992" i="3"/>
  <c r="P992" i="3" s="1"/>
  <c r="I992" i="3"/>
  <c r="O991" i="3"/>
  <c r="N991" i="3"/>
  <c r="P991" i="3" s="1"/>
  <c r="M991" i="3"/>
  <c r="L991" i="3"/>
  <c r="I991" i="3"/>
  <c r="O990" i="3"/>
  <c r="N990" i="3"/>
  <c r="M990" i="3"/>
  <c r="L990" i="3"/>
  <c r="I990" i="3"/>
  <c r="O988" i="3"/>
  <c r="N988" i="3"/>
  <c r="M988" i="3"/>
  <c r="L988" i="3"/>
  <c r="I988" i="3"/>
  <c r="O987" i="3"/>
  <c r="N987" i="3"/>
  <c r="M987" i="3"/>
  <c r="L987" i="3"/>
  <c r="I987" i="3"/>
  <c r="O986" i="3"/>
  <c r="P986" i="3" s="1"/>
  <c r="N986" i="3"/>
  <c r="M986" i="3"/>
  <c r="L986" i="3"/>
  <c r="I986" i="3"/>
  <c r="O985" i="3"/>
  <c r="N985" i="3"/>
  <c r="M985" i="3"/>
  <c r="L985" i="3"/>
  <c r="P985" i="3" s="1"/>
  <c r="I985" i="3"/>
  <c r="O984" i="3"/>
  <c r="N984" i="3"/>
  <c r="M984" i="3"/>
  <c r="P984" i="3" s="1"/>
  <c r="L984" i="3"/>
  <c r="I984" i="3"/>
  <c r="P983" i="3"/>
  <c r="O983" i="3"/>
  <c r="N983" i="3"/>
  <c r="M983" i="3"/>
  <c r="L983" i="3"/>
  <c r="I983" i="3"/>
  <c r="O982" i="3"/>
  <c r="N982" i="3"/>
  <c r="M982" i="3"/>
  <c r="L982" i="3"/>
  <c r="P982" i="3" s="1"/>
  <c r="I982" i="3"/>
  <c r="O980" i="3"/>
  <c r="N980" i="3"/>
  <c r="M980" i="3"/>
  <c r="L980" i="3"/>
  <c r="I980" i="3"/>
  <c r="O979" i="3"/>
  <c r="N979" i="3"/>
  <c r="M979" i="3"/>
  <c r="L979" i="3"/>
  <c r="P979" i="3" s="1"/>
  <c r="I979" i="3"/>
  <c r="O978" i="3"/>
  <c r="N978" i="3"/>
  <c r="P978" i="3" s="1"/>
  <c r="M978" i="3"/>
  <c r="L978" i="3"/>
  <c r="I978" i="3"/>
  <c r="O977" i="3"/>
  <c r="N977" i="3"/>
  <c r="M977" i="3"/>
  <c r="L977" i="3"/>
  <c r="I977" i="3"/>
  <c r="O976" i="3"/>
  <c r="P976" i="3" s="1"/>
  <c r="N976" i="3"/>
  <c r="M976" i="3"/>
  <c r="L976" i="3"/>
  <c r="I976" i="3"/>
  <c r="O975" i="3"/>
  <c r="N975" i="3"/>
  <c r="M975" i="3"/>
  <c r="L975" i="3"/>
  <c r="I975" i="3"/>
  <c r="O974" i="3"/>
  <c r="N974" i="3"/>
  <c r="M974" i="3"/>
  <c r="L974" i="3"/>
  <c r="I974" i="3"/>
  <c r="O972" i="3"/>
  <c r="N972" i="3"/>
  <c r="M972" i="3"/>
  <c r="L972" i="3"/>
  <c r="P972" i="3" s="1"/>
  <c r="I972" i="3"/>
  <c r="O971" i="3"/>
  <c r="N971" i="3"/>
  <c r="M971" i="3"/>
  <c r="L971" i="3"/>
  <c r="P971" i="3" s="1"/>
  <c r="I971" i="3"/>
  <c r="O970" i="3"/>
  <c r="N970" i="3"/>
  <c r="M970" i="3"/>
  <c r="L970" i="3"/>
  <c r="I970" i="3"/>
  <c r="O969" i="3"/>
  <c r="P969" i="3" s="1"/>
  <c r="N969" i="3"/>
  <c r="M969" i="3"/>
  <c r="L969" i="3"/>
  <c r="I969" i="3"/>
  <c r="O968" i="3"/>
  <c r="N968" i="3"/>
  <c r="M968" i="3"/>
  <c r="L968" i="3"/>
  <c r="I968" i="3"/>
  <c r="P967" i="3"/>
  <c r="O967" i="3"/>
  <c r="N967" i="3"/>
  <c r="M967" i="3"/>
  <c r="L967" i="3"/>
  <c r="I967" i="3"/>
  <c r="P965" i="3"/>
  <c r="O965" i="3"/>
  <c r="N965" i="3"/>
  <c r="M965" i="3"/>
  <c r="L965" i="3"/>
  <c r="I965" i="3"/>
  <c r="O964" i="3"/>
  <c r="P964" i="3" s="1"/>
  <c r="N964" i="3"/>
  <c r="M964" i="3"/>
  <c r="L964" i="3"/>
  <c r="I964" i="3"/>
  <c r="O963" i="3"/>
  <c r="N963" i="3"/>
  <c r="M963" i="3"/>
  <c r="L963" i="3"/>
  <c r="I963" i="3"/>
  <c r="O962" i="3"/>
  <c r="P962" i="3" s="1"/>
  <c r="N962" i="3"/>
  <c r="M962" i="3"/>
  <c r="L962" i="3"/>
  <c r="I962" i="3"/>
  <c r="O961" i="3"/>
  <c r="N961" i="3"/>
  <c r="M961" i="3"/>
  <c r="P961" i="3" s="1"/>
  <c r="L961" i="3"/>
  <c r="I961" i="3"/>
  <c r="O960" i="3"/>
  <c r="N960" i="3"/>
  <c r="M960" i="3"/>
  <c r="P960" i="3" s="1"/>
  <c r="L960" i="3"/>
  <c r="I960" i="3"/>
  <c r="O959" i="3"/>
  <c r="N959" i="3"/>
  <c r="M959" i="3"/>
  <c r="L959" i="3"/>
  <c r="P959" i="3" s="1"/>
  <c r="I959" i="3"/>
  <c r="O958" i="3"/>
  <c r="N958" i="3"/>
  <c r="M958" i="3"/>
  <c r="L958" i="3"/>
  <c r="P958" i="3" s="1"/>
  <c r="I958" i="3"/>
  <c r="P957" i="3"/>
  <c r="O957" i="3"/>
  <c r="N957" i="3"/>
  <c r="M957" i="3"/>
  <c r="L957" i="3"/>
  <c r="I957" i="3"/>
  <c r="O956" i="3"/>
  <c r="N956" i="3"/>
  <c r="M956" i="3"/>
  <c r="L956" i="3"/>
  <c r="P956" i="3" s="1"/>
  <c r="I956" i="3"/>
  <c r="I954" i="3"/>
  <c r="O953" i="3"/>
  <c r="N953" i="3"/>
  <c r="M953" i="3"/>
  <c r="L953" i="3"/>
  <c r="I953" i="3"/>
  <c r="I952" i="3"/>
  <c r="I951" i="3"/>
  <c r="I950" i="3"/>
  <c r="I949" i="3"/>
  <c r="I948" i="3"/>
  <c r="I947" i="3"/>
  <c r="I946" i="3"/>
  <c r="I945" i="3"/>
  <c r="I944" i="3"/>
  <c r="I943" i="3"/>
  <c r="I942" i="3"/>
  <c r="O941" i="3"/>
  <c r="N941" i="3"/>
  <c r="M941" i="3"/>
  <c r="L941" i="3"/>
  <c r="P941" i="3" s="1"/>
  <c r="I941" i="3"/>
  <c r="O940" i="3"/>
  <c r="N940" i="3"/>
  <c r="M940" i="3"/>
  <c r="P940" i="3" s="1"/>
  <c r="L940" i="3"/>
  <c r="I940" i="3"/>
  <c r="I939" i="3"/>
  <c r="P938" i="3"/>
  <c r="O938" i="3"/>
  <c r="N938" i="3"/>
  <c r="M938" i="3"/>
  <c r="L938" i="3"/>
  <c r="I938" i="3"/>
  <c r="I937" i="3"/>
  <c r="I936" i="3"/>
  <c r="I935" i="3"/>
  <c r="I934" i="3"/>
  <c r="I933" i="3"/>
  <c r="I932" i="3"/>
  <c r="I931" i="3"/>
  <c r="I930" i="3"/>
  <c r="I929" i="3"/>
  <c r="I928" i="3"/>
  <c r="I927" i="3"/>
  <c r="I926" i="3"/>
  <c r="I925"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P847" i="3"/>
  <c r="I846" i="3"/>
  <c r="I845" i="3"/>
  <c r="I844" i="3"/>
  <c r="I843" i="3"/>
  <c r="I842" i="3"/>
  <c r="I841" i="3"/>
  <c r="I840" i="3"/>
  <c r="I839" i="3"/>
  <c r="I838" i="3"/>
  <c r="I837" i="3"/>
  <c r="I836" i="3"/>
  <c r="I835" i="3"/>
  <c r="I834" i="3"/>
  <c r="I833" i="3"/>
  <c r="I832" i="3"/>
  <c r="I831" i="3"/>
  <c r="I830" i="3"/>
  <c r="I829" i="3"/>
  <c r="I828" i="3"/>
  <c r="I827" i="3"/>
  <c r="I826" i="3"/>
  <c r="P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797" i="3"/>
  <c r="I796" i="3"/>
  <c r="I795" i="3"/>
  <c r="I794" i="3"/>
  <c r="I793" i="3"/>
  <c r="I792" i="3"/>
  <c r="I791" i="3"/>
  <c r="I790" i="3"/>
  <c r="I789" i="3"/>
  <c r="P788" i="3"/>
  <c r="I787" i="3"/>
  <c r="I786" i="3"/>
  <c r="I785" i="3"/>
  <c r="P784" i="3"/>
  <c r="O784" i="3"/>
  <c r="N784" i="3"/>
  <c r="M784" i="3"/>
  <c r="L784" i="3"/>
  <c r="J784" i="3"/>
  <c r="I784" i="3"/>
  <c r="I783" i="3"/>
  <c r="I782" i="3"/>
  <c r="I781" i="3"/>
  <c r="I780" i="3"/>
  <c r="J779" i="3"/>
  <c r="I779" i="3"/>
  <c r="I778" i="3"/>
  <c r="I777" i="3"/>
  <c r="I776" i="3"/>
  <c r="O775" i="3"/>
  <c r="N775" i="3"/>
  <c r="M775" i="3"/>
  <c r="L775" i="3"/>
  <c r="J775" i="3"/>
  <c r="I775" i="3"/>
  <c r="I774" i="3"/>
  <c r="I773" i="3"/>
  <c r="I772" i="3"/>
  <c r="I771" i="3"/>
  <c r="I770" i="3"/>
  <c r="I769" i="3"/>
  <c r="I768" i="3"/>
  <c r="I767" i="3"/>
  <c r="I766" i="3"/>
  <c r="I765" i="3"/>
  <c r="I764" i="3"/>
  <c r="I763" i="3"/>
  <c r="I762" i="3"/>
  <c r="I761" i="3"/>
  <c r="P760" i="3"/>
  <c r="I759" i="3"/>
  <c r="I758" i="3"/>
  <c r="I757" i="3"/>
  <c r="I756" i="3"/>
  <c r="I755" i="3"/>
  <c r="I754" i="3"/>
  <c r="I753" i="3"/>
  <c r="I752" i="3"/>
  <c r="I751" i="3"/>
  <c r="I750" i="3"/>
  <c r="I749" i="3"/>
  <c r="I748" i="3"/>
  <c r="I747" i="3"/>
  <c r="I746" i="3"/>
  <c r="I745" i="3"/>
  <c r="I744" i="3"/>
  <c r="I743" i="3"/>
  <c r="I742" i="3"/>
  <c r="I741" i="3"/>
  <c r="I740" i="3"/>
  <c r="I739" i="3"/>
  <c r="N738" i="3"/>
  <c r="M738" i="3"/>
  <c r="J738" i="3"/>
  <c r="O738" i="3" s="1"/>
  <c r="I738" i="3"/>
  <c r="I737" i="3"/>
  <c r="I736" i="3"/>
  <c r="I735" i="3"/>
  <c r="I734" i="3"/>
  <c r="I733" i="3"/>
  <c r="I732" i="3"/>
  <c r="I731" i="3"/>
  <c r="I730" i="3"/>
  <c r="I729" i="3"/>
  <c r="I728" i="3"/>
  <c r="I727" i="3"/>
  <c r="I726" i="3"/>
  <c r="I725" i="3"/>
  <c r="I724" i="3"/>
  <c r="I723" i="3"/>
  <c r="I722" i="3"/>
  <c r="I721" i="3"/>
  <c r="I720" i="3"/>
  <c r="I719" i="3"/>
  <c r="I718" i="3"/>
  <c r="I717" i="3"/>
  <c r="I716" i="3"/>
  <c r="I715" i="3"/>
  <c r="A715" i="3"/>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I714" i="3"/>
  <c r="I713" i="3"/>
  <c r="I712" i="3"/>
  <c r="I711" i="3"/>
  <c r="I710" i="3"/>
  <c r="I709" i="3"/>
  <c r="I708" i="3"/>
  <c r="I707" i="3"/>
  <c r="I706" i="3"/>
  <c r="I705" i="3"/>
  <c r="I704" i="3"/>
  <c r="I703" i="3"/>
  <c r="I702" i="3"/>
  <c r="I701" i="3"/>
  <c r="I700" i="3"/>
  <c r="A700" i="3"/>
  <c r="A701" i="3" s="1"/>
  <c r="A702" i="3" s="1"/>
  <c r="A703" i="3" s="1"/>
  <c r="A704" i="3" s="1"/>
  <c r="A705" i="3" s="1"/>
  <c r="A706" i="3" s="1"/>
  <c r="A707" i="3" s="1"/>
  <c r="A708" i="3" s="1"/>
  <c r="A709" i="3" s="1"/>
  <c r="A710" i="3" s="1"/>
  <c r="A711" i="3" s="1"/>
  <c r="A712" i="3" s="1"/>
  <c r="A713" i="3" s="1"/>
  <c r="A714" i="3" s="1"/>
  <c r="I699" i="3"/>
  <c r="I698" i="3"/>
  <c r="A698" i="3"/>
  <c r="A699" i="3" s="1"/>
  <c r="A697" i="3"/>
  <c r="P695" i="3"/>
  <c r="P694" i="3"/>
  <c r="O693" i="3"/>
  <c r="N693" i="3"/>
  <c r="M693" i="3"/>
  <c r="E693" i="3"/>
  <c r="D693" i="3"/>
  <c r="C693" i="3"/>
  <c r="B693" i="3"/>
  <c r="O692" i="3"/>
  <c r="N692" i="3"/>
  <c r="M692" i="3"/>
  <c r="P692" i="3" s="1"/>
  <c r="L692" i="3"/>
  <c r="J692" i="3"/>
  <c r="E692" i="3"/>
  <c r="D692" i="3"/>
  <c r="C692" i="3"/>
  <c r="B692" i="3"/>
  <c r="P691" i="3"/>
  <c r="D691" i="3"/>
  <c r="C691" i="3"/>
  <c r="B691" i="3"/>
  <c r="K690" i="3"/>
  <c r="F690" i="3"/>
  <c r="K689" i="3"/>
  <c r="F689" i="3"/>
  <c r="K688" i="3"/>
  <c r="F688" i="3"/>
  <c r="O686" i="3"/>
  <c r="J686" i="3"/>
  <c r="D686" i="3"/>
  <c r="C686" i="3"/>
  <c r="B686" i="3"/>
  <c r="J685" i="3"/>
  <c r="D685" i="3"/>
  <c r="C685" i="3"/>
  <c r="B685" i="3"/>
  <c r="J684" i="3"/>
  <c r="D684" i="3"/>
  <c r="C684" i="3"/>
  <c r="B684" i="3"/>
  <c r="N683" i="3"/>
  <c r="J683" i="3"/>
  <c r="O683" i="3" s="1"/>
  <c r="D683" i="3"/>
  <c r="C683" i="3"/>
  <c r="B683" i="3"/>
  <c r="O682" i="3"/>
  <c r="N682" i="3"/>
  <c r="M682" i="3"/>
  <c r="J682" i="3"/>
  <c r="D682" i="3"/>
  <c r="C682" i="3"/>
  <c r="B682" i="3"/>
  <c r="O681" i="3"/>
  <c r="N681" i="3"/>
  <c r="M681" i="3"/>
  <c r="J681" i="3"/>
  <c r="D681" i="3"/>
  <c r="C681" i="3"/>
  <c r="B681" i="3"/>
  <c r="O680" i="3"/>
  <c r="J680" i="3"/>
  <c r="D680" i="3"/>
  <c r="C680" i="3"/>
  <c r="B680" i="3"/>
  <c r="O679" i="3"/>
  <c r="J679" i="3"/>
  <c r="D679" i="3"/>
  <c r="C679" i="3"/>
  <c r="B679" i="3"/>
  <c r="J678" i="3"/>
  <c r="D678" i="3"/>
  <c r="C678" i="3"/>
  <c r="B678" i="3"/>
  <c r="O677" i="3"/>
  <c r="N677" i="3"/>
  <c r="J677" i="3"/>
  <c r="D677" i="3"/>
  <c r="C677" i="3"/>
  <c r="B677" i="3"/>
  <c r="O676" i="3"/>
  <c r="N676" i="3"/>
  <c r="M676" i="3"/>
  <c r="J676" i="3"/>
  <c r="D676" i="3"/>
  <c r="C676" i="3"/>
  <c r="B676" i="3"/>
  <c r="N675" i="3"/>
  <c r="J675" i="3"/>
  <c r="D675" i="3"/>
  <c r="C675" i="3"/>
  <c r="B675" i="3"/>
  <c r="N674" i="3"/>
  <c r="J674" i="3"/>
  <c r="M674" i="3" s="1"/>
  <c r="D674" i="3"/>
  <c r="C674" i="3"/>
  <c r="B674" i="3"/>
  <c r="M673" i="3"/>
  <c r="J673" i="3"/>
  <c r="N673" i="3" s="1"/>
  <c r="D673" i="3"/>
  <c r="C673" i="3"/>
  <c r="B673" i="3"/>
  <c r="M672" i="3"/>
  <c r="J672" i="3"/>
  <c r="O672" i="3" s="1"/>
  <c r="D672" i="3"/>
  <c r="C672" i="3"/>
  <c r="B672" i="3"/>
  <c r="P671" i="3"/>
  <c r="C671" i="3"/>
  <c r="B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F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P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J346" i="3"/>
  <c r="I346" i="3"/>
  <c r="I345" i="3"/>
  <c r="I344" i="3"/>
  <c r="I343" i="3"/>
  <c r="I342" i="3"/>
  <c r="P341" i="3"/>
  <c r="I340" i="3"/>
  <c r="I339" i="3"/>
  <c r="I338" i="3"/>
  <c r="I337" i="3"/>
  <c r="I336" i="3"/>
  <c r="I335" i="3"/>
  <c r="I334" i="3"/>
  <c r="I333" i="3"/>
  <c r="I332" i="3"/>
  <c r="I331" i="3"/>
  <c r="I330" i="3"/>
  <c r="I329" i="3"/>
  <c r="I328" i="3"/>
  <c r="I327" i="3"/>
  <c r="I326" i="3"/>
  <c r="I325" i="3"/>
  <c r="I324" i="3"/>
  <c r="I323" i="3"/>
  <c r="I322" i="3"/>
  <c r="I321" i="3"/>
  <c r="I320" i="3"/>
  <c r="P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P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F161" i="3"/>
  <c r="F160" i="3"/>
  <c r="I160" i="3" s="1"/>
  <c r="I159" i="3"/>
  <c r="F159" i="3"/>
  <c r="F158" i="3"/>
  <c r="I158" i="3" s="1"/>
  <c r="F157" i="3"/>
  <c r="F156" i="3"/>
  <c r="I156" i="3" s="1"/>
  <c r="I155" i="3"/>
  <c r="F155" i="3"/>
  <c r="F154" i="3"/>
  <c r="I153" i="3"/>
  <c r="F153" i="3"/>
  <c r="F152" i="3"/>
  <c r="I152" i="3" s="1"/>
  <c r="F151" i="3"/>
  <c r="I150" i="3"/>
  <c r="I149" i="3"/>
  <c r="I148" i="3"/>
  <c r="I147" i="3"/>
  <c r="I146" i="3"/>
  <c r="I145" i="3"/>
  <c r="I144" i="3"/>
  <c r="I143" i="3"/>
  <c r="I142" i="3"/>
  <c r="I141" i="3"/>
  <c r="I140" i="3"/>
  <c r="P139" i="3"/>
  <c r="I138" i="3"/>
  <c r="I137" i="3"/>
  <c r="I136" i="3"/>
  <c r="J135" i="3"/>
  <c r="N135" i="3" s="1"/>
  <c r="I135" i="3"/>
  <c r="I134" i="3"/>
  <c r="I133" i="3"/>
  <c r="I132" i="3"/>
  <c r="I131" i="3"/>
  <c r="O130" i="3"/>
  <c r="M130" i="3"/>
  <c r="J130" i="3"/>
  <c r="N130" i="3" s="1"/>
  <c r="I130" i="3"/>
  <c r="I129" i="3"/>
  <c r="I128" i="3"/>
  <c r="I127" i="3"/>
  <c r="J126" i="3"/>
  <c r="I126" i="3"/>
  <c r="I125" i="3"/>
  <c r="I124" i="3"/>
  <c r="I123" i="3"/>
  <c r="I122" i="3"/>
  <c r="I121" i="3"/>
  <c r="I120" i="3"/>
  <c r="I119" i="3"/>
  <c r="I118" i="3"/>
  <c r="I117" i="3"/>
  <c r="I116" i="3"/>
  <c r="I115" i="3"/>
  <c r="I114" i="3"/>
  <c r="I113" i="3"/>
  <c r="P112" i="3"/>
  <c r="F111" i="3"/>
  <c r="F110" i="3"/>
  <c r="F109" i="3"/>
  <c r="F108" i="3"/>
  <c r="F101" i="3"/>
  <c r="I100" i="3"/>
  <c r="F100" i="3"/>
  <c r="F99" i="3"/>
  <c r="I98" i="3"/>
  <c r="F98" i="3"/>
  <c r="F97" i="3"/>
  <c r="I97" i="3" s="1"/>
  <c r="I96" i="3"/>
  <c r="F96" i="3"/>
  <c r="F95" i="3"/>
  <c r="I94" i="3"/>
  <c r="F94" i="3"/>
  <c r="I93" i="3"/>
  <c r="I92" i="3"/>
  <c r="I91" i="3"/>
  <c r="I90" i="3"/>
  <c r="F89" i="3"/>
  <c r="I88" i="3"/>
  <c r="F88" i="3"/>
  <c r="I87" i="3"/>
  <c r="F87" i="3"/>
  <c r="F86" i="3"/>
  <c r="F85" i="3"/>
  <c r="I85" i="3" s="1"/>
  <c r="I84" i="3"/>
  <c r="F84" i="3"/>
  <c r="I83" i="3"/>
  <c r="F83" i="3"/>
  <c r="F82" i="3"/>
  <c r="F81" i="3"/>
  <c r="P80" i="3"/>
  <c r="F79" i="3"/>
  <c r="I79" i="3" s="1"/>
  <c r="I78" i="3"/>
  <c r="F78" i="3"/>
  <c r="F77" i="3"/>
  <c r="F76" i="3"/>
  <c r="I75" i="3"/>
  <c r="F75" i="3"/>
  <c r="I74" i="3"/>
  <c r="I73" i="3"/>
  <c r="F72" i="3"/>
  <c r="I71" i="3"/>
  <c r="F71" i="3"/>
  <c r="I70" i="3"/>
  <c r="I69" i="3"/>
  <c r="I68" i="3"/>
  <c r="I67" i="3"/>
  <c r="I66" i="3"/>
  <c r="I65" i="3"/>
  <c r="I64" i="3"/>
  <c r="I63" i="3"/>
  <c r="I62" i="3"/>
  <c r="F61" i="3"/>
  <c r="I60" i="3"/>
  <c r="F60" i="3"/>
  <c r="I59" i="3"/>
  <c r="I58" i="3"/>
  <c r="I57" i="3"/>
  <c r="I56" i="3"/>
  <c r="I55" i="3"/>
  <c r="I54" i="3"/>
  <c r="I53" i="3"/>
  <c r="F52" i="3"/>
  <c r="I51" i="3"/>
  <c r="F51" i="3"/>
  <c r="F50" i="3"/>
  <c r="I50" i="3" s="1"/>
  <c r="F49" i="3"/>
  <c r="I49" i="3" s="1"/>
  <c r="F48" i="3"/>
  <c r="I48" i="3" s="1"/>
  <c r="F47" i="3"/>
  <c r="I46" i="3"/>
  <c r="I45" i="3"/>
  <c r="I44" i="3"/>
  <c r="I43" i="3"/>
  <c r="I42" i="3"/>
  <c r="I41" i="3"/>
  <c r="I40" i="3"/>
  <c r="F39" i="3"/>
  <c r="I38" i="3"/>
  <c r="I37" i="3"/>
  <c r="I36" i="3"/>
  <c r="I35" i="3"/>
  <c r="I34" i="3"/>
  <c r="I33" i="3"/>
  <c r="I32" i="3"/>
  <c r="F31" i="3"/>
  <c r="I30" i="3"/>
  <c r="I29" i="3"/>
  <c r="I28" i="3"/>
  <c r="I27" i="3"/>
  <c r="F26" i="3"/>
  <c r="I25" i="3"/>
  <c r="F25" i="3"/>
  <c r="I24" i="3"/>
  <c r="F24" i="3"/>
  <c r="F23" i="3"/>
  <c r="I22" i="3"/>
  <c r="F22" i="3"/>
  <c r="F21" i="3"/>
  <c r="I20" i="3"/>
  <c r="F19" i="3"/>
  <c r="I19" i="3" s="1"/>
  <c r="F18" i="3"/>
  <c r="I17" i="3"/>
  <c r="F17" i="3"/>
  <c r="I16" i="3"/>
  <c r="F16" i="3"/>
  <c r="M16" i="3" s="1"/>
  <c r="F15" i="3"/>
  <c r="I14" i="3"/>
  <c r="F13" i="3"/>
  <c r="I12" i="3"/>
  <c r="F12" i="3"/>
  <c r="F11" i="3"/>
  <c r="I10" i="3"/>
  <c r="F10" i="3"/>
  <c r="I9" i="3"/>
  <c r="F9" i="3"/>
  <c r="F8" i="3"/>
  <c r="I8" i="3" s="1"/>
  <c r="A7" i="3"/>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91" i="3" s="1"/>
  <c r="A692" i="3" s="1"/>
  <c r="A693" i="3" s="1"/>
  <c r="A694" i="3" s="1"/>
  <c r="P5" i="3"/>
  <c r="O5" i="3"/>
  <c r="N5" i="3"/>
  <c r="M5" i="3"/>
  <c r="L5" i="3"/>
  <c r="O1409" i="2"/>
  <c r="J1383" i="2"/>
  <c r="K1383" i="2" s="1"/>
  <c r="K1409" i="2" s="1"/>
  <c r="A1383" i="2"/>
  <c r="A1384" i="2" s="1"/>
  <c r="A1385" i="2" s="1"/>
  <c r="L1382" i="2"/>
  <c r="L1408" i="2" s="1"/>
  <c r="K1382" i="2"/>
  <c r="M1382" i="2" s="1"/>
  <c r="K1381" i="2"/>
  <c r="K1408" i="2" s="1"/>
  <c r="M1380" i="2"/>
  <c r="L1380" i="2"/>
  <c r="L1379" i="2"/>
  <c r="K1379" i="2"/>
  <c r="H1379" i="2"/>
  <c r="M1379" i="2" s="1"/>
  <c r="M1378" i="2"/>
  <c r="L1378" i="2"/>
  <c r="K1378" i="2"/>
  <c r="H1378" i="2"/>
  <c r="L1377" i="2"/>
  <c r="K1377" i="2"/>
  <c r="H1377" i="2"/>
  <c r="M1377" i="2" s="1"/>
  <c r="L1376" i="2"/>
  <c r="K1376" i="2"/>
  <c r="H1376" i="2"/>
  <c r="M1376" i="2" s="1"/>
  <c r="L1375" i="2"/>
  <c r="K1375" i="2"/>
  <c r="H1375" i="2"/>
  <c r="M1375" i="2" s="1"/>
  <c r="L1374" i="2"/>
  <c r="K1374" i="2"/>
  <c r="H1374" i="2"/>
  <c r="M1374" i="2" s="1"/>
  <c r="L1373" i="2"/>
  <c r="K1373" i="2"/>
  <c r="H1373" i="2"/>
  <c r="M1373" i="2" s="1"/>
  <c r="L1372" i="2"/>
  <c r="K1372" i="2"/>
  <c r="H1372" i="2"/>
  <c r="M1372" i="2" s="1"/>
  <c r="L1371" i="2"/>
  <c r="K1371" i="2"/>
  <c r="H1371" i="2"/>
  <c r="M1371" i="2" s="1"/>
  <c r="M1370" i="2"/>
  <c r="L1370" i="2"/>
  <c r="K1370" i="2"/>
  <c r="H1370" i="2"/>
  <c r="L1369" i="2"/>
  <c r="K1369" i="2"/>
  <c r="H1369" i="2"/>
  <c r="M1369" i="2" s="1"/>
  <c r="L1368" i="2"/>
  <c r="K1368" i="2"/>
  <c r="H1368" i="2"/>
  <c r="M1368" i="2" s="1"/>
  <c r="L1367" i="2"/>
  <c r="K1367" i="2"/>
  <c r="H1367" i="2"/>
  <c r="M1367" i="2" s="1"/>
  <c r="M1365" i="2"/>
  <c r="K1365" i="2"/>
  <c r="G1365" i="2"/>
  <c r="E686" i="3" s="1"/>
  <c r="L686" i="3" s="1"/>
  <c r="M1364" i="2"/>
  <c r="K1364" i="2"/>
  <c r="G1364" i="2"/>
  <c r="E685" i="3" s="1"/>
  <c r="M1363" i="2"/>
  <c r="L1363" i="2"/>
  <c r="K1363" i="2"/>
  <c r="G1363" i="2"/>
  <c r="E684" i="3" s="1"/>
  <c r="M1362" i="2"/>
  <c r="K1362" i="2"/>
  <c r="G1362" i="2"/>
  <c r="E683" i="3" s="1"/>
  <c r="M1361" i="2"/>
  <c r="K1361" i="2"/>
  <c r="G1361" i="2"/>
  <c r="E682" i="3" s="1"/>
  <c r="L682" i="3" s="1"/>
  <c r="P682" i="3" s="1"/>
  <c r="M1360" i="2"/>
  <c r="K1360" i="2"/>
  <c r="G1360" i="2"/>
  <c r="E681" i="3" s="1"/>
  <c r="M1359" i="2"/>
  <c r="K1359" i="2"/>
  <c r="G1359" i="2"/>
  <c r="E680" i="3" s="1"/>
  <c r="L680" i="3" s="1"/>
  <c r="M1358" i="2"/>
  <c r="K1358" i="2"/>
  <c r="G1358" i="2"/>
  <c r="E679" i="3" s="1"/>
  <c r="M1357" i="2"/>
  <c r="K1357" i="2"/>
  <c r="G1357" i="2"/>
  <c r="E678" i="3" s="1"/>
  <c r="M1356" i="2"/>
  <c r="K1356" i="2"/>
  <c r="G1356" i="2"/>
  <c r="E677" i="3" s="1"/>
  <c r="L677" i="3" s="1"/>
  <c r="M1355" i="2"/>
  <c r="L1355" i="2"/>
  <c r="K1355" i="2"/>
  <c r="G1355" i="2"/>
  <c r="E676" i="3" s="1"/>
  <c r="L676" i="3" s="1"/>
  <c r="P676" i="3" s="1"/>
  <c r="M1354" i="2"/>
  <c r="K1354" i="2"/>
  <c r="G1354" i="2"/>
  <c r="E675" i="3" s="1"/>
  <c r="M1353" i="2"/>
  <c r="K1353" i="2"/>
  <c r="G1353" i="2"/>
  <c r="E674" i="3" s="1"/>
  <c r="L674" i="3" s="1"/>
  <c r="M1352" i="2"/>
  <c r="K1352" i="2"/>
  <c r="G1352" i="2"/>
  <c r="E673" i="3" s="1"/>
  <c r="L673" i="3" s="1"/>
  <c r="M1351" i="2"/>
  <c r="L1351" i="2"/>
  <c r="K1351" i="2"/>
  <c r="G1351" i="2"/>
  <c r="E672" i="3" s="1"/>
  <c r="L672" i="3" s="1"/>
  <c r="J1349" i="2"/>
  <c r="J1523" i="3" s="1"/>
  <c r="H1349" i="2"/>
  <c r="M1349" i="2" s="1"/>
  <c r="J1348" i="2"/>
  <c r="J1522" i="3" s="1"/>
  <c r="H1348" i="2"/>
  <c r="J1347" i="2"/>
  <c r="H1347" i="2"/>
  <c r="M1347" i="2" s="1"/>
  <c r="J1346" i="2"/>
  <c r="H1346" i="2"/>
  <c r="J1345" i="2"/>
  <c r="H1345" i="2"/>
  <c r="J1344" i="2"/>
  <c r="H1344" i="2"/>
  <c r="J1343" i="2"/>
  <c r="H1343" i="2"/>
  <c r="M1343" i="2" s="1"/>
  <c r="J1342" i="2"/>
  <c r="H1342" i="2"/>
  <c r="M1342" i="2" s="1"/>
  <c r="J1341" i="2"/>
  <c r="H1341" i="2"/>
  <c r="M1341" i="2" s="1"/>
  <c r="J1340" i="2"/>
  <c r="H1340" i="2"/>
  <c r="J1339" i="2"/>
  <c r="H1339" i="2"/>
  <c r="J1338" i="2"/>
  <c r="H1338" i="2"/>
  <c r="M1338" i="2" s="1"/>
  <c r="J1337" i="2"/>
  <c r="H1337" i="2"/>
  <c r="M1337" i="2" s="1"/>
  <c r="J1336" i="2"/>
  <c r="H1336" i="2"/>
  <c r="M1336" i="2" s="1"/>
  <c r="J1335" i="2"/>
  <c r="H1335" i="2"/>
  <c r="M1335" i="2" s="1"/>
  <c r="J1334" i="2"/>
  <c r="H1334" i="2"/>
  <c r="J1333" i="2"/>
  <c r="H1333" i="2"/>
  <c r="M1333" i="2" s="1"/>
  <c r="J1332" i="2"/>
  <c r="H1332" i="2"/>
  <c r="M1332" i="2" s="1"/>
  <c r="J1331" i="2"/>
  <c r="H1331" i="2"/>
  <c r="J1330" i="2"/>
  <c r="H1330" i="2"/>
  <c r="M1330" i="2" s="1"/>
  <c r="J1329" i="2"/>
  <c r="H1329" i="2"/>
  <c r="J1328" i="2"/>
  <c r="H1328" i="2"/>
  <c r="L1327" i="2"/>
  <c r="K1327" i="2"/>
  <c r="H1327" i="2"/>
  <c r="M1327" i="2" s="1"/>
  <c r="J1326" i="2"/>
  <c r="J1500" i="3" s="1"/>
  <c r="H1326" i="2"/>
  <c r="M1326" i="2" s="1"/>
  <c r="L1325" i="2"/>
  <c r="K1325" i="2"/>
  <c r="J1325" i="2"/>
  <c r="J1499" i="3" s="1"/>
  <c r="H1325" i="2"/>
  <c r="M1325" i="2" s="1"/>
  <c r="J1324" i="2"/>
  <c r="H1324" i="2"/>
  <c r="L1323" i="2"/>
  <c r="J1323" i="2"/>
  <c r="J1497" i="3" s="1"/>
  <c r="H1323" i="2"/>
  <c r="M1323" i="2" s="1"/>
  <c r="J1322" i="2"/>
  <c r="H1322" i="2"/>
  <c r="J1321" i="2"/>
  <c r="J1495" i="3" s="1"/>
  <c r="H1321" i="2"/>
  <c r="M1321" i="2" s="1"/>
  <c r="J1320" i="2"/>
  <c r="H1320" i="2"/>
  <c r="J1319" i="2"/>
  <c r="J1493" i="3" s="1"/>
  <c r="H1319" i="2"/>
  <c r="M1319" i="2" s="1"/>
  <c r="J1318" i="2"/>
  <c r="H1318" i="2"/>
  <c r="M1318" i="2" s="1"/>
  <c r="J1317" i="2"/>
  <c r="J1491" i="3" s="1"/>
  <c r="H1317" i="2"/>
  <c r="M1317" i="2" s="1"/>
  <c r="J1316" i="2"/>
  <c r="H1316" i="2"/>
  <c r="J1315" i="2"/>
  <c r="J1489" i="3" s="1"/>
  <c r="H1315" i="2"/>
  <c r="M1315" i="2" s="1"/>
  <c r="J1314" i="2"/>
  <c r="H1314" i="2"/>
  <c r="J1313" i="2"/>
  <c r="J1487" i="3" s="1"/>
  <c r="H1313" i="2"/>
  <c r="M1313" i="2" s="1"/>
  <c r="J1312" i="2"/>
  <c r="H1312" i="2"/>
  <c r="M1312" i="2" s="1"/>
  <c r="J1311" i="2"/>
  <c r="J1485" i="3" s="1"/>
  <c r="H1311" i="2"/>
  <c r="M1311" i="2" s="1"/>
  <c r="J1310" i="2"/>
  <c r="H1310" i="2"/>
  <c r="J1309" i="2"/>
  <c r="J1483" i="3" s="1"/>
  <c r="H1309" i="2"/>
  <c r="M1309" i="2" s="1"/>
  <c r="J1308" i="2"/>
  <c r="H1308" i="2"/>
  <c r="J1307" i="2"/>
  <c r="J1481" i="3" s="1"/>
  <c r="H1307" i="2"/>
  <c r="M1307" i="2" s="1"/>
  <c r="J1306" i="2"/>
  <c r="H1306" i="2"/>
  <c r="M1306" i="2" s="1"/>
  <c r="J1305" i="2"/>
  <c r="J1479" i="3" s="1"/>
  <c r="H1305" i="2"/>
  <c r="M1305" i="2" s="1"/>
  <c r="J1304" i="2"/>
  <c r="H1304" i="2"/>
  <c r="J1303" i="2"/>
  <c r="J1477" i="3" s="1"/>
  <c r="H1303" i="2"/>
  <c r="M1303" i="2" s="1"/>
  <c r="J1302" i="2"/>
  <c r="H1302" i="2"/>
  <c r="J1301" i="2"/>
  <c r="J1475" i="3" s="1"/>
  <c r="H1301" i="2"/>
  <c r="M1301" i="2" s="1"/>
  <c r="J1300" i="2"/>
  <c r="H1300" i="2"/>
  <c r="M1300" i="2" s="1"/>
  <c r="J1299" i="2"/>
  <c r="J1473" i="3" s="1"/>
  <c r="H1299" i="2"/>
  <c r="M1299" i="2" s="1"/>
  <c r="J1298" i="2"/>
  <c r="H1298" i="2"/>
  <c r="J1297" i="2"/>
  <c r="J1471" i="3" s="1"/>
  <c r="H1297" i="2"/>
  <c r="M1297" i="2" s="1"/>
  <c r="J1296" i="2"/>
  <c r="H1296" i="2"/>
  <c r="J1295" i="2"/>
  <c r="J1469" i="3" s="1"/>
  <c r="H1295" i="2"/>
  <c r="M1295" i="2" s="1"/>
  <c r="J1294" i="2"/>
  <c r="H1294" i="2"/>
  <c r="M1294" i="2" s="1"/>
  <c r="J1293" i="2"/>
  <c r="J1467" i="3" s="1"/>
  <c r="H1293" i="2"/>
  <c r="M1293" i="2" s="1"/>
  <c r="J1292" i="2"/>
  <c r="H1292" i="2"/>
  <c r="J1291" i="2"/>
  <c r="J1465" i="3" s="1"/>
  <c r="H1291" i="2"/>
  <c r="M1291" i="2" s="1"/>
  <c r="J1290" i="2"/>
  <c r="H1290" i="2"/>
  <c r="J1289" i="2"/>
  <c r="J1463" i="3" s="1"/>
  <c r="H1289" i="2"/>
  <c r="M1289" i="2" s="1"/>
  <c r="J1288" i="2"/>
  <c r="H1288" i="2"/>
  <c r="J1287" i="2"/>
  <c r="J1461" i="3" s="1"/>
  <c r="H1287" i="2"/>
  <c r="M1287" i="2" s="1"/>
  <c r="J1286" i="2"/>
  <c r="H1286" i="2"/>
  <c r="J1285" i="2"/>
  <c r="J1459" i="3" s="1"/>
  <c r="H1285" i="2"/>
  <c r="M1285" i="2" s="1"/>
  <c r="J1284" i="2"/>
  <c r="H1284" i="2"/>
  <c r="J1283" i="2"/>
  <c r="J1457" i="3" s="1"/>
  <c r="H1283" i="2"/>
  <c r="M1283" i="2" s="1"/>
  <c r="J1282" i="2"/>
  <c r="H1282" i="2"/>
  <c r="M1282" i="2" s="1"/>
  <c r="J1281" i="2"/>
  <c r="J1455" i="3" s="1"/>
  <c r="H1281" i="2"/>
  <c r="M1281" i="2" s="1"/>
  <c r="J1280" i="2"/>
  <c r="H1280" i="2"/>
  <c r="J1279" i="2"/>
  <c r="J1453" i="3" s="1"/>
  <c r="H1279" i="2"/>
  <c r="M1279" i="2" s="1"/>
  <c r="J1278" i="2"/>
  <c r="H1278" i="2"/>
  <c r="J1277" i="2"/>
  <c r="J1451" i="3" s="1"/>
  <c r="H1277" i="2"/>
  <c r="M1277" i="2" s="1"/>
  <c r="J1276" i="2"/>
  <c r="H1276" i="2"/>
  <c r="M1276" i="2" s="1"/>
  <c r="J1275" i="2"/>
  <c r="J1449" i="3" s="1"/>
  <c r="H1275" i="2"/>
  <c r="M1275" i="2" s="1"/>
  <c r="J1274" i="2"/>
  <c r="H1274" i="2"/>
  <c r="J1273" i="2"/>
  <c r="J1447" i="3" s="1"/>
  <c r="H1273" i="2"/>
  <c r="M1273" i="2" s="1"/>
  <c r="J1272" i="2"/>
  <c r="H1272" i="2"/>
  <c r="J1271" i="2"/>
  <c r="J1445" i="3" s="1"/>
  <c r="H1271" i="2"/>
  <c r="M1271" i="2" s="1"/>
  <c r="J1270" i="2"/>
  <c r="H1270" i="2"/>
  <c r="M1270" i="2" s="1"/>
  <c r="J1269" i="2"/>
  <c r="J1443" i="3" s="1"/>
  <c r="H1269" i="2"/>
  <c r="M1269" i="2" s="1"/>
  <c r="J1268" i="2"/>
  <c r="H1268" i="2"/>
  <c r="J1267" i="2"/>
  <c r="J1441" i="3" s="1"/>
  <c r="H1267" i="2"/>
  <c r="M1267" i="2" s="1"/>
  <c r="J1266" i="2"/>
  <c r="H1266" i="2"/>
  <c r="J1265" i="2"/>
  <c r="J1439" i="3" s="1"/>
  <c r="H1265" i="2"/>
  <c r="M1265" i="2" s="1"/>
  <c r="J1264" i="2"/>
  <c r="H1264" i="2"/>
  <c r="M1264" i="2" s="1"/>
  <c r="J1263" i="2"/>
  <c r="J1437" i="3" s="1"/>
  <c r="H1263" i="2"/>
  <c r="M1263" i="2" s="1"/>
  <c r="J1262" i="2"/>
  <c r="H1262" i="2"/>
  <c r="J1261" i="2"/>
  <c r="J1435" i="3" s="1"/>
  <c r="H1261" i="2"/>
  <c r="M1261" i="2" s="1"/>
  <c r="J1260" i="2"/>
  <c r="H1260" i="2"/>
  <c r="J1259" i="2"/>
  <c r="J1433" i="3" s="1"/>
  <c r="H1259" i="2"/>
  <c r="M1259" i="2" s="1"/>
  <c r="J1258" i="2"/>
  <c r="H1258" i="2"/>
  <c r="M1258" i="2" s="1"/>
  <c r="J1257" i="2"/>
  <c r="J1431" i="3" s="1"/>
  <c r="H1257" i="2"/>
  <c r="M1257" i="2" s="1"/>
  <c r="J1256" i="2"/>
  <c r="H1256" i="2"/>
  <c r="J1255" i="2"/>
  <c r="J1429" i="3" s="1"/>
  <c r="H1255" i="2"/>
  <c r="M1255" i="2" s="1"/>
  <c r="J1254" i="2"/>
  <c r="H1254" i="2"/>
  <c r="J1253" i="2"/>
  <c r="J1427" i="3" s="1"/>
  <c r="H1253" i="2"/>
  <c r="M1253" i="2" s="1"/>
  <c r="J1252" i="2"/>
  <c r="H1252" i="2"/>
  <c r="M1252" i="2" s="1"/>
  <c r="J1251" i="2"/>
  <c r="J1425" i="3" s="1"/>
  <c r="H1251" i="2"/>
  <c r="M1251" i="2" s="1"/>
  <c r="J1250" i="2"/>
  <c r="H1250" i="2"/>
  <c r="J1249" i="2"/>
  <c r="J1423" i="3" s="1"/>
  <c r="H1249" i="2"/>
  <c r="M1249" i="2" s="1"/>
  <c r="J1248" i="2"/>
  <c r="H1248" i="2"/>
  <c r="J1247" i="2"/>
  <c r="J1421" i="3" s="1"/>
  <c r="H1247" i="2"/>
  <c r="M1247" i="2" s="1"/>
  <c r="J1246" i="2"/>
  <c r="H1246" i="2"/>
  <c r="M1246" i="2" s="1"/>
  <c r="J1245" i="2"/>
  <c r="J1419" i="3" s="1"/>
  <c r="H1245" i="2"/>
  <c r="M1245" i="2" s="1"/>
  <c r="J1244" i="2"/>
  <c r="H1244" i="2"/>
  <c r="J1243" i="2"/>
  <c r="J1417" i="3" s="1"/>
  <c r="H1243" i="2"/>
  <c r="M1243" i="2" s="1"/>
  <c r="J1242" i="2"/>
  <c r="H1242" i="2"/>
  <c r="J1241" i="2"/>
  <c r="J1415" i="3" s="1"/>
  <c r="H1241" i="2"/>
  <c r="M1241" i="2" s="1"/>
  <c r="J1240" i="2"/>
  <c r="H1240" i="2"/>
  <c r="M1240" i="2" s="1"/>
  <c r="J1239" i="2"/>
  <c r="J1413" i="3" s="1"/>
  <c r="H1239" i="2"/>
  <c r="M1239" i="2" s="1"/>
  <c r="J1238" i="2"/>
  <c r="H1238" i="2"/>
  <c r="L1237" i="2"/>
  <c r="K1237" i="2"/>
  <c r="H1237" i="2"/>
  <c r="M1237" i="2" s="1"/>
  <c r="J1236" i="2"/>
  <c r="J1410" i="3" s="1"/>
  <c r="H1236" i="2"/>
  <c r="M1236" i="2" s="1"/>
  <c r="J1235" i="2"/>
  <c r="J1409" i="3" s="1"/>
  <c r="H1235" i="2"/>
  <c r="M1235" i="2" s="1"/>
  <c r="J1234" i="2"/>
  <c r="J1408" i="3" s="1"/>
  <c r="H1234" i="2"/>
  <c r="M1234" i="2" s="1"/>
  <c r="J1233" i="2"/>
  <c r="J1407" i="3" s="1"/>
  <c r="H1233" i="2"/>
  <c r="M1233" i="2" s="1"/>
  <c r="J1232" i="2"/>
  <c r="J1406" i="3" s="1"/>
  <c r="H1232" i="2"/>
  <c r="M1232" i="2" s="1"/>
  <c r="J1231" i="2"/>
  <c r="J1405" i="3" s="1"/>
  <c r="H1231" i="2"/>
  <c r="M1231" i="2" s="1"/>
  <c r="J1230" i="2"/>
  <c r="J1404" i="3" s="1"/>
  <c r="H1230" i="2"/>
  <c r="M1230" i="2" s="1"/>
  <c r="J1229" i="2"/>
  <c r="J1403" i="3" s="1"/>
  <c r="H1229" i="2"/>
  <c r="M1229" i="2" s="1"/>
  <c r="J1228" i="2"/>
  <c r="J1402" i="3" s="1"/>
  <c r="H1228" i="2"/>
  <c r="M1228" i="2" s="1"/>
  <c r="J1227" i="2"/>
  <c r="J1401" i="3" s="1"/>
  <c r="H1227" i="2"/>
  <c r="M1227" i="2" s="1"/>
  <c r="J1226" i="2"/>
  <c r="J1400" i="3" s="1"/>
  <c r="H1226" i="2"/>
  <c r="M1226" i="2" s="1"/>
  <c r="J1225" i="2"/>
  <c r="J1399" i="3" s="1"/>
  <c r="H1225" i="2"/>
  <c r="M1225" i="2" s="1"/>
  <c r="J1224" i="2"/>
  <c r="J1398" i="3" s="1"/>
  <c r="H1224" i="2"/>
  <c r="M1224" i="2" s="1"/>
  <c r="J1223" i="2"/>
  <c r="J1397" i="3" s="1"/>
  <c r="H1223" i="2"/>
  <c r="M1223" i="2" s="1"/>
  <c r="J1222" i="2"/>
  <c r="J1396" i="3" s="1"/>
  <c r="H1222" i="2"/>
  <c r="M1222" i="2" s="1"/>
  <c r="J1221" i="2"/>
  <c r="J1395" i="3" s="1"/>
  <c r="H1221" i="2"/>
  <c r="M1221" i="2" s="1"/>
  <c r="J1220" i="2"/>
  <c r="J1394" i="3" s="1"/>
  <c r="H1220" i="2"/>
  <c r="M1220" i="2" s="1"/>
  <c r="J1219" i="2"/>
  <c r="J1393" i="3" s="1"/>
  <c r="H1219" i="2"/>
  <c r="M1219" i="2" s="1"/>
  <c r="J1218" i="2"/>
  <c r="J1392" i="3" s="1"/>
  <c r="H1218" i="2"/>
  <c r="M1218" i="2" s="1"/>
  <c r="J1217" i="2"/>
  <c r="J1391" i="3" s="1"/>
  <c r="H1217" i="2"/>
  <c r="M1217" i="2" s="1"/>
  <c r="J1216" i="2"/>
  <c r="J1390" i="3" s="1"/>
  <c r="H1216" i="2"/>
  <c r="M1216" i="2" s="1"/>
  <c r="J1215" i="2"/>
  <c r="J1389" i="3" s="1"/>
  <c r="H1215" i="2"/>
  <c r="M1215" i="2" s="1"/>
  <c r="J1214" i="2"/>
  <c r="J1388" i="3" s="1"/>
  <c r="H1214" i="2"/>
  <c r="M1214" i="2" s="1"/>
  <c r="J1213" i="2"/>
  <c r="J1387" i="3" s="1"/>
  <c r="H1213" i="2"/>
  <c r="M1213" i="2" s="1"/>
  <c r="J1212" i="2"/>
  <c r="J1386" i="3" s="1"/>
  <c r="H1212" i="2"/>
  <c r="M1212" i="2" s="1"/>
  <c r="J1211" i="2"/>
  <c r="J1385" i="3" s="1"/>
  <c r="H1211" i="2"/>
  <c r="M1211" i="2" s="1"/>
  <c r="J1210" i="2"/>
  <c r="J1384" i="3" s="1"/>
  <c r="H1210" i="2"/>
  <c r="M1210" i="2" s="1"/>
  <c r="J1209" i="2"/>
  <c r="J1383" i="3" s="1"/>
  <c r="H1209" i="2"/>
  <c r="M1209" i="2" s="1"/>
  <c r="J1208" i="2"/>
  <c r="J1382" i="3" s="1"/>
  <c r="H1208" i="2"/>
  <c r="M1208" i="2" s="1"/>
  <c r="J1207" i="2"/>
  <c r="J1381" i="3" s="1"/>
  <c r="H1207" i="2"/>
  <c r="M1207" i="2" s="1"/>
  <c r="J1206" i="2"/>
  <c r="J1380" i="3" s="1"/>
  <c r="H1206" i="2"/>
  <c r="M1206" i="2" s="1"/>
  <c r="J1205" i="2"/>
  <c r="J1379" i="3" s="1"/>
  <c r="H1205" i="2"/>
  <c r="M1205" i="2" s="1"/>
  <c r="J1204" i="2"/>
  <c r="J1378" i="3" s="1"/>
  <c r="H1204" i="2"/>
  <c r="M1204" i="2" s="1"/>
  <c r="J1203" i="2"/>
  <c r="J1377" i="3" s="1"/>
  <c r="H1203" i="2"/>
  <c r="M1203" i="2" s="1"/>
  <c r="J1202" i="2"/>
  <c r="J1376" i="3" s="1"/>
  <c r="H1202" i="2"/>
  <c r="M1202" i="2" s="1"/>
  <c r="J1201" i="2"/>
  <c r="J1375" i="3" s="1"/>
  <c r="H1201" i="2"/>
  <c r="M1201" i="2" s="1"/>
  <c r="J1200" i="2"/>
  <c r="J1374" i="3" s="1"/>
  <c r="H1200" i="2"/>
  <c r="M1200" i="2" s="1"/>
  <c r="J1199" i="2"/>
  <c r="J1373" i="3" s="1"/>
  <c r="H1199" i="2"/>
  <c r="M1199" i="2" s="1"/>
  <c r="J1198" i="2"/>
  <c r="J1372" i="3" s="1"/>
  <c r="H1198" i="2"/>
  <c r="M1198" i="2" s="1"/>
  <c r="J1197" i="2"/>
  <c r="J1371" i="3" s="1"/>
  <c r="H1197" i="2"/>
  <c r="M1197" i="2" s="1"/>
  <c r="J1196" i="2"/>
  <c r="J1370" i="3" s="1"/>
  <c r="H1196" i="2"/>
  <c r="M1196" i="2" s="1"/>
  <c r="J1195" i="2"/>
  <c r="J1369" i="3" s="1"/>
  <c r="H1195" i="2"/>
  <c r="M1195" i="2" s="1"/>
  <c r="J1194" i="2"/>
  <c r="J1368" i="3" s="1"/>
  <c r="H1194" i="2"/>
  <c r="M1194" i="2" s="1"/>
  <c r="J1193" i="2"/>
  <c r="J1367" i="3" s="1"/>
  <c r="H1193" i="2"/>
  <c r="M1193" i="2" s="1"/>
  <c r="J1192" i="2"/>
  <c r="J1366" i="3" s="1"/>
  <c r="H1192" i="2"/>
  <c r="M1192" i="2" s="1"/>
  <c r="J1191" i="2"/>
  <c r="J1365" i="3" s="1"/>
  <c r="H1191" i="2"/>
  <c r="M1191" i="2" s="1"/>
  <c r="J1190" i="2"/>
  <c r="J1364" i="3" s="1"/>
  <c r="H1190" i="2"/>
  <c r="M1190" i="2" s="1"/>
  <c r="J1189" i="2"/>
  <c r="J1363" i="3" s="1"/>
  <c r="H1189" i="2"/>
  <c r="M1189" i="2" s="1"/>
  <c r="J1188" i="2"/>
  <c r="J1362" i="3" s="1"/>
  <c r="H1188" i="2"/>
  <c r="M1188" i="2" s="1"/>
  <c r="J1187" i="2"/>
  <c r="J1361" i="3" s="1"/>
  <c r="H1187" i="2"/>
  <c r="M1187" i="2" s="1"/>
  <c r="J1186" i="2"/>
  <c r="J1360" i="3" s="1"/>
  <c r="H1186" i="2"/>
  <c r="M1186" i="2" s="1"/>
  <c r="J1185" i="2"/>
  <c r="J1359" i="3" s="1"/>
  <c r="H1185" i="2"/>
  <c r="M1185" i="2" s="1"/>
  <c r="J1184" i="2"/>
  <c r="J1358" i="3" s="1"/>
  <c r="H1184" i="2"/>
  <c r="M1184" i="2" s="1"/>
  <c r="J1183" i="2"/>
  <c r="J1357" i="3" s="1"/>
  <c r="H1183" i="2"/>
  <c r="M1183" i="2" s="1"/>
  <c r="J1182" i="2"/>
  <c r="J1356" i="3" s="1"/>
  <c r="H1182" i="2"/>
  <c r="M1182" i="2" s="1"/>
  <c r="J1181" i="2"/>
  <c r="J1355" i="3" s="1"/>
  <c r="H1181" i="2"/>
  <c r="M1181" i="2" s="1"/>
  <c r="J1180" i="2"/>
  <c r="J1354" i="3" s="1"/>
  <c r="H1180" i="2"/>
  <c r="M1180" i="2" s="1"/>
  <c r="J1179" i="2"/>
  <c r="J1353" i="3" s="1"/>
  <c r="H1179" i="2"/>
  <c r="M1179" i="2" s="1"/>
  <c r="J1178" i="2"/>
  <c r="J1352" i="3" s="1"/>
  <c r="H1178" i="2"/>
  <c r="M1178" i="2" s="1"/>
  <c r="J1177" i="2"/>
  <c r="J1351" i="3" s="1"/>
  <c r="H1177" i="2"/>
  <c r="M1177" i="2" s="1"/>
  <c r="J1176" i="2"/>
  <c r="J1350" i="3" s="1"/>
  <c r="H1176" i="2"/>
  <c r="M1176" i="2" s="1"/>
  <c r="J1175" i="2"/>
  <c r="J1349" i="3" s="1"/>
  <c r="H1175" i="2"/>
  <c r="M1175" i="2" s="1"/>
  <c r="J1174" i="2"/>
  <c r="J1348" i="3" s="1"/>
  <c r="H1174" i="2"/>
  <c r="M1174" i="2" s="1"/>
  <c r="J1173" i="2"/>
  <c r="J1347" i="3" s="1"/>
  <c r="H1173" i="2"/>
  <c r="M1173" i="2" s="1"/>
  <c r="J1172" i="2"/>
  <c r="J1346" i="3" s="1"/>
  <c r="H1172" i="2"/>
  <c r="M1172" i="2" s="1"/>
  <c r="J1171" i="2"/>
  <c r="J1345" i="3" s="1"/>
  <c r="H1171" i="2"/>
  <c r="M1171" i="2" s="1"/>
  <c r="J1170" i="2"/>
  <c r="J1344" i="3" s="1"/>
  <c r="H1170" i="2"/>
  <c r="M1170" i="2" s="1"/>
  <c r="J1169" i="2"/>
  <c r="J1343" i="3" s="1"/>
  <c r="H1169" i="2"/>
  <c r="M1169" i="2" s="1"/>
  <c r="J1168" i="2"/>
  <c r="J1342" i="3" s="1"/>
  <c r="H1168" i="2"/>
  <c r="M1168" i="2" s="1"/>
  <c r="J1167" i="2"/>
  <c r="J1341" i="3" s="1"/>
  <c r="H1167" i="2"/>
  <c r="M1167" i="2" s="1"/>
  <c r="J1166" i="2"/>
  <c r="J1340" i="3" s="1"/>
  <c r="H1166" i="2"/>
  <c r="M1166" i="2" s="1"/>
  <c r="J1165" i="2"/>
  <c r="J1339" i="3" s="1"/>
  <c r="H1165" i="2"/>
  <c r="M1165" i="2" s="1"/>
  <c r="J1164" i="2"/>
  <c r="J1338" i="3" s="1"/>
  <c r="H1164" i="2"/>
  <c r="M1164" i="2" s="1"/>
  <c r="J1163" i="2"/>
  <c r="J1337" i="3" s="1"/>
  <c r="H1163" i="2"/>
  <c r="M1163" i="2" s="1"/>
  <c r="J1162" i="2"/>
  <c r="J1336" i="3" s="1"/>
  <c r="H1162" i="2"/>
  <c r="M1162" i="2" s="1"/>
  <c r="J1161" i="2"/>
  <c r="J1335" i="3" s="1"/>
  <c r="H1161" i="2"/>
  <c r="M1161" i="2" s="1"/>
  <c r="J1160" i="2"/>
  <c r="J1334" i="3" s="1"/>
  <c r="H1160" i="2"/>
  <c r="M1160" i="2" s="1"/>
  <c r="J1159" i="2"/>
  <c r="J1333" i="3" s="1"/>
  <c r="H1159" i="2"/>
  <c r="M1159" i="2" s="1"/>
  <c r="J1158" i="2"/>
  <c r="J1332" i="3" s="1"/>
  <c r="H1158" i="2"/>
  <c r="M1158" i="2" s="1"/>
  <c r="J1157" i="2"/>
  <c r="J1331" i="3" s="1"/>
  <c r="H1157" i="2"/>
  <c r="M1157" i="2" s="1"/>
  <c r="J1156" i="2"/>
  <c r="J1330" i="3" s="1"/>
  <c r="H1156" i="2"/>
  <c r="M1156" i="2" s="1"/>
  <c r="J1155" i="2"/>
  <c r="J1329" i="3" s="1"/>
  <c r="H1155" i="2"/>
  <c r="M1155" i="2" s="1"/>
  <c r="J1154" i="2"/>
  <c r="H1154" i="2"/>
  <c r="M1154" i="2" s="1"/>
  <c r="J1153" i="2"/>
  <c r="J1327" i="3" s="1"/>
  <c r="H1153" i="2"/>
  <c r="M1153" i="2" s="1"/>
  <c r="J1152" i="2"/>
  <c r="H1152" i="2"/>
  <c r="M1152" i="2" s="1"/>
  <c r="J1151" i="2"/>
  <c r="H1151" i="2"/>
  <c r="J1150" i="2"/>
  <c r="H1150" i="2"/>
  <c r="M1150" i="2" s="1"/>
  <c r="J1149" i="2"/>
  <c r="H1149" i="2"/>
  <c r="J1148" i="2"/>
  <c r="H1148" i="2"/>
  <c r="M1148" i="2" s="1"/>
  <c r="J1147" i="2"/>
  <c r="H1147" i="2"/>
  <c r="M1147" i="2" s="1"/>
  <c r="J1146" i="2"/>
  <c r="H1146" i="2"/>
  <c r="M1146" i="2" s="1"/>
  <c r="J1145" i="2"/>
  <c r="H1145" i="2"/>
  <c r="J1144" i="2"/>
  <c r="H1144" i="2"/>
  <c r="M1144" i="2" s="1"/>
  <c r="J1143" i="2"/>
  <c r="H1143" i="2"/>
  <c r="J1142" i="2"/>
  <c r="H1142" i="2"/>
  <c r="M1142" i="2" s="1"/>
  <c r="J1141" i="2"/>
  <c r="H1141" i="2"/>
  <c r="M1141" i="2" s="1"/>
  <c r="J1140" i="2"/>
  <c r="H1140" i="2"/>
  <c r="M1140" i="2" s="1"/>
  <c r="J1139" i="2"/>
  <c r="H1139" i="2"/>
  <c r="J1138" i="2"/>
  <c r="H1138" i="2"/>
  <c r="M1138" i="2" s="1"/>
  <c r="J1137" i="2"/>
  <c r="H1137" i="2"/>
  <c r="J1136" i="2"/>
  <c r="H1136" i="2"/>
  <c r="M1136" i="2" s="1"/>
  <c r="J1135" i="2"/>
  <c r="H1135" i="2"/>
  <c r="M1135" i="2" s="1"/>
  <c r="J1134" i="2"/>
  <c r="H1134" i="2"/>
  <c r="M1134" i="2" s="1"/>
  <c r="J1133" i="2"/>
  <c r="H1133" i="2"/>
  <c r="J1132" i="2"/>
  <c r="H1132" i="2"/>
  <c r="M1132" i="2" s="1"/>
  <c r="J1131" i="2"/>
  <c r="H1131" i="2"/>
  <c r="J1130" i="2"/>
  <c r="H1130" i="2"/>
  <c r="M1130" i="2" s="1"/>
  <c r="J1129" i="2"/>
  <c r="H1129" i="2"/>
  <c r="M1129" i="2" s="1"/>
  <c r="J1128" i="2"/>
  <c r="H1128" i="2"/>
  <c r="M1128" i="2" s="1"/>
  <c r="J1127" i="2"/>
  <c r="H1127" i="2"/>
  <c r="J1126" i="2"/>
  <c r="H1126" i="2"/>
  <c r="M1126" i="2" s="1"/>
  <c r="J1125" i="2"/>
  <c r="H1125" i="2"/>
  <c r="J1124" i="2"/>
  <c r="H1124" i="2"/>
  <c r="M1124" i="2" s="1"/>
  <c r="J1123" i="2"/>
  <c r="H1123" i="2"/>
  <c r="M1123" i="2" s="1"/>
  <c r="J1122" i="2"/>
  <c r="H1122" i="2"/>
  <c r="M1122" i="2" s="1"/>
  <c r="J1121" i="2"/>
  <c r="H1121" i="2"/>
  <c r="J1120" i="2"/>
  <c r="H1120" i="2"/>
  <c r="M1120" i="2" s="1"/>
  <c r="J1119" i="2"/>
  <c r="H1119" i="2"/>
  <c r="J1118" i="2"/>
  <c r="H1118" i="2"/>
  <c r="M1118" i="2" s="1"/>
  <c r="J1117" i="2"/>
  <c r="H1117" i="2"/>
  <c r="M1117" i="2" s="1"/>
  <c r="J1116" i="2"/>
  <c r="H1116" i="2"/>
  <c r="M1116" i="2" s="1"/>
  <c r="J1115" i="2"/>
  <c r="H1115" i="2"/>
  <c r="J1114" i="2"/>
  <c r="H1114" i="2"/>
  <c r="M1114" i="2" s="1"/>
  <c r="J1113" i="2"/>
  <c r="H1113" i="2"/>
  <c r="J1112" i="2"/>
  <c r="H1112" i="2"/>
  <c r="M1112" i="2" s="1"/>
  <c r="J1111" i="2"/>
  <c r="H1111" i="2"/>
  <c r="M1111" i="2" s="1"/>
  <c r="J1110" i="2"/>
  <c r="H1110" i="2"/>
  <c r="M1110" i="2" s="1"/>
  <c r="J1109" i="2"/>
  <c r="H1109" i="2"/>
  <c r="J1108" i="2"/>
  <c r="H1108" i="2"/>
  <c r="M1108" i="2" s="1"/>
  <c r="J1107" i="2"/>
  <c r="H1107" i="2"/>
  <c r="J1106" i="2"/>
  <c r="H1106" i="2"/>
  <c r="M1106" i="2" s="1"/>
  <c r="J1105" i="2"/>
  <c r="H1105" i="2"/>
  <c r="M1105" i="2" s="1"/>
  <c r="J1104" i="2"/>
  <c r="H1104" i="2"/>
  <c r="M1104" i="2" s="1"/>
  <c r="J1103" i="2"/>
  <c r="H1103" i="2"/>
  <c r="J1102" i="2"/>
  <c r="H1102" i="2"/>
  <c r="M1102" i="2" s="1"/>
  <c r="J1101" i="2"/>
  <c r="H1101" i="2"/>
  <c r="J1100" i="2"/>
  <c r="H1100" i="2"/>
  <c r="M1100" i="2" s="1"/>
  <c r="J1099" i="2"/>
  <c r="H1099" i="2"/>
  <c r="M1099" i="2" s="1"/>
  <c r="J1098" i="2"/>
  <c r="H1098" i="2"/>
  <c r="M1098" i="2" s="1"/>
  <c r="J1097" i="2"/>
  <c r="H1097" i="2"/>
  <c r="J1096" i="2"/>
  <c r="H1096" i="2"/>
  <c r="M1096" i="2" s="1"/>
  <c r="J1095" i="2"/>
  <c r="H1095" i="2"/>
  <c r="L1094" i="2"/>
  <c r="H1094" i="2"/>
  <c r="M1093" i="2"/>
  <c r="L1093" i="2"/>
  <c r="J1093" i="2"/>
  <c r="J1267" i="3" s="1"/>
  <c r="H1093" i="2"/>
  <c r="M1092" i="2"/>
  <c r="L1092" i="2"/>
  <c r="J1092" i="2"/>
  <c r="J1266" i="3" s="1"/>
  <c r="H1092" i="2"/>
  <c r="M1091" i="2"/>
  <c r="L1091" i="2"/>
  <c r="J1091" i="2"/>
  <c r="J1265" i="3" s="1"/>
  <c r="H1091" i="2"/>
  <c r="M1090" i="2"/>
  <c r="L1090" i="2"/>
  <c r="J1090" i="2"/>
  <c r="J1264" i="3" s="1"/>
  <c r="H1090" i="2"/>
  <c r="M1089" i="2"/>
  <c r="L1089" i="2"/>
  <c r="J1089" i="2"/>
  <c r="J1263" i="3" s="1"/>
  <c r="H1089" i="2"/>
  <c r="M1088" i="2"/>
  <c r="L1088" i="2"/>
  <c r="J1088" i="2"/>
  <c r="J1262" i="3" s="1"/>
  <c r="H1088" i="2"/>
  <c r="M1087" i="2"/>
  <c r="L1087" i="2"/>
  <c r="J1087" i="2"/>
  <c r="J1261" i="3" s="1"/>
  <c r="H1087" i="2"/>
  <c r="M1086" i="2"/>
  <c r="L1086" i="2"/>
  <c r="J1086" i="2"/>
  <c r="J1260" i="3" s="1"/>
  <c r="H1086" i="2"/>
  <c r="M1085" i="2"/>
  <c r="L1085" i="2"/>
  <c r="J1085" i="2"/>
  <c r="J1259" i="3" s="1"/>
  <c r="H1085" i="2"/>
  <c r="M1084" i="2"/>
  <c r="L1084" i="2"/>
  <c r="J1084" i="2"/>
  <c r="J1258" i="3" s="1"/>
  <c r="H1084" i="2"/>
  <c r="M1083" i="2"/>
  <c r="L1083" i="2"/>
  <c r="J1083" i="2"/>
  <c r="J1257" i="3" s="1"/>
  <c r="H1083" i="2"/>
  <c r="M1082" i="2"/>
  <c r="L1082" i="2"/>
  <c r="J1082" i="2"/>
  <c r="J1256" i="3" s="1"/>
  <c r="H1082" i="2"/>
  <c r="M1081" i="2"/>
  <c r="L1081" i="2"/>
  <c r="J1081" i="2"/>
  <c r="J1255" i="3" s="1"/>
  <c r="H1081" i="2"/>
  <c r="M1080" i="2"/>
  <c r="L1080" i="2"/>
  <c r="J1080" i="2"/>
  <c r="J1254" i="3" s="1"/>
  <c r="H1080" i="2"/>
  <c r="M1079" i="2"/>
  <c r="L1079" i="2"/>
  <c r="J1079" i="2"/>
  <c r="J1253" i="3" s="1"/>
  <c r="H1079" i="2"/>
  <c r="M1078" i="2"/>
  <c r="L1078" i="2"/>
  <c r="J1078" i="2"/>
  <c r="J1252" i="3" s="1"/>
  <c r="H1078" i="2"/>
  <c r="M1077" i="2"/>
  <c r="L1077" i="2"/>
  <c r="J1077" i="2"/>
  <c r="J1251" i="3" s="1"/>
  <c r="H1077" i="2"/>
  <c r="M1076" i="2"/>
  <c r="L1076" i="2"/>
  <c r="J1076" i="2"/>
  <c r="J1250" i="3" s="1"/>
  <c r="H1076" i="2"/>
  <c r="M1075" i="2"/>
  <c r="L1075" i="2"/>
  <c r="J1075" i="2"/>
  <c r="J1249" i="3" s="1"/>
  <c r="H1075" i="2"/>
  <c r="H1074" i="2"/>
  <c r="L1073" i="2"/>
  <c r="K1073" i="2"/>
  <c r="J1073" i="2"/>
  <c r="J1247" i="3" s="1"/>
  <c r="H1073" i="2"/>
  <c r="M1073" i="2" s="1"/>
  <c r="L1072" i="2"/>
  <c r="K1072" i="2"/>
  <c r="J1072" i="2"/>
  <c r="J1246" i="3" s="1"/>
  <c r="H1072" i="2"/>
  <c r="M1072" i="2" s="1"/>
  <c r="L1071" i="2"/>
  <c r="K1071" i="2"/>
  <c r="J1071" i="2"/>
  <c r="J1245" i="3" s="1"/>
  <c r="H1071" i="2"/>
  <c r="M1071" i="2" s="1"/>
  <c r="L1070" i="2"/>
  <c r="K1070" i="2"/>
  <c r="H1070" i="2"/>
  <c r="M1070" i="2" s="1"/>
  <c r="M1069" i="2"/>
  <c r="K1069" i="2"/>
  <c r="J1069" i="2"/>
  <c r="J1243" i="3" s="1"/>
  <c r="H1069" i="2"/>
  <c r="M1068" i="2"/>
  <c r="J1068" i="2"/>
  <c r="J1242" i="3" s="1"/>
  <c r="H1068" i="2"/>
  <c r="M1067" i="2"/>
  <c r="J1067" i="2"/>
  <c r="J1241" i="3" s="1"/>
  <c r="H1067" i="2"/>
  <c r="M1066" i="2"/>
  <c r="J1066" i="2"/>
  <c r="J1240" i="3" s="1"/>
  <c r="H1066" i="2"/>
  <c r="M1065" i="2"/>
  <c r="L1065" i="2"/>
  <c r="K1065" i="2"/>
  <c r="H1065" i="2"/>
  <c r="M1064" i="2"/>
  <c r="L1064" i="2"/>
  <c r="J1064" i="2"/>
  <c r="J1238" i="3" s="1"/>
  <c r="H1064" i="2"/>
  <c r="M1063" i="2"/>
  <c r="L1063" i="2"/>
  <c r="J1063" i="2"/>
  <c r="J1237" i="3" s="1"/>
  <c r="H1063" i="2"/>
  <c r="M1062" i="2"/>
  <c r="L1062" i="2"/>
  <c r="J1062" i="2"/>
  <c r="J1236" i="3" s="1"/>
  <c r="H1062" i="2"/>
  <c r="M1061" i="2"/>
  <c r="L1061" i="2"/>
  <c r="J1061" i="2"/>
  <c r="J1235" i="3" s="1"/>
  <c r="H1061" i="2"/>
  <c r="M1060" i="2"/>
  <c r="L1060" i="2"/>
  <c r="J1060" i="2"/>
  <c r="J1234" i="3" s="1"/>
  <c r="H1060" i="2"/>
  <c r="M1059" i="2"/>
  <c r="L1059" i="2"/>
  <c r="J1059" i="2"/>
  <c r="J1233" i="3" s="1"/>
  <c r="H1059" i="2"/>
  <c r="M1058" i="2"/>
  <c r="L1058" i="2"/>
  <c r="J1058" i="2"/>
  <c r="J1232" i="3" s="1"/>
  <c r="H1058" i="2"/>
  <c r="M1057" i="2"/>
  <c r="L1057" i="2"/>
  <c r="J1057" i="2"/>
  <c r="J1231" i="3" s="1"/>
  <c r="H1057" i="2"/>
  <c r="M1056" i="2"/>
  <c r="L1056" i="2"/>
  <c r="J1056" i="2"/>
  <c r="J1230" i="3" s="1"/>
  <c r="H1056" i="2"/>
  <c r="M1055" i="2"/>
  <c r="L1055" i="2"/>
  <c r="J1055" i="2"/>
  <c r="J1229" i="3" s="1"/>
  <c r="H1055" i="2"/>
  <c r="M1054" i="2"/>
  <c r="L1054" i="2"/>
  <c r="J1054" i="2"/>
  <c r="J1228" i="3" s="1"/>
  <c r="H1054" i="2"/>
  <c r="M1053" i="2"/>
  <c r="L1053" i="2"/>
  <c r="J1053" i="2"/>
  <c r="J1227" i="3" s="1"/>
  <c r="H1053" i="2"/>
  <c r="H1052" i="2"/>
  <c r="L1051" i="2"/>
  <c r="K1051" i="2"/>
  <c r="J1051" i="2"/>
  <c r="J1225" i="3" s="1"/>
  <c r="H1051" i="2"/>
  <c r="M1051" i="2" s="1"/>
  <c r="L1050" i="2"/>
  <c r="K1050" i="2"/>
  <c r="J1050" i="2"/>
  <c r="J1224" i="3" s="1"/>
  <c r="H1050" i="2"/>
  <c r="M1050" i="2" s="1"/>
  <c r="L1049" i="2"/>
  <c r="K1049" i="2"/>
  <c r="J1049" i="2"/>
  <c r="J1223" i="3" s="1"/>
  <c r="H1049" i="2"/>
  <c r="M1049" i="2" s="1"/>
  <c r="L1048" i="2"/>
  <c r="K1048" i="2"/>
  <c r="J1048" i="2"/>
  <c r="J1222" i="3" s="1"/>
  <c r="H1048" i="2"/>
  <c r="M1048" i="2" s="1"/>
  <c r="L1047" i="2"/>
  <c r="K1047" i="2"/>
  <c r="H1047" i="2"/>
  <c r="M1047" i="2" s="1"/>
  <c r="M1046" i="2"/>
  <c r="K1046" i="2"/>
  <c r="J1046" i="2"/>
  <c r="J1220" i="3" s="1"/>
  <c r="H1046" i="2"/>
  <c r="M1045" i="2"/>
  <c r="J1045" i="2"/>
  <c r="J1219" i="3" s="1"/>
  <c r="H1045" i="2"/>
  <c r="M1044" i="2"/>
  <c r="K1044" i="2"/>
  <c r="J1044" i="2"/>
  <c r="J1218" i="3" s="1"/>
  <c r="H1044" i="2"/>
  <c r="M1043" i="2"/>
  <c r="J1043" i="2"/>
  <c r="J1217" i="3" s="1"/>
  <c r="H1043" i="2"/>
  <c r="M1042" i="2"/>
  <c r="K1042" i="2"/>
  <c r="J1042" i="2"/>
  <c r="J1216" i="3" s="1"/>
  <c r="H1042" i="2"/>
  <c r="M1041" i="2"/>
  <c r="J1041" i="2"/>
  <c r="J1215" i="3" s="1"/>
  <c r="H1041" i="2"/>
  <c r="M1040" i="2"/>
  <c r="K1040" i="2"/>
  <c r="J1040" i="2"/>
  <c r="J1214" i="3" s="1"/>
  <c r="H1040" i="2"/>
  <c r="M1039" i="2"/>
  <c r="J1039" i="2"/>
  <c r="J1213" i="3" s="1"/>
  <c r="H1039" i="2"/>
  <c r="M1038" i="2"/>
  <c r="K1038" i="2"/>
  <c r="J1038" i="2"/>
  <c r="J1212" i="3" s="1"/>
  <c r="H1038" i="2"/>
  <c r="M1037" i="2"/>
  <c r="J1037" i="2"/>
  <c r="J1211" i="3" s="1"/>
  <c r="H1037" i="2"/>
  <c r="J1036" i="2"/>
  <c r="M1036" i="2" s="1"/>
  <c r="H1036" i="2"/>
  <c r="J1035" i="2"/>
  <c r="H1035" i="2"/>
  <c r="M1034" i="2"/>
  <c r="K1034" i="2"/>
  <c r="J1034" i="2"/>
  <c r="H1034" i="2"/>
  <c r="M1033" i="2"/>
  <c r="J1033" i="2"/>
  <c r="H1033" i="2"/>
  <c r="M1032" i="2"/>
  <c r="K1032" i="2"/>
  <c r="J1032" i="2"/>
  <c r="H1032" i="2"/>
  <c r="M1031" i="2"/>
  <c r="J1031" i="2"/>
  <c r="H1031" i="2"/>
  <c r="H1030" i="2"/>
  <c r="M1029" i="2"/>
  <c r="J1029" i="2"/>
  <c r="H1029" i="2"/>
  <c r="J1028" i="2"/>
  <c r="H1028" i="2"/>
  <c r="M1028" i="2" s="1"/>
  <c r="L1027" i="2"/>
  <c r="J1027" i="2"/>
  <c r="H1027" i="2"/>
  <c r="M1027" i="2" s="1"/>
  <c r="J1026" i="2"/>
  <c r="H1026" i="2"/>
  <c r="M1025" i="2"/>
  <c r="L1025" i="2"/>
  <c r="J1025" i="2"/>
  <c r="H1025" i="2"/>
  <c r="L1024" i="2"/>
  <c r="J1024" i="2"/>
  <c r="H1024" i="2"/>
  <c r="L1023" i="2"/>
  <c r="J1023" i="2"/>
  <c r="H1023" i="2"/>
  <c r="M1023" i="2" s="1"/>
  <c r="J1022" i="2"/>
  <c r="H1022" i="2"/>
  <c r="J1021" i="2"/>
  <c r="H1021" i="2"/>
  <c r="M1021" i="2" s="1"/>
  <c r="L1020" i="2"/>
  <c r="J1020" i="2"/>
  <c r="H1020" i="2"/>
  <c r="M1020" i="2" s="1"/>
  <c r="L1019" i="2"/>
  <c r="J1019" i="2"/>
  <c r="H1019" i="2"/>
  <c r="M1019" i="2" s="1"/>
  <c r="L1018" i="2"/>
  <c r="K1018" i="2"/>
  <c r="H1018" i="2"/>
  <c r="M1018" i="2" s="1"/>
  <c r="L1017" i="2"/>
  <c r="K1017" i="2"/>
  <c r="J1017" i="2"/>
  <c r="J1191" i="3" s="1"/>
  <c r="H1017" i="2"/>
  <c r="M1017" i="2" s="1"/>
  <c r="L1016" i="2"/>
  <c r="K1016" i="2"/>
  <c r="J1016" i="2"/>
  <c r="J1190" i="3" s="1"/>
  <c r="H1016" i="2"/>
  <c r="M1016" i="2" s="1"/>
  <c r="L1015" i="2"/>
  <c r="K1015" i="2"/>
  <c r="J1015" i="2"/>
  <c r="J1189" i="3" s="1"/>
  <c r="H1015" i="2"/>
  <c r="M1015" i="2" s="1"/>
  <c r="L1014" i="2"/>
  <c r="K1014" i="2"/>
  <c r="J1014" i="2"/>
  <c r="J1188" i="3" s="1"/>
  <c r="H1014" i="2"/>
  <c r="M1014" i="2" s="1"/>
  <c r="L1013" i="2"/>
  <c r="K1013" i="2"/>
  <c r="J1013" i="2"/>
  <c r="J1187" i="3" s="1"/>
  <c r="H1013" i="2"/>
  <c r="M1013" i="2" s="1"/>
  <c r="L1012" i="2"/>
  <c r="K1012" i="2"/>
  <c r="J1012" i="2"/>
  <c r="J1186" i="3" s="1"/>
  <c r="H1012" i="2"/>
  <c r="M1012" i="2" s="1"/>
  <c r="L1011" i="2"/>
  <c r="K1011" i="2"/>
  <c r="J1011" i="2"/>
  <c r="J1185" i="3" s="1"/>
  <c r="H1011" i="2"/>
  <c r="M1011" i="2" s="1"/>
  <c r="L1010" i="2"/>
  <c r="K1010" i="2"/>
  <c r="J1010" i="2"/>
  <c r="J1184" i="3" s="1"/>
  <c r="H1010" i="2"/>
  <c r="M1010" i="2" s="1"/>
  <c r="L1009" i="2"/>
  <c r="K1009" i="2"/>
  <c r="J1009" i="2"/>
  <c r="J1183" i="3" s="1"/>
  <c r="H1009" i="2"/>
  <c r="M1009" i="2" s="1"/>
  <c r="L1008" i="2"/>
  <c r="K1008" i="2"/>
  <c r="J1008" i="2"/>
  <c r="J1182" i="3" s="1"/>
  <c r="H1008" i="2"/>
  <c r="M1008" i="2" s="1"/>
  <c r="L1007" i="2"/>
  <c r="K1007" i="2"/>
  <c r="J1007" i="2"/>
  <c r="J1181" i="3" s="1"/>
  <c r="H1007" i="2"/>
  <c r="M1007" i="2" s="1"/>
  <c r="L1006" i="2"/>
  <c r="K1006" i="2"/>
  <c r="J1006" i="2"/>
  <c r="J1180" i="3" s="1"/>
  <c r="H1006" i="2"/>
  <c r="M1006" i="2" s="1"/>
  <c r="L1005" i="2"/>
  <c r="K1005" i="2"/>
  <c r="J1005" i="2"/>
  <c r="J1179" i="3" s="1"/>
  <c r="H1005" i="2"/>
  <c r="M1005" i="2" s="1"/>
  <c r="L1004" i="2"/>
  <c r="K1004" i="2"/>
  <c r="J1004" i="2"/>
  <c r="J1178" i="3" s="1"/>
  <c r="H1004" i="2"/>
  <c r="M1004" i="2" s="1"/>
  <c r="L1003" i="2"/>
  <c r="K1003" i="2"/>
  <c r="J1003" i="2"/>
  <c r="J1177" i="3" s="1"/>
  <c r="H1003" i="2"/>
  <c r="M1003" i="2" s="1"/>
  <c r="L1002" i="2"/>
  <c r="K1002" i="2"/>
  <c r="J1002" i="2"/>
  <c r="J1176" i="3" s="1"/>
  <c r="H1002" i="2"/>
  <c r="M1002" i="2" s="1"/>
  <c r="L1001" i="2"/>
  <c r="K1001" i="2"/>
  <c r="J1001" i="2"/>
  <c r="J1175" i="3" s="1"/>
  <c r="H1001" i="2"/>
  <c r="M1001" i="2" s="1"/>
  <c r="L1000" i="2"/>
  <c r="K1000" i="2"/>
  <c r="J1000" i="2"/>
  <c r="J1174" i="3" s="1"/>
  <c r="H1000" i="2"/>
  <c r="M1000" i="2" s="1"/>
  <c r="L999" i="2"/>
  <c r="K999" i="2"/>
  <c r="J999" i="2"/>
  <c r="J1173" i="3" s="1"/>
  <c r="H999" i="2"/>
  <c r="M999" i="2" s="1"/>
  <c r="L998" i="2"/>
  <c r="K998" i="2"/>
  <c r="J998" i="2"/>
  <c r="J1172" i="3" s="1"/>
  <c r="H998" i="2"/>
  <c r="M998" i="2" s="1"/>
  <c r="L997" i="2"/>
  <c r="K997" i="2"/>
  <c r="J997" i="2"/>
  <c r="J1171" i="3" s="1"/>
  <c r="H997" i="2"/>
  <c r="M997" i="2" s="1"/>
  <c r="L996" i="2"/>
  <c r="K996" i="2"/>
  <c r="J996" i="2"/>
  <c r="J1170" i="3" s="1"/>
  <c r="H996" i="2"/>
  <c r="M996" i="2" s="1"/>
  <c r="L995" i="2"/>
  <c r="K995" i="2"/>
  <c r="J995" i="2"/>
  <c r="J1169" i="3" s="1"/>
  <c r="H995" i="2"/>
  <c r="M995" i="2" s="1"/>
  <c r="L994" i="2"/>
  <c r="K994" i="2"/>
  <c r="J994" i="2"/>
  <c r="J1168" i="3" s="1"/>
  <c r="H994" i="2"/>
  <c r="M994" i="2" s="1"/>
  <c r="L993" i="2"/>
  <c r="K993" i="2"/>
  <c r="J993" i="2"/>
  <c r="J1167" i="3" s="1"/>
  <c r="H993" i="2"/>
  <c r="M993" i="2" s="1"/>
  <c r="K992" i="2"/>
  <c r="J992" i="2"/>
  <c r="J1166" i="3" s="1"/>
  <c r="H992" i="2"/>
  <c r="M992" i="2" s="1"/>
  <c r="L991" i="2"/>
  <c r="K991" i="2"/>
  <c r="J991" i="2"/>
  <c r="J1165" i="3" s="1"/>
  <c r="H991" i="2"/>
  <c r="M991" i="2" s="1"/>
  <c r="K990" i="2"/>
  <c r="J990" i="2"/>
  <c r="J1164" i="3" s="1"/>
  <c r="H990" i="2"/>
  <c r="M990" i="2" s="1"/>
  <c r="L989" i="2"/>
  <c r="K989" i="2"/>
  <c r="J989" i="2"/>
  <c r="J1163" i="3" s="1"/>
  <c r="H989" i="2"/>
  <c r="M989" i="2" s="1"/>
  <c r="L988" i="2"/>
  <c r="K988" i="2"/>
  <c r="J988" i="2"/>
  <c r="J1162" i="3" s="1"/>
  <c r="H988" i="2"/>
  <c r="M988" i="2" s="1"/>
  <c r="L987" i="2"/>
  <c r="K987" i="2"/>
  <c r="J987" i="2"/>
  <c r="J1161" i="3" s="1"/>
  <c r="H987" i="2"/>
  <c r="M987" i="2" s="1"/>
  <c r="L986" i="2"/>
  <c r="K986" i="2"/>
  <c r="J986" i="2"/>
  <c r="J1160" i="3" s="1"/>
  <c r="H986" i="2"/>
  <c r="M986" i="2" s="1"/>
  <c r="L985" i="2"/>
  <c r="K985" i="2"/>
  <c r="J985" i="2"/>
  <c r="J1159" i="3" s="1"/>
  <c r="H985" i="2"/>
  <c r="M985" i="2" s="1"/>
  <c r="H984" i="2"/>
  <c r="K983" i="2"/>
  <c r="J983" i="2"/>
  <c r="H983" i="2"/>
  <c r="K982" i="2"/>
  <c r="J982" i="2"/>
  <c r="M982" i="2" s="1"/>
  <c r="H982" i="2"/>
  <c r="M981" i="2"/>
  <c r="K981" i="2"/>
  <c r="J981" i="2"/>
  <c r="H981" i="2"/>
  <c r="M980" i="2"/>
  <c r="K980" i="2"/>
  <c r="J980" i="2"/>
  <c r="H980" i="2"/>
  <c r="M979" i="2"/>
  <c r="J979" i="2"/>
  <c r="H979" i="2"/>
  <c r="M978" i="2"/>
  <c r="K978" i="2"/>
  <c r="J978" i="2"/>
  <c r="H978" i="2"/>
  <c r="J977" i="2"/>
  <c r="H977" i="2"/>
  <c r="J976" i="2"/>
  <c r="H976" i="2"/>
  <c r="J975" i="2"/>
  <c r="M975" i="2" s="1"/>
  <c r="H975" i="2"/>
  <c r="K974" i="2"/>
  <c r="J974" i="2"/>
  <c r="H974" i="2"/>
  <c r="M973" i="2"/>
  <c r="K973" i="2"/>
  <c r="J973" i="2"/>
  <c r="H973" i="2"/>
  <c r="M972" i="2"/>
  <c r="K972" i="2"/>
  <c r="J972" i="2"/>
  <c r="H972" i="2"/>
  <c r="K971" i="2"/>
  <c r="J971" i="2"/>
  <c r="H971" i="2"/>
  <c r="K970" i="2"/>
  <c r="J970" i="2"/>
  <c r="M970" i="2" s="1"/>
  <c r="H970" i="2"/>
  <c r="M969" i="2"/>
  <c r="K969" i="2"/>
  <c r="J969" i="2"/>
  <c r="H969" i="2"/>
  <c r="M968" i="2"/>
  <c r="K968" i="2"/>
  <c r="J968" i="2"/>
  <c r="H968" i="2"/>
  <c r="M967" i="2"/>
  <c r="J967" i="2"/>
  <c r="H967" i="2"/>
  <c r="M966" i="2"/>
  <c r="K966" i="2"/>
  <c r="J966" i="2"/>
  <c r="H966" i="2"/>
  <c r="J965" i="2"/>
  <c r="H965" i="2"/>
  <c r="J964" i="2"/>
  <c r="H964" i="2"/>
  <c r="M964" i="2" s="1"/>
  <c r="J963" i="2"/>
  <c r="K963" i="2" s="1"/>
  <c r="H963" i="2"/>
  <c r="M963" i="2" s="1"/>
  <c r="K962" i="2"/>
  <c r="J962" i="2"/>
  <c r="H962" i="2"/>
  <c r="M962" i="2" s="1"/>
  <c r="M961" i="2"/>
  <c r="K961" i="2"/>
  <c r="J961" i="2"/>
  <c r="H961" i="2"/>
  <c r="K960" i="2"/>
  <c r="J960" i="2"/>
  <c r="H960" i="2"/>
  <c r="M960" i="2" s="1"/>
  <c r="K959" i="2"/>
  <c r="J959" i="2"/>
  <c r="H959" i="2"/>
  <c r="M959" i="2" s="1"/>
  <c r="K958" i="2"/>
  <c r="J958" i="2"/>
  <c r="H958" i="2"/>
  <c r="M958" i="2" s="1"/>
  <c r="M957" i="2"/>
  <c r="K957" i="2"/>
  <c r="J957" i="2"/>
  <c r="H957" i="2"/>
  <c r="K956" i="2"/>
  <c r="J956" i="2"/>
  <c r="H956" i="2"/>
  <c r="M956" i="2" s="1"/>
  <c r="M955" i="2"/>
  <c r="K955" i="2"/>
  <c r="J955" i="2"/>
  <c r="J1050" i="3" s="1"/>
  <c r="H955" i="2"/>
  <c r="M954" i="2"/>
  <c r="L954" i="2"/>
  <c r="K954" i="2"/>
  <c r="J954" i="2"/>
  <c r="J1048" i="3" s="1"/>
  <c r="H954" i="2"/>
  <c r="M953" i="2"/>
  <c r="K953" i="2"/>
  <c r="J953" i="2"/>
  <c r="J1047" i="3" s="1"/>
  <c r="H953" i="2"/>
  <c r="M952" i="2"/>
  <c r="L952" i="2"/>
  <c r="K952" i="2"/>
  <c r="J952" i="2"/>
  <c r="J1046" i="3" s="1"/>
  <c r="H952" i="2"/>
  <c r="M951" i="2"/>
  <c r="K951" i="2"/>
  <c r="J951" i="2"/>
  <c r="J1045" i="3" s="1"/>
  <c r="H951" i="2"/>
  <c r="M950" i="2"/>
  <c r="L950" i="2"/>
  <c r="K950" i="2"/>
  <c r="J950" i="2"/>
  <c r="J1044" i="3" s="1"/>
  <c r="H950" i="2"/>
  <c r="M949" i="2"/>
  <c r="K949" i="2"/>
  <c r="J949" i="2"/>
  <c r="J1043" i="3" s="1"/>
  <c r="H949" i="2"/>
  <c r="M948" i="2"/>
  <c r="L948" i="2"/>
  <c r="K948" i="2"/>
  <c r="J948" i="2"/>
  <c r="J1042" i="3" s="1"/>
  <c r="H948" i="2"/>
  <c r="M947" i="2"/>
  <c r="K947" i="2"/>
  <c r="J947" i="2"/>
  <c r="J1041" i="3" s="1"/>
  <c r="H947" i="2"/>
  <c r="M946" i="2"/>
  <c r="L946" i="2"/>
  <c r="K946" i="2"/>
  <c r="J946" i="2"/>
  <c r="J1040" i="3" s="1"/>
  <c r="H946" i="2"/>
  <c r="M945" i="2"/>
  <c r="K945" i="2"/>
  <c r="J945" i="2"/>
  <c r="J1039" i="3" s="1"/>
  <c r="H945" i="2"/>
  <c r="M944" i="2"/>
  <c r="L944" i="2"/>
  <c r="K944" i="2"/>
  <c r="J944" i="2"/>
  <c r="J1037" i="3" s="1"/>
  <c r="H944" i="2"/>
  <c r="M943" i="2"/>
  <c r="K943" i="2"/>
  <c r="J943" i="2"/>
  <c r="J1036" i="3" s="1"/>
  <c r="H943" i="2"/>
  <c r="M942" i="2"/>
  <c r="L942" i="2"/>
  <c r="K942" i="2"/>
  <c r="J942" i="2"/>
  <c r="J1034" i="3" s="1"/>
  <c r="H942" i="2"/>
  <c r="M941" i="2"/>
  <c r="K941" i="2"/>
  <c r="J941" i="2"/>
  <c r="J1032" i="3" s="1"/>
  <c r="H941" i="2"/>
  <c r="M940" i="2"/>
  <c r="L940" i="2"/>
  <c r="K940" i="2"/>
  <c r="J940" i="2"/>
  <c r="J1031" i="3" s="1"/>
  <c r="H940" i="2"/>
  <c r="M939" i="2"/>
  <c r="K939" i="2"/>
  <c r="J939" i="2"/>
  <c r="J1030" i="3" s="1"/>
  <c r="H939" i="2"/>
  <c r="M938" i="2"/>
  <c r="L938" i="2"/>
  <c r="K938" i="2"/>
  <c r="J938" i="2"/>
  <c r="J1029" i="3" s="1"/>
  <c r="H938" i="2"/>
  <c r="M937" i="2"/>
  <c r="K937" i="2"/>
  <c r="J937" i="2"/>
  <c r="J1028" i="3" s="1"/>
  <c r="H937" i="2"/>
  <c r="M936" i="2"/>
  <c r="L936" i="2"/>
  <c r="K936" i="2"/>
  <c r="J936" i="2"/>
  <c r="J1027" i="3" s="1"/>
  <c r="H936" i="2"/>
  <c r="M935" i="2"/>
  <c r="K935" i="2"/>
  <c r="J935" i="2"/>
  <c r="J1026" i="3" s="1"/>
  <c r="H935" i="2"/>
  <c r="M934" i="2"/>
  <c r="L934" i="2"/>
  <c r="K934" i="2"/>
  <c r="J934" i="2"/>
  <c r="J1025" i="3" s="1"/>
  <c r="H934" i="2"/>
  <c r="M933" i="2"/>
  <c r="K933" i="2"/>
  <c r="J933" i="2"/>
  <c r="J1024" i="3" s="1"/>
  <c r="H933" i="2"/>
  <c r="M932" i="2"/>
  <c r="L932" i="2"/>
  <c r="K932" i="2"/>
  <c r="J932" i="2"/>
  <c r="J1023" i="3" s="1"/>
  <c r="H932" i="2"/>
  <c r="M931" i="2"/>
  <c r="K931" i="2"/>
  <c r="J931" i="2"/>
  <c r="J1022" i="3" s="1"/>
  <c r="H931" i="2"/>
  <c r="M930" i="2"/>
  <c r="L930" i="2"/>
  <c r="K930" i="2"/>
  <c r="J930" i="2"/>
  <c r="J1020" i="3" s="1"/>
  <c r="H930" i="2"/>
  <c r="M929" i="2"/>
  <c r="K929" i="2"/>
  <c r="J929" i="2"/>
  <c r="J1019" i="3" s="1"/>
  <c r="H929" i="2"/>
  <c r="M928" i="2"/>
  <c r="L928" i="2"/>
  <c r="K928" i="2"/>
  <c r="J928" i="2"/>
  <c r="J1018" i="3" s="1"/>
  <c r="H928" i="2"/>
  <c r="M927" i="2"/>
  <c r="K927" i="2"/>
  <c r="J927" i="2"/>
  <c r="J1017" i="3" s="1"/>
  <c r="H927" i="2"/>
  <c r="M926" i="2"/>
  <c r="L926" i="2"/>
  <c r="K926" i="2"/>
  <c r="J926" i="2"/>
  <c r="J1016" i="3" s="1"/>
  <c r="H926" i="2"/>
  <c r="M925" i="2"/>
  <c r="K925" i="2"/>
  <c r="J925" i="2"/>
  <c r="J1015" i="3" s="1"/>
  <c r="H925" i="2"/>
  <c r="M924" i="2"/>
  <c r="L924" i="2"/>
  <c r="K924" i="2"/>
  <c r="J924" i="2"/>
  <c r="J1014" i="3" s="1"/>
  <c r="H924" i="2"/>
  <c r="M923" i="2"/>
  <c r="K923" i="2"/>
  <c r="J923" i="2"/>
  <c r="J1013" i="3" s="1"/>
  <c r="H923" i="2"/>
  <c r="M922" i="2"/>
  <c r="L922" i="2"/>
  <c r="K922" i="2"/>
  <c r="J922" i="2"/>
  <c r="J1012" i="3" s="1"/>
  <c r="H922" i="2"/>
  <c r="K921" i="2"/>
  <c r="J921" i="2"/>
  <c r="J1011" i="3" s="1"/>
  <c r="H921" i="2"/>
  <c r="M921" i="2" s="1"/>
  <c r="M920" i="2"/>
  <c r="L920" i="2"/>
  <c r="K920" i="2"/>
  <c r="J920" i="2"/>
  <c r="J1010" i="3" s="1"/>
  <c r="H920" i="2"/>
  <c r="M919" i="2"/>
  <c r="K919" i="2"/>
  <c r="J919" i="2"/>
  <c r="J1009" i="3" s="1"/>
  <c r="H919" i="2"/>
  <c r="M918" i="2"/>
  <c r="L918" i="2"/>
  <c r="K918" i="2"/>
  <c r="J918" i="2"/>
  <c r="J1008" i="3" s="1"/>
  <c r="H918" i="2"/>
  <c r="M917" i="2"/>
  <c r="K917" i="2"/>
  <c r="J917" i="2"/>
  <c r="J1007" i="3" s="1"/>
  <c r="H917" i="2"/>
  <c r="M916" i="2"/>
  <c r="L916" i="2"/>
  <c r="K916" i="2"/>
  <c r="J916" i="2"/>
  <c r="J1006" i="3" s="1"/>
  <c r="H916" i="2"/>
  <c r="K915" i="2"/>
  <c r="J915" i="2"/>
  <c r="J1005" i="3" s="1"/>
  <c r="H915" i="2"/>
  <c r="M915" i="2" s="1"/>
  <c r="H914" i="2"/>
  <c r="K913" i="2"/>
  <c r="J913" i="2"/>
  <c r="J954" i="3" s="1"/>
  <c r="H913" i="2"/>
  <c r="M913" i="2" s="1"/>
  <c r="M912" i="2"/>
  <c r="L912" i="2"/>
  <c r="K912" i="2"/>
  <c r="J912" i="2"/>
  <c r="J952" i="3" s="1"/>
  <c r="H912" i="2"/>
  <c r="K911" i="2"/>
  <c r="J911" i="2"/>
  <c r="J951" i="3" s="1"/>
  <c r="H911" i="2"/>
  <c r="M911" i="2" s="1"/>
  <c r="M910" i="2"/>
  <c r="L910" i="2"/>
  <c r="K910" i="2"/>
  <c r="J910" i="2"/>
  <c r="J950" i="3" s="1"/>
  <c r="H910" i="2"/>
  <c r="K909" i="2"/>
  <c r="J909" i="2"/>
  <c r="J949" i="3" s="1"/>
  <c r="H909" i="2"/>
  <c r="M909" i="2" s="1"/>
  <c r="M908" i="2"/>
  <c r="L908" i="2"/>
  <c r="K908" i="2"/>
  <c r="J908" i="2"/>
  <c r="J948" i="3" s="1"/>
  <c r="H908" i="2"/>
  <c r="K907" i="2"/>
  <c r="J907" i="2"/>
  <c r="J947" i="3" s="1"/>
  <c r="H907" i="2"/>
  <c r="M907" i="2" s="1"/>
  <c r="M906" i="2"/>
  <c r="L906" i="2"/>
  <c r="K906" i="2"/>
  <c r="J906" i="2"/>
  <c r="J946" i="3" s="1"/>
  <c r="H906" i="2"/>
  <c r="K905" i="2"/>
  <c r="J905" i="2"/>
  <c r="J945" i="3" s="1"/>
  <c r="H905" i="2"/>
  <c r="M905" i="2" s="1"/>
  <c r="M904" i="2"/>
  <c r="L904" i="2"/>
  <c r="K904" i="2"/>
  <c r="J904" i="2"/>
  <c r="J944" i="3" s="1"/>
  <c r="H904" i="2"/>
  <c r="K903" i="2"/>
  <c r="J903" i="2"/>
  <c r="J943" i="3" s="1"/>
  <c r="H903" i="2"/>
  <c r="M903" i="2" s="1"/>
  <c r="M902" i="2"/>
  <c r="L902" i="2"/>
  <c r="K902" i="2"/>
  <c r="J902" i="2"/>
  <c r="J942" i="3" s="1"/>
  <c r="H902" i="2"/>
  <c r="K901" i="2"/>
  <c r="J901" i="2"/>
  <c r="J939" i="3" s="1"/>
  <c r="H901" i="2"/>
  <c r="M901" i="2" s="1"/>
  <c r="M900" i="2"/>
  <c r="L900" i="2"/>
  <c r="K900" i="2"/>
  <c r="J900" i="2"/>
  <c r="J937" i="3" s="1"/>
  <c r="H900" i="2"/>
  <c r="K899" i="2"/>
  <c r="J899" i="2"/>
  <c r="J936" i="3" s="1"/>
  <c r="H899" i="2"/>
  <c r="M899" i="2" s="1"/>
  <c r="M898" i="2"/>
  <c r="L898" i="2"/>
  <c r="K898" i="2"/>
  <c r="J898" i="2"/>
  <c r="J935" i="3" s="1"/>
  <c r="H898" i="2"/>
  <c r="K897" i="2"/>
  <c r="J897" i="2"/>
  <c r="J934" i="3" s="1"/>
  <c r="H897" i="2"/>
  <c r="M897" i="2" s="1"/>
  <c r="M896" i="2"/>
  <c r="L896" i="2"/>
  <c r="K896" i="2"/>
  <c r="J896" i="2"/>
  <c r="J933" i="3" s="1"/>
  <c r="H896" i="2"/>
  <c r="K895" i="2"/>
  <c r="J895" i="2"/>
  <c r="J932" i="3" s="1"/>
  <c r="H895" i="2"/>
  <c r="M895" i="2" s="1"/>
  <c r="M894" i="2"/>
  <c r="L894" i="2"/>
  <c r="K894" i="2"/>
  <c r="J894" i="2"/>
  <c r="J931" i="3" s="1"/>
  <c r="H894" i="2"/>
  <c r="K893" i="2"/>
  <c r="J893" i="2"/>
  <c r="J930" i="3" s="1"/>
  <c r="H893" i="2"/>
  <c r="M893" i="2" s="1"/>
  <c r="M892" i="2"/>
  <c r="L892" i="2"/>
  <c r="K892" i="2"/>
  <c r="J892" i="2"/>
  <c r="J929" i="3" s="1"/>
  <c r="H892" i="2"/>
  <c r="K891" i="2"/>
  <c r="J891" i="2"/>
  <c r="J928" i="3" s="1"/>
  <c r="H891" i="2"/>
  <c r="M891" i="2" s="1"/>
  <c r="M890" i="2"/>
  <c r="L890" i="2"/>
  <c r="K890" i="2"/>
  <c r="J890" i="2"/>
  <c r="J927" i="3" s="1"/>
  <c r="H890" i="2"/>
  <c r="K889" i="2"/>
  <c r="J889" i="2"/>
  <c r="J926" i="3" s="1"/>
  <c r="H889" i="2"/>
  <c r="M889" i="2" s="1"/>
  <c r="M888" i="2"/>
  <c r="L888" i="2"/>
  <c r="K888" i="2"/>
  <c r="J888" i="2"/>
  <c r="J925" i="3" s="1"/>
  <c r="H888" i="2"/>
  <c r="K887" i="2"/>
  <c r="J887" i="2"/>
  <c r="J924" i="3" s="1"/>
  <c r="H887" i="2"/>
  <c r="M887" i="2" s="1"/>
  <c r="M886" i="2"/>
  <c r="L886" i="2"/>
  <c r="K886" i="2"/>
  <c r="J886" i="2"/>
  <c r="J923" i="3" s="1"/>
  <c r="H886" i="2"/>
  <c r="K885" i="2"/>
  <c r="J885" i="2"/>
  <c r="J922" i="3" s="1"/>
  <c r="H885" i="2"/>
  <c r="M885" i="2" s="1"/>
  <c r="M884" i="2"/>
  <c r="L884" i="2"/>
  <c r="K884" i="2"/>
  <c r="J884" i="2"/>
  <c r="J921" i="3" s="1"/>
  <c r="H884" i="2"/>
  <c r="K883" i="2"/>
  <c r="J883" i="2"/>
  <c r="J920" i="3" s="1"/>
  <c r="H883" i="2"/>
  <c r="M883" i="2" s="1"/>
  <c r="M882" i="2"/>
  <c r="L882" i="2"/>
  <c r="K882" i="2"/>
  <c r="J882" i="2"/>
  <c r="J919" i="3" s="1"/>
  <c r="H882" i="2"/>
  <c r="K881" i="2"/>
  <c r="J881" i="2"/>
  <c r="J918" i="3" s="1"/>
  <c r="H881" i="2"/>
  <c r="M881" i="2" s="1"/>
  <c r="M880" i="2"/>
  <c r="L880" i="2"/>
  <c r="K880" i="2"/>
  <c r="J880" i="2"/>
  <c r="J917" i="3" s="1"/>
  <c r="H880" i="2"/>
  <c r="K879" i="2"/>
  <c r="J879" i="2"/>
  <c r="J916" i="3" s="1"/>
  <c r="H879" i="2"/>
  <c r="M879" i="2" s="1"/>
  <c r="M878" i="2"/>
  <c r="L878" i="2"/>
  <c r="K878" i="2"/>
  <c r="J878" i="2"/>
  <c r="J915" i="3" s="1"/>
  <c r="H878" i="2"/>
  <c r="K877" i="2"/>
  <c r="J877" i="2"/>
  <c r="J914" i="3" s="1"/>
  <c r="H877" i="2"/>
  <c r="M877" i="2" s="1"/>
  <c r="L876" i="2"/>
  <c r="K876" i="2"/>
  <c r="J876" i="2"/>
  <c r="J913" i="3" s="1"/>
  <c r="H876" i="2"/>
  <c r="M876" i="2" s="1"/>
  <c r="K875" i="2"/>
  <c r="J875" i="2"/>
  <c r="J912" i="3" s="1"/>
  <c r="H875" i="2"/>
  <c r="M875" i="2" s="1"/>
  <c r="M874" i="2"/>
  <c r="L874" i="2"/>
  <c r="K874" i="2"/>
  <c r="J874" i="2"/>
  <c r="J911" i="3" s="1"/>
  <c r="H874" i="2"/>
  <c r="K873" i="2"/>
  <c r="J873" i="2"/>
  <c r="J910" i="3" s="1"/>
  <c r="H873" i="2"/>
  <c r="M873" i="2" s="1"/>
  <c r="M872" i="2"/>
  <c r="L872" i="2"/>
  <c r="K872" i="2"/>
  <c r="J872" i="2"/>
  <c r="J909" i="3" s="1"/>
  <c r="H872" i="2"/>
  <c r="K871" i="2"/>
  <c r="J871" i="2"/>
  <c r="J908" i="3" s="1"/>
  <c r="H871" i="2"/>
  <c r="M871" i="2" s="1"/>
  <c r="L870" i="2"/>
  <c r="K870" i="2"/>
  <c r="J870" i="2"/>
  <c r="J907" i="3" s="1"/>
  <c r="H870" i="2"/>
  <c r="M870" i="2" s="1"/>
  <c r="K869" i="2"/>
  <c r="J869" i="2"/>
  <c r="J906" i="3" s="1"/>
  <c r="H869" i="2"/>
  <c r="M869" i="2" s="1"/>
  <c r="M868" i="2"/>
  <c r="L868" i="2"/>
  <c r="K868" i="2"/>
  <c r="J868" i="2"/>
  <c r="J905" i="3" s="1"/>
  <c r="H868" i="2"/>
  <c r="K867" i="2"/>
  <c r="J867" i="2"/>
  <c r="J904" i="3" s="1"/>
  <c r="H867" i="2"/>
  <c r="M867" i="2" s="1"/>
  <c r="M866" i="2"/>
  <c r="L866" i="2"/>
  <c r="K866" i="2"/>
  <c r="J866" i="2"/>
  <c r="J903" i="3" s="1"/>
  <c r="H866" i="2"/>
  <c r="K865" i="2"/>
  <c r="J865" i="2"/>
  <c r="J902" i="3" s="1"/>
  <c r="H865" i="2"/>
  <c r="M865" i="2" s="1"/>
  <c r="L864" i="2"/>
  <c r="K864" i="2"/>
  <c r="J864" i="2"/>
  <c r="J901" i="3" s="1"/>
  <c r="H864" i="2"/>
  <c r="M864" i="2" s="1"/>
  <c r="K863" i="2"/>
  <c r="J863" i="2"/>
  <c r="J900" i="3" s="1"/>
  <c r="H863" i="2"/>
  <c r="M863" i="2" s="1"/>
  <c r="M862" i="2"/>
  <c r="L862" i="2"/>
  <c r="K862" i="2"/>
  <c r="J862" i="2"/>
  <c r="J899" i="3" s="1"/>
  <c r="H862" i="2"/>
  <c r="K861" i="2"/>
  <c r="J861" i="2"/>
  <c r="J898" i="3" s="1"/>
  <c r="H861" i="2"/>
  <c r="M861" i="2" s="1"/>
  <c r="M860" i="2"/>
  <c r="L860" i="2"/>
  <c r="K860" i="2"/>
  <c r="J860" i="2"/>
  <c r="J897" i="3" s="1"/>
  <c r="H860" i="2"/>
  <c r="K859" i="2"/>
  <c r="J859" i="2"/>
  <c r="J896" i="3" s="1"/>
  <c r="H859" i="2"/>
  <c r="M859" i="2" s="1"/>
  <c r="L858" i="2"/>
  <c r="K858" i="2"/>
  <c r="J858" i="2"/>
  <c r="J895" i="3" s="1"/>
  <c r="H858" i="2"/>
  <c r="M858" i="2" s="1"/>
  <c r="K857" i="2"/>
  <c r="J857" i="2"/>
  <c r="J894" i="3" s="1"/>
  <c r="H857" i="2"/>
  <c r="M857" i="2" s="1"/>
  <c r="M856" i="2"/>
  <c r="L856" i="2"/>
  <c r="K856" i="2"/>
  <c r="J856" i="2"/>
  <c r="J893" i="3" s="1"/>
  <c r="H856" i="2"/>
  <c r="K855" i="2"/>
  <c r="J855" i="2"/>
  <c r="J892" i="3" s="1"/>
  <c r="H855" i="2"/>
  <c r="M855" i="2" s="1"/>
  <c r="M854" i="2"/>
  <c r="L854" i="2"/>
  <c r="K854" i="2"/>
  <c r="J854" i="2"/>
  <c r="J891" i="3" s="1"/>
  <c r="H854" i="2"/>
  <c r="K853" i="2"/>
  <c r="J853" i="2"/>
  <c r="J890" i="3" s="1"/>
  <c r="H853" i="2"/>
  <c r="M853" i="2" s="1"/>
  <c r="L852" i="2"/>
  <c r="K852" i="2"/>
  <c r="J852" i="2"/>
  <c r="J889" i="3" s="1"/>
  <c r="H852" i="2"/>
  <c r="M852" i="2" s="1"/>
  <c r="K851" i="2"/>
  <c r="J851" i="2"/>
  <c r="J888" i="3" s="1"/>
  <c r="H851" i="2"/>
  <c r="M851" i="2" s="1"/>
  <c r="M850" i="2"/>
  <c r="L850" i="2"/>
  <c r="K850" i="2"/>
  <c r="J850" i="2"/>
  <c r="J887" i="3" s="1"/>
  <c r="H850" i="2"/>
  <c r="K849" i="2"/>
  <c r="J849" i="2"/>
  <c r="J886" i="3" s="1"/>
  <c r="H849" i="2"/>
  <c r="M849" i="2" s="1"/>
  <c r="M848" i="2"/>
  <c r="L848" i="2"/>
  <c r="K848" i="2"/>
  <c r="J848" i="2"/>
  <c r="J885" i="3" s="1"/>
  <c r="H848" i="2"/>
  <c r="K847" i="2"/>
  <c r="J847" i="2"/>
  <c r="J884" i="3" s="1"/>
  <c r="H847" i="2"/>
  <c r="M847" i="2" s="1"/>
  <c r="L846" i="2"/>
  <c r="K846" i="2"/>
  <c r="J846" i="2"/>
  <c r="J883" i="3" s="1"/>
  <c r="H846" i="2"/>
  <c r="M846" i="2" s="1"/>
  <c r="K845" i="2"/>
  <c r="J845" i="2"/>
  <c r="J882" i="3" s="1"/>
  <c r="H845" i="2"/>
  <c r="M845" i="2" s="1"/>
  <c r="M844" i="2"/>
  <c r="L844" i="2"/>
  <c r="K844" i="2"/>
  <c r="J844" i="2"/>
  <c r="J881" i="3" s="1"/>
  <c r="H844" i="2"/>
  <c r="K843" i="2"/>
  <c r="J843" i="2"/>
  <c r="J880" i="3" s="1"/>
  <c r="H843" i="2"/>
  <c r="M843" i="2" s="1"/>
  <c r="M842" i="2"/>
  <c r="L842" i="2"/>
  <c r="K842" i="2"/>
  <c r="J842" i="2"/>
  <c r="J879" i="3" s="1"/>
  <c r="H842" i="2"/>
  <c r="K841" i="2"/>
  <c r="J841" i="2"/>
  <c r="J878" i="3" s="1"/>
  <c r="H841" i="2"/>
  <c r="M841" i="2" s="1"/>
  <c r="L840" i="2"/>
  <c r="K840" i="2"/>
  <c r="J840" i="2"/>
  <c r="J877" i="3" s="1"/>
  <c r="H840" i="2"/>
  <c r="M840" i="2" s="1"/>
  <c r="K839" i="2"/>
  <c r="J839" i="2"/>
  <c r="J876" i="3" s="1"/>
  <c r="H839" i="2"/>
  <c r="M839" i="2" s="1"/>
  <c r="M838" i="2"/>
  <c r="L838" i="2"/>
  <c r="K838" i="2"/>
  <c r="J838" i="2"/>
  <c r="J875" i="3" s="1"/>
  <c r="H838" i="2"/>
  <c r="K837" i="2"/>
  <c r="J837" i="2"/>
  <c r="J874" i="3" s="1"/>
  <c r="H837" i="2"/>
  <c r="M837" i="2" s="1"/>
  <c r="L836" i="2"/>
  <c r="K836" i="2"/>
  <c r="J836" i="2"/>
  <c r="J873" i="3" s="1"/>
  <c r="H836" i="2"/>
  <c r="M836" i="2" s="1"/>
  <c r="K835" i="2"/>
  <c r="J835" i="2"/>
  <c r="J872" i="3" s="1"/>
  <c r="H835" i="2"/>
  <c r="M835" i="2" s="1"/>
  <c r="L834" i="2"/>
  <c r="K834" i="2"/>
  <c r="J834" i="2"/>
  <c r="J871" i="3" s="1"/>
  <c r="H834" i="2"/>
  <c r="M834" i="2" s="1"/>
  <c r="K833" i="2"/>
  <c r="J833" i="2"/>
  <c r="J870" i="3" s="1"/>
  <c r="H833" i="2"/>
  <c r="M833" i="2" s="1"/>
  <c r="M832" i="2"/>
  <c r="L832" i="2"/>
  <c r="K832" i="2"/>
  <c r="J832" i="2"/>
  <c r="J869" i="3" s="1"/>
  <c r="H832" i="2"/>
  <c r="K831" i="2"/>
  <c r="J831" i="2"/>
  <c r="J868" i="3" s="1"/>
  <c r="H831" i="2"/>
  <c r="M831" i="2" s="1"/>
  <c r="J830" i="2"/>
  <c r="J867" i="3" s="1"/>
  <c r="H830" i="2"/>
  <c r="M830" i="2" s="1"/>
  <c r="K829" i="2"/>
  <c r="J829" i="2"/>
  <c r="J866" i="3" s="1"/>
  <c r="H829" i="2"/>
  <c r="M829" i="2" s="1"/>
  <c r="J828" i="2"/>
  <c r="J865" i="3" s="1"/>
  <c r="H828" i="2"/>
  <c r="M828" i="2" s="1"/>
  <c r="K827" i="2"/>
  <c r="J827" i="2"/>
  <c r="J864" i="3" s="1"/>
  <c r="H827" i="2"/>
  <c r="M827" i="2" s="1"/>
  <c r="M826" i="2"/>
  <c r="L826" i="2"/>
  <c r="K826" i="2"/>
  <c r="J826" i="2"/>
  <c r="J863" i="3" s="1"/>
  <c r="H826" i="2"/>
  <c r="K825" i="2"/>
  <c r="J825" i="2"/>
  <c r="J862" i="3" s="1"/>
  <c r="H825" i="2"/>
  <c r="M825" i="2" s="1"/>
  <c r="J824" i="2"/>
  <c r="J861" i="3" s="1"/>
  <c r="H824" i="2"/>
  <c r="M824" i="2" s="1"/>
  <c r="K823" i="2"/>
  <c r="J823" i="2"/>
  <c r="J860" i="3" s="1"/>
  <c r="H823" i="2"/>
  <c r="M823" i="2" s="1"/>
  <c r="J822" i="2"/>
  <c r="J859" i="3" s="1"/>
  <c r="H822" i="2"/>
  <c r="M822" i="2" s="1"/>
  <c r="K821" i="2"/>
  <c r="J821" i="2"/>
  <c r="J858" i="3" s="1"/>
  <c r="H821" i="2"/>
  <c r="M821" i="2" s="1"/>
  <c r="M820" i="2"/>
  <c r="L820" i="2"/>
  <c r="K820" i="2"/>
  <c r="J820" i="2"/>
  <c r="J857" i="3" s="1"/>
  <c r="H820" i="2"/>
  <c r="K819" i="2"/>
  <c r="J819" i="2"/>
  <c r="J856" i="3" s="1"/>
  <c r="H819" i="2"/>
  <c r="M819" i="2" s="1"/>
  <c r="J818" i="2"/>
  <c r="J855" i="3" s="1"/>
  <c r="H818" i="2"/>
  <c r="M818" i="2" s="1"/>
  <c r="K817" i="2"/>
  <c r="J817" i="2"/>
  <c r="J854" i="3" s="1"/>
  <c r="H817" i="2"/>
  <c r="M817" i="2" s="1"/>
  <c r="J816" i="2"/>
  <c r="J853" i="3" s="1"/>
  <c r="H816" i="2"/>
  <c r="M816" i="2" s="1"/>
  <c r="K815" i="2"/>
  <c r="J815" i="2"/>
  <c r="J852" i="3" s="1"/>
  <c r="H815" i="2"/>
  <c r="M815" i="2" s="1"/>
  <c r="M814" i="2"/>
  <c r="L814" i="2"/>
  <c r="K814" i="2"/>
  <c r="J814" i="2"/>
  <c r="J851" i="3" s="1"/>
  <c r="H814" i="2"/>
  <c r="K813" i="2"/>
  <c r="J813" i="2"/>
  <c r="J850" i="3" s="1"/>
  <c r="H813" i="2"/>
  <c r="M813" i="2" s="1"/>
  <c r="J812" i="2"/>
  <c r="J849" i="3" s="1"/>
  <c r="H812" i="2"/>
  <c r="M812" i="2" s="1"/>
  <c r="K811" i="2"/>
  <c r="J811" i="2"/>
  <c r="J848" i="3" s="1"/>
  <c r="H811" i="2"/>
  <c r="M811" i="2" s="1"/>
  <c r="H810" i="2"/>
  <c r="M809" i="2"/>
  <c r="L809" i="2"/>
  <c r="K809" i="2"/>
  <c r="J809" i="2"/>
  <c r="J846" i="3" s="1"/>
  <c r="H809" i="2"/>
  <c r="M808" i="2"/>
  <c r="L808" i="2"/>
  <c r="K808" i="2"/>
  <c r="J808" i="2"/>
  <c r="J845" i="3" s="1"/>
  <c r="H808" i="2"/>
  <c r="M807" i="2"/>
  <c r="L807" i="2"/>
  <c r="K807" i="2"/>
  <c r="J807" i="2"/>
  <c r="J844" i="3" s="1"/>
  <c r="H807" i="2"/>
  <c r="L806" i="2"/>
  <c r="K806" i="2"/>
  <c r="J806" i="2"/>
  <c r="J843" i="3" s="1"/>
  <c r="H806" i="2"/>
  <c r="M806" i="2" s="1"/>
  <c r="M805" i="2"/>
  <c r="L805" i="2"/>
  <c r="K805" i="2"/>
  <c r="J805" i="2"/>
  <c r="J842" i="3" s="1"/>
  <c r="H805" i="2"/>
  <c r="L804" i="2"/>
  <c r="K804" i="2"/>
  <c r="J804" i="2"/>
  <c r="J841" i="3" s="1"/>
  <c r="H804" i="2"/>
  <c r="M804" i="2" s="1"/>
  <c r="M803" i="2"/>
  <c r="L803" i="2"/>
  <c r="K803" i="2"/>
  <c r="J803" i="2"/>
  <c r="J840" i="3" s="1"/>
  <c r="H803" i="2"/>
  <c r="L802" i="2"/>
  <c r="K802" i="2"/>
  <c r="J802" i="2"/>
  <c r="J839" i="3" s="1"/>
  <c r="H802" i="2"/>
  <c r="M802" i="2" s="1"/>
  <c r="M801" i="2"/>
  <c r="L801" i="2"/>
  <c r="K801" i="2"/>
  <c r="J801" i="2"/>
  <c r="J838" i="3" s="1"/>
  <c r="H801" i="2"/>
  <c r="L800" i="2"/>
  <c r="K800" i="2"/>
  <c r="J800" i="2"/>
  <c r="J837" i="3" s="1"/>
  <c r="H800" i="2"/>
  <c r="M800" i="2" s="1"/>
  <c r="M799" i="2"/>
  <c r="L799" i="2"/>
  <c r="K799" i="2"/>
  <c r="J799" i="2"/>
  <c r="J836" i="3" s="1"/>
  <c r="H799" i="2"/>
  <c r="M798" i="2"/>
  <c r="L798" i="2"/>
  <c r="K798" i="2"/>
  <c r="J798" i="2"/>
  <c r="J835" i="3" s="1"/>
  <c r="H798" i="2"/>
  <c r="M797" i="2"/>
  <c r="L797" i="2"/>
  <c r="K797" i="2"/>
  <c r="J797" i="2"/>
  <c r="J834" i="3" s="1"/>
  <c r="H797" i="2"/>
  <c r="M796" i="2"/>
  <c r="L796" i="2"/>
  <c r="K796" i="2"/>
  <c r="J796" i="2"/>
  <c r="J833" i="3" s="1"/>
  <c r="H796" i="2"/>
  <c r="M795" i="2"/>
  <c r="L795" i="2"/>
  <c r="K795" i="2"/>
  <c r="J795" i="2"/>
  <c r="J832" i="3" s="1"/>
  <c r="H795" i="2"/>
  <c r="L794" i="2"/>
  <c r="K794" i="2"/>
  <c r="J794" i="2"/>
  <c r="J831" i="3" s="1"/>
  <c r="H794" i="2"/>
  <c r="M794" i="2" s="1"/>
  <c r="M793" i="2"/>
  <c r="L793" i="2"/>
  <c r="K793" i="2"/>
  <c r="J793" i="2"/>
  <c r="J830" i="3" s="1"/>
  <c r="H793" i="2"/>
  <c r="L792" i="2"/>
  <c r="K792" i="2"/>
  <c r="J792" i="2"/>
  <c r="J829" i="3" s="1"/>
  <c r="H792" i="2"/>
  <c r="M792" i="2" s="1"/>
  <c r="M791" i="2"/>
  <c r="L791" i="2"/>
  <c r="K791" i="2"/>
  <c r="J791" i="2"/>
  <c r="J828" i="3" s="1"/>
  <c r="H791" i="2"/>
  <c r="L790" i="2"/>
  <c r="K790" i="2"/>
  <c r="J790" i="2"/>
  <c r="J827" i="3" s="1"/>
  <c r="H790" i="2"/>
  <c r="M790" i="2" s="1"/>
  <c r="M789" i="2"/>
  <c r="L789" i="2"/>
  <c r="K789" i="2"/>
  <c r="J789" i="2"/>
  <c r="J826" i="3" s="1"/>
  <c r="H789" i="2"/>
  <c r="H788" i="2"/>
  <c r="J787" i="2"/>
  <c r="H787" i="2"/>
  <c r="M787" i="2" s="1"/>
  <c r="L786" i="2"/>
  <c r="K786" i="2"/>
  <c r="J786" i="2"/>
  <c r="J823" i="3" s="1"/>
  <c r="H786" i="2"/>
  <c r="M786" i="2" s="1"/>
  <c r="J785" i="2"/>
  <c r="K785" i="2" s="1"/>
  <c r="H785" i="2"/>
  <c r="M785" i="2" s="1"/>
  <c r="L784" i="2"/>
  <c r="K784" i="2"/>
  <c r="J784" i="2"/>
  <c r="J821" i="3" s="1"/>
  <c r="H784" i="2"/>
  <c r="M784" i="2" s="1"/>
  <c r="K783" i="2"/>
  <c r="J783" i="2"/>
  <c r="H783" i="2"/>
  <c r="M783" i="2" s="1"/>
  <c r="M782" i="2"/>
  <c r="L782" i="2"/>
  <c r="K782" i="2"/>
  <c r="J782" i="2"/>
  <c r="J819" i="3" s="1"/>
  <c r="H782" i="2"/>
  <c r="M781" i="2"/>
  <c r="J781" i="2"/>
  <c r="H781" i="2"/>
  <c r="M780" i="2"/>
  <c r="L780" i="2"/>
  <c r="K780" i="2"/>
  <c r="J780" i="2"/>
  <c r="J817" i="3" s="1"/>
  <c r="H780" i="2"/>
  <c r="M779" i="2"/>
  <c r="K779" i="2"/>
  <c r="J779" i="2"/>
  <c r="H779" i="2"/>
  <c r="L778" i="2"/>
  <c r="K778" i="2"/>
  <c r="J778" i="2"/>
  <c r="J815" i="3" s="1"/>
  <c r="H778" i="2"/>
  <c r="M778" i="2" s="1"/>
  <c r="K777" i="2"/>
  <c r="J777" i="2"/>
  <c r="H777" i="2"/>
  <c r="M777" i="2" s="1"/>
  <c r="L776" i="2"/>
  <c r="K776" i="2"/>
  <c r="J776" i="2"/>
  <c r="J813" i="3" s="1"/>
  <c r="H776" i="2"/>
  <c r="M776" i="2" s="1"/>
  <c r="J775" i="2"/>
  <c r="H775" i="2"/>
  <c r="M775" i="2" s="1"/>
  <c r="M774" i="2"/>
  <c r="L774" i="2"/>
  <c r="K774" i="2"/>
  <c r="J774" i="2"/>
  <c r="J811" i="3" s="1"/>
  <c r="H774" i="2"/>
  <c r="J773" i="2"/>
  <c r="H773" i="2"/>
  <c r="M773" i="2" s="1"/>
  <c r="L772" i="2"/>
  <c r="K772" i="2"/>
  <c r="J772" i="2"/>
  <c r="J809" i="3" s="1"/>
  <c r="H772" i="2"/>
  <c r="M772" i="2" s="1"/>
  <c r="M771" i="2"/>
  <c r="K771" i="2"/>
  <c r="J771" i="2"/>
  <c r="H771" i="2"/>
  <c r="M770" i="2"/>
  <c r="L770" i="2"/>
  <c r="K770" i="2"/>
  <c r="J770" i="2"/>
  <c r="J807" i="3" s="1"/>
  <c r="H770" i="2"/>
  <c r="K769" i="2"/>
  <c r="J769" i="2"/>
  <c r="H769" i="2"/>
  <c r="M768" i="2"/>
  <c r="L768" i="2"/>
  <c r="K768" i="2"/>
  <c r="J768" i="2"/>
  <c r="J805" i="3" s="1"/>
  <c r="H768" i="2"/>
  <c r="J767" i="2"/>
  <c r="H767" i="2"/>
  <c r="M767" i="2" s="1"/>
  <c r="L766" i="2"/>
  <c r="K766" i="2"/>
  <c r="J766" i="2"/>
  <c r="J803" i="3" s="1"/>
  <c r="H766" i="2"/>
  <c r="M766" i="2" s="1"/>
  <c r="J765" i="2"/>
  <c r="H765" i="2"/>
  <c r="M765" i="2" s="1"/>
  <c r="L764" i="2"/>
  <c r="K764" i="2"/>
  <c r="J764" i="2"/>
  <c r="J801" i="3" s="1"/>
  <c r="H764" i="2"/>
  <c r="M764" i="2" s="1"/>
  <c r="J763" i="2"/>
  <c r="H763" i="2"/>
  <c r="M763" i="2" s="1"/>
  <c r="L762" i="2"/>
  <c r="K762" i="2"/>
  <c r="J762" i="2"/>
  <c r="J799" i="3" s="1"/>
  <c r="H762" i="2"/>
  <c r="M762" i="2" s="1"/>
  <c r="M761" i="2"/>
  <c r="J761" i="2"/>
  <c r="K761" i="2" s="1"/>
  <c r="H761" i="2"/>
  <c r="L760" i="2"/>
  <c r="K760" i="2"/>
  <c r="J760" i="2"/>
  <c r="J797" i="3" s="1"/>
  <c r="H760" i="2"/>
  <c r="M760" i="2" s="1"/>
  <c r="K759" i="2"/>
  <c r="J759" i="2"/>
  <c r="H759" i="2"/>
  <c r="M759" i="2" s="1"/>
  <c r="M758" i="2"/>
  <c r="L758" i="2"/>
  <c r="K758" i="2"/>
  <c r="J758" i="2"/>
  <c r="J795" i="3" s="1"/>
  <c r="H758" i="2"/>
  <c r="M757" i="2"/>
  <c r="J757" i="2"/>
  <c r="H757" i="2"/>
  <c r="M756" i="2"/>
  <c r="L756" i="2"/>
  <c r="K756" i="2"/>
  <c r="J756" i="2"/>
  <c r="J793" i="3" s="1"/>
  <c r="H756" i="2"/>
  <c r="M755" i="2"/>
  <c r="K755" i="2"/>
  <c r="J755" i="2"/>
  <c r="H755" i="2"/>
  <c r="L754" i="2"/>
  <c r="K754" i="2"/>
  <c r="J754" i="2"/>
  <c r="J791" i="3" s="1"/>
  <c r="H754" i="2"/>
  <c r="M754" i="2" s="1"/>
  <c r="K753" i="2"/>
  <c r="J753" i="2"/>
  <c r="H753" i="2"/>
  <c r="M753" i="2" s="1"/>
  <c r="L752" i="2"/>
  <c r="K752" i="2"/>
  <c r="J752" i="2"/>
  <c r="J789" i="3" s="1"/>
  <c r="H752" i="2"/>
  <c r="M752" i="2" s="1"/>
  <c r="H751" i="2"/>
  <c r="L750" i="2"/>
  <c r="K750" i="2"/>
  <c r="J750" i="2"/>
  <c r="J787" i="3" s="1"/>
  <c r="H750" i="2"/>
  <c r="M750" i="2" s="1"/>
  <c r="J749" i="2"/>
  <c r="H749" i="2"/>
  <c r="M749" i="2" s="1"/>
  <c r="L748" i="2"/>
  <c r="J748" i="2"/>
  <c r="J785" i="3" s="1"/>
  <c r="H748" i="2"/>
  <c r="M748" i="2" s="1"/>
  <c r="L747" i="2"/>
  <c r="K747" i="2"/>
  <c r="H747" i="2"/>
  <c r="M747" i="2" s="1"/>
  <c r="J746" i="2"/>
  <c r="J783" i="3" s="1"/>
  <c r="H746" i="2"/>
  <c r="J745" i="2"/>
  <c r="H745" i="2"/>
  <c r="M745" i="2" s="1"/>
  <c r="L744" i="2"/>
  <c r="J744" i="2"/>
  <c r="J781" i="3" s="1"/>
  <c r="H744" i="2"/>
  <c r="M744" i="2" s="1"/>
  <c r="M743" i="2"/>
  <c r="J743" i="2"/>
  <c r="H743" i="2"/>
  <c r="L742" i="2"/>
  <c r="K742" i="2"/>
  <c r="H742" i="2"/>
  <c r="M742" i="2" s="1"/>
  <c r="L741" i="2"/>
  <c r="K741" i="2"/>
  <c r="J741" i="2"/>
  <c r="J778" i="3" s="1"/>
  <c r="H741" i="2"/>
  <c r="M741" i="2" s="1"/>
  <c r="J740" i="2"/>
  <c r="H740" i="2"/>
  <c r="M740" i="2" s="1"/>
  <c r="M739" i="2"/>
  <c r="L739" i="2"/>
  <c r="K739" i="2"/>
  <c r="J739" i="2"/>
  <c r="J776" i="3" s="1"/>
  <c r="H739" i="2"/>
  <c r="L738" i="2"/>
  <c r="K738" i="2"/>
  <c r="H738" i="2"/>
  <c r="M738" i="2" s="1"/>
  <c r="M737" i="2"/>
  <c r="L737" i="2"/>
  <c r="K737" i="2"/>
  <c r="J737" i="2"/>
  <c r="J774" i="3" s="1"/>
  <c r="H737" i="2"/>
  <c r="M736" i="2"/>
  <c r="L736" i="2"/>
  <c r="J736" i="2"/>
  <c r="H736" i="2"/>
  <c r="M735" i="2"/>
  <c r="L735" i="2"/>
  <c r="K735" i="2"/>
  <c r="J735" i="2"/>
  <c r="J772" i="3" s="1"/>
  <c r="H735" i="2"/>
  <c r="L734" i="2"/>
  <c r="J734" i="2"/>
  <c r="H734" i="2"/>
  <c r="M733" i="2"/>
  <c r="L733" i="2"/>
  <c r="K733" i="2"/>
  <c r="J733" i="2"/>
  <c r="J770" i="3" s="1"/>
  <c r="H733" i="2"/>
  <c r="J732" i="2"/>
  <c r="H732" i="2"/>
  <c r="M732" i="2" s="1"/>
  <c r="M731" i="2"/>
  <c r="L731" i="2"/>
  <c r="K731" i="2"/>
  <c r="J731" i="2"/>
  <c r="J768" i="3" s="1"/>
  <c r="H731" i="2"/>
  <c r="J730" i="2"/>
  <c r="H730" i="2"/>
  <c r="M730" i="2" s="1"/>
  <c r="M729" i="2"/>
  <c r="L729" i="2"/>
  <c r="K729" i="2"/>
  <c r="J729" i="2"/>
  <c r="J766" i="3" s="1"/>
  <c r="H729" i="2"/>
  <c r="J728" i="2"/>
  <c r="H728" i="2"/>
  <c r="M728" i="2" s="1"/>
  <c r="M727" i="2"/>
  <c r="L727" i="2"/>
  <c r="K727" i="2"/>
  <c r="J727" i="2"/>
  <c r="J764" i="3" s="1"/>
  <c r="H727" i="2"/>
  <c r="M726" i="2"/>
  <c r="J726" i="2"/>
  <c r="L726" i="2" s="1"/>
  <c r="H726" i="2"/>
  <c r="M725" i="2"/>
  <c r="L725" i="2"/>
  <c r="K725" i="2"/>
  <c r="J725" i="2"/>
  <c r="J762" i="3" s="1"/>
  <c r="H725" i="2"/>
  <c r="L724" i="2"/>
  <c r="J724" i="2"/>
  <c r="H724" i="2"/>
  <c r="M724" i="2" s="1"/>
  <c r="H723" i="2"/>
  <c r="K722" i="2"/>
  <c r="J722" i="2"/>
  <c r="J759" i="3" s="1"/>
  <c r="H722" i="2"/>
  <c r="M722" i="2" s="1"/>
  <c r="J721" i="2"/>
  <c r="H721" i="2"/>
  <c r="J720" i="2"/>
  <c r="J757" i="3" s="1"/>
  <c r="H720" i="2"/>
  <c r="J719" i="2"/>
  <c r="J756" i="3" s="1"/>
  <c r="H719" i="2"/>
  <c r="M718" i="2"/>
  <c r="J718" i="2"/>
  <c r="J755" i="3" s="1"/>
  <c r="H718" i="2"/>
  <c r="J717" i="2"/>
  <c r="H717" i="2"/>
  <c r="J716" i="2"/>
  <c r="J753" i="3" s="1"/>
  <c r="H716" i="2"/>
  <c r="M715" i="2"/>
  <c r="K715" i="2"/>
  <c r="J715" i="2"/>
  <c r="J752" i="3" s="1"/>
  <c r="H715" i="2"/>
  <c r="M714" i="2"/>
  <c r="K714" i="2"/>
  <c r="J714" i="2"/>
  <c r="J751" i="3" s="1"/>
  <c r="H714" i="2"/>
  <c r="M713" i="2"/>
  <c r="J713" i="2"/>
  <c r="J750" i="3" s="1"/>
  <c r="H713" i="2"/>
  <c r="J712" i="2"/>
  <c r="J749" i="3" s="1"/>
  <c r="H712" i="2"/>
  <c r="M712" i="2" s="1"/>
  <c r="M711" i="2"/>
  <c r="K711" i="2"/>
  <c r="J711" i="2"/>
  <c r="J748" i="3" s="1"/>
  <c r="H711" i="2"/>
  <c r="M710" i="2"/>
  <c r="K710" i="2"/>
  <c r="J710" i="2"/>
  <c r="J747" i="3" s="1"/>
  <c r="H710" i="2"/>
  <c r="J709" i="2"/>
  <c r="H709" i="2"/>
  <c r="M709" i="2" s="1"/>
  <c r="J708" i="2"/>
  <c r="J745" i="3" s="1"/>
  <c r="H708" i="2"/>
  <c r="M707" i="2"/>
  <c r="K707" i="2"/>
  <c r="J707" i="2"/>
  <c r="J744" i="3" s="1"/>
  <c r="H707" i="2"/>
  <c r="K706" i="2"/>
  <c r="J706" i="2"/>
  <c r="J743" i="3" s="1"/>
  <c r="H706" i="2"/>
  <c r="J705" i="2"/>
  <c r="H705" i="2"/>
  <c r="K704" i="2"/>
  <c r="J704" i="2"/>
  <c r="J741" i="3" s="1"/>
  <c r="H704" i="2"/>
  <c r="M704" i="2" s="1"/>
  <c r="M703" i="2"/>
  <c r="K703" i="2"/>
  <c r="J703" i="2"/>
  <c r="J740" i="3" s="1"/>
  <c r="H703" i="2"/>
  <c r="M702" i="2"/>
  <c r="K702" i="2"/>
  <c r="J702" i="2"/>
  <c r="J739" i="3" s="1"/>
  <c r="H702" i="2"/>
  <c r="K701" i="2"/>
  <c r="H701" i="2"/>
  <c r="M701" i="2" s="1"/>
  <c r="J700" i="2"/>
  <c r="H700" i="2"/>
  <c r="K699" i="2"/>
  <c r="J699" i="2"/>
  <c r="J736" i="3" s="1"/>
  <c r="H699" i="2"/>
  <c r="M698" i="2"/>
  <c r="K698" i="2"/>
  <c r="J698" i="2"/>
  <c r="J735" i="3" s="1"/>
  <c r="H698" i="2"/>
  <c r="K697" i="2"/>
  <c r="J697" i="2"/>
  <c r="J734" i="3" s="1"/>
  <c r="H697" i="2"/>
  <c r="M697" i="2" s="1"/>
  <c r="K696" i="2"/>
  <c r="J696" i="2"/>
  <c r="J733" i="3" s="1"/>
  <c r="H696" i="2"/>
  <c r="M696" i="2" s="1"/>
  <c r="J695" i="2"/>
  <c r="J732" i="3" s="1"/>
  <c r="H695" i="2"/>
  <c r="M695" i="2" s="1"/>
  <c r="J694" i="2"/>
  <c r="J731" i="3" s="1"/>
  <c r="H694" i="2"/>
  <c r="M694" i="2" s="1"/>
  <c r="K693" i="2"/>
  <c r="J693" i="2"/>
  <c r="J730" i="3" s="1"/>
  <c r="H693" i="2"/>
  <c r="M693" i="2" s="1"/>
  <c r="J692" i="2"/>
  <c r="H692" i="2"/>
  <c r="M692" i="2" s="1"/>
  <c r="K691" i="2"/>
  <c r="J691" i="2"/>
  <c r="J728" i="3" s="1"/>
  <c r="H691" i="2"/>
  <c r="M690" i="2"/>
  <c r="J690" i="2"/>
  <c r="J727" i="3" s="1"/>
  <c r="H690" i="2"/>
  <c r="M689" i="2"/>
  <c r="K689" i="2"/>
  <c r="J689" i="2"/>
  <c r="J726" i="3" s="1"/>
  <c r="H689" i="2"/>
  <c r="J688" i="2"/>
  <c r="H688" i="2"/>
  <c r="J687" i="2"/>
  <c r="J724" i="3" s="1"/>
  <c r="H687" i="2"/>
  <c r="M687" i="2" s="1"/>
  <c r="M686" i="2"/>
  <c r="K686" i="2"/>
  <c r="J686" i="2"/>
  <c r="J723" i="3" s="1"/>
  <c r="H686" i="2"/>
  <c r="M685" i="2"/>
  <c r="K685" i="2"/>
  <c r="J685" i="2"/>
  <c r="J722" i="3" s="1"/>
  <c r="H685" i="2"/>
  <c r="J684" i="2"/>
  <c r="J721" i="3" s="1"/>
  <c r="H684" i="2"/>
  <c r="M684" i="2" s="1"/>
  <c r="J683" i="2"/>
  <c r="J720" i="3" s="1"/>
  <c r="H683" i="2"/>
  <c r="M683" i="2" s="1"/>
  <c r="M682" i="2"/>
  <c r="J682" i="2"/>
  <c r="J719" i="3" s="1"/>
  <c r="H682" i="2"/>
  <c r="K681" i="2"/>
  <c r="J681" i="2"/>
  <c r="J718" i="3" s="1"/>
  <c r="H681" i="2"/>
  <c r="M681" i="2" s="1"/>
  <c r="J680" i="2"/>
  <c r="H680" i="2"/>
  <c r="M680" i="2" s="1"/>
  <c r="M679" i="2"/>
  <c r="J679" i="2"/>
  <c r="J716" i="3" s="1"/>
  <c r="H679" i="2"/>
  <c r="K678" i="2"/>
  <c r="J678" i="2"/>
  <c r="J715" i="3" s="1"/>
  <c r="H678" i="2"/>
  <c r="M677" i="2"/>
  <c r="K677" i="2"/>
  <c r="J677" i="2"/>
  <c r="J714" i="3" s="1"/>
  <c r="H677" i="2"/>
  <c r="J676" i="2"/>
  <c r="H676" i="2"/>
  <c r="M676" i="2" s="1"/>
  <c r="K675" i="2"/>
  <c r="J675" i="2"/>
  <c r="J712" i="3" s="1"/>
  <c r="H675" i="2"/>
  <c r="M674" i="2"/>
  <c r="K674" i="2"/>
  <c r="J674" i="2"/>
  <c r="J711" i="3" s="1"/>
  <c r="H674" i="2"/>
  <c r="K673" i="2"/>
  <c r="J673" i="2"/>
  <c r="J710" i="3" s="1"/>
  <c r="H673" i="2"/>
  <c r="M673" i="2" s="1"/>
  <c r="J672" i="2"/>
  <c r="J709" i="3" s="1"/>
  <c r="H672" i="2"/>
  <c r="M672" i="2" s="1"/>
  <c r="J671" i="2"/>
  <c r="J708" i="3" s="1"/>
  <c r="H671" i="2"/>
  <c r="J670" i="2"/>
  <c r="J707" i="3" s="1"/>
  <c r="H670" i="2"/>
  <c r="M670" i="2" s="1"/>
  <c r="K669" i="2"/>
  <c r="J669" i="2"/>
  <c r="J706" i="3" s="1"/>
  <c r="H669" i="2"/>
  <c r="M669" i="2" s="1"/>
  <c r="M668" i="2"/>
  <c r="J668" i="2"/>
  <c r="H668" i="2"/>
  <c r="K667" i="2"/>
  <c r="J667" i="2"/>
  <c r="J704" i="3" s="1"/>
  <c r="H667" i="2"/>
  <c r="J666" i="2"/>
  <c r="J703" i="3" s="1"/>
  <c r="H666" i="2"/>
  <c r="J665" i="2"/>
  <c r="J702" i="3" s="1"/>
  <c r="H665" i="2"/>
  <c r="M665" i="2" s="1"/>
  <c r="J664" i="2"/>
  <c r="H664" i="2"/>
  <c r="J663" i="2"/>
  <c r="J700" i="3" s="1"/>
  <c r="H663" i="2"/>
  <c r="M662" i="2"/>
  <c r="K662" i="2"/>
  <c r="J662" i="2"/>
  <c r="J699" i="3" s="1"/>
  <c r="H662" i="2"/>
  <c r="A662" i="2"/>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66" i="2" s="1"/>
  <c r="A1367" i="2" s="1"/>
  <c r="A1368" i="2" s="1"/>
  <c r="A1369" i="2" s="1"/>
  <c r="A1370" i="2" s="1"/>
  <c r="A1371" i="2" s="1"/>
  <c r="A1372" i="2" s="1"/>
  <c r="A1373" i="2" s="1"/>
  <c r="A1374" i="2" s="1"/>
  <c r="A1375" i="2" s="1"/>
  <c r="A1376" i="2" s="1"/>
  <c r="A1377" i="2" s="1"/>
  <c r="A1378" i="2" s="1"/>
  <c r="A1379" i="2" s="1"/>
  <c r="A1382" i="2" s="1"/>
  <c r="K661" i="2"/>
  <c r="J661" i="2"/>
  <c r="J698" i="3" s="1"/>
  <c r="H661" i="2"/>
  <c r="M661" i="2" s="1"/>
  <c r="A661" i="2"/>
  <c r="G660" i="2"/>
  <c r="M659" i="2"/>
  <c r="L659" i="2"/>
  <c r="K659" i="2"/>
  <c r="J659" i="2"/>
  <c r="J670" i="3" s="1"/>
  <c r="G659" i="2"/>
  <c r="M658" i="2"/>
  <c r="J658" i="2"/>
  <c r="G658" i="2"/>
  <c r="L658" i="2" s="1"/>
  <c r="M657" i="2"/>
  <c r="L657" i="2"/>
  <c r="K657" i="2"/>
  <c r="J657" i="2"/>
  <c r="J668" i="3" s="1"/>
  <c r="G657" i="2"/>
  <c r="M656" i="2"/>
  <c r="L656" i="2"/>
  <c r="J656" i="2"/>
  <c r="G656" i="2"/>
  <c r="M655" i="2"/>
  <c r="L655" i="2"/>
  <c r="K655" i="2"/>
  <c r="J655" i="2"/>
  <c r="J666" i="3" s="1"/>
  <c r="G655" i="2"/>
  <c r="L654" i="2"/>
  <c r="J654" i="2"/>
  <c r="G654" i="2"/>
  <c r="M653" i="2"/>
  <c r="L653" i="2"/>
  <c r="K653" i="2"/>
  <c r="J653" i="2"/>
  <c r="J664" i="3" s="1"/>
  <c r="G653" i="2"/>
  <c r="J652" i="2"/>
  <c r="G652" i="2"/>
  <c r="L652" i="2" s="1"/>
  <c r="M651" i="2"/>
  <c r="L651" i="2"/>
  <c r="K651" i="2"/>
  <c r="J651" i="2"/>
  <c r="J662" i="3" s="1"/>
  <c r="G651" i="2"/>
  <c r="J650" i="2"/>
  <c r="G650" i="2"/>
  <c r="L650" i="2" s="1"/>
  <c r="M649" i="2"/>
  <c r="L649" i="2"/>
  <c r="K649" i="2"/>
  <c r="J649" i="2"/>
  <c r="J660" i="3" s="1"/>
  <c r="G649" i="2"/>
  <c r="J648" i="2"/>
  <c r="M648" i="2" s="1"/>
  <c r="G648" i="2"/>
  <c r="L648" i="2" s="1"/>
  <c r="M647" i="2"/>
  <c r="L647" i="2"/>
  <c r="K647" i="2"/>
  <c r="J647" i="2"/>
  <c r="J658" i="3" s="1"/>
  <c r="G647" i="2"/>
  <c r="M646" i="2"/>
  <c r="J646" i="2"/>
  <c r="G646" i="2"/>
  <c r="L646" i="2" s="1"/>
  <c r="M645" i="2"/>
  <c r="L645" i="2"/>
  <c r="K645" i="2"/>
  <c r="J645" i="2"/>
  <c r="J656" i="3" s="1"/>
  <c r="G645" i="2"/>
  <c r="M644" i="2"/>
  <c r="L644" i="2"/>
  <c r="J644" i="2"/>
  <c r="G644" i="2"/>
  <c r="M643" i="2"/>
  <c r="L643" i="2"/>
  <c r="K643" i="2"/>
  <c r="J643" i="2"/>
  <c r="J654" i="3" s="1"/>
  <c r="G643" i="2"/>
  <c r="M642" i="2"/>
  <c r="J642" i="2"/>
  <c r="G642" i="2"/>
  <c r="M641" i="2"/>
  <c r="L641" i="2"/>
  <c r="K641" i="2"/>
  <c r="J641" i="2"/>
  <c r="J652" i="3" s="1"/>
  <c r="G641" i="2"/>
  <c r="M640" i="2"/>
  <c r="L640" i="2"/>
  <c r="J640" i="2"/>
  <c r="G640" i="2"/>
  <c r="M639" i="2"/>
  <c r="L639" i="2"/>
  <c r="K639" i="2"/>
  <c r="J639" i="2"/>
  <c r="J650" i="3" s="1"/>
  <c r="G639" i="2"/>
  <c r="J638" i="2"/>
  <c r="G638" i="2"/>
  <c r="M637" i="2"/>
  <c r="L637" i="2"/>
  <c r="K637" i="2"/>
  <c r="J637" i="2"/>
  <c r="J648" i="3" s="1"/>
  <c r="G637" i="2"/>
  <c r="J636" i="2"/>
  <c r="G636" i="2"/>
  <c r="L636" i="2" s="1"/>
  <c r="M635" i="2"/>
  <c r="L635" i="2"/>
  <c r="K635" i="2"/>
  <c r="J635" i="2"/>
  <c r="J646" i="3" s="1"/>
  <c r="G635" i="2"/>
  <c r="M634" i="2"/>
  <c r="J634" i="2"/>
  <c r="G634" i="2"/>
  <c r="L634" i="2" s="1"/>
  <c r="M633" i="2"/>
  <c r="L633" i="2"/>
  <c r="K633" i="2"/>
  <c r="J633" i="2"/>
  <c r="J644" i="3" s="1"/>
  <c r="G633" i="2"/>
  <c r="M632" i="2"/>
  <c r="L632" i="2"/>
  <c r="J632" i="2"/>
  <c r="G632" i="2"/>
  <c r="M631" i="2"/>
  <c r="L631" i="2"/>
  <c r="K631" i="2"/>
  <c r="J631" i="2"/>
  <c r="J642" i="3" s="1"/>
  <c r="G631" i="2"/>
  <c r="L630" i="2"/>
  <c r="J630" i="2"/>
  <c r="G630" i="2"/>
  <c r="M629" i="2"/>
  <c r="L629" i="2"/>
  <c r="K629" i="2"/>
  <c r="J629" i="2"/>
  <c r="J640" i="3" s="1"/>
  <c r="G629" i="2"/>
  <c r="J628" i="2"/>
  <c r="G628" i="2"/>
  <c r="L628" i="2" s="1"/>
  <c r="M627" i="2"/>
  <c r="L627" i="2"/>
  <c r="K627" i="2"/>
  <c r="J627" i="2"/>
  <c r="J638" i="3" s="1"/>
  <c r="G627" i="2"/>
  <c r="J626" i="2"/>
  <c r="G626" i="2"/>
  <c r="L626" i="2" s="1"/>
  <c r="M625" i="2"/>
  <c r="L625" i="2"/>
  <c r="K625" i="2"/>
  <c r="J625" i="2"/>
  <c r="J636" i="3" s="1"/>
  <c r="G625" i="2"/>
  <c r="J624" i="2"/>
  <c r="M624" i="2" s="1"/>
  <c r="G624" i="2"/>
  <c r="L624" i="2" s="1"/>
  <c r="M623" i="2"/>
  <c r="L623" i="2"/>
  <c r="K623" i="2"/>
  <c r="J623" i="2"/>
  <c r="J634" i="3" s="1"/>
  <c r="G623" i="2"/>
  <c r="M622" i="2"/>
  <c r="J622" i="2"/>
  <c r="G622" i="2"/>
  <c r="L622" i="2" s="1"/>
  <c r="M621" i="2"/>
  <c r="L621" i="2"/>
  <c r="K621" i="2"/>
  <c r="J621" i="2"/>
  <c r="J632" i="3" s="1"/>
  <c r="G621" i="2"/>
  <c r="M620" i="2"/>
  <c r="L620" i="2"/>
  <c r="J620" i="2"/>
  <c r="G620" i="2"/>
  <c r="M619" i="2"/>
  <c r="L619" i="2"/>
  <c r="K619" i="2"/>
  <c r="J619" i="2"/>
  <c r="J630" i="3" s="1"/>
  <c r="G619" i="2"/>
  <c r="M618" i="2"/>
  <c r="J618" i="2"/>
  <c r="G618" i="2"/>
  <c r="M617" i="2"/>
  <c r="L617" i="2"/>
  <c r="K617" i="2"/>
  <c r="J617" i="2"/>
  <c r="J628" i="3" s="1"/>
  <c r="G617" i="2"/>
  <c r="M616" i="2"/>
  <c r="L616" i="2"/>
  <c r="J616" i="2"/>
  <c r="G616" i="2"/>
  <c r="M615" i="2"/>
  <c r="L615" i="2"/>
  <c r="K615" i="2"/>
  <c r="J615" i="2"/>
  <c r="J626" i="3" s="1"/>
  <c r="G615" i="2"/>
  <c r="J614" i="2"/>
  <c r="G614" i="2"/>
  <c r="M613" i="2"/>
  <c r="L613" i="2"/>
  <c r="K613" i="2"/>
  <c r="J613" i="2"/>
  <c r="J624" i="3" s="1"/>
  <c r="G613" i="2"/>
  <c r="J612" i="2"/>
  <c r="G612" i="2"/>
  <c r="L612" i="2" s="1"/>
  <c r="M611" i="2"/>
  <c r="L611" i="2"/>
  <c r="K611" i="2"/>
  <c r="J611" i="2"/>
  <c r="J622" i="3" s="1"/>
  <c r="G611" i="2"/>
  <c r="M610" i="2"/>
  <c r="J610" i="2"/>
  <c r="G610" i="2"/>
  <c r="L610" i="2" s="1"/>
  <c r="M609" i="2"/>
  <c r="L609" i="2"/>
  <c r="K609" i="2"/>
  <c r="J609" i="2"/>
  <c r="J620" i="3" s="1"/>
  <c r="G609" i="2"/>
  <c r="M608" i="2"/>
  <c r="L608" i="2"/>
  <c r="J608" i="2"/>
  <c r="G608" i="2"/>
  <c r="M607" i="2"/>
  <c r="L607" i="2"/>
  <c r="K607" i="2"/>
  <c r="J607" i="2"/>
  <c r="J618" i="3" s="1"/>
  <c r="G607" i="2"/>
  <c r="L606" i="2"/>
  <c r="J606" i="2"/>
  <c r="G606" i="2"/>
  <c r="M605" i="2"/>
  <c r="L605" i="2"/>
  <c r="K605" i="2"/>
  <c r="J605" i="2"/>
  <c r="J616" i="3" s="1"/>
  <c r="G605" i="2"/>
  <c r="J604" i="2"/>
  <c r="G604" i="2"/>
  <c r="L604" i="2" s="1"/>
  <c r="M603" i="2"/>
  <c r="L603" i="2"/>
  <c r="K603" i="2"/>
  <c r="J603" i="2"/>
  <c r="J614" i="3" s="1"/>
  <c r="G603" i="2"/>
  <c r="J602" i="2"/>
  <c r="G602" i="2"/>
  <c r="L602" i="2" s="1"/>
  <c r="M601" i="2"/>
  <c r="L601" i="2"/>
  <c r="K601" i="2"/>
  <c r="J601" i="2"/>
  <c r="J612" i="3" s="1"/>
  <c r="G601" i="2"/>
  <c r="J600" i="2"/>
  <c r="M600" i="2" s="1"/>
  <c r="G600" i="2"/>
  <c r="L600" i="2" s="1"/>
  <c r="J599" i="2"/>
  <c r="J610" i="3" s="1"/>
  <c r="G599" i="2"/>
  <c r="M598" i="2"/>
  <c r="J598" i="2"/>
  <c r="G598" i="2"/>
  <c r="L598" i="2" s="1"/>
  <c r="M597" i="2"/>
  <c r="L597" i="2"/>
  <c r="J597" i="2"/>
  <c r="J608" i="3" s="1"/>
  <c r="G597" i="2"/>
  <c r="M596" i="2"/>
  <c r="L596" i="2"/>
  <c r="J596" i="2"/>
  <c r="G596" i="2"/>
  <c r="M595" i="2"/>
  <c r="L595" i="2"/>
  <c r="K595" i="2"/>
  <c r="J595" i="2"/>
  <c r="J606" i="3" s="1"/>
  <c r="G595" i="2"/>
  <c r="M594" i="2"/>
  <c r="J594" i="2"/>
  <c r="G594" i="2"/>
  <c r="K593" i="2"/>
  <c r="J593" i="2"/>
  <c r="J604" i="3" s="1"/>
  <c r="G593" i="2"/>
  <c r="M592" i="2"/>
  <c r="L592" i="2"/>
  <c r="J592" i="2"/>
  <c r="G592" i="2"/>
  <c r="J591" i="2"/>
  <c r="J602" i="3" s="1"/>
  <c r="G591" i="2"/>
  <c r="J590" i="2"/>
  <c r="G590" i="2"/>
  <c r="J589" i="2"/>
  <c r="J600" i="3" s="1"/>
  <c r="G589" i="2"/>
  <c r="J588" i="2"/>
  <c r="G588" i="2"/>
  <c r="L588" i="2" s="1"/>
  <c r="M587" i="2"/>
  <c r="J587" i="2"/>
  <c r="J598" i="3" s="1"/>
  <c r="G587" i="2"/>
  <c r="M586" i="2"/>
  <c r="J586" i="2"/>
  <c r="G586" i="2"/>
  <c r="L586" i="2" s="1"/>
  <c r="M585" i="2"/>
  <c r="L585" i="2"/>
  <c r="J585" i="2"/>
  <c r="J596" i="3" s="1"/>
  <c r="G585" i="2"/>
  <c r="M584" i="2"/>
  <c r="L584" i="2"/>
  <c r="J584" i="2"/>
  <c r="G584" i="2"/>
  <c r="M583" i="2"/>
  <c r="L583" i="2"/>
  <c r="K583" i="2"/>
  <c r="J583" i="2"/>
  <c r="J594" i="3" s="1"/>
  <c r="G583" i="2"/>
  <c r="L582" i="2"/>
  <c r="J582" i="2"/>
  <c r="G582" i="2"/>
  <c r="M581" i="2"/>
  <c r="L581" i="2"/>
  <c r="J581" i="2"/>
  <c r="J592" i="3" s="1"/>
  <c r="G581" i="2"/>
  <c r="J580" i="2"/>
  <c r="G580" i="2"/>
  <c r="L580" i="2" s="1"/>
  <c r="L579" i="2"/>
  <c r="K579" i="2"/>
  <c r="J579" i="2"/>
  <c r="J590" i="3" s="1"/>
  <c r="G579" i="2"/>
  <c r="J578" i="2"/>
  <c r="G578" i="2"/>
  <c r="L578" i="2" s="1"/>
  <c r="J577" i="2"/>
  <c r="J588" i="3" s="1"/>
  <c r="G577" i="2"/>
  <c r="J576" i="2"/>
  <c r="M576" i="2" s="1"/>
  <c r="G576" i="2"/>
  <c r="L576" i="2" s="1"/>
  <c r="J575" i="2"/>
  <c r="J586" i="3" s="1"/>
  <c r="G575" i="2"/>
  <c r="M574" i="2"/>
  <c r="J574" i="2"/>
  <c r="G574" i="2"/>
  <c r="L574" i="2" s="1"/>
  <c r="M573" i="2"/>
  <c r="L573" i="2"/>
  <c r="J573" i="2"/>
  <c r="J584" i="3" s="1"/>
  <c r="G573" i="2"/>
  <c r="M572" i="2"/>
  <c r="L572" i="2"/>
  <c r="J572" i="2"/>
  <c r="G572" i="2"/>
  <c r="M571" i="2"/>
  <c r="L571" i="2"/>
  <c r="K571" i="2"/>
  <c r="J571" i="2"/>
  <c r="J582" i="3" s="1"/>
  <c r="G571" i="2"/>
  <c r="M570" i="2"/>
  <c r="J570" i="2"/>
  <c r="G570" i="2"/>
  <c r="K569" i="2"/>
  <c r="J569" i="2"/>
  <c r="J580" i="3" s="1"/>
  <c r="G569" i="2"/>
  <c r="M568" i="2"/>
  <c r="L568" i="2"/>
  <c r="J568" i="2"/>
  <c r="G568" i="2"/>
  <c r="J567" i="2"/>
  <c r="J578" i="3" s="1"/>
  <c r="G567" i="2"/>
  <c r="L567" i="2" s="1"/>
  <c r="J566" i="2"/>
  <c r="G566" i="2"/>
  <c r="J565" i="2"/>
  <c r="J576" i="3" s="1"/>
  <c r="G565" i="2"/>
  <c r="L565" i="2" s="1"/>
  <c r="J564" i="2"/>
  <c r="G564" i="2"/>
  <c r="L564" i="2" s="1"/>
  <c r="M563" i="2"/>
  <c r="J563" i="2"/>
  <c r="J574" i="3" s="1"/>
  <c r="G563" i="2"/>
  <c r="L563" i="2" s="1"/>
  <c r="M562" i="2"/>
  <c r="J562" i="2"/>
  <c r="G562" i="2"/>
  <c r="L562" i="2" s="1"/>
  <c r="M561" i="2"/>
  <c r="L561" i="2"/>
  <c r="J561" i="2"/>
  <c r="J572" i="3" s="1"/>
  <c r="G561" i="2"/>
  <c r="M560" i="2"/>
  <c r="L560" i="2"/>
  <c r="J560" i="2"/>
  <c r="G560" i="2"/>
  <c r="M559" i="2"/>
  <c r="L559" i="2"/>
  <c r="K559" i="2"/>
  <c r="J559" i="2"/>
  <c r="J570" i="3" s="1"/>
  <c r="G559" i="2"/>
  <c r="L558" i="2"/>
  <c r="J558" i="2"/>
  <c r="G558" i="2"/>
  <c r="M557" i="2"/>
  <c r="L557" i="2"/>
  <c r="J557" i="2"/>
  <c r="J568" i="3" s="1"/>
  <c r="G557" i="2"/>
  <c r="J556" i="2"/>
  <c r="G556" i="2"/>
  <c r="L556" i="2" s="1"/>
  <c r="L555" i="2"/>
  <c r="K555" i="2"/>
  <c r="J555" i="2"/>
  <c r="J566" i="3" s="1"/>
  <c r="G555" i="2"/>
  <c r="J554" i="2"/>
  <c r="G554" i="2"/>
  <c r="L554" i="2" s="1"/>
  <c r="J553" i="2"/>
  <c r="J564" i="3" s="1"/>
  <c r="G553" i="2"/>
  <c r="L553" i="2" s="1"/>
  <c r="J552" i="2"/>
  <c r="M552" i="2" s="1"/>
  <c r="G552" i="2"/>
  <c r="L552" i="2" s="1"/>
  <c r="M551" i="2"/>
  <c r="J551" i="2"/>
  <c r="J562" i="3" s="1"/>
  <c r="G551" i="2"/>
  <c r="L551" i="2" s="1"/>
  <c r="M550" i="2"/>
  <c r="J550" i="2"/>
  <c r="G550" i="2"/>
  <c r="L550" i="2" s="1"/>
  <c r="M549" i="2"/>
  <c r="L549" i="2"/>
  <c r="J549" i="2"/>
  <c r="J560" i="3" s="1"/>
  <c r="G549" i="2"/>
  <c r="M548" i="2"/>
  <c r="L548" i="2"/>
  <c r="J548" i="2"/>
  <c r="G548" i="2"/>
  <c r="M547" i="2"/>
  <c r="L547" i="2"/>
  <c r="K547" i="2"/>
  <c r="J547" i="2"/>
  <c r="J558" i="3" s="1"/>
  <c r="G547" i="2"/>
  <c r="M546" i="2"/>
  <c r="J546" i="2"/>
  <c r="G546" i="2"/>
  <c r="K545" i="2"/>
  <c r="J545" i="2"/>
  <c r="J556" i="3" s="1"/>
  <c r="G545" i="2"/>
  <c r="M544" i="2"/>
  <c r="L544" i="2"/>
  <c r="J544" i="2"/>
  <c r="G544" i="2"/>
  <c r="J543" i="2"/>
  <c r="J554" i="3" s="1"/>
  <c r="G543" i="2"/>
  <c r="L543" i="2" s="1"/>
  <c r="J542" i="2"/>
  <c r="G542" i="2"/>
  <c r="J541" i="2"/>
  <c r="J552" i="3" s="1"/>
  <c r="G541" i="2"/>
  <c r="L541" i="2" s="1"/>
  <c r="J540" i="2"/>
  <c r="G540" i="2"/>
  <c r="L540" i="2" s="1"/>
  <c r="M539" i="2"/>
  <c r="J539" i="2"/>
  <c r="J550" i="3" s="1"/>
  <c r="G539" i="2"/>
  <c r="L539" i="2" s="1"/>
  <c r="M538" i="2"/>
  <c r="J538" i="2"/>
  <c r="G538" i="2"/>
  <c r="L538" i="2" s="1"/>
  <c r="M537" i="2"/>
  <c r="L537" i="2"/>
  <c r="J537" i="2"/>
  <c r="J548" i="3" s="1"/>
  <c r="G537" i="2"/>
  <c r="M536" i="2"/>
  <c r="L536" i="2"/>
  <c r="J536" i="2"/>
  <c r="G536" i="2"/>
  <c r="M535" i="2"/>
  <c r="L535" i="2"/>
  <c r="K535" i="2"/>
  <c r="J535" i="2"/>
  <c r="J546" i="3" s="1"/>
  <c r="G535" i="2"/>
  <c r="L534" i="2"/>
  <c r="J534" i="2"/>
  <c r="G534" i="2"/>
  <c r="L533" i="2"/>
  <c r="J533" i="2"/>
  <c r="J544" i="3" s="1"/>
  <c r="G533" i="2"/>
  <c r="J532" i="2"/>
  <c r="G532" i="2"/>
  <c r="L532" i="2" s="1"/>
  <c r="K531" i="2"/>
  <c r="J531" i="2"/>
  <c r="J542" i="3" s="1"/>
  <c r="G531" i="2"/>
  <c r="L531" i="2" s="1"/>
  <c r="J530" i="2"/>
  <c r="G530" i="2"/>
  <c r="L530" i="2" s="1"/>
  <c r="J529" i="2"/>
  <c r="J540" i="3" s="1"/>
  <c r="G529" i="2"/>
  <c r="L529" i="2" s="1"/>
  <c r="J528" i="2"/>
  <c r="M528" i="2" s="1"/>
  <c r="G528" i="2"/>
  <c r="L528" i="2" s="1"/>
  <c r="M527" i="2"/>
  <c r="J527" i="2"/>
  <c r="J538" i="3" s="1"/>
  <c r="G527" i="2"/>
  <c r="L527" i="2" s="1"/>
  <c r="M526" i="2"/>
  <c r="J526" i="2"/>
  <c r="G526" i="2"/>
  <c r="L526" i="2" s="1"/>
  <c r="M525" i="2"/>
  <c r="L525" i="2"/>
  <c r="J525" i="2"/>
  <c r="J536" i="3" s="1"/>
  <c r="G525" i="2"/>
  <c r="M524" i="2"/>
  <c r="L524" i="2"/>
  <c r="J524" i="2"/>
  <c r="G524" i="2"/>
  <c r="M523" i="2"/>
  <c r="L523" i="2"/>
  <c r="K523" i="2"/>
  <c r="J523" i="2"/>
  <c r="J534" i="3" s="1"/>
  <c r="G523" i="2"/>
  <c r="M522" i="2"/>
  <c r="J522" i="2"/>
  <c r="G522" i="2"/>
  <c r="K521" i="2"/>
  <c r="J521" i="2"/>
  <c r="J532" i="3" s="1"/>
  <c r="G521" i="2"/>
  <c r="M520" i="2"/>
  <c r="L520" i="2"/>
  <c r="J520" i="2"/>
  <c r="G520" i="2"/>
  <c r="J519" i="2"/>
  <c r="J530" i="3" s="1"/>
  <c r="G519" i="2"/>
  <c r="L519" i="2" s="1"/>
  <c r="G518" i="2"/>
  <c r="L517" i="2"/>
  <c r="J517" i="2"/>
  <c r="G517" i="2"/>
  <c r="K516" i="2"/>
  <c r="J516" i="2"/>
  <c r="J527" i="3" s="1"/>
  <c r="G516" i="2"/>
  <c r="K515" i="2"/>
  <c r="J515" i="2"/>
  <c r="G515" i="2"/>
  <c r="L515" i="2" s="1"/>
  <c r="J514" i="2"/>
  <c r="J525" i="3" s="1"/>
  <c r="G514" i="2"/>
  <c r="L514" i="2" s="1"/>
  <c r="J513" i="2"/>
  <c r="G513" i="2"/>
  <c r="L513" i="2" s="1"/>
  <c r="J512" i="2"/>
  <c r="J523" i="3" s="1"/>
  <c r="G512" i="2"/>
  <c r="L512" i="2" s="1"/>
  <c r="J511" i="2"/>
  <c r="G511" i="2"/>
  <c r="L511" i="2" s="1"/>
  <c r="M510" i="2"/>
  <c r="K510" i="2"/>
  <c r="J510" i="2"/>
  <c r="J521" i="3" s="1"/>
  <c r="G510" i="2"/>
  <c r="L510" i="2" s="1"/>
  <c r="L509" i="2"/>
  <c r="J509" i="2"/>
  <c r="G509" i="2"/>
  <c r="M508" i="2"/>
  <c r="L508" i="2"/>
  <c r="J508" i="2"/>
  <c r="J519" i="3" s="1"/>
  <c r="G508" i="2"/>
  <c r="L507" i="2"/>
  <c r="K507" i="2"/>
  <c r="J507" i="2"/>
  <c r="G507" i="2"/>
  <c r="M506" i="2"/>
  <c r="L506" i="2"/>
  <c r="K506" i="2"/>
  <c r="J506" i="2"/>
  <c r="J517" i="3" s="1"/>
  <c r="G506" i="2"/>
  <c r="K505" i="2"/>
  <c r="J505" i="2"/>
  <c r="G505" i="2"/>
  <c r="L504" i="2"/>
  <c r="J504" i="2"/>
  <c r="J515" i="3" s="1"/>
  <c r="G504" i="2"/>
  <c r="J503" i="2"/>
  <c r="G503" i="2"/>
  <c r="L503" i="2" s="1"/>
  <c r="K502" i="2"/>
  <c r="J502" i="2"/>
  <c r="J513" i="3" s="1"/>
  <c r="G502" i="2"/>
  <c r="L502" i="2" s="1"/>
  <c r="J501" i="2"/>
  <c r="G501" i="2"/>
  <c r="L501" i="2" s="1"/>
  <c r="J500" i="2"/>
  <c r="J511" i="3" s="1"/>
  <c r="G500" i="2"/>
  <c r="L500" i="2" s="1"/>
  <c r="K499" i="2"/>
  <c r="J499" i="2"/>
  <c r="G499" i="2"/>
  <c r="L499" i="2" s="1"/>
  <c r="M498" i="2"/>
  <c r="J498" i="2"/>
  <c r="J509" i="3" s="1"/>
  <c r="G498" i="2"/>
  <c r="L498" i="2" s="1"/>
  <c r="L497" i="2"/>
  <c r="J497" i="2"/>
  <c r="K497" i="2" s="1"/>
  <c r="G497" i="2"/>
  <c r="M496" i="2"/>
  <c r="L496" i="2"/>
  <c r="J496" i="2"/>
  <c r="J507" i="3" s="1"/>
  <c r="G496" i="2"/>
  <c r="L495" i="2"/>
  <c r="K495" i="2"/>
  <c r="J495" i="2"/>
  <c r="G495" i="2"/>
  <c r="M494" i="2"/>
  <c r="L494" i="2"/>
  <c r="K494" i="2"/>
  <c r="J494" i="2"/>
  <c r="J505" i="3" s="1"/>
  <c r="G494" i="2"/>
  <c r="J493" i="2"/>
  <c r="G493" i="2"/>
  <c r="K492" i="2"/>
  <c r="J492" i="2"/>
  <c r="J503" i="3" s="1"/>
  <c r="G492" i="2"/>
  <c r="K491" i="2"/>
  <c r="J491" i="2"/>
  <c r="G491" i="2"/>
  <c r="L491" i="2" s="1"/>
  <c r="J490" i="2"/>
  <c r="J501" i="3" s="1"/>
  <c r="G490" i="2"/>
  <c r="L490" i="2" s="1"/>
  <c r="J489" i="2"/>
  <c r="G489" i="2"/>
  <c r="L489" i="2" s="1"/>
  <c r="J488" i="2"/>
  <c r="J499" i="3" s="1"/>
  <c r="G488" i="2"/>
  <c r="L488" i="2" s="1"/>
  <c r="J487" i="2"/>
  <c r="G487" i="2"/>
  <c r="L487" i="2" s="1"/>
  <c r="M486" i="2"/>
  <c r="K486" i="2"/>
  <c r="J486" i="2"/>
  <c r="J497" i="3" s="1"/>
  <c r="G486" i="2"/>
  <c r="L486" i="2" s="1"/>
  <c r="L485" i="2"/>
  <c r="J485" i="2"/>
  <c r="G485" i="2"/>
  <c r="M484" i="2"/>
  <c r="L484" i="2"/>
  <c r="J484" i="2"/>
  <c r="J495" i="3" s="1"/>
  <c r="G484" i="2"/>
  <c r="L483" i="2"/>
  <c r="K483" i="2"/>
  <c r="J483" i="2"/>
  <c r="G483" i="2"/>
  <c r="M482" i="2"/>
  <c r="L482" i="2"/>
  <c r="K482" i="2"/>
  <c r="J482" i="2"/>
  <c r="J493" i="3" s="1"/>
  <c r="G482" i="2"/>
  <c r="K481" i="2"/>
  <c r="J481" i="2"/>
  <c r="G481" i="2"/>
  <c r="J480" i="2"/>
  <c r="J491" i="3" s="1"/>
  <c r="G480" i="2"/>
  <c r="J479" i="2"/>
  <c r="G479" i="2"/>
  <c r="L479" i="2" s="1"/>
  <c r="K478" i="2"/>
  <c r="J478" i="2"/>
  <c r="J489" i="3" s="1"/>
  <c r="G478" i="2"/>
  <c r="L478" i="2" s="1"/>
  <c r="J477" i="2"/>
  <c r="G477" i="2"/>
  <c r="L477" i="2" s="1"/>
  <c r="J476" i="2"/>
  <c r="J487" i="3" s="1"/>
  <c r="G476" i="2"/>
  <c r="L476" i="2" s="1"/>
  <c r="K475" i="2"/>
  <c r="J475" i="2"/>
  <c r="G475" i="2"/>
  <c r="L475" i="2" s="1"/>
  <c r="M474" i="2"/>
  <c r="J474" i="2"/>
  <c r="J485" i="3" s="1"/>
  <c r="G474" i="2"/>
  <c r="L474" i="2" s="1"/>
  <c r="L473" i="2"/>
  <c r="J473" i="2"/>
  <c r="K473" i="2" s="1"/>
  <c r="G473" i="2"/>
  <c r="M472" i="2"/>
  <c r="L472" i="2"/>
  <c r="J472" i="2"/>
  <c r="J483" i="3" s="1"/>
  <c r="G472" i="2"/>
  <c r="L471" i="2"/>
  <c r="K471" i="2"/>
  <c r="J471" i="2"/>
  <c r="G471" i="2"/>
  <c r="M470" i="2"/>
  <c r="L470" i="2"/>
  <c r="K470" i="2"/>
  <c r="J470" i="2"/>
  <c r="J481" i="3" s="1"/>
  <c r="G470" i="2"/>
  <c r="J469" i="2"/>
  <c r="G469" i="2"/>
  <c r="K468" i="2"/>
  <c r="J468" i="2"/>
  <c r="J479" i="3" s="1"/>
  <c r="G468" i="2"/>
  <c r="K467" i="2"/>
  <c r="J467" i="2"/>
  <c r="G467" i="2"/>
  <c r="L467" i="2" s="1"/>
  <c r="J466" i="2"/>
  <c r="J477" i="3" s="1"/>
  <c r="G466" i="2"/>
  <c r="L466" i="2" s="1"/>
  <c r="J465" i="2"/>
  <c r="G465" i="2"/>
  <c r="L465" i="2" s="1"/>
  <c r="J464" i="2"/>
  <c r="J475" i="3" s="1"/>
  <c r="G464" i="2"/>
  <c r="L464" i="2" s="1"/>
  <c r="J463" i="2"/>
  <c r="G463" i="2"/>
  <c r="L463" i="2" s="1"/>
  <c r="M462" i="2"/>
  <c r="K462" i="2"/>
  <c r="J462" i="2"/>
  <c r="J473" i="3" s="1"/>
  <c r="G462" i="2"/>
  <c r="L462" i="2" s="1"/>
  <c r="L461" i="2"/>
  <c r="J461" i="2"/>
  <c r="G461" i="2"/>
  <c r="M460" i="2"/>
  <c r="L460" i="2"/>
  <c r="J460" i="2"/>
  <c r="J471" i="3" s="1"/>
  <c r="G460" i="2"/>
  <c r="L459" i="2"/>
  <c r="K459" i="2"/>
  <c r="J459" i="2"/>
  <c r="G459" i="2"/>
  <c r="M458" i="2"/>
  <c r="L458" i="2"/>
  <c r="K458" i="2"/>
  <c r="J458" i="2"/>
  <c r="J469" i="3" s="1"/>
  <c r="G458" i="2"/>
  <c r="K457" i="2"/>
  <c r="J457" i="2"/>
  <c r="G457" i="2"/>
  <c r="J456" i="2"/>
  <c r="J467" i="3" s="1"/>
  <c r="G456" i="2"/>
  <c r="J455" i="2"/>
  <c r="G455" i="2"/>
  <c r="L455" i="2" s="1"/>
  <c r="K454" i="2"/>
  <c r="J454" i="2"/>
  <c r="J465" i="3" s="1"/>
  <c r="G454" i="2"/>
  <c r="L454" i="2" s="1"/>
  <c r="J453" i="2"/>
  <c r="G453" i="2"/>
  <c r="L453" i="2" s="1"/>
  <c r="J452" i="2"/>
  <c r="J463" i="3" s="1"/>
  <c r="G452" i="2"/>
  <c r="L452" i="2" s="1"/>
  <c r="K451" i="2"/>
  <c r="J451" i="2"/>
  <c r="G451" i="2"/>
  <c r="L451" i="2" s="1"/>
  <c r="M450" i="2"/>
  <c r="J450" i="2"/>
  <c r="J461" i="3" s="1"/>
  <c r="G450" i="2"/>
  <c r="L450" i="2" s="1"/>
  <c r="L449" i="2"/>
  <c r="J449" i="2"/>
  <c r="K449" i="2" s="1"/>
  <c r="G449" i="2"/>
  <c r="M448" i="2"/>
  <c r="L448" i="2"/>
  <c r="J448" i="2"/>
  <c r="J459" i="3" s="1"/>
  <c r="G448" i="2"/>
  <c r="L447" i="2"/>
  <c r="K447" i="2"/>
  <c r="J447" i="2"/>
  <c r="G447" i="2"/>
  <c r="M446" i="2"/>
  <c r="L446" i="2"/>
  <c r="K446" i="2"/>
  <c r="J446" i="2"/>
  <c r="J457" i="3" s="1"/>
  <c r="G446" i="2"/>
  <c r="J445" i="2"/>
  <c r="G445" i="2"/>
  <c r="K444" i="2"/>
  <c r="J444" i="2"/>
  <c r="J455" i="3" s="1"/>
  <c r="G444" i="2"/>
  <c r="K443" i="2"/>
  <c r="J443" i="2"/>
  <c r="G443" i="2"/>
  <c r="L443" i="2" s="1"/>
  <c r="J442" i="2"/>
  <c r="J453" i="3" s="1"/>
  <c r="G442" i="2"/>
  <c r="L442" i="2" s="1"/>
  <c r="J441" i="2"/>
  <c r="G441" i="2"/>
  <c r="L441" i="2" s="1"/>
  <c r="J440" i="2"/>
  <c r="J451" i="3" s="1"/>
  <c r="G440" i="2"/>
  <c r="L440" i="2" s="1"/>
  <c r="J439" i="2"/>
  <c r="G439" i="2"/>
  <c r="L439" i="2" s="1"/>
  <c r="M438" i="2"/>
  <c r="K438" i="2"/>
  <c r="J438" i="2"/>
  <c r="J449" i="3" s="1"/>
  <c r="G438" i="2"/>
  <c r="L438" i="2" s="1"/>
  <c r="L437" i="2"/>
  <c r="J437" i="2"/>
  <c r="G437" i="2"/>
  <c r="M436" i="2"/>
  <c r="L436" i="2"/>
  <c r="J436" i="2"/>
  <c r="J447" i="3" s="1"/>
  <c r="G436" i="2"/>
  <c r="L435" i="2"/>
  <c r="K435" i="2"/>
  <c r="J435" i="2"/>
  <c r="G435" i="2"/>
  <c r="M434" i="2"/>
  <c r="L434" i="2"/>
  <c r="K434" i="2"/>
  <c r="J434" i="2"/>
  <c r="J445" i="3" s="1"/>
  <c r="G434" i="2"/>
  <c r="K433" i="2"/>
  <c r="J433" i="2"/>
  <c r="G433" i="2"/>
  <c r="J432" i="2"/>
  <c r="J443" i="3" s="1"/>
  <c r="G432" i="2"/>
  <c r="J431" i="2"/>
  <c r="G431" i="2"/>
  <c r="L431" i="2" s="1"/>
  <c r="K430" i="2"/>
  <c r="J430" i="2"/>
  <c r="J441" i="3" s="1"/>
  <c r="G430" i="2"/>
  <c r="L430" i="2" s="1"/>
  <c r="J429" i="2"/>
  <c r="G429" i="2"/>
  <c r="L429" i="2" s="1"/>
  <c r="J428" i="2"/>
  <c r="J439" i="3" s="1"/>
  <c r="G428" i="2"/>
  <c r="L428" i="2" s="1"/>
  <c r="K427" i="2"/>
  <c r="J427" i="2"/>
  <c r="G427" i="2"/>
  <c r="L427" i="2" s="1"/>
  <c r="M426" i="2"/>
  <c r="J426" i="2"/>
  <c r="J437" i="3" s="1"/>
  <c r="G426" i="2"/>
  <c r="L426" i="2" s="1"/>
  <c r="L425" i="2"/>
  <c r="J425" i="2"/>
  <c r="K425" i="2" s="1"/>
  <c r="G425" i="2"/>
  <c r="M424" i="2"/>
  <c r="L424" i="2"/>
  <c r="J424" i="2"/>
  <c r="J435" i="3" s="1"/>
  <c r="G424" i="2"/>
  <c r="L423" i="2"/>
  <c r="K423" i="2"/>
  <c r="J423" i="2"/>
  <c r="G423" i="2"/>
  <c r="M422" i="2"/>
  <c r="L422" i="2"/>
  <c r="K422" i="2"/>
  <c r="J422" i="2"/>
  <c r="J433" i="3" s="1"/>
  <c r="G422" i="2"/>
  <c r="J421" i="2"/>
  <c r="G421" i="2"/>
  <c r="K420" i="2"/>
  <c r="J420" i="2"/>
  <c r="J431" i="3" s="1"/>
  <c r="G420" i="2"/>
  <c r="K419" i="2"/>
  <c r="J419" i="2"/>
  <c r="G419" i="2"/>
  <c r="L419" i="2" s="1"/>
  <c r="J418" i="2"/>
  <c r="J429" i="3" s="1"/>
  <c r="G418" i="2"/>
  <c r="L418" i="2" s="1"/>
  <c r="J417" i="2"/>
  <c r="G417" i="2"/>
  <c r="L417" i="2" s="1"/>
  <c r="J416" i="2"/>
  <c r="J427" i="3" s="1"/>
  <c r="G416" i="2"/>
  <c r="L416" i="2" s="1"/>
  <c r="J415" i="2"/>
  <c r="G415" i="2"/>
  <c r="L415" i="2" s="1"/>
  <c r="M414" i="2"/>
  <c r="K414" i="2"/>
  <c r="J414" i="2"/>
  <c r="J425" i="3" s="1"/>
  <c r="G414" i="2"/>
  <c r="L414" i="2" s="1"/>
  <c r="L413" i="2"/>
  <c r="J413" i="2"/>
  <c r="G413" i="2"/>
  <c r="M412" i="2"/>
  <c r="L412" i="2"/>
  <c r="J412" i="2"/>
  <c r="J423" i="3" s="1"/>
  <c r="G412" i="2"/>
  <c r="L411" i="2"/>
  <c r="K411" i="2"/>
  <c r="J411" i="2"/>
  <c r="G411" i="2"/>
  <c r="M410" i="2"/>
  <c r="L410" i="2"/>
  <c r="K410" i="2"/>
  <c r="J410" i="2"/>
  <c r="J421" i="3" s="1"/>
  <c r="G410" i="2"/>
  <c r="K409" i="2"/>
  <c r="J409" i="2"/>
  <c r="G409" i="2"/>
  <c r="J408" i="2"/>
  <c r="J419" i="3" s="1"/>
  <c r="G408" i="2"/>
  <c r="J407" i="2"/>
  <c r="G407" i="2"/>
  <c r="L407" i="2" s="1"/>
  <c r="K406" i="2"/>
  <c r="J406" i="2"/>
  <c r="J417" i="3" s="1"/>
  <c r="G406" i="2"/>
  <c r="L406" i="2" s="1"/>
  <c r="J405" i="2"/>
  <c r="G405" i="2"/>
  <c r="L405" i="2" s="1"/>
  <c r="J404" i="2"/>
  <c r="J415" i="3" s="1"/>
  <c r="G404" i="2"/>
  <c r="L404" i="2" s="1"/>
  <c r="K403" i="2"/>
  <c r="J403" i="2"/>
  <c r="G403" i="2"/>
  <c r="L403" i="2" s="1"/>
  <c r="M402" i="2"/>
  <c r="J402" i="2"/>
  <c r="J413" i="3" s="1"/>
  <c r="G402" i="2"/>
  <c r="L402" i="2" s="1"/>
  <c r="L401" i="2"/>
  <c r="J401" i="2"/>
  <c r="K401" i="2" s="1"/>
  <c r="G401" i="2"/>
  <c r="M400" i="2"/>
  <c r="L400" i="2"/>
  <c r="J400" i="2"/>
  <c r="J411" i="3" s="1"/>
  <c r="G400" i="2"/>
  <c r="L399" i="2"/>
  <c r="K399" i="2"/>
  <c r="J399" i="2"/>
  <c r="G399" i="2"/>
  <c r="M398" i="2"/>
  <c r="L398" i="2"/>
  <c r="K398" i="2"/>
  <c r="J398" i="2"/>
  <c r="J409" i="3" s="1"/>
  <c r="G398" i="2"/>
  <c r="J397" i="2"/>
  <c r="G397" i="2"/>
  <c r="K396" i="2"/>
  <c r="J396" i="2"/>
  <c r="J407" i="3" s="1"/>
  <c r="G396" i="2"/>
  <c r="K395" i="2"/>
  <c r="J395" i="2"/>
  <c r="G395" i="2"/>
  <c r="L395" i="2" s="1"/>
  <c r="J394" i="2"/>
  <c r="J405" i="3" s="1"/>
  <c r="G394" i="2"/>
  <c r="L394" i="2" s="1"/>
  <c r="J393" i="2"/>
  <c r="G393" i="2"/>
  <c r="L393" i="2" s="1"/>
  <c r="J392" i="2"/>
  <c r="J403" i="3" s="1"/>
  <c r="G392" i="2"/>
  <c r="L392" i="2" s="1"/>
  <c r="J391" i="2"/>
  <c r="G391" i="2"/>
  <c r="L391" i="2" s="1"/>
  <c r="M390" i="2"/>
  <c r="K390" i="2"/>
  <c r="J390" i="2"/>
  <c r="J401" i="3" s="1"/>
  <c r="G390" i="2"/>
  <c r="L390" i="2" s="1"/>
  <c r="L389" i="2"/>
  <c r="J389" i="2"/>
  <c r="G389" i="2"/>
  <c r="M388" i="2"/>
  <c r="L388" i="2"/>
  <c r="J388" i="2"/>
  <c r="J399" i="3" s="1"/>
  <c r="G388" i="2"/>
  <c r="L387" i="2"/>
  <c r="K387" i="2"/>
  <c r="J387" i="2"/>
  <c r="G387" i="2"/>
  <c r="M386" i="2"/>
  <c r="L386" i="2"/>
  <c r="K386" i="2"/>
  <c r="J386" i="2"/>
  <c r="J397" i="3" s="1"/>
  <c r="G386" i="2"/>
  <c r="K385" i="2"/>
  <c r="J385" i="2"/>
  <c r="G385" i="2"/>
  <c r="J384" i="2"/>
  <c r="J395" i="3" s="1"/>
  <c r="G384" i="2"/>
  <c r="J383" i="2"/>
  <c r="G383" i="2"/>
  <c r="L383" i="2" s="1"/>
  <c r="K382" i="2"/>
  <c r="J382" i="2"/>
  <c r="J393" i="3" s="1"/>
  <c r="G382" i="2"/>
  <c r="L382" i="2" s="1"/>
  <c r="J381" i="2"/>
  <c r="G381" i="2"/>
  <c r="L381" i="2" s="1"/>
  <c r="J380" i="2"/>
  <c r="J391" i="3" s="1"/>
  <c r="G380" i="2"/>
  <c r="L380" i="2" s="1"/>
  <c r="K379" i="2"/>
  <c r="J379" i="2"/>
  <c r="G379" i="2"/>
  <c r="L379" i="2" s="1"/>
  <c r="M378" i="2"/>
  <c r="J378" i="2"/>
  <c r="J389" i="3" s="1"/>
  <c r="G378" i="2"/>
  <c r="L378" i="2" s="1"/>
  <c r="L377" i="2"/>
  <c r="J377" i="2"/>
  <c r="K377" i="2" s="1"/>
  <c r="G377" i="2"/>
  <c r="M376" i="2"/>
  <c r="L376" i="2"/>
  <c r="J376" i="2"/>
  <c r="J387" i="3" s="1"/>
  <c r="G376" i="2"/>
  <c r="L375" i="2"/>
  <c r="K375" i="2"/>
  <c r="J375" i="2"/>
  <c r="G375" i="2"/>
  <c r="M374" i="2"/>
  <c r="L374" i="2"/>
  <c r="K374" i="2"/>
  <c r="J374" i="2"/>
  <c r="J385" i="3" s="1"/>
  <c r="G374" i="2"/>
  <c r="J373" i="2"/>
  <c r="G373" i="2"/>
  <c r="K372" i="2"/>
  <c r="J372" i="2"/>
  <c r="J383" i="3" s="1"/>
  <c r="G372" i="2"/>
  <c r="K371" i="2"/>
  <c r="J371" i="2"/>
  <c r="G371" i="2"/>
  <c r="L371" i="2" s="1"/>
  <c r="J370" i="2"/>
  <c r="J381" i="3" s="1"/>
  <c r="G370" i="2"/>
  <c r="L370" i="2" s="1"/>
  <c r="J369" i="2"/>
  <c r="G369" i="2"/>
  <c r="L369" i="2" s="1"/>
  <c r="J368" i="2"/>
  <c r="J379" i="3" s="1"/>
  <c r="G368" i="2"/>
  <c r="L368" i="2" s="1"/>
  <c r="J367" i="2"/>
  <c r="G367" i="2"/>
  <c r="L367" i="2" s="1"/>
  <c r="M366" i="2"/>
  <c r="K366" i="2"/>
  <c r="J366" i="2"/>
  <c r="J377" i="3" s="1"/>
  <c r="G366" i="2"/>
  <c r="L366" i="2" s="1"/>
  <c r="L365" i="2"/>
  <c r="J365" i="2"/>
  <c r="G365" i="2"/>
  <c r="M364" i="2"/>
  <c r="L364" i="2"/>
  <c r="J364" i="2"/>
  <c r="J375" i="3" s="1"/>
  <c r="G364" i="2"/>
  <c r="L363" i="2"/>
  <c r="K363" i="2"/>
  <c r="J363" i="2"/>
  <c r="G363" i="2"/>
  <c r="M362" i="2"/>
  <c r="L362" i="2"/>
  <c r="K362" i="2"/>
  <c r="J362" i="2"/>
  <c r="J373" i="3" s="1"/>
  <c r="G362" i="2"/>
  <c r="K361" i="2"/>
  <c r="J361" i="2"/>
  <c r="G361" i="2"/>
  <c r="J360" i="2"/>
  <c r="J371" i="3" s="1"/>
  <c r="G360" i="2"/>
  <c r="J359" i="2"/>
  <c r="G359" i="2"/>
  <c r="L359" i="2" s="1"/>
  <c r="K358" i="2"/>
  <c r="J358" i="2"/>
  <c r="J369" i="3" s="1"/>
  <c r="G358" i="2"/>
  <c r="L358" i="2" s="1"/>
  <c r="J357" i="2"/>
  <c r="G357" i="2"/>
  <c r="L357" i="2" s="1"/>
  <c r="J356" i="2"/>
  <c r="J367" i="3" s="1"/>
  <c r="G356" i="2"/>
  <c r="L356" i="2" s="1"/>
  <c r="K355" i="2"/>
  <c r="J355" i="2"/>
  <c r="G355" i="2"/>
  <c r="L355" i="2" s="1"/>
  <c r="M354" i="2"/>
  <c r="J354" i="2"/>
  <c r="J365" i="3" s="1"/>
  <c r="G354" i="2"/>
  <c r="L354" i="2" s="1"/>
  <c r="L353" i="2"/>
  <c r="J353" i="2"/>
  <c r="K353" i="2" s="1"/>
  <c r="G353" i="2"/>
  <c r="M352" i="2"/>
  <c r="L352" i="2"/>
  <c r="J352" i="2"/>
  <c r="J363" i="3" s="1"/>
  <c r="G352" i="2"/>
  <c r="L351" i="2"/>
  <c r="K351" i="2"/>
  <c r="J351" i="2"/>
  <c r="G351" i="2"/>
  <c r="M350" i="2"/>
  <c r="L350" i="2"/>
  <c r="K350" i="2"/>
  <c r="J350" i="2"/>
  <c r="J361" i="3" s="1"/>
  <c r="G350" i="2"/>
  <c r="J349" i="2"/>
  <c r="G349" i="2"/>
  <c r="K348" i="2"/>
  <c r="J348" i="2"/>
  <c r="J359" i="3" s="1"/>
  <c r="G348" i="2"/>
  <c r="K347" i="2"/>
  <c r="J347" i="2"/>
  <c r="G347" i="2"/>
  <c r="L347" i="2" s="1"/>
  <c r="J346" i="2"/>
  <c r="G346" i="2"/>
  <c r="L346" i="2" s="1"/>
  <c r="J345" i="2"/>
  <c r="G345" i="2"/>
  <c r="L345" i="2" s="1"/>
  <c r="J344" i="2"/>
  <c r="J355" i="3" s="1"/>
  <c r="G344" i="2"/>
  <c r="L344" i="2" s="1"/>
  <c r="J343" i="2"/>
  <c r="G343" i="2"/>
  <c r="L343" i="2" s="1"/>
  <c r="M342" i="2"/>
  <c r="K342" i="2"/>
  <c r="J342" i="2"/>
  <c r="J353" i="3" s="1"/>
  <c r="G342" i="2"/>
  <c r="L342" i="2" s="1"/>
  <c r="L341" i="2"/>
  <c r="J341" i="2"/>
  <c r="G341" i="2"/>
  <c r="M340" i="2"/>
  <c r="L340" i="2"/>
  <c r="J340" i="2"/>
  <c r="J351" i="3" s="1"/>
  <c r="G340" i="2"/>
  <c r="L339" i="2"/>
  <c r="K339" i="2"/>
  <c r="J339" i="2"/>
  <c r="G339" i="2"/>
  <c r="M338" i="2"/>
  <c r="L338" i="2"/>
  <c r="K338" i="2"/>
  <c r="J338" i="2"/>
  <c r="J349" i="3" s="1"/>
  <c r="G338" i="2"/>
  <c r="K337" i="2"/>
  <c r="J337" i="2"/>
  <c r="G337" i="2"/>
  <c r="J336" i="2"/>
  <c r="J347" i="3" s="1"/>
  <c r="G336" i="2"/>
  <c r="M335" i="2"/>
  <c r="K335" i="2"/>
  <c r="G335" i="2"/>
  <c r="L335" i="2" s="1"/>
  <c r="K334" i="2"/>
  <c r="J334" i="2"/>
  <c r="J345" i="3" s="1"/>
  <c r="G334" i="2"/>
  <c r="L334" i="2" s="1"/>
  <c r="J333" i="2"/>
  <c r="J344" i="3" s="1"/>
  <c r="G333" i="2"/>
  <c r="L333" i="2" s="1"/>
  <c r="J332" i="2"/>
  <c r="J343" i="3" s="1"/>
  <c r="G332" i="2"/>
  <c r="L332" i="2" s="1"/>
  <c r="K331" i="2"/>
  <c r="J331" i="2"/>
  <c r="J342" i="3" s="1"/>
  <c r="G331" i="2"/>
  <c r="L331" i="2" s="1"/>
  <c r="G330" i="2"/>
  <c r="K329" i="2"/>
  <c r="J329" i="2"/>
  <c r="J340" i="3" s="1"/>
  <c r="G329" i="2"/>
  <c r="L329" i="2" s="1"/>
  <c r="J328" i="2"/>
  <c r="J339" i="3" s="1"/>
  <c r="G328" i="2"/>
  <c r="L328" i="2" s="1"/>
  <c r="J327" i="2"/>
  <c r="J338" i="3" s="1"/>
  <c r="G327" i="2"/>
  <c r="L327" i="2" s="1"/>
  <c r="M326" i="2"/>
  <c r="K326" i="2"/>
  <c r="J326" i="2"/>
  <c r="J337" i="3" s="1"/>
  <c r="G326" i="2"/>
  <c r="L326" i="2" s="1"/>
  <c r="M325" i="2"/>
  <c r="J325" i="2"/>
  <c r="J336" i="3" s="1"/>
  <c r="G325" i="2"/>
  <c r="L325" i="2" s="1"/>
  <c r="M324" i="2"/>
  <c r="L324" i="2"/>
  <c r="J324" i="2"/>
  <c r="J335" i="3" s="1"/>
  <c r="G324" i="2"/>
  <c r="M323" i="2"/>
  <c r="L323" i="2"/>
  <c r="J323" i="2"/>
  <c r="J334" i="3" s="1"/>
  <c r="G323" i="2"/>
  <c r="M322" i="2"/>
  <c r="L322" i="2"/>
  <c r="K322" i="2"/>
  <c r="J322" i="2"/>
  <c r="J333" i="3" s="1"/>
  <c r="G322" i="2"/>
  <c r="M321" i="2"/>
  <c r="L321" i="2"/>
  <c r="K321" i="2"/>
  <c r="J321" i="2"/>
  <c r="J332" i="3" s="1"/>
  <c r="G321" i="2"/>
  <c r="J320" i="2"/>
  <c r="J331" i="3" s="1"/>
  <c r="G320" i="2"/>
  <c r="K319" i="2"/>
  <c r="J319" i="2"/>
  <c r="J330" i="3" s="1"/>
  <c r="G319" i="2"/>
  <c r="K318" i="2"/>
  <c r="J318" i="2"/>
  <c r="J329" i="3" s="1"/>
  <c r="G318" i="2"/>
  <c r="L318" i="2" s="1"/>
  <c r="J317" i="2"/>
  <c r="G317" i="2"/>
  <c r="L317" i="2" s="1"/>
  <c r="J316" i="2"/>
  <c r="J327" i="3" s="1"/>
  <c r="G316" i="2"/>
  <c r="L316" i="2" s="1"/>
  <c r="J315" i="2"/>
  <c r="J326" i="3" s="1"/>
  <c r="G315" i="2"/>
  <c r="L315" i="2" s="1"/>
  <c r="M314" i="2"/>
  <c r="J314" i="2"/>
  <c r="J325" i="3" s="1"/>
  <c r="G314" i="2"/>
  <c r="L314" i="2" s="1"/>
  <c r="M313" i="2"/>
  <c r="K313" i="2"/>
  <c r="J313" i="2"/>
  <c r="J324" i="3" s="1"/>
  <c r="G313" i="2"/>
  <c r="L313" i="2" s="1"/>
  <c r="M312" i="2"/>
  <c r="L312" i="2"/>
  <c r="J312" i="2"/>
  <c r="J323" i="3" s="1"/>
  <c r="G312" i="2"/>
  <c r="M311" i="2"/>
  <c r="L311" i="2"/>
  <c r="J311" i="2"/>
  <c r="J322" i="3" s="1"/>
  <c r="G311" i="2"/>
  <c r="M310" i="2"/>
  <c r="L310" i="2"/>
  <c r="K310" i="2"/>
  <c r="J310" i="2"/>
  <c r="J321" i="3" s="1"/>
  <c r="G310" i="2"/>
  <c r="M309" i="2"/>
  <c r="L309" i="2"/>
  <c r="K309" i="2"/>
  <c r="J309" i="2"/>
  <c r="J320" i="3" s="1"/>
  <c r="G309" i="2"/>
  <c r="G308" i="2"/>
  <c r="M307" i="2"/>
  <c r="L307" i="2"/>
  <c r="J307" i="2"/>
  <c r="J318" i="3" s="1"/>
  <c r="G307" i="2"/>
  <c r="M306" i="2"/>
  <c r="L306" i="2"/>
  <c r="K306" i="2"/>
  <c r="J306" i="2"/>
  <c r="J317" i="3" s="1"/>
  <c r="G306" i="2"/>
  <c r="M305" i="2"/>
  <c r="L305" i="2"/>
  <c r="J305" i="2"/>
  <c r="J316" i="3" s="1"/>
  <c r="G305" i="2"/>
  <c r="M304" i="2"/>
  <c r="L304" i="2"/>
  <c r="K304" i="2"/>
  <c r="J304" i="2"/>
  <c r="J315" i="3" s="1"/>
  <c r="G304" i="2"/>
  <c r="M303" i="2"/>
  <c r="L303" i="2"/>
  <c r="J303" i="2"/>
  <c r="J314" i="3" s="1"/>
  <c r="G303" i="2"/>
  <c r="M302" i="2"/>
  <c r="L302" i="2"/>
  <c r="K302" i="2"/>
  <c r="J302" i="2"/>
  <c r="J313" i="3" s="1"/>
  <c r="G302" i="2"/>
  <c r="M301" i="2"/>
  <c r="L301" i="2"/>
  <c r="J301" i="2"/>
  <c r="J312" i="3" s="1"/>
  <c r="G301" i="2"/>
  <c r="M300" i="2"/>
  <c r="L300" i="2"/>
  <c r="K300" i="2"/>
  <c r="J300" i="2"/>
  <c r="J311" i="3" s="1"/>
  <c r="G300" i="2"/>
  <c r="M299" i="2"/>
  <c r="L299" i="2"/>
  <c r="J299" i="2"/>
  <c r="J310" i="3" s="1"/>
  <c r="G299" i="2"/>
  <c r="M298" i="2"/>
  <c r="L298" i="2"/>
  <c r="K298" i="2"/>
  <c r="J298" i="2"/>
  <c r="J309" i="3" s="1"/>
  <c r="G298" i="2"/>
  <c r="M297" i="2"/>
  <c r="L297" i="2"/>
  <c r="J297" i="2"/>
  <c r="J308" i="3" s="1"/>
  <c r="G297" i="2"/>
  <c r="M296" i="2"/>
  <c r="L296" i="2"/>
  <c r="K296" i="2"/>
  <c r="J296" i="2"/>
  <c r="J307" i="3" s="1"/>
  <c r="G296" i="2"/>
  <c r="M295" i="2"/>
  <c r="L295" i="2"/>
  <c r="J295" i="2"/>
  <c r="J306" i="3" s="1"/>
  <c r="G295" i="2"/>
  <c r="M294" i="2"/>
  <c r="L294" i="2"/>
  <c r="K294" i="2"/>
  <c r="J294" i="2"/>
  <c r="J305" i="3" s="1"/>
  <c r="G294" i="2"/>
  <c r="M293" i="2"/>
  <c r="L293" i="2"/>
  <c r="J293" i="2"/>
  <c r="J304" i="3" s="1"/>
  <c r="G293" i="2"/>
  <c r="M292" i="2"/>
  <c r="L292" i="2"/>
  <c r="K292" i="2"/>
  <c r="J292" i="2"/>
  <c r="J303" i="3" s="1"/>
  <c r="G292" i="2"/>
  <c r="M291" i="2"/>
  <c r="L291" i="2"/>
  <c r="J291" i="2"/>
  <c r="J302" i="3" s="1"/>
  <c r="G291" i="2"/>
  <c r="M290" i="2"/>
  <c r="L290" i="2"/>
  <c r="K290" i="2"/>
  <c r="J290" i="2"/>
  <c r="J301" i="3" s="1"/>
  <c r="G290" i="2"/>
  <c r="M289" i="2"/>
  <c r="L289" i="2"/>
  <c r="J289" i="2"/>
  <c r="J300" i="3" s="1"/>
  <c r="G289" i="2"/>
  <c r="M288" i="2"/>
  <c r="L288" i="2"/>
  <c r="K288" i="2"/>
  <c r="J288" i="2"/>
  <c r="J299" i="3" s="1"/>
  <c r="G288" i="2"/>
  <c r="M287" i="2"/>
  <c r="L287" i="2"/>
  <c r="J287" i="2"/>
  <c r="J298" i="3" s="1"/>
  <c r="G287" i="2"/>
  <c r="M286" i="2"/>
  <c r="L286" i="2"/>
  <c r="K286" i="2"/>
  <c r="J286" i="2"/>
  <c r="J297" i="3" s="1"/>
  <c r="G286" i="2"/>
  <c r="M285" i="2"/>
  <c r="L285" i="2"/>
  <c r="J285" i="2"/>
  <c r="J296" i="3" s="1"/>
  <c r="G285" i="2"/>
  <c r="M284" i="2"/>
  <c r="L284" i="2"/>
  <c r="K284" i="2"/>
  <c r="J284" i="2"/>
  <c r="J295" i="3" s="1"/>
  <c r="G284" i="2"/>
  <c r="M283" i="2"/>
  <c r="L283" i="2"/>
  <c r="J283" i="2"/>
  <c r="J294" i="3" s="1"/>
  <c r="G283" i="2"/>
  <c r="M282" i="2"/>
  <c r="L282" i="2"/>
  <c r="K282" i="2"/>
  <c r="J282" i="2"/>
  <c r="J293" i="3" s="1"/>
  <c r="G282" i="2"/>
  <c r="M281" i="2"/>
  <c r="L281" i="2"/>
  <c r="J281" i="2"/>
  <c r="J292" i="3" s="1"/>
  <c r="G281" i="2"/>
  <c r="M280" i="2"/>
  <c r="L280" i="2"/>
  <c r="K280" i="2"/>
  <c r="J280" i="2"/>
  <c r="J291" i="3" s="1"/>
  <c r="G280" i="2"/>
  <c r="M279" i="2"/>
  <c r="L279" i="2"/>
  <c r="J279" i="2"/>
  <c r="J290" i="3" s="1"/>
  <c r="G279" i="2"/>
  <c r="M278" i="2"/>
  <c r="L278" i="2"/>
  <c r="K278" i="2"/>
  <c r="J278" i="2"/>
  <c r="J289" i="3" s="1"/>
  <c r="G278" i="2"/>
  <c r="M277" i="2"/>
  <c r="L277" i="2"/>
  <c r="J277" i="2"/>
  <c r="J288" i="3" s="1"/>
  <c r="G277" i="2"/>
  <c r="M276" i="2"/>
  <c r="L276" i="2"/>
  <c r="K276" i="2"/>
  <c r="J276" i="2"/>
  <c r="J287" i="3" s="1"/>
  <c r="G276" i="2"/>
  <c r="M275" i="2"/>
  <c r="L275" i="2"/>
  <c r="J275" i="2"/>
  <c r="J286" i="3" s="1"/>
  <c r="G275" i="2"/>
  <c r="M274" i="2"/>
  <c r="L274" i="2"/>
  <c r="K274" i="2"/>
  <c r="J274" i="2"/>
  <c r="J285" i="3" s="1"/>
  <c r="G274" i="2"/>
  <c r="M273" i="2"/>
  <c r="L273" i="2"/>
  <c r="J273" i="2"/>
  <c r="J284" i="3" s="1"/>
  <c r="G273" i="2"/>
  <c r="M272" i="2"/>
  <c r="L272" i="2"/>
  <c r="K272" i="2"/>
  <c r="J272" i="2"/>
  <c r="J283" i="3" s="1"/>
  <c r="G272" i="2"/>
  <c r="M271" i="2"/>
  <c r="L271" i="2"/>
  <c r="J271" i="2"/>
  <c r="J282" i="3" s="1"/>
  <c r="G271" i="2"/>
  <c r="M270" i="2"/>
  <c r="L270" i="2"/>
  <c r="K270" i="2"/>
  <c r="J270" i="2"/>
  <c r="J281" i="3" s="1"/>
  <c r="G270" i="2"/>
  <c r="M269" i="2"/>
  <c r="L269" i="2"/>
  <c r="J269" i="2"/>
  <c r="J280" i="3" s="1"/>
  <c r="G269" i="2"/>
  <c r="M268" i="2"/>
  <c r="L268" i="2"/>
  <c r="K268" i="2"/>
  <c r="J268" i="2"/>
  <c r="J279" i="3" s="1"/>
  <c r="G268" i="2"/>
  <c r="G267" i="2"/>
  <c r="J266" i="2"/>
  <c r="J277" i="3" s="1"/>
  <c r="G266" i="2"/>
  <c r="L266" i="2" s="1"/>
  <c r="J265" i="2"/>
  <c r="J276" i="3" s="1"/>
  <c r="G265" i="2"/>
  <c r="L265" i="2" s="1"/>
  <c r="M264" i="2"/>
  <c r="J264" i="2"/>
  <c r="J275" i="3" s="1"/>
  <c r="G264" i="2"/>
  <c r="L264" i="2" s="1"/>
  <c r="M263" i="2"/>
  <c r="J263" i="2"/>
  <c r="J274" i="3" s="1"/>
  <c r="G263" i="2"/>
  <c r="L263" i="2" s="1"/>
  <c r="M262" i="2"/>
  <c r="L262" i="2"/>
  <c r="J262" i="2"/>
  <c r="J273" i="3" s="1"/>
  <c r="G262" i="2"/>
  <c r="M261" i="2"/>
  <c r="L261" i="2"/>
  <c r="J261" i="2"/>
  <c r="J272" i="3" s="1"/>
  <c r="G261" i="2"/>
  <c r="M260" i="2"/>
  <c r="L260" i="2"/>
  <c r="J260" i="2"/>
  <c r="J271" i="3" s="1"/>
  <c r="G260" i="2"/>
  <c r="M259" i="2"/>
  <c r="L259" i="2"/>
  <c r="J259" i="2"/>
  <c r="J270" i="3" s="1"/>
  <c r="G259" i="2"/>
  <c r="M258" i="2"/>
  <c r="L258" i="2"/>
  <c r="J258" i="2"/>
  <c r="J269" i="3" s="1"/>
  <c r="G258" i="2"/>
  <c r="M257" i="2"/>
  <c r="L257" i="2"/>
  <c r="J257" i="2"/>
  <c r="J268" i="3" s="1"/>
  <c r="G257" i="2"/>
  <c r="M256" i="2"/>
  <c r="L256" i="2"/>
  <c r="J256" i="2"/>
  <c r="J267" i="3" s="1"/>
  <c r="G256" i="2"/>
  <c r="M255" i="2"/>
  <c r="L255" i="2"/>
  <c r="J255" i="2"/>
  <c r="J266" i="3" s="1"/>
  <c r="G255" i="2"/>
  <c r="M254" i="2"/>
  <c r="L254" i="2"/>
  <c r="J254" i="2"/>
  <c r="J265" i="3" s="1"/>
  <c r="G254" i="2"/>
  <c r="M253" i="2"/>
  <c r="L253" i="2"/>
  <c r="J253" i="2"/>
  <c r="J264" i="3" s="1"/>
  <c r="G253" i="2"/>
  <c r="M252" i="2"/>
  <c r="L252" i="2"/>
  <c r="J252" i="2"/>
  <c r="J263" i="3" s="1"/>
  <c r="G252" i="2"/>
  <c r="M251" i="2"/>
  <c r="L251" i="2"/>
  <c r="J251" i="2"/>
  <c r="J262" i="3" s="1"/>
  <c r="G251" i="2"/>
  <c r="M250" i="2"/>
  <c r="L250" i="2"/>
  <c r="J250" i="2"/>
  <c r="J261" i="3" s="1"/>
  <c r="G250" i="2"/>
  <c r="M249" i="2"/>
  <c r="L249" i="2"/>
  <c r="J249" i="2"/>
  <c r="J260" i="3" s="1"/>
  <c r="G249" i="2"/>
  <c r="M248" i="2"/>
  <c r="L248" i="2"/>
  <c r="J248" i="2"/>
  <c r="J259" i="3" s="1"/>
  <c r="G248" i="2"/>
  <c r="M247" i="2"/>
  <c r="L247" i="2"/>
  <c r="J247" i="2"/>
  <c r="J258" i="3" s="1"/>
  <c r="G247" i="2"/>
  <c r="M246" i="2"/>
  <c r="L246" i="2"/>
  <c r="J246" i="2"/>
  <c r="J257" i="3" s="1"/>
  <c r="G246" i="2"/>
  <c r="M245" i="2"/>
  <c r="L245" i="2"/>
  <c r="J245" i="2"/>
  <c r="J256" i="3" s="1"/>
  <c r="G245" i="2"/>
  <c r="M244" i="2"/>
  <c r="L244" i="2"/>
  <c r="J244" i="2"/>
  <c r="J255" i="3" s="1"/>
  <c r="G244" i="2"/>
  <c r="M243" i="2"/>
  <c r="L243" i="2"/>
  <c r="J243" i="2"/>
  <c r="J254" i="3" s="1"/>
  <c r="G243" i="2"/>
  <c r="M242" i="2"/>
  <c r="L242" i="2"/>
  <c r="J242" i="2"/>
  <c r="J253" i="3" s="1"/>
  <c r="G242" i="2"/>
  <c r="M241" i="2"/>
  <c r="L241" i="2"/>
  <c r="J241" i="2"/>
  <c r="J252" i="3" s="1"/>
  <c r="G241" i="2"/>
  <c r="M240" i="2"/>
  <c r="L240" i="2"/>
  <c r="J240" i="2"/>
  <c r="J251" i="3" s="1"/>
  <c r="G240" i="2"/>
  <c r="M239" i="2"/>
  <c r="L239" i="2"/>
  <c r="J239" i="2"/>
  <c r="J250" i="3" s="1"/>
  <c r="G239" i="2"/>
  <c r="M238" i="2"/>
  <c r="L238" i="2"/>
  <c r="J238" i="2"/>
  <c r="J249" i="3" s="1"/>
  <c r="G238" i="2"/>
  <c r="M237" i="2"/>
  <c r="L237" i="2"/>
  <c r="J237" i="2"/>
  <c r="J248" i="3" s="1"/>
  <c r="G237" i="2"/>
  <c r="M236" i="2"/>
  <c r="L236" i="2"/>
  <c r="J236" i="2"/>
  <c r="J247" i="3" s="1"/>
  <c r="G236" i="2"/>
  <c r="M235" i="2"/>
  <c r="L235" i="2"/>
  <c r="J235" i="2"/>
  <c r="J246" i="3" s="1"/>
  <c r="G235" i="2"/>
  <c r="M234" i="2"/>
  <c r="L234" i="2"/>
  <c r="J234" i="2"/>
  <c r="J245" i="3" s="1"/>
  <c r="G234" i="2"/>
  <c r="M233" i="2"/>
  <c r="L233" i="2"/>
  <c r="J233" i="2"/>
  <c r="J244" i="3" s="1"/>
  <c r="G233" i="2"/>
  <c r="M232" i="2"/>
  <c r="L232" i="2"/>
  <c r="J232" i="2"/>
  <c r="J243" i="3" s="1"/>
  <c r="G232" i="2"/>
  <c r="M231" i="2"/>
  <c r="L231" i="2"/>
  <c r="J231" i="2"/>
  <c r="J242" i="3" s="1"/>
  <c r="G231" i="2"/>
  <c r="M230" i="2"/>
  <c r="L230" i="2"/>
  <c r="J230" i="2"/>
  <c r="J241" i="3" s="1"/>
  <c r="G230" i="2"/>
  <c r="M229" i="2"/>
  <c r="L229" i="2"/>
  <c r="J229" i="2"/>
  <c r="J240" i="3" s="1"/>
  <c r="G229" i="2"/>
  <c r="M228" i="2"/>
  <c r="L228" i="2"/>
  <c r="J228" i="2"/>
  <c r="J239" i="3" s="1"/>
  <c r="G228" i="2"/>
  <c r="M227" i="2"/>
  <c r="L227" i="2"/>
  <c r="J227" i="2"/>
  <c r="J238" i="3" s="1"/>
  <c r="G227" i="2"/>
  <c r="M226" i="2"/>
  <c r="L226" i="2"/>
  <c r="J226" i="2"/>
  <c r="J237" i="3" s="1"/>
  <c r="G226" i="2"/>
  <c r="M225" i="2"/>
  <c r="L225" i="2"/>
  <c r="J225" i="2"/>
  <c r="J236" i="3" s="1"/>
  <c r="G225" i="2"/>
  <c r="M224" i="2"/>
  <c r="L224" i="2"/>
  <c r="J224" i="2"/>
  <c r="J235" i="3" s="1"/>
  <c r="G224" i="2"/>
  <c r="M223" i="2"/>
  <c r="L223" i="2"/>
  <c r="J223" i="2"/>
  <c r="J234" i="3" s="1"/>
  <c r="G223" i="2"/>
  <c r="M222" i="2"/>
  <c r="L222" i="2"/>
  <c r="J222" i="2"/>
  <c r="J233" i="3" s="1"/>
  <c r="G222" i="2"/>
  <c r="M221" i="2"/>
  <c r="L221" i="2"/>
  <c r="J221" i="2"/>
  <c r="J232" i="3" s="1"/>
  <c r="G221" i="2"/>
  <c r="M220" i="2"/>
  <c r="L220" i="2"/>
  <c r="J220" i="2"/>
  <c r="J231" i="3" s="1"/>
  <c r="G220" i="2"/>
  <c r="M219" i="2"/>
  <c r="L219" i="2"/>
  <c r="J219" i="2"/>
  <c r="J230" i="3" s="1"/>
  <c r="G219" i="2"/>
  <c r="M218" i="2"/>
  <c r="L218" i="2"/>
  <c r="J218" i="2"/>
  <c r="J229" i="3" s="1"/>
  <c r="G218" i="2"/>
  <c r="M217" i="2"/>
  <c r="L217" i="2"/>
  <c r="J217" i="2"/>
  <c r="J228" i="3" s="1"/>
  <c r="G217" i="2"/>
  <c r="M216" i="2"/>
  <c r="L216" i="2"/>
  <c r="J216" i="2"/>
  <c r="J227" i="3" s="1"/>
  <c r="G216" i="2"/>
  <c r="M215" i="2"/>
  <c r="L215" i="2"/>
  <c r="J215" i="2"/>
  <c r="J226" i="3" s="1"/>
  <c r="G215" i="2"/>
  <c r="M214" i="2"/>
  <c r="L214" i="2"/>
  <c r="J214" i="2"/>
  <c r="J225" i="3" s="1"/>
  <c r="G214" i="2"/>
  <c r="M213" i="2"/>
  <c r="L213" i="2"/>
  <c r="J213" i="2"/>
  <c r="J224" i="3" s="1"/>
  <c r="G213" i="2"/>
  <c r="M212" i="2"/>
  <c r="L212" i="2"/>
  <c r="J212" i="2"/>
  <c r="J223" i="3" s="1"/>
  <c r="G212" i="2"/>
  <c r="M211" i="2"/>
  <c r="L211" i="2"/>
  <c r="J211" i="2"/>
  <c r="J222" i="3" s="1"/>
  <c r="G211" i="2"/>
  <c r="M210" i="2"/>
  <c r="L210" i="2"/>
  <c r="J210" i="2"/>
  <c r="J221" i="3" s="1"/>
  <c r="G210" i="2"/>
  <c r="M209" i="2"/>
  <c r="L209" i="2"/>
  <c r="J209" i="2"/>
  <c r="J220" i="3" s="1"/>
  <c r="G209" i="2"/>
  <c r="M208" i="2"/>
  <c r="L208" i="2"/>
  <c r="J208" i="2"/>
  <c r="J219" i="3" s="1"/>
  <c r="G208" i="2"/>
  <c r="M207" i="2"/>
  <c r="L207" i="2"/>
  <c r="J207" i="2"/>
  <c r="J218" i="3" s="1"/>
  <c r="G207" i="2"/>
  <c r="M206" i="2"/>
  <c r="L206" i="2"/>
  <c r="J206" i="2"/>
  <c r="J217" i="3" s="1"/>
  <c r="G206" i="2"/>
  <c r="M205" i="2"/>
  <c r="L205" i="2"/>
  <c r="J205" i="2"/>
  <c r="J216" i="3" s="1"/>
  <c r="G205" i="2"/>
  <c r="M204" i="2"/>
  <c r="J204" i="2"/>
  <c r="J215" i="3" s="1"/>
  <c r="G204" i="2"/>
  <c r="L204" i="2" s="1"/>
  <c r="M203" i="2"/>
  <c r="L203" i="2"/>
  <c r="J203" i="2"/>
  <c r="J214" i="3" s="1"/>
  <c r="G203" i="2"/>
  <c r="M202" i="2"/>
  <c r="L202" i="2"/>
  <c r="J202" i="2"/>
  <c r="J213" i="3" s="1"/>
  <c r="G202" i="2"/>
  <c r="M201" i="2"/>
  <c r="L201" i="2"/>
  <c r="J201" i="2"/>
  <c r="J212" i="3" s="1"/>
  <c r="G201" i="2"/>
  <c r="M200" i="2"/>
  <c r="L200" i="2"/>
  <c r="J200" i="2"/>
  <c r="J211" i="3" s="1"/>
  <c r="G200" i="2"/>
  <c r="M199" i="2"/>
  <c r="L199" i="2"/>
  <c r="J199" i="2"/>
  <c r="J210" i="3" s="1"/>
  <c r="G199" i="2"/>
  <c r="M198" i="2"/>
  <c r="J198" i="2"/>
  <c r="J209" i="3" s="1"/>
  <c r="G198" i="2"/>
  <c r="L198" i="2" s="1"/>
  <c r="M197" i="2"/>
  <c r="L197" i="2"/>
  <c r="J197" i="2"/>
  <c r="J208" i="3" s="1"/>
  <c r="G197" i="2"/>
  <c r="M196" i="2"/>
  <c r="L196" i="2"/>
  <c r="J196" i="2"/>
  <c r="J207" i="3" s="1"/>
  <c r="G196" i="2"/>
  <c r="M195" i="2"/>
  <c r="L195" i="2"/>
  <c r="J195" i="2"/>
  <c r="J206" i="3" s="1"/>
  <c r="G195" i="2"/>
  <c r="M194" i="2"/>
  <c r="L194" i="2"/>
  <c r="J194" i="2"/>
  <c r="J205" i="3" s="1"/>
  <c r="G194" i="2"/>
  <c r="M193" i="2"/>
  <c r="L193" i="2"/>
  <c r="J193" i="2"/>
  <c r="J204" i="3" s="1"/>
  <c r="G193" i="2"/>
  <c r="M192" i="2"/>
  <c r="J192" i="2"/>
  <c r="J203" i="3" s="1"/>
  <c r="G192" i="2"/>
  <c r="L192" i="2" s="1"/>
  <c r="M191" i="2"/>
  <c r="L191" i="2"/>
  <c r="J191" i="2"/>
  <c r="J202" i="3" s="1"/>
  <c r="G191" i="2"/>
  <c r="M190" i="2"/>
  <c r="L190" i="2"/>
  <c r="J190" i="2"/>
  <c r="J201" i="3" s="1"/>
  <c r="G190" i="2"/>
  <c r="M189" i="2"/>
  <c r="L189" i="2"/>
  <c r="J189" i="2"/>
  <c r="J200" i="3" s="1"/>
  <c r="G189" i="2"/>
  <c r="M188" i="2"/>
  <c r="L188" i="2"/>
  <c r="J188" i="2"/>
  <c r="J199" i="3" s="1"/>
  <c r="G188" i="2"/>
  <c r="M187" i="2"/>
  <c r="L187" i="2"/>
  <c r="J187" i="2"/>
  <c r="J198" i="3" s="1"/>
  <c r="G187" i="2"/>
  <c r="M186" i="2"/>
  <c r="J186" i="2"/>
  <c r="J197" i="3" s="1"/>
  <c r="G186" i="2"/>
  <c r="L186" i="2" s="1"/>
  <c r="M185" i="2"/>
  <c r="L185" i="2"/>
  <c r="J185" i="2"/>
  <c r="J196" i="3" s="1"/>
  <c r="G185" i="2"/>
  <c r="M184" i="2"/>
  <c r="L184" i="2"/>
  <c r="J184" i="2"/>
  <c r="J195" i="3" s="1"/>
  <c r="G184" i="2"/>
  <c r="M183" i="2"/>
  <c r="L183" i="2"/>
  <c r="J183" i="2"/>
  <c r="J194" i="3" s="1"/>
  <c r="G183" i="2"/>
  <c r="M182" i="2"/>
  <c r="L182" i="2"/>
  <c r="J182" i="2"/>
  <c r="J193" i="3" s="1"/>
  <c r="G182" i="2"/>
  <c r="M181" i="2"/>
  <c r="L181" i="2"/>
  <c r="J181" i="2"/>
  <c r="J192" i="3" s="1"/>
  <c r="G181" i="2"/>
  <c r="M180" i="2"/>
  <c r="J180" i="2"/>
  <c r="J191" i="3" s="1"/>
  <c r="G180" i="2"/>
  <c r="L180" i="2" s="1"/>
  <c r="M179" i="2"/>
  <c r="L179" i="2"/>
  <c r="J179" i="2"/>
  <c r="J190" i="3" s="1"/>
  <c r="G179" i="2"/>
  <c r="M178" i="2"/>
  <c r="L178" i="2"/>
  <c r="J178" i="2"/>
  <c r="J189" i="3" s="1"/>
  <c r="G178" i="2"/>
  <c r="M177" i="2"/>
  <c r="L177" i="2"/>
  <c r="J177" i="2"/>
  <c r="J188" i="3" s="1"/>
  <c r="G177" i="2"/>
  <c r="M176" i="2"/>
  <c r="L176" i="2"/>
  <c r="J176" i="2"/>
  <c r="J187" i="3" s="1"/>
  <c r="G176" i="2"/>
  <c r="M175" i="2"/>
  <c r="L175" i="2"/>
  <c r="J175" i="2"/>
  <c r="J186" i="3" s="1"/>
  <c r="G175" i="2"/>
  <c r="M174" i="2"/>
  <c r="J174" i="2"/>
  <c r="J185" i="3" s="1"/>
  <c r="G174" i="2"/>
  <c r="L174" i="2" s="1"/>
  <c r="M173" i="2"/>
  <c r="L173" i="2"/>
  <c r="J173" i="2"/>
  <c r="J184" i="3" s="1"/>
  <c r="G173" i="2"/>
  <c r="M172" i="2"/>
  <c r="L172" i="2"/>
  <c r="J172" i="2"/>
  <c r="J183" i="3" s="1"/>
  <c r="G172" i="2"/>
  <c r="M171" i="2"/>
  <c r="L171" i="2"/>
  <c r="J171" i="2"/>
  <c r="J182" i="3" s="1"/>
  <c r="G171" i="2"/>
  <c r="M170" i="2"/>
  <c r="L170" i="2"/>
  <c r="J170" i="2"/>
  <c r="J181" i="3" s="1"/>
  <c r="G170" i="2"/>
  <c r="M169" i="2"/>
  <c r="L169" i="2"/>
  <c r="J169" i="2"/>
  <c r="J180" i="3" s="1"/>
  <c r="G169" i="2"/>
  <c r="M168" i="2"/>
  <c r="J168" i="2"/>
  <c r="J179" i="3" s="1"/>
  <c r="G168" i="2"/>
  <c r="L168" i="2" s="1"/>
  <c r="M167" i="2"/>
  <c r="L167" i="2"/>
  <c r="J167" i="2"/>
  <c r="J178" i="3" s="1"/>
  <c r="G167" i="2"/>
  <c r="M166" i="2"/>
  <c r="L166" i="2"/>
  <c r="J166" i="2"/>
  <c r="J177" i="3" s="1"/>
  <c r="G166" i="2"/>
  <c r="M165" i="2"/>
  <c r="L165" i="2"/>
  <c r="J165" i="2"/>
  <c r="J176" i="3" s="1"/>
  <c r="G165" i="2"/>
  <c r="M164" i="2"/>
  <c r="L164" i="2"/>
  <c r="J164" i="2"/>
  <c r="J175" i="3" s="1"/>
  <c r="G164" i="2"/>
  <c r="M163" i="2"/>
  <c r="L163" i="2"/>
  <c r="J163" i="2"/>
  <c r="J174" i="3" s="1"/>
  <c r="G163" i="2"/>
  <c r="M162" i="2"/>
  <c r="J162" i="2"/>
  <c r="J173" i="3" s="1"/>
  <c r="G162" i="2"/>
  <c r="L162" i="2" s="1"/>
  <c r="M161" i="2"/>
  <c r="L161" i="2"/>
  <c r="J161" i="2"/>
  <c r="J172" i="3" s="1"/>
  <c r="G161" i="2"/>
  <c r="M160" i="2"/>
  <c r="L160" i="2"/>
  <c r="J160" i="2"/>
  <c r="J171" i="3" s="1"/>
  <c r="G160" i="2"/>
  <c r="M159" i="2"/>
  <c r="L159" i="2"/>
  <c r="J159" i="2"/>
  <c r="J170" i="3" s="1"/>
  <c r="G159" i="2"/>
  <c r="M158" i="2"/>
  <c r="L158" i="2"/>
  <c r="J158" i="2"/>
  <c r="J169" i="3" s="1"/>
  <c r="G158" i="2"/>
  <c r="M157" i="2"/>
  <c r="L157" i="2"/>
  <c r="J157" i="2"/>
  <c r="J168" i="3" s="1"/>
  <c r="G157" i="2"/>
  <c r="M156" i="2"/>
  <c r="J156" i="2"/>
  <c r="J167" i="3" s="1"/>
  <c r="G156" i="2"/>
  <c r="L156" i="2" s="1"/>
  <c r="M155" i="2"/>
  <c r="L155" i="2"/>
  <c r="J155" i="2"/>
  <c r="J166" i="3" s="1"/>
  <c r="G155" i="2"/>
  <c r="M154" i="2"/>
  <c r="L154" i="2"/>
  <c r="J154" i="2"/>
  <c r="J165" i="3" s="1"/>
  <c r="G154" i="2"/>
  <c r="M153" i="2"/>
  <c r="L153" i="2"/>
  <c r="J153" i="2"/>
  <c r="J164" i="3" s="1"/>
  <c r="G153" i="2"/>
  <c r="M152" i="2"/>
  <c r="L152" i="2"/>
  <c r="J152" i="2"/>
  <c r="J163" i="3" s="1"/>
  <c r="G152" i="2"/>
  <c r="M151" i="2"/>
  <c r="L151" i="2"/>
  <c r="J151" i="2"/>
  <c r="J162" i="3" s="1"/>
  <c r="G151" i="2"/>
  <c r="M150" i="2"/>
  <c r="J150" i="2"/>
  <c r="J161" i="3" s="1"/>
  <c r="G150" i="2"/>
  <c r="L150" i="2" s="1"/>
  <c r="M149" i="2"/>
  <c r="L149" i="2"/>
  <c r="J149" i="2"/>
  <c r="J160" i="3" s="1"/>
  <c r="G149" i="2"/>
  <c r="M148" i="2"/>
  <c r="L148" i="2"/>
  <c r="J148" i="2"/>
  <c r="J159" i="3" s="1"/>
  <c r="G148" i="2"/>
  <c r="M147" i="2"/>
  <c r="L147" i="2"/>
  <c r="J147" i="2"/>
  <c r="J158" i="3" s="1"/>
  <c r="G147" i="2"/>
  <c r="M146" i="2"/>
  <c r="L146" i="2"/>
  <c r="J146" i="2"/>
  <c r="J157" i="3" s="1"/>
  <c r="G146" i="2"/>
  <c r="M145" i="2"/>
  <c r="L145" i="2"/>
  <c r="J145" i="2"/>
  <c r="J156" i="3" s="1"/>
  <c r="G145" i="2"/>
  <c r="M144" i="2"/>
  <c r="J144" i="2"/>
  <c r="J155" i="3" s="1"/>
  <c r="G144" i="2"/>
  <c r="L144" i="2" s="1"/>
  <c r="M143" i="2"/>
  <c r="L143" i="2"/>
  <c r="J143" i="2"/>
  <c r="J154" i="3" s="1"/>
  <c r="G143" i="2"/>
  <c r="M142" i="2"/>
  <c r="L142" i="2"/>
  <c r="J142" i="2"/>
  <c r="J153" i="3" s="1"/>
  <c r="G142" i="2"/>
  <c r="M141" i="2"/>
  <c r="L141" i="2"/>
  <c r="J141" i="2"/>
  <c r="J152" i="3" s="1"/>
  <c r="G141" i="2"/>
  <c r="M140" i="2"/>
  <c r="L140" i="2"/>
  <c r="J140" i="2"/>
  <c r="J151" i="3" s="1"/>
  <c r="G140" i="2"/>
  <c r="M139" i="2"/>
  <c r="L139" i="2"/>
  <c r="J139" i="2"/>
  <c r="J150" i="3" s="1"/>
  <c r="G139" i="2"/>
  <c r="M138" i="2"/>
  <c r="J138" i="2"/>
  <c r="J149" i="3" s="1"/>
  <c r="G138" i="2"/>
  <c r="L138" i="2" s="1"/>
  <c r="M137" i="2"/>
  <c r="L137" i="2"/>
  <c r="J137" i="2"/>
  <c r="J148" i="3" s="1"/>
  <c r="G137" i="2"/>
  <c r="M136" i="2"/>
  <c r="L136" i="2"/>
  <c r="J136" i="2"/>
  <c r="J147" i="3" s="1"/>
  <c r="G136" i="2"/>
  <c r="M135" i="2"/>
  <c r="L135" i="2"/>
  <c r="J135" i="2"/>
  <c r="J146" i="3" s="1"/>
  <c r="G135" i="2"/>
  <c r="M134" i="2"/>
  <c r="L134" i="2"/>
  <c r="J134" i="2"/>
  <c r="J145" i="3" s="1"/>
  <c r="G134" i="2"/>
  <c r="M133" i="2"/>
  <c r="L133" i="2"/>
  <c r="J133" i="2"/>
  <c r="J144" i="3" s="1"/>
  <c r="G133" i="2"/>
  <c r="M132" i="2"/>
  <c r="J132" i="2"/>
  <c r="J143" i="3" s="1"/>
  <c r="G132" i="2"/>
  <c r="L132" i="2" s="1"/>
  <c r="M131" i="2"/>
  <c r="L131" i="2"/>
  <c r="J131" i="2"/>
  <c r="J142" i="3" s="1"/>
  <c r="G131" i="2"/>
  <c r="M130" i="2"/>
  <c r="L130" i="2"/>
  <c r="J130" i="2"/>
  <c r="J141" i="3" s="1"/>
  <c r="G130" i="2"/>
  <c r="M129" i="2"/>
  <c r="L129" i="2"/>
  <c r="J129" i="2"/>
  <c r="J140" i="3" s="1"/>
  <c r="G129" i="2"/>
  <c r="G128" i="2"/>
  <c r="K127" i="2"/>
  <c r="J127" i="2"/>
  <c r="J138" i="3" s="1"/>
  <c r="G127" i="2"/>
  <c r="L127" i="2" s="1"/>
  <c r="K126" i="2"/>
  <c r="J126" i="2"/>
  <c r="J137" i="3" s="1"/>
  <c r="G126" i="2"/>
  <c r="L126" i="2" s="1"/>
  <c r="K125" i="2"/>
  <c r="J125" i="2"/>
  <c r="J136" i="3" s="1"/>
  <c r="G125" i="2"/>
  <c r="L125" i="2" s="1"/>
  <c r="M124" i="2"/>
  <c r="L124" i="2"/>
  <c r="K124" i="2"/>
  <c r="G124" i="2"/>
  <c r="J123" i="2"/>
  <c r="G123" i="2"/>
  <c r="L123" i="2" s="1"/>
  <c r="M122" i="2"/>
  <c r="J122" i="2"/>
  <c r="J133" i="3" s="1"/>
  <c r="G122" i="2"/>
  <c r="L122" i="2" s="1"/>
  <c r="J121" i="2"/>
  <c r="G121" i="2"/>
  <c r="L121" i="2" s="1"/>
  <c r="M120" i="2"/>
  <c r="J120" i="2"/>
  <c r="J131" i="3" s="1"/>
  <c r="G120" i="2"/>
  <c r="L120" i="2" s="1"/>
  <c r="M119" i="2"/>
  <c r="K119" i="2"/>
  <c r="G119" i="2"/>
  <c r="L119" i="2" s="1"/>
  <c r="M118" i="2"/>
  <c r="L118" i="2"/>
  <c r="J118" i="2"/>
  <c r="J129" i="3" s="1"/>
  <c r="G118" i="2"/>
  <c r="M117" i="2"/>
  <c r="J117" i="2"/>
  <c r="J128" i="3" s="1"/>
  <c r="G117" i="2"/>
  <c r="L117" i="2" s="1"/>
  <c r="M116" i="2"/>
  <c r="L116" i="2"/>
  <c r="J116" i="2"/>
  <c r="J127" i="3" s="1"/>
  <c r="G116" i="2"/>
  <c r="M115" i="2"/>
  <c r="L115" i="2"/>
  <c r="K115" i="2"/>
  <c r="G115" i="2"/>
  <c r="M114" i="2"/>
  <c r="L114" i="2"/>
  <c r="K114" i="2"/>
  <c r="J114" i="2"/>
  <c r="J125" i="3" s="1"/>
  <c r="G114" i="2"/>
  <c r="M113" i="2"/>
  <c r="L113" i="2"/>
  <c r="K113" i="2"/>
  <c r="J113" i="2"/>
  <c r="J124" i="3" s="1"/>
  <c r="G113" i="2"/>
  <c r="M112" i="2"/>
  <c r="L112" i="2"/>
  <c r="K112" i="2"/>
  <c r="J112" i="2"/>
  <c r="J123" i="3" s="1"/>
  <c r="G112" i="2"/>
  <c r="M111" i="2"/>
  <c r="L111" i="2"/>
  <c r="K111" i="2"/>
  <c r="J111" i="2"/>
  <c r="J122" i="3" s="1"/>
  <c r="G111" i="2"/>
  <c r="M110" i="2"/>
  <c r="L110" i="2"/>
  <c r="K110" i="2"/>
  <c r="J110" i="2"/>
  <c r="J121" i="3" s="1"/>
  <c r="G110" i="2"/>
  <c r="M109" i="2"/>
  <c r="L109" i="2"/>
  <c r="K109" i="2"/>
  <c r="J109" i="2"/>
  <c r="J120" i="3" s="1"/>
  <c r="G109" i="2"/>
  <c r="M108" i="2"/>
  <c r="L108" i="2"/>
  <c r="K108" i="2"/>
  <c r="J108" i="2"/>
  <c r="J119" i="3" s="1"/>
  <c r="G108" i="2"/>
  <c r="M107" i="2"/>
  <c r="L107" i="2"/>
  <c r="K107" i="2"/>
  <c r="J107" i="2"/>
  <c r="J118" i="3" s="1"/>
  <c r="G107" i="2"/>
  <c r="M106" i="2"/>
  <c r="L106" i="2"/>
  <c r="K106" i="2"/>
  <c r="J106" i="2"/>
  <c r="J117" i="3" s="1"/>
  <c r="G106" i="2"/>
  <c r="M105" i="2"/>
  <c r="L105" i="2"/>
  <c r="K105" i="2"/>
  <c r="J105" i="2"/>
  <c r="J116" i="3" s="1"/>
  <c r="G105" i="2"/>
  <c r="M104" i="2"/>
  <c r="L104" i="2"/>
  <c r="K104" i="2"/>
  <c r="J104" i="2"/>
  <c r="J115" i="3" s="1"/>
  <c r="G104" i="2"/>
  <c r="M103" i="2"/>
  <c r="L103" i="2"/>
  <c r="K103" i="2"/>
  <c r="J103" i="2"/>
  <c r="J114" i="3" s="1"/>
  <c r="G103" i="2"/>
  <c r="M102" i="2"/>
  <c r="L102" i="2"/>
  <c r="K102" i="2"/>
  <c r="J102" i="2"/>
  <c r="J113" i="3" s="1"/>
  <c r="G102" i="2"/>
  <c r="M101" i="2"/>
  <c r="G101" i="2"/>
  <c r="K100" i="2"/>
  <c r="J100" i="2"/>
  <c r="J101" i="3" s="1"/>
  <c r="G100" i="2"/>
  <c r="L100" i="2" s="1"/>
  <c r="K99" i="2"/>
  <c r="J99" i="2"/>
  <c r="J100" i="3" s="1"/>
  <c r="G99" i="2"/>
  <c r="L99" i="2" s="1"/>
  <c r="K98" i="2"/>
  <c r="J98" i="2"/>
  <c r="J99" i="3" s="1"/>
  <c r="G98" i="2"/>
  <c r="L98" i="2" s="1"/>
  <c r="K97" i="2"/>
  <c r="J97" i="2"/>
  <c r="J98" i="3" s="1"/>
  <c r="G97" i="2"/>
  <c r="L97" i="2" s="1"/>
  <c r="L96" i="2"/>
  <c r="K96" i="2"/>
  <c r="J96" i="2"/>
  <c r="J97" i="3" s="1"/>
  <c r="G96" i="2"/>
  <c r="K95" i="2"/>
  <c r="J95" i="2"/>
  <c r="J96" i="3" s="1"/>
  <c r="G95" i="2"/>
  <c r="L95" i="2" s="1"/>
  <c r="K94" i="2"/>
  <c r="J94" i="2"/>
  <c r="J95" i="3" s="1"/>
  <c r="G94" i="2"/>
  <c r="L94" i="2" s="1"/>
  <c r="K93" i="2"/>
  <c r="J93" i="2"/>
  <c r="J94" i="3" s="1"/>
  <c r="G93" i="2"/>
  <c r="L93" i="2" s="1"/>
  <c r="L92" i="2"/>
  <c r="K92" i="2"/>
  <c r="J92" i="2"/>
  <c r="J93" i="3" s="1"/>
  <c r="G92" i="2"/>
  <c r="K91" i="2"/>
  <c r="J91" i="2"/>
  <c r="J92" i="3" s="1"/>
  <c r="G91" i="2"/>
  <c r="L91" i="2" s="1"/>
  <c r="K90" i="2"/>
  <c r="J90" i="2"/>
  <c r="J91" i="3" s="1"/>
  <c r="G90" i="2"/>
  <c r="L90" i="2" s="1"/>
  <c r="K89" i="2"/>
  <c r="J89" i="2"/>
  <c r="J90" i="3" s="1"/>
  <c r="G89" i="2"/>
  <c r="L89" i="2" s="1"/>
  <c r="L88" i="2"/>
  <c r="K88" i="2"/>
  <c r="J88" i="2"/>
  <c r="J89" i="3" s="1"/>
  <c r="G88" i="2"/>
  <c r="K87" i="2"/>
  <c r="J87" i="2"/>
  <c r="J88" i="3" s="1"/>
  <c r="G87" i="2"/>
  <c r="L87" i="2" s="1"/>
  <c r="J86" i="2"/>
  <c r="G86" i="2"/>
  <c r="L86" i="2" s="1"/>
  <c r="K85" i="2"/>
  <c r="J85" i="2"/>
  <c r="J86" i="3" s="1"/>
  <c r="G85" i="2"/>
  <c r="L85" i="2" s="1"/>
  <c r="J84" i="2"/>
  <c r="G84" i="2"/>
  <c r="K83" i="2"/>
  <c r="J83" i="2"/>
  <c r="J84" i="3" s="1"/>
  <c r="G83" i="2"/>
  <c r="L83" i="2" s="1"/>
  <c r="K82" i="2"/>
  <c r="J82" i="2"/>
  <c r="G82" i="2"/>
  <c r="L82" i="2" s="1"/>
  <c r="K81" i="2"/>
  <c r="J81" i="2"/>
  <c r="J82" i="3" s="1"/>
  <c r="G81" i="2"/>
  <c r="L81" i="2" s="1"/>
  <c r="L80" i="2"/>
  <c r="J80" i="2"/>
  <c r="G80" i="2"/>
  <c r="M79" i="2"/>
  <c r="G79" i="2"/>
  <c r="M78" i="2"/>
  <c r="K78" i="2"/>
  <c r="J78" i="2"/>
  <c r="J79" i="3" s="1"/>
  <c r="G78" i="2"/>
  <c r="L78" i="2" s="1"/>
  <c r="M77" i="2"/>
  <c r="L77" i="2"/>
  <c r="K77" i="2"/>
  <c r="J77" i="2"/>
  <c r="J78" i="3" s="1"/>
  <c r="G77" i="2"/>
  <c r="M76" i="2"/>
  <c r="K76" i="2"/>
  <c r="J76" i="2"/>
  <c r="J77" i="3" s="1"/>
  <c r="G76" i="2"/>
  <c r="L76" i="2" s="1"/>
  <c r="M75" i="2"/>
  <c r="L75" i="2"/>
  <c r="K75" i="2"/>
  <c r="J75" i="2"/>
  <c r="J76" i="3" s="1"/>
  <c r="G75" i="2"/>
  <c r="M74" i="2"/>
  <c r="K74" i="2"/>
  <c r="J74" i="2"/>
  <c r="J75" i="3" s="1"/>
  <c r="G74" i="2"/>
  <c r="L74" i="2" s="1"/>
  <c r="M73" i="2"/>
  <c r="L73" i="2"/>
  <c r="K73" i="2"/>
  <c r="J73" i="2"/>
  <c r="J74" i="3" s="1"/>
  <c r="G73" i="2"/>
  <c r="M72" i="2"/>
  <c r="K72" i="2"/>
  <c r="J72" i="2"/>
  <c r="J73" i="3" s="1"/>
  <c r="G72" i="2"/>
  <c r="L72" i="2" s="1"/>
  <c r="M71" i="2"/>
  <c r="L71" i="2"/>
  <c r="K71" i="2"/>
  <c r="J71" i="2"/>
  <c r="J72" i="3" s="1"/>
  <c r="G71" i="2"/>
  <c r="M70" i="2"/>
  <c r="K70" i="2"/>
  <c r="J70" i="2"/>
  <c r="J71" i="3" s="1"/>
  <c r="G70" i="2"/>
  <c r="L70" i="2" s="1"/>
  <c r="M69" i="2"/>
  <c r="L69" i="2"/>
  <c r="K69" i="2"/>
  <c r="J69" i="2"/>
  <c r="J70" i="3" s="1"/>
  <c r="G69" i="2"/>
  <c r="M68" i="2"/>
  <c r="K68" i="2"/>
  <c r="J68" i="2"/>
  <c r="J69" i="3" s="1"/>
  <c r="G68" i="2"/>
  <c r="L68" i="2" s="1"/>
  <c r="M67" i="2"/>
  <c r="L67" i="2"/>
  <c r="K67" i="2"/>
  <c r="J67" i="2"/>
  <c r="J68" i="3" s="1"/>
  <c r="G67" i="2"/>
  <c r="M66" i="2"/>
  <c r="K66" i="2"/>
  <c r="J66" i="2"/>
  <c r="J67" i="3" s="1"/>
  <c r="G66" i="2"/>
  <c r="L66" i="2" s="1"/>
  <c r="M65" i="2"/>
  <c r="L65" i="2"/>
  <c r="K65" i="2"/>
  <c r="J65" i="2"/>
  <c r="J66" i="3" s="1"/>
  <c r="G65" i="2"/>
  <c r="M64" i="2"/>
  <c r="K64" i="2"/>
  <c r="J64" i="2"/>
  <c r="J65" i="3" s="1"/>
  <c r="G64" i="2"/>
  <c r="L64" i="2" s="1"/>
  <c r="M63" i="2"/>
  <c r="L63" i="2"/>
  <c r="K63" i="2"/>
  <c r="J63" i="2"/>
  <c r="J64" i="3" s="1"/>
  <c r="G63" i="2"/>
  <c r="M62" i="2"/>
  <c r="K62" i="2"/>
  <c r="J62" i="2"/>
  <c r="J63" i="3" s="1"/>
  <c r="G62" i="2"/>
  <c r="L62" i="2" s="1"/>
  <c r="M61" i="2"/>
  <c r="L61" i="2"/>
  <c r="K61" i="2"/>
  <c r="J61" i="2"/>
  <c r="J62" i="3" s="1"/>
  <c r="G61" i="2"/>
  <c r="M60" i="2"/>
  <c r="K60" i="2"/>
  <c r="J60" i="2"/>
  <c r="J61" i="3" s="1"/>
  <c r="G60" i="2"/>
  <c r="L60" i="2" s="1"/>
  <c r="M59" i="2"/>
  <c r="L59" i="2"/>
  <c r="K59" i="2"/>
  <c r="J59" i="2"/>
  <c r="J60" i="3" s="1"/>
  <c r="G59" i="2"/>
  <c r="M58" i="2"/>
  <c r="K58" i="2"/>
  <c r="J58" i="2"/>
  <c r="J59" i="3" s="1"/>
  <c r="G58" i="2"/>
  <c r="L58" i="2" s="1"/>
  <c r="M57" i="2"/>
  <c r="L57" i="2"/>
  <c r="K57" i="2"/>
  <c r="J57" i="2"/>
  <c r="J58" i="3" s="1"/>
  <c r="G57" i="2"/>
  <c r="M56" i="2"/>
  <c r="K56" i="2"/>
  <c r="J56" i="2"/>
  <c r="J57" i="3" s="1"/>
  <c r="G56" i="2"/>
  <c r="L56" i="2" s="1"/>
  <c r="M55" i="2"/>
  <c r="L55" i="2"/>
  <c r="K55" i="2"/>
  <c r="J55" i="2"/>
  <c r="J56" i="3" s="1"/>
  <c r="G55" i="2"/>
  <c r="M54" i="2"/>
  <c r="K54" i="2"/>
  <c r="J54" i="2"/>
  <c r="J55" i="3" s="1"/>
  <c r="G54" i="2"/>
  <c r="L54" i="2" s="1"/>
  <c r="M53" i="2"/>
  <c r="L53" i="2"/>
  <c r="K53" i="2"/>
  <c r="J53" i="2"/>
  <c r="J54" i="3" s="1"/>
  <c r="G53" i="2"/>
  <c r="M52" i="2"/>
  <c r="K52" i="2"/>
  <c r="J52" i="2"/>
  <c r="J53" i="3" s="1"/>
  <c r="G52" i="2"/>
  <c r="L52" i="2" s="1"/>
  <c r="M51" i="2"/>
  <c r="L51" i="2"/>
  <c r="K51" i="2"/>
  <c r="J51" i="2"/>
  <c r="J52" i="3" s="1"/>
  <c r="G51" i="2"/>
  <c r="M50" i="2"/>
  <c r="K50" i="2"/>
  <c r="J50" i="2"/>
  <c r="J51" i="3" s="1"/>
  <c r="G50" i="2"/>
  <c r="L50" i="2" s="1"/>
  <c r="M49" i="2"/>
  <c r="L49" i="2"/>
  <c r="K49" i="2"/>
  <c r="J49" i="2"/>
  <c r="J50" i="3" s="1"/>
  <c r="G49" i="2"/>
  <c r="M48" i="2"/>
  <c r="K48" i="2"/>
  <c r="J48" i="2"/>
  <c r="J49" i="3" s="1"/>
  <c r="G48" i="2"/>
  <c r="L48" i="2" s="1"/>
  <c r="M47" i="2"/>
  <c r="L47" i="2"/>
  <c r="K47" i="2"/>
  <c r="J47" i="2"/>
  <c r="J48" i="3" s="1"/>
  <c r="G47" i="2"/>
  <c r="M46" i="2"/>
  <c r="K46" i="2"/>
  <c r="J46" i="2"/>
  <c r="J47" i="3" s="1"/>
  <c r="G46" i="2"/>
  <c r="L46" i="2" s="1"/>
  <c r="M45" i="2"/>
  <c r="L45" i="2"/>
  <c r="K45" i="2"/>
  <c r="J45" i="2"/>
  <c r="J46" i="3" s="1"/>
  <c r="G45" i="2"/>
  <c r="M44" i="2"/>
  <c r="K44" i="2"/>
  <c r="J44" i="2"/>
  <c r="J45" i="3" s="1"/>
  <c r="G44" i="2"/>
  <c r="L44" i="2" s="1"/>
  <c r="M43" i="2"/>
  <c r="L43" i="2"/>
  <c r="K43" i="2"/>
  <c r="J43" i="2"/>
  <c r="J44" i="3" s="1"/>
  <c r="G43" i="2"/>
  <c r="M42" i="2"/>
  <c r="K42" i="2"/>
  <c r="J42" i="2"/>
  <c r="J43" i="3" s="1"/>
  <c r="G42" i="2"/>
  <c r="L42" i="2" s="1"/>
  <c r="M41" i="2"/>
  <c r="L41" i="2"/>
  <c r="K41" i="2"/>
  <c r="J41" i="2"/>
  <c r="J42" i="3" s="1"/>
  <c r="G41" i="2"/>
  <c r="M40" i="2"/>
  <c r="K40" i="2"/>
  <c r="J40" i="2"/>
  <c r="J41" i="3" s="1"/>
  <c r="G40" i="2"/>
  <c r="L40" i="2" s="1"/>
  <c r="M39" i="2"/>
  <c r="L39" i="2"/>
  <c r="K39" i="2"/>
  <c r="J39" i="2"/>
  <c r="J40" i="3" s="1"/>
  <c r="G39" i="2"/>
  <c r="M38" i="2"/>
  <c r="K38" i="2"/>
  <c r="J38" i="2"/>
  <c r="J39" i="3" s="1"/>
  <c r="G38" i="2"/>
  <c r="L38" i="2" s="1"/>
  <c r="M37" i="2"/>
  <c r="L37" i="2"/>
  <c r="K37" i="2"/>
  <c r="J37" i="2"/>
  <c r="J38" i="3" s="1"/>
  <c r="G37" i="2"/>
  <c r="M36" i="2"/>
  <c r="K36" i="2"/>
  <c r="J36" i="2"/>
  <c r="J37" i="3" s="1"/>
  <c r="G36" i="2"/>
  <c r="L36" i="2" s="1"/>
  <c r="M35" i="2"/>
  <c r="L35" i="2"/>
  <c r="K35" i="2"/>
  <c r="J35" i="2"/>
  <c r="J36" i="3" s="1"/>
  <c r="G35" i="2"/>
  <c r="M34" i="2"/>
  <c r="K34" i="2"/>
  <c r="J34" i="2"/>
  <c r="J35" i="3" s="1"/>
  <c r="G34" i="2"/>
  <c r="L34" i="2" s="1"/>
  <c r="M33" i="2"/>
  <c r="L33" i="2"/>
  <c r="K33" i="2"/>
  <c r="J33" i="2"/>
  <c r="J34" i="3" s="1"/>
  <c r="G33" i="2"/>
  <c r="M32" i="2"/>
  <c r="K32" i="2"/>
  <c r="J32" i="2"/>
  <c r="J33" i="3" s="1"/>
  <c r="G32" i="2"/>
  <c r="L32" i="2" s="1"/>
  <c r="M31" i="2"/>
  <c r="L31" i="2"/>
  <c r="K31" i="2"/>
  <c r="J31" i="2"/>
  <c r="J32" i="3" s="1"/>
  <c r="G31" i="2"/>
  <c r="M30" i="2"/>
  <c r="K30" i="2"/>
  <c r="J30" i="2"/>
  <c r="J31" i="3" s="1"/>
  <c r="G30" i="2"/>
  <c r="L30" i="2" s="1"/>
  <c r="M29" i="2"/>
  <c r="L29" i="2"/>
  <c r="K29" i="2"/>
  <c r="J29" i="2"/>
  <c r="J30" i="3" s="1"/>
  <c r="G29" i="2"/>
  <c r="M28" i="2"/>
  <c r="K28" i="2"/>
  <c r="J28" i="2"/>
  <c r="J29" i="3" s="1"/>
  <c r="G28" i="2"/>
  <c r="L28" i="2" s="1"/>
  <c r="M27" i="2"/>
  <c r="L27" i="2"/>
  <c r="K27" i="2"/>
  <c r="J27" i="2"/>
  <c r="J28" i="3" s="1"/>
  <c r="G27" i="2"/>
  <c r="M26" i="2"/>
  <c r="K26" i="2"/>
  <c r="J26" i="2"/>
  <c r="J27" i="3" s="1"/>
  <c r="G26" i="2"/>
  <c r="L26" i="2" s="1"/>
  <c r="M25" i="2"/>
  <c r="L25" i="2"/>
  <c r="K25" i="2"/>
  <c r="J25" i="2"/>
  <c r="J26" i="3" s="1"/>
  <c r="G25" i="2"/>
  <c r="M24" i="2"/>
  <c r="K24" i="2"/>
  <c r="J24" i="2"/>
  <c r="J25" i="3" s="1"/>
  <c r="G24" i="2"/>
  <c r="L24" i="2" s="1"/>
  <c r="M23" i="2"/>
  <c r="L23" i="2"/>
  <c r="K23" i="2"/>
  <c r="J23" i="2"/>
  <c r="J24" i="3" s="1"/>
  <c r="G23" i="2"/>
  <c r="M22" i="2"/>
  <c r="K22" i="2"/>
  <c r="J22" i="2"/>
  <c r="J23" i="3" s="1"/>
  <c r="G22" i="2"/>
  <c r="L22" i="2" s="1"/>
  <c r="M21" i="2"/>
  <c r="L21" i="2"/>
  <c r="K21" i="2"/>
  <c r="J21" i="2"/>
  <c r="J22" i="3" s="1"/>
  <c r="G21" i="2"/>
  <c r="M20" i="2"/>
  <c r="K20" i="2"/>
  <c r="J20" i="2"/>
  <c r="J21" i="3" s="1"/>
  <c r="G20" i="2"/>
  <c r="L20" i="2" s="1"/>
  <c r="M19" i="2"/>
  <c r="L19" i="2"/>
  <c r="K19" i="2"/>
  <c r="J19" i="2"/>
  <c r="J20" i="3" s="1"/>
  <c r="G19" i="2"/>
  <c r="M18" i="2"/>
  <c r="K18" i="2"/>
  <c r="J18" i="2"/>
  <c r="J19" i="3" s="1"/>
  <c r="G18" i="2"/>
  <c r="L18" i="2" s="1"/>
  <c r="M17" i="2"/>
  <c r="L17" i="2"/>
  <c r="K17" i="2"/>
  <c r="J17" i="2"/>
  <c r="J18" i="3" s="1"/>
  <c r="G17" i="2"/>
  <c r="M16" i="2"/>
  <c r="K16" i="2"/>
  <c r="J16" i="2"/>
  <c r="J17" i="3" s="1"/>
  <c r="G16" i="2"/>
  <c r="L16" i="2" s="1"/>
  <c r="M15" i="2"/>
  <c r="K15" i="2"/>
  <c r="J15" i="2"/>
  <c r="J16" i="3" s="1"/>
  <c r="G15" i="2"/>
  <c r="L15" i="2" s="1"/>
  <c r="M14" i="2"/>
  <c r="K14" i="2"/>
  <c r="J14" i="2"/>
  <c r="J15" i="3" s="1"/>
  <c r="G14" i="2"/>
  <c r="L14" i="2" s="1"/>
  <c r="M13" i="2"/>
  <c r="K13" i="2"/>
  <c r="J13" i="2"/>
  <c r="J14" i="3" s="1"/>
  <c r="G13" i="2"/>
  <c r="L13" i="2" s="1"/>
  <c r="M12" i="2"/>
  <c r="K12" i="2"/>
  <c r="J12" i="2"/>
  <c r="J13" i="3" s="1"/>
  <c r="G12" i="2"/>
  <c r="L12" i="2" s="1"/>
  <c r="M11" i="2"/>
  <c r="K11" i="2"/>
  <c r="J11" i="2"/>
  <c r="J12" i="3" s="1"/>
  <c r="G11" i="2"/>
  <c r="L11" i="2" s="1"/>
  <c r="M10" i="2"/>
  <c r="K10" i="2"/>
  <c r="J10" i="2"/>
  <c r="J11" i="3" s="1"/>
  <c r="G10" i="2"/>
  <c r="L10" i="2" s="1"/>
  <c r="M9" i="2"/>
  <c r="K9" i="2"/>
  <c r="J9" i="2"/>
  <c r="J10" i="3" s="1"/>
  <c r="G9" i="2"/>
  <c r="L9" i="2" s="1"/>
  <c r="M8" i="2"/>
  <c r="K8" i="2"/>
  <c r="J8" i="2"/>
  <c r="J9" i="3" s="1"/>
  <c r="G8" i="2"/>
  <c r="L8" i="2" s="1"/>
  <c r="M7" i="2"/>
  <c r="K7" i="2"/>
  <c r="J7" i="2"/>
  <c r="J8" i="3" s="1"/>
  <c r="G7" i="2"/>
  <c r="L7" i="2" s="1"/>
  <c r="A7" i="2"/>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1350" i="2" s="1"/>
  <c r="A1351" i="2" s="1"/>
  <c r="A1352" i="2" s="1"/>
  <c r="A1353" i="2" s="1"/>
  <c r="A1354" i="2" s="1"/>
  <c r="A1355" i="2" s="1"/>
  <c r="A1356" i="2" s="1"/>
  <c r="A1357" i="2" s="1"/>
  <c r="A1358" i="2" s="1"/>
  <c r="A1359" i="2" s="1"/>
  <c r="A1360" i="2" s="1"/>
  <c r="A1361" i="2" s="1"/>
  <c r="A1362" i="2" s="1"/>
  <c r="A1363" i="2" s="1"/>
  <c r="A1364" i="2" s="1"/>
  <c r="A1365" i="2" s="1"/>
  <c r="A1381" i="2" s="1"/>
  <c r="I1389" i="1"/>
  <c r="G1383" i="1"/>
  <c r="H1383" i="1" s="1"/>
  <c r="H1382" i="1"/>
  <c r="H1381" i="1"/>
  <c r="H1379" i="1"/>
  <c r="H1378" i="1"/>
  <c r="H1377" i="1"/>
  <c r="H1376" i="1"/>
  <c r="H1375" i="1"/>
  <c r="H1374" i="1"/>
  <c r="H1373" i="1"/>
  <c r="H1372" i="1"/>
  <c r="H1371" i="1"/>
  <c r="H1370" i="1"/>
  <c r="H1369" i="1"/>
  <c r="H1368" i="1"/>
  <c r="H1367" i="1"/>
  <c r="H1365" i="1"/>
  <c r="H1364" i="1"/>
  <c r="H1363" i="1"/>
  <c r="H1362" i="1"/>
  <c r="H1361" i="1"/>
  <c r="H1360" i="1"/>
  <c r="H1359" i="1"/>
  <c r="H1358" i="1"/>
  <c r="H1357" i="1"/>
  <c r="H1356" i="1"/>
  <c r="H1355" i="1"/>
  <c r="H1354" i="1"/>
  <c r="H1353" i="1"/>
  <c r="H1352" i="1"/>
  <c r="H1351" i="1"/>
  <c r="G1349" i="1"/>
  <c r="H1349" i="1" s="1"/>
  <c r="H1348" i="1"/>
  <c r="G1348" i="1"/>
  <c r="H1347" i="1"/>
  <c r="G1347" i="1"/>
  <c r="H1346" i="1"/>
  <c r="G1346" i="1"/>
  <c r="H1345" i="1"/>
  <c r="G1345" i="1"/>
  <c r="H1344" i="1"/>
  <c r="G1344" i="1"/>
  <c r="G1343" i="1"/>
  <c r="H1343" i="1" s="1"/>
  <c r="H1342" i="1"/>
  <c r="G1342" i="1"/>
  <c r="G1341" i="1"/>
  <c r="H1341" i="1" s="1"/>
  <c r="G1340" i="1"/>
  <c r="H1340" i="1" s="1"/>
  <c r="H1339" i="1"/>
  <c r="G1339" i="1"/>
  <c r="G1338" i="1"/>
  <c r="H1338" i="1" s="1"/>
  <c r="G1337" i="1"/>
  <c r="H1337" i="1" s="1"/>
  <c r="H1336" i="1"/>
  <c r="G1336" i="1"/>
  <c r="H1335" i="1"/>
  <c r="G1335" i="1"/>
  <c r="H1334" i="1"/>
  <c r="G1334" i="1"/>
  <c r="H1333" i="1"/>
  <c r="G1333" i="1"/>
  <c r="H1332" i="1"/>
  <c r="G1332" i="1"/>
  <c r="G1331" i="1"/>
  <c r="H1331" i="1" s="1"/>
  <c r="H1330" i="1"/>
  <c r="G1330" i="1"/>
  <c r="G1329" i="1"/>
  <c r="H1329" i="1" s="1"/>
  <c r="G1328" i="1"/>
  <c r="H1328" i="1" s="1"/>
  <c r="H1327" i="1"/>
  <c r="G1326" i="1"/>
  <c r="H1326" i="1" s="1"/>
  <c r="H1325" i="1"/>
  <c r="G1325" i="1"/>
  <c r="G1324" i="1"/>
  <c r="H1324" i="1" s="1"/>
  <c r="G1323" i="1"/>
  <c r="H1323" i="1" s="1"/>
  <c r="G1322" i="1"/>
  <c r="H1322" i="1" s="1"/>
  <c r="H1321" i="1"/>
  <c r="G1321" i="1"/>
  <c r="G1320" i="1"/>
  <c r="H1320" i="1" s="1"/>
  <c r="H1319" i="1"/>
  <c r="G1319" i="1"/>
  <c r="G1318" i="1"/>
  <c r="H1318" i="1" s="1"/>
  <c r="G1317" i="1"/>
  <c r="H1317" i="1" s="1"/>
  <c r="H1316" i="1"/>
  <c r="G1316" i="1"/>
  <c r="G1315" i="1"/>
  <c r="H1315" i="1" s="1"/>
  <c r="G1314" i="1"/>
  <c r="H1314" i="1" s="1"/>
  <c r="H1313" i="1"/>
  <c r="G1313" i="1"/>
  <c r="G1312" i="1"/>
  <c r="H1312" i="1" s="1"/>
  <c r="G1311" i="1"/>
  <c r="H1311" i="1" s="1"/>
  <c r="H1310" i="1"/>
  <c r="G1310" i="1"/>
  <c r="H1309" i="1"/>
  <c r="G1309" i="1"/>
  <c r="G1308" i="1"/>
  <c r="H1308" i="1" s="1"/>
  <c r="H1307" i="1"/>
  <c r="G1307" i="1"/>
  <c r="G1306" i="1"/>
  <c r="H1306" i="1" s="1"/>
  <c r="G1305" i="1"/>
  <c r="H1305" i="1" s="1"/>
  <c r="H1304" i="1"/>
  <c r="G1304" i="1"/>
  <c r="H1303" i="1"/>
  <c r="G1303" i="1"/>
  <c r="G1302" i="1"/>
  <c r="H1302" i="1" s="1"/>
  <c r="H1301" i="1"/>
  <c r="G1301" i="1"/>
  <c r="G1300" i="1"/>
  <c r="H1300" i="1" s="1"/>
  <c r="G1299" i="1"/>
  <c r="H1299" i="1" s="1"/>
  <c r="H1298" i="1"/>
  <c r="G1298" i="1"/>
  <c r="H1297" i="1"/>
  <c r="G1297" i="1"/>
  <c r="G1296" i="1"/>
  <c r="H1296" i="1" s="1"/>
  <c r="H1295" i="1"/>
  <c r="G1295" i="1"/>
  <c r="G1294" i="1"/>
  <c r="H1294" i="1" s="1"/>
  <c r="G1293" i="1"/>
  <c r="H1293" i="1" s="1"/>
  <c r="H1292" i="1"/>
  <c r="G1292" i="1"/>
  <c r="H1291" i="1"/>
  <c r="G1291" i="1"/>
  <c r="G1290" i="1"/>
  <c r="H1290" i="1" s="1"/>
  <c r="H1289" i="1"/>
  <c r="G1289" i="1"/>
  <c r="G1288" i="1"/>
  <c r="H1288" i="1" s="1"/>
  <c r="G1287" i="1"/>
  <c r="H1287" i="1" s="1"/>
  <c r="G1286" i="1"/>
  <c r="H1286" i="1" s="1"/>
  <c r="H1285" i="1"/>
  <c r="G1285" i="1"/>
  <c r="G1284" i="1"/>
  <c r="H1284" i="1" s="1"/>
  <c r="H1283" i="1"/>
  <c r="G1283" i="1"/>
  <c r="G1282" i="1"/>
  <c r="H1282" i="1" s="1"/>
  <c r="G1281" i="1"/>
  <c r="H1281" i="1" s="1"/>
  <c r="H1280" i="1"/>
  <c r="G1280" i="1"/>
  <c r="G1279" i="1"/>
  <c r="H1279" i="1" s="1"/>
  <c r="G1278" i="1"/>
  <c r="H1278" i="1" s="1"/>
  <c r="G1277" i="1"/>
  <c r="H1277" i="1" s="1"/>
  <c r="G1276" i="1"/>
  <c r="H1276" i="1" s="1"/>
  <c r="G1275" i="1"/>
  <c r="H1275" i="1" s="1"/>
  <c r="H1274" i="1"/>
  <c r="G1274" i="1"/>
  <c r="H1273" i="1"/>
  <c r="G1273" i="1"/>
  <c r="G1272" i="1"/>
  <c r="H1272" i="1" s="1"/>
  <c r="G1271" i="1"/>
  <c r="H1271" i="1" s="1"/>
  <c r="G1270" i="1"/>
  <c r="H1270" i="1" s="1"/>
  <c r="G1269" i="1"/>
  <c r="H1269" i="1" s="1"/>
  <c r="H1268" i="1"/>
  <c r="G1268" i="1"/>
  <c r="H1267" i="1"/>
  <c r="G1267" i="1"/>
  <c r="G1266" i="1"/>
  <c r="H1266" i="1" s="1"/>
  <c r="G1265" i="1"/>
  <c r="H1265" i="1" s="1"/>
  <c r="G1264" i="1"/>
  <c r="H1264" i="1" s="1"/>
  <c r="G1263" i="1"/>
  <c r="H1263" i="1" s="1"/>
  <c r="H1262" i="1"/>
  <c r="G1262" i="1"/>
  <c r="H1261" i="1"/>
  <c r="G1261" i="1"/>
  <c r="G1260" i="1"/>
  <c r="H1260" i="1" s="1"/>
  <c r="G1259" i="1"/>
  <c r="H1259" i="1" s="1"/>
  <c r="G1258" i="1"/>
  <c r="H1258" i="1" s="1"/>
  <c r="G1257" i="1"/>
  <c r="H1257" i="1" s="1"/>
  <c r="H1256" i="1"/>
  <c r="G1256" i="1"/>
  <c r="H1255" i="1"/>
  <c r="G1255" i="1"/>
  <c r="G1254" i="1"/>
  <c r="H1254" i="1" s="1"/>
  <c r="G1253" i="1"/>
  <c r="H1253" i="1" s="1"/>
  <c r="G1252" i="1"/>
  <c r="H1252" i="1" s="1"/>
  <c r="G1251" i="1"/>
  <c r="H1251" i="1" s="1"/>
  <c r="G1250" i="1"/>
  <c r="H1250" i="1" s="1"/>
  <c r="H1249" i="1"/>
  <c r="G1249" i="1"/>
  <c r="G1248" i="1"/>
  <c r="H1248" i="1" s="1"/>
  <c r="G1247" i="1"/>
  <c r="H1247" i="1" s="1"/>
  <c r="G1246" i="1"/>
  <c r="H1246" i="1" s="1"/>
  <c r="G1245" i="1"/>
  <c r="H1245" i="1" s="1"/>
  <c r="H1244" i="1"/>
  <c r="G1244" i="1"/>
  <c r="G1243" i="1"/>
  <c r="H1243" i="1" s="1"/>
  <c r="G1242" i="1"/>
  <c r="H1242" i="1" s="1"/>
  <c r="G1241" i="1"/>
  <c r="H1241" i="1" s="1"/>
  <c r="G1240" i="1"/>
  <c r="H1240" i="1" s="1"/>
  <c r="G1239" i="1"/>
  <c r="H1239" i="1" s="1"/>
  <c r="H1238" i="1"/>
  <c r="G1238" i="1"/>
  <c r="H1237" i="1"/>
  <c r="H1236" i="1"/>
  <c r="G1236" i="1"/>
  <c r="G1235" i="1"/>
  <c r="H1235" i="1" s="1"/>
  <c r="G1234" i="1"/>
  <c r="H1234" i="1" s="1"/>
  <c r="H1233" i="1"/>
  <c r="G1233" i="1"/>
  <c r="G1232" i="1"/>
  <c r="H1232" i="1" s="1"/>
  <c r="G1231" i="1"/>
  <c r="H1231" i="1" s="1"/>
  <c r="H1230" i="1"/>
  <c r="G1230" i="1"/>
  <c r="G1229" i="1"/>
  <c r="H1229" i="1" s="1"/>
  <c r="G1228" i="1"/>
  <c r="H1228" i="1" s="1"/>
  <c r="H1227" i="1"/>
  <c r="G1227" i="1"/>
  <c r="G1226" i="1"/>
  <c r="H1226" i="1" s="1"/>
  <c r="G1225" i="1"/>
  <c r="H1225" i="1" s="1"/>
  <c r="H1224" i="1"/>
  <c r="G1224" i="1"/>
  <c r="G1223" i="1"/>
  <c r="H1223" i="1" s="1"/>
  <c r="G1222" i="1"/>
  <c r="H1222" i="1" s="1"/>
  <c r="H1221" i="1"/>
  <c r="G1221" i="1"/>
  <c r="G1220" i="1"/>
  <c r="H1220" i="1" s="1"/>
  <c r="G1219" i="1"/>
  <c r="H1219" i="1" s="1"/>
  <c r="H1218" i="1"/>
  <c r="G1218" i="1"/>
  <c r="G1217" i="1"/>
  <c r="H1217" i="1" s="1"/>
  <c r="G1216" i="1"/>
  <c r="H1216" i="1" s="1"/>
  <c r="H1215" i="1"/>
  <c r="G1215" i="1"/>
  <c r="G1214" i="1"/>
  <c r="H1214" i="1" s="1"/>
  <c r="G1213" i="1"/>
  <c r="H1213" i="1" s="1"/>
  <c r="H1212" i="1"/>
  <c r="G1212" i="1"/>
  <c r="G1211" i="1"/>
  <c r="H1211" i="1" s="1"/>
  <c r="G1210" i="1"/>
  <c r="H1210" i="1" s="1"/>
  <c r="H1209" i="1"/>
  <c r="G1209" i="1"/>
  <c r="G1208" i="1"/>
  <c r="H1208" i="1" s="1"/>
  <c r="G1207" i="1"/>
  <c r="H1207" i="1" s="1"/>
  <c r="H1206" i="1"/>
  <c r="G1206" i="1"/>
  <c r="G1205" i="1"/>
  <c r="H1205" i="1" s="1"/>
  <c r="G1204" i="1"/>
  <c r="H1204" i="1" s="1"/>
  <c r="H1203" i="1"/>
  <c r="G1203" i="1"/>
  <c r="G1202" i="1"/>
  <c r="H1202" i="1" s="1"/>
  <c r="G1201" i="1"/>
  <c r="H1201" i="1" s="1"/>
  <c r="H1200" i="1"/>
  <c r="G1200" i="1"/>
  <c r="G1199" i="1"/>
  <c r="H1199" i="1" s="1"/>
  <c r="G1198" i="1"/>
  <c r="H1198" i="1" s="1"/>
  <c r="H1197" i="1"/>
  <c r="G1197" i="1"/>
  <c r="G1196" i="1"/>
  <c r="H1196" i="1" s="1"/>
  <c r="G1195" i="1"/>
  <c r="H1195" i="1" s="1"/>
  <c r="H1194" i="1"/>
  <c r="G1194" i="1"/>
  <c r="G1193" i="1"/>
  <c r="H1193" i="1" s="1"/>
  <c r="G1192" i="1"/>
  <c r="H1192" i="1" s="1"/>
  <c r="H1191" i="1"/>
  <c r="G1191" i="1"/>
  <c r="G1190" i="1"/>
  <c r="H1190" i="1" s="1"/>
  <c r="G1189" i="1"/>
  <c r="H1189" i="1" s="1"/>
  <c r="H1188" i="1"/>
  <c r="G1188" i="1"/>
  <c r="G1187" i="1"/>
  <c r="H1187" i="1" s="1"/>
  <c r="G1186" i="1"/>
  <c r="H1186" i="1" s="1"/>
  <c r="H1185" i="1"/>
  <c r="G1185" i="1"/>
  <c r="G1184" i="1"/>
  <c r="H1184" i="1" s="1"/>
  <c r="G1183" i="1"/>
  <c r="H1183" i="1" s="1"/>
  <c r="H1182" i="1"/>
  <c r="G1182" i="1"/>
  <c r="G1181" i="1"/>
  <c r="H1181" i="1" s="1"/>
  <c r="G1180" i="1"/>
  <c r="H1180" i="1" s="1"/>
  <c r="H1179" i="1"/>
  <c r="G1179" i="1"/>
  <c r="G1178" i="1"/>
  <c r="H1178" i="1" s="1"/>
  <c r="G1177" i="1"/>
  <c r="H1177" i="1" s="1"/>
  <c r="H1176" i="1"/>
  <c r="G1176" i="1"/>
  <c r="G1175" i="1"/>
  <c r="H1175" i="1" s="1"/>
  <c r="G1174" i="1"/>
  <c r="H1174" i="1" s="1"/>
  <c r="H1173" i="1"/>
  <c r="G1173" i="1"/>
  <c r="G1172" i="1"/>
  <c r="H1172" i="1" s="1"/>
  <c r="G1171" i="1"/>
  <c r="H1171" i="1" s="1"/>
  <c r="H1170" i="1"/>
  <c r="G1170" i="1"/>
  <c r="G1169" i="1"/>
  <c r="H1169" i="1" s="1"/>
  <c r="G1168" i="1"/>
  <c r="H1168" i="1" s="1"/>
  <c r="H1167" i="1"/>
  <c r="G1167" i="1"/>
  <c r="G1166" i="1"/>
  <c r="H1166" i="1" s="1"/>
  <c r="G1165" i="1"/>
  <c r="H1165" i="1" s="1"/>
  <c r="H1164" i="1"/>
  <c r="G1164" i="1"/>
  <c r="G1163" i="1"/>
  <c r="H1163" i="1" s="1"/>
  <c r="G1162" i="1"/>
  <c r="H1162" i="1" s="1"/>
  <c r="H1161" i="1"/>
  <c r="G1161" i="1"/>
  <c r="G1160" i="1"/>
  <c r="H1160" i="1" s="1"/>
  <c r="G1159" i="1"/>
  <c r="H1159" i="1" s="1"/>
  <c r="H1158" i="1"/>
  <c r="G1158" i="1"/>
  <c r="G1157" i="1"/>
  <c r="H1157" i="1" s="1"/>
  <c r="G1156" i="1"/>
  <c r="H1156" i="1" s="1"/>
  <c r="H1155" i="1"/>
  <c r="G1155" i="1"/>
  <c r="G1154" i="1"/>
  <c r="H1154" i="1" s="1"/>
  <c r="G1153" i="1"/>
  <c r="H1153" i="1" s="1"/>
  <c r="H1152" i="1"/>
  <c r="G1152" i="1"/>
  <c r="G1151" i="1"/>
  <c r="H1151" i="1" s="1"/>
  <c r="G1150" i="1"/>
  <c r="H1150" i="1" s="1"/>
  <c r="H1149" i="1"/>
  <c r="G1149" i="1"/>
  <c r="G1148" i="1"/>
  <c r="H1148" i="1" s="1"/>
  <c r="G1147" i="1"/>
  <c r="H1147" i="1" s="1"/>
  <c r="H1146" i="1"/>
  <c r="G1146" i="1"/>
  <c r="G1145" i="1"/>
  <c r="H1145" i="1" s="1"/>
  <c r="G1144" i="1"/>
  <c r="H1144" i="1" s="1"/>
  <c r="H1143" i="1"/>
  <c r="G1143" i="1"/>
  <c r="G1142" i="1"/>
  <c r="H1142" i="1" s="1"/>
  <c r="G1141" i="1"/>
  <c r="H1141" i="1" s="1"/>
  <c r="H1140" i="1"/>
  <c r="G1140" i="1"/>
  <c r="G1139" i="1"/>
  <c r="H1139" i="1" s="1"/>
  <c r="G1138" i="1"/>
  <c r="H1138" i="1" s="1"/>
  <c r="H1137" i="1"/>
  <c r="G1137" i="1"/>
  <c r="G1136" i="1"/>
  <c r="H1136" i="1" s="1"/>
  <c r="G1135" i="1"/>
  <c r="H1135" i="1" s="1"/>
  <c r="H1134" i="1"/>
  <c r="G1134" i="1"/>
  <c r="G1133" i="1"/>
  <c r="H1133" i="1" s="1"/>
  <c r="G1132" i="1"/>
  <c r="H1132" i="1" s="1"/>
  <c r="H1131" i="1"/>
  <c r="G1131" i="1"/>
  <c r="G1130" i="1"/>
  <c r="H1130" i="1" s="1"/>
  <c r="G1129" i="1"/>
  <c r="H1129" i="1" s="1"/>
  <c r="H1128" i="1"/>
  <c r="G1128" i="1"/>
  <c r="G1127" i="1"/>
  <c r="H1127" i="1" s="1"/>
  <c r="G1126" i="1"/>
  <c r="H1126" i="1" s="1"/>
  <c r="H1125" i="1"/>
  <c r="G1125" i="1"/>
  <c r="G1124" i="1"/>
  <c r="H1124" i="1" s="1"/>
  <c r="G1123" i="1"/>
  <c r="H1123" i="1" s="1"/>
  <c r="H1122" i="1"/>
  <c r="G1122" i="1"/>
  <c r="G1121" i="1"/>
  <c r="H1121" i="1" s="1"/>
  <c r="G1120" i="1"/>
  <c r="H1120" i="1" s="1"/>
  <c r="H1119" i="1"/>
  <c r="G1119" i="1"/>
  <c r="G1118" i="1"/>
  <c r="H1118" i="1" s="1"/>
  <c r="G1117" i="1"/>
  <c r="H1117" i="1" s="1"/>
  <c r="H1116" i="1"/>
  <c r="G1116" i="1"/>
  <c r="G1115" i="1"/>
  <c r="H1115" i="1" s="1"/>
  <c r="G1114" i="1"/>
  <c r="H1114" i="1" s="1"/>
  <c r="H1113" i="1"/>
  <c r="G1113" i="1"/>
  <c r="G1112" i="1"/>
  <c r="H1112" i="1" s="1"/>
  <c r="G1111" i="1"/>
  <c r="H1111" i="1" s="1"/>
  <c r="G1110" i="1"/>
  <c r="H1110" i="1" s="1"/>
  <c r="G1109" i="1"/>
  <c r="H1109" i="1" s="1"/>
  <c r="G1108" i="1"/>
  <c r="H1108" i="1" s="1"/>
  <c r="H1107" i="1"/>
  <c r="G1107" i="1"/>
  <c r="G1106" i="1"/>
  <c r="H1106" i="1" s="1"/>
  <c r="G1105" i="1"/>
  <c r="H1105" i="1" s="1"/>
  <c r="G1104" i="1"/>
  <c r="H1104" i="1" s="1"/>
  <c r="G1103" i="1"/>
  <c r="H1103" i="1" s="1"/>
  <c r="G1102" i="1"/>
  <c r="H1102" i="1" s="1"/>
  <c r="H1101" i="1"/>
  <c r="G1101" i="1"/>
  <c r="G1100" i="1"/>
  <c r="H1100" i="1" s="1"/>
  <c r="G1099" i="1"/>
  <c r="H1099" i="1" s="1"/>
  <c r="G1098" i="1"/>
  <c r="H1098" i="1" s="1"/>
  <c r="G1097" i="1"/>
  <c r="H1097" i="1" s="1"/>
  <c r="G1096" i="1"/>
  <c r="H1096" i="1" s="1"/>
  <c r="H1095" i="1"/>
  <c r="G1095" i="1"/>
  <c r="G1093" i="1"/>
  <c r="H1093" i="1" s="1"/>
  <c r="G1092" i="1"/>
  <c r="H1092" i="1" s="1"/>
  <c r="G1091" i="1"/>
  <c r="H1091" i="1" s="1"/>
  <c r="G1090" i="1"/>
  <c r="H1090" i="1" s="1"/>
  <c r="G1089" i="1"/>
  <c r="H1089" i="1" s="1"/>
  <c r="H1088" i="1"/>
  <c r="G1088" i="1"/>
  <c r="G1087" i="1"/>
  <c r="H1087" i="1" s="1"/>
  <c r="G1086" i="1"/>
  <c r="H1086" i="1" s="1"/>
  <c r="G1085" i="1"/>
  <c r="H1085" i="1" s="1"/>
  <c r="G1084" i="1"/>
  <c r="H1084" i="1" s="1"/>
  <c r="G1083" i="1"/>
  <c r="H1083" i="1" s="1"/>
  <c r="H1082" i="1"/>
  <c r="G1082" i="1"/>
  <c r="G1081" i="1"/>
  <c r="H1081" i="1" s="1"/>
  <c r="G1080" i="1"/>
  <c r="H1080" i="1" s="1"/>
  <c r="G1079" i="1"/>
  <c r="H1079" i="1" s="1"/>
  <c r="G1078" i="1"/>
  <c r="H1078" i="1" s="1"/>
  <c r="G1077" i="1"/>
  <c r="H1077" i="1" s="1"/>
  <c r="H1076" i="1"/>
  <c r="G1076" i="1"/>
  <c r="G1075" i="1"/>
  <c r="H1075" i="1" s="1"/>
  <c r="G1073" i="1"/>
  <c r="H1073" i="1" s="1"/>
  <c r="G1072" i="1"/>
  <c r="H1072" i="1" s="1"/>
  <c r="G1071" i="1"/>
  <c r="H1071" i="1" s="1"/>
  <c r="H1070" i="1"/>
  <c r="H1069" i="1"/>
  <c r="G1069" i="1"/>
  <c r="G1068" i="1"/>
  <c r="H1068" i="1" s="1"/>
  <c r="G1067" i="1"/>
  <c r="H1067" i="1" s="1"/>
  <c r="G1066" i="1"/>
  <c r="H1066" i="1" s="1"/>
  <c r="H1065" i="1"/>
  <c r="G1064" i="1"/>
  <c r="H1064" i="1" s="1"/>
  <c r="H1063" i="1"/>
  <c r="G1063" i="1"/>
  <c r="H1062" i="1"/>
  <c r="G1062" i="1"/>
  <c r="H1061" i="1"/>
  <c r="G1061" i="1"/>
  <c r="H1060" i="1"/>
  <c r="G1060" i="1"/>
  <c r="H1059" i="1"/>
  <c r="G1059" i="1"/>
  <c r="G1058" i="1"/>
  <c r="H1058" i="1" s="1"/>
  <c r="H1057" i="1"/>
  <c r="G1057" i="1"/>
  <c r="H1056" i="1"/>
  <c r="G1056" i="1"/>
  <c r="H1055" i="1"/>
  <c r="G1055" i="1"/>
  <c r="H1054" i="1"/>
  <c r="G1054" i="1"/>
  <c r="H1053" i="1"/>
  <c r="G1053" i="1"/>
  <c r="G1051" i="1"/>
  <c r="H1051" i="1" s="1"/>
  <c r="H1050" i="1"/>
  <c r="G1050" i="1"/>
  <c r="H1049" i="1"/>
  <c r="G1049" i="1"/>
  <c r="H1048" i="1"/>
  <c r="G1048" i="1"/>
  <c r="H1047" i="1"/>
  <c r="G1046" i="1"/>
  <c r="H1046" i="1" s="1"/>
  <c r="G1045" i="1"/>
  <c r="H1045" i="1" s="1"/>
  <c r="G1044" i="1"/>
  <c r="H1044" i="1" s="1"/>
  <c r="G1043" i="1"/>
  <c r="H1043" i="1" s="1"/>
  <c r="G1042" i="1"/>
  <c r="H1042" i="1" s="1"/>
  <c r="H1041" i="1"/>
  <c r="G1041" i="1"/>
  <c r="H1040" i="1"/>
  <c r="G1040" i="1"/>
  <c r="H1039" i="1"/>
  <c r="G1039" i="1"/>
  <c r="G1038" i="1"/>
  <c r="H1038" i="1" s="1"/>
  <c r="H1037" i="1"/>
  <c r="G1037" i="1"/>
  <c r="G1036" i="1"/>
  <c r="H1036" i="1" s="1"/>
  <c r="G1035" i="1"/>
  <c r="H1035" i="1" s="1"/>
  <c r="G1034" i="1"/>
  <c r="H1034" i="1" s="1"/>
  <c r="G1033" i="1"/>
  <c r="H1033" i="1" s="1"/>
  <c r="G1032" i="1"/>
  <c r="H1032" i="1" s="1"/>
  <c r="G1031" i="1"/>
  <c r="H1031" i="1" s="1"/>
  <c r="G1029" i="1"/>
  <c r="H1029" i="1" s="1"/>
  <c r="H1028" i="1"/>
  <c r="G1028" i="1"/>
  <c r="H1027" i="1"/>
  <c r="G1027" i="1"/>
  <c r="H1026" i="1"/>
  <c r="G1026" i="1"/>
  <c r="H1025" i="1"/>
  <c r="G1025" i="1"/>
  <c r="G1024" i="1"/>
  <c r="H1024" i="1" s="1"/>
  <c r="G1023" i="1"/>
  <c r="H1023" i="1" s="1"/>
  <c r="G1022" i="1"/>
  <c r="H1022" i="1" s="1"/>
  <c r="G1021" i="1"/>
  <c r="H1021" i="1" s="1"/>
  <c r="G1020" i="1"/>
  <c r="H1020" i="1" s="1"/>
  <c r="G1019" i="1"/>
  <c r="H1019" i="1" s="1"/>
  <c r="H1018" i="1"/>
  <c r="H1017" i="1"/>
  <c r="G1017" i="1"/>
  <c r="H1016" i="1"/>
  <c r="G1016" i="1"/>
  <c r="H1015" i="1"/>
  <c r="G1015" i="1"/>
  <c r="H1014" i="1"/>
  <c r="G1014" i="1"/>
  <c r="H1013" i="1"/>
  <c r="G1013" i="1"/>
  <c r="H1012" i="1"/>
  <c r="G1012" i="1"/>
  <c r="H1011" i="1"/>
  <c r="G1011" i="1"/>
  <c r="H1010" i="1"/>
  <c r="G1010" i="1"/>
  <c r="H1009" i="1"/>
  <c r="G1009" i="1"/>
  <c r="H1008" i="1"/>
  <c r="G1008" i="1"/>
  <c r="H1007" i="1"/>
  <c r="G1007" i="1"/>
  <c r="H1006" i="1"/>
  <c r="G1006" i="1"/>
  <c r="H1005" i="1"/>
  <c r="G1005" i="1"/>
  <c r="H1004" i="1"/>
  <c r="G1004" i="1"/>
  <c r="H1003" i="1"/>
  <c r="G1003" i="1"/>
  <c r="H1002" i="1"/>
  <c r="G1002" i="1"/>
  <c r="H1001" i="1"/>
  <c r="G1001" i="1"/>
  <c r="H1000" i="1"/>
  <c r="G1000" i="1"/>
  <c r="H999" i="1"/>
  <c r="G999" i="1"/>
  <c r="H998" i="1"/>
  <c r="G998" i="1"/>
  <c r="H997" i="1"/>
  <c r="G997" i="1"/>
  <c r="H996" i="1"/>
  <c r="G996" i="1"/>
  <c r="H995" i="1"/>
  <c r="G995" i="1"/>
  <c r="H994" i="1"/>
  <c r="G994" i="1"/>
  <c r="H993" i="1"/>
  <c r="G993" i="1"/>
  <c r="H992" i="1"/>
  <c r="G992" i="1"/>
  <c r="H991" i="1"/>
  <c r="G991" i="1"/>
  <c r="H990" i="1"/>
  <c r="G990" i="1"/>
  <c r="H989" i="1"/>
  <c r="G989" i="1"/>
  <c r="H988" i="1"/>
  <c r="G988" i="1"/>
  <c r="H987" i="1"/>
  <c r="G987" i="1"/>
  <c r="H986" i="1"/>
  <c r="G986" i="1"/>
  <c r="H985" i="1"/>
  <c r="G985" i="1"/>
  <c r="H983" i="1"/>
  <c r="G983" i="1"/>
  <c r="H982" i="1"/>
  <c r="G982" i="1"/>
  <c r="H981" i="1"/>
  <c r="G981" i="1"/>
  <c r="H980" i="1"/>
  <c r="G980" i="1"/>
  <c r="H979" i="1"/>
  <c r="G979" i="1"/>
  <c r="H978" i="1"/>
  <c r="G978" i="1"/>
  <c r="H977" i="1"/>
  <c r="G977" i="1"/>
  <c r="H976" i="1"/>
  <c r="G976" i="1"/>
  <c r="H975" i="1"/>
  <c r="G975" i="1"/>
  <c r="H974" i="1"/>
  <c r="G974" i="1"/>
  <c r="H973" i="1"/>
  <c r="G973" i="1"/>
  <c r="H972" i="1"/>
  <c r="G972" i="1"/>
  <c r="H971" i="1"/>
  <c r="G971" i="1"/>
  <c r="H970" i="1"/>
  <c r="G970" i="1"/>
  <c r="H969" i="1"/>
  <c r="G969" i="1"/>
  <c r="H968" i="1"/>
  <c r="G968" i="1"/>
  <c r="H967" i="1"/>
  <c r="G967" i="1"/>
  <c r="H966" i="1"/>
  <c r="G966" i="1"/>
  <c r="H965" i="1"/>
  <c r="G965" i="1"/>
  <c r="H964" i="1"/>
  <c r="G964" i="1"/>
  <c r="H963" i="1"/>
  <c r="G963" i="1"/>
  <c r="H962" i="1"/>
  <c r="G962" i="1"/>
  <c r="H961" i="1"/>
  <c r="G961" i="1"/>
  <c r="H960" i="1"/>
  <c r="G960" i="1"/>
  <c r="H959" i="1"/>
  <c r="G959" i="1"/>
  <c r="H958" i="1"/>
  <c r="G958" i="1"/>
  <c r="H957" i="1"/>
  <c r="G957" i="1"/>
  <c r="H956" i="1"/>
  <c r="G956" i="1"/>
  <c r="H955" i="1"/>
  <c r="G955" i="1"/>
  <c r="H954" i="1"/>
  <c r="G954" i="1"/>
  <c r="H953" i="1"/>
  <c r="G953" i="1"/>
  <c r="H952" i="1"/>
  <c r="G952" i="1"/>
  <c r="H951" i="1"/>
  <c r="G951" i="1"/>
  <c r="H950" i="1"/>
  <c r="G950" i="1"/>
  <c r="H949" i="1"/>
  <c r="G949" i="1"/>
  <c r="H948" i="1"/>
  <c r="G948" i="1"/>
  <c r="H947" i="1"/>
  <c r="G947" i="1"/>
  <c r="H946" i="1"/>
  <c r="G946" i="1"/>
  <c r="H945" i="1"/>
  <c r="G945" i="1"/>
  <c r="H944" i="1"/>
  <c r="G944" i="1"/>
  <c r="H943" i="1"/>
  <c r="G943" i="1"/>
  <c r="H942" i="1"/>
  <c r="G942" i="1"/>
  <c r="H941" i="1"/>
  <c r="G941" i="1"/>
  <c r="H940" i="1"/>
  <c r="G940" i="1"/>
  <c r="H939" i="1"/>
  <c r="G939" i="1"/>
  <c r="H938" i="1"/>
  <c r="G938" i="1"/>
  <c r="H937" i="1"/>
  <c r="G937" i="1"/>
  <c r="H936" i="1"/>
  <c r="G936" i="1"/>
  <c r="H935" i="1"/>
  <c r="G935" i="1"/>
  <c r="H934" i="1"/>
  <c r="G934" i="1"/>
  <c r="H933" i="1"/>
  <c r="G933" i="1"/>
  <c r="H932" i="1"/>
  <c r="G932" i="1"/>
  <c r="H931" i="1"/>
  <c r="G931" i="1"/>
  <c r="H930" i="1"/>
  <c r="G930" i="1"/>
  <c r="H929" i="1"/>
  <c r="G929" i="1"/>
  <c r="H928" i="1"/>
  <c r="G928" i="1"/>
  <c r="H927" i="1"/>
  <c r="G927" i="1"/>
  <c r="H926" i="1"/>
  <c r="G926" i="1"/>
  <c r="H925" i="1"/>
  <c r="G925" i="1"/>
  <c r="H924" i="1"/>
  <c r="G924" i="1"/>
  <c r="H923" i="1"/>
  <c r="G923" i="1"/>
  <c r="H922" i="1"/>
  <c r="G922" i="1"/>
  <c r="H921" i="1"/>
  <c r="G921" i="1"/>
  <c r="H920" i="1"/>
  <c r="G920" i="1"/>
  <c r="H919" i="1"/>
  <c r="G919" i="1"/>
  <c r="H918" i="1"/>
  <c r="G918" i="1"/>
  <c r="H917" i="1"/>
  <c r="G917" i="1"/>
  <c r="H916" i="1"/>
  <c r="G916" i="1"/>
  <c r="H915" i="1"/>
  <c r="G915" i="1"/>
  <c r="H913" i="1"/>
  <c r="G913" i="1"/>
  <c r="H912" i="1"/>
  <c r="G912" i="1"/>
  <c r="H911" i="1"/>
  <c r="G911" i="1"/>
  <c r="H910" i="1"/>
  <c r="G910" i="1"/>
  <c r="H909" i="1"/>
  <c r="G909" i="1"/>
  <c r="H908" i="1"/>
  <c r="G908" i="1"/>
  <c r="H907" i="1"/>
  <c r="G907" i="1"/>
  <c r="H906" i="1"/>
  <c r="G906" i="1"/>
  <c r="H905" i="1"/>
  <c r="G905" i="1"/>
  <c r="H904" i="1"/>
  <c r="G904" i="1"/>
  <c r="H903" i="1"/>
  <c r="G903" i="1"/>
  <c r="H902" i="1"/>
  <c r="G902" i="1"/>
  <c r="H901" i="1"/>
  <c r="G901" i="1"/>
  <c r="H900" i="1"/>
  <c r="G900" i="1"/>
  <c r="H899" i="1"/>
  <c r="G899" i="1"/>
  <c r="H898" i="1"/>
  <c r="G898" i="1"/>
  <c r="H897" i="1"/>
  <c r="G897" i="1"/>
  <c r="H896" i="1"/>
  <c r="G896" i="1"/>
  <c r="H895" i="1"/>
  <c r="G895" i="1"/>
  <c r="H894" i="1"/>
  <c r="G894" i="1"/>
  <c r="H893" i="1"/>
  <c r="G893" i="1"/>
  <c r="H892" i="1"/>
  <c r="G892" i="1"/>
  <c r="H891" i="1"/>
  <c r="G891" i="1"/>
  <c r="H890" i="1"/>
  <c r="G890" i="1"/>
  <c r="H889" i="1"/>
  <c r="G889" i="1"/>
  <c r="H888" i="1"/>
  <c r="G888" i="1"/>
  <c r="H887" i="1"/>
  <c r="G887" i="1"/>
  <c r="H886" i="1"/>
  <c r="G886" i="1"/>
  <c r="H885" i="1"/>
  <c r="G885" i="1"/>
  <c r="H884" i="1"/>
  <c r="G884" i="1"/>
  <c r="H883" i="1"/>
  <c r="G883" i="1"/>
  <c r="H882" i="1"/>
  <c r="G882" i="1"/>
  <c r="H881" i="1"/>
  <c r="G881" i="1"/>
  <c r="H880" i="1"/>
  <c r="G880" i="1"/>
  <c r="H879" i="1"/>
  <c r="G879" i="1"/>
  <c r="H878" i="1"/>
  <c r="G878" i="1"/>
  <c r="H877" i="1"/>
  <c r="G877" i="1"/>
  <c r="H876" i="1"/>
  <c r="G876" i="1"/>
  <c r="H875" i="1"/>
  <c r="G875" i="1"/>
  <c r="H874" i="1"/>
  <c r="G874" i="1"/>
  <c r="H873" i="1"/>
  <c r="G873" i="1"/>
  <c r="H872" i="1"/>
  <c r="G872" i="1"/>
  <c r="H871" i="1"/>
  <c r="G871" i="1"/>
  <c r="H870" i="1"/>
  <c r="G870" i="1"/>
  <c r="H869" i="1"/>
  <c r="G869" i="1"/>
  <c r="H868" i="1"/>
  <c r="G868" i="1"/>
  <c r="H867" i="1"/>
  <c r="G867" i="1"/>
  <c r="H866" i="1"/>
  <c r="G866" i="1"/>
  <c r="H865" i="1"/>
  <c r="G865" i="1"/>
  <c r="H864" i="1"/>
  <c r="G864" i="1"/>
  <c r="H863" i="1"/>
  <c r="G863" i="1"/>
  <c r="H862" i="1"/>
  <c r="G862" i="1"/>
  <c r="H861" i="1"/>
  <c r="G861" i="1"/>
  <c r="H860" i="1"/>
  <c r="G860" i="1"/>
  <c r="H859" i="1"/>
  <c r="G859" i="1"/>
  <c r="H858" i="1"/>
  <c r="G858" i="1"/>
  <c r="H857" i="1"/>
  <c r="G857" i="1"/>
  <c r="H856" i="1"/>
  <c r="G856" i="1"/>
  <c r="H855" i="1"/>
  <c r="G855" i="1"/>
  <c r="H854" i="1"/>
  <c r="G854" i="1"/>
  <c r="H853" i="1"/>
  <c r="G853" i="1"/>
  <c r="H852" i="1"/>
  <c r="G852" i="1"/>
  <c r="H851" i="1"/>
  <c r="G851" i="1"/>
  <c r="H850" i="1"/>
  <c r="G850" i="1"/>
  <c r="H849" i="1"/>
  <c r="G849" i="1"/>
  <c r="H848" i="1"/>
  <c r="G848" i="1"/>
  <c r="H847" i="1"/>
  <c r="G847" i="1"/>
  <c r="H846" i="1"/>
  <c r="G846" i="1"/>
  <c r="H845" i="1"/>
  <c r="G845" i="1"/>
  <c r="H844" i="1"/>
  <c r="G844" i="1"/>
  <c r="H843" i="1"/>
  <c r="G843" i="1"/>
  <c r="H842" i="1"/>
  <c r="G842" i="1"/>
  <c r="H841" i="1"/>
  <c r="G841" i="1"/>
  <c r="H840" i="1"/>
  <c r="G840" i="1"/>
  <c r="H839" i="1"/>
  <c r="G839" i="1"/>
  <c r="H838" i="1"/>
  <c r="G838" i="1"/>
  <c r="H837" i="1"/>
  <c r="G837" i="1"/>
  <c r="H836" i="1"/>
  <c r="G836" i="1"/>
  <c r="H835" i="1"/>
  <c r="G835" i="1"/>
  <c r="H834" i="1"/>
  <c r="G834" i="1"/>
  <c r="H833" i="1"/>
  <c r="G833" i="1"/>
  <c r="H832" i="1"/>
  <c r="G832" i="1"/>
  <c r="H831" i="1"/>
  <c r="G831" i="1"/>
  <c r="H830" i="1"/>
  <c r="G830" i="1"/>
  <c r="H829" i="1"/>
  <c r="G829" i="1"/>
  <c r="H828" i="1"/>
  <c r="G828" i="1"/>
  <c r="H827" i="1"/>
  <c r="G827" i="1"/>
  <c r="H826" i="1"/>
  <c r="G826" i="1"/>
  <c r="H825" i="1"/>
  <c r="G825" i="1"/>
  <c r="H824" i="1"/>
  <c r="G824" i="1"/>
  <c r="H823" i="1"/>
  <c r="G823" i="1"/>
  <c r="H822" i="1"/>
  <c r="G822" i="1"/>
  <c r="H821" i="1"/>
  <c r="G821" i="1"/>
  <c r="H820" i="1"/>
  <c r="G820" i="1"/>
  <c r="H819" i="1"/>
  <c r="G819" i="1"/>
  <c r="H818" i="1"/>
  <c r="G818" i="1"/>
  <c r="H817" i="1"/>
  <c r="G817" i="1"/>
  <c r="H816" i="1"/>
  <c r="G816" i="1"/>
  <c r="H815" i="1"/>
  <c r="G815" i="1"/>
  <c r="H814" i="1"/>
  <c r="G814" i="1"/>
  <c r="H813" i="1"/>
  <c r="G813" i="1"/>
  <c r="H812" i="1"/>
  <c r="G812" i="1"/>
  <c r="H811" i="1"/>
  <c r="G811" i="1"/>
  <c r="H809" i="1"/>
  <c r="G809" i="1"/>
  <c r="H808" i="1"/>
  <c r="G808" i="1"/>
  <c r="H807" i="1"/>
  <c r="G807" i="1"/>
  <c r="H806" i="1"/>
  <c r="G806" i="1"/>
  <c r="H805" i="1"/>
  <c r="G805" i="1"/>
  <c r="H804" i="1"/>
  <c r="G804" i="1"/>
  <c r="H803" i="1"/>
  <c r="G803" i="1"/>
  <c r="H802" i="1"/>
  <c r="G802" i="1"/>
  <c r="H801" i="1"/>
  <c r="G801" i="1"/>
  <c r="H800" i="1"/>
  <c r="G800" i="1"/>
  <c r="H799" i="1"/>
  <c r="G799" i="1"/>
  <c r="H798" i="1"/>
  <c r="G798" i="1"/>
  <c r="H797" i="1"/>
  <c r="G797" i="1"/>
  <c r="H796" i="1"/>
  <c r="G796" i="1"/>
  <c r="H795" i="1"/>
  <c r="G795" i="1"/>
  <c r="H794" i="1"/>
  <c r="G794" i="1"/>
  <c r="H793" i="1"/>
  <c r="G793" i="1"/>
  <c r="H792" i="1"/>
  <c r="G792" i="1"/>
  <c r="H791" i="1"/>
  <c r="G791" i="1"/>
  <c r="H790" i="1"/>
  <c r="G790" i="1"/>
  <c r="H789" i="1"/>
  <c r="G789" i="1"/>
  <c r="H787" i="1"/>
  <c r="G787" i="1"/>
  <c r="H786" i="1"/>
  <c r="G786" i="1"/>
  <c r="H785" i="1"/>
  <c r="G785" i="1"/>
  <c r="H784" i="1"/>
  <c r="G784" i="1"/>
  <c r="H783" i="1"/>
  <c r="G783" i="1"/>
  <c r="H782" i="1"/>
  <c r="G782" i="1"/>
  <c r="H781" i="1"/>
  <c r="G781" i="1"/>
  <c r="H780" i="1"/>
  <c r="G780" i="1"/>
  <c r="H779" i="1"/>
  <c r="G779" i="1"/>
  <c r="H778" i="1"/>
  <c r="G778" i="1"/>
  <c r="H777" i="1"/>
  <c r="G777" i="1"/>
  <c r="H776" i="1"/>
  <c r="G776" i="1"/>
  <c r="H775" i="1"/>
  <c r="G775" i="1"/>
  <c r="H774" i="1"/>
  <c r="G774" i="1"/>
  <c r="H773" i="1"/>
  <c r="G773" i="1"/>
  <c r="H772" i="1"/>
  <c r="G772" i="1"/>
  <c r="H771" i="1"/>
  <c r="G771" i="1"/>
  <c r="H770" i="1"/>
  <c r="G770" i="1"/>
  <c r="H769" i="1"/>
  <c r="G769" i="1"/>
  <c r="H768" i="1"/>
  <c r="G768" i="1"/>
  <c r="H767" i="1"/>
  <c r="G767" i="1"/>
  <c r="H766" i="1"/>
  <c r="G766" i="1"/>
  <c r="H765" i="1"/>
  <c r="G765" i="1"/>
  <c r="H764" i="1"/>
  <c r="G764" i="1"/>
  <c r="H763" i="1"/>
  <c r="G763" i="1"/>
  <c r="H762" i="1"/>
  <c r="G762" i="1"/>
  <c r="H761" i="1"/>
  <c r="G761" i="1"/>
  <c r="H760" i="1"/>
  <c r="G760" i="1"/>
  <c r="H759" i="1"/>
  <c r="G759" i="1"/>
  <c r="H758" i="1"/>
  <c r="G758" i="1"/>
  <c r="H757" i="1"/>
  <c r="G757" i="1"/>
  <c r="H756" i="1"/>
  <c r="G756" i="1"/>
  <c r="H755" i="1"/>
  <c r="G755" i="1"/>
  <c r="H754" i="1"/>
  <c r="G754" i="1"/>
  <c r="H753" i="1"/>
  <c r="G753" i="1"/>
  <c r="H752" i="1"/>
  <c r="G752" i="1"/>
  <c r="H750" i="1"/>
  <c r="G750" i="1"/>
  <c r="H749" i="1"/>
  <c r="G749" i="1"/>
  <c r="H748" i="1"/>
  <c r="G748" i="1"/>
  <c r="H747" i="1"/>
  <c r="G746" i="1"/>
  <c r="H746" i="1" s="1"/>
  <c r="G745" i="1"/>
  <c r="H745" i="1" s="1"/>
  <c r="G744" i="1"/>
  <c r="H744" i="1" s="1"/>
  <c r="G743" i="1"/>
  <c r="H743" i="1" s="1"/>
  <c r="H742" i="1"/>
  <c r="H741" i="1"/>
  <c r="G741" i="1"/>
  <c r="H740" i="1"/>
  <c r="G740" i="1"/>
  <c r="H739" i="1"/>
  <c r="G739" i="1"/>
  <c r="H738" i="1"/>
  <c r="G737" i="1"/>
  <c r="H737" i="1" s="1"/>
  <c r="G736" i="1"/>
  <c r="H736" i="1" s="1"/>
  <c r="G735" i="1"/>
  <c r="H735" i="1" s="1"/>
  <c r="G734" i="1"/>
  <c r="H734" i="1" s="1"/>
  <c r="H733" i="1"/>
  <c r="G733" i="1"/>
  <c r="H732" i="1"/>
  <c r="G732" i="1"/>
  <c r="H731" i="1"/>
  <c r="G731" i="1"/>
  <c r="H730" i="1"/>
  <c r="G730" i="1"/>
  <c r="H729" i="1"/>
  <c r="G729" i="1"/>
  <c r="G728" i="1"/>
  <c r="H728" i="1" s="1"/>
  <c r="G727" i="1"/>
  <c r="H727" i="1" s="1"/>
  <c r="G726" i="1"/>
  <c r="H726" i="1" s="1"/>
  <c r="G725" i="1"/>
  <c r="H725" i="1" s="1"/>
  <c r="G724" i="1"/>
  <c r="H724" i="1" s="1"/>
  <c r="G722" i="1"/>
  <c r="H722" i="1" s="1"/>
  <c r="G721" i="1"/>
  <c r="H721" i="1" s="1"/>
  <c r="H720" i="1"/>
  <c r="G720" i="1"/>
  <c r="H719" i="1"/>
  <c r="G719" i="1"/>
  <c r="H718" i="1"/>
  <c r="G718" i="1"/>
  <c r="H717" i="1"/>
  <c r="G717" i="1"/>
  <c r="H716" i="1"/>
  <c r="G716" i="1"/>
  <c r="G715" i="1"/>
  <c r="H715" i="1" s="1"/>
  <c r="G714" i="1"/>
  <c r="H714" i="1" s="1"/>
  <c r="G713" i="1"/>
  <c r="H713" i="1" s="1"/>
  <c r="G712" i="1"/>
  <c r="H712" i="1" s="1"/>
  <c r="G711" i="1"/>
  <c r="H711" i="1" s="1"/>
  <c r="G710" i="1"/>
  <c r="H710" i="1" s="1"/>
  <c r="G709" i="1"/>
  <c r="H709" i="1" s="1"/>
  <c r="H708" i="1"/>
  <c r="G708" i="1"/>
  <c r="H707" i="1"/>
  <c r="G707" i="1"/>
  <c r="H706" i="1"/>
  <c r="G706" i="1"/>
  <c r="H705" i="1"/>
  <c r="G705" i="1"/>
  <c r="H704" i="1"/>
  <c r="G704" i="1"/>
  <c r="G703" i="1"/>
  <c r="H703" i="1" s="1"/>
  <c r="G702" i="1"/>
  <c r="H702" i="1" s="1"/>
  <c r="H701" i="1"/>
  <c r="H700" i="1"/>
  <c r="G700" i="1"/>
  <c r="H699" i="1"/>
  <c r="G699" i="1"/>
  <c r="H698" i="1"/>
  <c r="G698" i="1"/>
  <c r="H697" i="1"/>
  <c r="G697" i="1"/>
  <c r="H696" i="1"/>
  <c r="G696" i="1"/>
  <c r="H695" i="1"/>
  <c r="G695" i="1"/>
  <c r="H694" i="1"/>
  <c r="G694" i="1"/>
  <c r="H693" i="1"/>
  <c r="G693" i="1"/>
  <c r="H692" i="1"/>
  <c r="G692" i="1"/>
  <c r="H691" i="1"/>
  <c r="G691" i="1"/>
  <c r="H690" i="1"/>
  <c r="G690" i="1"/>
  <c r="H689" i="1"/>
  <c r="G689" i="1"/>
  <c r="H688" i="1"/>
  <c r="G688" i="1"/>
  <c r="H687" i="1"/>
  <c r="G687" i="1"/>
  <c r="H686" i="1"/>
  <c r="G686" i="1"/>
  <c r="H685" i="1"/>
  <c r="G685" i="1"/>
  <c r="H684" i="1"/>
  <c r="G684" i="1"/>
  <c r="H683" i="1"/>
  <c r="G683" i="1"/>
  <c r="H682" i="1"/>
  <c r="G682" i="1"/>
  <c r="H681" i="1"/>
  <c r="G681" i="1"/>
  <c r="H680" i="1"/>
  <c r="G680" i="1"/>
  <c r="H679" i="1"/>
  <c r="G679" i="1"/>
  <c r="H678" i="1"/>
  <c r="G678" i="1"/>
  <c r="H677" i="1"/>
  <c r="G677" i="1"/>
  <c r="H676" i="1"/>
  <c r="G676" i="1"/>
  <c r="H675" i="1"/>
  <c r="G675" i="1"/>
  <c r="H674" i="1"/>
  <c r="G674" i="1"/>
  <c r="H673" i="1"/>
  <c r="G673" i="1"/>
  <c r="H672" i="1"/>
  <c r="G672" i="1"/>
  <c r="H671" i="1"/>
  <c r="G671" i="1"/>
  <c r="H670" i="1"/>
  <c r="G670" i="1"/>
  <c r="H669" i="1"/>
  <c r="G669" i="1"/>
  <c r="H668" i="1"/>
  <c r="G668" i="1"/>
  <c r="H667" i="1"/>
  <c r="G667" i="1"/>
  <c r="H666" i="1"/>
  <c r="G666" i="1"/>
  <c r="H665" i="1"/>
  <c r="G665" i="1"/>
  <c r="H664" i="1"/>
  <c r="G664" i="1"/>
  <c r="H663" i="1"/>
  <c r="G663" i="1"/>
  <c r="H662" i="1"/>
  <c r="G662" i="1"/>
  <c r="H661" i="1"/>
  <c r="G661" i="1"/>
  <c r="H659" i="1"/>
  <c r="G659" i="1"/>
  <c r="H658" i="1"/>
  <c r="G658" i="1"/>
  <c r="H657" i="1"/>
  <c r="G657" i="1"/>
  <c r="H656" i="1"/>
  <c r="G656" i="1"/>
  <c r="H655" i="1"/>
  <c r="G655" i="1"/>
  <c r="H654" i="1"/>
  <c r="G654" i="1"/>
  <c r="H653" i="1"/>
  <c r="G653" i="1"/>
  <c r="H652" i="1"/>
  <c r="G652" i="1"/>
  <c r="H651" i="1"/>
  <c r="G651" i="1"/>
  <c r="H650" i="1"/>
  <c r="G650" i="1"/>
  <c r="H649" i="1"/>
  <c r="G649" i="1"/>
  <c r="H648" i="1"/>
  <c r="G648" i="1"/>
  <c r="H647" i="1"/>
  <c r="G647" i="1"/>
  <c r="H646" i="1"/>
  <c r="G646" i="1"/>
  <c r="H645" i="1"/>
  <c r="G645" i="1"/>
  <c r="H644" i="1"/>
  <c r="G644" i="1"/>
  <c r="H643" i="1"/>
  <c r="G643" i="1"/>
  <c r="H642" i="1"/>
  <c r="G642" i="1"/>
  <c r="H641" i="1"/>
  <c r="G641" i="1"/>
  <c r="H640" i="1"/>
  <c r="G640" i="1"/>
  <c r="H639" i="1"/>
  <c r="G639" i="1"/>
  <c r="H638" i="1"/>
  <c r="G638" i="1"/>
  <c r="H637" i="1"/>
  <c r="G637" i="1"/>
  <c r="H636" i="1"/>
  <c r="G636" i="1"/>
  <c r="H635" i="1"/>
  <c r="G635" i="1"/>
  <c r="H634" i="1"/>
  <c r="G634" i="1"/>
  <c r="H633" i="1"/>
  <c r="G633" i="1"/>
  <c r="H632" i="1"/>
  <c r="G632" i="1"/>
  <c r="H631" i="1"/>
  <c r="G631" i="1"/>
  <c r="H630" i="1"/>
  <c r="G630" i="1"/>
  <c r="H629" i="1"/>
  <c r="G629" i="1"/>
  <c r="H628" i="1"/>
  <c r="G628" i="1"/>
  <c r="H627" i="1"/>
  <c r="G627" i="1"/>
  <c r="H626" i="1"/>
  <c r="G626" i="1"/>
  <c r="H625" i="1"/>
  <c r="G625" i="1"/>
  <c r="H624" i="1"/>
  <c r="G624" i="1"/>
  <c r="H623" i="1"/>
  <c r="G623" i="1"/>
  <c r="H622" i="1"/>
  <c r="G622" i="1"/>
  <c r="H621" i="1"/>
  <c r="G621" i="1"/>
  <c r="H620" i="1"/>
  <c r="G620" i="1"/>
  <c r="H619" i="1"/>
  <c r="G619" i="1"/>
  <c r="H618" i="1"/>
  <c r="G618" i="1"/>
  <c r="H617" i="1"/>
  <c r="G617" i="1"/>
  <c r="H616" i="1"/>
  <c r="G616" i="1"/>
  <c r="H615" i="1"/>
  <c r="G615" i="1"/>
  <c r="H614" i="1"/>
  <c r="G614" i="1"/>
  <c r="H613" i="1"/>
  <c r="G613" i="1"/>
  <c r="H612" i="1"/>
  <c r="G612" i="1"/>
  <c r="H611" i="1"/>
  <c r="G611" i="1"/>
  <c r="H610" i="1"/>
  <c r="G610" i="1"/>
  <c r="H609" i="1"/>
  <c r="G609" i="1"/>
  <c r="H608" i="1"/>
  <c r="G608" i="1"/>
  <c r="H607" i="1"/>
  <c r="G607" i="1"/>
  <c r="H606" i="1"/>
  <c r="G606" i="1"/>
  <c r="H605" i="1"/>
  <c r="G605" i="1"/>
  <c r="H604" i="1"/>
  <c r="G604" i="1"/>
  <c r="H603" i="1"/>
  <c r="G603" i="1"/>
  <c r="H602" i="1"/>
  <c r="G602" i="1"/>
  <c r="H601" i="1"/>
  <c r="G601" i="1"/>
  <c r="H600" i="1"/>
  <c r="G600" i="1"/>
  <c r="H599" i="1"/>
  <c r="G599" i="1"/>
  <c r="H598" i="1"/>
  <c r="G598" i="1"/>
  <c r="H597" i="1"/>
  <c r="G597" i="1"/>
  <c r="H596" i="1"/>
  <c r="G596" i="1"/>
  <c r="H595" i="1"/>
  <c r="G595" i="1"/>
  <c r="H594" i="1"/>
  <c r="G594" i="1"/>
  <c r="H593" i="1"/>
  <c r="G593" i="1"/>
  <c r="H592" i="1"/>
  <c r="G592" i="1"/>
  <c r="H591" i="1"/>
  <c r="G591" i="1"/>
  <c r="H590" i="1"/>
  <c r="G590" i="1"/>
  <c r="H589" i="1"/>
  <c r="G589" i="1"/>
  <c r="H588" i="1"/>
  <c r="G588" i="1"/>
  <c r="H587" i="1"/>
  <c r="G587" i="1"/>
  <c r="H586" i="1"/>
  <c r="G586" i="1"/>
  <c r="H585" i="1"/>
  <c r="G585" i="1"/>
  <c r="H584" i="1"/>
  <c r="G584" i="1"/>
  <c r="H583" i="1"/>
  <c r="G583" i="1"/>
  <c r="H582" i="1"/>
  <c r="G582" i="1"/>
  <c r="H581" i="1"/>
  <c r="G581" i="1"/>
  <c r="H580" i="1"/>
  <c r="G580" i="1"/>
  <c r="H579" i="1"/>
  <c r="G579" i="1"/>
  <c r="H578" i="1"/>
  <c r="G578" i="1"/>
  <c r="H577" i="1"/>
  <c r="G577" i="1"/>
  <c r="H576" i="1"/>
  <c r="G576" i="1"/>
  <c r="H575" i="1"/>
  <c r="G575" i="1"/>
  <c r="H574" i="1"/>
  <c r="G574" i="1"/>
  <c r="H573" i="1"/>
  <c r="G573" i="1"/>
  <c r="H572" i="1"/>
  <c r="G572" i="1"/>
  <c r="H571" i="1"/>
  <c r="G571" i="1"/>
  <c r="H570" i="1"/>
  <c r="G570" i="1"/>
  <c r="H569" i="1"/>
  <c r="G569" i="1"/>
  <c r="H568" i="1"/>
  <c r="G568" i="1"/>
  <c r="H567" i="1"/>
  <c r="G567" i="1"/>
  <c r="H566" i="1"/>
  <c r="G566" i="1"/>
  <c r="H565" i="1"/>
  <c r="G565" i="1"/>
  <c r="H564" i="1"/>
  <c r="G564" i="1"/>
  <c r="H563" i="1"/>
  <c r="G563" i="1"/>
  <c r="H562" i="1"/>
  <c r="G562" i="1"/>
  <c r="H561" i="1"/>
  <c r="G561" i="1"/>
  <c r="H560" i="1"/>
  <c r="G560" i="1"/>
  <c r="H559" i="1"/>
  <c r="G559" i="1"/>
  <c r="H558" i="1"/>
  <c r="G558" i="1"/>
  <c r="H557" i="1"/>
  <c r="G557" i="1"/>
  <c r="H556" i="1"/>
  <c r="G556" i="1"/>
  <c r="H555" i="1"/>
  <c r="G555" i="1"/>
  <c r="H554" i="1"/>
  <c r="G554" i="1"/>
  <c r="H553" i="1"/>
  <c r="G553" i="1"/>
  <c r="H552" i="1"/>
  <c r="G552" i="1"/>
  <c r="H551" i="1"/>
  <c r="G551" i="1"/>
  <c r="H550" i="1"/>
  <c r="G550" i="1"/>
  <c r="H549" i="1"/>
  <c r="G549" i="1"/>
  <c r="H548" i="1"/>
  <c r="G548" i="1"/>
  <c r="H547" i="1"/>
  <c r="G547" i="1"/>
  <c r="H546" i="1"/>
  <c r="G546" i="1"/>
  <c r="H545" i="1"/>
  <c r="G545" i="1"/>
  <c r="H544" i="1"/>
  <c r="G544" i="1"/>
  <c r="H543" i="1"/>
  <c r="G543" i="1"/>
  <c r="H542" i="1"/>
  <c r="G542" i="1"/>
  <c r="H541" i="1"/>
  <c r="G541" i="1"/>
  <c r="H540" i="1"/>
  <c r="G540" i="1"/>
  <c r="H539" i="1"/>
  <c r="G539" i="1"/>
  <c r="H538" i="1"/>
  <c r="G538" i="1"/>
  <c r="H537" i="1"/>
  <c r="G537" i="1"/>
  <c r="H536" i="1"/>
  <c r="G536" i="1"/>
  <c r="H535" i="1"/>
  <c r="G535" i="1"/>
  <c r="H534" i="1"/>
  <c r="G534" i="1"/>
  <c r="H533" i="1"/>
  <c r="G533" i="1"/>
  <c r="H532" i="1"/>
  <c r="G532" i="1"/>
  <c r="H531" i="1"/>
  <c r="G531" i="1"/>
  <c r="H530" i="1"/>
  <c r="G530" i="1"/>
  <c r="H529" i="1"/>
  <c r="G529" i="1"/>
  <c r="H528" i="1"/>
  <c r="G528" i="1"/>
  <c r="H527" i="1"/>
  <c r="G527" i="1"/>
  <c r="H526" i="1"/>
  <c r="G526" i="1"/>
  <c r="H525" i="1"/>
  <c r="G525" i="1"/>
  <c r="H524" i="1"/>
  <c r="G524" i="1"/>
  <c r="H523" i="1"/>
  <c r="G523" i="1"/>
  <c r="H522" i="1"/>
  <c r="G522" i="1"/>
  <c r="H521" i="1"/>
  <c r="G521" i="1"/>
  <c r="H520" i="1"/>
  <c r="G520" i="1"/>
  <c r="H519" i="1"/>
  <c r="G519" i="1"/>
  <c r="H517" i="1"/>
  <c r="G517" i="1"/>
  <c r="H516" i="1"/>
  <c r="G516" i="1"/>
  <c r="H515" i="1"/>
  <c r="G515" i="1"/>
  <c r="H514" i="1"/>
  <c r="G514" i="1"/>
  <c r="H513" i="1"/>
  <c r="G513" i="1"/>
  <c r="H512" i="1"/>
  <c r="G512" i="1"/>
  <c r="H511" i="1"/>
  <c r="G511" i="1"/>
  <c r="H510" i="1"/>
  <c r="G510" i="1"/>
  <c r="H509" i="1"/>
  <c r="G509" i="1"/>
  <c r="H508" i="1"/>
  <c r="G508" i="1"/>
  <c r="H507" i="1"/>
  <c r="G507" i="1"/>
  <c r="H506" i="1"/>
  <c r="G506" i="1"/>
  <c r="H505" i="1"/>
  <c r="G505" i="1"/>
  <c r="H504" i="1"/>
  <c r="G504" i="1"/>
  <c r="H503" i="1"/>
  <c r="G503" i="1"/>
  <c r="H502" i="1"/>
  <c r="G502" i="1"/>
  <c r="H501" i="1"/>
  <c r="G501" i="1"/>
  <c r="H500" i="1"/>
  <c r="G500" i="1"/>
  <c r="H499" i="1"/>
  <c r="G499" i="1"/>
  <c r="H498" i="1"/>
  <c r="G498" i="1"/>
  <c r="H497" i="1"/>
  <c r="G497" i="1"/>
  <c r="H496" i="1"/>
  <c r="G496" i="1"/>
  <c r="H495" i="1"/>
  <c r="G495" i="1"/>
  <c r="H494" i="1"/>
  <c r="G494" i="1"/>
  <c r="H493" i="1"/>
  <c r="G493" i="1"/>
  <c r="H492" i="1"/>
  <c r="G492" i="1"/>
  <c r="H491" i="1"/>
  <c r="G491" i="1"/>
  <c r="H490" i="1"/>
  <c r="G490" i="1"/>
  <c r="H489" i="1"/>
  <c r="G489" i="1"/>
  <c r="H488" i="1"/>
  <c r="G488" i="1"/>
  <c r="H487" i="1"/>
  <c r="G487" i="1"/>
  <c r="H486" i="1"/>
  <c r="G486" i="1"/>
  <c r="H485" i="1"/>
  <c r="G485" i="1"/>
  <c r="H484" i="1"/>
  <c r="G484" i="1"/>
  <c r="H483" i="1"/>
  <c r="G483" i="1"/>
  <c r="H482" i="1"/>
  <c r="G482" i="1"/>
  <c r="H481" i="1"/>
  <c r="G481" i="1"/>
  <c r="H480" i="1"/>
  <c r="G480" i="1"/>
  <c r="H479" i="1"/>
  <c r="G479" i="1"/>
  <c r="H478" i="1"/>
  <c r="G478" i="1"/>
  <c r="H477" i="1"/>
  <c r="G477" i="1"/>
  <c r="H476" i="1"/>
  <c r="G476" i="1"/>
  <c r="H475" i="1"/>
  <c r="G475" i="1"/>
  <c r="G474" i="1"/>
  <c r="H474" i="1" s="1"/>
  <c r="H473" i="1"/>
  <c r="G473" i="1"/>
  <c r="H472" i="1"/>
  <c r="G472" i="1"/>
  <c r="H471" i="1"/>
  <c r="G471" i="1"/>
  <c r="H470" i="1"/>
  <c r="G470" i="1"/>
  <c r="H469" i="1"/>
  <c r="G469" i="1"/>
  <c r="G468" i="1"/>
  <c r="H468" i="1" s="1"/>
  <c r="H467" i="1"/>
  <c r="G467" i="1"/>
  <c r="H466" i="1"/>
  <c r="G466" i="1"/>
  <c r="H465" i="1"/>
  <c r="G465" i="1"/>
  <c r="H464" i="1"/>
  <c r="G464" i="1"/>
  <c r="H463" i="1"/>
  <c r="G463" i="1"/>
  <c r="G462" i="1"/>
  <c r="H462" i="1" s="1"/>
  <c r="H461" i="1"/>
  <c r="G461" i="1"/>
  <c r="H460" i="1"/>
  <c r="G460" i="1"/>
  <c r="H459" i="1"/>
  <c r="G459" i="1"/>
  <c r="H458" i="1"/>
  <c r="G458" i="1"/>
  <c r="H457" i="1"/>
  <c r="G457" i="1"/>
  <c r="G456" i="1"/>
  <c r="H456" i="1" s="1"/>
  <c r="H455" i="1"/>
  <c r="G455" i="1"/>
  <c r="H454" i="1"/>
  <c r="G454" i="1"/>
  <c r="H453" i="1"/>
  <c r="G453" i="1"/>
  <c r="H452" i="1"/>
  <c r="G452" i="1"/>
  <c r="H451" i="1"/>
  <c r="G451" i="1"/>
  <c r="G450" i="1"/>
  <c r="H450" i="1" s="1"/>
  <c r="H449" i="1"/>
  <c r="G449" i="1"/>
  <c r="H448" i="1"/>
  <c r="G448" i="1"/>
  <c r="H447" i="1"/>
  <c r="G447" i="1"/>
  <c r="H446" i="1"/>
  <c r="G446" i="1"/>
  <c r="H445" i="1"/>
  <c r="G445" i="1"/>
  <c r="G444" i="1"/>
  <c r="H444" i="1" s="1"/>
  <c r="H443" i="1"/>
  <c r="G443" i="1"/>
  <c r="H442" i="1"/>
  <c r="G442" i="1"/>
  <c r="H441" i="1"/>
  <c r="G441" i="1"/>
  <c r="H440" i="1"/>
  <c r="G440" i="1"/>
  <c r="H439" i="1"/>
  <c r="G439" i="1"/>
  <c r="G438" i="1"/>
  <c r="H438" i="1" s="1"/>
  <c r="H437" i="1"/>
  <c r="G437" i="1"/>
  <c r="H436" i="1"/>
  <c r="G436" i="1"/>
  <c r="H435" i="1"/>
  <c r="G435" i="1"/>
  <c r="H434" i="1"/>
  <c r="G434" i="1"/>
  <c r="H433" i="1"/>
  <c r="G433" i="1"/>
  <c r="G432" i="1"/>
  <c r="H432" i="1" s="1"/>
  <c r="H431" i="1"/>
  <c r="G431" i="1"/>
  <c r="H430" i="1"/>
  <c r="G430" i="1"/>
  <c r="H429" i="1"/>
  <c r="G429" i="1"/>
  <c r="H428" i="1"/>
  <c r="G428" i="1"/>
  <c r="H427" i="1"/>
  <c r="G427" i="1"/>
  <c r="G426" i="1"/>
  <c r="H426" i="1" s="1"/>
  <c r="H425" i="1"/>
  <c r="G425" i="1"/>
  <c r="H424" i="1"/>
  <c r="G424" i="1"/>
  <c r="H423" i="1"/>
  <c r="G423" i="1"/>
  <c r="H422" i="1"/>
  <c r="G422" i="1"/>
  <c r="H421" i="1"/>
  <c r="G421" i="1"/>
  <c r="G420" i="1"/>
  <c r="H420" i="1" s="1"/>
  <c r="H419" i="1"/>
  <c r="G419" i="1"/>
  <c r="H418" i="1"/>
  <c r="G418" i="1"/>
  <c r="H417" i="1"/>
  <c r="G417" i="1"/>
  <c r="H416" i="1"/>
  <c r="G416" i="1"/>
  <c r="H415" i="1"/>
  <c r="G415" i="1"/>
  <c r="G414" i="1"/>
  <c r="H414" i="1" s="1"/>
  <c r="H413" i="1"/>
  <c r="G413" i="1"/>
  <c r="H412" i="1"/>
  <c r="G412" i="1"/>
  <c r="H411" i="1"/>
  <c r="G411" i="1"/>
  <c r="H410" i="1"/>
  <c r="G410" i="1"/>
  <c r="H409" i="1"/>
  <c r="G409" i="1"/>
  <c r="G408" i="1"/>
  <c r="H408" i="1" s="1"/>
  <c r="H407" i="1"/>
  <c r="G407" i="1"/>
  <c r="H406" i="1"/>
  <c r="G406" i="1"/>
  <c r="H405" i="1"/>
  <c r="G405" i="1"/>
  <c r="H404" i="1"/>
  <c r="G404" i="1"/>
  <c r="H403" i="1"/>
  <c r="G403" i="1"/>
  <c r="G402" i="1"/>
  <c r="H402" i="1" s="1"/>
  <c r="H401" i="1"/>
  <c r="G401" i="1"/>
  <c r="H400" i="1"/>
  <c r="G400" i="1"/>
  <c r="H399" i="1"/>
  <c r="G399" i="1"/>
  <c r="H398" i="1"/>
  <c r="G398" i="1"/>
  <c r="H397" i="1"/>
  <c r="G397" i="1"/>
  <c r="G396" i="1"/>
  <c r="H396" i="1" s="1"/>
  <c r="H395" i="1"/>
  <c r="G395" i="1"/>
  <c r="H394" i="1"/>
  <c r="G394" i="1"/>
  <c r="H393" i="1"/>
  <c r="G393" i="1"/>
  <c r="H392" i="1"/>
  <c r="G392" i="1"/>
  <c r="H391" i="1"/>
  <c r="G391" i="1"/>
  <c r="G390" i="1"/>
  <c r="H390" i="1" s="1"/>
  <c r="H389" i="1"/>
  <c r="G389" i="1"/>
  <c r="H388" i="1"/>
  <c r="G388" i="1"/>
  <c r="H387" i="1"/>
  <c r="G387" i="1"/>
  <c r="H386" i="1"/>
  <c r="G386" i="1"/>
  <c r="H385" i="1"/>
  <c r="G385" i="1"/>
  <c r="G384" i="1"/>
  <c r="H384" i="1" s="1"/>
  <c r="H383" i="1"/>
  <c r="G383" i="1"/>
  <c r="H382" i="1"/>
  <c r="G382" i="1"/>
  <c r="H381" i="1"/>
  <c r="G381" i="1"/>
  <c r="H380" i="1"/>
  <c r="G380" i="1"/>
  <c r="H379" i="1"/>
  <c r="G379" i="1"/>
  <c r="G378" i="1"/>
  <c r="H378" i="1" s="1"/>
  <c r="H377" i="1"/>
  <c r="G377" i="1"/>
  <c r="H376" i="1"/>
  <c r="G376" i="1"/>
  <c r="H375" i="1"/>
  <c r="G375" i="1"/>
  <c r="H374" i="1"/>
  <c r="G374" i="1"/>
  <c r="H373" i="1"/>
  <c r="G373" i="1"/>
  <c r="G372" i="1"/>
  <c r="H372" i="1" s="1"/>
  <c r="H371" i="1"/>
  <c r="G371" i="1"/>
  <c r="H370" i="1"/>
  <c r="G370" i="1"/>
  <c r="H369" i="1"/>
  <c r="G369" i="1"/>
  <c r="H368" i="1"/>
  <c r="G368" i="1"/>
  <c r="H367" i="1"/>
  <c r="G367" i="1"/>
  <c r="G366" i="1"/>
  <c r="H366" i="1" s="1"/>
  <c r="H365" i="1"/>
  <c r="G365" i="1"/>
  <c r="H364" i="1"/>
  <c r="G364" i="1"/>
  <c r="H363" i="1"/>
  <c r="G363" i="1"/>
  <c r="H362" i="1"/>
  <c r="G362" i="1"/>
  <c r="H361" i="1"/>
  <c r="G361" i="1"/>
  <c r="G360" i="1"/>
  <c r="H360" i="1" s="1"/>
  <c r="H359" i="1"/>
  <c r="G359" i="1"/>
  <c r="H358" i="1"/>
  <c r="G358" i="1"/>
  <c r="H357" i="1"/>
  <c r="G357" i="1"/>
  <c r="H356" i="1"/>
  <c r="G356" i="1"/>
  <c r="H355" i="1"/>
  <c r="G355" i="1"/>
  <c r="G354" i="1"/>
  <c r="H354" i="1" s="1"/>
  <c r="H353" i="1"/>
  <c r="G353" i="1"/>
  <c r="H352" i="1"/>
  <c r="G352" i="1"/>
  <c r="H351" i="1"/>
  <c r="G351" i="1"/>
  <c r="H350" i="1"/>
  <c r="G350" i="1"/>
  <c r="H349" i="1"/>
  <c r="G349" i="1"/>
  <c r="G348" i="1"/>
  <c r="H348" i="1" s="1"/>
  <c r="H347" i="1"/>
  <c r="G347" i="1"/>
  <c r="H346" i="1"/>
  <c r="G346" i="1"/>
  <c r="H345" i="1"/>
  <c r="G345" i="1"/>
  <c r="H344" i="1"/>
  <c r="G344" i="1"/>
  <c r="H343" i="1"/>
  <c r="G343" i="1"/>
  <c r="G342" i="1"/>
  <c r="H342" i="1" s="1"/>
  <c r="H341" i="1"/>
  <c r="G341" i="1"/>
  <c r="H340" i="1"/>
  <c r="G340" i="1"/>
  <c r="H339" i="1"/>
  <c r="G339" i="1"/>
  <c r="H338" i="1"/>
  <c r="G338" i="1"/>
  <c r="H337" i="1"/>
  <c r="G337" i="1"/>
  <c r="G336" i="1"/>
  <c r="H336" i="1" s="1"/>
  <c r="H335" i="1"/>
  <c r="G334" i="1"/>
  <c r="H334" i="1" s="1"/>
  <c r="G333" i="1"/>
  <c r="H333" i="1" s="1"/>
  <c r="G332" i="1"/>
  <c r="H332" i="1" s="1"/>
  <c r="G331" i="1"/>
  <c r="H331" i="1" s="1"/>
  <c r="G329" i="1"/>
  <c r="H329" i="1" s="1"/>
  <c r="G328" i="1"/>
  <c r="H328" i="1" s="1"/>
  <c r="G327" i="1"/>
  <c r="H327" i="1" s="1"/>
  <c r="G326" i="1"/>
  <c r="H326" i="1" s="1"/>
  <c r="G325" i="1"/>
  <c r="H325" i="1" s="1"/>
  <c r="G324" i="1"/>
  <c r="H324" i="1" s="1"/>
  <c r="G323" i="1"/>
  <c r="H323" i="1" s="1"/>
  <c r="G322" i="1"/>
  <c r="H322" i="1" s="1"/>
  <c r="G321" i="1"/>
  <c r="H321" i="1" s="1"/>
  <c r="G320" i="1"/>
  <c r="H320" i="1" s="1"/>
  <c r="G319" i="1"/>
  <c r="H319" i="1" s="1"/>
  <c r="G318" i="1"/>
  <c r="H318" i="1" s="1"/>
  <c r="G317" i="1"/>
  <c r="H317" i="1" s="1"/>
  <c r="G316" i="1"/>
  <c r="H316" i="1" s="1"/>
  <c r="G315" i="1"/>
  <c r="H315" i="1" s="1"/>
  <c r="G314" i="1"/>
  <c r="H314" i="1" s="1"/>
  <c r="G313" i="1"/>
  <c r="H313" i="1" s="1"/>
  <c r="G312" i="1"/>
  <c r="H312" i="1" s="1"/>
  <c r="G311" i="1"/>
  <c r="H311" i="1" s="1"/>
  <c r="G310" i="1"/>
  <c r="H310" i="1" s="1"/>
  <c r="G309" i="1"/>
  <c r="H309" i="1" s="1"/>
  <c r="G307" i="1"/>
  <c r="H307" i="1" s="1"/>
  <c r="G306" i="1"/>
  <c r="H306" i="1" s="1"/>
  <c r="G305" i="1"/>
  <c r="H305" i="1" s="1"/>
  <c r="G304" i="1"/>
  <c r="H304" i="1" s="1"/>
  <c r="G303" i="1"/>
  <c r="H303" i="1" s="1"/>
  <c r="G302" i="1"/>
  <c r="H302" i="1" s="1"/>
  <c r="G301" i="1"/>
  <c r="H301" i="1" s="1"/>
  <c r="G300" i="1"/>
  <c r="H300" i="1" s="1"/>
  <c r="G299" i="1"/>
  <c r="H299" i="1" s="1"/>
  <c r="G298" i="1"/>
  <c r="H298" i="1" s="1"/>
  <c r="G297" i="1"/>
  <c r="H297" i="1" s="1"/>
  <c r="G296" i="1"/>
  <c r="H296" i="1" s="1"/>
  <c r="G295" i="1"/>
  <c r="H295" i="1" s="1"/>
  <c r="G294" i="1"/>
  <c r="H294" i="1" s="1"/>
  <c r="G293" i="1"/>
  <c r="H293" i="1" s="1"/>
  <c r="G292" i="1"/>
  <c r="H292" i="1" s="1"/>
  <c r="G291" i="1"/>
  <c r="H291" i="1" s="1"/>
  <c r="G290" i="1"/>
  <c r="H290" i="1" s="1"/>
  <c r="G289" i="1"/>
  <c r="H289" i="1" s="1"/>
  <c r="G288" i="1"/>
  <c r="H288" i="1" s="1"/>
  <c r="G287" i="1"/>
  <c r="H287" i="1" s="1"/>
  <c r="G286" i="1"/>
  <c r="H286" i="1" s="1"/>
  <c r="G285" i="1"/>
  <c r="H285" i="1" s="1"/>
  <c r="G284" i="1"/>
  <c r="H284" i="1" s="1"/>
  <c r="G283" i="1"/>
  <c r="H283" i="1" s="1"/>
  <c r="G282" i="1"/>
  <c r="H282" i="1" s="1"/>
  <c r="G281" i="1"/>
  <c r="H281" i="1" s="1"/>
  <c r="G280" i="1"/>
  <c r="H280" i="1" s="1"/>
  <c r="G279" i="1"/>
  <c r="H279" i="1" s="1"/>
  <c r="G278" i="1"/>
  <c r="H278" i="1" s="1"/>
  <c r="G277" i="1"/>
  <c r="H277" i="1" s="1"/>
  <c r="G276" i="1"/>
  <c r="H276" i="1" s="1"/>
  <c r="G275" i="1"/>
  <c r="H275" i="1" s="1"/>
  <c r="G274" i="1"/>
  <c r="H274" i="1" s="1"/>
  <c r="G273" i="1"/>
  <c r="H273" i="1" s="1"/>
  <c r="G272" i="1"/>
  <c r="H272" i="1" s="1"/>
  <c r="G271" i="1"/>
  <c r="H271" i="1" s="1"/>
  <c r="G270" i="1"/>
  <c r="H270" i="1" s="1"/>
  <c r="G269" i="1"/>
  <c r="H269" i="1" s="1"/>
  <c r="G268" i="1"/>
  <c r="H268" i="1" s="1"/>
  <c r="G266" i="1"/>
  <c r="H266" i="1" s="1"/>
  <c r="G265" i="1"/>
  <c r="H265" i="1" s="1"/>
  <c r="G264" i="1"/>
  <c r="H264" i="1" s="1"/>
  <c r="G263" i="1"/>
  <c r="H263" i="1" s="1"/>
  <c r="G262" i="1"/>
  <c r="H262" i="1" s="1"/>
  <c r="G261" i="1"/>
  <c r="H261" i="1" s="1"/>
  <c r="G260" i="1"/>
  <c r="H260" i="1" s="1"/>
  <c r="G259" i="1"/>
  <c r="H259" i="1" s="1"/>
  <c r="G258" i="1"/>
  <c r="H258" i="1" s="1"/>
  <c r="G257" i="1"/>
  <c r="H257" i="1" s="1"/>
  <c r="G256" i="1"/>
  <c r="H256" i="1" s="1"/>
  <c r="G255" i="1"/>
  <c r="H255" i="1" s="1"/>
  <c r="G254" i="1"/>
  <c r="H254" i="1" s="1"/>
  <c r="G253" i="1"/>
  <c r="H253" i="1" s="1"/>
  <c r="G252" i="1"/>
  <c r="H252" i="1" s="1"/>
  <c r="G251" i="1"/>
  <c r="H251" i="1" s="1"/>
  <c r="G250" i="1"/>
  <c r="H250" i="1" s="1"/>
  <c r="G249" i="1"/>
  <c r="H249" i="1" s="1"/>
  <c r="G248" i="1"/>
  <c r="H248" i="1" s="1"/>
  <c r="G247" i="1"/>
  <c r="H247" i="1" s="1"/>
  <c r="G246" i="1"/>
  <c r="H246" i="1" s="1"/>
  <c r="G245" i="1"/>
  <c r="H245" i="1" s="1"/>
  <c r="G244" i="1"/>
  <c r="H244" i="1" s="1"/>
  <c r="G243" i="1"/>
  <c r="H243" i="1" s="1"/>
  <c r="G242" i="1"/>
  <c r="H242" i="1" s="1"/>
  <c r="G241" i="1"/>
  <c r="H241" i="1" s="1"/>
  <c r="G240" i="1"/>
  <c r="H240" i="1" s="1"/>
  <c r="G239" i="1"/>
  <c r="H239" i="1" s="1"/>
  <c r="G238" i="1"/>
  <c r="H238" i="1" s="1"/>
  <c r="G237" i="1"/>
  <c r="H237" i="1" s="1"/>
  <c r="G236" i="1"/>
  <c r="H236" i="1" s="1"/>
  <c r="G235" i="1"/>
  <c r="H235" i="1" s="1"/>
  <c r="G234" i="1"/>
  <c r="H234" i="1" s="1"/>
  <c r="G233" i="1"/>
  <c r="H233" i="1" s="1"/>
  <c r="G232" i="1"/>
  <c r="H232" i="1" s="1"/>
  <c r="G231" i="1"/>
  <c r="H231" i="1" s="1"/>
  <c r="G230" i="1"/>
  <c r="H230" i="1" s="1"/>
  <c r="G229" i="1"/>
  <c r="H229" i="1" s="1"/>
  <c r="G228" i="1"/>
  <c r="H228" i="1" s="1"/>
  <c r="G227" i="1"/>
  <c r="H227" i="1" s="1"/>
  <c r="G226" i="1"/>
  <c r="H226" i="1" s="1"/>
  <c r="G225" i="1"/>
  <c r="H225" i="1" s="1"/>
  <c r="G224" i="1"/>
  <c r="H224" i="1" s="1"/>
  <c r="G223" i="1"/>
  <c r="H223" i="1" s="1"/>
  <c r="G222" i="1"/>
  <c r="H222" i="1" s="1"/>
  <c r="G221" i="1"/>
  <c r="H221" i="1" s="1"/>
  <c r="G220" i="1"/>
  <c r="H220" i="1" s="1"/>
  <c r="G219" i="1"/>
  <c r="H219" i="1" s="1"/>
  <c r="G218" i="1"/>
  <c r="H218" i="1" s="1"/>
  <c r="G217" i="1"/>
  <c r="H217" i="1" s="1"/>
  <c r="G216" i="1"/>
  <c r="H216" i="1" s="1"/>
  <c r="G215" i="1"/>
  <c r="H215" i="1" s="1"/>
  <c r="G214" i="1"/>
  <c r="H214" i="1" s="1"/>
  <c r="G213" i="1"/>
  <c r="H213" i="1" s="1"/>
  <c r="G212" i="1"/>
  <c r="H212" i="1" s="1"/>
  <c r="G211" i="1"/>
  <c r="H211" i="1" s="1"/>
  <c r="G210" i="1"/>
  <c r="H210" i="1" s="1"/>
  <c r="G209" i="1"/>
  <c r="H209" i="1" s="1"/>
  <c r="G208" i="1"/>
  <c r="H208" i="1" s="1"/>
  <c r="G207" i="1"/>
  <c r="H207" i="1" s="1"/>
  <c r="G206" i="1"/>
  <c r="H206" i="1" s="1"/>
  <c r="G205" i="1"/>
  <c r="H205" i="1" s="1"/>
  <c r="G204" i="1"/>
  <c r="H204" i="1" s="1"/>
  <c r="G203" i="1"/>
  <c r="H203" i="1" s="1"/>
  <c r="G202" i="1"/>
  <c r="H202" i="1" s="1"/>
  <c r="G201" i="1"/>
  <c r="H201" i="1" s="1"/>
  <c r="G200" i="1"/>
  <c r="H200" i="1" s="1"/>
  <c r="G199" i="1"/>
  <c r="H199" i="1" s="1"/>
  <c r="G198" i="1"/>
  <c r="H198" i="1" s="1"/>
  <c r="G197" i="1"/>
  <c r="H197" i="1" s="1"/>
  <c r="G196" i="1"/>
  <c r="H196" i="1" s="1"/>
  <c r="G195" i="1"/>
  <c r="H195" i="1" s="1"/>
  <c r="G194" i="1"/>
  <c r="H194" i="1" s="1"/>
  <c r="G193" i="1"/>
  <c r="H193" i="1" s="1"/>
  <c r="G192" i="1"/>
  <c r="H192" i="1" s="1"/>
  <c r="G191" i="1"/>
  <c r="H191" i="1" s="1"/>
  <c r="G190" i="1"/>
  <c r="H190" i="1" s="1"/>
  <c r="G189" i="1"/>
  <c r="H189" i="1" s="1"/>
  <c r="G188" i="1"/>
  <c r="H188" i="1" s="1"/>
  <c r="G187" i="1"/>
  <c r="H187" i="1" s="1"/>
  <c r="G186" i="1"/>
  <c r="H186" i="1" s="1"/>
  <c r="G185" i="1"/>
  <c r="H185" i="1" s="1"/>
  <c r="G184" i="1"/>
  <c r="H184" i="1" s="1"/>
  <c r="G183" i="1"/>
  <c r="H183" i="1" s="1"/>
  <c r="G182" i="1"/>
  <c r="H182" i="1" s="1"/>
  <c r="G181" i="1"/>
  <c r="H181" i="1" s="1"/>
  <c r="G180" i="1"/>
  <c r="H180" i="1" s="1"/>
  <c r="G179" i="1"/>
  <c r="H179" i="1" s="1"/>
  <c r="G178" i="1"/>
  <c r="H178" i="1" s="1"/>
  <c r="G177" i="1"/>
  <c r="H177" i="1" s="1"/>
  <c r="G176" i="1"/>
  <c r="H176" i="1" s="1"/>
  <c r="G175" i="1"/>
  <c r="H175" i="1" s="1"/>
  <c r="G174" i="1"/>
  <c r="H174" i="1" s="1"/>
  <c r="G173" i="1"/>
  <c r="H173" i="1" s="1"/>
  <c r="G172" i="1"/>
  <c r="H172" i="1" s="1"/>
  <c r="G171" i="1"/>
  <c r="H171" i="1" s="1"/>
  <c r="G170" i="1"/>
  <c r="H170" i="1" s="1"/>
  <c r="G169" i="1"/>
  <c r="H169" i="1" s="1"/>
  <c r="G168" i="1"/>
  <c r="H168" i="1" s="1"/>
  <c r="G167" i="1"/>
  <c r="H167" i="1" s="1"/>
  <c r="G166" i="1"/>
  <c r="H166" i="1" s="1"/>
  <c r="G165" i="1"/>
  <c r="H165" i="1" s="1"/>
  <c r="G164" i="1"/>
  <c r="H164" i="1" s="1"/>
  <c r="G163" i="1"/>
  <c r="H163" i="1" s="1"/>
  <c r="G162" i="1"/>
  <c r="H162" i="1" s="1"/>
  <c r="G161" i="1"/>
  <c r="H161" i="1" s="1"/>
  <c r="G160" i="1"/>
  <c r="H160" i="1" s="1"/>
  <c r="G159" i="1"/>
  <c r="H159" i="1" s="1"/>
  <c r="G158" i="1"/>
  <c r="H158" i="1" s="1"/>
  <c r="G157" i="1"/>
  <c r="H157" i="1" s="1"/>
  <c r="G156" i="1"/>
  <c r="H156" i="1" s="1"/>
  <c r="G155" i="1"/>
  <c r="H155" i="1" s="1"/>
  <c r="G154" i="1"/>
  <c r="H154" i="1" s="1"/>
  <c r="G153" i="1"/>
  <c r="H153" i="1" s="1"/>
  <c r="G152" i="1"/>
  <c r="H152" i="1" s="1"/>
  <c r="G151" i="1"/>
  <c r="H151" i="1" s="1"/>
  <c r="G150" i="1"/>
  <c r="H150" i="1" s="1"/>
  <c r="G149" i="1"/>
  <c r="H149" i="1" s="1"/>
  <c r="G148" i="1"/>
  <c r="H148" i="1" s="1"/>
  <c r="G147" i="1"/>
  <c r="H147" i="1" s="1"/>
  <c r="G146" i="1"/>
  <c r="H146" i="1" s="1"/>
  <c r="G145" i="1"/>
  <c r="H145" i="1" s="1"/>
  <c r="G144" i="1"/>
  <c r="H144" i="1" s="1"/>
  <c r="G143" i="1"/>
  <c r="H143" i="1" s="1"/>
  <c r="G142" i="1"/>
  <c r="H142" i="1" s="1"/>
  <c r="G141" i="1"/>
  <c r="H141" i="1" s="1"/>
  <c r="G140" i="1"/>
  <c r="H140" i="1" s="1"/>
  <c r="G139" i="1"/>
  <c r="H139" i="1" s="1"/>
  <c r="G138" i="1"/>
  <c r="H138" i="1" s="1"/>
  <c r="G137" i="1"/>
  <c r="H137" i="1" s="1"/>
  <c r="G136" i="1"/>
  <c r="H136" i="1" s="1"/>
  <c r="G135" i="1"/>
  <c r="H135" i="1" s="1"/>
  <c r="G134" i="1"/>
  <c r="H134" i="1" s="1"/>
  <c r="G133" i="1"/>
  <c r="H133" i="1" s="1"/>
  <c r="G132" i="1"/>
  <c r="H132" i="1" s="1"/>
  <c r="G131" i="1"/>
  <c r="H131" i="1" s="1"/>
  <c r="G130" i="1"/>
  <c r="H130" i="1" s="1"/>
  <c r="G129" i="1"/>
  <c r="H129" i="1" s="1"/>
  <c r="G127" i="1"/>
  <c r="H127" i="1" s="1"/>
  <c r="G126" i="1"/>
  <c r="H126" i="1" s="1"/>
  <c r="G125" i="1"/>
  <c r="H125" i="1" s="1"/>
  <c r="H124" i="1"/>
  <c r="H123" i="1"/>
  <c r="G123" i="1"/>
  <c r="H122" i="1"/>
  <c r="G122" i="1"/>
  <c r="G121" i="1"/>
  <c r="H121" i="1" s="1"/>
  <c r="H120" i="1"/>
  <c r="G120" i="1"/>
  <c r="H119" i="1"/>
  <c r="G118" i="1"/>
  <c r="H118" i="1" s="1"/>
  <c r="G117" i="1"/>
  <c r="H117" i="1" s="1"/>
  <c r="G116" i="1"/>
  <c r="H116" i="1" s="1"/>
  <c r="H115" i="1"/>
  <c r="G114" i="1"/>
  <c r="H114" i="1" s="1"/>
  <c r="H113" i="1"/>
  <c r="G113" i="1"/>
  <c r="H112" i="1"/>
  <c r="G112" i="1"/>
  <c r="H111" i="1"/>
  <c r="G111" i="1"/>
  <c r="H110" i="1"/>
  <c r="G110" i="1"/>
  <c r="H109" i="1"/>
  <c r="G109" i="1"/>
  <c r="G108" i="1"/>
  <c r="H108" i="1" s="1"/>
  <c r="H107" i="1"/>
  <c r="G107" i="1"/>
  <c r="H106" i="1"/>
  <c r="G106" i="1"/>
  <c r="H105" i="1"/>
  <c r="G105" i="1"/>
  <c r="H104" i="1"/>
  <c r="G104" i="1"/>
  <c r="H103" i="1"/>
  <c r="G103" i="1"/>
  <c r="G102" i="1"/>
  <c r="H102" i="1" s="1"/>
  <c r="H100" i="1"/>
  <c r="G100" i="1"/>
  <c r="H99" i="1"/>
  <c r="G99" i="1"/>
  <c r="H98" i="1"/>
  <c r="G98" i="1"/>
  <c r="H97" i="1"/>
  <c r="G97" i="1"/>
  <c r="H96" i="1"/>
  <c r="G96" i="1"/>
  <c r="G95" i="1"/>
  <c r="H95" i="1" s="1"/>
  <c r="H94" i="1"/>
  <c r="G94" i="1"/>
  <c r="H93" i="1"/>
  <c r="G93" i="1"/>
  <c r="H92" i="1"/>
  <c r="G92" i="1"/>
  <c r="H91" i="1"/>
  <c r="G91" i="1"/>
  <c r="H90" i="1"/>
  <c r="G90" i="1"/>
  <c r="G89" i="1"/>
  <c r="H89" i="1" s="1"/>
  <c r="H88" i="1"/>
  <c r="G88" i="1"/>
  <c r="H87" i="1"/>
  <c r="G87" i="1"/>
  <c r="H86" i="1"/>
  <c r="G86" i="1"/>
  <c r="H85" i="1"/>
  <c r="G85" i="1"/>
  <c r="H84" i="1"/>
  <c r="G84" i="1"/>
  <c r="G83" i="1"/>
  <c r="H83" i="1" s="1"/>
  <c r="H82" i="1"/>
  <c r="G82" i="1"/>
  <c r="H81" i="1"/>
  <c r="G81" i="1"/>
  <c r="H80" i="1"/>
  <c r="G80" i="1"/>
  <c r="H78" i="1"/>
  <c r="G78" i="1"/>
  <c r="H77" i="1"/>
  <c r="G77" i="1"/>
  <c r="G76" i="1"/>
  <c r="H76" i="1" s="1"/>
  <c r="H75" i="1"/>
  <c r="G75" i="1"/>
  <c r="H74" i="1"/>
  <c r="G74" i="1"/>
  <c r="H73" i="1"/>
  <c r="G73" i="1"/>
  <c r="H72" i="1"/>
  <c r="G72" i="1"/>
  <c r="H71" i="1"/>
  <c r="G71" i="1"/>
  <c r="G70" i="1"/>
  <c r="H70" i="1" s="1"/>
  <c r="H69" i="1"/>
  <c r="G69" i="1"/>
  <c r="H68" i="1"/>
  <c r="G68" i="1"/>
  <c r="H67" i="1"/>
  <c r="G67" i="1"/>
  <c r="H66" i="1"/>
  <c r="G66" i="1"/>
  <c r="H65" i="1"/>
  <c r="G65" i="1"/>
  <c r="G64" i="1"/>
  <c r="H64" i="1" s="1"/>
  <c r="H63" i="1"/>
  <c r="G63" i="1"/>
  <c r="H62" i="1"/>
  <c r="G62" i="1"/>
  <c r="H61" i="1"/>
  <c r="G61" i="1"/>
  <c r="H60" i="1"/>
  <c r="G60" i="1"/>
  <c r="H59" i="1"/>
  <c r="G59" i="1"/>
  <c r="G58" i="1"/>
  <c r="H58" i="1" s="1"/>
  <c r="H57" i="1"/>
  <c r="G57" i="1"/>
  <c r="H56" i="1"/>
  <c r="G56" i="1"/>
  <c r="H55" i="1"/>
  <c r="G55" i="1"/>
  <c r="H54" i="1"/>
  <c r="G54" i="1"/>
  <c r="H53" i="1"/>
  <c r="G53" i="1"/>
  <c r="G52" i="1"/>
  <c r="H52" i="1" s="1"/>
  <c r="H51" i="1"/>
  <c r="G51" i="1"/>
  <c r="H50" i="1"/>
  <c r="G50" i="1"/>
  <c r="H49" i="1"/>
  <c r="G49" i="1"/>
  <c r="H48" i="1"/>
  <c r="G48" i="1"/>
  <c r="H47" i="1"/>
  <c r="G47" i="1"/>
  <c r="G46" i="1"/>
  <c r="H46" i="1" s="1"/>
  <c r="H45" i="1"/>
  <c r="G45" i="1"/>
  <c r="H44" i="1"/>
  <c r="G44" i="1"/>
  <c r="H43" i="1"/>
  <c r="G43" i="1"/>
  <c r="H42" i="1"/>
  <c r="G42" i="1"/>
  <c r="H41" i="1"/>
  <c r="G41" i="1"/>
  <c r="G40" i="1"/>
  <c r="H40" i="1" s="1"/>
  <c r="H39" i="1"/>
  <c r="G39" i="1"/>
  <c r="H38" i="1"/>
  <c r="G38" i="1"/>
  <c r="H37" i="1"/>
  <c r="G37" i="1"/>
  <c r="H36" i="1"/>
  <c r="G36" i="1"/>
  <c r="H35" i="1"/>
  <c r="G35" i="1"/>
  <c r="G34" i="1"/>
  <c r="H34" i="1" s="1"/>
  <c r="H33" i="1"/>
  <c r="G33" i="1"/>
  <c r="H32" i="1"/>
  <c r="G32" i="1"/>
  <c r="H31" i="1"/>
  <c r="G31" i="1"/>
  <c r="H30" i="1"/>
  <c r="G30" i="1"/>
  <c r="H29" i="1"/>
  <c r="G29" i="1"/>
  <c r="G28" i="1"/>
  <c r="H28" i="1" s="1"/>
  <c r="H27" i="1"/>
  <c r="G27" i="1"/>
  <c r="H26" i="1"/>
  <c r="G26" i="1"/>
  <c r="H25" i="1"/>
  <c r="G25" i="1"/>
  <c r="H24" i="1"/>
  <c r="G24" i="1"/>
  <c r="H23" i="1"/>
  <c r="G23" i="1"/>
  <c r="G22" i="1"/>
  <c r="H22" i="1" s="1"/>
  <c r="H21" i="1"/>
  <c r="G21" i="1"/>
  <c r="H20" i="1"/>
  <c r="G20" i="1"/>
  <c r="H19" i="1"/>
  <c r="G19" i="1"/>
  <c r="H18" i="1"/>
  <c r="G18" i="1"/>
  <c r="H17" i="1"/>
  <c r="G17" i="1"/>
  <c r="G16" i="1"/>
  <c r="H16" i="1" s="1"/>
  <c r="H15" i="1"/>
  <c r="G15" i="1"/>
  <c r="H14" i="1"/>
  <c r="G14" i="1"/>
  <c r="H13" i="1"/>
  <c r="G13" i="1"/>
  <c r="H12" i="1"/>
  <c r="G12" i="1"/>
  <c r="H11" i="1"/>
  <c r="G11" i="1"/>
  <c r="G10" i="1"/>
  <c r="H10" i="1" s="1"/>
  <c r="H9" i="1"/>
  <c r="G9" i="1"/>
  <c r="H8" i="1"/>
  <c r="G8" i="1"/>
  <c r="H7" i="1"/>
  <c r="G7" i="1"/>
  <c r="J328" i="3" l="1"/>
  <c r="M317" i="2"/>
  <c r="K317" i="2"/>
  <c r="J85" i="3"/>
  <c r="M84" i="2"/>
  <c r="H1384" i="1"/>
  <c r="K84" i="2"/>
  <c r="J132" i="3"/>
  <c r="K121" i="2"/>
  <c r="L84" i="2"/>
  <c r="L1383" i="2" s="1"/>
  <c r="M121" i="2"/>
  <c r="J83" i="3"/>
  <c r="M82" i="2"/>
  <c r="J357" i="3"/>
  <c r="M346" i="2"/>
  <c r="K346" i="2"/>
  <c r="J81" i="3"/>
  <c r="M80" i="2"/>
  <c r="M1383" i="2" s="1"/>
  <c r="O89" i="3"/>
  <c r="N89" i="3"/>
  <c r="L89" i="3"/>
  <c r="K80" i="2"/>
  <c r="K1384" i="2" s="1"/>
  <c r="J87" i="3"/>
  <c r="M86" i="2"/>
  <c r="J134" i="3"/>
  <c r="K123" i="2"/>
  <c r="K86" i="2"/>
  <c r="M123" i="2"/>
  <c r="O8" i="3"/>
  <c r="N8" i="3"/>
  <c r="L8" i="3"/>
  <c r="L10" i="3"/>
  <c r="O10" i="3"/>
  <c r="N10" i="3"/>
  <c r="N12" i="3"/>
  <c r="L12" i="3"/>
  <c r="O12" i="3"/>
  <c r="O14" i="3"/>
  <c r="N14" i="3"/>
  <c r="M14" i="3"/>
  <c r="L14" i="3"/>
  <c r="P14" i="3" s="1"/>
  <c r="O16" i="3"/>
  <c r="N16" i="3"/>
  <c r="L16" i="3"/>
  <c r="P16" i="3" s="1"/>
  <c r="O18" i="3"/>
  <c r="N18" i="3"/>
  <c r="L18" i="3"/>
  <c r="L20" i="3"/>
  <c r="P20" i="3" s="1"/>
  <c r="O20" i="3"/>
  <c r="N20" i="3"/>
  <c r="M20" i="3"/>
  <c r="N22" i="3"/>
  <c r="M22" i="3"/>
  <c r="L22" i="3"/>
  <c r="J105" i="3"/>
  <c r="O22" i="3"/>
  <c r="O24" i="3"/>
  <c r="N24" i="3"/>
  <c r="L24" i="3"/>
  <c r="J111" i="3"/>
  <c r="O26" i="3"/>
  <c r="N26" i="3"/>
  <c r="L26" i="3"/>
  <c r="O28" i="3"/>
  <c r="N28" i="3"/>
  <c r="M28" i="3"/>
  <c r="L28" i="3"/>
  <c r="N30" i="3"/>
  <c r="M30" i="3"/>
  <c r="L30" i="3"/>
  <c r="P30" i="3" s="1"/>
  <c r="O30" i="3"/>
  <c r="O32" i="3"/>
  <c r="N32" i="3"/>
  <c r="M32" i="3"/>
  <c r="L32" i="3"/>
  <c r="O34" i="3"/>
  <c r="N34" i="3"/>
  <c r="M34" i="3"/>
  <c r="L34" i="3"/>
  <c r="M36" i="3"/>
  <c r="L36" i="3"/>
  <c r="O36" i="3"/>
  <c r="N36" i="3"/>
  <c r="O38" i="3"/>
  <c r="N38" i="3"/>
  <c r="M38" i="3"/>
  <c r="L38" i="3"/>
  <c r="O40" i="3"/>
  <c r="N40" i="3"/>
  <c r="M40" i="3"/>
  <c r="L40" i="3"/>
  <c r="L42" i="3"/>
  <c r="O42" i="3"/>
  <c r="N42" i="3"/>
  <c r="M42" i="3"/>
  <c r="O44" i="3"/>
  <c r="N44" i="3"/>
  <c r="M44" i="3"/>
  <c r="L44" i="3"/>
  <c r="O46" i="3"/>
  <c r="N46" i="3"/>
  <c r="M46" i="3"/>
  <c r="L46" i="3"/>
  <c r="O48" i="3"/>
  <c r="N48" i="3"/>
  <c r="L48" i="3"/>
  <c r="L50" i="3"/>
  <c r="O50" i="3"/>
  <c r="N50" i="3"/>
  <c r="N52" i="3"/>
  <c r="L52" i="3"/>
  <c r="O52" i="3"/>
  <c r="O54" i="3"/>
  <c r="N54" i="3"/>
  <c r="M54" i="3"/>
  <c r="L54" i="3"/>
  <c r="O56" i="3"/>
  <c r="N56" i="3"/>
  <c r="M56" i="3"/>
  <c r="L56" i="3"/>
  <c r="N58" i="3"/>
  <c r="M58" i="3"/>
  <c r="L58" i="3"/>
  <c r="P58" i="3" s="1"/>
  <c r="O58" i="3"/>
  <c r="O60" i="3"/>
  <c r="N60" i="3"/>
  <c r="L60" i="3"/>
  <c r="O62" i="3"/>
  <c r="N62" i="3"/>
  <c r="M62" i="3"/>
  <c r="L62" i="3"/>
  <c r="L64" i="3"/>
  <c r="O64" i="3"/>
  <c r="N64" i="3"/>
  <c r="M64" i="3"/>
  <c r="O66" i="3"/>
  <c r="N66" i="3"/>
  <c r="M66" i="3"/>
  <c r="L66" i="3"/>
  <c r="P66" i="3" s="1"/>
  <c r="O68" i="3"/>
  <c r="N68" i="3"/>
  <c r="M68" i="3"/>
  <c r="L68" i="3"/>
  <c r="L70" i="3"/>
  <c r="O70" i="3"/>
  <c r="N70" i="3"/>
  <c r="M70" i="3"/>
  <c r="N72" i="3"/>
  <c r="L72" i="3"/>
  <c r="O72" i="3"/>
  <c r="O74" i="3"/>
  <c r="N74" i="3"/>
  <c r="M74" i="3"/>
  <c r="L74" i="3"/>
  <c r="O76" i="3"/>
  <c r="N76" i="3"/>
  <c r="L76" i="3"/>
  <c r="J107" i="3"/>
  <c r="O78" i="3"/>
  <c r="N78" i="3"/>
  <c r="M78" i="3"/>
  <c r="L78" i="3"/>
  <c r="M81" i="2"/>
  <c r="M83" i="2"/>
  <c r="M85" i="2"/>
  <c r="M87" i="2"/>
  <c r="M89" i="2"/>
  <c r="M91" i="2"/>
  <c r="M93" i="2"/>
  <c r="M95" i="2"/>
  <c r="M97" i="2"/>
  <c r="M99" i="2"/>
  <c r="O113" i="3"/>
  <c r="N113" i="3"/>
  <c r="M113" i="3"/>
  <c r="L113" i="3"/>
  <c r="P113" i="3" s="1"/>
  <c r="O115" i="3"/>
  <c r="N115" i="3"/>
  <c r="M115" i="3"/>
  <c r="L115" i="3"/>
  <c r="N117" i="3"/>
  <c r="M117" i="3"/>
  <c r="L117" i="3"/>
  <c r="O117" i="3"/>
  <c r="O119" i="3"/>
  <c r="N119" i="3"/>
  <c r="M119" i="3"/>
  <c r="L119" i="3"/>
  <c r="O121" i="3"/>
  <c r="N121" i="3"/>
  <c r="M121" i="3"/>
  <c r="L121" i="3"/>
  <c r="N123" i="3"/>
  <c r="M123" i="3"/>
  <c r="L123" i="3"/>
  <c r="O123" i="3"/>
  <c r="O125" i="3"/>
  <c r="N125" i="3"/>
  <c r="M125" i="3"/>
  <c r="L125" i="3"/>
  <c r="K116" i="2"/>
  <c r="K118" i="2"/>
  <c r="M126" i="2"/>
  <c r="K129" i="2"/>
  <c r="K131" i="2"/>
  <c r="K133" i="2"/>
  <c r="K135" i="2"/>
  <c r="K137" i="2"/>
  <c r="K139" i="2"/>
  <c r="K141" i="2"/>
  <c r="K143" i="2"/>
  <c r="K145" i="2"/>
  <c r="K147" i="2"/>
  <c r="K149" i="2"/>
  <c r="K151" i="2"/>
  <c r="K153" i="2"/>
  <c r="K155" i="2"/>
  <c r="K157" i="2"/>
  <c r="K159" i="2"/>
  <c r="K161" i="2"/>
  <c r="K163" i="2"/>
  <c r="K165" i="2"/>
  <c r="K167" i="2"/>
  <c r="K169" i="2"/>
  <c r="K171" i="2"/>
  <c r="K173" i="2"/>
  <c r="K175" i="2"/>
  <c r="K177" i="2"/>
  <c r="K179" i="2"/>
  <c r="K181" i="2"/>
  <c r="K183" i="2"/>
  <c r="K185" i="2"/>
  <c r="K187" i="2"/>
  <c r="K189" i="2"/>
  <c r="K191" i="2"/>
  <c r="K193" i="2"/>
  <c r="K195" i="2"/>
  <c r="K197" i="2"/>
  <c r="K199" i="2"/>
  <c r="K201" i="2"/>
  <c r="K203" i="2"/>
  <c r="K205" i="2"/>
  <c r="K207" i="2"/>
  <c r="K209" i="2"/>
  <c r="K211" i="2"/>
  <c r="K213" i="2"/>
  <c r="K215" i="2"/>
  <c r="K217" i="2"/>
  <c r="K219" i="2"/>
  <c r="K221" i="2"/>
  <c r="K223" i="2"/>
  <c r="K225" i="2"/>
  <c r="K227" i="2"/>
  <c r="K229" i="2"/>
  <c r="K231" i="2"/>
  <c r="K233" i="2"/>
  <c r="K235" i="2"/>
  <c r="K237" i="2"/>
  <c r="K239" i="2"/>
  <c r="K241" i="2"/>
  <c r="K243" i="2"/>
  <c r="K245" i="2"/>
  <c r="K247" i="2"/>
  <c r="K249" i="2"/>
  <c r="K251" i="2"/>
  <c r="K253" i="2"/>
  <c r="K255" i="2"/>
  <c r="K257" i="2"/>
  <c r="K259" i="2"/>
  <c r="K261" i="2"/>
  <c r="K263" i="2"/>
  <c r="M265" i="2"/>
  <c r="N320" i="3"/>
  <c r="L320" i="3"/>
  <c r="M320" i="3"/>
  <c r="O320" i="3"/>
  <c r="K311" i="2"/>
  <c r="M315" i="2"/>
  <c r="N333" i="3"/>
  <c r="M333" i="3"/>
  <c r="L333" i="3"/>
  <c r="O333" i="3"/>
  <c r="K324" i="2"/>
  <c r="M328" i="2"/>
  <c r="M331" i="2"/>
  <c r="O349" i="3"/>
  <c r="N349" i="3"/>
  <c r="M349" i="3"/>
  <c r="L349" i="3"/>
  <c r="K340" i="2"/>
  <c r="M344" i="2"/>
  <c r="J362" i="3"/>
  <c r="M351" i="2"/>
  <c r="O373" i="3"/>
  <c r="N373" i="3"/>
  <c r="M373" i="3"/>
  <c r="L373" i="3"/>
  <c r="K364" i="2"/>
  <c r="M368" i="2"/>
  <c r="J386" i="3"/>
  <c r="M375" i="2"/>
  <c r="O397" i="3"/>
  <c r="N397" i="3"/>
  <c r="M397" i="3"/>
  <c r="L397" i="3"/>
  <c r="P397" i="3" s="1"/>
  <c r="K388" i="2"/>
  <c r="M392" i="2"/>
  <c r="J410" i="3"/>
  <c r="M399" i="2"/>
  <c r="O421" i="3"/>
  <c r="N421" i="3"/>
  <c r="M421" i="3"/>
  <c r="L421" i="3"/>
  <c r="K412" i="2"/>
  <c r="M416" i="2"/>
  <c r="J434" i="3"/>
  <c r="M423" i="2"/>
  <c r="O445" i="3"/>
  <c r="N445" i="3"/>
  <c r="M445" i="3"/>
  <c r="L445" i="3"/>
  <c r="K436" i="2"/>
  <c r="M440" i="2"/>
  <c r="J458" i="3"/>
  <c r="M447" i="2"/>
  <c r="O469" i="3"/>
  <c r="N469" i="3"/>
  <c r="L469" i="3"/>
  <c r="M469" i="3"/>
  <c r="K460" i="2"/>
  <c r="M464" i="2"/>
  <c r="J482" i="3"/>
  <c r="M471" i="2"/>
  <c r="O493" i="3"/>
  <c r="N493" i="3"/>
  <c r="M493" i="3"/>
  <c r="L493" i="3"/>
  <c r="K484" i="2"/>
  <c r="M488" i="2"/>
  <c r="J506" i="3"/>
  <c r="M495" i="2"/>
  <c r="O517" i="3"/>
  <c r="N517" i="3"/>
  <c r="M517" i="3"/>
  <c r="L517" i="3"/>
  <c r="K508" i="2"/>
  <c r="M512" i="2"/>
  <c r="J535" i="3"/>
  <c r="K524" i="2"/>
  <c r="O546" i="3"/>
  <c r="N546" i="3"/>
  <c r="M546" i="3"/>
  <c r="L546" i="3"/>
  <c r="K537" i="2"/>
  <c r="M541" i="2"/>
  <c r="J559" i="3"/>
  <c r="K548" i="2"/>
  <c r="O570" i="3"/>
  <c r="N570" i="3"/>
  <c r="M570" i="3"/>
  <c r="L570" i="3"/>
  <c r="K561" i="2"/>
  <c r="M565" i="2"/>
  <c r="J583" i="3"/>
  <c r="K572" i="2"/>
  <c r="O594" i="3"/>
  <c r="N594" i="3"/>
  <c r="M594" i="3"/>
  <c r="L594" i="3"/>
  <c r="K585" i="2"/>
  <c r="L587" i="2"/>
  <c r="M589" i="2"/>
  <c r="J607" i="3"/>
  <c r="K596" i="2"/>
  <c r="J631" i="3"/>
  <c r="K620" i="2"/>
  <c r="J655" i="3"/>
  <c r="K644" i="2"/>
  <c r="J705" i="3"/>
  <c r="K668" i="2"/>
  <c r="M671" i="2"/>
  <c r="K679" i="2"/>
  <c r="K687" i="2"/>
  <c r="K690" i="2"/>
  <c r="L733" i="3"/>
  <c r="O733" i="3"/>
  <c r="M733" i="3"/>
  <c r="N733" i="3"/>
  <c r="O741" i="3"/>
  <c r="N741" i="3"/>
  <c r="M741" i="3"/>
  <c r="L741" i="3"/>
  <c r="O744" i="3"/>
  <c r="M744" i="3"/>
  <c r="N744" i="3"/>
  <c r="L744" i="3"/>
  <c r="K718" i="2"/>
  <c r="J761" i="3"/>
  <c r="K724" i="2"/>
  <c r="K744" i="2"/>
  <c r="J796" i="3"/>
  <c r="L759" i="2"/>
  <c r="J820" i="3"/>
  <c r="L783" i="2"/>
  <c r="O851" i="3"/>
  <c r="L851" i="3"/>
  <c r="N851" i="3"/>
  <c r="M851" i="3"/>
  <c r="O857" i="3"/>
  <c r="N857" i="3"/>
  <c r="M857" i="3"/>
  <c r="L857" i="3"/>
  <c r="O863" i="3"/>
  <c r="L863" i="3"/>
  <c r="N863" i="3"/>
  <c r="M863" i="3"/>
  <c r="O869" i="3"/>
  <c r="M869" i="3"/>
  <c r="L869" i="3"/>
  <c r="N869" i="3"/>
  <c r="L331" i="3"/>
  <c r="O331" i="3"/>
  <c r="N331" i="3"/>
  <c r="M331" i="3"/>
  <c r="N347" i="3"/>
  <c r="L347" i="3"/>
  <c r="O347" i="3"/>
  <c r="M347" i="3"/>
  <c r="J360" i="3"/>
  <c r="M349" i="2"/>
  <c r="N371" i="3"/>
  <c r="L371" i="3"/>
  <c r="O371" i="3"/>
  <c r="M371" i="3"/>
  <c r="J384" i="3"/>
  <c r="M373" i="2"/>
  <c r="N395" i="3"/>
  <c r="L395" i="3"/>
  <c r="O395" i="3"/>
  <c r="M395" i="3"/>
  <c r="J408" i="3"/>
  <c r="M397" i="2"/>
  <c r="N419" i="3"/>
  <c r="L419" i="3"/>
  <c r="O419" i="3"/>
  <c r="M419" i="3"/>
  <c r="J432" i="3"/>
  <c r="M421" i="2"/>
  <c r="N443" i="3"/>
  <c r="L443" i="3"/>
  <c r="O443" i="3"/>
  <c r="M443" i="3"/>
  <c r="J456" i="3"/>
  <c r="M445" i="2"/>
  <c r="N467" i="3"/>
  <c r="L467" i="3"/>
  <c r="O467" i="3"/>
  <c r="M467" i="3"/>
  <c r="J480" i="3"/>
  <c r="M469" i="2"/>
  <c r="M491" i="3"/>
  <c r="O491" i="3"/>
  <c r="L491" i="3"/>
  <c r="N491" i="3"/>
  <c r="J504" i="3"/>
  <c r="M493" i="2"/>
  <c r="M515" i="3"/>
  <c r="O515" i="3"/>
  <c r="N515" i="3"/>
  <c r="L515" i="3"/>
  <c r="J528" i="3"/>
  <c r="M517" i="2"/>
  <c r="J533" i="3"/>
  <c r="K522" i="2"/>
  <c r="O544" i="3"/>
  <c r="N544" i="3"/>
  <c r="M544" i="3"/>
  <c r="L544" i="3"/>
  <c r="P544" i="3" s="1"/>
  <c r="J557" i="3"/>
  <c r="K546" i="2"/>
  <c r="O568" i="3"/>
  <c r="N568" i="3"/>
  <c r="M568" i="3"/>
  <c r="L568" i="3"/>
  <c r="J581" i="3"/>
  <c r="K570" i="2"/>
  <c r="O592" i="3"/>
  <c r="N592" i="3"/>
  <c r="M592" i="3"/>
  <c r="L592" i="3"/>
  <c r="P592" i="3" s="1"/>
  <c r="J605" i="3"/>
  <c r="K594" i="2"/>
  <c r="J629" i="3"/>
  <c r="K618" i="2"/>
  <c r="J653" i="3"/>
  <c r="K642" i="2"/>
  <c r="O708" i="3"/>
  <c r="M708" i="3"/>
  <c r="L708" i="3"/>
  <c r="N708" i="3"/>
  <c r="M719" i="3"/>
  <c r="O719" i="3"/>
  <c r="N719" i="3"/>
  <c r="L719" i="3"/>
  <c r="O750" i="3"/>
  <c r="N750" i="3"/>
  <c r="M750" i="3"/>
  <c r="L750" i="3"/>
  <c r="J758" i="3"/>
  <c r="K721" i="2"/>
  <c r="J794" i="3"/>
  <c r="L757" i="2"/>
  <c r="J818" i="3"/>
  <c r="L781" i="2"/>
  <c r="O329" i="3"/>
  <c r="M329" i="3"/>
  <c r="N329" i="3"/>
  <c r="L329" i="3"/>
  <c r="P329" i="3" s="1"/>
  <c r="K320" i="2"/>
  <c r="O340" i="3"/>
  <c r="N340" i="3"/>
  <c r="M340" i="3"/>
  <c r="L340" i="3"/>
  <c r="P340" i="3" s="1"/>
  <c r="O345" i="3"/>
  <c r="M345" i="3"/>
  <c r="N345" i="3"/>
  <c r="L345" i="3"/>
  <c r="K336" i="2"/>
  <c r="J358" i="3"/>
  <c r="M347" i="2"/>
  <c r="K349" i="2"/>
  <c r="O369" i="3"/>
  <c r="M369" i="3"/>
  <c r="N369" i="3"/>
  <c r="L369" i="3"/>
  <c r="K360" i="2"/>
  <c r="J382" i="3"/>
  <c r="M371" i="2"/>
  <c r="K373" i="2"/>
  <c r="O393" i="3"/>
  <c r="M393" i="3"/>
  <c r="N393" i="3"/>
  <c r="L393" i="3"/>
  <c r="K384" i="2"/>
  <c r="J406" i="3"/>
  <c r="M395" i="2"/>
  <c r="K397" i="2"/>
  <c r="O417" i="3"/>
  <c r="M417" i="3"/>
  <c r="N417" i="3"/>
  <c r="L417" i="3"/>
  <c r="P417" i="3" s="1"/>
  <c r="K408" i="2"/>
  <c r="J430" i="3"/>
  <c r="M419" i="2"/>
  <c r="K421" i="2"/>
  <c r="O441" i="3"/>
  <c r="M441" i="3"/>
  <c r="N441" i="3"/>
  <c r="L441" i="3"/>
  <c r="K432" i="2"/>
  <c r="J454" i="3"/>
  <c r="M443" i="2"/>
  <c r="K445" i="2"/>
  <c r="O465" i="3"/>
  <c r="M465" i="3"/>
  <c r="N465" i="3"/>
  <c r="L465" i="3"/>
  <c r="K456" i="2"/>
  <c r="J478" i="3"/>
  <c r="M467" i="2"/>
  <c r="K469" i="2"/>
  <c r="O489" i="3"/>
  <c r="M489" i="3"/>
  <c r="L489" i="3"/>
  <c r="N489" i="3"/>
  <c r="K480" i="2"/>
  <c r="J502" i="3"/>
  <c r="M491" i="2"/>
  <c r="K493" i="2"/>
  <c r="O513" i="3"/>
  <c r="N513" i="3"/>
  <c r="M513" i="3"/>
  <c r="L513" i="3"/>
  <c r="K504" i="2"/>
  <c r="J526" i="3"/>
  <c r="M515" i="2"/>
  <c r="K517" i="2"/>
  <c r="J531" i="3"/>
  <c r="K520" i="2"/>
  <c r="L522" i="2"/>
  <c r="M542" i="3"/>
  <c r="O542" i="3"/>
  <c r="N542" i="3"/>
  <c r="L542" i="3"/>
  <c r="K533" i="2"/>
  <c r="J555" i="3"/>
  <c r="K544" i="2"/>
  <c r="L546" i="2"/>
  <c r="M566" i="3"/>
  <c r="O566" i="3"/>
  <c r="N566" i="3"/>
  <c r="L566" i="3"/>
  <c r="P566" i="3" s="1"/>
  <c r="K557" i="2"/>
  <c r="J579" i="3"/>
  <c r="K568" i="2"/>
  <c r="L570" i="2"/>
  <c r="M590" i="3"/>
  <c r="L590" i="3"/>
  <c r="O590" i="3"/>
  <c r="N590" i="3"/>
  <c r="K581" i="2"/>
  <c r="J603" i="3"/>
  <c r="K592" i="2"/>
  <c r="L594" i="2"/>
  <c r="J627" i="3"/>
  <c r="K616" i="2"/>
  <c r="L618" i="2"/>
  <c r="J651" i="3"/>
  <c r="K640" i="2"/>
  <c r="L642" i="2"/>
  <c r="M663" i="2"/>
  <c r="K671" i="2"/>
  <c r="O714" i="3"/>
  <c r="N714" i="3"/>
  <c r="M714" i="3"/>
  <c r="L714" i="3"/>
  <c r="P714" i="3" s="1"/>
  <c r="K682" i="2"/>
  <c r="M688" i="2"/>
  <c r="M699" i="2"/>
  <c r="K713" i="2"/>
  <c r="M721" i="2"/>
  <c r="N787" i="3"/>
  <c r="M787" i="3"/>
  <c r="O787" i="3"/>
  <c r="L787" i="3"/>
  <c r="J792" i="3"/>
  <c r="L755" i="2"/>
  <c r="K757" i="2"/>
  <c r="J816" i="3"/>
  <c r="L779" i="2"/>
  <c r="K781" i="2"/>
  <c r="O91" i="3"/>
  <c r="N91" i="3"/>
  <c r="M91" i="3"/>
  <c r="L91" i="3"/>
  <c r="P91" i="3" s="1"/>
  <c r="L93" i="3"/>
  <c r="O93" i="3"/>
  <c r="N93" i="3"/>
  <c r="M93" i="3"/>
  <c r="N95" i="3"/>
  <c r="L95" i="3"/>
  <c r="O95" i="3"/>
  <c r="O97" i="3"/>
  <c r="N97" i="3"/>
  <c r="M97" i="3"/>
  <c r="L97" i="3"/>
  <c r="O99" i="3"/>
  <c r="N99" i="3"/>
  <c r="L99" i="3"/>
  <c r="O101" i="3"/>
  <c r="N101" i="3"/>
  <c r="L101" i="3"/>
  <c r="O136" i="3"/>
  <c r="N136" i="3"/>
  <c r="M136" i="3"/>
  <c r="L136" i="3"/>
  <c r="O138" i="3"/>
  <c r="N138" i="3"/>
  <c r="M138" i="3"/>
  <c r="L138" i="3"/>
  <c r="O277" i="3"/>
  <c r="N277" i="3"/>
  <c r="M277" i="3"/>
  <c r="L277" i="3"/>
  <c r="P277" i="3" s="1"/>
  <c r="N327" i="3"/>
  <c r="M327" i="3"/>
  <c r="L327" i="3"/>
  <c r="O327" i="3"/>
  <c r="L320" i="2"/>
  <c r="N338" i="3"/>
  <c r="L338" i="3"/>
  <c r="O338" i="3"/>
  <c r="M338" i="3"/>
  <c r="O343" i="3"/>
  <c r="N343" i="3"/>
  <c r="M343" i="3"/>
  <c r="L343" i="3"/>
  <c r="L336" i="2"/>
  <c r="J356" i="3"/>
  <c r="M345" i="2"/>
  <c r="L349" i="2"/>
  <c r="O367" i="3"/>
  <c r="N367" i="3"/>
  <c r="M367" i="3"/>
  <c r="L367" i="3"/>
  <c r="P367" i="3" s="1"/>
  <c r="L360" i="2"/>
  <c r="J380" i="3"/>
  <c r="M369" i="2"/>
  <c r="L373" i="2"/>
  <c r="O391" i="3"/>
  <c r="N391" i="3"/>
  <c r="M391" i="3"/>
  <c r="L391" i="3"/>
  <c r="L384" i="2"/>
  <c r="J404" i="3"/>
  <c r="M393" i="2"/>
  <c r="L397" i="2"/>
  <c r="O415" i="3"/>
  <c r="N415" i="3"/>
  <c r="M415" i="3"/>
  <c r="L415" i="3"/>
  <c r="L408" i="2"/>
  <c r="J428" i="3"/>
  <c r="M417" i="2"/>
  <c r="L421" i="2"/>
  <c r="O439" i="3"/>
  <c r="N439" i="3"/>
  <c r="M439" i="3"/>
  <c r="L439" i="3"/>
  <c r="L432" i="2"/>
  <c r="J452" i="3"/>
  <c r="M441" i="2"/>
  <c r="L445" i="2"/>
  <c r="O463" i="3"/>
  <c r="N463" i="3"/>
  <c r="M463" i="3"/>
  <c r="L463" i="3"/>
  <c r="L456" i="2"/>
  <c r="J476" i="3"/>
  <c r="M465" i="2"/>
  <c r="L469" i="2"/>
  <c r="O487" i="3"/>
  <c r="N487" i="3"/>
  <c r="M487" i="3"/>
  <c r="L487" i="3"/>
  <c r="L480" i="2"/>
  <c r="J500" i="3"/>
  <c r="M489" i="2"/>
  <c r="L493" i="2"/>
  <c r="O511" i="3"/>
  <c r="N511" i="3"/>
  <c r="M511" i="3"/>
  <c r="L511" i="3"/>
  <c r="J524" i="3"/>
  <c r="M513" i="2"/>
  <c r="O540" i="3"/>
  <c r="N540" i="3"/>
  <c r="M540" i="3"/>
  <c r="L540" i="3"/>
  <c r="P540" i="3" s="1"/>
  <c r="J553" i="3"/>
  <c r="K542" i="2"/>
  <c r="O564" i="3"/>
  <c r="N564" i="3"/>
  <c r="M564" i="3"/>
  <c r="L564" i="3"/>
  <c r="J577" i="3"/>
  <c r="K566" i="2"/>
  <c r="O588" i="3"/>
  <c r="N588" i="3"/>
  <c r="M588" i="3"/>
  <c r="L588" i="3"/>
  <c r="P588" i="3" s="1"/>
  <c r="J601" i="3"/>
  <c r="K590" i="2"/>
  <c r="O612" i="3"/>
  <c r="N612" i="3"/>
  <c r="M612" i="3"/>
  <c r="L612" i="3"/>
  <c r="J625" i="3"/>
  <c r="K614" i="2"/>
  <c r="J649" i="3"/>
  <c r="K638" i="2"/>
  <c r="N700" i="3"/>
  <c r="O700" i="3"/>
  <c r="M700" i="3"/>
  <c r="L700" i="3"/>
  <c r="O703" i="3"/>
  <c r="M703" i="3"/>
  <c r="N703" i="3"/>
  <c r="L703" i="3"/>
  <c r="J725" i="3"/>
  <c r="K688" i="2"/>
  <c r="M728" i="3"/>
  <c r="O728" i="3"/>
  <c r="L728" i="3"/>
  <c r="N728" i="3"/>
  <c r="N736" i="3"/>
  <c r="O736" i="3"/>
  <c r="M736" i="3"/>
  <c r="L736" i="3"/>
  <c r="M705" i="2"/>
  <c r="M716" i="2"/>
  <c r="J790" i="3"/>
  <c r="L753" i="2"/>
  <c r="J814" i="3"/>
  <c r="L777" i="2"/>
  <c r="O275" i="3"/>
  <c r="M275" i="3"/>
  <c r="L275" i="3"/>
  <c r="N275" i="3"/>
  <c r="K266" i="2"/>
  <c r="L325" i="3"/>
  <c r="O325" i="3"/>
  <c r="N325" i="3"/>
  <c r="M325" i="3"/>
  <c r="K316" i="2"/>
  <c r="M320" i="2"/>
  <c r="O336" i="3"/>
  <c r="M336" i="3"/>
  <c r="N336" i="3"/>
  <c r="L336" i="3"/>
  <c r="K327" i="2"/>
  <c r="K332" i="2"/>
  <c r="M336" i="2"/>
  <c r="J354" i="3"/>
  <c r="M343" i="2"/>
  <c r="K345" i="2"/>
  <c r="N365" i="3"/>
  <c r="L365" i="3"/>
  <c r="P365" i="3" s="1"/>
  <c r="O365" i="3"/>
  <c r="M365" i="3"/>
  <c r="K356" i="2"/>
  <c r="M360" i="2"/>
  <c r="J378" i="3"/>
  <c r="M367" i="2"/>
  <c r="K369" i="2"/>
  <c r="N389" i="3"/>
  <c r="L389" i="3"/>
  <c r="O389" i="3"/>
  <c r="M389" i="3"/>
  <c r="K380" i="2"/>
  <c r="M384" i="2"/>
  <c r="J402" i="3"/>
  <c r="M391" i="2"/>
  <c r="K393" i="2"/>
  <c r="N413" i="3"/>
  <c r="L413" i="3"/>
  <c r="P413" i="3" s="1"/>
  <c r="O413" i="3"/>
  <c r="M413" i="3"/>
  <c r="K404" i="2"/>
  <c r="M408" i="2"/>
  <c r="J426" i="3"/>
  <c r="M415" i="2"/>
  <c r="K417" i="2"/>
  <c r="N437" i="3"/>
  <c r="L437" i="3"/>
  <c r="O437" i="3"/>
  <c r="M437" i="3"/>
  <c r="K428" i="2"/>
  <c r="M432" i="2"/>
  <c r="J450" i="3"/>
  <c r="M439" i="2"/>
  <c r="K441" i="2"/>
  <c r="N461" i="3"/>
  <c r="L461" i="3"/>
  <c r="P461" i="3" s="1"/>
  <c r="O461" i="3"/>
  <c r="M461" i="3"/>
  <c r="K452" i="2"/>
  <c r="M456" i="2"/>
  <c r="J474" i="3"/>
  <c r="M463" i="2"/>
  <c r="K465" i="2"/>
  <c r="M485" i="3"/>
  <c r="O485" i="3"/>
  <c r="N485" i="3"/>
  <c r="L485" i="3"/>
  <c r="P485" i="3" s="1"/>
  <c r="K476" i="2"/>
  <c r="M480" i="2"/>
  <c r="J498" i="3"/>
  <c r="M487" i="2"/>
  <c r="K489" i="2"/>
  <c r="M509" i="3"/>
  <c r="O509" i="3"/>
  <c r="N509" i="3"/>
  <c r="L509" i="3"/>
  <c r="P509" i="3" s="1"/>
  <c r="K500" i="2"/>
  <c r="M504" i="2"/>
  <c r="J522" i="3"/>
  <c r="M511" i="2"/>
  <c r="K513" i="2"/>
  <c r="O538" i="3"/>
  <c r="N538" i="3"/>
  <c r="M538" i="3"/>
  <c r="L538" i="3"/>
  <c r="K529" i="2"/>
  <c r="M533" i="2"/>
  <c r="J551" i="3"/>
  <c r="K540" i="2"/>
  <c r="L542" i="2"/>
  <c r="O562" i="3"/>
  <c r="N562" i="3"/>
  <c r="M562" i="3"/>
  <c r="L562" i="3"/>
  <c r="K553" i="2"/>
  <c r="J575" i="3"/>
  <c r="K564" i="2"/>
  <c r="L566" i="2"/>
  <c r="O586" i="3"/>
  <c r="N586" i="3"/>
  <c r="M586" i="3"/>
  <c r="L586" i="3"/>
  <c r="K577" i="2"/>
  <c r="J599" i="3"/>
  <c r="K588" i="2"/>
  <c r="L590" i="2"/>
  <c r="O610" i="3"/>
  <c r="N610" i="3"/>
  <c r="M610" i="3"/>
  <c r="L610" i="3"/>
  <c r="J623" i="3"/>
  <c r="K612" i="2"/>
  <c r="L614" i="2"/>
  <c r="J647" i="3"/>
  <c r="K636" i="2"/>
  <c r="L638" i="2"/>
  <c r="K663" i="2"/>
  <c r="K666" i="2"/>
  <c r="N709" i="3"/>
  <c r="M709" i="3"/>
  <c r="O709" i="3"/>
  <c r="L709" i="3"/>
  <c r="J717" i="3"/>
  <c r="K680" i="2"/>
  <c r="J742" i="3"/>
  <c r="K705" i="2"/>
  <c r="N745" i="3"/>
  <c r="M745" i="3"/>
  <c r="O745" i="3"/>
  <c r="L745" i="3"/>
  <c r="P745" i="3" s="1"/>
  <c r="O753" i="3"/>
  <c r="M753" i="3"/>
  <c r="N753" i="3"/>
  <c r="L753" i="3"/>
  <c r="O756" i="3"/>
  <c r="L756" i="3"/>
  <c r="N756" i="3"/>
  <c r="M756" i="3"/>
  <c r="J777" i="3"/>
  <c r="L740" i="2"/>
  <c r="J782" i="3"/>
  <c r="L745" i="2"/>
  <c r="K745" i="2"/>
  <c r="J812" i="3"/>
  <c r="L775" i="2"/>
  <c r="O849" i="3"/>
  <c r="L849" i="3"/>
  <c r="P849" i="3" s="1"/>
  <c r="N849" i="3"/>
  <c r="M849" i="3"/>
  <c r="M855" i="3"/>
  <c r="L855" i="3"/>
  <c r="O855" i="3"/>
  <c r="N855" i="3"/>
  <c r="M861" i="3"/>
  <c r="O861" i="3"/>
  <c r="N861" i="3"/>
  <c r="L861" i="3"/>
  <c r="O867" i="3"/>
  <c r="M867" i="3"/>
  <c r="N867" i="3"/>
  <c r="L867" i="3"/>
  <c r="L128" i="3"/>
  <c r="P128" i="3" s="1"/>
  <c r="O128" i="3"/>
  <c r="N128" i="3"/>
  <c r="M128" i="3"/>
  <c r="O141" i="3"/>
  <c r="N141" i="3"/>
  <c r="M141" i="3"/>
  <c r="L141" i="3"/>
  <c r="P141" i="3" s="1"/>
  <c r="L143" i="3"/>
  <c r="O143" i="3"/>
  <c r="N143" i="3"/>
  <c r="M143" i="3"/>
  <c r="O145" i="3"/>
  <c r="N145" i="3"/>
  <c r="M145" i="3"/>
  <c r="L145" i="3"/>
  <c r="O147" i="3"/>
  <c r="N147" i="3"/>
  <c r="M147" i="3"/>
  <c r="L147" i="3"/>
  <c r="L149" i="3"/>
  <c r="P149" i="3" s="1"/>
  <c r="O149" i="3"/>
  <c r="N149" i="3"/>
  <c r="M149" i="3"/>
  <c r="O151" i="3"/>
  <c r="N151" i="3"/>
  <c r="L151" i="3"/>
  <c r="O153" i="3"/>
  <c r="N153" i="3"/>
  <c r="L153" i="3"/>
  <c r="O155" i="3"/>
  <c r="N155" i="3"/>
  <c r="L155" i="3"/>
  <c r="O157" i="3"/>
  <c r="N157" i="3"/>
  <c r="L157" i="3"/>
  <c r="O159" i="3"/>
  <c r="N159" i="3"/>
  <c r="L159" i="3"/>
  <c r="L161" i="3"/>
  <c r="O161" i="3"/>
  <c r="N161" i="3"/>
  <c r="O163" i="3"/>
  <c r="N163" i="3"/>
  <c r="M163" i="3"/>
  <c r="L163" i="3"/>
  <c r="O165" i="3"/>
  <c r="N165" i="3"/>
  <c r="M165" i="3"/>
  <c r="L165" i="3"/>
  <c r="M167" i="3"/>
  <c r="L167" i="3"/>
  <c r="O167" i="3"/>
  <c r="N167" i="3"/>
  <c r="O169" i="3"/>
  <c r="N169" i="3"/>
  <c r="M169" i="3"/>
  <c r="L169" i="3"/>
  <c r="O171" i="3"/>
  <c r="N171" i="3"/>
  <c r="M171" i="3"/>
  <c r="L171" i="3"/>
  <c r="M173" i="3"/>
  <c r="L173" i="3"/>
  <c r="O173" i="3"/>
  <c r="N173" i="3"/>
  <c r="O175" i="3"/>
  <c r="N175" i="3"/>
  <c r="M175" i="3"/>
  <c r="L175" i="3"/>
  <c r="O177" i="3"/>
  <c r="N177" i="3"/>
  <c r="M177" i="3"/>
  <c r="L177" i="3"/>
  <c r="M179" i="3"/>
  <c r="L179" i="3"/>
  <c r="O179" i="3"/>
  <c r="N179" i="3"/>
  <c r="O181" i="3"/>
  <c r="N181" i="3"/>
  <c r="M181" i="3"/>
  <c r="L181" i="3"/>
  <c r="O183" i="3"/>
  <c r="N183" i="3"/>
  <c r="M183" i="3"/>
  <c r="L183" i="3"/>
  <c r="M185" i="3"/>
  <c r="L185" i="3"/>
  <c r="P185" i="3" s="1"/>
  <c r="O185" i="3"/>
  <c r="N185" i="3"/>
  <c r="O187" i="3"/>
  <c r="N187" i="3"/>
  <c r="M187" i="3"/>
  <c r="L187" i="3"/>
  <c r="O189" i="3"/>
  <c r="M189" i="3"/>
  <c r="L189" i="3"/>
  <c r="N189" i="3"/>
  <c r="O191" i="3"/>
  <c r="M191" i="3"/>
  <c r="L191" i="3"/>
  <c r="N191" i="3"/>
  <c r="O193" i="3"/>
  <c r="M193" i="3"/>
  <c r="L193" i="3"/>
  <c r="N193" i="3"/>
  <c r="O195" i="3"/>
  <c r="M195" i="3"/>
  <c r="L195" i="3"/>
  <c r="N195" i="3"/>
  <c r="O197" i="3"/>
  <c r="M197" i="3"/>
  <c r="L197" i="3"/>
  <c r="N197" i="3"/>
  <c r="O199" i="3"/>
  <c r="M199" i="3"/>
  <c r="L199" i="3"/>
  <c r="N199" i="3"/>
  <c r="O201" i="3"/>
  <c r="M201" i="3"/>
  <c r="L201" i="3"/>
  <c r="N201" i="3"/>
  <c r="O203" i="3"/>
  <c r="M203" i="3"/>
  <c r="L203" i="3"/>
  <c r="N203" i="3"/>
  <c r="O205" i="3"/>
  <c r="N205" i="3"/>
  <c r="M205" i="3"/>
  <c r="L205" i="3"/>
  <c r="O207" i="3"/>
  <c r="N207" i="3"/>
  <c r="M207" i="3"/>
  <c r="L207" i="3"/>
  <c r="O209" i="3"/>
  <c r="M209" i="3"/>
  <c r="L209" i="3"/>
  <c r="N209" i="3"/>
  <c r="O211" i="3"/>
  <c r="N211" i="3"/>
  <c r="M211" i="3"/>
  <c r="L211" i="3"/>
  <c r="O213" i="3"/>
  <c r="N213" i="3"/>
  <c r="M213" i="3"/>
  <c r="L213" i="3"/>
  <c r="O215" i="3"/>
  <c r="M215" i="3"/>
  <c r="L215" i="3"/>
  <c r="N215" i="3"/>
  <c r="O217" i="3"/>
  <c r="N217" i="3"/>
  <c r="M217" i="3"/>
  <c r="L217" i="3"/>
  <c r="O219" i="3"/>
  <c r="N219" i="3"/>
  <c r="M219" i="3"/>
  <c r="L219" i="3"/>
  <c r="O221" i="3"/>
  <c r="M221" i="3"/>
  <c r="L221" i="3"/>
  <c r="N221" i="3"/>
  <c r="O223" i="3"/>
  <c r="N223" i="3"/>
  <c r="M223" i="3"/>
  <c r="L223" i="3"/>
  <c r="O225" i="3"/>
  <c r="N225" i="3"/>
  <c r="M225" i="3"/>
  <c r="L225" i="3"/>
  <c r="O227" i="3"/>
  <c r="M227" i="3"/>
  <c r="L227" i="3"/>
  <c r="N227" i="3"/>
  <c r="O229" i="3"/>
  <c r="N229" i="3"/>
  <c r="M229" i="3"/>
  <c r="L229" i="3"/>
  <c r="O231" i="3"/>
  <c r="N231" i="3"/>
  <c r="M231" i="3"/>
  <c r="L231" i="3"/>
  <c r="O233" i="3"/>
  <c r="M233" i="3"/>
  <c r="L233" i="3"/>
  <c r="N233" i="3"/>
  <c r="O235" i="3"/>
  <c r="N235" i="3"/>
  <c r="M235" i="3"/>
  <c r="L235" i="3"/>
  <c r="O237" i="3"/>
  <c r="N237" i="3"/>
  <c r="M237" i="3"/>
  <c r="L237" i="3"/>
  <c r="O239" i="3"/>
  <c r="M239" i="3"/>
  <c r="L239" i="3"/>
  <c r="N239" i="3"/>
  <c r="O241" i="3"/>
  <c r="N241" i="3"/>
  <c r="M241" i="3"/>
  <c r="L241" i="3"/>
  <c r="O243" i="3"/>
  <c r="N243" i="3"/>
  <c r="M243" i="3"/>
  <c r="L243" i="3"/>
  <c r="O245" i="3"/>
  <c r="M245" i="3"/>
  <c r="L245" i="3"/>
  <c r="N245" i="3"/>
  <c r="O247" i="3"/>
  <c r="N247" i="3"/>
  <c r="M247" i="3"/>
  <c r="L247" i="3"/>
  <c r="O249" i="3"/>
  <c r="N249" i="3"/>
  <c r="M249" i="3"/>
  <c r="L249" i="3"/>
  <c r="O251" i="3"/>
  <c r="M251" i="3"/>
  <c r="L251" i="3"/>
  <c r="N251" i="3"/>
  <c r="O253" i="3"/>
  <c r="N253" i="3"/>
  <c r="M253" i="3"/>
  <c r="L253" i="3"/>
  <c r="O255" i="3"/>
  <c r="N255" i="3"/>
  <c r="M255" i="3"/>
  <c r="L255" i="3"/>
  <c r="O257" i="3"/>
  <c r="M257" i="3"/>
  <c r="L257" i="3"/>
  <c r="N257" i="3"/>
  <c r="O259" i="3"/>
  <c r="N259" i="3"/>
  <c r="M259" i="3"/>
  <c r="L259" i="3"/>
  <c r="O261" i="3"/>
  <c r="N261" i="3"/>
  <c r="M261" i="3"/>
  <c r="L261" i="3"/>
  <c r="O263" i="3"/>
  <c r="M263" i="3"/>
  <c r="L263" i="3"/>
  <c r="N263" i="3"/>
  <c r="O265" i="3"/>
  <c r="N265" i="3"/>
  <c r="M265" i="3"/>
  <c r="L265" i="3"/>
  <c r="O267" i="3"/>
  <c r="N267" i="3"/>
  <c r="M267" i="3"/>
  <c r="L267" i="3"/>
  <c r="O269" i="3"/>
  <c r="M269" i="3"/>
  <c r="L269" i="3"/>
  <c r="N269" i="3"/>
  <c r="O271" i="3"/>
  <c r="N271" i="3"/>
  <c r="M271" i="3"/>
  <c r="L271" i="3"/>
  <c r="O273" i="3"/>
  <c r="N273" i="3"/>
  <c r="M273" i="3"/>
  <c r="L273" i="3"/>
  <c r="K264" i="2"/>
  <c r="O280" i="3"/>
  <c r="N280" i="3"/>
  <c r="M280" i="3"/>
  <c r="L280" i="3"/>
  <c r="P280" i="3" s="1"/>
  <c r="O282" i="3"/>
  <c r="N282" i="3"/>
  <c r="M282" i="3"/>
  <c r="L282" i="3"/>
  <c r="P282" i="3" s="1"/>
  <c r="O284" i="3"/>
  <c r="M284" i="3"/>
  <c r="L284" i="3"/>
  <c r="P284" i="3" s="1"/>
  <c r="N284" i="3"/>
  <c r="O286" i="3"/>
  <c r="N286" i="3"/>
  <c r="M286" i="3"/>
  <c r="L286" i="3"/>
  <c r="P286" i="3" s="1"/>
  <c r="O288" i="3"/>
  <c r="N288" i="3"/>
  <c r="M288" i="3"/>
  <c r="L288" i="3"/>
  <c r="P288" i="3" s="1"/>
  <c r="O290" i="3"/>
  <c r="M290" i="3"/>
  <c r="L290" i="3"/>
  <c r="P290" i="3" s="1"/>
  <c r="N290" i="3"/>
  <c r="O292" i="3"/>
  <c r="N292" i="3"/>
  <c r="M292" i="3"/>
  <c r="L292" i="3"/>
  <c r="P292" i="3" s="1"/>
  <c r="O294" i="3"/>
  <c r="N294" i="3"/>
  <c r="M294" i="3"/>
  <c r="L294" i="3"/>
  <c r="P294" i="3" s="1"/>
  <c r="O296" i="3"/>
  <c r="M296" i="3"/>
  <c r="L296" i="3"/>
  <c r="P296" i="3" s="1"/>
  <c r="N296" i="3"/>
  <c r="O298" i="3"/>
  <c r="N298" i="3"/>
  <c r="M298" i="3"/>
  <c r="L298" i="3"/>
  <c r="P298" i="3" s="1"/>
  <c r="O300" i="3"/>
  <c r="N300" i="3"/>
  <c r="M300" i="3"/>
  <c r="L300" i="3"/>
  <c r="P300" i="3" s="1"/>
  <c r="O302" i="3"/>
  <c r="M302" i="3"/>
  <c r="L302" i="3"/>
  <c r="P302" i="3" s="1"/>
  <c r="N302" i="3"/>
  <c r="O304" i="3"/>
  <c r="N304" i="3"/>
  <c r="M304" i="3"/>
  <c r="L304" i="3"/>
  <c r="P304" i="3" s="1"/>
  <c r="O306" i="3"/>
  <c r="N306" i="3"/>
  <c r="M306" i="3"/>
  <c r="L306" i="3"/>
  <c r="P306" i="3" s="1"/>
  <c r="O308" i="3"/>
  <c r="N308" i="3"/>
  <c r="M308" i="3"/>
  <c r="L308" i="3"/>
  <c r="L310" i="3"/>
  <c r="O310" i="3"/>
  <c r="N310" i="3"/>
  <c r="M310" i="3"/>
  <c r="N312" i="3"/>
  <c r="M312" i="3"/>
  <c r="L312" i="3"/>
  <c r="O312" i="3"/>
  <c r="O314" i="3"/>
  <c r="M314" i="3"/>
  <c r="N314" i="3"/>
  <c r="L314" i="3"/>
  <c r="L316" i="3"/>
  <c r="P316" i="3" s="1"/>
  <c r="O316" i="3"/>
  <c r="N316" i="3"/>
  <c r="M316" i="3"/>
  <c r="N318" i="3"/>
  <c r="M318" i="3"/>
  <c r="L318" i="3"/>
  <c r="P318" i="3" s="1"/>
  <c r="O318" i="3"/>
  <c r="O323" i="3"/>
  <c r="M323" i="3"/>
  <c r="N323" i="3"/>
  <c r="L323" i="3"/>
  <c r="P323" i="3" s="1"/>
  <c r="K314" i="2"/>
  <c r="M318" i="2"/>
  <c r="O334" i="3"/>
  <c r="N334" i="3"/>
  <c r="M334" i="3"/>
  <c r="L334" i="3"/>
  <c r="K325" i="2"/>
  <c r="M329" i="2"/>
  <c r="M334" i="2"/>
  <c r="J352" i="3"/>
  <c r="M341" i="2"/>
  <c r="K343" i="2"/>
  <c r="O363" i="3"/>
  <c r="M363" i="3"/>
  <c r="N363" i="3"/>
  <c r="L363" i="3"/>
  <c r="K354" i="2"/>
  <c r="M358" i="2"/>
  <c r="J376" i="3"/>
  <c r="M365" i="2"/>
  <c r="K367" i="2"/>
  <c r="O387" i="3"/>
  <c r="M387" i="3"/>
  <c r="N387" i="3"/>
  <c r="L387" i="3"/>
  <c r="K378" i="2"/>
  <c r="M382" i="2"/>
  <c r="J400" i="3"/>
  <c r="M389" i="2"/>
  <c r="K391" i="2"/>
  <c r="O411" i="3"/>
  <c r="M411" i="3"/>
  <c r="N411" i="3"/>
  <c r="L411" i="3"/>
  <c r="K402" i="2"/>
  <c r="M406" i="2"/>
  <c r="J424" i="3"/>
  <c r="M413" i="2"/>
  <c r="K415" i="2"/>
  <c r="O435" i="3"/>
  <c r="M435" i="3"/>
  <c r="N435" i="3"/>
  <c r="L435" i="3"/>
  <c r="P435" i="3" s="1"/>
  <c r="K426" i="2"/>
  <c r="M430" i="2"/>
  <c r="J448" i="3"/>
  <c r="M437" i="2"/>
  <c r="K439" i="2"/>
  <c r="O459" i="3"/>
  <c r="M459" i="3"/>
  <c r="N459" i="3"/>
  <c r="L459" i="3"/>
  <c r="P459" i="3" s="1"/>
  <c r="K450" i="2"/>
  <c r="M454" i="2"/>
  <c r="J472" i="3"/>
  <c r="M461" i="2"/>
  <c r="K463" i="2"/>
  <c r="O483" i="3"/>
  <c r="M483" i="3"/>
  <c r="N483" i="3"/>
  <c r="L483" i="3"/>
  <c r="K474" i="2"/>
  <c r="M478" i="2"/>
  <c r="J496" i="3"/>
  <c r="M485" i="2"/>
  <c r="K487" i="2"/>
  <c r="O507" i="3"/>
  <c r="N507" i="3"/>
  <c r="M507" i="3"/>
  <c r="L507" i="3"/>
  <c r="K498" i="2"/>
  <c r="M502" i="2"/>
  <c r="J520" i="3"/>
  <c r="M509" i="2"/>
  <c r="K511" i="2"/>
  <c r="M536" i="3"/>
  <c r="O536" i="3"/>
  <c r="N536" i="3"/>
  <c r="L536" i="3"/>
  <c r="P536" i="3" s="1"/>
  <c r="K527" i="2"/>
  <c r="M531" i="2"/>
  <c r="J549" i="3"/>
  <c r="K538" i="2"/>
  <c r="M542" i="2"/>
  <c r="M560" i="3"/>
  <c r="O560" i="3"/>
  <c r="N560" i="3"/>
  <c r="L560" i="3"/>
  <c r="P560" i="3" s="1"/>
  <c r="K551" i="2"/>
  <c r="M555" i="2"/>
  <c r="J573" i="3"/>
  <c r="K562" i="2"/>
  <c r="M566" i="2"/>
  <c r="M584" i="3"/>
  <c r="L584" i="3"/>
  <c r="P584" i="3" s="1"/>
  <c r="O584" i="3"/>
  <c r="N584" i="3"/>
  <c r="K575" i="2"/>
  <c r="L577" i="2"/>
  <c r="M579" i="2"/>
  <c r="J597" i="3"/>
  <c r="K586" i="2"/>
  <c r="M590" i="2"/>
  <c r="L608" i="3"/>
  <c r="O608" i="3"/>
  <c r="N608" i="3"/>
  <c r="M608" i="3"/>
  <c r="K599" i="2"/>
  <c r="J621" i="3"/>
  <c r="K610" i="2"/>
  <c r="M614" i="2"/>
  <c r="J645" i="3"/>
  <c r="K634" i="2"/>
  <c r="M638" i="2"/>
  <c r="J669" i="3"/>
  <c r="K658" i="2"/>
  <c r="M666" i="2"/>
  <c r="K672" i="2"/>
  <c r="O720" i="3"/>
  <c r="L720" i="3"/>
  <c r="N720" i="3"/>
  <c r="M720" i="3"/>
  <c r="M691" i="2"/>
  <c r="M731" i="3"/>
  <c r="N731" i="3"/>
  <c r="O731" i="3"/>
  <c r="L731" i="3"/>
  <c r="K708" i="2"/>
  <c r="K716" i="2"/>
  <c r="K719" i="2"/>
  <c r="K740" i="2"/>
  <c r="M785" i="3"/>
  <c r="L785" i="3"/>
  <c r="O785" i="3"/>
  <c r="N785" i="3"/>
  <c r="J810" i="3"/>
  <c r="L773" i="2"/>
  <c r="K775" i="2"/>
  <c r="K812" i="2"/>
  <c r="K818" i="2"/>
  <c r="K824" i="2"/>
  <c r="K830" i="2"/>
  <c r="O9" i="3"/>
  <c r="N9" i="3"/>
  <c r="L9" i="3"/>
  <c r="L11" i="3"/>
  <c r="O11" i="3"/>
  <c r="N11" i="3"/>
  <c r="J102" i="3"/>
  <c r="J103" i="3" s="1"/>
  <c r="J108" i="3" s="1"/>
  <c r="O13" i="3"/>
  <c r="N13" i="3"/>
  <c r="L13" i="3"/>
  <c r="O15" i="3"/>
  <c r="N15" i="3"/>
  <c r="L15" i="3"/>
  <c r="O17" i="3"/>
  <c r="N17" i="3"/>
  <c r="L17" i="3"/>
  <c r="O19" i="3"/>
  <c r="N19" i="3"/>
  <c r="L19" i="3"/>
  <c r="L21" i="3"/>
  <c r="J104" i="3"/>
  <c r="O21" i="3"/>
  <c r="N21" i="3"/>
  <c r="O23" i="3"/>
  <c r="N23" i="3"/>
  <c r="L23" i="3"/>
  <c r="J106" i="3"/>
  <c r="O25" i="3"/>
  <c r="N25" i="3"/>
  <c r="M25" i="3"/>
  <c r="L25" i="3"/>
  <c r="P25" i="3" s="1"/>
  <c r="O27" i="3"/>
  <c r="N27" i="3"/>
  <c r="M27" i="3"/>
  <c r="L27" i="3"/>
  <c r="P27" i="3" s="1"/>
  <c r="L29" i="3"/>
  <c r="O29" i="3"/>
  <c r="N29" i="3"/>
  <c r="M29" i="3"/>
  <c r="O31" i="3"/>
  <c r="N31" i="3"/>
  <c r="L31" i="3"/>
  <c r="J109" i="3"/>
  <c r="O33" i="3"/>
  <c r="N33" i="3"/>
  <c r="M33" i="3"/>
  <c r="L33" i="3"/>
  <c r="O35" i="3"/>
  <c r="N35" i="3"/>
  <c r="M35" i="3"/>
  <c r="L35" i="3"/>
  <c r="P35" i="3" s="1"/>
  <c r="O37" i="3"/>
  <c r="N37" i="3"/>
  <c r="M37" i="3"/>
  <c r="L37" i="3"/>
  <c r="O39" i="3"/>
  <c r="N39" i="3"/>
  <c r="J110" i="3"/>
  <c r="L39" i="3"/>
  <c r="O41" i="3"/>
  <c r="N41" i="3"/>
  <c r="M41" i="3"/>
  <c r="L41" i="3"/>
  <c r="P41" i="3" s="1"/>
  <c r="N43" i="3"/>
  <c r="M43" i="3"/>
  <c r="L43" i="3"/>
  <c r="P43" i="3" s="1"/>
  <c r="O43" i="3"/>
  <c r="O45" i="3"/>
  <c r="N45" i="3"/>
  <c r="M45" i="3"/>
  <c r="L45" i="3"/>
  <c r="O47" i="3"/>
  <c r="N47" i="3"/>
  <c r="L47" i="3"/>
  <c r="O49" i="3"/>
  <c r="N49" i="3"/>
  <c r="L49" i="3"/>
  <c r="L51" i="3"/>
  <c r="O51" i="3"/>
  <c r="N51" i="3"/>
  <c r="O53" i="3"/>
  <c r="N53" i="3"/>
  <c r="M53" i="3"/>
  <c r="L53" i="3"/>
  <c r="O55" i="3"/>
  <c r="N55" i="3"/>
  <c r="M55" i="3"/>
  <c r="L55" i="3"/>
  <c r="P55" i="3" s="1"/>
  <c r="L57" i="3"/>
  <c r="O57" i="3"/>
  <c r="N57" i="3"/>
  <c r="M57" i="3"/>
  <c r="O59" i="3"/>
  <c r="N59" i="3"/>
  <c r="M59" i="3"/>
  <c r="L59" i="3"/>
  <c r="P59" i="3" s="1"/>
  <c r="O61" i="3"/>
  <c r="N61" i="3"/>
  <c r="L61" i="3"/>
  <c r="O63" i="3"/>
  <c r="N63" i="3"/>
  <c r="M63" i="3"/>
  <c r="L63" i="3"/>
  <c r="P63" i="3" s="1"/>
  <c r="N65" i="3"/>
  <c r="M65" i="3"/>
  <c r="L65" i="3"/>
  <c r="P65" i="3" s="1"/>
  <c r="O65" i="3"/>
  <c r="O67" i="3"/>
  <c r="N67" i="3"/>
  <c r="M67" i="3"/>
  <c r="L67" i="3"/>
  <c r="P67" i="3" s="1"/>
  <c r="O69" i="3"/>
  <c r="N69" i="3"/>
  <c r="M69" i="3"/>
  <c r="L69" i="3"/>
  <c r="P69" i="3" s="1"/>
  <c r="M71" i="3"/>
  <c r="L71" i="3"/>
  <c r="O71" i="3"/>
  <c r="N71" i="3"/>
  <c r="O73" i="3"/>
  <c r="N73" i="3"/>
  <c r="M73" i="3"/>
  <c r="L73" i="3"/>
  <c r="O75" i="3"/>
  <c r="N75" i="3"/>
  <c r="L75" i="3"/>
  <c r="O77" i="3"/>
  <c r="N77" i="3"/>
  <c r="L77" i="3"/>
  <c r="O79" i="3"/>
  <c r="N79" i="3"/>
  <c r="L79" i="3"/>
  <c r="M88" i="2"/>
  <c r="M90" i="2"/>
  <c r="M92" i="2"/>
  <c r="M94" i="2"/>
  <c r="M96" i="2"/>
  <c r="M98" i="2"/>
  <c r="M100" i="2"/>
  <c r="O114" i="3"/>
  <c r="N114" i="3"/>
  <c r="M114" i="3"/>
  <c r="L114" i="3"/>
  <c r="P114" i="3" s="1"/>
  <c r="L116" i="3"/>
  <c r="P116" i="3" s="1"/>
  <c r="O116" i="3"/>
  <c r="N116" i="3"/>
  <c r="M116" i="3"/>
  <c r="O118" i="3"/>
  <c r="N118" i="3"/>
  <c r="M118" i="3"/>
  <c r="L118" i="3"/>
  <c r="O120" i="3"/>
  <c r="N120" i="3"/>
  <c r="M120" i="3"/>
  <c r="L120" i="3"/>
  <c r="L122" i="3"/>
  <c r="O122" i="3"/>
  <c r="N122" i="3"/>
  <c r="M122" i="3"/>
  <c r="O124" i="3"/>
  <c r="N124" i="3"/>
  <c r="M124" i="3"/>
  <c r="L124" i="3"/>
  <c r="K117" i="2"/>
  <c r="M125" i="2"/>
  <c r="M127" i="2"/>
  <c r="K130" i="2"/>
  <c r="K132" i="2"/>
  <c r="K134" i="2"/>
  <c r="K136" i="2"/>
  <c r="K138" i="2"/>
  <c r="K140" i="2"/>
  <c r="K142" i="2"/>
  <c r="K144" i="2"/>
  <c r="K146" i="2"/>
  <c r="K148" i="2"/>
  <c r="K150" i="2"/>
  <c r="K152" i="2"/>
  <c r="K154" i="2"/>
  <c r="K156" i="2"/>
  <c r="K158" i="2"/>
  <c r="K160" i="2"/>
  <c r="K162" i="2"/>
  <c r="K164" i="2"/>
  <c r="K166" i="2"/>
  <c r="K168" i="2"/>
  <c r="K170" i="2"/>
  <c r="K172" i="2"/>
  <c r="K174" i="2"/>
  <c r="K176" i="2"/>
  <c r="K178" i="2"/>
  <c r="K180" i="2"/>
  <c r="K182" i="2"/>
  <c r="K184" i="2"/>
  <c r="K186" i="2"/>
  <c r="K188" i="2"/>
  <c r="K190" i="2"/>
  <c r="K192" i="2"/>
  <c r="K194" i="2"/>
  <c r="K196" i="2"/>
  <c r="K198" i="2"/>
  <c r="K200" i="2"/>
  <c r="K202" i="2"/>
  <c r="K204" i="2"/>
  <c r="K206" i="2"/>
  <c r="K208" i="2"/>
  <c r="K210" i="2"/>
  <c r="K212" i="2"/>
  <c r="K214" i="2"/>
  <c r="K216" i="2"/>
  <c r="K218" i="2"/>
  <c r="K220" i="2"/>
  <c r="K222" i="2"/>
  <c r="K224" i="2"/>
  <c r="K226" i="2"/>
  <c r="K228" i="2"/>
  <c r="K230" i="2"/>
  <c r="K232" i="2"/>
  <c r="K234" i="2"/>
  <c r="K236" i="2"/>
  <c r="K238" i="2"/>
  <c r="K240" i="2"/>
  <c r="K242" i="2"/>
  <c r="K244" i="2"/>
  <c r="K246" i="2"/>
  <c r="K248" i="2"/>
  <c r="K250" i="2"/>
  <c r="K252" i="2"/>
  <c r="K254" i="2"/>
  <c r="K256" i="2"/>
  <c r="K258" i="2"/>
  <c r="K260" i="2"/>
  <c r="K262" i="2"/>
  <c r="M266" i="2"/>
  <c r="K269" i="2"/>
  <c r="K271" i="2"/>
  <c r="K273" i="2"/>
  <c r="K275" i="2"/>
  <c r="K277" i="2"/>
  <c r="K279" i="2"/>
  <c r="K281" i="2"/>
  <c r="K283" i="2"/>
  <c r="K285" i="2"/>
  <c r="K287" i="2"/>
  <c r="K289" i="2"/>
  <c r="K291" i="2"/>
  <c r="K293" i="2"/>
  <c r="K295" i="2"/>
  <c r="K297" i="2"/>
  <c r="K299" i="2"/>
  <c r="K301" i="2"/>
  <c r="K303" i="2"/>
  <c r="K305" i="2"/>
  <c r="K307" i="2"/>
  <c r="N321" i="3"/>
  <c r="M321" i="3"/>
  <c r="L321" i="3"/>
  <c r="O321" i="3"/>
  <c r="K312" i="2"/>
  <c r="M316" i="2"/>
  <c r="N332" i="3"/>
  <c r="L332" i="3"/>
  <c r="O332" i="3"/>
  <c r="M332" i="3"/>
  <c r="K323" i="2"/>
  <c r="M327" i="2"/>
  <c r="M332" i="2"/>
  <c r="J350" i="3"/>
  <c r="M339" i="2"/>
  <c r="K341" i="2"/>
  <c r="O361" i="3"/>
  <c r="N361" i="3"/>
  <c r="M361" i="3"/>
  <c r="L361" i="3"/>
  <c r="K352" i="2"/>
  <c r="M356" i="2"/>
  <c r="J374" i="3"/>
  <c r="M363" i="2"/>
  <c r="K365" i="2"/>
  <c r="O385" i="3"/>
  <c r="N385" i="3"/>
  <c r="M385" i="3"/>
  <c r="L385" i="3"/>
  <c r="K376" i="2"/>
  <c r="M380" i="2"/>
  <c r="J398" i="3"/>
  <c r="M387" i="2"/>
  <c r="K389" i="2"/>
  <c r="O409" i="3"/>
  <c r="N409" i="3"/>
  <c r="M409" i="3"/>
  <c r="L409" i="3"/>
  <c r="P409" i="3" s="1"/>
  <c r="K400" i="2"/>
  <c r="M404" i="2"/>
  <c r="J422" i="3"/>
  <c r="M411" i="2"/>
  <c r="K413" i="2"/>
  <c r="O433" i="3"/>
  <c r="N433" i="3"/>
  <c r="M433" i="3"/>
  <c r="L433" i="3"/>
  <c r="P433" i="3" s="1"/>
  <c r="K424" i="2"/>
  <c r="M428" i="2"/>
  <c r="J446" i="3"/>
  <c r="M435" i="2"/>
  <c r="K437" i="2"/>
  <c r="O457" i="3"/>
  <c r="N457" i="3"/>
  <c r="M457" i="3"/>
  <c r="L457" i="3"/>
  <c r="K448" i="2"/>
  <c r="M452" i="2"/>
  <c r="J470" i="3"/>
  <c r="M459" i="2"/>
  <c r="K461" i="2"/>
  <c r="O481" i="3"/>
  <c r="N481" i="3"/>
  <c r="M481" i="3"/>
  <c r="L481" i="3"/>
  <c r="P481" i="3" s="1"/>
  <c r="K472" i="2"/>
  <c r="M476" i="2"/>
  <c r="J494" i="3"/>
  <c r="M483" i="2"/>
  <c r="K485" i="2"/>
  <c r="O505" i="3"/>
  <c r="N505" i="3"/>
  <c r="M505" i="3"/>
  <c r="L505" i="3"/>
  <c r="K496" i="2"/>
  <c r="M500" i="2"/>
  <c r="J518" i="3"/>
  <c r="M507" i="2"/>
  <c r="K509" i="2"/>
  <c r="O534" i="3"/>
  <c r="N534" i="3"/>
  <c r="M534" i="3"/>
  <c r="L534" i="3"/>
  <c r="K525" i="2"/>
  <c r="M529" i="2"/>
  <c r="J547" i="3"/>
  <c r="K536" i="2"/>
  <c r="M540" i="2"/>
  <c r="O558" i="3"/>
  <c r="N558" i="3"/>
  <c r="M558" i="3"/>
  <c r="L558" i="3"/>
  <c r="K549" i="2"/>
  <c r="M553" i="2"/>
  <c r="J571" i="3"/>
  <c r="K560" i="2"/>
  <c r="M564" i="2"/>
  <c r="O582" i="3"/>
  <c r="N582" i="3"/>
  <c r="M582" i="3"/>
  <c r="L582" i="3"/>
  <c r="P582" i="3" s="1"/>
  <c r="K573" i="2"/>
  <c r="L575" i="2"/>
  <c r="M577" i="2"/>
  <c r="J595" i="3"/>
  <c r="K584" i="2"/>
  <c r="M588" i="2"/>
  <c r="O606" i="3"/>
  <c r="N606" i="3"/>
  <c r="M606" i="3"/>
  <c r="L606" i="3"/>
  <c r="K597" i="2"/>
  <c r="L599" i="2"/>
  <c r="J619" i="3"/>
  <c r="K608" i="2"/>
  <c r="M612" i="2"/>
  <c r="J643" i="3"/>
  <c r="K632" i="2"/>
  <c r="M636" i="2"/>
  <c r="J667" i="3"/>
  <c r="K656" i="2"/>
  <c r="M664" i="2"/>
  <c r="M675" i="2"/>
  <c r="K683" i="2"/>
  <c r="O726" i="3"/>
  <c r="M726" i="3"/>
  <c r="N726" i="3"/>
  <c r="L726" i="3"/>
  <c r="K694" i="2"/>
  <c r="M700" i="2"/>
  <c r="M708" i="2"/>
  <c r="M748" i="3"/>
  <c r="L748" i="3"/>
  <c r="O748" i="3"/>
  <c r="N748" i="3"/>
  <c r="M719" i="2"/>
  <c r="J773" i="3"/>
  <c r="K736" i="2"/>
  <c r="K748" i="2"/>
  <c r="J808" i="3"/>
  <c r="L771" i="2"/>
  <c r="K773" i="2"/>
  <c r="L812" i="2"/>
  <c r="L818" i="2"/>
  <c r="L824" i="2"/>
  <c r="L830" i="2"/>
  <c r="O330" i="3"/>
  <c r="M330" i="3"/>
  <c r="N330" i="3"/>
  <c r="L330" i="3"/>
  <c r="J348" i="3"/>
  <c r="M337" i="2"/>
  <c r="N359" i="3"/>
  <c r="L359" i="3"/>
  <c r="P359" i="3" s="1"/>
  <c r="O359" i="3"/>
  <c r="M359" i="3"/>
  <c r="J372" i="3"/>
  <c r="M361" i="2"/>
  <c r="N383" i="3"/>
  <c r="L383" i="3"/>
  <c r="O383" i="3"/>
  <c r="M383" i="3"/>
  <c r="J396" i="3"/>
  <c r="M385" i="2"/>
  <c r="N407" i="3"/>
  <c r="L407" i="3"/>
  <c r="O407" i="3"/>
  <c r="M407" i="3"/>
  <c r="J420" i="3"/>
  <c r="M409" i="2"/>
  <c r="N431" i="3"/>
  <c r="L431" i="3"/>
  <c r="O431" i="3"/>
  <c r="M431" i="3"/>
  <c r="J444" i="3"/>
  <c r="M433" i="2"/>
  <c r="N455" i="3"/>
  <c r="L455" i="3"/>
  <c r="O455" i="3"/>
  <c r="M455" i="3"/>
  <c r="J468" i="3"/>
  <c r="M457" i="2"/>
  <c r="M479" i="3"/>
  <c r="O479" i="3"/>
  <c r="N479" i="3"/>
  <c r="L479" i="3"/>
  <c r="P479" i="3" s="1"/>
  <c r="J492" i="3"/>
  <c r="M481" i="2"/>
  <c r="M503" i="3"/>
  <c r="O503" i="3"/>
  <c r="N503" i="3"/>
  <c r="L503" i="3"/>
  <c r="J516" i="3"/>
  <c r="M505" i="2"/>
  <c r="M527" i="3"/>
  <c r="O527" i="3"/>
  <c r="N527" i="3"/>
  <c r="L527" i="3"/>
  <c r="P527" i="3" s="1"/>
  <c r="O532" i="3"/>
  <c r="N532" i="3"/>
  <c r="M532" i="3"/>
  <c r="L532" i="3"/>
  <c r="J545" i="3"/>
  <c r="K534" i="2"/>
  <c r="O556" i="3"/>
  <c r="N556" i="3"/>
  <c r="M556" i="3"/>
  <c r="L556" i="3"/>
  <c r="P556" i="3" s="1"/>
  <c r="J569" i="3"/>
  <c r="K558" i="2"/>
  <c r="O580" i="3"/>
  <c r="N580" i="3"/>
  <c r="M580" i="3"/>
  <c r="L580" i="3"/>
  <c r="M575" i="2"/>
  <c r="J593" i="3"/>
  <c r="K582" i="2"/>
  <c r="O604" i="3"/>
  <c r="N604" i="3"/>
  <c r="L604" i="3"/>
  <c r="M599" i="2"/>
  <c r="J617" i="3"/>
  <c r="K606" i="2"/>
  <c r="J641" i="3"/>
  <c r="K630" i="2"/>
  <c r="J665" i="3"/>
  <c r="K654" i="2"/>
  <c r="J701" i="3"/>
  <c r="K664" i="2"/>
  <c r="M704" i="3"/>
  <c r="N704" i="3"/>
  <c r="O704" i="3"/>
  <c r="L704" i="3"/>
  <c r="M712" i="3"/>
  <c r="L712" i="3"/>
  <c r="O712" i="3"/>
  <c r="N712" i="3"/>
  <c r="O715" i="3"/>
  <c r="L715" i="3"/>
  <c r="P715" i="3" s="1"/>
  <c r="N715" i="3"/>
  <c r="M715" i="3"/>
  <c r="J737" i="3"/>
  <c r="K700" i="2"/>
  <c r="M743" i="3"/>
  <c r="L743" i="3"/>
  <c r="O743" i="3"/>
  <c r="N743" i="3"/>
  <c r="M717" i="2"/>
  <c r="J771" i="3"/>
  <c r="K734" i="2"/>
  <c r="J780" i="3"/>
  <c r="L743" i="2"/>
  <c r="K743" i="2"/>
  <c r="M746" i="2"/>
  <c r="J806" i="3"/>
  <c r="L769" i="2"/>
  <c r="J370" i="3"/>
  <c r="M359" i="2"/>
  <c r="O381" i="3"/>
  <c r="M381" i="3"/>
  <c r="N381" i="3"/>
  <c r="L381" i="3"/>
  <c r="P381" i="3" s="1"/>
  <c r="J394" i="3"/>
  <c r="M383" i="2"/>
  <c r="O405" i="3"/>
  <c r="M405" i="3"/>
  <c r="N405" i="3"/>
  <c r="L405" i="3"/>
  <c r="P405" i="3" s="1"/>
  <c r="J418" i="3"/>
  <c r="M407" i="2"/>
  <c r="O429" i="3"/>
  <c r="M429" i="3"/>
  <c r="N429" i="3"/>
  <c r="L429" i="3"/>
  <c r="J442" i="3"/>
  <c r="M431" i="2"/>
  <c r="O453" i="3"/>
  <c r="M453" i="3"/>
  <c r="N453" i="3"/>
  <c r="L453" i="3"/>
  <c r="J466" i="3"/>
  <c r="M455" i="2"/>
  <c r="O477" i="3"/>
  <c r="M477" i="3"/>
  <c r="N477" i="3"/>
  <c r="L477" i="3"/>
  <c r="J490" i="3"/>
  <c r="M479" i="2"/>
  <c r="O501" i="3"/>
  <c r="N501" i="3"/>
  <c r="M501" i="3"/>
  <c r="L501" i="3"/>
  <c r="J514" i="3"/>
  <c r="M503" i="2"/>
  <c r="O525" i="3"/>
  <c r="N525" i="3"/>
  <c r="M525" i="3"/>
  <c r="L525" i="3"/>
  <c r="M530" i="3"/>
  <c r="O530" i="3"/>
  <c r="N530" i="3"/>
  <c r="L530" i="3"/>
  <c r="P530" i="3" s="1"/>
  <c r="J543" i="3"/>
  <c r="K532" i="2"/>
  <c r="M554" i="3"/>
  <c r="O554" i="3"/>
  <c r="N554" i="3"/>
  <c r="L554" i="3"/>
  <c r="J567" i="3"/>
  <c r="K556" i="2"/>
  <c r="M578" i="3"/>
  <c r="O578" i="3"/>
  <c r="N578" i="3"/>
  <c r="L578" i="3"/>
  <c r="P578" i="3" s="1"/>
  <c r="J591" i="3"/>
  <c r="K580" i="2"/>
  <c r="M602" i="3"/>
  <c r="L602" i="3"/>
  <c r="O602" i="3"/>
  <c r="N602" i="3"/>
  <c r="J615" i="3"/>
  <c r="K604" i="2"/>
  <c r="J639" i="3"/>
  <c r="K628" i="2"/>
  <c r="J663" i="3"/>
  <c r="K652" i="2"/>
  <c r="M721" i="3"/>
  <c r="O721" i="3"/>
  <c r="N721" i="3"/>
  <c r="L721" i="3"/>
  <c r="J729" i="3"/>
  <c r="K692" i="2"/>
  <c r="J754" i="3"/>
  <c r="K717" i="2"/>
  <c r="M757" i="3"/>
  <c r="O757" i="3"/>
  <c r="N757" i="3"/>
  <c r="L757" i="3"/>
  <c r="P757" i="3" s="1"/>
  <c r="J769" i="3"/>
  <c r="K732" i="2"/>
  <c r="O783" i="3"/>
  <c r="L783" i="3"/>
  <c r="N783" i="3"/>
  <c r="M783" i="3"/>
  <c r="J804" i="3"/>
  <c r="L767" i="2"/>
  <c r="M853" i="3"/>
  <c r="O853" i="3"/>
  <c r="N853" i="3"/>
  <c r="L853" i="3"/>
  <c r="M859" i="3"/>
  <c r="L859" i="3"/>
  <c r="O859" i="3"/>
  <c r="N859" i="3"/>
  <c r="M865" i="3"/>
  <c r="N865" i="3"/>
  <c r="L865" i="3"/>
  <c r="P865" i="3" s="1"/>
  <c r="O865" i="3"/>
  <c r="M871" i="3"/>
  <c r="O871" i="3"/>
  <c r="N871" i="3"/>
  <c r="L871" i="3"/>
  <c r="O82" i="3"/>
  <c r="N82" i="3"/>
  <c r="L82" i="3"/>
  <c r="O84" i="3"/>
  <c r="N84" i="3"/>
  <c r="L84" i="3"/>
  <c r="L86" i="3"/>
  <c r="O86" i="3"/>
  <c r="N86" i="3"/>
  <c r="O88" i="3"/>
  <c r="N88" i="3"/>
  <c r="L88" i="3"/>
  <c r="O90" i="3"/>
  <c r="N90" i="3"/>
  <c r="M90" i="3"/>
  <c r="L90" i="3"/>
  <c r="O92" i="3"/>
  <c r="N92" i="3"/>
  <c r="M92" i="3"/>
  <c r="L92" i="3"/>
  <c r="P92" i="3" s="1"/>
  <c r="L94" i="3"/>
  <c r="O94" i="3"/>
  <c r="N94" i="3"/>
  <c r="O96" i="3"/>
  <c r="N96" i="3"/>
  <c r="L96" i="3"/>
  <c r="O98" i="3"/>
  <c r="N98" i="3"/>
  <c r="L98" i="3"/>
  <c r="O100" i="3"/>
  <c r="N100" i="3"/>
  <c r="L100" i="3"/>
  <c r="O137" i="3"/>
  <c r="N137" i="3"/>
  <c r="M137" i="3"/>
  <c r="L137" i="3"/>
  <c r="N326" i="3"/>
  <c r="L326" i="3"/>
  <c r="P326" i="3" s="1"/>
  <c r="O326" i="3"/>
  <c r="M326" i="3"/>
  <c r="L319" i="2"/>
  <c r="N339" i="3"/>
  <c r="M339" i="3"/>
  <c r="L339" i="3"/>
  <c r="P339" i="3" s="1"/>
  <c r="O339" i="3"/>
  <c r="O344" i="3"/>
  <c r="M344" i="3"/>
  <c r="N344" i="3"/>
  <c r="L344" i="3"/>
  <c r="P344" i="3" s="1"/>
  <c r="L337" i="2"/>
  <c r="O355" i="3"/>
  <c r="N355" i="3"/>
  <c r="M355" i="3"/>
  <c r="L355" i="3"/>
  <c r="L348" i="2"/>
  <c r="J368" i="3"/>
  <c r="M357" i="2"/>
  <c r="K359" i="2"/>
  <c r="L361" i="2"/>
  <c r="O379" i="3"/>
  <c r="N379" i="3"/>
  <c r="M379" i="3"/>
  <c r="L379" i="3"/>
  <c r="K370" i="2"/>
  <c r="L372" i="2"/>
  <c r="J392" i="3"/>
  <c r="M381" i="2"/>
  <c r="K383" i="2"/>
  <c r="L385" i="2"/>
  <c r="O403" i="3"/>
  <c r="N403" i="3"/>
  <c r="M403" i="3"/>
  <c r="L403" i="3"/>
  <c r="K394" i="2"/>
  <c r="L396" i="2"/>
  <c r="J416" i="3"/>
  <c r="M405" i="2"/>
  <c r="K407" i="2"/>
  <c r="L409" i="2"/>
  <c r="O427" i="3"/>
  <c r="N427" i="3"/>
  <c r="M427" i="3"/>
  <c r="L427" i="3"/>
  <c r="K418" i="2"/>
  <c r="L420" i="2"/>
  <c r="J440" i="3"/>
  <c r="M429" i="2"/>
  <c r="K431" i="2"/>
  <c r="L433" i="2"/>
  <c r="O451" i="3"/>
  <c r="N451" i="3"/>
  <c r="M451" i="3"/>
  <c r="L451" i="3"/>
  <c r="K442" i="2"/>
  <c r="L444" i="2"/>
  <c r="J464" i="3"/>
  <c r="M453" i="2"/>
  <c r="K455" i="2"/>
  <c r="L457" i="2"/>
  <c r="O475" i="3"/>
  <c r="N475" i="3"/>
  <c r="M475" i="3"/>
  <c r="L475" i="3"/>
  <c r="K466" i="2"/>
  <c r="L468" i="2"/>
  <c r="J488" i="3"/>
  <c r="M477" i="2"/>
  <c r="K479" i="2"/>
  <c r="L481" i="2"/>
  <c r="O499" i="3"/>
  <c r="N499" i="3"/>
  <c r="M499" i="3"/>
  <c r="L499" i="3"/>
  <c r="K490" i="2"/>
  <c r="L492" i="2"/>
  <c r="J512" i="3"/>
  <c r="M501" i="2"/>
  <c r="K503" i="2"/>
  <c r="L505" i="2"/>
  <c r="O523" i="3"/>
  <c r="N523" i="3"/>
  <c r="M523" i="3"/>
  <c r="L523" i="3"/>
  <c r="P523" i="3" s="1"/>
  <c r="K514" i="2"/>
  <c r="L516" i="2"/>
  <c r="K519" i="2"/>
  <c r="L521" i="2"/>
  <c r="J541" i="3"/>
  <c r="K530" i="2"/>
  <c r="M534" i="2"/>
  <c r="O552" i="3"/>
  <c r="N552" i="3"/>
  <c r="M552" i="3"/>
  <c r="L552" i="3"/>
  <c r="K543" i="2"/>
  <c r="L545" i="2"/>
  <c r="J565" i="3"/>
  <c r="K554" i="2"/>
  <c r="M558" i="2"/>
  <c r="O576" i="3"/>
  <c r="N576" i="3"/>
  <c r="M576" i="3"/>
  <c r="L576" i="3"/>
  <c r="K567" i="2"/>
  <c r="L569" i="2"/>
  <c r="J589" i="3"/>
  <c r="K578" i="2"/>
  <c r="M582" i="2"/>
  <c r="O600" i="3"/>
  <c r="N600" i="3"/>
  <c r="M600" i="3"/>
  <c r="L600" i="3"/>
  <c r="P600" i="3" s="1"/>
  <c r="K591" i="2"/>
  <c r="L593" i="2"/>
  <c r="J613" i="3"/>
  <c r="K602" i="2"/>
  <c r="M606" i="2"/>
  <c r="J637" i="3"/>
  <c r="K626" i="2"/>
  <c r="M630" i="2"/>
  <c r="J661" i="3"/>
  <c r="K650" i="2"/>
  <c r="M654" i="2"/>
  <c r="M667" i="2"/>
  <c r="M707" i="3"/>
  <c r="L707" i="3"/>
  <c r="O707" i="3"/>
  <c r="N707" i="3"/>
  <c r="M678" i="2"/>
  <c r="K684" i="2"/>
  <c r="O732" i="3"/>
  <c r="N732" i="3"/>
  <c r="M732" i="3"/>
  <c r="L732" i="3"/>
  <c r="M706" i="2"/>
  <c r="J746" i="3"/>
  <c r="K709" i="2"/>
  <c r="K720" i="2"/>
  <c r="J767" i="3"/>
  <c r="K730" i="2"/>
  <c r="L732" i="2"/>
  <c r="M734" i="2"/>
  <c r="K746" i="2"/>
  <c r="J802" i="3"/>
  <c r="L765" i="2"/>
  <c r="K767" i="2"/>
  <c r="M769" i="2"/>
  <c r="K816" i="2"/>
  <c r="K822" i="2"/>
  <c r="K828" i="2"/>
  <c r="O131" i="3"/>
  <c r="N131" i="3"/>
  <c r="M131" i="3"/>
  <c r="L131" i="3"/>
  <c r="O133" i="3"/>
  <c r="N133" i="3"/>
  <c r="M133" i="3"/>
  <c r="L133" i="3"/>
  <c r="P133" i="3" s="1"/>
  <c r="O276" i="3"/>
  <c r="N276" i="3"/>
  <c r="M276" i="3"/>
  <c r="L276" i="3"/>
  <c r="O324" i="3"/>
  <c r="M324" i="3"/>
  <c r="L324" i="3"/>
  <c r="N324" i="3"/>
  <c r="K315" i="2"/>
  <c r="M319" i="2"/>
  <c r="L337" i="3"/>
  <c r="P337" i="3" s="1"/>
  <c r="O337" i="3"/>
  <c r="N337" i="3"/>
  <c r="M337" i="3"/>
  <c r="K328" i="2"/>
  <c r="N342" i="3"/>
  <c r="M342" i="3"/>
  <c r="L342" i="3"/>
  <c r="O342" i="3"/>
  <c r="K333" i="2"/>
  <c r="N353" i="3"/>
  <c r="L353" i="3"/>
  <c r="O353" i="3"/>
  <c r="M353" i="3"/>
  <c r="K344" i="2"/>
  <c r="M348" i="2"/>
  <c r="J366" i="3"/>
  <c r="M355" i="2"/>
  <c r="K357" i="2"/>
  <c r="N377" i="3"/>
  <c r="L377" i="3"/>
  <c r="O377" i="3"/>
  <c r="M377" i="3"/>
  <c r="K368" i="2"/>
  <c r="M372" i="2"/>
  <c r="J390" i="3"/>
  <c r="M379" i="2"/>
  <c r="K381" i="2"/>
  <c r="N401" i="3"/>
  <c r="L401" i="3"/>
  <c r="O401" i="3"/>
  <c r="M401" i="3"/>
  <c r="K392" i="2"/>
  <c r="M396" i="2"/>
  <c r="J414" i="3"/>
  <c r="M403" i="2"/>
  <c r="K405" i="2"/>
  <c r="N425" i="3"/>
  <c r="L425" i="3"/>
  <c r="P425" i="3" s="1"/>
  <c r="O425" i="3"/>
  <c r="M425" i="3"/>
  <c r="K416" i="2"/>
  <c r="M420" i="2"/>
  <c r="J438" i="3"/>
  <c r="M427" i="2"/>
  <c r="K429" i="2"/>
  <c r="N449" i="3"/>
  <c r="L449" i="3"/>
  <c r="O449" i="3"/>
  <c r="M449" i="3"/>
  <c r="K440" i="2"/>
  <c r="M444" i="2"/>
  <c r="J462" i="3"/>
  <c r="M451" i="2"/>
  <c r="K453" i="2"/>
  <c r="M473" i="3"/>
  <c r="O473" i="3"/>
  <c r="L473" i="3"/>
  <c r="N473" i="3"/>
  <c r="K464" i="2"/>
  <c r="M468" i="2"/>
  <c r="J486" i="3"/>
  <c r="M475" i="2"/>
  <c r="K477" i="2"/>
  <c r="M497" i="3"/>
  <c r="O497" i="3"/>
  <c r="N497" i="3"/>
  <c r="L497" i="3"/>
  <c r="K488" i="2"/>
  <c r="M492" i="2"/>
  <c r="J510" i="3"/>
  <c r="M499" i="2"/>
  <c r="K501" i="2"/>
  <c r="M521" i="3"/>
  <c r="O521" i="3"/>
  <c r="N521" i="3"/>
  <c r="L521" i="3"/>
  <c r="K512" i="2"/>
  <c r="M516" i="2"/>
  <c r="M521" i="2"/>
  <c r="J539" i="3"/>
  <c r="K528" i="2"/>
  <c r="M532" i="2"/>
  <c r="O550" i="3"/>
  <c r="N550" i="3"/>
  <c r="M550" i="3"/>
  <c r="L550" i="3"/>
  <c r="K541" i="2"/>
  <c r="M545" i="2"/>
  <c r="J563" i="3"/>
  <c r="K552" i="2"/>
  <c r="M556" i="2"/>
  <c r="O574" i="3"/>
  <c r="N574" i="3"/>
  <c r="M574" i="3"/>
  <c r="L574" i="3"/>
  <c r="K565" i="2"/>
  <c r="M569" i="2"/>
  <c r="J587" i="3"/>
  <c r="K576" i="2"/>
  <c r="M580" i="2"/>
  <c r="O598" i="3"/>
  <c r="N598" i="3"/>
  <c r="M598" i="3"/>
  <c r="L598" i="3"/>
  <c r="K589" i="2"/>
  <c r="L591" i="2"/>
  <c r="M593" i="2"/>
  <c r="J611" i="3"/>
  <c r="K600" i="2"/>
  <c r="M604" i="2"/>
  <c r="J635" i="3"/>
  <c r="K624" i="2"/>
  <c r="M628" i="2"/>
  <c r="J659" i="3"/>
  <c r="K648" i="2"/>
  <c r="M652" i="2"/>
  <c r="O702" i="3"/>
  <c r="L702" i="3"/>
  <c r="N702" i="3"/>
  <c r="M702" i="3"/>
  <c r="K670" i="2"/>
  <c r="K695" i="2"/>
  <c r="M749" i="3"/>
  <c r="N749" i="3"/>
  <c r="O749" i="3"/>
  <c r="L749" i="3"/>
  <c r="M720" i="2"/>
  <c r="J765" i="3"/>
  <c r="K728" i="2"/>
  <c r="L730" i="2"/>
  <c r="L746" i="2"/>
  <c r="J786" i="3"/>
  <c r="L749" i="2"/>
  <c r="J800" i="3"/>
  <c r="L763" i="2"/>
  <c r="K765" i="2"/>
  <c r="J824" i="3"/>
  <c r="L787" i="2"/>
  <c r="L816" i="2"/>
  <c r="L822" i="2"/>
  <c r="L828" i="2"/>
  <c r="O127" i="3"/>
  <c r="N127" i="3"/>
  <c r="M127" i="3"/>
  <c r="L127" i="3"/>
  <c r="N129" i="3"/>
  <c r="M129" i="3"/>
  <c r="L129" i="3"/>
  <c r="O129" i="3"/>
  <c r="K120" i="2"/>
  <c r="K122" i="2"/>
  <c r="O140" i="3"/>
  <c r="N140" i="3"/>
  <c r="M140" i="3"/>
  <c r="L140" i="3"/>
  <c r="O142" i="3"/>
  <c r="N142" i="3"/>
  <c r="M142" i="3"/>
  <c r="L142" i="3"/>
  <c r="P142" i="3" s="1"/>
  <c r="N144" i="3"/>
  <c r="M144" i="3"/>
  <c r="L144" i="3"/>
  <c r="O144" i="3"/>
  <c r="O146" i="3"/>
  <c r="N146" i="3"/>
  <c r="M146" i="3"/>
  <c r="L146" i="3"/>
  <c r="O148" i="3"/>
  <c r="N148" i="3"/>
  <c r="M148" i="3"/>
  <c r="L148" i="3"/>
  <c r="N150" i="3"/>
  <c r="M150" i="3"/>
  <c r="L150" i="3"/>
  <c r="O150" i="3"/>
  <c r="O152" i="3"/>
  <c r="N152" i="3"/>
  <c r="M152" i="3"/>
  <c r="L152" i="3"/>
  <c r="O154" i="3"/>
  <c r="N154" i="3"/>
  <c r="L154" i="3"/>
  <c r="O156" i="3"/>
  <c r="N156" i="3"/>
  <c r="M156" i="3"/>
  <c r="L156" i="3"/>
  <c r="O158" i="3"/>
  <c r="N158" i="3"/>
  <c r="M158" i="3"/>
  <c r="L158" i="3"/>
  <c r="L160" i="3"/>
  <c r="O160" i="3"/>
  <c r="N160" i="3"/>
  <c r="O162" i="3"/>
  <c r="N162" i="3"/>
  <c r="M162" i="3"/>
  <c r="L162" i="3"/>
  <c r="P162" i="3" s="1"/>
  <c r="O164" i="3"/>
  <c r="N164" i="3"/>
  <c r="M164" i="3"/>
  <c r="L164" i="3"/>
  <c r="O166" i="3"/>
  <c r="N166" i="3"/>
  <c r="M166" i="3"/>
  <c r="L166" i="3"/>
  <c r="O168" i="3"/>
  <c r="N168" i="3"/>
  <c r="M168" i="3"/>
  <c r="L168" i="3"/>
  <c r="P168" i="3" s="1"/>
  <c r="O170" i="3"/>
  <c r="N170" i="3"/>
  <c r="M170" i="3"/>
  <c r="L170" i="3"/>
  <c r="O172" i="3"/>
  <c r="N172" i="3"/>
  <c r="M172" i="3"/>
  <c r="L172" i="3"/>
  <c r="O174" i="3"/>
  <c r="N174" i="3"/>
  <c r="M174" i="3"/>
  <c r="L174" i="3"/>
  <c r="P174" i="3" s="1"/>
  <c r="O176" i="3"/>
  <c r="N176" i="3"/>
  <c r="M176" i="3"/>
  <c r="L176" i="3"/>
  <c r="O178" i="3"/>
  <c r="N178" i="3"/>
  <c r="M178" i="3"/>
  <c r="L178" i="3"/>
  <c r="O180" i="3"/>
  <c r="N180" i="3"/>
  <c r="M180" i="3"/>
  <c r="L180" i="3"/>
  <c r="P180" i="3" s="1"/>
  <c r="O182" i="3"/>
  <c r="N182" i="3"/>
  <c r="M182" i="3"/>
  <c r="L182" i="3"/>
  <c r="O184" i="3"/>
  <c r="N184" i="3"/>
  <c r="M184" i="3"/>
  <c r="L184" i="3"/>
  <c r="O186" i="3"/>
  <c r="N186" i="3"/>
  <c r="M186" i="3"/>
  <c r="L186" i="3"/>
  <c r="O188" i="3"/>
  <c r="N188" i="3"/>
  <c r="M188" i="3"/>
  <c r="L188" i="3"/>
  <c r="O190" i="3"/>
  <c r="N190" i="3"/>
  <c r="M190" i="3"/>
  <c r="L190" i="3"/>
  <c r="O192" i="3"/>
  <c r="N192" i="3"/>
  <c r="M192" i="3"/>
  <c r="L192" i="3"/>
  <c r="M194" i="3"/>
  <c r="O194" i="3"/>
  <c r="N194" i="3"/>
  <c r="L194" i="3"/>
  <c r="O196" i="3"/>
  <c r="N196" i="3"/>
  <c r="M196" i="3"/>
  <c r="L196" i="3"/>
  <c r="O198" i="3"/>
  <c r="N198" i="3"/>
  <c r="M198" i="3"/>
  <c r="L198" i="3"/>
  <c r="M200" i="3"/>
  <c r="O200" i="3"/>
  <c r="N200" i="3"/>
  <c r="L200" i="3"/>
  <c r="O202" i="3"/>
  <c r="N202" i="3"/>
  <c r="M202" i="3"/>
  <c r="L202" i="3"/>
  <c r="O204" i="3"/>
  <c r="N204" i="3"/>
  <c r="M204" i="3"/>
  <c r="L204" i="3"/>
  <c r="M206" i="3"/>
  <c r="L206" i="3"/>
  <c r="O206" i="3"/>
  <c r="N206" i="3"/>
  <c r="O208" i="3"/>
  <c r="N208" i="3"/>
  <c r="M208" i="3"/>
  <c r="L208" i="3"/>
  <c r="O210" i="3"/>
  <c r="N210" i="3"/>
  <c r="M210" i="3"/>
  <c r="L210" i="3"/>
  <c r="P210" i="3" s="1"/>
  <c r="M212" i="3"/>
  <c r="L212" i="3"/>
  <c r="O212" i="3"/>
  <c r="N212" i="3"/>
  <c r="O214" i="3"/>
  <c r="N214" i="3"/>
  <c r="M214" i="3"/>
  <c r="L214" i="3"/>
  <c r="O216" i="3"/>
  <c r="N216" i="3"/>
  <c r="M216" i="3"/>
  <c r="L216" i="3"/>
  <c r="M218" i="3"/>
  <c r="L218" i="3"/>
  <c r="O218" i="3"/>
  <c r="N218" i="3"/>
  <c r="O220" i="3"/>
  <c r="N220" i="3"/>
  <c r="M220" i="3"/>
  <c r="L220" i="3"/>
  <c r="P220" i="3" s="1"/>
  <c r="O222" i="3"/>
  <c r="N222" i="3"/>
  <c r="M222" i="3"/>
  <c r="L222" i="3"/>
  <c r="M224" i="3"/>
  <c r="L224" i="3"/>
  <c r="O224" i="3"/>
  <c r="N224" i="3"/>
  <c r="O226" i="3"/>
  <c r="N226" i="3"/>
  <c r="M226" i="3"/>
  <c r="L226" i="3"/>
  <c r="P226" i="3" s="1"/>
  <c r="O228" i="3"/>
  <c r="N228" i="3"/>
  <c r="M228" i="3"/>
  <c r="L228" i="3"/>
  <c r="M230" i="3"/>
  <c r="L230" i="3"/>
  <c r="O230" i="3"/>
  <c r="N230" i="3"/>
  <c r="O232" i="3"/>
  <c r="N232" i="3"/>
  <c r="M232" i="3"/>
  <c r="L232" i="3"/>
  <c r="O234" i="3"/>
  <c r="N234" i="3"/>
  <c r="M234" i="3"/>
  <c r="L234" i="3"/>
  <c r="M236" i="3"/>
  <c r="L236" i="3"/>
  <c r="P236" i="3" s="1"/>
  <c r="O236" i="3"/>
  <c r="N236" i="3"/>
  <c r="O238" i="3"/>
  <c r="N238" i="3"/>
  <c r="M238" i="3"/>
  <c r="L238" i="3"/>
  <c r="O240" i="3"/>
  <c r="N240" i="3"/>
  <c r="M240" i="3"/>
  <c r="L240" i="3"/>
  <c r="M242" i="3"/>
  <c r="L242" i="3"/>
  <c r="P242" i="3" s="1"/>
  <c r="O242" i="3"/>
  <c r="N242" i="3"/>
  <c r="O244" i="3"/>
  <c r="N244" i="3"/>
  <c r="M244" i="3"/>
  <c r="L244" i="3"/>
  <c r="O246" i="3"/>
  <c r="N246" i="3"/>
  <c r="M246" i="3"/>
  <c r="L246" i="3"/>
  <c r="M248" i="3"/>
  <c r="L248" i="3"/>
  <c r="P248" i="3" s="1"/>
  <c r="O248" i="3"/>
  <c r="N248" i="3"/>
  <c r="O250" i="3"/>
  <c r="N250" i="3"/>
  <c r="M250" i="3"/>
  <c r="L250" i="3"/>
  <c r="O252" i="3"/>
  <c r="N252" i="3"/>
  <c r="M252" i="3"/>
  <c r="L252" i="3"/>
  <c r="M254" i="3"/>
  <c r="L254" i="3"/>
  <c r="P254" i="3" s="1"/>
  <c r="O254" i="3"/>
  <c r="N254" i="3"/>
  <c r="O256" i="3"/>
  <c r="N256" i="3"/>
  <c r="M256" i="3"/>
  <c r="L256" i="3"/>
  <c r="P256" i="3" s="1"/>
  <c r="O258" i="3"/>
  <c r="N258" i="3"/>
  <c r="M258" i="3"/>
  <c r="L258" i="3"/>
  <c r="M260" i="3"/>
  <c r="L260" i="3"/>
  <c r="O260" i="3"/>
  <c r="N260" i="3"/>
  <c r="O262" i="3"/>
  <c r="N262" i="3"/>
  <c r="M262" i="3"/>
  <c r="L262" i="3"/>
  <c r="O264" i="3"/>
  <c r="N264" i="3"/>
  <c r="M264" i="3"/>
  <c r="L264" i="3"/>
  <c r="P264" i="3" s="1"/>
  <c r="M266" i="3"/>
  <c r="L266" i="3"/>
  <c r="O266" i="3"/>
  <c r="N266" i="3"/>
  <c r="O268" i="3"/>
  <c r="N268" i="3"/>
  <c r="M268" i="3"/>
  <c r="L268" i="3"/>
  <c r="O270" i="3"/>
  <c r="N270" i="3"/>
  <c r="M270" i="3"/>
  <c r="L270" i="3"/>
  <c r="M272" i="3"/>
  <c r="L272" i="3"/>
  <c r="O272" i="3"/>
  <c r="N272" i="3"/>
  <c r="O274" i="3"/>
  <c r="N274" i="3"/>
  <c r="M274" i="3"/>
  <c r="L274" i="3"/>
  <c r="K265" i="2"/>
  <c r="O322" i="3"/>
  <c r="N322" i="3"/>
  <c r="M322" i="3"/>
  <c r="L322" i="3"/>
  <c r="O335" i="3"/>
  <c r="M335" i="3"/>
  <c r="N335" i="3"/>
  <c r="L335" i="3"/>
  <c r="M333" i="2"/>
  <c r="O351" i="3"/>
  <c r="M351" i="3"/>
  <c r="N351" i="3"/>
  <c r="L351" i="3"/>
  <c r="J364" i="3"/>
  <c r="M353" i="2"/>
  <c r="O375" i="3"/>
  <c r="M375" i="3"/>
  <c r="N375" i="3"/>
  <c r="L375" i="3"/>
  <c r="M370" i="2"/>
  <c r="J388" i="3"/>
  <c r="M377" i="2"/>
  <c r="O399" i="3"/>
  <c r="M399" i="3"/>
  <c r="N399" i="3"/>
  <c r="L399" i="3"/>
  <c r="P399" i="3" s="1"/>
  <c r="M394" i="2"/>
  <c r="J412" i="3"/>
  <c r="M401" i="2"/>
  <c r="O423" i="3"/>
  <c r="M423" i="3"/>
  <c r="N423" i="3"/>
  <c r="L423" i="3"/>
  <c r="M418" i="2"/>
  <c r="J436" i="3"/>
  <c r="M425" i="2"/>
  <c r="O447" i="3"/>
  <c r="M447" i="3"/>
  <c r="N447" i="3"/>
  <c r="L447" i="3"/>
  <c r="M442" i="2"/>
  <c r="J460" i="3"/>
  <c r="M449" i="2"/>
  <c r="O471" i="3"/>
  <c r="M471" i="3"/>
  <c r="N471" i="3"/>
  <c r="L471" i="3"/>
  <c r="M466" i="2"/>
  <c r="J484" i="3"/>
  <c r="M473" i="2"/>
  <c r="O495" i="3"/>
  <c r="M495" i="3"/>
  <c r="N495" i="3"/>
  <c r="L495" i="3"/>
  <c r="M490" i="2"/>
  <c r="J508" i="3"/>
  <c r="M497" i="2"/>
  <c r="O519" i="3"/>
  <c r="N519" i="3"/>
  <c r="M519" i="3"/>
  <c r="L519" i="3"/>
  <c r="M514" i="2"/>
  <c r="M519" i="2"/>
  <c r="J537" i="3"/>
  <c r="K526" i="2"/>
  <c r="M530" i="2"/>
  <c r="M548" i="3"/>
  <c r="O548" i="3"/>
  <c r="N548" i="3"/>
  <c r="L548" i="3"/>
  <c r="K539" i="2"/>
  <c r="M543" i="2"/>
  <c r="J561" i="3"/>
  <c r="K550" i="2"/>
  <c r="M554" i="2"/>
  <c r="M572" i="3"/>
  <c r="O572" i="3"/>
  <c r="N572" i="3"/>
  <c r="L572" i="3"/>
  <c r="P572" i="3" s="1"/>
  <c r="K563" i="2"/>
  <c r="M567" i="2"/>
  <c r="J585" i="3"/>
  <c r="K574" i="2"/>
  <c r="M578" i="2"/>
  <c r="M596" i="3"/>
  <c r="L596" i="3"/>
  <c r="P596" i="3" s="1"/>
  <c r="O596" i="3"/>
  <c r="N596" i="3"/>
  <c r="K587" i="2"/>
  <c r="L589" i="2"/>
  <c r="M591" i="2"/>
  <c r="J609" i="3"/>
  <c r="K598" i="2"/>
  <c r="M602" i="2"/>
  <c r="J633" i="3"/>
  <c r="K622" i="2"/>
  <c r="M626" i="2"/>
  <c r="J657" i="3"/>
  <c r="K646" i="2"/>
  <c r="M650" i="2"/>
  <c r="K665" i="2"/>
  <c r="J713" i="3"/>
  <c r="K676" i="2"/>
  <c r="M716" i="3"/>
  <c r="O716" i="3"/>
  <c r="L716" i="3"/>
  <c r="N716" i="3"/>
  <c r="O724" i="3"/>
  <c r="L724" i="3"/>
  <c r="P724" i="3" s="1"/>
  <c r="M724" i="3"/>
  <c r="N724" i="3"/>
  <c r="N727" i="3"/>
  <c r="O727" i="3"/>
  <c r="M727" i="3"/>
  <c r="L727" i="3"/>
  <c r="K712" i="2"/>
  <c r="M755" i="3"/>
  <c r="O755" i="3"/>
  <c r="N755" i="3"/>
  <c r="L755" i="3"/>
  <c r="J763" i="3"/>
  <c r="K726" i="2"/>
  <c r="L728" i="2"/>
  <c r="N781" i="3"/>
  <c r="O781" i="3"/>
  <c r="M781" i="3"/>
  <c r="L781" i="3"/>
  <c r="K749" i="2"/>
  <c r="J798" i="3"/>
  <c r="L761" i="2"/>
  <c r="K763" i="2"/>
  <c r="J822" i="3"/>
  <c r="L785" i="2"/>
  <c r="K787" i="2"/>
  <c r="O706" i="3"/>
  <c r="N706" i="3"/>
  <c r="L706" i="3"/>
  <c r="M706" i="3"/>
  <c r="N718" i="3"/>
  <c r="O718" i="3"/>
  <c r="M718" i="3"/>
  <c r="L718" i="3"/>
  <c r="M730" i="3"/>
  <c r="O730" i="3"/>
  <c r="N730" i="3"/>
  <c r="L730" i="3"/>
  <c r="O747" i="3"/>
  <c r="L747" i="3"/>
  <c r="N747" i="3"/>
  <c r="M747" i="3"/>
  <c r="O759" i="3"/>
  <c r="N759" i="3"/>
  <c r="M759" i="3"/>
  <c r="L759" i="3"/>
  <c r="M776" i="3"/>
  <c r="N776" i="3"/>
  <c r="O776" i="3"/>
  <c r="L776" i="3"/>
  <c r="L778" i="3"/>
  <c r="O778" i="3"/>
  <c r="N778" i="3"/>
  <c r="M778" i="3"/>
  <c r="O789" i="3"/>
  <c r="N789" i="3"/>
  <c r="M789" i="3"/>
  <c r="L789" i="3"/>
  <c r="M791" i="3"/>
  <c r="L791" i="3"/>
  <c r="O791" i="3"/>
  <c r="N791" i="3"/>
  <c r="L793" i="3"/>
  <c r="N793" i="3"/>
  <c r="O793" i="3"/>
  <c r="M793" i="3"/>
  <c r="O795" i="3"/>
  <c r="L795" i="3"/>
  <c r="N795" i="3"/>
  <c r="M795" i="3"/>
  <c r="M797" i="3"/>
  <c r="O797" i="3"/>
  <c r="N797" i="3"/>
  <c r="L797" i="3"/>
  <c r="O799" i="3"/>
  <c r="N799" i="3"/>
  <c r="L799" i="3"/>
  <c r="M799" i="3"/>
  <c r="O801" i="3"/>
  <c r="M801" i="3"/>
  <c r="N801" i="3"/>
  <c r="L801" i="3"/>
  <c r="M803" i="3"/>
  <c r="L803" i="3"/>
  <c r="O803" i="3"/>
  <c r="N803" i="3"/>
  <c r="M805" i="3"/>
  <c r="L805" i="3"/>
  <c r="O805" i="3"/>
  <c r="N805" i="3"/>
  <c r="O807" i="3"/>
  <c r="N807" i="3"/>
  <c r="M807" i="3"/>
  <c r="L807" i="3"/>
  <c r="P807" i="3" s="1"/>
  <c r="M809" i="3"/>
  <c r="O809" i="3"/>
  <c r="L809" i="3"/>
  <c r="N809" i="3"/>
  <c r="N811" i="3"/>
  <c r="O811" i="3"/>
  <c r="M811" i="3"/>
  <c r="L811" i="3"/>
  <c r="L813" i="3"/>
  <c r="O813" i="3"/>
  <c r="N813" i="3"/>
  <c r="M813" i="3"/>
  <c r="O815" i="3"/>
  <c r="M815" i="3"/>
  <c r="N815" i="3"/>
  <c r="L815" i="3"/>
  <c r="M817" i="3"/>
  <c r="O817" i="3"/>
  <c r="L817" i="3"/>
  <c r="N817" i="3"/>
  <c r="N819" i="3"/>
  <c r="M819" i="3"/>
  <c r="O819" i="3"/>
  <c r="L819" i="3"/>
  <c r="O821" i="3"/>
  <c r="L821" i="3"/>
  <c r="P821" i="3" s="1"/>
  <c r="N821" i="3"/>
  <c r="M821" i="3"/>
  <c r="M823" i="3"/>
  <c r="L823" i="3"/>
  <c r="N823" i="3"/>
  <c r="O823" i="3"/>
  <c r="L811" i="2"/>
  <c r="L813" i="2"/>
  <c r="L815" i="2"/>
  <c r="L817" i="2"/>
  <c r="L819" i="2"/>
  <c r="L821" i="2"/>
  <c r="L823" i="2"/>
  <c r="L825" i="2"/>
  <c r="L827" i="2"/>
  <c r="L829" i="2"/>
  <c r="L831" i="2"/>
  <c r="L833" i="2"/>
  <c r="L835" i="2"/>
  <c r="L837" i="2"/>
  <c r="L839" i="2"/>
  <c r="L841" i="2"/>
  <c r="L843" i="2"/>
  <c r="L845" i="2"/>
  <c r="L847" i="2"/>
  <c r="L849" i="2"/>
  <c r="L851" i="2"/>
  <c r="L853" i="2"/>
  <c r="L855" i="2"/>
  <c r="L857" i="2"/>
  <c r="L859" i="2"/>
  <c r="L861" i="2"/>
  <c r="L863" i="2"/>
  <c r="L865" i="2"/>
  <c r="L867" i="2"/>
  <c r="L869" i="2"/>
  <c r="L871" i="2"/>
  <c r="L873" i="2"/>
  <c r="L875" i="2"/>
  <c r="L877" i="2"/>
  <c r="L879" i="2"/>
  <c r="L881" i="2"/>
  <c r="L883" i="2"/>
  <c r="L885" i="2"/>
  <c r="L887" i="2"/>
  <c r="L889" i="2"/>
  <c r="L891" i="2"/>
  <c r="L893" i="2"/>
  <c r="L895" i="2"/>
  <c r="L897" i="2"/>
  <c r="L899" i="2"/>
  <c r="L901" i="2"/>
  <c r="L903" i="2"/>
  <c r="L905" i="2"/>
  <c r="L907" i="2"/>
  <c r="L909" i="2"/>
  <c r="L911" i="2"/>
  <c r="L913" i="2"/>
  <c r="O1006" i="3"/>
  <c r="L1006" i="3"/>
  <c r="N1006" i="3"/>
  <c r="M1006" i="3"/>
  <c r="M1008" i="3"/>
  <c r="O1008" i="3"/>
  <c r="N1008" i="3"/>
  <c r="L1008" i="3"/>
  <c r="L1010" i="3"/>
  <c r="P1010" i="3" s="1"/>
  <c r="O1010" i="3"/>
  <c r="N1010" i="3"/>
  <c r="M1010" i="3"/>
  <c r="O1012" i="3"/>
  <c r="M1012" i="3"/>
  <c r="N1012" i="3"/>
  <c r="L1012" i="3"/>
  <c r="P1012" i="3" s="1"/>
  <c r="N1014" i="3"/>
  <c r="L1014" i="3"/>
  <c r="O1014" i="3"/>
  <c r="L1016" i="3"/>
  <c r="O1016" i="3"/>
  <c r="N1016" i="3"/>
  <c r="O1018" i="3"/>
  <c r="N1018" i="3"/>
  <c r="M1018" i="3"/>
  <c r="L1018" i="3"/>
  <c r="L1020" i="3"/>
  <c r="P1020" i="3" s="1"/>
  <c r="O1020" i="3"/>
  <c r="N1020" i="3"/>
  <c r="M1020" i="3"/>
  <c r="L1023" i="3"/>
  <c r="O1023" i="3"/>
  <c r="N1023" i="3"/>
  <c r="M1023" i="3"/>
  <c r="N1025" i="3"/>
  <c r="O1025" i="3"/>
  <c r="M1025" i="3"/>
  <c r="L1025" i="3"/>
  <c r="N1027" i="3"/>
  <c r="O1027" i="3"/>
  <c r="M1027" i="3"/>
  <c r="L1027" i="3"/>
  <c r="O1029" i="3"/>
  <c r="N1029" i="3"/>
  <c r="M1029" i="3"/>
  <c r="L1029" i="3"/>
  <c r="O1031" i="3"/>
  <c r="N1031" i="3"/>
  <c r="L1031" i="3"/>
  <c r="M1034" i="3"/>
  <c r="O1034" i="3"/>
  <c r="N1034" i="3"/>
  <c r="L1034" i="3"/>
  <c r="P1034" i="3" s="1"/>
  <c r="L1037" i="3"/>
  <c r="O1037" i="3"/>
  <c r="N1037" i="3"/>
  <c r="M1037" i="3"/>
  <c r="L1040" i="3"/>
  <c r="N1040" i="3"/>
  <c r="O1040" i="3"/>
  <c r="M1040" i="3"/>
  <c r="O1042" i="3"/>
  <c r="N1042" i="3"/>
  <c r="M1042" i="3"/>
  <c r="L1042" i="3"/>
  <c r="P1042" i="3" s="1"/>
  <c r="N1044" i="3"/>
  <c r="O1044" i="3"/>
  <c r="M1044" i="3"/>
  <c r="L1044" i="3"/>
  <c r="L1046" i="3"/>
  <c r="P1046" i="3" s="1"/>
  <c r="O1046" i="3"/>
  <c r="N1046" i="3"/>
  <c r="M1046" i="3"/>
  <c r="O1048" i="3"/>
  <c r="N1048" i="3"/>
  <c r="M1048" i="3"/>
  <c r="L1048" i="3"/>
  <c r="J1051" i="3"/>
  <c r="L956" i="2"/>
  <c r="J1066" i="3"/>
  <c r="L968" i="2"/>
  <c r="K975" i="2"/>
  <c r="J1080" i="3"/>
  <c r="L980" i="2"/>
  <c r="J1194" i="3"/>
  <c r="K1020" i="2"/>
  <c r="J1201" i="3"/>
  <c r="K1027" i="2"/>
  <c r="K1036" i="2"/>
  <c r="J1274" i="3"/>
  <c r="L1100" i="2"/>
  <c r="K1100" i="2"/>
  <c r="J1280" i="3"/>
  <c r="L1106" i="2"/>
  <c r="K1106" i="2"/>
  <c r="J1286" i="3"/>
  <c r="L1112" i="2"/>
  <c r="K1112" i="2"/>
  <c r="J1292" i="3"/>
  <c r="L1118" i="2"/>
  <c r="K1118" i="2"/>
  <c r="J1298" i="3"/>
  <c r="L1124" i="2"/>
  <c r="K1124" i="2"/>
  <c r="J1304" i="3"/>
  <c r="L1130" i="2"/>
  <c r="K1130" i="2"/>
  <c r="J1310" i="3"/>
  <c r="L1136" i="2"/>
  <c r="K1136" i="2"/>
  <c r="J1316" i="3"/>
  <c r="L1142" i="2"/>
  <c r="K1142" i="2"/>
  <c r="J1322" i="3"/>
  <c r="L1148" i="2"/>
  <c r="K1148" i="2"/>
  <c r="J1328" i="3"/>
  <c r="L1154" i="2"/>
  <c r="K1154" i="2"/>
  <c r="M1238" i="2"/>
  <c r="M1244" i="2"/>
  <c r="M1250" i="2"/>
  <c r="M1256" i="2"/>
  <c r="M1262" i="2"/>
  <c r="M1268" i="2"/>
  <c r="M1274" i="2"/>
  <c r="M1280" i="2"/>
  <c r="M1292" i="2"/>
  <c r="M1298" i="2"/>
  <c r="M1304" i="2"/>
  <c r="M1310" i="2"/>
  <c r="M1316" i="2"/>
  <c r="M1322" i="2"/>
  <c r="L614" i="3"/>
  <c r="O614" i="3"/>
  <c r="N614" i="3"/>
  <c r="M614" i="3"/>
  <c r="O616" i="3"/>
  <c r="N616" i="3"/>
  <c r="M616" i="3"/>
  <c r="L616" i="3"/>
  <c r="O618" i="3"/>
  <c r="N618" i="3"/>
  <c r="M618" i="3"/>
  <c r="L618" i="3"/>
  <c r="L620" i="3"/>
  <c r="O620" i="3"/>
  <c r="N620" i="3"/>
  <c r="M620" i="3"/>
  <c r="O622" i="3"/>
  <c r="N622" i="3"/>
  <c r="M622" i="3"/>
  <c r="L622" i="3"/>
  <c r="O624" i="3"/>
  <c r="N624" i="3"/>
  <c r="M624" i="3"/>
  <c r="L624" i="3"/>
  <c r="O626" i="3"/>
  <c r="N626" i="3"/>
  <c r="M626" i="3"/>
  <c r="L626" i="3"/>
  <c r="L628" i="3"/>
  <c r="O628" i="3"/>
  <c r="N628" i="3"/>
  <c r="M628" i="3"/>
  <c r="O630" i="3"/>
  <c r="N630" i="3"/>
  <c r="M630" i="3"/>
  <c r="L630" i="3"/>
  <c r="O632" i="3"/>
  <c r="M632" i="3"/>
  <c r="L632" i="3"/>
  <c r="N632" i="3"/>
  <c r="L634" i="3"/>
  <c r="P634" i="3" s="1"/>
  <c r="O634" i="3"/>
  <c r="N634" i="3"/>
  <c r="M634" i="3"/>
  <c r="O636" i="3"/>
  <c r="N636" i="3"/>
  <c r="M636" i="3"/>
  <c r="L636" i="3"/>
  <c r="P636" i="3" s="1"/>
  <c r="O638" i="3"/>
  <c r="N638" i="3"/>
  <c r="M638" i="3"/>
  <c r="L638" i="3"/>
  <c r="L640" i="3"/>
  <c r="P640" i="3" s="1"/>
  <c r="O640" i="3"/>
  <c r="N640" i="3"/>
  <c r="M640" i="3"/>
  <c r="N642" i="3"/>
  <c r="L642" i="3"/>
  <c r="P642" i="3" s="1"/>
  <c r="O642" i="3"/>
  <c r="M642" i="3"/>
  <c r="O644" i="3"/>
  <c r="N644" i="3"/>
  <c r="M644" i="3"/>
  <c r="L644" i="3"/>
  <c r="O646" i="3"/>
  <c r="N646" i="3"/>
  <c r="M646" i="3"/>
  <c r="L646" i="3"/>
  <c r="N648" i="3"/>
  <c r="O648" i="3"/>
  <c r="M648" i="3"/>
  <c r="L648" i="3"/>
  <c r="N650" i="3"/>
  <c r="O650" i="3"/>
  <c r="M650" i="3"/>
  <c r="L650" i="3"/>
  <c r="N652" i="3"/>
  <c r="O652" i="3"/>
  <c r="M652" i="3"/>
  <c r="L652" i="3"/>
  <c r="P652" i="3" s="1"/>
  <c r="N654" i="3"/>
  <c r="L654" i="3"/>
  <c r="M654" i="3"/>
  <c r="O654" i="3"/>
  <c r="O656" i="3"/>
  <c r="M656" i="3"/>
  <c r="N656" i="3"/>
  <c r="L656" i="3"/>
  <c r="O658" i="3"/>
  <c r="N658" i="3"/>
  <c r="M658" i="3"/>
  <c r="L658" i="3"/>
  <c r="N660" i="3"/>
  <c r="O660" i="3"/>
  <c r="L660" i="3"/>
  <c r="P660" i="3" s="1"/>
  <c r="M660" i="3"/>
  <c r="O662" i="3"/>
  <c r="N662" i="3"/>
  <c r="M662" i="3"/>
  <c r="L662" i="3"/>
  <c r="N664" i="3"/>
  <c r="M664" i="3"/>
  <c r="O664" i="3"/>
  <c r="L664" i="3"/>
  <c r="N666" i="3"/>
  <c r="M666" i="3"/>
  <c r="O666" i="3"/>
  <c r="L666" i="3"/>
  <c r="L668" i="3"/>
  <c r="N668" i="3"/>
  <c r="O668" i="3"/>
  <c r="M668" i="3"/>
  <c r="N670" i="3"/>
  <c r="O670" i="3"/>
  <c r="M670" i="3"/>
  <c r="L670" i="3"/>
  <c r="P670" i="3" s="1"/>
  <c r="O699" i="3"/>
  <c r="M699" i="3"/>
  <c r="L699" i="3"/>
  <c r="N699" i="3"/>
  <c r="O711" i="3"/>
  <c r="L711" i="3"/>
  <c r="P711" i="3" s="1"/>
  <c r="N711" i="3"/>
  <c r="M711" i="3"/>
  <c r="O723" i="3"/>
  <c r="N723" i="3"/>
  <c r="M723" i="3"/>
  <c r="L723" i="3"/>
  <c r="O735" i="3"/>
  <c r="M735" i="3"/>
  <c r="L735" i="3"/>
  <c r="N735" i="3"/>
  <c r="M740" i="3"/>
  <c r="N740" i="3"/>
  <c r="O740" i="3"/>
  <c r="L740" i="3"/>
  <c r="M752" i="3"/>
  <c r="O752" i="3"/>
  <c r="L752" i="3"/>
  <c r="N752" i="3"/>
  <c r="O762" i="3"/>
  <c r="N762" i="3"/>
  <c r="M762" i="3"/>
  <c r="L762" i="3"/>
  <c r="M764" i="3"/>
  <c r="O764" i="3"/>
  <c r="L764" i="3"/>
  <c r="P764" i="3" s="1"/>
  <c r="N764" i="3"/>
  <c r="N766" i="3"/>
  <c r="O766" i="3"/>
  <c r="M766" i="3"/>
  <c r="L766" i="3"/>
  <c r="O768" i="3"/>
  <c r="L768" i="3"/>
  <c r="N768" i="3"/>
  <c r="M768" i="3"/>
  <c r="M770" i="3"/>
  <c r="N770" i="3"/>
  <c r="L770" i="3"/>
  <c r="P770" i="3" s="1"/>
  <c r="O770" i="3"/>
  <c r="O772" i="3"/>
  <c r="L772" i="3"/>
  <c r="N772" i="3"/>
  <c r="M772" i="3"/>
  <c r="O774" i="3"/>
  <c r="M774" i="3"/>
  <c r="L774" i="3"/>
  <c r="P774" i="3" s="1"/>
  <c r="N774" i="3"/>
  <c r="J1058" i="3"/>
  <c r="L961" i="2"/>
  <c r="J1072" i="3"/>
  <c r="L973" i="2"/>
  <c r="M1024" i="2"/>
  <c r="J1205" i="3"/>
  <c r="L1031" i="2"/>
  <c r="K1031" i="2"/>
  <c r="M1095" i="2"/>
  <c r="M1101" i="2"/>
  <c r="M1107" i="2"/>
  <c r="M1113" i="2"/>
  <c r="M1119" i="2"/>
  <c r="M1125" i="2"/>
  <c r="M1131" i="2"/>
  <c r="M1137" i="2"/>
  <c r="M1143" i="2"/>
  <c r="M1149" i="2"/>
  <c r="J1412" i="3"/>
  <c r="L1238" i="2"/>
  <c r="K1238" i="2"/>
  <c r="J1418" i="3"/>
  <c r="L1244" i="2"/>
  <c r="K1244" i="2"/>
  <c r="J1424" i="3"/>
  <c r="L1250" i="2"/>
  <c r="K1250" i="2"/>
  <c r="J1430" i="3"/>
  <c r="L1256" i="2"/>
  <c r="K1256" i="2"/>
  <c r="J1436" i="3"/>
  <c r="L1262" i="2"/>
  <c r="K1262" i="2"/>
  <c r="J1442" i="3"/>
  <c r="L1268" i="2"/>
  <c r="K1268" i="2"/>
  <c r="J1448" i="3"/>
  <c r="L1274" i="2"/>
  <c r="K1274" i="2"/>
  <c r="J1454" i="3"/>
  <c r="L1280" i="2"/>
  <c r="K1280" i="2"/>
  <c r="J1460" i="3"/>
  <c r="M1286" i="2"/>
  <c r="L1286" i="2"/>
  <c r="K1286" i="2"/>
  <c r="J1466" i="3"/>
  <c r="L1292" i="2"/>
  <c r="K1292" i="2"/>
  <c r="J1472" i="3"/>
  <c r="L1298" i="2"/>
  <c r="K1298" i="2"/>
  <c r="J1478" i="3"/>
  <c r="L1304" i="2"/>
  <c r="K1304" i="2"/>
  <c r="J1484" i="3"/>
  <c r="L1310" i="2"/>
  <c r="K1310" i="2"/>
  <c r="J1490" i="3"/>
  <c r="L1316" i="2"/>
  <c r="K1316" i="2"/>
  <c r="J1496" i="3"/>
  <c r="L1322" i="2"/>
  <c r="K1322" i="2"/>
  <c r="M826" i="3"/>
  <c r="O826" i="3"/>
  <c r="L826" i="3"/>
  <c r="N826" i="3"/>
  <c r="M828" i="3"/>
  <c r="L828" i="3"/>
  <c r="O828" i="3"/>
  <c r="N828" i="3"/>
  <c r="O830" i="3"/>
  <c r="L830" i="3"/>
  <c r="P830" i="3" s="1"/>
  <c r="N830" i="3"/>
  <c r="M830" i="3"/>
  <c r="M832" i="3"/>
  <c r="N832" i="3"/>
  <c r="O832" i="3"/>
  <c r="L832" i="3"/>
  <c r="O834" i="3"/>
  <c r="N834" i="3"/>
  <c r="M834" i="3"/>
  <c r="L834" i="3"/>
  <c r="O836" i="3"/>
  <c r="M836" i="3"/>
  <c r="N836" i="3"/>
  <c r="L836" i="3"/>
  <c r="M838" i="3"/>
  <c r="O838" i="3"/>
  <c r="N838" i="3"/>
  <c r="L838" i="3"/>
  <c r="M840" i="3"/>
  <c r="L840" i="3"/>
  <c r="O840" i="3"/>
  <c r="N840" i="3"/>
  <c r="O842" i="3"/>
  <c r="N842" i="3"/>
  <c r="L842" i="3"/>
  <c r="M842" i="3"/>
  <c r="M844" i="3"/>
  <c r="O844" i="3"/>
  <c r="N844" i="3"/>
  <c r="L844" i="3"/>
  <c r="P844" i="3" s="1"/>
  <c r="L846" i="3"/>
  <c r="N846" i="3"/>
  <c r="O846" i="3"/>
  <c r="M846" i="3"/>
  <c r="J1064" i="3"/>
  <c r="L966" i="2"/>
  <c r="J1078" i="3"/>
  <c r="L978" i="2"/>
  <c r="J1198" i="3"/>
  <c r="K1024" i="2"/>
  <c r="J1208" i="3"/>
  <c r="L1034" i="2"/>
  <c r="J1269" i="3"/>
  <c r="L1095" i="2"/>
  <c r="K1095" i="2"/>
  <c r="J1275" i="3"/>
  <c r="L1101" i="2"/>
  <c r="K1101" i="2"/>
  <c r="J1281" i="3"/>
  <c r="L1107" i="2"/>
  <c r="K1107" i="2"/>
  <c r="J1287" i="3"/>
  <c r="L1113" i="2"/>
  <c r="K1113" i="2"/>
  <c r="J1293" i="3"/>
  <c r="L1119" i="2"/>
  <c r="K1119" i="2"/>
  <c r="J1299" i="3"/>
  <c r="L1125" i="2"/>
  <c r="K1125" i="2"/>
  <c r="J1305" i="3"/>
  <c r="L1131" i="2"/>
  <c r="K1131" i="2"/>
  <c r="J1311" i="3"/>
  <c r="L1137" i="2"/>
  <c r="K1137" i="2"/>
  <c r="J1317" i="3"/>
  <c r="L1143" i="2"/>
  <c r="K1143" i="2"/>
  <c r="J1323" i="3"/>
  <c r="L1149" i="2"/>
  <c r="K1149" i="2"/>
  <c r="J1056" i="3"/>
  <c r="L959" i="2"/>
  <c r="J1070" i="3"/>
  <c r="L971" i="2"/>
  <c r="J1083" i="3"/>
  <c r="L983" i="2"/>
  <c r="J1195" i="3"/>
  <c r="K1021" i="2"/>
  <c r="M873" i="3"/>
  <c r="L873" i="3"/>
  <c r="O873" i="3"/>
  <c r="N873" i="3"/>
  <c r="O875" i="3"/>
  <c r="N875" i="3"/>
  <c r="M875" i="3"/>
  <c r="L875" i="3"/>
  <c r="M877" i="3"/>
  <c r="O877" i="3"/>
  <c r="L877" i="3"/>
  <c r="N877" i="3"/>
  <c r="M879" i="3"/>
  <c r="L879" i="3"/>
  <c r="O879" i="3"/>
  <c r="N879" i="3"/>
  <c r="O881" i="3"/>
  <c r="L881" i="3"/>
  <c r="P881" i="3" s="1"/>
  <c r="N881" i="3"/>
  <c r="M881" i="3"/>
  <c r="M883" i="3"/>
  <c r="L883" i="3"/>
  <c r="P883" i="3" s="1"/>
  <c r="N883" i="3"/>
  <c r="O883" i="3"/>
  <c r="O885" i="3"/>
  <c r="N885" i="3"/>
  <c r="M885" i="3"/>
  <c r="L885" i="3"/>
  <c r="O887" i="3"/>
  <c r="N887" i="3"/>
  <c r="M887" i="3"/>
  <c r="L887" i="3"/>
  <c r="M889" i="3"/>
  <c r="O889" i="3"/>
  <c r="N889" i="3"/>
  <c r="L889" i="3"/>
  <c r="M891" i="3"/>
  <c r="L891" i="3"/>
  <c r="O891" i="3"/>
  <c r="N891" i="3"/>
  <c r="O893" i="3"/>
  <c r="M893" i="3"/>
  <c r="N893" i="3"/>
  <c r="L893" i="3"/>
  <c r="M895" i="3"/>
  <c r="O895" i="3"/>
  <c r="N895" i="3"/>
  <c r="L895" i="3"/>
  <c r="O897" i="3"/>
  <c r="N897" i="3"/>
  <c r="M897" i="3"/>
  <c r="L897" i="3"/>
  <c r="O899" i="3"/>
  <c r="L899" i="3"/>
  <c r="N899" i="3"/>
  <c r="M899" i="3"/>
  <c r="M901" i="3"/>
  <c r="N901" i="3"/>
  <c r="L901" i="3"/>
  <c r="O901" i="3"/>
  <c r="N903" i="3"/>
  <c r="O903" i="3"/>
  <c r="L903" i="3"/>
  <c r="P903" i="3" s="1"/>
  <c r="M903" i="3"/>
  <c r="O905" i="3"/>
  <c r="N905" i="3"/>
  <c r="L905" i="3"/>
  <c r="M905" i="3"/>
  <c r="M907" i="3"/>
  <c r="O907" i="3"/>
  <c r="L907" i="3"/>
  <c r="P907" i="3" s="1"/>
  <c r="N907" i="3"/>
  <c r="L909" i="3"/>
  <c r="M909" i="3"/>
  <c r="N909" i="3"/>
  <c r="O909" i="3"/>
  <c r="O911" i="3"/>
  <c r="N911" i="3"/>
  <c r="M911" i="3"/>
  <c r="L911" i="3"/>
  <c r="N913" i="3"/>
  <c r="O913" i="3"/>
  <c r="L913" i="3"/>
  <c r="M913" i="3"/>
  <c r="N915" i="3"/>
  <c r="M915" i="3"/>
  <c r="O915" i="3"/>
  <c r="L915" i="3"/>
  <c r="P915" i="3" s="1"/>
  <c r="L917" i="3"/>
  <c r="N917" i="3"/>
  <c r="M917" i="3"/>
  <c r="O917" i="3"/>
  <c r="N919" i="3"/>
  <c r="M919" i="3"/>
  <c r="O919" i="3"/>
  <c r="L919" i="3"/>
  <c r="N921" i="3"/>
  <c r="L921" i="3"/>
  <c r="P921" i="3" s="1"/>
  <c r="O921" i="3"/>
  <c r="M921" i="3"/>
  <c r="L923" i="3"/>
  <c r="O923" i="3"/>
  <c r="N923" i="3"/>
  <c r="M923" i="3"/>
  <c r="L925" i="3"/>
  <c r="M925" i="3"/>
  <c r="O925" i="3"/>
  <c r="N925" i="3"/>
  <c r="N927" i="3"/>
  <c r="M927" i="3"/>
  <c r="O927" i="3"/>
  <c r="L927" i="3"/>
  <c r="L929" i="3"/>
  <c r="N929" i="3"/>
  <c r="M929" i="3"/>
  <c r="O929" i="3"/>
  <c r="N931" i="3"/>
  <c r="O931" i="3"/>
  <c r="L931" i="3"/>
  <c r="M931" i="3"/>
  <c r="N933" i="3"/>
  <c r="M933" i="3"/>
  <c r="O933" i="3"/>
  <c r="L933" i="3"/>
  <c r="L935" i="3"/>
  <c r="N935" i="3"/>
  <c r="M935" i="3"/>
  <c r="O935" i="3"/>
  <c r="N937" i="3"/>
  <c r="M937" i="3"/>
  <c r="O937" i="3"/>
  <c r="L937" i="3"/>
  <c r="L942" i="3"/>
  <c r="M942" i="3"/>
  <c r="O942" i="3"/>
  <c r="N942" i="3"/>
  <c r="O944" i="3"/>
  <c r="N944" i="3"/>
  <c r="M944" i="3"/>
  <c r="L944" i="3"/>
  <c r="M946" i="3"/>
  <c r="L946" i="3"/>
  <c r="N946" i="3"/>
  <c r="O946" i="3"/>
  <c r="N948" i="3"/>
  <c r="O948" i="3"/>
  <c r="M948" i="3"/>
  <c r="L948" i="3"/>
  <c r="O950" i="3"/>
  <c r="N950" i="3"/>
  <c r="M950" i="3"/>
  <c r="L950" i="3"/>
  <c r="M952" i="3"/>
  <c r="L952" i="3"/>
  <c r="O952" i="3"/>
  <c r="N952" i="3"/>
  <c r="J1062" i="3"/>
  <c r="L964" i="2"/>
  <c r="J1076" i="3"/>
  <c r="L976" i="2"/>
  <c r="L1021" i="2"/>
  <c r="J1202" i="3"/>
  <c r="K1028" i="2"/>
  <c r="M1211" i="3"/>
  <c r="O1211" i="3"/>
  <c r="N1211" i="3"/>
  <c r="L1211" i="3"/>
  <c r="J1270" i="3"/>
  <c r="L1096" i="2"/>
  <c r="K1096" i="2"/>
  <c r="J1276" i="3"/>
  <c r="L1102" i="2"/>
  <c r="K1102" i="2"/>
  <c r="J1282" i="3"/>
  <c r="L1108" i="2"/>
  <c r="K1108" i="2"/>
  <c r="J1288" i="3"/>
  <c r="L1114" i="2"/>
  <c r="K1114" i="2"/>
  <c r="J1294" i="3"/>
  <c r="L1120" i="2"/>
  <c r="K1120" i="2"/>
  <c r="J1300" i="3"/>
  <c r="L1126" i="2"/>
  <c r="K1126" i="2"/>
  <c r="J1306" i="3"/>
  <c r="L1132" i="2"/>
  <c r="K1132" i="2"/>
  <c r="J1312" i="3"/>
  <c r="L1138" i="2"/>
  <c r="K1138" i="2"/>
  <c r="J1318" i="3"/>
  <c r="L1144" i="2"/>
  <c r="K1144" i="2"/>
  <c r="J1324" i="3"/>
  <c r="L1150" i="2"/>
  <c r="K1150" i="2"/>
  <c r="J1053" i="3"/>
  <c r="L957" i="2"/>
  <c r="K964" i="2"/>
  <c r="J1068" i="3"/>
  <c r="L969" i="2"/>
  <c r="M971" i="2"/>
  <c r="K976" i="2"/>
  <c r="J1081" i="3"/>
  <c r="L981" i="2"/>
  <c r="M983" i="2"/>
  <c r="J1199" i="3"/>
  <c r="K1025" i="2"/>
  <c r="L1028" i="2"/>
  <c r="J1206" i="3"/>
  <c r="L1032" i="2"/>
  <c r="M1097" i="2"/>
  <c r="M1103" i="2"/>
  <c r="M1109" i="2"/>
  <c r="M1115" i="2"/>
  <c r="M1121" i="2"/>
  <c r="M1127" i="2"/>
  <c r="M1133" i="2"/>
  <c r="M1139" i="2"/>
  <c r="M1145" i="2"/>
  <c r="M1151" i="2"/>
  <c r="J1414" i="3"/>
  <c r="L1240" i="2"/>
  <c r="K1240" i="2"/>
  <c r="J1420" i="3"/>
  <c r="L1246" i="2"/>
  <c r="K1246" i="2"/>
  <c r="J1426" i="3"/>
  <c r="L1252" i="2"/>
  <c r="K1252" i="2"/>
  <c r="J1432" i="3"/>
  <c r="L1258" i="2"/>
  <c r="K1258" i="2"/>
  <c r="J1438" i="3"/>
  <c r="L1264" i="2"/>
  <c r="K1264" i="2"/>
  <c r="J1444" i="3"/>
  <c r="L1270" i="2"/>
  <c r="K1270" i="2"/>
  <c r="J1450" i="3"/>
  <c r="L1276" i="2"/>
  <c r="K1276" i="2"/>
  <c r="J1456" i="3"/>
  <c r="L1282" i="2"/>
  <c r="K1282" i="2"/>
  <c r="J1462" i="3"/>
  <c r="M1288" i="2"/>
  <c r="L1288" i="2"/>
  <c r="K1288" i="2"/>
  <c r="J1468" i="3"/>
  <c r="L1294" i="2"/>
  <c r="K1294" i="2"/>
  <c r="J1474" i="3"/>
  <c r="L1300" i="2"/>
  <c r="K1300" i="2"/>
  <c r="J1480" i="3"/>
  <c r="L1306" i="2"/>
  <c r="K1306" i="2"/>
  <c r="J1486" i="3"/>
  <c r="L1312" i="2"/>
  <c r="K1312" i="2"/>
  <c r="J1492" i="3"/>
  <c r="L1318" i="2"/>
  <c r="K1318" i="2"/>
  <c r="M1005" i="3"/>
  <c r="O1005" i="3"/>
  <c r="N1005" i="3"/>
  <c r="L1005" i="3"/>
  <c r="M1007" i="3"/>
  <c r="O1007" i="3"/>
  <c r="N1007" i="3"/>
  <c r="L1007" i="3"/>
  <c r="P1007" i="3" s="1"/>
  <c r="O1009" i="3"/>
  <c r="N1009" i="3"/>
  <c r="M1009" i="3"/>
  <c r="L1009" i="3"/>
  <c r="M1011" i="3"/>
  <c r="L1011" i="3"/>
  <c r="O1011" i="3"/>
  <c r="N1011" i="3"/>
  <c r="O1013" i="3"/>
  <c r="N1013" i="3"/>
  <c r="M1013" i="3"/>
  <c r="L1013" i="3"/>
  <c r="P1013" i="3" s="1"/>
  <c r="L1015" i="3"/>
  <c r="O1015" i="3"/>
  <c r="N1015" i="3"/>
  <c r="M1015" i="3"/>
  <c r="N1017" i="3"/>
  <c r="O1017" i="3"/>
  <c r="M1017" i="3"/>
  <c r="L1017" i="3"/>
  <c r="N1019" i="3"/>
  <c r="O1019" i="3"/>
  <c r="L1019" i="3"/>
  <c r="N1022" i="3"/>
  <c r="M1022" i="3"/>
  <c r="L1022" i="3"/>
  <c r="O1022" i="3"/>
  <c r="N1024" i="3"/>
  <c r="L1024" i="3"/>
  <c r="O1024" i="3"/>
  <c r="M1024" i="3"/>
  <c r="L1026" i="3"/>
  <c r="P1026" i="3" s="1"/>
  <c r="M1026" i="3"/>
  <c r="O1026" i="3"/>
  <c r="N1026" i="3"/>
  <c r="L1028" i="3"/>
  <c r="M1028" i="3"/>
  <c r="O1028" i="3"/>
  <c r="N1028" i="3"/>
  <c r="L1030" i="3"/>
  <c r="O1030" i="3"/>
  <c r="N1030" i="3"/>
  <c r="O1032" i="3"/>
  <c r="L1032" i="3"/>
  <c r="P1032" i="3" s="1"/>
  <c r="M1032" i="3"/>
  <c r="N1032" i="3"/>
  <c r="N1036" i="3"/>
  <c r="O1036" i="3"/>
  <c r="L1036" i="3"/>
  <c r="O1039" i="3"/>
  <c r="N1039" i="3"/>
  <c r="M1039" i="3"/>
  <c r="L1039" i="3"/>
  <c r="P1039" i="3" s="1"/>
  <c r="N1041" i="3"/>
  <c r="L1041" i="3"/>
  <c r="P1041" i="3" s="1"/>
  <c r="O1041" i="3"/>
  <c r="M1041" i="3"/>
  <c r="L1043" i="3"/>
  <c r="M1043" i="3"/>
  <c r="O1043" i="3"/>
  <c r="N1043" i="3"/>
  <c r="M1045" i="3"/>
  <c r="L1045" i="3"/>
  <c r="P1045" i="3" s="1"/>
  <c r="O1045" i="3"/>
  <c r="N1045" i="3"/>
  <c r="N1047" i="3"/>
  <c r="M1047" i="3"/>
  <c r="O1047" i="3"/>
  <c r="L1047" i="3"/>
  <c r="O1050" i="3"/>
  <c r="L1050" i="3"/>
  <c r="N1050" i="3"/>
  <c r="M1050" i="3"/>
  <c r="J1059" i="3"/>
  <c r="L962" i="2"/>
  <c r="J1074" i="3"/>
  <c r="L974" i="2"/>
  <c r="M976" i="2"/>
  <c r="M1022" i="2"/>
  <c r="J1271" i="3"/>
  <c r="L1097" i="2"/>
  <c r="K1097" i="2"/>
  <c r="J1277" i="3"/>
  <c r="L1103" i="2"/>
  <c r="K1103" i="2"/>
  <c r="J1283" i="3"/>
  <c r="L1109" i="2"/>
  <c r="K1109" i="2"/>
  <c r="J1289" i="3"/>
  <c r="L1115" i="2"/>
  <c r="K1115" i="2"/>
  <c r="J1295" i="3"/>
  <c r="L1121" i="2"/>
  <c r="K1121" i="2"/>
  <c r="J1301" i="3"/>
  <c r="L1127" i="2"/>
  <c r="K1127" i="2"/>
  <c r="J1307" i="3"/>
  <c r="L1133" i="2"/>
  <c r="K1133" i="2"/>
  <c r="J1313" i="3"/>
  <c r="L1139" i="2"/>
  <c r="K1139" i="2"/>
  <c r="J1319" i="3"/>
  <c r="L1145" i="2"/>
  <c r="K1145" i="2"/>
  <c r="J1325" i="3"/>
  <c r="L1151" i="2"/>
  <c r="K1151" i="2"/>
  <c r="J1498" i="3"/>
  <c r="M1324" i="2"/>
  <c r="L1324" i="2"/>
  <c r="K1324" i="2"/>
  <c r="J1065" i="3"/>
  <c r="L967" i="2"/>
  <c r="J1079" i="3"/>
  <c r="L979" i="2"/>
  <c r="J1196" i="3"/>
  <c r="K1022" i="2"/>
  <c r="J1203" i="3"/>
  <c r="K1029" i="2"/>
  <c r="J1209" i="3"/>
  <c r="L1035" i="2"/>
  <c r="K1035" i="2"/>
  <c r="O279" i="3"/>
  <c r="N279" i="3"/>
  <c r="M279" i="3"/>
  <c r="L279" i="3"/>
  <c r="M281" i="3"/>
  <c r="L281" i="3"/>
  <c r="O281" i="3"/>
  <c r="N281" i="3"/>
  <c r="O283" i="3"/>
  <c r="N283" i="3"/>
  <c r="M283" i="3"/>
  <c r="L283" i="3"/>
  <c r="O285" i="3"/>
  <c r="N285" i="3"/>
  <c r="M285" i="3"/>
  <c r="L285" i="3"/>
  <c r="M287" i="3"/>
  <c r="L287" i="3"/>
  <c r="O287" i="3"/>
  <c r="N287" i="3"/>
  <c r="O289" i="3"/>
  <c r="N289" i="3"/>
  <c r="M289" i="3"/>
  <c r="L289" i="3"/>
  <c r="O291" i="3"/>
  <c r="N291" i="3"/>
  <c r="M291" i="3"/>
  <c r="L291" i="3"/>
  <c r="M293" i="3"/>
  <c r="L293" i="3"/>
  <c r="O293" i="3"/>
  <c r="N293" i="3"/>
  <c r="O295" i="3"/>
  <c r="N295" i="3"/>
  <c r="M295" i="3"/>
  <c r="L295" i="3"/>
  <c r="O297" i="3"/>
  <c r="N297" i="3"/>
  <c r="M297" i="3"/>
  <c r="L297" i="3"/>
  <c r="M299" i="3"/>
  <c r="L299" i="3"/>
  <c r="O299" i="3"/>
  <c r="N299" i="3"/>
  <c r="O301" i="3"/>
  <c r="N301" i="3"/>
  <c r="M301" i="3"/>
  <c r="L301" i="3"/>
  <c r="O303" i="3"/>
  <c r="N303" i="3"/>
  <c r="M303" i="3"/>
  <c r="L303" i="3"/>
  <c r="M305" i="3"/>
  <c r="L305" i="3"/>
  <c r="O305" i="3"/>
  <c r="N305" i="3"/>
  <c r="O307" i="3"/>
  <c r="N307" i="3"/>
  <c r="M307" i="3"/>
  <c r="L307" i="3"/>
  <c r="M309" i="3"/>
  <c r="N309" i="3"/>
  <c r="L309" i="3"/>
  <c r="O309" i="3"/>
  <c r="N311" i="3"/>
  <c r="L311" i="3"/>
  <c r="O311" i="3"/>
  <c r="M311" i="3"/>
  <c r="O313" i="3"/>
  <c r="N313" i="3"/>
  <c r="M313" i="3"/>
  <c r="L313" i="3"/>
  <c r="P313" i="3" s="1"/>
  <c r="O315" i="3"/>
  <c r="M315" i="3"/>
  <c r="N315" i="3"/>
  <c r="L315" i="3"/>
  <c r="P315" i="3" s="1"/>
  <c r="N317" i="3"/>
  <c r="L317" i="3"/>
  <c r="M317" i="3"/>
  <c r="O317" i="3"/>
  <c r="M698" i="3"/>
  <c r="L698" i="3"/>
  <c r="O698" i="3"/>
  <c r="N698" i="3"/>
  <c r="M710" i="3"/>
  <c r="O710" i="3"/>
  <c r="N710" i="3"/>
  <c r="L710" i="3"/>
  <c r="M722" i="3"/>
  <c r="N722" i="3"/>
  <c r="L722" i="3"/>
  <c r="O722" i="3"/>
  <c r="M734" i="3"/>
  <c r="L734" i="3"/>
  <c r="O734" i="3"/>
  <c r="N734" i="3"/>
  <c r="O739" i="3"/>
  <c r="M739" i="3"/>
  <c r="N739" i="3"/>
  <c r="L739" i="3"/>
  <c r="O751" i="3"/>
  <c r="L751" i="3"/>
  <c r="M751" i="3"/>
  <c r="N751" i="3"/>
  <c r="O827" i="3"/>
  <c r="M827" i="3"/>
  <c r="N827" i="3"/>
  <c r="L827" i="3"/>
  <c r="M829" i="3"/>
  <c r="O829" i="3"/>
  <c r="L829" i="3"/>
  <c r="N829" i="3"/>
  <c r="O831" i="3"/>
  <c r="M831" i="3"/>
  <c r="N831" i="3"/>
  <c r="L831" i="3"/>
  <c r="P831" i="3" s="1"/>
  <c r="O833" i="3"/>
  <c r="N833" i="3"/>
  <c r="M833" i="3"/>
  <c r="L833" i="3"/>
  <c r="P833" i="3" s="1"/>
  <c r="M835" i="3"/>
  <c r="L835" i="3"/>
  <c r="P835" i="3" s="1"/>
  <c r="O835" i="3"/>
  <c r="N835" i="3"/>
  <c r="N837" i="3"/>
  <c r="L837" i="3"/>
  <c r="P837" i="3" s="1"/>
  <c r="O837" i="3"/>
  <c r="M837" i="3"/>
  <c r="O839" i="3"/>
  <c r="N839" i="3"/>
  <c r="M839" i="3"/>
  <c r="L839" i="3"/>
  <c r="M841" i="3"/>
  <c r="N841" i="3"/>
  <c r="O841" i="3"/>
  <c r="L841" i="3"/>
  <c r="P841" i="3" s="1"/>
  <c r="L843" i="3"/>
  <c r="O843" i="3"/>
  <c r="N843" i="3"/>
  <c r="M843" i="3"/>
  <c r="O845" i="3"/>
  <c r="M845" i="3"/>
  <c r="L845" i="3"/>
  <c r="N845" i="3"/>
  <c r="L915" i="2"/>
  <c r="L917" i="2"/>
  <c r="L919" i="2"/>
  <c r="L921" i="2"/>
  <c r="L923" i="2"/>
  <c r="L925" i="2"/>
  <c r="L927" i="2"/>
  <c r="L929" i="2"/>
  <c r="L931" i="2"/>
  <c r="L933" i="2"/>
  <c r="L935" i="2"/>
  <c r="L937" i="2"/>
  <c r="L939" i="2"/>
  <c r="L941" i="2"/>
  <c r="L943" i="2"/>
  <c r="L945" i="2"/>
  <c r="L947" i="2"/>
  <c r="L949" i="2"/>
  <c r="L951" i="2"/>
  <c r="L953" i="2"/>
  <c r="L955" i="2"/>
  <c r="J1057" i="3"/>
  <c r="L960" i="2"/>
  <c r="K967" i="2"/>
  <c r="J1071" i="3"/>
  <c r="L972" i="2"/>
  <c r="M974" i="2"/>
  <c r="K979" i="2"/>
  <c r="J1193" i="3"/>
  <c r="K1019" i="2"/>
  <c r="L1022" i="2"/>
  <c r="M1026" i="2"/>
  <c r="L1029" i="2"/>
  <c r="M1035" i="2"/>
  <c r="J1272" i="3"/>
  <c r="L1098" i="2"/>
  <c r="K1098" i="2"/>
  <c r="J1278" i="3"/>
  <c r="L1104" i="2"/>
  <c r="K1104" i="2"/>
  <c r="J1284" i="3"/>
  <c r="L1110" i="2"/>
  <c r="K1110" i="2"/>
  <c r="J1290" i="3"/>
  <c r="L1116" i="2"/>
  <c r="K1116" i="2"/>
  <c r="J1296" i="3"/>
  <c r="L1122" i="2"/>
  <c r="K1122" i="2"/>
  <c r="J1302" i="3"/>
  <c r="L1128" i="2"/>
  <c r="K1128" i="2"/>
  <c r="J1308" i="3"/>
  <c r="L1134" i="2"/>
  <c r="K1134" i="2"/>
  <c r="J1314" i="3"/>
  <c r="L1140" i="2"/>
  <c r="K1140" i="2"/>
  <c r="J1320" i="3"/>
  <c r="L1146" i="2"/>
  <c r="K1146" i="2"/>
  <c r="J1326" i="3"/>
  <c r="L1152" i="2"/>
  <c r="K1152" i="2"/>
  <c r="M1242" i="2"/>
  <c r="M1248" i="2"/>
  <c r="M1254" i="2"/>
  <c r="M1260" i="2"/>
  <c r="M1266" i="2"/>
  <c r="M1272" i="2"/>
  <c r="M1278" i="2"/>
  <c r="M1284" i="2"/>
  <c r="M1296" i="2"/>
  <c r="M1302" i="2"/>
  <c r="M1308" i="2"/>
  <c r="M1314" i="2"/>
  <c r="M1320" i="2"/>
  <c r="J1063" i="3"/>
  <c r="L965" i="2"/>
  <c r="J1077" i="3"/>
  <c r="L977" i="2"/>
  <c r="J1200" i="3"/>
  <c r="K1026" i="2"/>
  <c r="J1416" i="3"/>
  <c r="L1242" i="2"/>
  <c r="K1242" i="2"/>
  <c r="J1422" i="3"/>
  <c r="L1248" i="2"/>
  <c r="K1248" i="2"/>
  <c r="J1428" i="3"/>
  <c r="L1254" i="2"/>
  <c r="K1254" i="2"/>
  <c r="J1434" i="3"/>
  <c r="L1260" i="2"/>
  <c r="K1260" i="2"/>
  <c r="J1440" i="3"/>
  <c r="L1266" i="2"/>
  <c r="K1266" i="2"/>
  <c r="J1446" i="3"/>
  <c r="L1272" i="2"/>
  <c r="K1272" i="2"/>
  <c r="J1452" i="3"/>
  <c r="L1278" i="2"/>
  <c r="K1278" i="2"/>
  <c r="J1458" i="3"/>
  <c r="L1284" i="2"/>
  <c r="K1284" i="2"/>
  <c r="J1464" i="3"/>
  <c r="M1290" i="2"/>
  <c r="L1290" i="2"/>
  <c r="K1290" i="2"/>
  <c r="J1470" i="3"/>
  <c r="L1296" i="2"/>
  <c r="K1296" i="2"/>
  <c r="J1476" i="3"/>
  <c r="L1302" i="2"/>
  <c r="K1302" i="2"/>
  <c r="J1482" i="3"/>
  <c r="L1308" i="2"/>
  <c r="K1308" i="2"/>
  <c r="J1488" i="3"/>
  <c r="L1314" i="2"/>
  <c r="K1314" i="2"/>
  <c r="J1494" i="3"/>
  <c r="L1320" i="2"/>
  <c r="K1320" i="2"/>
  <c r="O848" i="3"/>
  <c r="N848" i="3"/>
  <c r="M848" i="3"/>
  <c r="L848" i="3"/>
  <c r="M850" i="3"/>
  <c r="L850" i="3"/>
  <c r="P850" i="3" s="1"/>
  <c r="O850" i="3"/>
  <c r="N850" i="3"/>
  <c r="N852" i="3"/>
  <c r="O852" i="3"/>
  <c r="M852" i="3"/>
  <c r="L852" i="3"/>
  <c r="O854" i="3"/>
  <c r="L854" i="3"/>
  <c r="P854" i="3" s="1"/>
  <c r="N854" i="3"/>
  <c r="M854" i="3"/>
  <c r="M856" i="3"/>
  <c r="L856" i="3"/>
  <c r="N856" i="3"/>
  <c r="O856" i="3"/>
  <c r="L858" i="3"/>
  <c r="O858" i="3"/>
  <c r="N858" i="3"/>
  <c r="M858" i="3"/>
  <c r="O860" i="3"/>
  <c r="M860" i="3"/>
  <c r="L860" i="3"/>
  <c r="N860" i="3"/>
  <c r="M862" i="3"/>
  <c r="O862" i="3"/>
  <c r="N862" i="3"/>
  <c r="L862" i="3"/>
  <c r="P862" i="3" s="1"/>
  <c r="M864" i="3"/>
  <c r="L864" i="3"/>
  <c r="O864" i="3"/>
  <c r="N864" i="3"/>
  <c r="O866" i="3"/>
  <c r="N866" i="3"/>
  <c r="L866" i="3"/>
  <c r="M866" i="3"/>
  <c r="M868" i="3"/>
  <c r="L868" i="3"/>
  <c r="O868" i="3"/>
  <c r="N868" i="3"/>
  <c r="N870" i="3"/>
  <c r="M870" i="3"/>
  <c r="L870" i="3"/>
  <c r="O870" i="3"/>
  <c r="O872" i="3"/>
  <c r="M872" i="3"/>
  <c r="N872" i="3"/>
  <c r="L872" i="3"/>
  <c r="M874" i="3"/>
  <c r="N874" i="3"/>
  <c r="L874" i="3"/>
  <c r="O874" i="3"/>
  <c r="L876" i="3"/>
  <c r="O876" i="3"/>
  <c r="N876" i="3"/>
  <c r="M876" i="3"/>
  <c r="O878" i="3"/>
  <c r="M878" i="3"/>
  <c r="L878" i="3"/>
  <c r="N878" i="3"/>
  <c r="M880" i="3"/>
  <c r="N880" i="3"/>
  <c r="O880" i="3"/>
  <c r="L880" i="3"/>
  <c r="O882" i="3"/>
  <c r="M882" i="3"/>
  <c r="L882" i="3"/>
  <c r="P882" i="3" s="1"/>
  <c r="N882" i="3"/>
  <c r="O884" i="3"/>
  <c r="M884" i="3"/>
  <c r="L884" i="3"/>
  <c r="N884" i="3"/>
  <c r="M886" i="3"/>
  <c r="L886" i="3"/>
  <c r="P886" i="3" s="1"/>
  <c r="O886" i="3"/>
  <c r="N886" i="3"/>
  <c r="N888" i="3"/>
  <c r="M888" i="3"/>
  <c r="O888" i="3"/>
  <c r="L888" i="3"/>
  <c r="O890" i="3"/>
  <c r="N890" i="3"/>
  <c r="M890" i="3"/>
  <c r="L890" i="3"/>
  <c r="M892" i="3"/>
  <c r="N892" i="3"/>
  <c r="L892" i="3"/>
  <c r="O892" i="3"/>
  <c r="L894" i="3"/>
  <c r="P894" i="3" s="1"/>
  <c r="N894" i="3"/>
  <c r="M894" i="3"/>
  <c r="O894" i="3"/>
  <c r="O896" i="3"/>
  <c r="L896" i="3"/>
  <c r="M896" i="3"/>
  <c r="N896" i="3"/>
  <c r="M898" i="3"/>
  <c r="O898" i="3"/>
  <c r="N898" i="3"/>
  <c r="L898" i="3"/>
  <c r="P898" i="3" s="1"/>
  <c r="O900" i="3"/>
  <c r="N900" i="3"/>
  <c r="L900" i="3"/>
  <c r="M900" i="3"/>
  <c r="O902" i="3"/>
  <c r="N902" i="3"/>
  <c r="L902" i="3"/>
  <c r="M902" i="3"/>
  <c r="M904" i="3"/>
  <c r="L904" i="3"/>
  <c r="N904" i="3"/>
  <c r="O904" i="3"/>
  <c r="M906" i="3"/>
  <c r="N906" i="3"/>
  <c r="L906" i="3"/>
  <c r="O906" i="3"/>
  <c r="O908" i="3"/>
  <c r="N908" i="3"/>
  <c r="L908" i="3"/>
  <c r="M908" i="3"/>
  <c r="M910" i="3"/>
  <c r="O910" i="3"/>
  <c r="L910" i="3"/>
  <c r="P910" i="3" s="1"/>
  <c r="N910" i="3"/>
  <c r="N912" i="3"/>
  <c r="L912" i="3"/>
  <c r="P912" i="3" s="1"/>
  <c r="M912" i="3"/>
  <c r="O912" i="3"/>
  <c r="L914" i="3"/>
  <c r="P914" i="3" s="1"/>
  <c r="O914" i="3"/>
  <c r="N914" i="3"/>
  <c r="M914" i="3"/>
  <c r="L916" i="3"/>
  <c r="P916" i="3" s="1"/>
  <c r="M916" i="3"/>
  <c r="O916" i="3"/>
  <c r="N916" i="3"/>
  <c r="N918" i="3"/>
  <c r="M918" i="3"/>
  <c r="O918" i="3"/>
  <c r="L918" i="3"/>
  <c r="L920" i="3"/>
  <c r="N920" i="3"/>
  <c r="M920" i="3"/>
  <c r="O920" i="3"/>
  <c r="N922" i="3"/>
  <c r="O922" i="3"/>
  <c r="L922" i="3"/>
  <c r="M922" i="3"/>
  <c r="N924" i="3"/>
  <c r="O924" i="3"/>
  <c r="M924" i="3"/>
  <c r="L924" i="3"/>
  <c r="L926" i="3"/>
  <c r="P926" i="3" s="1"/>
  <c r="N926" i="3"/>
  <c r="M926" i="3"/>
  <c r="O926" i="3"/>
  <c r="M928" i="3"/>
  <c r="N928" i="3"/>
  <c r="O928" i="3"/>
  <c r="L928" i="3"/>
  <c r="N930" i="3"/>
  <c r="L930" i="3"/>
  <c r="O930" i="3"/>
  <c r="M930" i="3"/>
  <c r="L932" i="3"/>
  <c r="O932" i="3"/>
  <c r="N932" i="3"/>
  <c r="M932" i="3"/>
  <c r="L934" i="3"/>
  <c r="M934" i="3"/>
  <c r="O934" i="3"/>
  <c r="N934" i="3"/>
  <c r="N936" i="3"/>
  <c r="M936" i="3"/>
  <c r="O936" i="3"/>
  <c r="L936" i="3"/>
  <c r="O939" i="3"/>
  <c r="M939" i="3"/>
  <c r="L939" i="3"/>
  <c r="N939" i="3"/>
  <c r="M943" i="3"/>
  <c r="N943" i="3"/>
  <c r="O943" i="3"/>
  <c r="L943" i="3"/>
  <c r="O945" i="3"/>
  <c r="N945" i="3"/>
  <c r="M945" i="3"/>
  <c r="L945" i="3"/>
  <c r="P945" i="3" s="1"/>
  <c r="O947" i="3"/>
  <c r="L947" i="3"/>
  <c r="N947" i="3"/>
  <c r="M947" i="3"/>
  <c r="M949" i="3"/>
  <c r="N949" i="3"/>
  <c r="L949" i="3"/>
  <c r="O949" i="3"/>
  <c r="M951" i="3"/>
  <c r="N951" i="3"/>
  <c r="O951" i="3"/>
  <c r="L951" i="3"/>
  <c r="P951" i="3" s="1"/>
  <c r="L954" i="3"/>
  <c r="M954" i="3"/>
  <c r="O954" i="3"/>
  <c r="N954" i="3"/>
  <c r="J1055" i="3"/>
  <c r="L958" i="2"/>
  <c r="K965" i="2"/>
  <c r="J1069" i="3"/>
  <c r="L970" i="2"/>
  <c r="K977" i="2"/>
  <c r="J1082" i="3"/>
  <c r="L982" i="2"/>
  <c r="J1197" i="3"/>
  <c r="K1023" i="2"/>
  <c r="L1026" i="2"/>
  <c r="J1207" i="3"/>
  <c r="L1033" i="2"/>
  <c r="K1033" i="2"/>
  <c r="J1273" i="3"/>
  <c r="L1099" i="2"/>
  <c r="K1099" i="2"/>
  <c r="J1279" i="3"/>
  <c r="L1105" i="2"/>
  <c r="K1105" i="2"/>
  <c r="J1285" i="3"/>
  <c r="L1111" i="2"/>
  <c r="K1111" i="2"/>
  <c r="J1291" i="3"/>
  <c r="L1117" i="2"/>
  <c r="K1117" i="2"/>
  <c r="J1297" i="3"/>
  <c r="L1123" i="2"/>
  <c r="K1123" i="2"/>
  <c r="J1303" i="3"/>
  <c r="L1129" i="2"/>
  <c r="K1129" i="2"/>
  <c r="J1309" i="3"/>
  <c r="L1135" i="2"/>
  <c r="K1135" i="2"/>
  <c r="J1315" i="3"/>
  <c r="L1141" i="2"/>
  <c r="K1141" i="2"/>
  <c r="J1321" i="3"/>
  <c r="L1147" i="2"/>
  <c r="K1147" i="2"/>
  <c r="J1061" i="3"/>
  <c r="L963" i="2"/>
  <c r="M965" i="2"/>
  <c r="J1075" i="3"/>
  <c r="L975" i="2"/>
  <c r="M977" i="2"/>
  <c r="J1210" i="3"/>
  <c r="L1036" i="2"/>
  <c r="J1505" i="3"/>
  <c r="K1331" i="2"/>
  <c r="L1331" i="2"/>
  <c r="L1413" i="3"/>
  <c r="N1413" i="3"/>
  <c r="M1413" i="3"/>
  <c r="O1413" i="3"/>
  <c r="M1415" i="3"/>
  <c r="L1415" i="3"/>
  <c r="O1415" i="3"/>
  <c r="N1415" i="3"/>
  <c r="O1417" i="3"/>
  <c r="N1417" i="3"/>
  <c r="M1417" i="3"/>
  <c r="L1417" i="3"/>
  <c r="M1419" i="3"/>
  <c r="O1419" i="3"/>
  <c r="N1419" i="3"/>
  <c r="L1419" i="3"/>
  <c r="N1421" i="3"/>
  <c r="O1421" i="3"/>
  <c r="M1421" i="3"/>
  <c r="L1421" i="3"/>
  <c r="O1423" i="3"/>
  <c r="N1423" i="3"/>
  <c r="M1423" i="3"/>
  <c r="L1423" i="3"/>
  <c r="M1425" i="3"/>
  <c r="L1425" i="3"/>
  <c r="O1425" i="3"/>
  <c r="N1425" i="3"/>
  <c r="M1427" i="3"/>
  <c r="L1427" i="3"/>
  <c r="N1427" i="3"/>
  <c r="O1427" i="3"/>
  <c r="O1429" i="3"/>
  <c r="N1429" i="3"/>
  <c r="L1429" i="3"/>
  <c r="M1429" i="3"/>
  <c r="M1431" i="3"/>
  <c r="O1431" i="3"/>
  <c r="N1431" i="3"/>
  <c r="L1431" i="3"/>
  <c r="N1433" i="3"/>
  <c r="M1433" i="3"/>
  <c r="L1433" i="3"/>
  <c r="P1433" i="3" s="1"/>
  <c r="O1433" i="3"/>
  <c r="O1435" i="3"/>
  <c r="N1435" i="3"/>
  <c r="L1435" i="3"/>
  <c r="P1435" i="3" s="1"/>
  <c r="M1435" i="3"/>
  <c r="L1437" i="3"/>
  <c r="M1437" i="3"/>
  <c r="N1437" i="3"/>
  <c r="O1437" i="3"/>
  <c r="O1439" i="3"/>
  <c r="N1439" i="3"/>
  <c r="M1439" i="3"/>
  <c r="L1439" i="3"/>
  <c r="N1441" i="3"/>
  <c r="M1441" i="3"/>
  <c r="L1441" i="3"/>
  <c r="O1441" i="3"/>
  <c r="L1443" i="3"/>
  <c r="P1443" i="3" s="1"/>
  <c r="N1443" i="3"/>
  <c r="O1443" i="3"/>
  <c r="M1443" i="3"/>
  <c r="O1445" i="3"/>
  <c r="M1445" i="3"/>
  <c r="L1445" i="3"/>
  <c r="N1445" i="3"/>
  <c r="O1447" i="3"/>
  <c r="N1447" i="3"/>
  <c r="M1447" i="3"/>
  <c r="L1447" i="3"/>
  <c r="L1449" i="3"/>
  <c r="N1449" i="3"/>
  <c r="M1449" i="3"/>
  <c r="O1449" i="3"/>
  <c r="O1451" i="3"/>
  <c r="N1451" i="3"/>
  <c r="M1451" i="3"/>
  <c r="L1451" i="3"/>
  <c r="O1453" i="3"/>
  <c r="M1453" i="3"/>
  <c r="N1453" i="3"/>
  <c r="L1453" i="3"/>
  <c r="L1455" i="3"/>
  <c r="N1455" i="3"/>
  <c r="M1455" i="3"/>
  <c r="O1455" i="3"/>
  <c r="O1457" i="3"/>
  <c r="N1457" i="3"/>
  <c r="M1457" i="3"/>
  <c r="L1457" i="3"/>
  <c r="M1459" i="3"/>
  <c r="L1459" i="3"/>
  <c r="N1459" i="3"/>
  <c r="O1459" i="3"/>
  <c r="L1461" i="3"/>
  <c r="O1461" i="3"/>
  <c r="N1461" i="3"/>
  <c r="M1461" i="3"/>
  <c r="O1463" i="3"/>
  <c r="N1463" i="3"/>
  <c r="M1463" i="3"/>
  <c r="L1463" i="3"/>
  <c r="M1465" i="3"/>
  <c r="L1465" i="3"/>
  <c r="P1465" i="3" s="1"/>
  <c r="O1465" i="3"/>
  <c r="N1465" i="3"/>
  <c r="L1467" i="3"/>
  <c r="N1467" i="3"/>
  <c r="O1467" i="3"/>
  <c r="M1467" i="3"/>
  <c r="O1469" i="3"/>
  <c r="N1469" i="3"/>
  <c r="L1469" i="3"/>
  <c r="M1469" i="3"/>
  <c r="O1471" i="3"/>
  <c r="N1471" i="3"/>
  <c r="M1471" i="3"/>
  <c r="L1471" i="3"/>
  <c r="L1473" i="3"/>
  <c r="N1473" i="3"/>
  <c r="M1473" i="3"/>
  <c r="O1473" i="3"/>
  <c r="O1475" i="3"/>
  <c r="N1475" i="3"/>
  <c r="M1475" i="3"/>
  <c r="L1475" i="3"/>
  <c r="O1477" i="3"/>
  <c r="M1477" i="3"/>
  <c r="L1477" i="3"/>
  <c r="P1477" i="3" s="1"/>
  <c r="N1477" i="3"/>
  <c r="L1479" i="3"/>
  <c r="N1479" i="3"/>
  <c r="M1479" i="3"/>
  <c r="O1479" i="3"/>
  <c r="O1481" i="3"/>
  <c r="N1481" i="3"/>
  <c r="M1481" i="3"/>
  <c r="L1481" i="3"/>
  <c r="M1483" i="3"/>
  <c r="L1483" i="3"/>
  <c r="P1483" i="3" s="1"/>
  <c r="N1483" i="3"/>
  <c r="O1483" i="3"/>
  <c r="L1485" i="3"/>
  <c r="M1485" i="3"/>
  <c r="O1485" i="3"/>
  <c r="N1485" i="3"/>
  <c r="N1487" i="3"/>
  <c r="O1487" i="3"/>
  <c r="M1487" i="3"/>
  <c r="L1487" i="3"/>
  <c r="L1489" i="3"/>
  <c r="P1489" i="3" s="1"/>
  <c r="M1489" i="3"/>
  <c r="O1489" i="3"/>
  <c r="N1489" i="3"/>
  <c r="L1491" i="3"/>
  <c r="P1491" i="3" s="1"/>
  <c r="N1491" i="3"/>
  <c r="O1491" i="3"/>
  <c r="M1491" i="3"/>
  <c r="N1493" i="3"/>
  <c r="O1493" i="3"/>
  <c r="M1493" i="3"/>
  <c r="L1493" i="3"/>
  <c r="L1495" i="3"/>
  <c r="P1495" i="3" s="1"/>
  <c r="N1495" i="3"/>
  <c r="O1495" i="3"/>
  <c r="M1495" i="3"/>
  <c r="L1497" i="3"/>
  <c r="P1497" i="3" s="1"/>
  <c r="O1497" i="3"/>
  <c r="N1497" i="3"/>
  <c r="M1497" i="3"/>
  <c r="N1499" i="3"/>
  <c r="O1499" i="3"/>
  <c r="L1499" i="3"/>
  <c r="M1499" i="3"/>
  <c r="M1329" i="2"/>
  <c r="J1512" i="3"/>
  <c r="L1338" i="2"/>
  <c r="K1338" i="2"/>
  <c r="M1344" i="2"/>
  <c r="M11" i="3"/>
  <c r="M52" i="3"/>
  <c r="M83" i="3"/>
  <c r="M100" i="3"/>
  <c r="L1327" i="3"/>
  <c r="N1327" i="3"/>
  <c r="O1327" i="3"/>
  <c r="M1327" i="3"/>
  <c r="O1329" i="3"/>
  <c r="M1329" i="3"/>
  <c r="N1329" i="3"/>
  <c r="L1329" i="3"/>
  <c r="O1331" i="3"/>
  <c r="N1331" i="3"/>
  <c r="L1331" i="3"/>
  <c r="P1331" i="3" s="1"/>
  <c r="M1331" i="3"/>
  <c r="L1333" i="3"/>
  <c r="N1333" i="3"/>
  <c r="M1333" i="3"/>
  <c r="O1333" i="3"/>
  <c r="O1335" i="3"/>
  <c r="N1335" i="3"/>
  <c r="M1335" i="3"/>
  <c r="L1335" i="3"/>
  <c r="M1337" i="3"/>
  <c r="N1337" i="3"/>
  <c r="O1337" i="3"/>
  <c r="L1337" i="3"/>
  <c r="L1339" i="3"/>
  <c r="N1339" i="3"/>
  <c r="O1339" i="3"/>
  <c r="M1339" i="3"/>
  <c r="O1341" i="3"/>
  <c r="L1341" i="3"/>
  <c r="N1341" i="3"/>
  <c r="M1341" i="3"/>
  <c r="M1343" i="3"/>
  <c r="N1343" i="3"/>
  <c r="L1343" i="3"/>
  <c r="O1343" i="3"/>
  <c r="L1345" i="3"/>
  <c r="O1345" i="3"/>
  <c r="N1345" i="3"/>
  <c r="M1345" i="3"/>
  <c r="O1347" i="3"/>
  <c r="N1347" i="3"/>
  <c r="M1347" i="3"/>
  <c r="L1347" i="3"/>
  <c r="N1349" i="3"/>
  <c r="M1349" i="3"/>
  <c r="L1349" i="3"/>
  <c r="O1349" i="3"/>
  <c r="L1351" i="3"/>
  <c r="P1351" i="3" s="1"/>
  <c r="N1351" i="3"/>
  <c r="M1351" i="3"/>
  <c r="O1351" i="3"/>
  <c r="O1353" i="3"/>
  <c r="M1353" i="3"/>
  <c r="L1353" i="3"/>
  <c r="N1353" i="3"/>
  <c r="O1355" i="3"/>
  <c r="L1355" i="3"/>
  <c r="N1355" i="3"/>
  <c r="M1355" i="3"/>
  <c r="L1357" i="3"/>
  <c r="P1357" i="3" s="1"/>
  <c r="O1357" i="3"/>
  <c r="N1357" i="3"/>
  <c r="M1357" i="3"/>
  <c r="O1359" i="3"/>
  <c r="M1359" i="3"/>
  <c r="L1359" i="3"/>
  <c r="N1359" i="3"/>
  <c r="N1361" i="3"/>
  <c r="O1361" i="3"/>
  <c r="M1361" i="3"/>
  <c r="L1361" i="3"/>
  <c r="P1361" i="3" s="1"/>
  <c r="L1363" i="3"/>
  <c r="M1363" i="3"/>
  <c r="N1363" i="3"/>
  <c r="O1363" i="3"/>
  <c r="O1365" i="3"/>
  <c r="M1365" i="3"/>
  <c r="L1365" i="3"/>
  <c r="P1365" i="3" s="1"/>
  <c r="N1365" i="3"/>
  <c r="M1367" i="3"/>
  <c r="N1367" i="3"/>
  <c r="L1367" i="3"/>
  <c r="P1367" i="3" s="1"/>
  <c r="O1367" i="3"/>
  <c r="L1369" i="3"/>
  <c r="M1369" i="3"/>
  <c r="O1369" i="3"/>
  <c r="N1369" i="3"/>
  <c r="O1371" i="3"/>
  <c r="L1371" i="3"/>
  <c r="P1371" i="3" s="1"/>
  <c r="N1371" i="3"/>
  <c r="M1371" i="3"/>
  <c r="L1373" i="3"/>
  <c r="N1373" i="3"/>
  <c r="M1373" i="3"/>
  <c r="O1373" i="3"/>
  <c r="L1375" i="3"/>
  <c r="O1375" i="3"/>
  <c r="N1375" i="3"/>
  <c r="M1375" i="3"/>
  <c r="O1377" i="3"/>
  <c r="N1377" i="3"/>
  <c r="M1377" i="3"/>
  <c r="L1377" i="3"/>
  <c r="M1379" i="3"/>
  <c r="L1379" i="3"/>
  <c r="P1379" i="3" s="1"/>
  <c r="O1379" i="3"/>
  <c r="N1379" i="3"/>
  <c r="L1381" i="3"/>
  <c r="O1381" i="3"/>
  <c r="N1381" i="3"/>
  <c r="M1381" i="3"/>
  <c r="O1383" i="3"/>
  <c r="N1383" i="3"/>
  <c r="M1383" i="3"/>
  <c r="L1383" i="3"/>
  <c r="N1385" i="3"/>
  <c r="M1385" i="3"/>
  <c r="O1385" i="3"/>
  <c r="L1385" i="3"/>
  <c r="L1387" i="3"/>
  <c r="N1387" i="3"/>
  <c r="M1387" i="3"/>
  <c r="O1387" i="3"/>
  <c r="O1389" i="3"/>
  <c r="N1389" i="3"/>
  <c r="M1389" i="3"/>
  <c r="L1389" i="3"/>
  <c r="M1391" i="3"/>
  <c r="L1391" i="3"/>
  <c r="O1391" i="3"/>
  <c r="N1391" i="3"/>
  <c r="L1393" i="3"/>
  <c r="P1393" i="3" s="1"/>
  <c r="O1393" i="3"/>
  <c r="N1393" i="3"/>
  <c r="M1393" i="3"/>
  <c r="O1395" i="3"/>
  <c r="L1395" i="3"/>
  <c r="M1395" i="3"/>
  <c r="N1395" i="3"/>
  <c r="M1397" i="3"/>
  <c r="O1397" i="3"/>
  <c r="L1397" i="3"/>
  <c r="P1397" i="3" s="1"/>
  <c r="N1397" i="3"/>
  <c r="O1399" i="3"/>
  <c r="M1399" i="3"/>
  <c r="L1399" i="3"/>
  <c r="N1399" i="3"/>
  <c r="L1401" i="3"/>
  <c r="M1401" i="3"/>
  <c r="O1401" i="3"/>
  <c r="N1401" i="3"/>
  <c r="M1403" i="3"/>
  <c r="L1403" i="3"/>
  <c r="P1403" i="3" s="1"/>
  <c r="N1403" i="3"/>
  <c r="O1403" i="3"/>
  <c r="O1405" i="3"/>
  <c r="N1405" i="3"/>
  <c r="M1405" i="3"/>
  <c r="L1405" i="3"/>
  <c r="M1407" i="3"/>
  <c r="O1407" i="3"/>
  <c r="N1407" i="3"/>
  <c r="L1407" i="3"/>
  <c r="N1409" i="3"/>
  <c r="O1409" i="3"/>
  <c r="M1409" i="3"/>
  <c r="L1409" i="3"/>
  <c r="K1239" i="2"/>
  <c r="K1241" i="2"/>
  <c r="K1243" i="2"/>
  <c r="K1245" i="2"/>
  <c r="K1247" i="2"/>
  <c r="K1249" i="2"/>
  <c r="K1251" i="2"/>
  <c r="K1253" i="2"/>
  <c r="K1255" i="2"/>
  <c r="K1257" i="2"/>
  <c r="K1259" i="2"/>
  <c r="K1261" i="2"/>
  <c r="K1263" i="2"/>
  <c r="K1265" i="2"/>
  <c r="K1267" i="2"/>
  <c r="K1269" i="2"/>
  <c r="K1271" i="2"/>
  <c r="K1273" i="2"/>
  <c r="K1275" i="2"/>
  <c r="K1277" i="2"/>
  <c r="K1279" i="2"/>
  <c r="K1281" i="2"/>
  <c r="K1283" i="2"/>
  <c r="K1285" i="2"/>
  <c r="K1287" i="2"/>
  <c r="K1289" i="2"/>
  <c r="K1291" i="2"/>
  <c r="K1293" i="2"/>
  <c r="K1295" i="2"/>
  <c r="K1297" i="2"/>
  <c r="K1299" i="2"/>
  <c r="K1301" i="2"/>
  <c r="K1303" i="2"/>
  <c r="K1305" i="2"/>
  <c r="K1307" i="2"/>
  <c r="K1309" i="2"/>
  <c r="K1311" i="2"/>
  <c r="K1313" i="2"/>
  <c r="K1315" i="2"/>
  <c r="K1317" i="2"/>
  <c r="K1319" i="2"/>
  <c r="K1321" i="2"/>
  <c r="K1323" i="2"/>
  <c r="J1503" i="3"/>
  <c r="K1329" i="2"/>
  <c r="L1329" i="2"/>
  <c r="M1334" i="2"/>
  <c r="M1339" i="2"/>
  <c r="J1518" i="3"/>
  <c r="L1344" i="2"/>
  <c r="K1344" i="2"/>
  <c r="M12" i="3"/>
  <c r="M21" i="3"/>
  <c r="M75" i="3"/>
  <c r="M1160" i="3"/>
  <c r="N1160" i="3"/>
  <c r="L1160" i="3"/>
  <c r="O1160" i="3"/>
  <c r="L1162" i="3"/>
  <c r="O1162" i="3"/>
  <c r="N1162" i="3"/>
  <c r="M1162" i="3"/>
  <c r="O1164" i="3"/>
  <c r="N1164" i="3"/>
  <c r="M1164" i="3"/>
  <c r="L1164" i="3"/>
  <c r="M1166" i="3"/>
  <c r="O1166" i="3"/>
  <c r="N1166" i="3"/>
  <c r="L1166" i="3"/>
  <c r="L1168" i="3"/>
  <c r="P1168" i="3" s="1"/>
  <c r="N1168" i="3"/>
  <c r="O1168" i="3"/>
  <c r="M1168" i="3"/>
  <c r="O1170" i="3"/>
  <c r="N1170" i="3"/>
  <c r="M1170" i="3"/>
  <c r="L1170" i="3"/>
  <c r="M1172" i="3"/>
  <c r="N1172" i="3"/>
  <c r="O1172" i="3"/>
  <c r="L1172" i="3"/>
  <c r="L1174" i="3"/>
  <c r="O1174" i="3"/>
  <c r="N1174" i="3"/>
  <c r="M1174" i="3"/>
  <c r="O1176" i="3"/>
  <c r="L1176" i="3"/>
  <c r="N1176" i="3"/>
  <c r="M1176" i="3"/>
  <c r="N1178" i="3"/>
  <c r="O1178" i="3"/>
  <c r="M1178" i="3"/>
  <c r="L1178" i="3"/>
  <c r="L1180" i="3"/>
  <c r="P1180" i="3" s="1"/>
  <c r="O1180" i="3"/>
  <c r="N1180" i="3"/>
  <c r="M1180" i="3"/>
  <c r="N1182" i="3"/>
  <c r="O1182" i="3"/>
  <c r="L1182" i="3"/>
  <c r="M1182" i="3"/>
  <c r="M1184" i="3"/>
  <c r="O1184" i="3"/>
  <c r="N1184" i="3"/>
  <c r="L1184" i="3"/>
  <c r="L1186" i="3"/>
  <c r="N1186" i="3"/>
  <c r="M1186" i="3"/>
  <c r="O1186" i="3"/>
  <c r="N1188" i="3"/>
  <c r="O1188" i="3"/>
  <c r="M1188" i="3"/>
  <c r="L1188" i="3"/>
  <c r="N1190" i="3"/>
  <c r="O1190" i="3"/>
  <c r="M1190" i="3"/>
  <c r="L1190" i="3"/>
  <c r="L1223" i="3"/>
  <c r="P1223" i="3" s="1"/>
  <c r="N1223" i="3"/>
  <c r="O1223" i="3"/>
  <c r="M1223" i="3"/>
  <c r="L1225" i="3"/>
  <c r="P1225" i="3" s="1"/>
  <c r="O1225" i="3"/>
  <c r="N1225" i="3"/>
  <c r="M1225" i="3"/>
  <c r="L1246" i="3"/>
  <c r="P1246" i="3" s="1"/>
  <c r="M1246" i="3"/>
  <c r="O1246" i="3"/>
  <c r="N1246" i="3"/>
  <c r="K1153" i="2"/>
  <c r="K1155" i="2"/>
  <c r="K1157" i="2"/>
  <c r="K1159" i="2"/>
  <c r="K1161" i="2"/>
  <c r="K1163" i="2"/>
  <c r="K1165" i="2"/>
  <c r="K1167" i="2"/>
  <c r="K1169" i="2"/>
  <c r="K1171" i="2"/>
  <c r="K1173" i="2"/>
  <c r="K1175" i="2"/>
  <c r="K1177" i="2"/>
  <c r="K1179" i="2"/>
  <c r="K1181" i="2"/>
  <c r="K1183" i="2"/>
  <c r="K1185" i="2"/>
  <c r="K1187" i="2"/>
  <c r="K1189" i="2"/>
  <c r="K1191" i="2"/>
  <c r="K1193" i="2"/>
  <c r="K1195" i="2"/>
  <c r="K1197" i="2"/>
  <c r="K1199" i="2"/>
  <c r="K1201" i="2"/>
  <c r="K1203" i="2"/>
  <c r="K1205" i="2"/>
  <c r="K1207" i="2"/>
  <c r="K1209" i="2"/>
  <c r="K1211" i="2"/>
  <c r="K1213" i="2"/>
  <c r="K1215" i="2"/>
  <c r="K1217" i="2"/>
  <c r="K1219" i="2"/>
  <c r="K1221" i="2"/>
  <c r="K1223" i="2"/>
  <c r="K1225" i="2"/>
  <c r="K1227" i="2"/>
  <c r="K1229" i="2"/>
  <c r="K1231" i="2"/>
  <c r="K1233" i="2"/>
  <c r="K1235" i="2"/>
  <c r="L1239" i="2"/>
  <c r="L1241" i="2"/>
  <c r="L1243" i="2"/>
  <c r="L1245" i="2"/>
  <c r="L1247" i="2"/>
  <c r="L1249" i="2"/>
  <c r="L1251" i="2"/>
  <c r="L1253" i="2"/>
  <c r="L1255" i="2"/>
  <c r="L1257" i="2"/>
  <c r="L1259" i="2"/>
  <c r="L1261" i="2"/>
  <c r="L1263" i="2"/>
  <c r="L1265" i="2"/>
  <c r="L1267" i="2"/>
  <c r="L1269" i="2"/>
  <c r="L1271" i="2"/>
  <c r="L1273" i="2"/>
  <c r="L1275" i="2"/>
  <c r="L1277" i="2"/>
  <c r="L1279" i="2"/>
  <c r="L1281" i="2"/>
  <c r="L1283" i="2"/>
  <c r="L1285" i="2"/>
  <c r="L1287" i="2"/>
  <c r="L1289" i="2"/>
  <c r="L1291" i="2"/>
  <c r="L1293" i="2"/>
  <c r="L1295" i="2"/>
  <c r="L1297" i="2"/>
  <c r="L1299" i="2"/>
  <c r="L1301" i="2"/>
  <c r="L1303" i="2"/>
  <c r="L1305" i="2"/>
  <c r="L1307" i="2"/>
  <c r="L1309" i="2"/>
  <c r="L1311" i="2"/>
  <c r="L1313" i="2"/>
  <c r="L1315" i="2"/>
  <c r="L1317" i="2"/>
  <c r="L1319" i="2"/>
  <c r="L1321" i="2"/>
  <c r="J1508" i="3"/>
  <c r="L1334" i="2"/>
  <c r="K1334" i="2"/>
  <c r="J1513" i="3"/>
  <c r="K1339" i="2"/>
  <c r="L1339" i="2"/>
  <c r="M1345" i="2"/>
  <c r="M31" i="3"/>
  <c r="M84" i="3"/>
  <c r="M101" i="3"/>
  <c r="M157" i="3"/>
  <c r="L1213" i="3"/>
  <c r="O1213" i="3"/>
  <c r="N1213" i="3"/>
  <c r="M1213" i="3"/>
  <c r="N1215" i="3"/>
  <c r="M1215" i="3"/>
  <c r="L1215" i="3"/>
  <c r="O1215" i="3"/>
  <c r="O1217" i="3"/>
  <c r="L1217" i="3"/>
  <c r="M1217" i="3"/>
  <c r="N1217" i="3"/>
  <c r="L1219" i="3"/>
  <c r="O1219" i="3"/>
  <c r="M1219" i="3"/>
  <c r="N1219" i="3"/>
  <c r="L1240" i="3"/>
  <c r="M1240" i="3"/>
  <c r="O1240" i="3"/>
  <c r="N1240" i="3"/>
  <c r="N1242" i="3"/>
  <c r="M1242" i="3"/>
  <c r="L1242" i="3"/>
  <c r="O1242" i="3"/>
  <c r="L1153" i="2"/>
  <c r="L1155" i="2"/>
  <c r="L1157" i="2"/>
  <c r="L1159" i="2"/>
  <c r="L1161" i="2"/>
  <c r="L1163" i="2"/>
  <c r="L1165" i="2"/>
  <c r="L1167" i="2"/>
  <c r="L1169" i="2"/>
  <c r="L1171" i="2"/>
  <c r="L1173" i="2"/>
  <c r="L1175" i="2"/>
  <c r="L1177" i="2"/>
  <c r="L1179" i="2"/>
  <c r="L1181" i="2"/>
  <c r="L1183" i="2"/>
  <c r="L1185" i="2"/>
  <c r="L1187" i="2"/>
  <c r="L1189" i="2"/>
  <c r="L1191" i="2"/>
  <c r="L1193" i="2"/>
  <c r="L1195" i="2"/>
  <c r="L1197" i="2"/>
  <c r="L1199" i="2"/>
  <c r="L1201" i="2"/>
  <c r="L1203" i="2"/>
  <c r="L1205" i="2"/>
  <c r="L1207" i="2"/>
  <c r="L1209" i="2"/>
  <c r="L1211" i="2"/>
  <c r="L1213" i="2"/>
  <c r="L1215" i="2"/>
  <c r="L1217" i="2"/>
  <c r="L1219" i="2"/>
  <c r="L1221" i="2"/>
  <c r="L1223" i="2"/>
  <c r="L1225" i="2"/>
  <c r="L1227" i="2"/>
  <c r="L1229" i="2"/>
  <c r="L1231" i="2"/>
  <c r="L1233" i="2"/>
  <c r="L1235" i="2"/>
  <c r="J1519" i="3"/>
  <c r="K1345" i="2"/>
  <c r="L1345" i="2"/>
  <c r="M13" i="3"/>
  <c r="M76" i="3"/>
  <c r="M94" i="3"/>
  <c r="L990" i="2"/>
  <c r="L992" i="2"/>
  <c r="K1037" i="2"/>
  <c r="K1039" i="2"/>
  <c r="K1041" i="2"/>
  <c r="K1043" i="2"/>
  <c r="K1045" i="2"/>
  <c r="L1228" i="3"/>
  <c r="P1228" i="3" s="1"/>
  <c r="M1228" i="3"/>
  <c r="N1228" i="3"/>
  <c r="O1228" i="3"/>
  <c r="N1230" i="3"/>
  <c r="M1230" i="3"/>
  <c r="O1230" i="3"/>
  <c r="L1230" i="3"/>
  <c r="L1232" i="3"/>
  <c r="O1232" i="3"/>
  <c r="N1232" i="3"/>
  <c r="M1232" i="3"/>
  <c r="L1234" i="3"/>
  <c r="M1234" i="3"/>
  <c r="O1234" i="3"/>
  <c r="N1234" i="3"/>
  <c r="N1236" i="3"/>
  <c r="O1236" i="3"/>
  <c r="L1236" i="3"/>
  <c r="M1236" i="3"/>
  <c r="L1238" i="3"/>
  <c r="O1238" i="3"/>
  <c r="N1238" i="3"/>
  <c r="M1238" i="3"/>
  <c r="K1066" i="2"/>
  <c r="K1068" i="2"/>
  <c r="L1249" i="3"/>
  <c r="O1249" i="3"/>
  <c r="M1249" i="3"/>
  <c r="N1249" i="3"/>
  <c r="N1251" i="3"/>
  <c r="O1251" i="3"/>
  <c r="M1251" i="3"/>
  <c r="L1251" i="3"/>
  <c r="L1253" i="3"/>
  <c r="P1253" i="3" s="1"/>
  <c r="M1253" i="3"/>
  <c r="O1253" i="3"/>
  <c r="N1253" i="3"/>
  <c r="L1255" i="3"/>
  <c r="P1255" i="3" s="1"/>
  <c r="O1255" i="3"/>
  <c r="N1255" i="3"/>
  <c r="M1255" i="3"/>
  <c r="N1257" i="3"/>
  <c r="O1257" i="3"/>
  <c r="L1257" i="3"/>
  <c r="M1257" i="3"/>
  <c r="L1259" i="3"/>
  <c r="O1259" i="3"/>
  <c r="N1259" i="3"/>
  <c r="M1259" i="3"/>
  <c r="L1261" i="3"/>
  <c r="O1261" i="3"/>
  <c r="N1261" i="3"/>
  <c r="M1261" i="3"/>
  <c r="L1263" i="3"/>
  <c r="O1263" i="3"/>
  <c r="M1263" i="3"/>
  <c r="N1263" i="3"/>
  <c r="N1265" i="3"/>
  <c r="L1265" i="3"/>
  <c r="M1265" i="3"/>
  <c r="O1265" i="3"/>
  <c r="O1267" i="3"/>
  <c r="N1267" i="3"/>
  <c r="M1267" i="3"/>
  <c r="L1267" i="3"/>
  <c r="J1504" i="3"/>
  <c r="L1330" i="2"/>
  <c r="K1330" i="2"/>
  <c r="J1509" i="3"/>
  <c r="K1335" i="2"/>
  <c r="L1335" i="2"/>
  <c r="M1340" i="2"/>
  <c r="M1346" i="2"/>
  <c r="M23" i="3"/>
  <c r="M77" i="3"/>
  <c r="M159" i="3"/>
  <c r="L1037" i="2"/>
  <c r="L1039" i="2"/>
  <c r="L1041" i="2"/>
  <c r="L1043" i="2"/>
  <c r="L1045" i="2"/>
  <c r="K1054" i="2"/>
  <c r="K1056" i="2"/>
  <c r="K1058" i="2"/>
  <c r="K1060" i="2"/>
  <c r="K1062" i="2"/>
  <c r="K1064" i="2"/>
  <c r="L1066" i="2"/>
  <c r="L1068" i="2"/>
  <c r="K1075" i="2"/>
  <c r="K1077" i="2"/>
  <c r="K1079" i="2"/>
  <c r="K1081" i="2"/>
  <c r="K1083" i="2"/>
  <c r="K1085" i="2"/>
  <c r="K1087" i="2"/>
  <c r="K1089" i="2"/>
  <c r="K1091" i="2"/>
  <c r="K1093" i="2"/>
  <c r="L1500" i="3"/>
  <c r="P1500" i="3" s="1"/>
  <c r="N1500" i="3"/>
  <c r="M1500" i="3"/>
  <c r="O1500" i="3"/>
  <c r="M1331" i="2"/>
  <c r="J1514" i="3"/>
  <c r="L1340" i="2"/>
  <c r="K1340" i="2"/>
  <c r="J1520" i="3"/>
  <c r="L1346" i="2"/>
  <c r="K1346" i="2"/>
  <c r="M15" i="3"/>
  <c r="M24" i="3"/>
  <c r="M86" i="3"/>
  <c r="M95" i="3"/>
  <c r="M47" i="3"/>
  <c r="M87" i="3"/>
  <c r="M96" i="3"/>
  <c r="M151" i="3"/>
  <c r="O1330" i="3"/>
  <c r="N1330" i="3"/>
  <c r="M1330" i="3"/>
  <c r="L1330" i="3"/>
  <c r="M1332" i="3"/>
  <c r="O1332" i="3"/>
  <c r="N1332" i="3"/>
  <c r="L1332" i="3"/>
  <c r="N1334" i="3"/>
  <c r="M1334" i="3"/>
  <c r="L1334" i="3"/>
  <c r="O1334" i="3"/>
  <c r="L1336" i="3"/>
  <c r="O1336" i="3"/>
  <c r="M1336" i="3"/>
  <c r="N1336" i="3"/>
  <c r="N1338" i="3"/>
  <c r="M1338" i="3"/>
  <c r="O1338" i="3"/>
  <c r="L1338" i="3"/>
  <c r="P1338" i="3" s="1"/>
  <c r="N1340" i="3"/>
  <c r="M1340" i="3"/>
  <c r="O1340" i="3"/>
  <c r="L1340" i="3"/>
  <c r="O1342" i="3"/>
  <c r="M1342" i="3"/>
  <c r="L1342" i="3"/>
  <c r="N1342" i="3"/>
  <c r="O1344" i="3"/>
  <c r="L1344" i="3"/>
  <c r="N1344" i="3"/>
  <c r="M1344" i="3"/>
  <c r="N1346" i="3"/>
  <c r="M1346" i="3"/>
  <c r="L1346" i="3"/>
  <c r="O1346" i="3"/>
  <c r="M1348" i="3"/>
  <c r="L1348" i="3"/>
  <c r="O1348" i="3"/>
  <c r="N1348" i="3"/>
  <c r="M1350" i="3"/>
  <c r="N1350" i="3"/>
  <c r="O1350" i="3"/>
  <c r="L1350" i="3"/>
  <c r="N1352" i="3"/>
  <c r="M1352" i="3"/>
  <c r="O1352" i="3"/>
  <c r="L1352" i="3"/>
  <c r="M1354" i="3"/>
  <c r="L1354" i="3"/>
  <c r="O1354" i="3"/>
  <c r="N1354" i="3"/>
  <c r="N1356" i="3"/>
  <c r="M1356" i="3"/>
  <c r="L1356" i="3"/>
  <c r="O1356" i="3"/>
  <c r="N1358" i="3"/>
  <c r="M1358" i="3"/>
  <c r="O1358" i="3"/>
  <c r="L1358" i="3"/>
  <c r="O1360" i="3"/>
  <c r="L1360" i="3"/>
  <c r="P1360" i="3" s="1"/>
  <c r="M1360" i="3"/>
  <c r="N1360" i="3"/>
  <c r="M1362" i="3"/>
  <c r="L1362" i="3"/>
  <c r="O1362" i="3"/>
  <c r="N1362" i="3"/>
  <c r="N1364" i="3"/>
  <c r="M1364" i="3"/>
  <c r="O1364" i="3"/>
  <c r="L1364" i="3"/>
  <c r="L1366" i="3"/>
  <c r="P1366" i="3" s="1"/>
  <c r="O1366" i="3"/>
  <c r="N1366" i="3"/>
  <c r="M1366" i="3"/>
  <c r="N1368" i="3"/>
  <c r="O1368" i="3"/>
  <c r="M1368" i="3"/>
  <c r="L1368" i="3"/>
  <c r="N1370" i="3"/>
  <c r="M1370" i="3"/>
  <c r="L1370" i="3"/>
  <c r="O1370" i="3"/>
  <c r="M1372" i="3"/>
  <c r="L1372" i="3"/>
  <c r="P1372" i="3" s="1"/>
  <c r="O1372" i="3"/>
  <c r="N1372" i="3"/>
  <c r="O1374" i="3"/>
  <c r="N1374" i="3"/>
  <c r="M1374" i="3"/>
  <c r="L1374" i="3"/>
  <c r="N1376" i="3"/>
  <c r="M1376" i="3"/>
  <c r="O1376" i="3"/>
  <c r="L1376" i="3"/>
  <c r="M1378" i="3"/>
  <c r="O1378" i="3"/>
  <c r="N1378" i="3"/>
  <c r="L1378" i="3"/>
  <c r="O1380" i="3"/>
  <c r="L1380" i="3"/>
  <c r="M1380" i="3"/>
  <c r="N1380" i="3"/>
  <c r="N1382" i="3"/>
  <c r="M1382" i="3"/>
  <c r="O1382" i="3"/>
  <c r="L1382" i="3"/>
  <c r="O1384" i="3"/>
  <c r="N1384" i="3"/>
  <c r="L1384" i="3"/>
  <c r="P1384" i="3" s="1"/>
  <c r="M1384" i="3"/>
  <c r="M1386" i="3"/>
  <c r="L1386" i="3"/>
  <c r="N1386" i="3"/>
  <c r="O1386" i="3"/>
  <c r="N1388" i="3"/>
  <c r="M1388" i="3"/>
  <c r="O1388" i="3"/>
  <c r="L1388" i="3"/>
  <c r="M1390" i="3"/>
  <c r="L1390" i="3"/>
  <c r="O1390" i="3"/>
  <c r="N1390" i="3"/>
  <c r="N1392" i="3"/>
  <c r="M1392" i="3"/>
  <c r="L1392" i="3"/>
  <c r="O1392" i="3"/>
  <c r="N1394" i="3"/>
  <c r="M1394" i="3"/>
  <c r="O1394" i="3"/>
  <c r="L1394" i="3"/>
  <c r="P1394" i="3" s="1"/>
  <c r="O1396" i="3"/>
  <c r="L1396" i="3"/>
  <c r="N1396" i="3"/>
  <c r="M1396" i="3"/>
  <c r="M1398" i="3"/>
  <c r="O1398" i="3"/>
  <c r="N1398" i="3"/>
  <c r="L1398" i="3"/>
  <c r="N1400" i="3"/>
  <c r="O1400" i="3"/>
  <c r="M1400" i="3"/>
  <c r="L1400" i="3"/>
  <c r="N1402" i="3"/>
  <c r="O1402" i="3"/>
  <c r="M1402" i="3"/>
  <c r="L1402" i="3"/>
  <c r="M1404" i="3"/>
  <c r="L1404" i="3"/>
  <c r="O1404" i="3"/>
  <c r="N1404" i="3"/>
  <c r="O1406" i="3"/>
  <c r="M1406" i="3"/>
  <c r="L1406" i="3"/>
  <c r="N1406" i="3"/>
  <c r="O1408" i="3"/>
  <c r="N1408" i="3"/>
  <c r="M1408" i="3"/>
  <c r="L1408" i="3"/>
  <c r="M1410" i="3"/>
  <c r="L1410" i="3"/>
  <c r="N1410" i="3"/>
  <c r="O1410" i="3"/>
  <c r="J1510" i="3"/>
  <c r="L1336" i="2"/>
  <c r="K1336" i="2"/>
  <c r="J1515" i="3"/>
  <c r="K1341" i="2"/>
  <c r="L1341" i="2"/>
  <c r="J1521" i="3"/>
  <c r="K1347" i="2"/>
  <c r="L1347" i="2"/>
  <c r="M161" i="3"/>
  <c r="L1159" i="3"/>
  <c r="O1159" i="3"/>
  <c r="N1159" i="3"/>
  <c r="M1159" i="3"/>
  <c r="O1161" i="3"/>
  <c r="M1161" i="3"/>
  <c r="N1161" i="3"/>
  <c r="L1161" i="3"/>
  <c r="P1161" i="3" s="1"/>
  <c r="N1163" i="3"/>
  <c r="M1163" i="3"/>
  <c r="O1163" i="3"/>
  <c r="L1163" i="3"/>
  <c r="M1165" i="3"/>
  <c r="O1165" i="3"/>
  <c r="N1165" i="3"/>
  <c r="L1165" i="3"/>
  <c r="O1167" i="3"/>
  <c r="N1167" i="3"/>
  <c r="M1167" i="3"/>
  <c r="L1167" i="3"/>
  <c r="N1169" i="3"/>
  <c r="M1169" i="3"/>
  <c r="O1169" i="3"/>
  <c r="L1169" i="3"/>
  <c r="O1171" i="3"/>
  <c r="M1171" i="3"/>
  <c r="L1171" i="3"/>
  <c r="N1171" i="3"/>
  <c r="O1173" i="3"/>
  <c r="L1173" i="3"/>
  <c r="N1173" i="3"/>
  <c r="M1173" i="3"/>
  <c r="N1175" i="3"/>
  <c r="M1175" i="3"/>
  <c r="O1175" i="3"/>
  <c r="L1175" i="3"/>
  <c r="P1175" i="3" s="1"/>
  <c r="O1177" i="3"/>
  <c r="N1177" i="3"/>
  <c r="M1177" i="3"/>
  <c r="L1177" i="3"/>
  <c r="P1177" i="3" s="1"/>
  <c r="L1179" i="3"/>
  <c r="P1179" i="3" s="1"/>
  <c r="O1179" i="3"/>
  <c r="N1179" i="3"/>
  <c r="M1179" i="3"/>
  <c r="N1181" i="3"/>
  <c r="L1181" i="3"/>
  <c r="P1181" i="3" s="1"/>
  <c r="M1181" i="3"/>
  <c r="O1181" i="3"/>
  <c r="N1183" i="3"/>
  <c r="M1183" i="3"/>
  <c r="L1183" i="3"/>
  <c r="O1183" i="3"/>
  <c r="O1185" i="3"/>
  <c r="L1185" i="3"/>
  <c r="M1185" i="3"/>
  <c r="N1185" i="3"/>
  <c r="N1187" i="3"/>
  <c r="L1187" i="3"/>
  <c r="M1187" i="3"/>
  <c r="O1187" i="3"/>
  <c r="M1189" i="3"/>
  <c r="L1189" i="3"/>
  <c r="O1189" i="3"/>
  <c r="N1189" i="3"/>
  <c r="N1191" i="3"/>
  <c r="O1191" i="3"/>
  <c r="M1191" i="3"/>
  <c r="L1191" i="3"/>
  <c r="O1222" i="3"/>
  <c r="N1222" i="3"/>
  <c r="M1222" i="3"/>
  <c r="L1222" i="3"/>
  <c r="N1224" i="3"/>
  <c r="O1224" i="3"/>
  <c r="M1224" i="3"/>
  <c r="L1224" i="3"/>
  <c r="N1245" i="3"/>
  <c r="O1245" i="3"/>
  <c r="M1245" i="3"/>
  <c r="L1245" i="3"/>
  <c r="N1247" i="3"/>
  <c r="L1247" i="3"/>
  <c r="O1247" i="3"/>
  <c r="M1247" i="3"/>
  <c r="K1156" i="2"/>
  <c r="K1158" i="2"/>
  <c r="K1160" i="2"/>
  <c r="K1162" i="2"/>
  <c r="K1164" i="2"/>
  <c r="K1166" i="2"/>
  <c r="K1168" i="2"/>
  <c r="K1170" i="2"/>
  <c r="K1172" i="2"/>
  <c r="K1174" i="2"/>
  <c r="K1176" i="2"/>
  <c r="K1178" i="2"/>
  <c r="K1180" i="2"/>
  <c r="K1182" i="2"/>
  <c r="K1184" i="2"/>
  <c r="K1186" i="2"/>
  <c r="K1188" i="2"/>
  <c r="K1190" i="2"/>
  <c r="K1192" i="2"/>
  <c r="K1194" i="2"/>
  <c r="K1196" i="2"/>
  <c r="K1198" i="2"/>
  <c r="K1200" i="2"/>
  <c r="K1202" i="2"/>
  <c r="K1204" i="2"/>
  <c r="K1206" i="2"/>
  <c r="K1208" i="2"/>
  <c r="K1210" i="2"/>
  <c r="K1212" i="2"/>
  <c r="K1214" i="2"/>
  <c r="K1216" i="2"/>
  <c r="K1218" i="2"/>
  <c r="K1220" i="2"/>
  <c r="K1222" i="2"/>
  <c r="K1224" i="2"/>
  <c r="K1226" i="2"/>
  <c r="K1228" i="2"/>
  <c r="K1230" i="2"/>
  <c r="K1232" i="2"/>
  <c r="K1234" i="2"/>
  <c r="K1236" i="2"/>
  <c r="L1546" i="3"/>
  <c r="P1546" i="3" s="1"/>
  <c r="M1408" i="2"/>
  <c r="M9" i="3"/>
  <c r="M17" i="3"/>
  <c r="M60" i="3"/>
  <c r="M88" i="3"/>
  <c r="M153" i="3"/>
  <c r="O1212" i="3"/>
  <c r="N1212" i="3"/>
  <c r="M1212" i="3"/>
  <c r="L1212" i="3"/>
  <c r="N1214" i="3"/>
  <c r="L1214" i="3"/>
  <c r="M1214" i="3"/>
  <c r="O1214" i="3"/>
  <c r="L1216" i="3"/>
  <c r="O1216" i="3"/>
  <c r="N1216" i="3"/>
  <c r="M1216" i="3"/>
  <c r="O1218" i="3"/>
  <c r="L1218" i="3"/>
  <c r="P1218" i="3" s="1"/>
  <c r="M1218" i="3"/>
  <c r="N1218" i="3"/>
  <c r="N1220" i="3"/>
  <c r="L1220" i="3"/>
  <c r="P1220" i="3" s="1"/>
  <c r="M1220" i="3"/>
  <c r="O1220" i="3"/>
  <c r="N1241" i="3"/>
  <c r="L1241" i="3"/>
  <c r="O1241" i="3"/>
  <c r="M1241" i="3"/>
  <c r="M1243" i="3"/>
  <c r="L1243" i="3"/>
  <c r="O1243" i="3"/>
  <c r="N1243" i="3"/>
  <c r="L1156" i="2"/>
  <c r="L1158" i="2"/>
  <c r="L1160" i="2"/>
  <c r="L1162" i="2"/>
  <c r="L1164" i="2"/>
  <c r="L1166" i="2"/>
  <c r="L1168" i="2"/>
  <c r="L1170" i="2"/>
  <c r="L1172" i="2"/>
  <c r="L1174" i="2"/>
  <c r="L1176" i="2"/>
  <c r="L1178" i="2"/>
  <c r="L1180" i="2"/>
  <c r="L1182" i="2"/>
  <c r="L1184" i="2"/>
  <c r="L1186" i="2"/>
  <c r="L1188" i="2"/>
  <c r="L1190" i="2"/>
  <c r="L1192" i="2"/>
  <c r="L1194" i="2"/>
  <c r="L1196" i="2"/>
  <c r="L1198" i="2"/>
  <c r="L1200" i="2"/>
  <c r="L1202" i="2"/>
  <c r="L1204" i="2"/>
  <c r="L1206" i="2"/>
  <c r="L1208" i="2"/>
  <c r="L1210" i="2"/>
  <c r="L1212" i="2"/>
  <c r="L1214" i="2"/>
  <c r="L1216" i="2"/>
  <c r="L1218" i="2"/>
  <c r="L1220" i="2"/>
  <c r="L1222" i="2"/>
  <c r="L1224" i="2"/>
  <c r="L1226" i="2"/>
  <c r="L1228" i="2"/>
  <c r="L1230" i="2"/>
  <c r="L1232" i="2"/>
  <c r="L1234" i="2"/>
  <c r="L1236" i="2"/>
  <c r="J1506" i="3"/>
  <c r="L1332" i="2"/>
  <c r="K1332" i="2"/>
  <c r="J1511" i="3"/>
  <c r="K1337" i="2"/>
  <c r="L1337" i="2"/>
  <c r="J1516" i="3"/>
  <c r="L1342" i="2"/>
  <c r="K1342" i="2"/>
  <c r="L1522" i="3"/>
  <c r="N1522" i="3"/>
  <c r="M1522" i="3"/>
  <c r="O1522" i="3"/>
  <c r="M26" i="3"/>
  <c r="M98" i="3"/>
  <c r="N1227" i="3"/>
  <c r="L1227" i="3"/>
  <c r="M1227" i="3"/>
  <c r="O1227" i="3"/>
  <c r="N1229" i="3"/>
  <c r="L1229" i="3"/>
  <c r="O1229" i="3"/>
  <c r="M1229" i="3"/>
  <c r="M1231" i="3"/>
  <c r="N1231" i="3"/>
  <c r="O1231" i="3"/>
  <c r="L1231" i="3"/>
  <c r="P1231" i="3" s="1"/>
  <c r="N1233" i="3"/>
  <c r="O1233" i="3"/>
  <c r="M1233" i="3"/>
  <c r="L1233" i="3"/>
  <c r="N1235" i="3"/>
  <c r="L1235" i="3"/>
  <c r="P1235" i="3" s="1"/>
  <c r="O1235" i="3"/>
  <c r="M1235" i="3"/>
  <c r="M1237" i="3"/>
  <c r="N1237" i="3"/>
  <c r="O1237" i="3"/>
  <c r="L1237" i="3"/>
  <c r="K1067" i="2"/>
  <c r="N1250" i="3"/>
  <c r="L1250" i="3"/>
  <c r="O1250" i="3"/>
  <c r="M1250" i="3"/>
  <c r="O1252" i="3"/>
  <c r="L1252" i="3"/>
  <c r="N1252" i="3"/>
  <c r="M1252" i="3"/>
  <c r="N1254" i="3"/>
  <c r="O1254" i="3"/>
  <c r="M1254" i="3"/>
  <c r="L1254" i="3"/>
  <c r="N1256" i="3"/>
  <c r="L1256" i="3"/>
  <c r="M1256" i="3"/>
  <c r="O1256" i="3"/>
  <c r="O1258" i="3"/>
  <c r="L1258" i="3"/>
  <c r="P1258" i="3" s="1"/>
  <c r="M1258" i="3"/>
  <c r="N1258" i="3"/>
  <c r="N1260" i="3"/>
  <c r="O1260" i="3"/>
  <c r="L1260" i="3"/>
  <c r="M1260" i="3"/>
  <c r="N1262" i="3"/>
  <c r="L1262" i="3"/>
  <c r="O1262" i="3"/>
  <c r="M1262" i="3"/>
  <c r="N1264" i="3"/>
  <c r="O1264" i="3"/>
  <c r="M1264" i="3"/>
  <c r="L1264" i="3"/>
  <c r="N1266" i="3"/>
  <c r="L1266" i="3"/>
  <c r="O1266" i="3"/>
  <c r="M1266" i="3"/>
  <c r="M1328" i="2"/>
  <c r="M10" i="3"/>
  <c r="M18" i="3"/>
  <c r="M39" i="3"/>
  <c r="M51" i="3"/>
  <c r="M61" i="3"/>
  <c r="M72" i="3"/>
  <c r="M81" i="3"/>
  <c r="M89" i="3"/>
  <c r="M154" i="3"/>
  <c r="L1038" i="2"/>
  <c r="L1040" i="2"/>
  <c r="L1042" i="2"/>
  <c r="L1044" i="2"/>
  <c r="L1046" i="2"/>
  <c r="K1053" i="2"/>
  <c r="K1055" i="2"/>
  <c r="K1057" i="2"/>
  <c r="K1059" i="2"/>
  <c r="K1061" i="2"/>
  <c r="K1063" i="2"/>
  <c r="L1067" i="2"/>
  <c r="L1069" i="2"/>
  <c r="K1076" i="2"/>
  <c r="K1078" i="2"/>
  <c r="K1080" i="2"/>
  <c r="K1082" i="2"/>
  <c r="K1084" i="2"/>
  <c r="K1086" i="2"/>
  <c r="K1088" i="2"/>
  <c r="K1090" i="2"/>
  <c r="K1092" i="2"/>
  <c r="J1502" i="3"/>
  <c r="L1328" i="2"/>
  <c r="K1328" i="2"/>
  <c r="J1507" i="3"/>
  <c r="K1333" i="2"/>
  <c r="L1333" i="2"/>
  <c r="J1517" i="3"/>
  <c r="K1343" i="2"/>
  <c r="L1343" i="2"/>
  <c r="N1523" i="3"/>
  <c r="O1523" i="3"/>
  <c r="M1523" i="3"/>
  <c r="L1523" i="3"/>
  <c r="M82" i="3"/>
  <c r="M99" i="3"/>
  <c r="M155" i="3"/>
  <c r="L1349" i="2"/>
  <c r="L1357" i="2"/>
  <c r="I18" i="3"/>
  <c r="I47" i="3"/>
  <c r="M50" i="3"/>
  <c r="I77" i="3"/>
  <c r="I82" i="3"/>
  <c r="M85" i="3"/>
  <c r="O135" i="3"/>
  <c r="I157" i="3"/>
  <c r="M160" i="3"/>
  <c r="L1362" i="2"/>
  <c r="M49" i="3"/>
  <c r="I76" i="3"/>
  <c r="M79" i="3"/>
  <c r="I81" i="3"/>
  <c r="I101" i="3"/>
  <c r="P686" i="3"/>
  <c r="M8" i="3"/>
  <c r="M19" i="3"/>
  <c r="M48" i="3"/>
  <c r="L1360" i="2"/>
  <c r="I15" i="3"/>
  <c r="I26" i="3"/>
  <c r="I39" i="3"/>
  <c r="I61" i="3"/>
  <c r="I99" i="3"/>
  <c r="L126" i="3"/>
  <c r="P126" i="3" s="1"/>
  <c r="I154" i="3"/>
  <c r="L1353" i="2"/>
  <c r="L1365" i="2"/>
  <c r="M126" i="3"/>
  <c r="K1348" i="2"/>
  <c r="L1358" i="2"/>
  <c r="I89" i="3"/>
  <c r="N126" i="3"/>
  <c r="K1326" i="2"/>
  <c r="L1348" i="2"/>
  <c r="I13" i="3"/>
  <c r="I23" i="3"/>
  <c r="I31" i="3"/>
  <c r="O126" i="3"/>
  <c r="I151" i="3"/>
  <c r="L1326" i="2"/>
  <c r="M1348" i="2"/>
  <c r="L1356" i="2"/>
  <c r="I52" i="3"/>
  <c r="I72" i="3"/>
  <c r="I95" i="3"/>
  <c r="L130" i="3"/>
  <c r="P130" i="3" s="1"/>
  <c r="L1361" i="2"/>
  <c r="I11" i="3"/>
  <c r="I21" i="3"/>
  <c r="I86" i="3"/>
  <c r="P673" i="3"/>
  <c r="L1354" i="2"/>
  <c r="L135" i="3"/>
  <c r="L1359" i="2"/>
  <c r="M135" i="3"/>
  <c r="K1349" i="2"/>
  <c r="L1352" i="2"/>
  <c r="L1364" i="2"/>
  <c r="L346" i="3"/>
  <c r="P346" i="3" s="1"/>
  <c r="O346" i="3"/>
  <c r="M346" i="3"/>
  <c r="N346" i="3"/>
  <c r="M604" i="3"/>
  <c r="A939" i="3"/>
  <c r="A938" i="3"/>
  <c r="N685" i="3"/>
  <c r="M685" i="3"/>
  <c r="O685" i="3"/>
  <c r="L685" i="3"/>
  <c r="P685" i="3" s="1"/>
  <c r="O678" i="3"/>
  <c r="M678" i="3"/>
  <c r="L678" i="3"/>
  <c r="P678" i="3" s="1"/>
  <c r="N678" i="3"/>
  <c r="I604" i="3"/>
  <c r="L675" i="3"/>
  <c r="P675" i="3" s="1"/>
  <c r="M675" i="3"/>
  <c r="O675" i="3"/>
  <c r="M686" i="3"/>
  <c r="N686" i="3"/>
  <c r="M779" i="3"/>
  <c r="L779" i="3"/>
  <c r="P779" i="3" s="1"/>
  <c r="N779" i="3"/>
  <c r="M677" i="3"/>
  <c r="P677" i="3" s="1"/>
  <c r="M680" i="3"/>
  <c r="P680" i="3" s="1"/>
  <c r="N680" i="3"/>
  <c r="O779" i="3"/>
  <c r="O684" i="3"/>
  <c r="M684" i="3"/>
  <c r="P775" i="3"/>
  <c r="L684" i="3"/>
  <c r="N684" i="3"/>
  <c r="N679" i="3"/>
  <c r="M679" i="3"/>
  <c r="M683" i="3"/>
  <c r="L679" i="3"/>
  <c r="L683" i="3"/>
  <c r="P683" i="3" s="1"/>
  <c r="N672" i="3"/>
  <c r="P672" i="3" s="1"/>
  <c r="O673" i="3"/>
  <c r="O674" i="3"/>
  <c r="P674" i="3" s="1"/>
  <c r="P974" i="3"/>
  <c r="L738" i="3"/>
  <c r="P738" i="3" s="1"/>
  <c r="P968" i="3"/>
  <c r="P988" i="3"/>
  <c r="P980" i="3"/>
  <c r="L681" i="3"/>
  <c r="P681" i="3" s="1"/>
  <c r="P975" i="3"/>
  <c r="P1021" i="3"/>
  <c r="P963" i="3"/>
  <c r="P987" i="3"/>
  <c r="P953" i="3"/>
  <c r="M1076" i="3"/>
  <c r="I1076" i="3"/>
  <c r="M1061" i="3"/>
  <c r="I1061" i="3"/>
  <c r="P990" i="3"/>
  <c r="M1030" i="3"/>
  <c r="I1019" i="3"/>
  <c r="M1019" i="3"/>
  <c r="I1056" i="3"/>
  <c r="M1056" i="3"/>
  <c r="I1077" i="3"/>
  <c r="M1077" i="3"/>
  <c r="M1014" i="3"/>
  <c r="I1021" i="3"/>
  <c r="I1036" i="3"/>
  <c r="M1036" i="3"/>
  <c r="I1060" i="3"/>
  <c r="P1139" i="3"/>
  <c r="M1062" i="3"/>
  <c r="M1016" i="3"/>
  <c r="I1062" i="3"/>
  <c r="P977" i="3"/>
  <c r="P994" i="3"/>
  <c r="I1016" i="3"/>
  <c r="M1031" i="3"/>
  <c r="P1120" i="3"/>
  <c r="P1127" i="3"/>
  <c r="P970" i="3"/>
  <c r="P1093" i="3"/>
  <c r="P1091" i="3"/>
  <c r="P1097" i="3"/>
  <c r="P1131" i="3"/>
  <c r="P1146" i="3"/>
  <c r="L1192" i="3"/>
  <c r="N1192" i="3"/>
  <c r="M1192" i="3"/>
  <c r="O1192" i="3"/>
  <c r="N1239" i="3"/>
  <c r="M1239" i="3"/>
  <c r="P1244" i="3"/>
  <c r="L1239" i="3"/>
  <c r="P1125" i="3"/>
  <c r="P1111" i="3"/>
  <c r="P1130" i="3"/>
  <c r="O1221" i="3"/>
  <c r="P1221" i="3" s="1"/>
  <c r="O1244" i="3"/>
  <c r="N1537" i="3"/>
  <c r="O1537" i="3"/>
  <c r="M1537" i="3"/>
  <c r="L1537" i="3"/>
  <c r="N1540" i="3"/>
  <c r="L1540" i="3"/>
  <c r="L1538" i="3"/>
  <c r="M1540" i="3"/>
  <c r="L1571" i="3"/>
  <c r="L1501" i="3"/>
  <c r="M1501" i="3"/>
  <c r="L1533" i="3"/>
  <c r="M1533" i="3"/>
  <c r="M1538" i="3"/>
  <c r="O1540" i="3"/>
  <c r="P1545" i="3"/>
  <c r="O1538" i="3"/>
  <c r="N1531" i="3"/>
  <c r="O1531" i="3"/>
  <c r="L1531" i="3"/>
  <c r="M1531" i="3"/>
  <c r="L1536" i="3"/>
  <c r="N1536" i="3"/>
  <c r="M1536" i="3"/>
  <c r="O1536" i="3"/>
  <c r="O1411" i="3"/>
  <c r="N1411" i="3"/>
  <c r="P1529" i="3"/>
  <c r="L1411" i="3"/>
  <c r="P1411" i="3" s="1"/>
  <c r="P1543" i="3"/>
  <c r="L1542" i="3"/>
  <c r="N1542" i="3"/>
  <c r="M1542" i="3"/>
  <c r="L1532" i="3"/>
  <c r="P1541" i="3"/>
  <c r="N1543" i="3"/>
  <c r="O1543" i="3"/>
  <c r="O1532" i="3"/>
  <c r="N1532" i="3"/>
  <c r="N1534" i="3"/>
  <c r="M1534" i="3"/>
  <c r="L1534" i="3"/>
  <c r="M1384" i="2" l="1"/>
  <c r="O1406" i="2"/>
  <c r="L1406" i="2"/>
  <c r="K1410" i="2"/>
  <c r="L693" i="3"/>
  <c r="P693" i="3" s="1"/>
  <c r="L1409" i="2"/>
  <c r="L1547" i="3"/>
  <c r="M1409" i="2"/>
  <c r="P1540" i="3"/>
  <c r="P135" i="3"/>
  <c r="P1224" i="3"/>
  <c r="P1396" i="3"/>
  <c r="P1380" i="3"/>
  <c r="P1374" i="3"/>
  <c r="P1348" i="3"/>
  <c r="P1232" i="3"/>
  <c r="P1176" i="3"/>
  <c r="P1164" i="3"/>
  <c r="P1391" i="3"/>
  <c r="P1369" i="3"/>
  <c r="P1363" i="3"/>
  <c r="P1341" i="3"/>
  <c r="P1329" i="3"/>
  <c r="P1461" i="3"/>
  <c r="P1445" i="3"/>
  <c r="P1439" i="3"/>
  <c r="P1429" i="3"/>
  <c r="P947" i="3"/>
  <c r="P939" i="3"/>
  <c r="P928" i="3"/>
  <c r="P918" i="3"/>
  <c r="P880" i="3"/>
  <c r="P864" i="3"/>
  <c r="L1452" i="3"/>
  <c r="O1452" i="3"/>
  <c r="M1452" i="3"/>
  <c r="N1452" i="3"/>
  <c r="M1428" i="3"/>
  <c r="L1428" i="3"/>
  <c r="P1428" i="3" s="1"/>
  <c r="O1428" i="3"/>
  <c r="N1428" i="3"/>
  <c r="O1063" i="3"/>
  <c r="N1063" i="3"/>
  <c r="M1063" i="3"/>
  <c r="L1063" i="3"/>
  <c r="P309" i="3"/>
  <c r="P303" i="3"/>
  <c r="P297" i="3"/>
  <c r="P291" i="3"/>
  <c r="P285" i="3"/>
  <c r="P1017" i="3"/>
  <c r="O1053" i="3"/>
  <c r="N1053" i="3"/>
  <c r="M1053" i="3"/>
  <c r="L1053" i="3"/>
  <c r="O1306" i="3"/>
  <c r="N1306" i="3"/>
  <c r="M1306" i="3"/>
  <c r="L1306" i="3"/>
  <c r="N1282" i="3"/>
  <c r="L1282" i="3"/>
  <c r="O1282" i="3"/>
  <c r="M1282" i="3"/>
  <c r="O1202" i="3"/>
  <c r="N1202" i="3"/>
  <c r="M1202" i="3"/>
  <c r="L1202" i="3"/>
  <c r="P944" i="3"/>
  <c r="P931" i="3"/>
  <c r="P911" i="3"/>
  <c r="P889" i="3"/>
  <c r="P834" i="3"/>
  <c r="M1448" i="3"/>
  <c r="O1448" i="3"/>
  <c r="N1448" i="3"/>
  <c r="L1448" i="3"/>
  <c r="P1448" i="3" s="1"/>
  <c r="L1424" i="3"/>
  <c r="N1424" i="3"/>
  <c r="M1424" i="3"/>
  <c r="O1424" i="3"/>
  <c r="N1058" i="3"/>
  <c r="O1058" i="3"/>
  <c r="M1058" i="3"/>
  <c r="L1058" i="3"/>
  <c r="P658" i="3"/>
  <c r="P654" i="3"/>
  <c r="P632" i="3"/>
  <c r="P626" i="3"/>
  <c r="P616" i="3"/>
  <c r="P811" i="3"/>
  <c r="P795" i="3"/>
  <c r="P351" i="3"/>
  <c r="P266" i="3"/>
  <c r="P208" i="3"/>
  <c r="P202" i="3"/>
  <c r="P196" i="3"/>
  <c r="P190" i="3"/>
  <c r="P184" i="3"/>
  <c r="P154" i="3"/>
  <c r="P148" i="3"/>
  <c r="P497" i="3"/>
  <c r="P707" i="3"/>
  <c r="O488" i="3"/>
  <c r="N488" i="3"/>
  <c r="M488" i="3"/>
  <c r="L488" i="3"/>
  <c r="P427" i="3"/>
  <c r="P98" i="3"/>
  <c r="N754" i="3"/>
  <c r="O754" i="3"/>
  <c r="M754" i="3"/>
  <c r="L754" i="3"/>
  <c r="P754" i="3" s="1"/>
  <c r="N615" i="3"/>
  <c r="M615" i="3"/>
  <c r="L615" i="3"/>
  <c r="O615" i="3"/>
  <c r="O567" i="3"/>
  <c r="M567" i="3"/>
  <c r="L567" i="3"/>
  <c r="N567" i="3"/>
  <c r="P429" i="3"/>
  <c r="O516" i="3"/>
  <c r="M516" i="3"/>
  <c r="L516" i="3"/>
  <c r="N516" i="3"/>
  <c r="O468" i="3"/>
  <c r="L468" i="3"/>
  <c r="P468" i="3" s="1"/>
  <c r="N468" i="3"/>
  <c r="M468" i="3"/>
  <c r="O619" i="3"/>
  <c r="N619" i="3"/>
  <c r="M619" i="3"/>
  <c r="L619" i="3"/>
  <c r="O374" i="3"/>
  <c r="M374" i="3"/>
  <c r="N374" i="3"/>
  <c r="L374" i="3"/>
  <c r="P71" i="3"/>
  <c r="P53" i="3"/>
  <c r="P15" i="3"/>
  <c r="P720" i="3"/>
  <c r="O520" i="3"/>
  <c r="M520" i="3"/>
  <c r="N520" i="3"/>
  <c r="L520" i="3"/>
  <c r="P483" i="3"/>
  <c r="L400" i="3"/>
  <c r="O400" i="3"/>
  <c r="N400" i="3"/>
  <c r="M400" i="3"/>
  <c r="P334" i="3"/>
  <c r="P201" i="3"/>
  <c r="P195" i="3"/>
  <c r="P189" i="3"/>
  <c r="P177" i="3"/>
  <c r="P171" i="3"/>
  <c r="P165" i="3"/>
  <c r="P145" i="3"/>
  <c r="O812" i="3"/>
  <c r="N812" i="3"/>
  <c r="L812" i="3"/>
  <c r="P812" i="3" s="1"/>
  <c r="M812" i="3"/>
  <c r="P538" i="3"/>
  <c r="O474" i="3"/>
  <c r="M474" i="3"/>
  <c r="L474" i="3"/>
  <c r="P474" i="3" s="1"/>
  <c r="N474" i="3"/>
  <c r="P389" i="3"/>
  <c r="O649" i="3"/>
  <c r="N649" i="3"/>
  <c r="M649" i="3"/>
  <c r="L649" i="3"/>
  <c r="P338" i="3"/>
  <c r="P99" i="3"/>
  <c r="P787" i="3"/>
  <c r="L430" i="3"/>
  <c r="O430" i="3"/>
  <c r="M430" i="3"/>
  <c r="N430" i="3"/>
  <c r="P750" i="3"/>
  <c r="P491" i="3"/>
  <c r="O655" i="3"/>
  <c r="M655" i="3"/>
  <c r="N655" i="3"/>
  <c r="L655" i="3"/>
  <c r="P655" i="3" s="1"/>
  <c r="P546" i="3"/>
  <c r="P117" i="3"/>
  <c r="P28" i="3"/>
  <c r="P8" i="3"/>
  <c r="P1542" i="3"/>
  <c r="P1537" i="3"/>
  <c r="P1256" i="3"/>
  <c r="P1212" i="3"/>
  <c r="P1171" i="3"/>
  <c r="P1165" i="3"/>
  <c r="P1406" i="3"/>
  <c r="P1400" i="3"/>
  <c r="P1390" i="3"/>
  <c r="P1368" i="3"/>
  <c r="P1352" i="3"/>
  <c r="P1342" i="3"/>
  <c r="P1261" i="3"/>
  <c r="P1236" i="3"/>
  <c r="P1230" i="3"/>
  <c r="P1242" i="3"/>
  <c r="P1219" i="3"/>
  <c r="P1475" i="3"/>
  <c r="P1423" i="3"/>
  <c r="O1075" i="3"/>
  <c r="M1075" i="3"/>
  <c r="L1075" i="3"/>
  <c r="P1075" i="3" s="1"/>
  <c r="N1075" i="3"/>
  <c r="L1309" i="3"/>
  <c r="O1309" i="3"/>
  <c r="N1309" i="3"/>
  <c r="M1309" i="3"/>
  <c r="O1285" i="3"/>
  <c r="N1285" i="3"/>
  <c r="M1285" i="3"/>
  <c r="L1285" i="3"/>
  <c r="M1197" i="3"/>
  <c r="O1197" i="3"/>
  <c r="N1197" i="3"/>
  <c r="L1197" i="3"/>
  <c r="P1197" i="3" s="1"/>
  <c r="P954" i="3"/>
  <c r="P934" i="3"/>
  <c r="P908" i="3"/>
  <c r="P902" i="3"/>
  <c r="P874" i="3"/>
  <c r="P858" i="3"/>
  <c r="N1308" i="3"/>
  <c r="O1308" i="3"/>
  <c r="M1308" i="3"/>
  <c r="L1308" i="3"/>
  <c r="M1284" i="3"/>
  <c r="L1284" i="3"/>
  <c r="O1284" i="3"/>
  <c r="N1284" i="3"/>
  <c r="N1193" i="3"/>
  <c r="L1193" i="3"/>
  <c r="O1193" i="3"/>
  <c r="M1193" i="3"/>
  <c r="P843" i="3"/>
  <c r="P734" i="3"/>
  <c r="P279" i="3"/>
  <c r="N1079" i="3"/>
  <c r="M1079" i="3"/>
  <c r="L1079" i="3"/>
  <c r="O1079" i="3"/>
  <c r="M1319" i="3"/>
  <c r="O1319" i="3"/>
  <c r="N1319" i="3"/>
  <c r="L1319" i="3"/>
  <c r="N1295" i="3"/>
  <c r="M1295" i="3"/>
  <c r="L1295" i="3"/>
  <c r="O1295" i="3"/>
  <c r="O1271" i="3"/>
  <c r="N1271" i="3"/>
  <c r="M1271" i="3"/>
  <c r="L1271" i="3"/>
  <c r="P1047" i="3"/>
  <c r="P1024" i="3"/>
  <c r="P1005" i="3"/>
  <c r="N1480" i="3"/>
  <c r="M1480" i="3"/>
  <c r="O1480" i="3"/>
  <c r="L1480" i="3"/>
  <c r="P1480" i="3" s="1"/>
  <c r="P917" i="3"/>
  <c r="P905" i="3"/>
  <c r="P877" i="3"/>
  <c r="O1195" i="3"/>
  <c r="N1195" i="3"/>
  <c r="M1195" i="3"/>
  <c r="L1195" i="3"/>
  <c r="O1317" i="3"/>
  <c r="N1317" i="3"/>
  <c r="L1317" i="3"/>
  <c r="M1317" i="3"/>
  <c r="O1293" i="3"/>
  <c r="N1293" i="3"/>
  <c r="L1293" i="3"/>
  <c r="M1293" i="3"/>
  <c r="N1269" i="3"/>
  <c r="L1269" i="3"/>
  <c r="M1269" i="3"/>
  <c r="O1269" i="3"/>
  <c r="P846" i="3"/>
  <c r="P840" i="3"/>
  <c r="N1328" i="3"/>
  <c r="M1328" i="3"/>
  <c r="O1328" i="3"/>
  <c r="L1328" i="3"/>
  <c r="P1328" i="3" s="1"/>
  <c r="N1304" i="3"/>
  <c r="M1304" i="3"/>
  <c r="O1304" i="3"/>
  <c r="L1304" i="3"/>
  <c r="N1280" i="3"/>
  <c r="M1280" i="3"/>
  <c r="O1280" i="3"/>
  <c r="L1280" i="3"/>
  <c r="P1031" i="3"/>
  <c r="P1025" i="3"/>
  <c r="P823" i="3"/>
  <c r="P817" i="3"/>
  <c r="P781" i="3"/>
  <c r="P727" i="3"/>
  <c r="N609" i="3"/>
  <c r="M609" i="3"/>
  <c r="L609" i="3"/>
  <c r="O609" i="3"/>
  <c r="O508" i="3"/>
  <c r="M508" i="3"/>
  <c r="N508" i="3"/>
  <c r="L508" i="3"/>
  <c r="P423" i="3"/>
  <c r="P270" i="3"/>
  <c r="P260" i="3"/>
  <c r="P178" i="3"/>
  <c r="P172" i="3"/>
  <c r="P166" i="3"/>
  <c r="P749" i="3"/>
  <c r="L659" i="3"/>
  <c r="P659" i="3" s="1"/>
  <c r="M659" i="3"/>
  <c r="O659" i="3"/>
  <c r="N659" i="3"/>
  <c r="N438" i="3"/>
  <c r="M438" i="3"/>
  <c r="L438" i="3"/>
  <c r="O438" i="3"/>
  <c r="P353" i="3"/>
  <c r="M746" i="3"/>
  <c r="O746" i="3"/>
  <c r="L746" i="3"/>
  <c r="N746" i="3"/>
  <c r="P451" i="3"/>
  <c r="P90" i="3"/>
  <c r="P554" i="3"/>
  <c r="L394" i="3"/>
  <c r="O394" i="3"/>
  <c r="M394" i="3"/>
  <c r="N394" i="3"/>
  <c r="M701" i="3"/>
  <c r="O701" i="3"/>
  <c r="O696" i="3" s="1"/>
  <c r="N701" i="3"/>
  <c r="L701" i="3"/>
  <c r="P701" i="3" s="1"/>
  <c r="O593" i="3"/>
  <c r="N593" i="3"/>
  <c r="M593" i="3"/>
  <c r="L593" i="3"/>
  <c r="P503" i="3"/>
  <c r="P383" i="3"/>
  <c r="M773" i="3"/>
  <c r="L773" i="3"/>
  <c r="P773" i="3" s="1"/>
  <c r="O773" i="3"/>
  <c r="N773" i="3"/>
  <c r="P75" i="3"/>
  <c r="P45" i="3"/>
  <c r="P39" i="3"/>
  <c r="P33" i="3"/>
  <c r="P29" i="3"/>
  <c r="P363" i="3"/>
  <c r="P312" i="3"/>
  <c r="O575" i="3"/>
  <c r="N575" i="3"/>
  <c r="M575" i="3"/>
  <c r="L575" i="3"/>
  <c r="N354" i="3"/>
  <c r="M354" i="3"/>
  <c r="L354" i="3"/>
  <c r="O354" i="3"/>
  <c r="L790" i="3"/>
  <c r="P790" i="3" s="1"/>
  <c r="O790" i="3"/>
  <c r="N790" i="3"/>
  <c r="M790" i="3"/>
  <c r="P415" i="3"/>
  <c r="P93" i="3"/>
  <c r="P489" i="3"/>
  <c r="N408" i="3"/>
  <c r="M408" i="3"/>
  <c r="L408" i="3"/>
  <c r="O408" i="3"/>
  <c r="P869" i="3"/>
  <c r="M761" i="3"/>
  <c r="N761" i="3"/>
  <c r="O761" i="3"/>
  <c r="L761" i="3"/>
  <c r="O583" i="3"/>
  <c r="N583" i="3"/>
  <c r="M583" i="3"/>
  <c r="L583" i="3"/>
  <c r="O506" i="3"/>
  <c r="N506" i="3"/>
  <c r="M506" i="3"/>
  <c r="L506" i="3"/>
  <c r="P469" i="3"/>
  <c r="P320" i="3"/>
  <c r="P121" i="3"/>
  <c r="P22" i="3"/>
  <c r="O132" i="3"/>
  <c r="N132" i="3"/>
  <c r="M132" i="3"/>
  <c r="L132" i="3"/>
  <c r="L1506" i="3"/>
  <c r="P1506" i="3" s="1"/>
  <c r="O1506" i="3"/>
  <c r="N1506" i="3"/>
  <c r="M1506" i="3"/>
  <c r="L1510" i="3"/>
  <c r="P1510" i="3" s="1"/>
  <c r="N1510" i="3"/>
  <c r="M1510" i="3"/>
  <c r="O1510" i="3"/>
  <c r="L1494" i="3"/>
  <c r="N1494" i="3"/>
  <c r="O1494" i="3"/>
  <c r="M1494" i="3"/>
  <c r="O1470" i="3"/>
  <c r="N1470" i="3"/>
  <c r="L1470" i="3"/>
  <c r="M1470" i="3"/>
  <c r="P1036" i="3"/>
  <c r="N1456" i="3"/>
  <c r="M1456" i="3"/>
  <c r="O1456" i="3"/>
  <c r="L1456" i="3"/>
  <c r="O1432" i="3"/>
  <c r="N1432" i="3"/>
  <c r="M1432" i="3"/>
  <c r="L1432" i="3"/>
  <c r="N1199" i="3"/>
  <c r="L1199" i="3"/>
  <c r="P1199" i="3" s="1"/>
  <c r="M1199" i="3"/>
  <c r="O1199" i="3"/>
  <c r="N1490" i="3"/>
  <c r="M1490" i="3"/>
  <c r="O1490" i="3"/>
  <c r="L1490" i="3"/>
  <c r="M1466" i="3"/>
  <c r="L1466" i="3"/>
  <c r="N1466" i="3"/>
  <c r="O1466" i="3"/>
  <c r="N1066" i="3"/>
  <c r="O1066" i="3"/>
  <c r="M1066" i="3"/>
  <c r="L1066" i="3"/>
  <c r="O824" i="3"/>
  <c r="N824" i="3"/>
  <c r="M824" i="3"/>
  <c r="L824" i="3"/>
  <c r="O563" i="3"/>
  <c r="N563" i="3"/>
  <c r="M563" i="3"/>
  <c r="L563" i="3"/>
  <c r="O541" i="3"/>
  <c r="M541" i="3"/>
  <c r="L541" i="3"/>
  <c r="P541" i="3" s="1"/>
  <c r="N541" i="3"/>
  <c r="O512" i="3"/>
  <c r="N512" i="3"/>
  <c r="M512" i="3"/>
  <c r="L512" i="3"/>
  <c r="P82" i="3"/>
  <c r="O729" i="3"/>
  <c r="N729" i="3"/>
  <c r="L729" i="3"/>
  <c r="M729" i="3"/>
  <c r="O780" i="3"/>
  <c r="M780" i="3"/>
  <c r="L780" i="3"/>
  <c r="N780" i="3"/>
  <c r="O545" i="3"/>
  <c r="N545" i="3"/>
  <c r="M545" i="3"/>
  <c r="L545" i="3"/>
  <c r="P545" i="3" s="1"/>
  <c r="N420" i="3"/>
  <c r="M420" i="3"/>
  <c r="L420" i="3"/>
  <c r="O420" i="3"/>
  <c r="O518" i="3"/>
  <c r="N518" i="3"/>
  <c r="M518" i="3"/>
  <c r="L518" i="3"/>
  <c r="O398" i="3"/>
  <c r="M398" i="3"/>
  <c r="N398" i="3"/>
  <c r="L398" i="3"/>
  <c r="L424" i="3"/>
  <c r="O424" i="3"/>
  <c r="N424" i="3"/>
  <c r="M424" i="3"/>
  <c r="P157" i="3"/>
  <c r="M725" i="3"/>
  <c r="L725" i="3"/>
  <c r="O725" i="3"/>
  <c r="N725" i="3"/>
  <c r="M625" i="3"/>
  <c r="L625" i="3"/>
  <c r="O625" i="3"/>
  <c r="N625" i="3"/>
  <c r="O577" i="3"/>
  <c r="M577" i="3"/>
  <c r="L577" i="3"/>
  <c r="N577" i="3"/>
  <c r="O524" i="3"/>
  <c r="N524" i="3"/>
  <c r="M524" i="3"/>
  <c r="L524" i="3"/>
  <c r="O452" i="3"/>
  <c r="M452" i="3"/>
  <c r="N452" i="3"/>
  <c r="L452" i="3"/>
  <c r="O356" i="3"/>
  <c r="M356" i="3"/>
  <c r="N356" i="3"/>
  <c r="L356" i="3"/>
  <c r="O526" i="3"/>
  <c r="M526" i="3"/>
  <c r="L526" i="3"/>
  <c r="N526" i="3"/>
  <c r="O581" i="3"/>
  <c r="N581" i="3"/>
  <c r="M581" i="3"/>
  <c r="L581" i="3"/>
  <c r="O533" i="3"/>
  <c r="N533" i="3"/>
  <c r="M533" i="3"/>
  <c r="L533" i="3"/>
  <c r="P533" i="3" s="1"/>
  <c r="N360" i="3"/>
  <c r="M360" i="3"/>
  <c r="L360" i="3"/>
  <c r="O360" i="3"/>
  <c r="M631" i="3"/>
  <c r="O631" i="3"/>
  <c r="N631" i="3"/>
  <c r="L631" i="3"/>
  <c r="O434" i="3"/>
  <c r="M434" i="3"/>
  <c r="N434" i="3"/>
  <c r="L434" i="3"/>
  <c r="O81" i="3"/>
  <c r="N81" i="3"/>
  <c r="N6" i="3" s="1"/>
  <c r="N1550" i="3" s="1"/>
  <c r="L81" i="3"/>
  <c r="P81" i="3" s="1"/>
  <c r="P1536" i="3"/>
  <c r="P679" i="3"/>
  <c r="P684" i="3"/>
  <c r="P1266" i="3"/>
  <c r="P1260" i="3"/>
  <c r="P1250" i="3"/>
  <c r="P1388" i="3"/>
  <c r="P1378" i="3"/>
  <c r="P1330" i="3"/>
  <c r="P1265" i="3"/>
  <c r="P1213" i="3"/>
  <c r="P1190" i="3"/>
  <c r="P1186" i="3"/>
  <c r="N1518" i="3"/>
  <c r="M1518" i="3"/>
  <c r="O1518" i="3"/>
  <c r="L1518" i="3"/>
  <c r="P1405" i="3"/>
  <c r="P1401" i="3"/>
  <c r="P1389" i="3"/>
  <c r="P1383" i="3"/>
  <c r="P1373" i="3"/>
  <c r="P1345" i="3"/>
  <c r="O1512" i="3"/>
  <c r="N1512" i="3"/>
  <c r="M1512" i="3"/>
  <c r="L1512" i="3"/>
  <c r="P1455" i="3"/>
  <c r="N1082" i="3"/>
  <c r="O1082" i="3"/>
  <c r="M1082" i="3"/>
  <c r="L1082" i="3"/>
  <c r="P868" i="3"/>
  <c r="O1446" i="3"/>
  <c r="N1446" i="3"/>
  <c r="M1446" i="3"/>
  <c r="L1446" i="3"/>
  <c r="M1422" i="3"/>
  <c r="L1422" i="3"/>
  <c r="O1422" i="3"/>
  <c r="N1422" i="3"/>
  <c r="P307" i="3"/>
  <c r="N1065" i="3"/>
  <c r="L1065" i="3"/>
  <c r="P1065" i="3" s="1"/>
  <c r="O1065" i="3"/>
  <c r="M1065" i="3"/>
  <c r="P1043" i="3"/>
  <c r="P1011" i="3"/>
  <c r="N1324" i="3"/>
  <c r="O1324" i="3"/>
  <c r="L1324" i="3"/>
  <c r="P1324" i="3" s="1"/>
  <c r="M1324" i="3"/>
  <c r="O1300" i="3"/>
  <c r="L1300" i="3"/>
  <c r="M1300" i="3"/>
  <c r="N1300" i="3"/>
  <c r="O1276" i="3"/>
  <c r="N1276" i="3"/>
  <c r="M1276" i="3"/>
  <c r="L1276" i="3"/>
  <c r="L1076" i="3"/>
  <c r="N1076" i="3"/>
  <c r="O1076" i="3"/>
  <c r="P948" i="3"/>
  <c r="P893" i="3"/>
  <c r="N1083" i="3"/>
  <c r="M1083" i="3"/>
  <c r="O1083" i="3"/>
  <c r="L1083" i="3"/>
  <c r="N1208" i="3"/>
  <c r="L1208" i="3"/>
  <c r="O1208" i="3"/>
  <c r="M1208" i="3"/>
  <c r="P828" i="3"/>
  <c r="M1442" i="3"/>
  <c r="L1442" i="3"/>
  <c r="O1442" i="3"/>
  <c r="N1442" i="3"/>
  <c r="O1418" i="3"/>
  <c r="N1418" i="3"/>
  <c r="M1418" i="3"/>
  <c r="L1418" i="3"/>
  <c r="P762" i="3"/>
  <c r="P630" i="3"/>
  <c r="P1044" i="3"/>
  <c r="P1018" i="3"/>
  <c r="P799" i="3"/>
  <c r="P706" i="3"/>
  <c r="M713" i="3"/>
  <c r="N713" i="3"/>
  <c r="O713" i="3"/>
  <c r="L713" i="3"/>
  <c r="P495" i="3"/>
  <c r="L460" i="3"/>
  <c r="O460" i="3"/>
  <c r="N460" i="3"/>
  <c r="M460" i="3"/>
  <c r="L388" i="3"/>
  <c r="O388" i="3"/>
  <c r="N388" i="3"/>
  <c r="M388" i="3"/>
  <c r="P258" i="3"/>
  <c r="P230" i="3"/>
  <c r="P224" i="3"/>
  <c r="P160" i="3"/>
  <c r="P152" i="3"/>
  <c r="P129" i="3"/>
  <c r="P521" i="3"/>
  <c r="N462" i="3"/>
  <c r="M462" i="3"/>
  <c r="L462" i="3"/>
  <c r="P462" i="3" s="1"/>
  <c r="O462" i="3"/>
  <c r="P377" i="3"/>
  <c r="P732" i="3"/>
  <c r="P475" i="3"/>
  <c r="P96" i="3"/>
  <c r="P783" i="3"/>
  <c r="P721" i="3"/>
  <c r="P602" i="3"/>
  <c r="L665" i="3"/>
  <c r="O665" i="3"/>
  <c r="N665" i="3"/>
  <c r="M665" i="3"/>
  <c r="P580" i="3"/>
  <c r="P532" i="3"/>
  <c r="P606" i="3"/>
  <c r="P361" i="3"/>
  <c r="P13" i="3"/>
  <c r="O549" i="3"/>
  <c r="M549" i="3"/>
  <c r="L549" i="3"/>
  <c r="N549" i="3"/>
  <c r="P507" i="3"/>
  <c r="P387" i="3"/>
  <c r="P271" i="3"/>
  <c r="P265" i="3"/>
  <c r="P259" i="3"/>
  <c r="P253" i="3"/>
  <c r="P247" i="3"/>
  <c r="P241" i="3"/>
  <c r="P235" i="3"/>
  <c r="P229" i="3"/>
  <c r="P223" i="3"/>
  <c r="P217" i="3"/>
  <c r="P211" i="3"/>
  <c r="P205" i="3"/>
  <c r="P187" i="3"/>
  <c r="M782" i="3"/>
  <c r="O782" i="3"/>
  <c r="N782" i="3"/>
  <c r="L782" i="3"/>
  <c r="P562" i="3"/>
  <c r="O498" i="3"/>
  <c r="M498" i="3"/>
  <c r="L498" i="3"/>
  <c r="N498" i="3"/>
  <c r="P612" i="3"/>
  <c r="P564" i="3"/>
  <c r="P511" i="3"/>
  <c r="P97" i="3"/>
  <c r="P590" i="3"/>
  <c r="O555" i="3"/>
  <c r="M555" i="3"/>
  <c r="L555" i="3"/>
  <c r="P555" i="3" s="1"/>
  <c r="N555" i="3"/>
  <c r="L454" i="3"/>
  <c r="O454" i="3"/>
  <c r="N454" i="3"/>
  <c r="M454" i="3"/>
  <c r="L358" i="3"/>
  <c r="O358" i="3"/>
  <c r="M358" i="3"/>
  <c r="N358" i="3"/>
  <c r="P568" i="3"/>
  <c r="P443" i="3"/>
  <c r="P744" i="3"/>
  <c r="P125" i="3"/>
  <c r="P115" i="3"/>
  <c r="P76" i="3"/>
  <c r="P52" i="3"/>
  <c r="P44" i="3"/>
  <c r="P38" i="3"/>
  <c r="P32" i="3"/>
  <c r="P1571" i="3"/>
  <c r="P1254" i="3"/>
  <c r="P1233" i="3"/>
  <c r="P1241" i="3"/>
  <c r="P1185" i="3"/>
  <c r="P1169" i="3"/>
  <c r="P1159" i="3"/>
  <c r="P1362" i="3"/>
  <c r="P1346" i="3"/>
  <c r="P1340" i="3"/>
  <c r="P1336" i="3"/>
  <c r="L1509" i="3"/>
  <c r="P1509" i="3" s="1"/>
  <c r="M1509" i="3"/>
  <c r="N1509" i="3"/>
  <c r="O1509" i="3"/>
  <c r="P1249" i="3"/>
  <c r="P1184" i="3"/>
  <c r="P1409" i="3"/>
  <c r="P1395" i="3"/>
  <c r="P1377" i="3"/>
  <c r="P1349" i="3"/>
  <c r="P1469" i="3"/>
  <c r="P1459" i="3"/>
  <c r="P1453" i="3"/>
  <c r="P1449" i="3"/>
  <c r="P1417" i="3"/>
  <c r="O1061" i="3"/>
  <c r="N1061" i="3"/>
  <c r="L1061" i="3"/>
  <c r="L1303" i="3"/>
  <c r="M1303" i="3"/>
  <c r="N1303" i="3"/>
  <c r="O1303" i="3"/>
  <c r="O1279" i="3"/>
  <c r="N1279" i="3"/>
  <c r="L1279" i="3"/>
  <c r="M1279" i="3"/>
  <c r="P936" i="3"/>
  <c r="P922" i="3"/>
  <c r="P896" i="3"/>
  <c r="P890" i="3"/>
  <c r="P872" i="3"/>
  <c r="P856" i="3"/>
  <c r="M1326" i="3"/>
  <c r="O1326" i="3"/>
  <c r="L1326" i="3"/>
  <c r="P1326" i="3" s="1"/>
  <c r="N1326" i="3"/>
  <c r="N1302" i="3"/>
  <c r="M1302" i="3"/>
  <c r="L1302" i="3"/>
  <c r="O1302" i="3"/>
  <c r="M1278" i="3"/>
  <c r="L1278" i="3"/>
  <c r="O1278" i="3"/>
  <c r="N1278" i="3"/>
  <c r="P722" i="3"/>
  <c r="P301" i="3"/>
  <c r="P295" i="3"/>
  <c r="P289" i="3"/>
  <c r="P283" i="3"/>
  <c r="O1313" i="3"/>
  <c r="N1313" i="3"/>
  <c r="L1313" i="3"/>
  <c r="M1313" i="3"/>
  <c r="O1289" i="3"/>
  <c r="M1289" i="3"/>
  <c r="N1289" i="3"/>
  <c r="L1289" i="3"/>
  <c r="P1028" i="3"/>
  <c r="P1022" i="3"/>
  <c r="N1474" i="3"/>
  <c r="M1474" i="3"/>
  <c r="O1474" i="3"/>
  <c r="L1474" i="3"/>
  <c r="P919" i="3"/>
  <c r="P899" i="3"/>
  <c r="P887" i="3"/>
  <c r="P875" i="3"/>
  <c r="O1311" i="3"/>
  <c r="L1311" i="3"/>
  <c r="N1311" i="3"/>
  <c r="M1311" i="3"/>
  <c r="O1287" i="3"/>
  <c r="L1287" i="3"/>
  <c r="P1287" i="3" s="1"/>
  <c r="N1287" i="3"/>
  <c r="M1287" i="3"/>
  <c r="P838" i="3"/>
  <c r="P832" i="3"/>
  <c r="P768" i="3"/>
  <c r="P735" i="3"/>
  <c r="P662" i="3"/>
  <c r="P646" i="3"/>
  <c r="P624" i="3"/>
  <c r="N1322" i="3"/>
  <c r="M1322" i="3"/>
  <c r="O1322" i="3"/>
  <c r="L1322" i="3"/>
  <c r="N1298" i="3"/>
  <c r="M1298" i="3"/>
  <c r="O1298" i="3"/>
  <c r="L1298" i="3"/>
  <c r="M1274" i="3"/>
  <c r="O1274" i="3"/>
  <c r="N1274" i="3"/>
  <c r="L1274" i="3"/>
  <c r="O1051" i="3"/>
  <c r="N1051" i="3"/>
  <c r="M1051" i="3"/>
  <c r="L1051" i="3"/>
  <c r="P1051" i="3" s="1"/>
  <c r="P1040" i="3"/>
  <c r="P1029" i="3"/>
  <c r="P815" i="3"/>
  <c r="P805" i="3"/>
  <c r="P747" i="3"/>
  <c r="P274" i="3"/>
  <c r="P252" i="3"/>
  <c r="P246" i="3"/>
  <c r="P240" i="3"/>
  <c r="P234" i="3"/>
  <c r="P218" i="3"/>
  <c r="P200" i="3"/>
  <c r="P194" i="3"/>
  <c r="P188" i="3"/>
  <c r="P182" i="3"/>
  <c r="P158" i="3"/>
  <c r="P146" i="3"/>
  <c r="N635" i="3"/>
  <c r="O635" i="3"/>
  <c r="M635" i="3"/>
  <c r="L635" i="3"/>
  <c r="P137" i="3"/>
  <c r="P859" i="3"/>
  <c r="O514" i="3"/>
  <c r="M514" i="3"/>
  <c r="L514" i="3"/>
  <c r="P514" i="3" s="1"/>
  <c r="N514" i="3"/>
  <c r="L466" i="3"/>
  <c r="O466" i="3"/>
  <c r="M466" i="3"/>
  <c r="N466" i="3"/>
  <c r="O771" i="3"/>
  <c r="N771" i="3"/>
  <c r="M771" i="3"/>
  <c r="L771" i="3"/>
  <c r="P771" i="3" s="1"/>
  <c r="P455" i="3"/>
  <c r="N372" i="3"/>
  <c r="M372" i="3"/>
  <c r="L372" i="3"/>
  <c r="O372" i="3"/>
  <c r="O422" i="3"/>
  <c r="M422" i="3"/>
  <c r="N422" i="3"/>
  <c r="L422" i="3"/>
  <c r="P122" i="3"/>
  <c r="P731" i="3"/>
  <c r="L448" i="3"/>
  <c r="O448" i="3"/>
  <c r="M448" i="3"/>
  <c r="N448" i="3"/>
  <c r="P199" i="3"/>
  <c r="P193" i="3"/>
  <c r="P181" i="3"/>
  <c r="P175" i="3"/>
  <c r="P169" i="3"/>
  <c r="P163" i="3"/>
  <c r="P437" i="3"/>
  <c r="N378" i="3"/>
  <c r="M378" i="3"/>
  <c r="L378" i="3"/>
  <c r="O378" i="3"/>
  <c r="P325" i="3"/>
  <c r="P736" i="3"/>
  <c r="P439" i="3"/>
  <c r="P343" i="3"/>
  <c r="P327" i="3"/>
  <c r="P513" i="3"/>
  <c r="L653" i="3"/>
  <c r="O653" i="3"/>
  <c r="N653" i="3"/>
  <c r="M653" i="3"/>
  <c r="O528" i="3"/>
  <c r="M528" i="3"/>
  <c r="L528" i="3"/>
  <c r="P528" i="3" s="1"/>
  <c r="N528" i="3"/>
  <c r="O480" i="3"/>
  <c r="M480" i="3"/>
  <c r="L480" i="3"/>
  <c r="N480" i="3"/>
  <c r="P733" i="3"/>
  <c r="O607" i="3"/>
  <c r="N607" i="3"/>
  <c r="M607" i="3"/>
  <c r="L607" i="3"/>
  <c r="P607" i="3" s="1"/>
  <c r="P570" i="3"/>
  <c r="P493" i="3"/>
  <c r="P70" i="3"/>
  <c r="P64" i="3"/>
  <c r="P26" i="3"/>
  <c r="I1386" i="1"/>
  <c r="H1388" i="1"/>
  <c r="N1517" i="3"/>
  <c r="O1517" i="3"/>
  <c r="M1517" i="3"/>
  <c r="L1517" i="3"/>
  <c r="P1517" i="3" s="1"/>
  <c r="P1264" i="3"/>
  <c r="P1229" i="3"/>
  <c r="P1522" i="3"/>
  <c r="P1247" i="3"/>
  <c r="P1222" i="3"/>
  <c r="P1163" i="3"/>
  <c r="P1382" i="3"/>
  <c r="P1356" i="3"/>
  <c r="P1350" i="3"/>
  <c r="P1259" i="3"/>
  <c r="L1519" i="3"/>
  <c r="N1519" i="3"/>
  <c r="M1519" i="3"/>
  <c r="O1519" i="3"/>
  <c r="P1217" i="3"/>
  <c r="P1174" i="3"/>
  <c r="P1399" i="3"/>
  <c r="P1355" i="3"/>
  <c r="P1343" i="3"/>
  <c r="P1339" i="3"/>
  <c r="P1463" i="3"/>
  <c r="P1447" i="3"/>
  <c r="P1431" i="3"/>
  <c r="P1427" i="3"/>
  <c r="P1421" i="3"/>
  <c r="P1413" i="3"/>
  <c r="P906" i="3"/>
  <c r="P900" i="3"/>
  <c r="P884" i="3"/>
  <c r="P878" i="3"/>
  <c r="M1488" i="3"/>
  <c r="O1488" i="3"/>
  <c r="N1488" i="3"/>
  <c r="L1488" i="3"/>
  <c r="N1071" i="3"/>
  <c r="M1071" i="3"/>
  <c r="L1071" i="3"/>
  <c r="O1071" i="3"/>
  <c r="P751" i="3"/>
  <c r="O1074" i="3"/>
  <c r="N1074" i="3"/>
  <c r="M1074" i="3"/>
  <c r="L1074" i="3"/>
  <c r="P1009" i="3"/>
  <c r="N1450" i="3"/>
  <c r="M1450" i="3"/>
  <c r="O1450" i="3"/>
  <c r="L1450" i="3"/>
  <c r="N1426" i="3"/>
  <c r="L1426" i="3"/>
  <c r="P1426" i="3" s="1"/>
  <c r="O1426" i="3"/>
  <c r="M1426" i="3"/>
  <c r="L1081" i="3"/>
  <c r="P1081" i="3" s="1"/>
  <c r="O1081" i="3"/>
  <c r="N1081" i="3"/>
  <c r="M1081" i="3"/>
  <c r="N1062" i="3"/>
  <c r="O1062" i="3"/>
  <c r="L1062" i="3"/>
  <c r="P935" i="3"/>
  <c r="P925" i="3"/>
  <c r="L1070" i="3"/>
  <c r="O1070" i="3"/>
  <c r="N1070" i="3"/>
  <c r="M1070" i="3"/>
  <c r="L1198" i="3"/>
  <c r="M1198" i="3"/>
  <c r="O1198" i="3"/>
  <c r="N1198" i="3"/>
  <c r="O1484" i="3"/>
  <c r="N1484" i="3"/>
  <c r="L1484" i="3"/>
  <c r="P1484" i="3" s="1"/>
  <c r="M1484" i="3"/>
  <c r="P699" i="3"/>
  <c r="P668" i="3"/>
  <c r="P656" i="3"/>
  <c r="P1048" i="3"/>
  <c r="P1006" i="3"/>
  <c r="P793" i="3"/>
  <c r="P778" i="3"/>
  <c r="O537" i="3"/>
  <c r="M537" i="3"/>
  <c r="L537" i="3"/>
  <c r="N537" i="3"/>
  <c r="P447" i="3"/>
  <c r="P375" i="3"/>
  <c r="P268" i="3"/>
  <c r="P228" i="3"/>
  <c r="P222" i="3"/>
  <c r="P212" i="3"/>
  <c r="P176" i="3"/>
  <c r="P170" i="3"/>
  <c r="P164" i="3"/>
  <c r="M800" i="3"/>
  <c r="N800" i="3"/>
  <c r="L800" i="3"/>
  <c r="P800" i="3" s="1"/>
  <c r="O800" i="3"/>
  <c r="O587" i="3"/>
  <c r="N587" i="3"/>
  <c r="M587" i="3"/>
  <c r="L587" i="3"/>
  <c r="P550" i="3"/>
  <c r="P401" i="3"/>
  <c r="N802" i="3"/>
  <c r="M802" i="3"/>
  <c r="O802" i="3"/>
  <c r="L802" i="3"/>
  <c r="L661" i="3"/>
  <c r="O661" i="3"/>
  <c r="N661" i="3"/>
  <c r="M661" i="3"/>
  <c r="O565" i="3"/>
  <c r="M565" i="3"/>
  <c r="L565" i="3"/>
  <c r="N565" i="3"/>
  <c r="P499" i="3"/>
  <c r="P88" i="3"/>
  <c r="P871" i="3"/>
  <c r="P501" i="3"/>
  <c r="P453" i="3"/>
  <c r="N641" i="3"/>
  <c r="O641" i="3"/>
  <c r="M641" i="3"/>
  <c r="L641" i="3"/>
  <c r="P748" i="3"/>
  <c r="O547" i="3"/>
  <c r="M547" i="3"/>
  <c r="N547" i="3"/>
  <c r="L547" i="3"/>
  <c r="P505" i="3"/>
  <c r="P385" i="3"/>
  <c r="P332" i="3"/>
  <c r="P120" i="3"/>
  <c r="P73" i="3"/>
  <c r="P57" i="3"/>
  <c r="P37" i="3"/>
  <c r="P21" i="3"/>
  <c r="N669" i="3"/>
  <c r="M669" i="3"/>
  <c r="O669" i="3"/>
  <c r="L669" i="3"/>
  <c r="P608" i="3"/>
  <c r="P411" i="3"/>
  <c r="P155" i="3"/>
  <c r="P855" i="3"/>
  <c r="O777" i="3"/>
  <c r="N777" i="3"/>
  <c r="M777" i="3"/>
  <c r="L777" i="3"/>
  <c r="O599" i="3"/>
  <c r="N599" i="3"/>
  <c r="M599" i="3"/>
  <c r="L599" i="3"/>
  <c r="P599" i="3" s="1"/>
  <c r="P336" i="3"/>
  <c r="O476" i="3"/>
  <c r="N476" i="3"/>
  <c r="M476" i="3"/>
  <c r="L476" i="3"/>
  <c r="O380" i="3"/>
  <c r="M380" i="3"/>
  <c r="N380" i="3"/>
  <c r="L380" i="3"/>
  <c r="P136" i="3"/>
  <c r="L651" i="3"/>
  <c r="M651" i="3"/>
  <c r="O651" i="3"/>
  <c r="N651" i="3"/>
  <c r="P542" i="3"/>
  <c r="P441" i="3"/>
  <c r="P345" i="3"/>
  <c r="P515" i="3"/>
  <c r="P395" i="3"/>
  <c r="P347" i="3"/>
  <c r="P851" i="3"/>
  <c r="O535" i="3"/>
  <c r="M535" i="3"/>
  <c r="N535" i="3"/>
  <c r="L535" i="3"/>
  <c r="O458" i="3"/>
  <c r="M458" i="3"/>
  <c r="N458" i="3"/>
  <c r="L458" i="3"/>
  <c r="P421" i="3"/>
  <c r="O362" i="3"/>
  <c r="M362" i="3"/>
  <c r="N362" i="3"/>
  <c r="L362" i="3"/>
  <c r="P119" i="3"/>
  <c r="P68" i="3"/>
  <c r="P62" i="3"/>
  <c r="P56" i="3"/>
  <c r="P1534" i="3"/>
  <c r="P1532" i="3"/>
  <c r="P1531" i="3"/>
  <c r="P1538" i="3"/>
  <c r="P1237" i="3"/>
  <c r="P1189" i="3"/>
  <c r="P1410" i="3"/>
  <c r="P1404" i="3"/>
  <c r="P1398" i="3"/>
  <c r="P1334" i="3"/>
  <c r="N1520" i="3"/>
  <c r="O1520" i="3"/>
  <c r="M1520" i="3"/>
  <c r="L1520" i="3"/>
  <c r="P1520" i="3" s="1"/>
  <c r="P1178" i="3"/>
  <c r="P1172" i="3"/>
  <c r="P1337" i="3"/>
  <c r="P1485" i="3"/>
  <c r="P1457" i="3"/>
  <c r="L1069" i="3"/>
  <c r="P1069" i="3" s="1"/>
  <c r="O1069" i="3"/>
  <c r="N1069" i="3"/>
  <c r="M1069" i="3"/>
  <c r="P943" i="3"/>
  <c r="P932" i="3"/>
  <c r="L1464" i="3"/>
  <c r="O1464" i="3"/>
  <c r="N1464" i="3"/>
  <c r="M1464" i="3"/>
  <c r="L1440" i="3"/>
  <c r="N1440" i="3"/>
  <c r="M1440" i="3"/>
  <c r="O1440" i="3"/>
  <c r="M1416" i="3"/>
  <c r="L1416" i="3"/>
  <c r="O1416" i="3"/>
  <c r="N1416" i="3"/>
  <c r="N1318" i="3"/>
  <c r="M1318" i="3"/>
  <c r="L1318" i="3"/>
  <c r="O1318" i="3"/>
  <c r="M1294" i="3"/>
  <c r="L1294" i="3"/>
  <c r="P1294" i="3" s="1"/>
  <c r="O1294" i="3"/>
  <c r="N1294" i="3"/>
  <c r="L1270" i="3"/>
  <c r="O1270" i="3"/>
  <c r="M1270" i="3"/>
  <c r="N1270" i="3"/>
  <c r="P933" i="3"/>
  <c r="P897" i="3"/>
  <c r="P826" i="3"/>
  <c r="O1460" i="3"/>
  <c r="M1460" i="3"/>
  <c r="L1460" i="3"/>
  <c r="N1460" i="3"/>
  <c r="L1436" i="3"/>
  <c r="O1436" i="3"/>
  <c r="M1436" i="3"/>
  <c r="N1436" i="3"/>
  <c r="L1412" i="3"/>
  <c r="N1412" i="3"/>
  <c r="O1412" i="3"/>
  <c r="M1412" i="3"/>
  <c r="P766" i="3"/>
  <c r="P666" i="3"/>
  <c r="P620" i="3"/>
  <c r="P809" i="3"/>
  <c r="P797" i="3"/>
  <c r="P776" i="3"/>
  <c r="P730" i="3"/>
  <c r="P335" i="3"/>
  <c r="P262" i="3"/>
  <c r="P216" i="3"/>
  <c r="P206" i="3"/>
  <c r="P140" i="3"/>
  <c r="P127" i="3"/>
  <c r="O486" i="3"/>
  <c r="M486" i="3"/>
  <c r="L486" i="3"/>
  <c r="N486" i="3"/>
  <c r="P342" i="3"/>
  <c r="P324" i="3"/>
  <c r="P131" i="3"/>
  <c r="O368" i="3"/>
  <c r="M368" i="3"/>
  <c r="N368" i="3"/>
  <c r="L368" i="3"/>
  <c r="P368" i="3" s="1"/>
  <c r="P853" i="3"/>
  <c r="M769" i="3"/>
  <c r="N769" i="3"/>
  <c r="L769" i="3"/>
  <c r="O769" i="3"/>
  <c r="O591" i="3"/>
  <c r="N591" i="3"/>
  <c r="M591" i="3"/>
  <c r="L591" i="3"/>
  <c r="O543" i="3"/>
  <c r="M543" i="3"/>
  <c r="L543" i="3"/>
  <c r="P543" i="3" s="1"/>
  <c r="N543" i="3"/>
  <c r="L418" i="3"/>
  <c r="P418" i="3" s="1"/>
  <c r="O418" i="3"/>
  <c r="N418" i="3"/>
  <c r="M418" i="3"/>
  <c r="P712" i="3"/>
  <c r="O492" i="3"/>
  <c r="M492" i="3"/>
  <c r="L492" i="3"/>
  <c r="N492" i="3"/>
  <c r="P407" i="3"/>
  <c r="M667" i="3"/>
  <c r="N667" i="3"/>
  <c r="O667" i="3"/>
  <c r="L667" i="3"/>
  <c r="O446" i="3"/>
  <c r="M446" i="3"/>
  <c r="N446" i="3"/>
  <c r="L446" i="3"/>
  <c r="P61" i="3"/>
  <c r="P51" i="3"/>
  <c r="P19" i="3"/>
  <c r="O573" i="3"/>
  <c r="M573" i="3"/>
  <c r="L573" i="3"/>
  <c r="P573" i="3" s="1"/>
  <c r="N573" i="3"/>
  <c r="O472" i="3"/>
  <c r="M472" i="3"/>
  <c r="L472" i="3"/>
  <c r="N472" i="3"/>
  <c r="L647" i="3"/>
  <c r="M647" i="3"/>
  <c r="O647" i="3"/>
  <c r="N647" i="3"/>
  <c r="O522" i="3"/>
  <c r="M522" i="3"/>
  <c r="L522" i="3"/>
  <c r="N522" i="3"/>
  <c r="N402" i="3"/>
  <c r="M402" i="3"/>
  <c r="L402" i="3"/>
  <c r="O402" i="3"/>
  <c r="O478" i="3"/>
  <c r="M478" i="3"/>
  <c r="L478" i="3"/>
  <c r="P478" i="3" s="1"/>
  <c r="N478" i="3"/>
  <c r="L382" i="3"/>
  <c r="P382" i="3" s="1"/>
  <c r="O382" i="3"/>
  <c r="N382" i="3"/>
  <c r="M382" i="3"/>
  <c r="P719" i="3"/>
  <c r="N629" i="3"/>
  <c r="O629" i="3"/>
  <c r="M629" i="3"/>
  <c r="L629" i="3"/>
  <c r="N432" i="3"/>
  <c r="M432" i="3"/>
  <c r="L432" i="3"/>
  <c r="O432" i="3"/>
  <c r="P333" i="3"/>
  <c r="P74" i="3"/>
  <c r="L134" i="3"/>
  <c r="O134" i="3"/>
  <c r="N134" i="3"/>
  <c r="M134" i="3"/>
  <c r="L85" i="3"/>
  <c r="O85" i="3"/>
  <c r="N85" i="3"/>
  <c r="P1392" i="3"/>
  <c r="P1376" i="3"/>
  <c r="L1504" i="3"/>
  <c r="N1504" i="3"/>
  <c r="M1504" i="3"/>
  <c r="O1504" i="3"/>
  <c r="P1257" i="3"/>
  <c r="P1251" i="3"/>
  <c r="P1188" i="3"/>
  <c r="P1166" i="3"/>
  <c r="P1359" i="3"/>
  <c r="P1333" i="3"/>
  <c r="P1499" i="3"/>
  <c r="P1479" i="3"/>
  <c r="P1437" i="3"/>
  <c r="L1321" i="3"/>
  <c r="O1321" i="3"/>
  <c r="N1321" i="3"/>
  <c r="M1321" i="3"/>
  <c r="L1297" i="3"/>
  <c r="O1297" i="3"/>
  <c r="M1297" i="3"/>
  <c r="N1297" i="3"/>
  <c r="O1273" i="3"/>
  <c r="N1273" i="3"/>
  <c r="M1273" i="3"/>
  <c r="L1273" i="3"/>
  <c r="P949" i="3"/>
  <c r="P866" i="3"/>
  <c r="P860" i="3"/>
  <c r="M1320" i="3"/>
  <c r="O1320" i="3"/>
  <c r="L1320" i="3"/>
  <c r="N1320" i="3"/>
  <c r="O1296" i="3"/>
  <c r="L1296" i="3"/>
  <c r="P1296" i="3" s="1"/>
  <c r="N1296" i="3"/>
  <c r="M1296" i="3"/>
  <c r="M1272" i="3"/>
  <c r="L1272" i="3"/>
  <c r="P1272" i="3" s="1"/>
  <c r="O1272" i="3"/>
  <c r="N1272" i="3"/>
  <c r="P845" i="3"/>
  <c r="P839" i="3"/>
  <c r="P739" i="3"/>
  <c r="P317" i="3"/>
  <c r="N1209" i="3"/>
  <c r="M1209" i="3"/>
  <c r="O1209" i="3"/>
  <c r="L1209" i="3"/>
  <c r="P1209" i="3" s="1"/>
  <c r="L1498" i="3"/>
  <c r="N1498" i="3"/>
  <c r="M1498" i="3"/>
  <c r="O1498" i="3"/>
  <c r="N1307" i="3"/>
  <c r="L1307" i="3"/>
  <c r="O1307" i="3"/>
  <c r="M1307" i="3"/>
  <c r="O1283" i="3"/>
  <c r="N1283" i="3"/>
  <c r="M1283" i="3"/>
  <c r="L1283" i="3"/>
  <c r="L1059" i="3"/>
  <c r="O1059" i="3"/>
  <c r="N1059" i="3"/>
  <c r="M1059" i="3"/>
  <c r="L1492" i="3"/>
  <c r="N1492" i="3"/>
  <c r="M1492" i="3"/>
  <c r="O1492" i="3"/>
  <c r="N1468" i="3"/>
  <c r="M1468" i="3"/>
  <c r="L1468" i="3"/>
  <c r="O1468" i="3"/>
  <c r="P1211" i="3"/>
  <c r="P942" i="3"/>
  <c r="P929" i="3"/>
  <c r="P909" i="3"/>
  <c r="N1056" i="3"/>
  <c r="O1056" i="3"/>
  <c r="L1056" i="3"/>
  <c r="O1305" i="3"/>
  <c r="L1305" i="3"/>
  <c r="M1305" i="3"/>
  <c r="N1305" i="3"/>
  <c r="N1281" i="3"/>
  <c r="L1281" i="3"/>
  <c r="O1281" i="3"/>
  <c r="M1281" i="3"/>
  <c r="M1078" i="3"/>
  <c r="L1078" i="3"/>
  <c r="P1078" i="3" s="1"/>
  <c r="N1078" i="3"/>
  <c r="O1078" i="3"/>
  <c r="O1205" i="3"/>
  <c r="N1205" i="3"/>
  <c r="M1205" i="3"/>
  <c r="L1205" i="3"/>
  <c r="P1205" i="3" s="1"/>
  <c r="P650" i="3"/>
  <c r="P618" i="3"/>
  <c r="N1316" i="3"/>
  <c r="M1316" i="3"/>
  <c r="O1316" i="3"/>
  <c r="L1316" i="3"/>
  <c r="N1292" i="3"/>
  <c r="M1292" i="3"/>
  <c r="O1292" i="3"/>
  <c r="L1292" i="3"/>
  <c r="P1292" i="3" s="1"/>
  <c r="N1201" i="3"/>
  <c r="O1201" i="3"/>
  <c r="M1201" i="3"/>
  <c r="L1201" i="3"/>
  <c r="O763" i="3"/>
  <c r="L763" i="3"/>
  <c r="P763" i="3" s="1"/>
  <c r="N763" i="3"/>
  <c r="M763" i="3"/>
  <c r="O657" i="3"/>
  <c r="N657" i="3"/>
  <c r="M657" i="3"/>
  <c r="L657" i="3"/>
  <c r="L412" i="3"/>
  <c r="O412" i="3"/>
  <c r="M412" i="3"/>
  <c r="N412" i="3"/>
  <c r="O786" i="3"/>
  <c r="M786" i="3"/>
  <c r="N786" i="3"/>
  <c r="L786" i="3"/>
  <c r="P786" i="3" s="1"/>
  <c r="O611" i="3"/>
  <c r="N611" i="3"/>
  <c r="M611" i="3"/>
  <c r="L611" i="3"/>
  <c r="N366" i="3"/>
  <c r="M366" i="3"/>
  <c r="L366" i="3"/>
  <c r="O366" i="3"/>
  <c r="O392" i="3"/>
  <c r="M392" i="3"/>
  <c r="N392" i="3"/>
  <c r="L392" i="3"/>
  <c r="O617" i="3"/>
  <c r="N617" i="3"/>
  <c r="M617" i="3"/>
  <c r="L617" i="3"/>
  <c r="P617" i="3" s="1"/>
  <c r="N444" i="3"/>
  <c r="M444" i="3"/>
  <c r="L444" i="3"/>
  <c r="O444" i="3"/>
  <c r="P79" i="3"/>
  <c r="P49" i="3"/>
  <c r="P31" i="3"/>
  <c r="O810" i="3"/>
  <c r="N810" i="3"/>
  <c r="M810" i="3"/>
  <c r="L810" i="3"/>
  <c r="P314" i="3"/>
  <c r="P147" i="3"/>
  <c r="P867" i="3"/>
  <c r="O742" i="3"/>
  <c r="N742" i="3"/>
  <c r="L742" i="3"/>
  <c r="M742" i="3"/>
  <c r="P586" i="3"/>
  <c r="P275" i="3"/>
  <c r="P700" i="3"/>
  <c r="P463" i="3"/>
  <c r="O579" i="3"/>
  <c r="M579" i="3"/>
  <c r="L579" i="3"/>
  <c r="N579" i="3"/>
  <c r="O818" i="3"/>
  <c r="L818" i="3"/>
  <c r="N818" i="3"/>
  <c r="M818" i="3"/>
  <c r="P50" i="3"/>
  <c r="P12" i="3"/>
  <c r="O357" i="3"/>
  <c r="M357" i="3"/>
  <c r="N357" i="3"/>
  <c r="L357" i="3"/>
  <c r="P1533" i="3"/>
  <c r="P1239" i="3"/>
  <c r="P1192" i="3"/>
  <c r="L1507" i="3"/>
  <c r="O1507" i="3"/>
  <c r="N1507" i="3"/>
  <c r="M1507" i="3"/>
  <c r="L1516" i="3"/>
  <c r="N1516" i="3"/>
  <c r="M1516" i="3"/>
  <c r="O1516" i="3"/>
  <c r="P1216" i="3"/>
  <c r="P1245" i="3"/>
  <c r="P1183" i="3"/>
  <c r="P1167" i="3"/>
  <c r="L1521" i="3"/>
  <c r="O1521" i="3"/>
  <c r="M1521" i="3"/>
  <c r="N1521" i="3"/>
  <c r="P1408" i="3"/>
  <c r="P1402" i="3"/>
  <c r="P1267" i="3"/>
  <c r="P1263" i="3"/>
  <c r="P1234" i="3"/>
  <c r="P1240" i="3"/>
  <c r="P1215" i="3"/>
  <c r="L1513" i="3"/>
  <c r="O1513" i="3"/>
  <c r="N1513" i="3"/>
  <c r="M1513" i="3"/>
  <c r="P1162" i="3"/>
  <c r="L1503" i="3"/>
  <c r="P1503" i="3" s="1"/>
  <c r="M1503" i="3"/>
  <c r="O1503" i="3"/>
  <c r="N1503" i="3"/>
  <c r="P1353" i="3"/>
  <c r="P1347" i="3"/>
  <c r="P1327" i="3"/>
  <c r="P1493" i="3"/>
  <c r="P1451" i="3"/>
  <c r="P1441" i="3"/>
  <c r="N1505" i="3"/>
  <c r="O1505" i="3"/>
  <c r="M1505" i="3"/>
  <c r="L1505" i="3"/>
  <c r="P888" i="3"/>
  <c r="P848" i="3"/>
  <c r="N1482" i="3"/>
  <c r="O1482" i="3"/>
  <c r="M1482" i="3"/>
  <c r="L1482" i="3"/>
  <c r="N1200" i="3"/>
  <c r="L1200" i="3"/>
  <c r="O1200" i="3"/>
  <c r="M1200" i="3"/>
  <c r="L1057" i="3"/>
  <c r="O1057" i="3"/>
  <c r="N1057" i="3"/>
  <c r="M1057" i="3"/>
  <c r="P829" i="3"/>
  <c r="P710" i="3"/>
  <c r="P311" i="3"/>
  <c r="P1019" i="3"/>
  <c r="P1015" i="3"/>
  <c r="N1444" i="3"/>
  <c r="M1444" i="3"/>
  <c r="L1444" i="3"/>
  <c r="O1444" i="3"/>
  <c r="M1420" i="3"/>
  <c r="L1420" i="3"/>
  <c r="O1420" i="3"/>
  <c r="N1420" i="3"/>
  <c r="P952" i="3"/>
  <c r="P937" i="3"/>
  <c r="P927" i="3"/>
  <c r="P913" i="3"/>
  <c r="P885" i="3"/>
  <c r="P842" i="3"/>
  <c r="P836" i="3"/>
  <c r="L1478" i="3"/>
  <c r="N1478" i="3"/>
  <c r="M1478" i="3"/>
  <c r="O1478" i="3"/>
  <c r="P772" i="3"/>
  <c r="P752" i="3"/>
  <c r="P723" i="3"/>
  <c r="P644" i="3"/>
  <c r="P638" i="3"/>
  <c r="P614" i="3"/>
  <c r="P1037" i="3"/>
  <c r="P1027" i="3"/>
  <c r="P819" i="3"/>
  <c r="P803" i="3"/>
  <c r="P791" i="3"/>
  <c r="O822" i="3"/>
  <c r="L822" i="3"/>
  <c r="N822" i="3"/>
  <c r="M822" i="3"/>
  <c r="P755" i="3"/>
  <c r="O561" i="3"/>
  <c r="M561" i="3"/>
  <c r="L561" i="3"/>
  <c r="N561" i="3"/>
  <c r="P519" i="3"/>
  <c r="O484" i="3"/>
  <c r="M484" i="3"/>
  <c r="L484" i="3"/>
  <c r="P484" i="3" s="1"/>
  <c r="N484" i="3"/>
  <c r="P250" i="3"/>
  <c r="P244" i="3"/>
  <c r="P238" i="3"/>
  <c r="P232" i="3"/>
  <c r="P204" i="3"/>
  <c r="P198" i="3"/>
  <c r="P192" i="3"/>
  <c r="P186" i="3"/>
  <c r="P156" i="3"/>
  <c r="P574" i="3"/>
  <c r="M637" i="3"/>
  <c r="O637" i="3"/>
  <c r="N637" i="3"/>
  <c r="L637" i="3"/>
  <c r="P637" i="3" s="1"/>
  <c r="O589" i="3"/>
  <c r="N589" i="3"/>
  <c r="M589" i="3"/>
  <c r="L589" i="3"/>
  <c r="P552" i="3"/>
  <c r="O416" i="3"/>
  <c r="M416" i="3"/>
  <c r="N416" i="3"/>
  <c r="L416" i="3"/>
  <c r="P355" i="3"/>
  <c r="P94" i="3"/>
  <c r="O663" i="3"/>
  <c r="L663" i="3"/>
  <c r="N663" i="3"/>
  <c r="M663" i="3"/>
  <c r="L370" i="3"/>
  <c r="O370" i="3"/>
  <c r="N370" i="3"/>
  <c r="M370" i="3"/>
  <c r="P743" i="3"/>
  <c r="O569" i="3"/>
  <c r="N569" i="3"/>
  <c r="M569" i="3"/>
  <c r="L569" i="3"/>
  <c r="O571" i="3"/>
  <c r="M571" i="3"/>
  <c r="N571" i="3"/>
  <c r="L571" i="3"/>
  <c r="P571" i="3" s="1"/>
  <c r="P534" i="3"/>
  <c r="N470" i="3"/>
  <c r="M470" i="3"/>
  <c r="O470" i="3"/>
  <c r="L470" i="3"/>
  <c r="P124" i="3"/>
  <c r="M645" i="3"/>
  <c r="L645" i="3"/>
  <c r="P645" i="3" s="1"/>
  <c r="O645" i="3"/>
  <c r="N645" i="3"/>
  <c r="O597" i="3"/>
  <c r="N597" i="3"/>
  <c r="M597" i="3"/>
  <c r="L597" i="3"/>
  <c r="P597" i="3" s="1"/>
  <c r="L352" i="3"/>
  <c r="O352" i="3"/>
  <c r="N352" i="3"/>
  <c r="M352" i="3"/>
  <c r="P310" i="3"/>
  <c r="P269" i="3"/>
  <c r="P263" i="3"/>
  <c r="P257" i="3"/>
  <c r="P251" i="3"/>
  <c r="P245" i="3"/>
  <c r="P239" i="3"/>
  <c r="P233" i="3"/>
  <c r="P227" i="3"/>
  <c r="P221" i="3"/>
  <c r="P215" i="3"/>
  <c r="P209" i="3"/>
  <c r="P203" i="3"/>
  <c r="P197" i="3"/>
  <c r="P191" i="3"/>
  <c r="P153" i="3"/>
  <c r="P143" i="3"/>
  <c r="P756" i="3"/>
  <c r="N426" i="3"/>
  <c r="M426" i="3"/>
  <c r="L426" i="3"/>
  <c r="O426" i="3"/>
  <c r="O601" i="3"/>
  <c r="N601" i="3"/>
  <c r="M601" i="3"/>
  <c r="L601" i="3"/>
  <c r="O553" i="3"/>
  <c r="M553" i="3"/>
  <c r="L553" i="3"/>
  <c r="N553" i="3"/>
  <c r="O404" i="3"/>
  <c r="M404" i="3"/>
  <c r="N404" i="3"/>
  <c r="L404" i="3"/>
  <c r="P404" i="3" s="1"/>
  <c r="P95" i="3"/>
  <c r="N816" i="3"/>
  <c r="O816" i="3"/>
  <c r="M816" i="3"/>
  <c r="L816" i="3"/>
  <c r="O627" i="3"/>
  <c r="N627" i="3"/>
  <c r="M627" i="3"/>
  <c r="L627" i="3"/>
  <c r="P465" i="3"/>
  <c r="P369" i="3"/>
  <c r="O605" i="3"/>
  <c r="N605" i="3"/>
  <c r="M605" i="3"/>
  <c r="L605" i="3"/>
  <c r="O557" i="3"/>
  <c r="N557" i="3"/>
  <c r="M557" i="3"/>
  <c r="L557" i="3"/>
  <c r="P557" i="3" s="1"/>
  <c r="P467" i="3"/>
  <c r="N384" i="3"/>
  <c r="M384" i="3"/>
  <c r="L384" i="3"/>
  <c r="P384" i="3" s="1"/>
  <c r="O384" i="3"/>
  <c r="P863" i="3"/>
  <c r="M820" i="3"/>
  <c r="N820" i="3"/>
  <c r="O820" i="3"/>
  <c r="L820" i="3"/>
  <c r="P741" i="3"/>
  <c r="P594" i="3"/>
  <c r="P517" i="3"/>
  <c r="P445" i="3"/>
  <c r="O386" i="3"/>
  <c r="M386" i="3"/>
  <c r="N386" i="3"/>
  <c r="L386" i="3"/>
  <c r="P349" i="3"/>
  <c r="P48" i="3"/>
  <c r="P24" i="3"/>
  <c r="P18" i="3"/>
  <c r="N87" i="3"/>
  <c r="L87" i="3"/>
  <c r="O87" i="3"/>
  <c r="N1514" i="3"/>
  <c r="M1514" i="3"/>
  <c r="L1514" i="3"/>
  <c r="O1514" i="3"/>
  <c r="O1055" i="3"/>
  <c r="N1055" i="3"/>
  <c r="M1055" i="3"/>
  <c r="L1055" i="3"/>
  <c r="N1458" i="3"/>
  <c r="O1458" i="3"/>
  <c r="L1458" i="3"/>
  <c r="M1458" i="3"/>
  <c r="M1434" i="3"/>
  <c r="L1434" i="3"/>
  <c r="P1434" i="3" s="1"/>
  <c r="N1434" i="3"/>
  <c r="O1434" i="3"/>
  <c r="O1203" i="3"/>
  <c r="N1203" i="3"/>
  <c r="L1203" i="3"/>
  <c r="M1203" i="3"/>
  <c r="N1068" i="3"/>
  <c r="O1068" i="3"/>
  <c r="M1068" i="3"/>
  <c r="L1068" i="3"/>
  <c r="M1312" i="3"/>
  <c r="L1312" i="3"/>
  <c r="N1312" i="3"/>
  <c r="O1312" i="3"/>
  <c r="L1288" i="3"/>
  <c r="N1288" i="3"/>
  <c r="O1288" i="3"/>
  <c r="M1288" i="3"/>
  <c r="L1064" i="3"/>
  <c r="P1064" i="3" s="1"/>
  <c r="O1064" i="3"/>
  <c r="N1064" i="3"/>
  <c r="M1064" i="3"/>
  <c r="L1454" i="3"/>
  <c r="O1454" i="3"/>
  <c r="N1454" i="3"/>
  <c r="M1454" i="3"/>
  <c r="O1430" i="3"/>
  <c r="M1430" i="3"/>
  <c r="L1430" i="3"/>
  <c r="P1430" i="3" s="1"/>
  <c r="N1430" i="3"/>
  <c r="N1194" i="3"/>
  <c r="O1194" i="3"/>
  <c r="M1194" i="3"/>
  <c r="L1194" i="3"/>
  <c r="P1194" i="3" s="1"/>
  <c r="P1016" i="3"/>
  <c r="P150" i="3"/>
  <c r="O510" i="3"/>
  <c r="M510" i="3"/>
  <c r="L510" i="3"/>
  <c r="N510" i="3"/>
  <c r="P449" i="3"/>
  <c r="N390" i="3"/>
  <c r="M390" i="3"/>
  <c r="L390" i="3"/>
  <c r="O390" i="3"/>
  <c r="O440" i="3"/>
  <c r="M440" i="3"/>
  <c r="N440" i="3"/>
  <c r="L440" i="3"/>
  <c r="P440" i="3" s="1"/>
  <c r="P100" i="3"/>
  <c r="P604" i="3"/>
  <c r="N396" i="3"/>
  <c r="M396" i="3"/>
  <c r="L396" i="3"/>
  <c r="O396" i="3"/>
  <c r="N643" i="3"/>
  <c r="O643" i="3"/>
  <c r="M643" i="3"/>
  <c r="L643" i="3"/>
  <c r="P17" i="3"/>
  <c r="P11" i="3"/>
  <c r="O496" i="3"/>
  <c r="M496" i="3"/>
  <c r="N496" i="3"/>
  <c r="L496" i="3"/>
  <c r="P496" i="3" s="1"/>
  <c r="O717" i="3"/>
  <c r="M717" i="3"/>
  <c r="L717" i="3"/>
  <c r="N717" i="3"/>
  <c r="O623" i="3"/>
  <c r="N623" i="3"/>
  <c r="M623" i="3"/>
  <c r="L623" i="3"/>
  <c r="O551" i="3"/>
  <c r="N551" i="3"/>
  <c r="M551" i="3"/>
  <c r="L551" i="3"/>
  <c r="O500" i="3"/>
  <c r="N500" i="3"/>
  <c r="M500" i="3"/>
  <c r="L500" i="3"/>
  <c r="P101" i="3"/>
  <c r="L406" i="3"/>
  <c r="O406" i="3"/>
  <c r="N406" i="3"/>
  <c r="M406" i="3"/>
  <c r="M794" i="3"/>
  <c r="O794" i="3"/>
  <c r="N794" i="3"/>
  <c r="L794" i="3"/>
  <c r="P794" i="3" s="1"/>
  <c r="O559" i="3"/>
  <c r="M559" i="3"/>
  <c r="N559" i="3"/>
  <c r="L559" i="3"/>
  <c r="O482" i="3"/>
  <c r="N482" i="3"/>
  <c r="M482" i="3"/>
  <c r="L482" i="3"/>
  <c r="P60" i="3"/>
  <c r="P36" i="3"/>
  <c r="O83" i="3"/>
  <c r="O6" i="3" s="1"/>
  <c r="O1550" i="3" s="1"/>
  <c r="N83" i="3"/>
  <c r="L83" i="3"/>
  <c r="O328" i="3"/>
  <c r="N328" i="3"/>
  <c r="M328" i="3"/>
  <c r="M1550" i="3" s="1"/>
  <c r="L328" i="3"/>
  <c r="P1501" i="3"/>
  <c r="A942" i="3"/>
  <c r="A943" i="3" s="1"/>
  <c r="A944" i="3" s="1"/>
  <c r="A945" i="3" s="1"/>
  <c r="A946" i="3" s="1"/>
  <c r="A947" i="3" s="1"/>
  <c r="A948" i="3" s="1"/>
  <c r="A949" i="3" s="1"/>
  <c r="A950" i="3" s="1"/>
  <c r="A951" i="3" s="1"/>
  <c r="A952" i="3" s="1"/>
  <c r="A940" i="3"/>
  <c r="A941" i="3" s="1"/>
  <c r="P1227" i="3"/>
  <c r="P1243" i="3"/>
  <c r="P1191" i="3"/>
  <c r="P1173" i="3"/>
  <c r="P1386" i="3"/>
  <c r="P1370" i="3"/>
  <c r="P1364" i="3"/>
  <c r="P1354" i="3"/>
  <c r="P1344" i="3"/>
  <c r="P1332" i="3"/>
  <c r="P1182" i="3"/>
  <c r="P1170" i="3"/>
  <c r="P1160" i="3"/>
  <c r="P1407" i="3"/>
  <c r="P1387" i="3"/>
  <c r="P1487" i="3"/>
  <c r="P1473" i="3"/>
  <c r="P1425" i="3"/>
  <c r="P1415" i="3"/>
  <c r="L1210" i="3"/>
  <c r="N1210" i="3"/>
  <c r="M1210" i="3"/>
  <c r="O1210" i="3"/>
  <c r="L1315" i="3"/>
  <c r="O1315" i="3"/>
  <c r="M1315" i="3"/>
  <c r="N1315" i="3"/>
  <c r="L1291" i="3"/>
  <c r="O1291" i="3"/>
  <c r="M1291" i="3"/>
  <c r="N1291" i="3"/>
  <c r="L1207" i="3"/>
  <c r="N1207" i="3"/>
  <c r="M1207" i="3"/>
  <c r="O1207" i="3"/>
  <c r="P930" i="3"/>
  <c r="P924" i="3"/>
  <c r="P904" i="3"/>
  <c r="P870" i="3"/>
  <c r="N1077" i="3"/>
  <c r="O1077" i="3"/>
  <c r="L1077" i="3"/>
  <c r="P1077" i="3" s="1"/>
  <c r="M1314" i="3"/>
  <c r="L1314" i="3"/>
  <c r="P1314" i="3" s="1"/>
  <c r="O1314" i="3"/>
  <c r="N1314" i="3"/>
  <c r="O1290" i="3"/>
  <c r="N1290" i="3"/>
  <c r="L1290" i="3"/>
  <c r="M1290" i="3"/>
  <c r="P305" i="3"/>
  <c r="P299" i="3"/>
  <c r="P293" i="3"/>
  <c r="P287" i="3"/>
  <c r="O1325" i="3"/>
  <c r="N1325" i="3"/>
  <c r="M1325" i="3"/>
  <c r="L1325" i="3"/>
  <c r="P1325" i="3" s="1"/>
  <c r="N1301" i="3"/>
  <c r="M1301" i="3"/>
  <c r="L1301" i="3"/>
  <c r="O1301" i="3"/>
  <c r="L1277" i="3"/>
  <c r="N1277" i="3"/>
  <c r="M1277" i="3"/>
  <c r="O1277" i="3"/>
  <c r="N1486" i="3"/>
  <c r="M1486" i="3"/>
  <c r="O1486" i="3"/>
  <c r="L1486" i="3"/>
  <c r="P946" i="3"/>
  <c r="P923" i="3"/>
  <c r="P901" i="3"/>
  <c r="P895" i="3"/>
  <c r="P891" i="3"/>
  <c r="P879" i="3"/>
  <c r="P873" i="3"/>
  <c r="O1323" i="3"/>
  <c r="N1323" i="3"/>
  <c r="M1323" i="3"/>
  <c r="L1323" i="3"/>
  <c r="O1299" i="3"/>
  <c r="N1299" i="3"/>
  <c r="M1299" i="3"/>
  <c r="L1299" i="3"/>
  <c r="M1275" i="3"/>
  <c r="O1275" i="3"/>
  <c r="N1275" i="3"/>
  <c r="L1275" i="3"/>
  <c r="O1072" i="3"/>
  <c r="N1072" i="3"/>
  <c r="M1072" i="3"/>
  <c r="L1072" i="3"/>
  <c r="P622" i="3"/>
  <c r="N1310" i="3"/>
  <c r="M1310" i="3"/>
  <c r="O1310" i="3"/>
  <c r="L1310" i="3"/>
  <c r="N1286" i="3"/>
  <c r="M1286" i="3"/>
  <c r="L1286" i="3"/>
  <c r="P1286" i="3" s="1"/>
  <c r="O1286" i="3"/>
  <c r="P1023" i="3"/>
  <c r="P1008" i="3"/>
  <c r="P801" i="3"/>
  <c r="P789" i="3"/>
  <c r="P759" i="3"/>
  <c r="P718" i="3"/>
  <c r="O633" i="3"/>
  <c r="N633" i="3"/>
  <c r="M633" i="3"/>
  <c r="L633" i="3"/>
  <c r="P471" i="3"/>
  <c r="P322" i="3"/>
  <c r="P473" i="3"/>
  <c r="P276" i="3"/>
  <c r="M767" i="3"/>
  <c r="O767" i="3"/>
  <c r="N767" i="3"/>
  <c r="L767" i="3"/>
  <c r="O464" i="3"/>
  <c r="M464" i="3"/>
  <c r="N464" i="3"/>
  <c r="L464" i="3"/>
  <c r="P379" i="3"/>
  <c r="P86" i="3"/>
  <c r="M639" i="3"/>
  <c r="L639" i="3"/>
  <c r="O639" i="3"/>
  <c r="N639" i="3"/>
  <c r="O490" i="3"/>
  <c r="M490" i="3"/>
  <c r="N490" i="3"/>
  <c r="L490" i="3"/>
  <c r="M806" i="3"/>
  <c r="N806" i="3"/>
  <c r="O806" i="3"/>
  <c r="L806" i="3"/>
  <c r="N348" i="3"/>
  <c r="M348" i="3"/>
  <c r="L348" i="3"/>
  <c r="P348" i="3" s="1"/>
  <c r="O348" i="3"/>
  <c r="O808" i="3"/>
  <c r="L808" i="3"/>
  <c r="N808" i="3"/>
  <c r="M808" i="3"/>
  <c r="P726" i="3"/>
  <c r="O595" i="3"/>
  <c r="N595" i="3"/>
  <c r="M595" i="3"/>
  <c r="L595" i="3"/>
  <c r="O350" i="3"/>
  <c r="M350" i="3"/>
  <c r="N350" i="3"/>
  <c r="L350" i="3"/>
  <c r="P321" i="3"/>
  <c r="P118" i="3"/>
  <c r="P77" i="3"/>
  <c r="P47" i="3"/>
  <c r="P9" i="3"/>
  <c r="P785" i="3"/>
  <c r="L376" i="3"/>
  <c r="O376" i="3"/>
  <c r="M376" i="3"/>
  <c r="N376" i="3"/>
  <c r="P308" i="3"/>
  <c r="P179" i="3"/>
  <c r="P173" i="3"/>
  <c r="P167" i="3"/>
  <c r="P161" i="3"/>
  <c r="P753" i="3"/>
  <c r="P709" i="3"/>
  <c r="N450" i="3"/>
  <c r="M450" i="3"/>
  <c r="L450" i="3"/>
  <c r="P450" i="3" s="1"/>
  <c r="O450" i="3"/>
  <c r="P728" i="3"/>
  <c r="P391" i="3"/>
  <c r="O502" i="3"/>
  <c r="M502" i="3"/>
  <c r="L502" i="3"/>
  <c r="P502" i="3" s="1"/>
  <c r="N502" i="3"/>
  <c r="O504" i="3"/>
  <c r="M504" i="3"/>
  <c r="L504" i="3"/>
  <c r="N504" i="3"/>
  <c r="P419" i="3"/>
  <c r="P857" i="3"/>
  <c r="O796" i="3"/>
  <c r="M796" i="3"/>
  <c r="N796" i="3"/>
  <c r="L796" i="3"/>
  <c r="O705" i="3"/>
  <c r="N705" i="3"/>
  <c r="M705" i="3"/>
  <c r="L705" i="3"/>
  <c r="P123" i="3"/>
  <c r="P78" i="3"/>
  <c r="P54" i="3"/>
  <c r="P42" i="3"/>
  <c r="P89" i="3"/>
  <c r="L1384" i="2"/>
  <c r="P1523" i="3"/>
  <c r="N1502" i="3"/>
  <c r="O1502" i="3"/>
  <c r="M1502" i="3"/>
  <c r="L1502" i="3"/>
  <c r="P1262" i="3"/>
  <c r="P1252" i="3"/>
  <c r="N1511" i="3"/>
  <c r="O1511" i="3"/>
  <c r="M1511" i="3"/>
  <c r="L1511" i="3"/>
  <c r="P1511" i="3" s="1"/>
  <c r="P1214" i="3"/>
  <c r="P1187" i="3"/>
  <c r="L1515" i="3"/>
  <c r="N1515" i="3"/>
  <c r="O1515" i="3"/>
  <c r="M1515" i="3"/>
  <c r="P1358" i="3"/>
  <c r="P1238" i="3"/>
  <c r="N1508" i="3"/>
  <c r="L1508" i="3"/>
  <c r="P1508" i="3" s="1"/>
  <c r="O1508" i="3"/>
  <c r="M1508" i="3"/>
  <c r="P1385" i="3"/>
  <c r="P1381" i="3"/>
  <c r="P1375" i="3"/>
  <c r="P1335" i="3"/>
  <c r="P1481" i="3"/>
  <c r="P1471" i="3"/>
  <c r="P1467" i="3"/>
  <c r="P1419" i="3"/>
  <c r="P920" i="3"/>
  <c r="P892" i="3"/>
  <c r="P876" i="3"/>
  <c r="P852" i="3"/>
  <c r="L1476" i="3"/>
  <c r="O1476" i="3"/>
  <c r="N1476" i="3"/>
  <c r="M1476" i="3"/>
  <c r="P827" i="3"/>
  <c r="P281" i="3"/>
  <c r="M1196" i="3"/>
  <c r="L1196" i="3"/>
  <c r="O1196" i="3"/>
  <c r="N1196" i="3"/>
  <c r="P1050" i="3"/>
  <c r="P1030" i="3"/>
  <c r="N1462" i="3"/>
  <c r="M1462" i="3"/>
  <c r="L1462" i="3"/>
  <c r="O1462" i="3"/>
  <c r="N1438" i="3"/>
  <c r="M1438" i="3"/>
  <c r="O1438" i="3"/>
  <c r="L1438" i="3"/>
  <c r="N1414" i="3"/>
  <c r="O1414" i="3"/>
  <c r="M1414" i="3"/>
  <c r="L1414" i="3"/>
  <c r="M1206" i="3"/>
  <c r="O1206" i="3"/>
  <c r="N1206" i="3"/>
  <c r="L1206" i="3"/>
  <c r="P950" i="3"/>
  <c r="N1496" i="3"/>
  <c r="M1496" i="3"/>
  <c r="O1496" i="3"/>
  <c r="L1496" i="3"/>
  <c r="M1472" i="3"/>
  <c r="N1472" i="3"/>
  <c r="L1472" i="3"/>
  <c r="O1472" i="3"/>
  <c r="P740" i="3"/>
  <c r="P664" i="3"/>
  <c r="P648" i="3"/>
  <c r="P628" i="3"/>
  <c r="O1080" i="3"/>
  <c r="M1080" i="3"/>
  <c r="N1080" i="3"/>
  <c r="L1080" i="3"/>
  <c r="P1014" i="3"/>
  <c r="P813" i="3"/>
  <c r="O798" i="3"/>
  <c r="N798" i="3"/>
  <c r="M798" i="3"/>
  <c r="L798" i="3"/>
  <c r="P716" i="3"/>
  <c r="O585" i="3"/>
  <c r="N585" i="3"/>
  <c r="M585" i="3"/>
  <c r="L585" i="3"/>
  <c r="P548" i="3"/>
  <c r="L436" i="3"/>
  <c r="P436" i="3" s="1"/>
  <c r="O436" i="3"/>
  <c r="N436" i="3"/>
  <c r="M436" i="3"/>
  <c r="L364" i="3"/>
  <c r="O364" i="3"/>
  <c r="N364" i="3"/>
  <c r="M364" i="3"/>
  <c r="P272" i="3"/>
  <c r="P214" i="3"/>
  <c r="P144" i="3"/>
  <c r="O765" i="3"/>
  <c r="M765" i="3"/>
  <c r="N765" i="3"/>
  <c r="L765" i="3"/>
  <c r="P598" i="3"/>
  <c r="O539" i="3"/>
  <c r="N539" i="3"/>
  <c r="M539" i="3"/>
  <c r="L539" i="3"/>
  <c r="N414" i="3"/>
  <c r="M414" i="3"/>
  <c r="L414" i="3"/>
  <c r="O414" i="3"/>
  <c r="O613" i="3"/>
  <c r="N613" i="3"/>
  <c r="M613" i="3"/>
  <c r="L613" i="3"/>
  <c r="P576" i="3"/>
  <c r="P403" i="3"/>
  <c r="P84" i="3"/>
  <c r="O804" i="3"/>
  <c r="L804" i="3"/>
  <c r="P804" i="3" s="1"/>
  <c r="M804" i="3"/>
  <c r="N804" i="3"/>
  <c r="P525" i="3"/>
  <c r="P477" i="3"/>
  <c r="L442" i="3"/>
  <c r="O442" i="3"/>
  <c r="N442" i="3"/>
  <c r="M442" i="3"/>
  <c r="M737" i="3"/>
  <c r="O737" i="3"/>
  <c r="N737" i="3"/>
  <c r="L737" i="3"/>
  <c r="P431" i="3"/>
  <c r="P330" i="3"/>
  <c r="P558" i="3"/>
  <c r="O494" i="3"/>
  <c r="N494" i="3"/>
  <c r="M494" i="3"/>
  <c r="L494" i="3"/>
  <c r="P457" i="3"/>
  <c r="P23" i="3"/>
  <c r="N621" i="3"/>
  <c r="M621" i="3"/>
  <c r="L621" i="3"/>
  <c r="P621" i="3" s="1"/>
  <c r="O621" i="3"/>
  <c r="P273" i="3"/>
  <c r="P267" i="3"/>
  <c r="P261" i="3"/>
  <c r="P255" i="3"/>
  <c r="P249" i="3"/>
  <c r="P243" i="3"/>
  <c r="P237" i="3"/>
  <c r="P231" i="3"/>
  <c r="P225" i="3"/>
  <c r="P219" i="3"/>
  <c r="P213" i="3"/>
  <c r="P207" i="3"/>
  <c r="P183" i="3"/>
  <c r="P159" i="3"/>
  <c r="P151" i="3"/>
  <c r="P861" i="3"/>
  <c r="P610" i="3"/>
  <c r="M814" i="3"/>
  <c r="N814" i="3"/>
  <c r="L814" i="3"/>
  <c r="O814" i="3"/>
  <c r="P487" i="3"/>
  <c r="O428" i="3"/>
  <c r="M428" i="3"/>
  <c r="N428" i="3"/>
  <c r="L428" i="3"/>
  <c r="P138" i="3"/>
  <c r="O792" i="3"/>
  <c r="M792" i="3"/>
  <c r="L792" i="3"/>
  <c r="P792" i="3" s="1"/>
  <c r="N792" i="3"/>
  <c r="O603" i="3"/>
  <c r="N603" i="3"/>
  <c r="M603" i="3"/>
  <c r="L603" i="3"/>
  <c r="O531" i="3"/>
  <c r="M531" i="3"/>
  <c r="L531" i="3"/>
  <c r="N531" i="3"/>
  <c r="P393" i="3"/>
  <c r="M758" i="3"/>
  <c r="N758" i="3"/>
  <c r="L758" i="3"/>
  <c r="O758" i="3"/>
  <c r="P708" i="3"/>
  <c r="N456" i="3"/>
  <c r="M456" i="3"/>
  <c r="L456" i="3"/>
  <c r="P456" i="3" s="1"/>
  <c r="O456" i="3"/>
  <c r="P371" i="3"/>
  <c r="P331" i="3"/>
  <c r="O410" i="3"/>
  <c r="M410" i="3"/>
  <c r="N410" i="3"/>
  <c r="L410" i="3"/>
  <c r="P373" i="3"/>
  <c r="P72" i="3"/>
  <c r="P46" i="3"/>
  <c r="P40" i="3"/>
  <c r="P34" i="3"/>
  <c r="P10" i="3"/>
  <c r="M1570" i="3" l="1"/>
  <c r="M1573" i="3"/>
  <c r="P494" i="3"/>
  <c r="P1206" i="3"/>
  <c r="P796" i="3"/>
  <c r="P464" i="3"/>
  <c r="P633" i="3"/>
  <c r="P1275" i="3"/>
  <c r="P406" i="3"/>
  <c r="P551" i="3"/>
  <c r="P470" i="3"/>
  <c r="P1200" i="3"/>
  <c r="P1516" i="3"/>
  <c r="P810" i="3"/>
  <c r="P392" i="3"/>
  <c r="P412" i="3"/>
  <c r="P1201" i="3"/>
  <c r="P1056" i="3"/>
  <c r="P629" i="3"/>
  <c r="P472" i="3"/>
  <c r="P1440" i="3"/>
  <c r="P458" i="3"/>
  <c r="P476" i="3"/>
  <c r="P641" i="3"/>
  <c r="P587" i="3"/>
  <c r="P1488" i="3"/>
  <c r="P1519" i="3"/>
  <c r="P1300" i="3"/>
  <c r="P452" i="3"/>
  <c r="P398" i="3"/>
  <c r="P420" i="3"/>
  <c r="P1293" i="3"/>
  <c r="P1079" i="3"/>
  <c r="P649" i="3"/>
  <c r="P374" i="3"/>
  <c r="P615" i="3"/>
  <c r="P410" i="3"/>
  <c r="P539" i="3"/>
  <c r="P585" i="3"/>
  <c r="P1080" i="3"/>
  <c r="P1196" i="3"/>
  <c r="L1407" i="2"/>
  <c r="L1410" i="2"/>
  <c r="L1385" i="2"/>
  <c r="P1315" i="3"/>
  <c r="P643" i="3"/>
  <c r="P426" i="3"/>
  <c r="P492" i="3"/>
  <c r="P1198" i="3"/>
  <c r="P372" i="3"/>
  <c r="P466" i="3"/>
  <c r="P1298" i="3"/>
  <c r="P1311" i="3"/>
  <c r="P1289" i="3"/>
  <c r="P454" i="3"/>
  <c r="P498" i="3"/>
  <c r="P665" i="3"/>
  <c r="P388" i="3"/>
  <c r="P1442" i="3"/>
  <c r="P729" i="3"/>
  <c r="P1494" i="3"/>
  <c r="P575" i="3"/>
  <c r="P746" i="3"/>
  <c r="P1280" i="3"/>
  <c r="P1202" i="3"/>
  <c r="P758" i="3"/>
  <c r="P1472" i="3"/>
  <c r="P808" i="3"/>
  <c r="P490" i="3"/>
  <c r="P1310" i="3"/>
  <c r="A953" i="3"/>
  <c r="A954" i="3"/>
  <c r="P510" i="3"/>
  <c r="P1458" i="3"/>
  <c r="P87" i="3"/>
  <c r="P627" i="3"/>
  <c r="P352" i="3"/>
  <c r="P416" i="3"/>
  <c r="P822" i="3"/>
  <c r="P1482" i="3"/>
  <c r="P657" i="3"/>
  <c r="P1492" i="3"/>
  <c r="P1273" i="3"/>
  <c r="P446" i="3"/>
  <c r="P591" i="3"/>
  <c r="P1412" i="3"/>
  <c r="P1318" i="3"/>
  <c r="P1074" i="3"/>
  <c r="P378" i="3"/>
  <c r="P1279" i="3"/>
  <c r="P549" i="3"/>
  <c r="P1082" i="3"/>
  <c r="P360" i="3"/>
  <c r="P625" i="3"/>
  <c r="P761" i="3"/>
  <c r="P1284" i="3"/>
  <c r="P400" i="3"/>
  <c r="P516" i="3"/>
  <c r="P1424" i="3"/>
  <c r="P1053" i="3"/>
  <c r="P1063" i="3"/>
  <c r="P1452" i="3"/>
  <c r="P1321" i="3"/>
  <c r="P814" i="3"/>
  <c r="P613" i="3"/>
  <c r="P350" i="3"/>
  <c r="P442" i="3"/>
  <c r="P1462" i="3"/>
  <c r="P767" i="3"/>
  <c r="P1299" i="3"/>
  <c r="P1277" i="3"/>
  <c r="P1207" i="3"/>
  <c r="P328" i="3"/>
  <c r="P482" i="3"/>
  <c r="P500" i="3"/>
  <c r="P623" i="3"/>
  <c r="P1288" i="3"/>
  <c r="P820" i="3"/>
  <c r="P553" i="3"/>
  <c r="P1513" i="3"/>
  <c r="P1521" i="3"/>
  <c r="P1507" i="3"/>
  <c r="P134" i="3"/>
  <c r="P402" i="3"/>
  <c r="P647" i="3"/>
  <c r="P1464" i="3"/>
  <c r="P535" i="3"/>
  <c r="P448" i="3"/>
  <c r="P434" i="3"/>
  <c r="P526" i="3"/>
  <c r="P524" i="3"/>
  <c r="P563" i="3"/>
  <c r="P609" i="3"/>
  <c r="P1317" i="3"/>
  <c r="P1295" i="3"/>
  <c r="P1308" i="3"/>
  <c r="P1309" i="3"/>
  <c r="L6" i="3"/>
  <c r="L1550" i="3" s="1"/>
  <c r="P520" i="3"/>
  <c r="P619" i="3"/>
  <c r="P1210" i="3"/>
  <c r="P1203" i="3"/>
  <c r="P1420" i="3"/>
  <c r="P1281" i="3"/>
  <c r="P1307" i="3"/>
  <c r="P1504" i="3"/>
  <c r="P661" i="3"/>
  <c r="P1070" i="3"/>
  <c r="P653" i="3"/>
  <c r="P1076" i="3"/>
  <c r="P518" i="3"/>
  <c r="P1466" i="3"/>
  <c r="P1432" i="3"/>
  <c r="P1304" i="3"/>
  <c r="P6" i="3"/>
  <c r="L1572" i="3"/>
  <c r="P1547" i="3"/>
  <c r="P765" i="3"/>
  <c r="P364" i="3"/>
  <c r="P798" i="3"/>
  <c r="P1496" i="3"/>
  <c r="P1414" i="3"/>
  <c r="P1454" i="3"/>
  <c r="P816" i="3"/>
  <c r="P818" i="3"/>
  <c r="P742" i="3"/>
  <c r="P667" i="3"/>
  <c r="P1436" i="3"/>
  <c r="P651" i="3"/>
  <c r="P669" i="3"/>
  <c r="P802" i="3"/>
  <c r="P537" i="3"/>
  <c r="P782" i="3"/>
  <c r="P460" i="3"/>
  <c r="P1418" i="3"/>
  <c r="P1208" i="3"/>
  <c r="P1276" i="3"/>
  <c r="P1518" i="3"/>
  <c r="P725" i="3"/>
  <c r="P512" i="3"/>
  <c r="P506" i="3"/>
  <c r="P1072" i="3"/>
  <c r="P1486" i="3"/>
  <c r="P1312" i="3"/>
  <c r="P1514" i="3"/>
  <c r="P605" i="3"/>
  <c r="P601" i="3"/>
  <c r="P370" i="3"/>
  <c r="P589" i="3"/>
  <c r="P1478" i="3"/>
  <c r="P366" i="3"/>
  <c r="P1320" i="3"/>
  <c r="P769" i="3"/>
  <c r="P486" i="3"/>
  <c r="P1416" i="3"/>
  <c r="P362" i="3"/>
  <c r="P547" i="3"/>
  <c r="P480" i="3"/>
  <c r="P422" i="3"/>
  <c r="P1322" i="3"/>
  <c r="P1474" i="3"/>
  <c r="P1313" i="3"/>
  <c r="P1278" i="3"/>
  <c r="P1422" i="3"/>
  <c r="P424" i="3"/>
  <c r="P1066" i="3"/>
  <c r="P1490" i="3"/>
  <c r="P1470" i="3"/>
  <c r="P593" i="3"/>
  <c r="P438" i="3"/>
  <c r="P1195" i="3"/>
  <c r="P1319" i="3"/>
  <c r="P567" i="3"/>
  <c r="P1058" i="3"/>
  <c r="P531" i="3"/>
  <c r="P1502" i="3"/>
  <c r="P504" i="3"/>
  <c r="P595" i="3"/>
  <c r="P1301" i="3"/>
  <c r="P428" i="3"/>
  <c r="P737" i="3"/>
  <c r="P1476" i="3"/>
  <c r="P1515" i="3"/>
  <c r="P376" i="3"/>
  <c r="P639" i="3"/>
  <c r="P1323" i="3"/>
  <c r="P1290" i="3"/>
  <c r="P1291" i="3"/>
  <c r="P559" i="3"/>
  <c r="P396" i="3"/>
  <c r="P386" i="3"/>
  <c r="P561" i="3"/>
  <c r="P1057" i="3"/>
  <c r="P357" i="3"/>
  <c r="P1468" i="3"/>
  <c r="P1059" i="3"/>
  <c r="P1270" i="3"/>
  <c r="P380" i="3"/>
  <c r="P1062" i="3"/>
  <c r="P635" i="3"/>
  <c r="P1303" i="3"/>
  <c r="P358" i="3"/>
  <c r="P713" i="3"/>
  <c r="P1083" i="3"/>
  <c r="P1512" i="3"/>
  <c r="P631" i="3"/>
  <c r="P356" i="3"/>
  <c r="P824" i="3"/>
  <c r="P132" i="3"/>
  <c r="P394" i="3"/>
  <c r="P1269" i="3"/>
  <c r="P1285" i="3"/>
  <c r="P430" i="3"/>
  <c r="P1282" i="3"/>
  <c r="P1068" i="3"/>
  <c r="P1055" i="3"/>
  <c r="P1505" i="3"/>
  <c r="P579" i="3"/>
  <c r="P1305" i="3"/>
  <c r="P1283" i="3"/>
  <c r="P432" i="3"/>
  <c r="P522" i="3"/>
  <c r="P1460" i="3"/>
  <c r="P777" i="3"/>
  <c r="P1450" i="3"/>
  <c r="P1071" i="3"/>
  <c r="P1274" i="3"/>
  <c r="P1061" i="3"/>
  <c r="P1446" i="3"/>
  <c r="P581" i="3"/>
  <c r="P577" i="3"/>
  <c r="P780" i="3"/>
  <c r="P488" i="3"/>
  <c r="P806" i="3"/>
  <c r="P83" i="3"/>
  <c r="P390" i="3"/>
  <c r="P569" i="3"/>
  <c r="P1444" i="3"/>
  <c r="P603" i="3"/>
  <c r="P414" i="3"/>
  <c r="P1438" i="3"/>
  <c r="P717" i="3"/>
  <c r="P663" i="3"/>
  <c r="P444" i="3"/>
  <c r="P611" i="3"/>
  <c r="P1316" i="3"/>
  <c r="P1498" i="3"/>
  <c r="P1297" i="3"/>
  <c r="P565" i="3"/>
  <c r="P1302" i="3"/>
  <c r="P1456" i="3"/>
  <c r="P583" i="3"/>
  <c r="P408" i="3"/>
  <c r="P354" i="3"/>
  <c r="P508" i="3"/>
  <c r="P1271" i="3"/>
  <c r="P1193" i="3"/>
  <c r="P1306" i="3"/>
  <c r="P85" i="3"/>
  <c r="K696" i="3"/>
  <c r="M1410" i="2"/>
  <c r="M1385" i="2"/>
  <c r="N1384" i="2"/>
  <c r="P1572" i="3" l="1"/>
  <c r="P696" i="3"/>
  <c r="M1569" i="3"/>
  <c r="L1573" i="3"/>
  <c r="A1004" i="3"/>
  <c r="A1005" i="3" s="1"/>
  <c r="A1006" i="3" s="1"/>
  <c r="A1007" i="3" s="1"/>
  <c r="A1008" i="3" s="1"/>
  <c r="A1009" i="3" s="1"/>
  <c r="A1010" i="3" s="1"/>
  <c r="A1011" i="3" s="1"/>
  <c r="A1012" i="3" s="1"/>
  <c r="A1013" i="3" s="1"/>
  <c r="A1014" i="3" s="1"/>
  <c r="A1015" i="3" s="1"/>
  <c r="A1016" i="3" s="1"/>
  <c r="A1017" i="3" s="1"/>
  <c r="A1018" i="3" s="1"/>
  <c r="A1019" i="3" s="1"/>
  <c r="A1020" i="3" s="1"/>
  <c r="A955" i="3"/>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P1550" i="3" l="1"/>
  <c r="A1021" i="3"/>
  <c r="A1022" i="3"/>
  <c r="A1023" i="3" s="1"/>
  <c r="A1024" i="3" s="1"/>
  <c r="A1025" i="3" s="1"/>
  <c r="A1026" i="3" s="1"/>
  <c r="A1027" i="3" s="1"/>
  <c r="A1028" i="3" s="1"/>
  <c r="A1029" i="3" s="1"/>
  <c r="A1030" i="3" s="1"/>
  <c r="A1031" i="3" s="1"/>
  <c r="A1032" i="3" s="1"/>
  <c r="P1573" i="3" l="1"/>
  <c r="A1033" i="3"/>
  <c r="A1034" i="3"/>
  <c r="A1035" i="3" l="1"/>
  <c r="A1036" i="3"/>
  <c r="A1037" i="3" s="1"/>
  <c r="A1038" i="3" l="1"/>
  <c r="A1039" i="3"/>
  <c r="A1040" i="3" s="1"/>
  <c r="A1041" i="3" s="1"/>
  <c r="A1042" i="3" s="1"/>
  <c r="A1043" i="3" s="1"/>
  <c r="A1044" i="3" s="1"/>
  <c r="A1045" i="3" s="1"/>
  <c r="A1046" i="3" s="1"/>
  <c r="A1047" i="3" s="1"/>
  <c r="A1048" i="3" s="1"/>
  <c r="A1050" i="3" l="1"/>
  <c r="A1051" i="3" s="1"/>
  <c r="A1049" i="3"/>
  <c r="A1053" i="3" l="1"/>
  <c r="A1052" i="3"/>
  <c r="A1055" i="3" l="1"/>
  <c r="A1056" i="3" s="1"/>
  <c r="A1057" i="3" s="1"/>
  <c r="A1058" i="3" s="1"/>
  <c r="A1059" i="3" s="1"/>
  <c r="A1054" i="3"/>
  <c r="A1060" i="3" l="1"/>
  <c r="A1061" i="3"/>
  <c r="A1062" i="3" s="1"/>
  <c r="A1063" i="3" s="1"/>
  <c r="A1064" i="3" s="1"/>
  <c r="A1065" i="3" s="1"/>
  <c r="A1066" i="3" s="1"/>
  <c r="A1068" i="3" l="1"/>
  <c r="A1069" i="3" s="1"/>
  <c r="A1070" i="3" s="1"/>
  <c r="A1071" i="3" s="1"/>
  <c r="A1072" i="3" s="1"/>
  <c r="A1067" i="3"/>
  <c r="A1074" i="3" l="1"/>
  <c r="A1075" i="3" s="1"/>
  <c r="A1076" i="3" s="1"/>
  <c r="A1077" i="3" s="1"/>
  <c r="A1078" i="3" s="1"/>
  <c r="A1079" i="3" s="1"/>
  <c r="A1080" i="3" s="1"/>
  <c r="A1081" i="3" s="1"/>
  <c r="A1082" i="3" s="1"/>
  <c r="A1083" i="3" s="1"/>
  <c r="A1073" i="3"/>
  <c r="A1158" i="3" l="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084" i="3"/>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524" i="3" l="1"/>
  <c r="A1525" i="3" s="1"/>
  <c r="A1526" i="3" s="1"/>
  <c r="A1527" i="3" s="1"/>
  <c r="A1528" i="3" s="1"/>
  <c r="A1529" i="3" s="1"/>
  <c r="A1530" i="3"/>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alcChain>
</file>

<file path=xl/sharedStrings.xml><?xml version="1.0" encoding="utf-8"?>
<sst xmlns="http://schemas.openxmlformats.org/spreadsheetml/2006/main" count="15618" uniqueCount="2376">
  <si>
    <t>MẪU SỐ 11C. BẢNG TỔNG HỢP GIÁ DỰ THẦU</t>
  </si>
  <si>
    <t>STT</t>
  </si>
  <si>
    <t>Id</t>
  </si>
  <si>
    <t>Mô tả công việc mời thầu</t>
  </si>
  <si>
    <t>Yêu cầu kỹ thuật/Chỉ dẫn kỹ thuật chính</t>
  </si>
  <si>
    <t>Khối lượng mời thầu</t>
  </si>
  <si>
    <t>Đơn vị tính</t>
  </si>
  <si>
    <t>Đơn giá dự thầu</t>
  </si>
  <si>
    <t>Thành tiền</t>
  </si>
  <si>
    <t>NỀN MẶT ĐƯỜNG TUYẾN CHÍNH (ĐOẠN QUA ĐỊA PHẬN TT BÚT SƠN)</t>
  </si>
  <si>
    <t>Theo quy định tại Chương V</t>
  </si>
  <si>
    <t>1.1</t>
  </si>
  <si>
    <t>Dọn dẹp mặt bằng</t>
  </si>
  <si>
    <t>m2</t>
  </si>
  <si>
    <t>1.2</t>
  </si>
  <si>
    <t>Đào khuôn đường bằng máy - Cấp đất II</t>
  </si>
  <si>
    <t>m3</t>
  </si>
  <si>
    <t>1.3</t>
  </si>
  <si>
    <t>Đào mặt đường cũ bằng máy - Cấp đất IV</t>
  </si>
  <si>
    <t>1.4</t>
  </si>
  <si>
    <t>Xáo xới nền đường K95</t>
  </si>
  <si>
    <t>1.5</t>
  </si>
  <si>
    <t>Lu lèn 30cm mặt đường đã xới xáo</t>
  </si>
  <si>
    <t>1.6</t>
  </si>
  <si>
    <t>Đào đất hữu cơ</t>
  </si>
  <si>
    <t>1.7</t>
  </si>
  <si>
    <t>Đắp nền đường bằng máy lu bánh thép 25T, máy ủi 110CV, độ chặt Y/C K = 0,95</t>
  </si>
  <si>
    <t>1.8</t>
  </si>
  <si>
    <t>Đắp giải đất dự trữ bằng đất tận dụng K95</t>
  </si>
  <si>
    <t>1.9</t>
  </si>
  <si>
    <t>Đắp nền đường bằng máy lu bánh thép 25T, máy ủi 110CV, độ chặt Y/C K = 0,98</t>
  </si>
  <si>
    <t>1.10</t>
  </si>
  <si>
    <t>Mua đất để đắp K95</t>
  </si>
  <si>
    <t>1.11</t>
  </si>
  <si>
    <t>Mua đất để đắp K98</t>
  </si>
  <si>
    <t>1.12</t>
  </si>
  <si>
    <t>Vận chuyển đất</t>
  </si>
  <si>
    <t>10m³/1km</t>
  </si>
  <si>
    <t>1.13</t>
  </si>
  <si>
    <t>Vận chuyển đất đắp gia tải tận dụng bên cầu đắp dải dự trữ 3km</t>
  </si>
  <si>
    <t>1.14</t>
  </si>
  <si>
    <t>Vận chuyển đất không thích hợp đất cấp I</t>
  </si>
  <si>
    <t>1.15</t>
  </si>
  <si>
    <t>Vận chuyển đất không thích hợp đất cấp II</t>
  </si>
  <si>
    <t>1.16</t>
  </si>
  <si>
    <t>Vận chuyển đất không thích hợp bằng ôtô tự đổ, đất cấp IV</t>
  </si>
  <si>
    <t>1.17</t>
  </si>
  <si>
    <t>San đất bãi thải bằng máy ủi 110CV</t>
  </si>
  <si>
    <t>1.18</t>
  </si>
  <si>
    <t>Đào đất không thích hợp bằng máy đào - Cấp đất I</t>
  </si>
  <si>
    <t>1.19</t>
  </si>
  <si>
    <t>Rải vải địa kỹ thuật không dệt ART12 (12kN/m)</t>
  </si>
  <si>
    <t>1.20</t>
  </si>
  <si>
    <t>Rải lưới địa kỹ thuật dệt cường độ 200Kn/m</t>
  </si>
  <si>
    <t>1.21</t>
  </si>
  <si>
    <t>Đắp đất bù lún K95</t>
  </si>
  <si>
    <t>1.22</t>
  </si>
  <si>
    <t>Đắp đất gia tải K95 (không vật liệu)</t>
  </si>
  <si>
    <t>1.23</t>
  </si>
  <si>
    <t>Đào dỡ tải</t>
  </si>
  <si>
    <t>1.24</t>
  </si>
  <si>
    <t>Vận chuyển đất tận dụng</t>
  </si>
  <si>
    <t>m³/1km</t>
  </si>
  <si>
    <t>1.25</t>
  </si>
  <si>
    <t>Đắp đất quy đổi kết cấu, bù kết cấu K95 (không vật liệu)</t>
  </si>
  <si>
    <t>1.26</t>
  </si>
  <si>
    <t>1.27</t>
  </si>
  <si>
    <t>1.28</t>
  </si>
  <si>
    <t>Đá dăm 1x2cm làm cửa thoát nước</t>
  </si>
  <si>
    <t>1.29</t>
  </si>
  <si>
    <t>Rải vải địa kỹ thuật 15kN/m</t>
  </si>
  <si>
    <t>1.30</t>
  </si>
  <si>
    <t>Đắp đất K90 bảo vệ vải địa kỹ thuật</t>
  </si>
  <si>
    <t>1.31</t>
  </si>
  <si>
    <t>Cấy bấc thấm bằng máy</t>
  </si>
  <si>
    <t>m</t>
  </si>
  <si>
    <t>1.32</t>
  </si>
  <si>
    <t>Đệm cát hạt trung bằng máy, độ chặt yêu cầu K=0,95</t>
  </si>
  <si>
    <t>1.33</t>
  </si>
  <si>
    <t>Đào rãnh bằng máy, đất cấp II</t>
  </si>
  <si>
    <t>1.34</t>
  </si>
  <si>
    <t>Đắp trả rãnh đất thi công giếng cát</t>
  </si>
  <si>
    <t>1.35</t>
  </si>
  <si>
    <t>Lắp đặt ống nhựa- Đường kính 200mm</t>
  </si>
  <si>
    <t>1.36</t>
  </si>
  <si>
    <t>Lắp đặt ống thép d=50mm</t>
  </si>
  <si>
    <t>1.37</t>
  </si>
  <si>
    <t>Lắp đặt ống nhựa d150</t>
  </si>
  <si>
    <t>1.38</t>
  </si>
  <si>
    <t>Sản xuất bàn thép</t>
  </si>
  <si>
    <t>tấn</t>
  </si>
  <si>
    <t>1.39</t>
  </si>
  <si>
    <t>Cọc quan trắc chuyển vị 10x10x170cm</t>
  </si>
  <si>
    <t>1.40</t>
  </si>
  <si>
    <t>Rải thảm mặt đường bê tông nhựa Loại C16 - Chiều dày mặt đường đã lèn ép 6cm</t>
  </si>
  <si>
    <t>1.41</t>
  </si>
  <si>
    <t>Sản xuất đá dăm đen, bê tông nhựa hạt trung bằng trạm trộn 120T/h</t>
  </si>
  <si>
    <t>1.42</t>
  </si>
  <si>
    <t>Vận chuyển đá dăm đen, bê tông nhựa từ trạm trộn đến vị trí đổ</t>
  </si>
  <si>
    <t>100tấn</t>
  </si>
  <si>
    <t>1.43</t>
  </si>
  <si>
    <t>Tưới lớp dính bám mặt đường bằng nhũ tương gốc axít, lượng nhũ tương 1 kg/m2</t>
  </si>
  <si>
    <t>1.44</t>
  </si>
  <si>
    <t>Làm móng cấp phối đá dăm loại I</t>
  </si>
  <si>
    <t>1.45</t>
  </si>
  <si>
    <t>Làm móng cấp phối đá dăm loại II</t>
  </si>
  <si>
    <t>1.46</t>
  </si>
  <si>
    <t>1.47</t>
  </si>
  <si>
    <t>1.48</t>
  </si>
  <si>
    <t>1.49</t>
  </si>
  <si>
    <t>Tưới lớp dính bám mặt đường, nhũ tương gốc Axít, lượng nhũ tương 0,5kg/m2</t>
  </si>
  <si>
    <t>1.50</t>
  </si>
  <si>
    <t>Láng nhựa mặt đường 1 lớp bằng nhựa đặc dày 1,5cm, tiêu chuẩn  nhựa 1.8 kg/m2</t>
  </si>
  <si>
    <t>1.51</t>
  </si>
  <si>
    <t>Đá dăm tiêu chuẩn lớp trên dày 24cm</t>
  </si>
  <si>
    <t>1.52</t>
  </si>
  <si>
    <t>Đá dăm tiêu chuẩn lớp dưới dày 28cm</t>
  </si>
  <si>
    <t>1.53</t>
  </si>
  <si>
    <t>Lát đá vỉa hè, vữa XM M75, PCB40</t>
  </si>
  <si>
    <t>1.54</t>
  </si>
  <si>
    <t>Bê tông lót móng SX bằng máy trộn, đổ bằng thủ công, rộng ≤250cm, M100, đá 4x6, PCB30</t>
  </si>
  <si>
    <t>1.55</t>
  </si>
  <si>
    <t>Gạch xây vữa xi măng M75</t>
  </si>
  <si>
    <t>1.56</t>
  </si>
  <si>
    <t>1.57</t>
  </si>
  <si>
    <t>Ván khuôn móng dài</t>
  </si>
  <si>
    <t>100m2</t>
  </si>
  <si>
    <t>1.58</t>
  </si>
  <si>
    <t>1.59</t>
  </si>
  <si>
    <t>Lắp đặt bó vỉa loại 1 (Bó vỉa đá KT 26x23x100cm), vữa XM M75, PCB40</t>
  </si>
  <si>
    <t>1.60</t>
  </si>
  <si>
    <t>1.61</t>
  </si>
  <si>
    <t>1.62</t>
  </si>
  <si>
    <t>Lắp đặt bó vỉa loại 2 (Bó vỉa đá KT 26x23x25cm), vữa XM M75, PCB40</t>
  </si>
  <si>
    <t>1.63</t>
  </si>
  <si>
    <t>1.64</t>
  </si>
  <si>
    <t>1.65</t>
  </si>
  <si>
    <t>Lắp đặt bó vỉa đá loại 1 20x39x100</t>
  </si>
  <si>
    <t>1.66</t>
  </si>
  <si>
    <t>1.67</t>
  </si>
  <si>
    <t>1.68</t>
  </si>
  <si>
    <t>Lắp đặt bó vỉa đá loại 2 20x39x25</t>
  </si>
  <si>
    <t>1.69</t>
  </si>
  <si>
    <t>Vận chuyển đá bó vỉa</t>
  </si>
  <si>
    <t>1.70</t>
  </si>
  <si>
    <t>Ca máy bốc dỡ</t>
  </si>
  <si>
    <t>Ca</t>
  </si>
  <si>
    <t>1.71</t>
  </si>
  <si>
    <t>1.72</t>
  </si>
  <si>
    <t>Đắp đất bao dính giải phân cách</t>
  </si>
  <si>
    <t>100m3</t>
  </si>
  <si>
    <t>NÚT GIAO  (ĐOẠN QUA ĐỊA PHẬN TT BÚT SƠN)</t>
  </si>
  <si>
    <t>2.1</t>
  </si>
  <si>
    <t>Đào khuôn đường bằng máy, đất cấp II</t>
  </si>
  <si>
    <t>2.2</t>
  </si>
  <si>
    <t>Đào mặt đường cũ bằng máy</t>
  </si>
  <si>
    <t>2.3</t>
  </si>
  <si>
    <t>2.4</t>
  </si>
  <si>
    <t>Lu lèn 30cm nền đường đã xáo xới, đầm chặt K95</t>
  </si>
  <si>
    <t>2.5</t>
  </si>
  <si>
    <t>Đắp nền đường máy đầm 25 tấn, độ chặt yêu cầu K=0,95</t>
  </si>
  <si>
    <t>2.6</t>
  </si>
  <si>
    <t>Đắp nền đường máy đầm 25 tấn, độ chặt yêu cầu K=0,98</t>
  </si>
  <si>
    <t>2.7</t>
  </si>
  <si>
    <t>2.8</t>
  </si>
  <si>
    <t>2.9</t>
  </si>
  <si>
    <t>2.10</t>
  </si>
  <si>
    <t>2.11</t>
  </si>
  <si>
    <t>2.12</t>
  </si>
  <si>
    <t>2.13</t>
  </si>
  <si>
    <t>2.14</t>
  </si>
  <si>
    <t>Láng mặt đường, láng nhựa 1 lớp dày 1,5cm tiêu chuẩn nhựa 1,8kg/m2</t>
  </si>
  <si>
    <t>2.15</t>
  </si>
  <si>
    <t>2.16</t>
  </si>
  <si>
    <t>Thi công mặt đường đá dăm nước lớp dưới, mặt đường đã lèn ép 28cm</t>
  </si>
  <si>
    <t>2.17</t>
  </si>
  <si>
    <t>2.18</t>
  </si>
  <si>
    <t>2.19</t>
  </si>
  <si>
    <t>2.20</t>
  </si>
  <si>
    <t>2.21</t>
  </si>
  <si>
    <t>Bù vênh bằng đá dăm tiêu chuẩn loại 1</t>
  </si>
  <si>
    <t>ĐƯỜNG GIAO DÂN SINH  (ĐOẠN QUA ĐỊA PHẬN TT BÚT SƠN)</t>
  </si>
  <si>
    <t>3.1</t>
  </si>
  <si>
    <t>Đào khuôn đường bằng máy đào 1,25m3</t>
  </si>
  <si>
    <t>3.2</t>
  </si>
  <si>
    <t>Đào cấp đất cấp II</t>
  </si>
  <si>
    <t>3.3</t>
  </si>
  <si>
    <t>3.4</t>
  </si>
  <si>
    <t>3.5</t>
  </si>
  <si>
    <t>3.6</t>
  </si>
  <si>
    <t>Đào đất không thích hợp bằng máy</t>
  </si>
  <si>
    <t>3.7</t>
  </si>
  <si>
    <t>Đắp đất, độ chặt yêu cầu K=0,90</t>
  </si>
  <si>
    <t>3.8</t>
  </si>
  <si>
    <t>3.9</t>
  </si>
  <si>
    <t>Mua đất để đắp K90</t>
  </si>
  <si>
    <t>3.10</t>
  </si>
  <si>
    <t>3.11</t>
  </si>
  <si>
    <t>3.12</t>
  </si>
  <si>
    <t>3.13</t>
  </si>
  <si>
    <t>Bù vênh mặt đường bằng bê tông nhựa Loại C16 - Chiều dày bù vênh trung bình 5cm</t>
  </si>
  <si>
    <t>3.14</t>
  </si>
  <si>
    <t>3.15</t>
  </si>
  <si>
    <t>3.16</t>
  </si>
  <si>
    <t>3.17</t>
  </si>
  <si>
    <t>3.18</t>
  </si>
  <si>
    <t>3.19</t>
  </si>
  <si>
    <t>3.20</t>
  </si>
  <si>
    <t>Tưới lớp dính bám mặt đường, nhũ tương gốc Axít, lượng nhũ tương 1kg/m2</t>
  </si>
  <si>
    <t>3.21</t>
  </si>
  <si>
    <t>Thi công móng cấp phối đá dăm lớp trên</t>
  </si>
  <si>
    <t>3.22</t>
  </si>
  <si>
    <t>3.23</t>
  </si>
  <si>
    <t>3.24</t>
  </si>
  <si>
    <t>3.25</t>
  </si>
  <si>
    <t>3.26</t>
  </si>
  <si>
    <t>THOÁT NƯỚC DỌC  (ĐOẠN QUA ĐỊA PHẬN TT BÚT SƠN)</t>
  </si>
  <si>
    <t>4.1</t>
  </si>
  <si>
    <t>Đào đất cấp 1</t>
  </si>
  <si>
    <t>4.2</t>
  </si>
  <si>
    <t>Đào đất cấp 2</t>
  </si>
  <si>
    <t>4.3</t>
  </si>
  <si>
    <t>Đắp mương đất</t>
  </si>
  <si>
    <t>4.4</t>
  </si>
  <si>
    <t>Vận chuyển đất không thích hợp, đất cấp I</t>
  </si>
  <si>
    <t>4.5</t>
  </si>
  <si>
    <t>Vận chuyển đất không thích hợp,  đất cấp II</t>
  </si>
  <si>
    <t>4.6</t>
  </si>
  <si>
    <t>San đất bãi đổ đất không thích hợp bằng máy ủi 110 CV</t>
  </si>
  <si>
    <t>4.7</t>
  </si>
  <si>
    <t>Đắp trả thi công cống, độ chặt yêu cầu K=0,95</t>
  </si>
  <si>
    <t>4.8</t>
  </si>
  <si>
    <t>Đắp vật liệu dạng hạt, độ chặt yêu cầu K=0,98</t>
  </si>
  <si>
    <t>4.9</t>
  </si>
  <si>
    <t>4.10</t>
  </si>
  <si>
    <t>4.11</t>
  </si>
  <si>
    <t>4.12</t>
  </si>
  <si>
    <t>Bê tông rãnh, đá 1x2, chiều rộng &lt;=250 cm, 12Mpa</t>
  </si>
  <si>
    <t>4.13</t>
  </si>
  <si>
    <t>4.14</t>
  </si>
  <si>
    <t>Thi công lớp đá đệm móng, ĐK đá Dmax ≤6</t>
  </si>
  <si>
    <t>4.15</t>
  </si>
  <si>
    <t>Bê tông tấm đan 20Mpa, đá 1x2</t>
  </si>
  <si>
    <t>4.16</t>
  </si>
  <si>
    <t>Gia công, lắp dựng, tháo dỡ ván khuôn gỗ, nắp đan, tấm chớp</t>
  </si>
  <si>
    <t>4.17</t>
  </si>
  <si>
    <t>Gia công, lắp đặt cốt thép tấm đan, hàng rào, cửa sổ, lá chớp, nan hoa, con sơn</t>
  </si>
  <si>
    <t>4.18</t>
  </si>
  <si>
    <t>4.19</t>
  </si>
  <si>
    <t>Bốc xếp cấu kiện bê tông đúc sẵn có trọng lượng P≤500kg bằng cần cẩu - Bốc xếp lên</t>
  </si>
  <si>
    <t>1 cấu kiện</t>
  </si>
  <si>
    <t>4.20</t>
  </si>
  <si>
    <t>Vận chuyển cấu kiện bê tông, trọng lượng P≤200kg bằng ô tô vận tải thùng 12 tấn - Cự ly vận chuyển trong phạm vi ≤1km</t>
  </si>
  <si>
    <t>10 tấn/1km</t>
  </si>
  <si>
    <t>4.21</t>
  </si>
  <si>
    <t>Bốc xếp cấu kiện bê tông đúc sẵn có trọng lượng P≤500kg bằng cần cẩu - Bốc xếp xuống</t>
  </si>
  <si>
    <t>4.22</t>
  </si>
  <si>
    <t>Lắp dựng cấu kiện bê tông đúc sẵn, xà dầm, giằng ≤1T bằng máy</t>
  </si>
  <si>
    <t>cái</t>
  </si>
  <si>
    <t>4.23</t>
  </si>
  <si>
    <t>4.24</t>
  </si>
  <si>
    <t>Bê tông mương cáp, rãnh nước SX bằng máy trộn, đổ bằng thủ công, bê tông M200, đá 1x2, PCB40</t>
  </si>
  <si>
    <t>4.25</t>
  </si>
  <si>
    <t>4.26</t>
  </si>
  <si>
    <t>4.27</t>
  </si>
  <si>
    <t>4.28</t>
  </si>
  <si>
    <t>Trát tường dày 1,5cm, vữa XM M75, PCB40</t>
  </si>
  <si>
    <t>4.29</t>
  </si>
  <si>
    <t>4.30</t>
  </si>
  <si>
    <t>4.31</t>
  </si>
  <si>
    <t>4.32</t>
  </si>
  <si>
    <t>4.33</t>
  </si>
  <si>
    <t>Bốc xếp cấu kiện bê tông đúc sẵn có trọng lượng P≤200kg bằng thủ công - Bốc xếp lên</t>
  </si>
  <si>
    <t>4.34</t>
  </si>
  <si>
    <t>10tấn/1km</t>
  </si>
  <si>
    <t>4.35</t>
  </si>
  <si>
    <t>4.36</t>
  </si>
  <si>
    <t>4.37</t>
  </si>
  <si>
    <t>Bê tông bó vỉa 20Mpa, đá 1x2</t>
  </si>
  <si>
    <t>4.38</t>
  </si>
  <si>
    <t>4.39</t>
  </si>
  <si>
    <t>Lắp đặt bó vỉa loại A</t>
  </si>
  <si>
    <t>4.40</t>
  </si>
  <si>
    <t>4.41</t>
  </si>
  <si>
    <t>Vận chuyển cấu kiện bê tông, trọng lượng P≤200kg</t>
  </si>
  <si>
    <t>4.42</t>
  </si>
  <si>
    <t>Gia công, lắp đặt cốt thép lưới chắn rác</t>
  </si>
  <si>
    <t>4.43</t>
  </si>
  <si>
    <t>4.44</t>
  </si>
  <si>
    <t>4.45</t>
  </si>
  <si>
    <t>4.46</t>
  </si>
  <si>
    <t>4.47</t>
  </si>
  <si>
    <t>4.48</t>
  </si>
  <si>
    <t>Bốc xếp cấu kiện bê tông đúc sẵn có trọng lượng P≤200kg bằng thủ công - Bốc xếp xuống</t>
  </si>
  <si>
    <t>4.49</t>
  </si>
  <si>
    <t>4.50</t>
  </si>
  <si>
    <t>Lắp dựng CKĐS</t>
  </si>
  <si>
    <t>1cấu kiện</t>
  </si>
  <si>
    <t>4.51</t>
  </si>
  <si>
    <t>Lưới gang chắn rác KT 1260x180</t>
  </si>
  <si>
    <t>4.52</t>
  </si>
  <si>
    <t>Bê tông tấm đan 16Mpa, đá 1x2</t>
  </si>
  <si>
    <t>4.53</t>
  </si>
  <si>
    <t>4.54</t>
  </si>
  <si>
    <t>4.55</t>
  </si>
  <si>
    <t>Lớp vữa XM dày 2cm</t>
  </si>
  <si>
    <t>4.56</t>
  </si>
  <si>
    <t>4.57</t>
  </si>
  <si>
    <t>4.58</t>
  </si>
  <si>
    <t>4.59</t>
  </si>
  <si>
    <t>Lắp các loại CKBT đúc sẵn bằng thủ công, trọng lượng ≤25kg</t>
  </si>
  <si>
    <t>4.60</t>
  </si>
  <si>
    <t>Bê tông rãnh, đá 1x2, chiều rộng &lt;=250 cm, 16Mpa</t>
  </si>
  <si>
    <t>4.61</t>
  </si>
  <si>
    <t>4.62</t>
  </si>
  <si>
    <t>Đào kênh mương, chiều rộng kênh mương ≤6m bằng máy đào 1,25m3 - Cấp đất II</t>
  </si>
  <si>
    <t>4.63</t>
  </si>
  <si>
    <t>Đắp đất bằng đầm đất cầm tay 70kg, độ chặt Y/C K = 0,90</t>
  </si>
  <si>
    <t>4.64</t>
  </si>
  <si>
    <t>Bê tông thân mương, 16Mpa</t>
  </si>
  <si>
    <t>4.65</t>
  </si>
  <si>
    <t>4.66</t>
  </si>
  <si>
    <t>4.67</t>
  </si>
  <si>
    <t>Gạch xây vữa xi măng</t>
  </si>
  <si>
    <t>4.68</t>
  </si>
  <si>
    <t>Trát tường ngoài dày 1,5cm, vữa XM M75, PCB40</t>
  </si>
  <si>
    <t>4.69</t>
  </si>
  <si>
    <t>Gia cố mương bằng đá hộc xây vữa XM 10Mpa</t>
  </si>
  <si>
    <t>4.70</t>
  </si>
  <si>
    <t>Bê tông thanh chống, 16Mpa</t>
  </si>
  <si>
    <t>4.71</t>
  </si>
  <si>
    <t>4.72</t>
  </si>
  <si>
    <t>Lắp dựng cốt thép cột, trụ, ĐK ≤10mm, chiều cao ≤6m</t>
  </si>
  <si>
    <t>4.73</t>
  </si>
  <si>
    <t>Bê tông đế cống 20Mpa, đá 1x2</t>
  </si>
  <si>
    <t>4.74</t>
  </si>
  <si>
    <t>Gia công, lắp dựng, tháo dỡ ván khuôn kim loại, ván khuôn pa nen</t>
  </si>
  <si>
    <t>4.75</t>
  </si>
  <si>
    <t>4.76</t>
  </si>
  <si>
    <t>4.77</t>
  </si>
  <si>
    <t>4.78</t>
  </si>
  <si>
    <t>4.79</t>
  </si>
  <si>
    <t>4.80</t>
  </si>
  <si>
    <t>Lắp đặt cấu kiện bê tông đúc sẵn trọng lượng từ 50kg đến 200kg bằng cần cẩu</t>
  </si>
  <si>
    <t>4.81</t>
  </si>
  <si>
    <t>4.82</t>
  </si>
  <si>
    <t>4.83</t>
  </si>
  <si>
    <t>4.84</t>
  </si>
  <si>
    <t>4.85</t>
  </si>
  <si>
    <t>Bốc xếp cấu kiện bê tông đúc sẵn có trọng lượng P≤2T bằng cần cẩu - Bốc xếp lên</t>
  </si>
  <si>
    <t>4.86</t>
  </si>
  <si>
    <t>Bốc xếp cấu kiện bê tông đúc sẵn có trọng lượng P≤2T bằng cần cẩu - Bốc xếp xuống</t>
  </si>
  <si>
    <t>4.87</t>
  </si>
  <si>
    <t>4.88</t>
  </si>
  <si>
    <t>4.89</t>
  </si>
  <si>
    <t>Lắp dựng cấu kiện bê tông đúc sẵn, cột ≤2,5T bằng máy</t>
  </si>
  <si>
    <t>4.90</t>
  </si>
  <si>
    <t>Bê tông móng, đá 1x2, chiều rộng &lt;=250 cm, 16Mpa</t>
  </si>
  <si>
    <t>4.91</t>
  </si>
  <si>
    <t>4.92</t>
  </si>
  <si>
    <t>4.93</t>
  </si>
  <si>
    <t>Lắp đặt ống cống D750</t>
  </si>
  <si>
    <t>1 đoạn ống</t>
  </si>
  <si>
    <t>4.94</t>
  </si>
  <si>
    <t>Trát vữa XM</t>
  </si>
  <si>
    <t>4.95</t>
  </si>
  <si>
    <t>Quét nhựa bitum nóng vào tường</t>
  </si>
  <si>
    <t>4.96</t>
  </si>
  <si>
    <t>Bê tông tường, đá 1x2, chiều rộng &lt;=250 cm, 16Mpa</t>
  </si>
  <si>
    <t>4.97</t>
  </si>
  <si>
    <t>4.98</t>
  </si>
  <si>
    <t>4.99</t>
  </si>
  <si>
    <t>4.100</t>
  </si>
  <si>
    <t>4.101</t>
  </si>
  <si>
    <t>4.102</t>
  </si>
  <si>
    <t>4.103</t>
  </si>
  <si>
    <t>Bê tông móng, đá 1x2, chiều rộng &lt;=250 cm, C10</t>
  </si>
  <si>
    <t>4.104</t>
  </si>
  <si>
    <t>4.105</t>
  </si>
  <si>
    <t>4.106</t>
  </si>
  <si>
    <t>Xây đá hộc, xây mái dốc thẳng, vữa XM M100</t>
  </si>
  <si>
    <t>4.107</t>
  </si>
  <si>
    <t>4.108</t>
  </si>
  <si>
    <t>4.109</t>
  </si>
  <si>
    <t>4.110</t>
  </si>
  <si>
    <t>4.111</t>
  </si>
  <si>
    <t>4.112</t>
  </si>
  <si>
    <t>Xếp đá khan không chít mạch mặt bằng</t>
  </si>
  <si>
    <t>4.113</t>
  </si>
  <si>
    <t>4.114</t>
  </si>
  <si>
    <t>4.115</t>
  </si>
  <si>
    <t>4.116</t>
  </si>
  <si>
    <t>4.117</t>
  </si>
  <si>
    <t>Trát vữa XM M75 dày 1,5cm</t>
  </si>
  <si>
    <t>4.118</t>
  </si>
  <si>
    <t>4.119</t>
  </si>
  <si>
    <t>4.120</t>
  </si>
  <si>
    <t>4.121</t>
  </si>
  <si>
    <t>4.122</t>
  </si>
  <si>
    <t>4.123</t>
  </si>
  <si>
    <t>4.124</t>
  </si>
  <si>
    <t>4.125</t>
  </si>
  <si>
    <t>4.126</t>
  </si>
  <si>
    <t>4.127</t>
  </si>
  <si>
    <t>4.128</t>
  </si>
  <si>
    <t>Bó vỉa thẳng hè, đường bằng tấm bê tông đúc sẵn 18x33x100cm, vữa XM M75, PCB40</t>
  </si>
  <si>
    <t>4.129</t>
  </si>
  <si>
    <t>4.130</t>
  </si>
  <si>
    <t>4.131</t>
  </si>
  <si>
    <t>4.132</t>
  </si>
  <si>
    <t>4.133</t>
  </si>
  <si>
    <t>4.134</t>
  </si>
  <si>
    <t>4.135</t>
  </si>
  <si>
    <t>4.136</t>
  </si>
  <si>
    <t>4.137</t>
  </si>
  <si>
    <t>4.138</t>
  </si>
  <si>
    <t>ĐÈN TÍN HIỆU GIAO THÔNG  (ĐOẠN QUA ĐỊA PHẬN TT BÚT SƠN)</t>
  </si>
  <si>
    <t>5.1</t>
  </si>
  <si>
    <t>Cột THGT thép mạ kẽm cao 2,9m dày 4mm</t>
  </si>
  <si>
    <t>1 cột</t>
  </si>
  <si>
    <t>5.2</t>
  </si>
  <si>
    <t>Cột THGT thép mạ kẽm cao 4,4m dày 4mm</t>
  </si>
  <si>
    <t>5.3</t>
  </si>
  <si>
    <t>Cột THGT thép mạ kẽm cao 6,2m vươn đơn 4m dày 4mm</t>
  </si>
  <si>
    <t>5.4</t>
  </si>
  <si>
    <t>Cột THGT thép mạ kẽm cao 6,2m vươn đơn 7m dày 4mm</t>
  </si>
  <si>
    <t>5.5</t>
  </si>
  <si>
    <t>Khung móng cột THGT M16x240x240x525</t>
  </si>
  <si>
    <t>bộ</t>
  </si>
  <si>
    <t>5.6</t>
  </si>
  <si>
    <t>Khung móng cột THGT M24x300x300x675</t>
  </si>
  <si>
    <t>5.7</t>
  </si>
  <si>
    <t>Khung móng cột THGT M24xD400x8x1375</t>
  </si>
  <si>
    <t>5.8</t>
  </si>
  <si>
    <t>Lắp đèn THGT phương tiện 3 màu 3x300mm (Led)</t>
  </si>
  <si>
    <t>5.9</t>
  </si>
  <si>
    <t>Đèn THGT mũi tên 3 màu loại 3xD300 (led)</t>
  </si>
  <si>
    <t>5.10</t>
  </si>
  <si>
    <t>Đèn THGT đếm lùi loại 1xD300 (led)</t>
  </si>
  <si>
    <t>5.11</t>
  </si>
  <si>
    <t>Đèn THGT đếm lùi loại 1xD400 (led)</t>
  </si>
  <si>
    <t>5.12</t>
  </si>
  <si>
    <t>Đèn THGT cho người đi bộ loại 1xD300</t>
  </si>
  <si>
    <t>5.13</t>
  </si>
  <si>
    <t>Tủ điều khiển THGT 3 pha</t>
  </si>
  <si>
    <t>1 tủ</t>
  </si>
  <si>
    <t>5.14</t>
  </si>
  <si>
    <t>Khung móng cột lắp tủ THGT M20x650mm</t>
  </si>
  <si>
    <t>5.15</t>
  </si>
  <si>
    <t>Rải cáp ngầm điều khiển DVV/Sc - 12x1,5mm2</t>
  </si>
  <si>
    <t>5.16</t>
  </si>
  <si>
    <t>Lắp đặt cáp CXV/DSTA- 2x10mm2</t>
  </si>
  <si>
    <t>5.17</t>
  </si>
  <si>
    <t>Lắp đặt cáp CXV- 4x1,5mm2</t>
  </si>
  <si>
    <t>5.18</t>
  </si>
  <si>
    <t>Làm tiếp địa an toàn cho cột THGT + trụ lắp tủ điều khiển tín hiệu</t>
  </si>
  <si>
    <t>1 bộ</t>
  </si>
  <si>
    <t>5.19</t>
  </si>
  <si>
    <t>Dây đồng trần M10 (tiếp địa cho trụ và tủ)</t>
  </si>
  <si>
    <t>5.20</t>
  </si>
  <si>
    <t>Bảng điện cửa cột đèn THGT</t>
  </si>
  <si>
    <t>5.21</t>
  </si>
  <si>
    <t>Luồn cáp ngầm cửa cột</t>
  </si>
  <si>
    <t>1 đầu cáp</t>
  </si>
  <si>
    <t>5.22</t>
  </si>
  <si>
    <t>Đánh số cột thép</t>
  </si>
  <si>
    <t>10 cột</t>
  </si>
  <si>
    <t>5.23</t>
  </si>
  <si>
    <t>Làm đầu cáp khô</t>
  </si>
  <si>
    <t>5.24</t>
  </si>
  <si>
    <t>Trát móng VXM M75</t>
  </si>
  <si>
    <t>5.25</t>
  </si>
  <si>
    <t>Bê tông móng, M200, đá 1x2, PCB40</t>
  </si>
  <si>
    <t>5.26</t>
  </si>
  <si>
    <t>Hố ga kéo cáp</t>
  </si>
  <si>
    <t>hố</t>
  </si>
  <si>
    <t>5.27</t>
  </si>
  <si>
    <t>Lắp đặt ống nhựa HDPE D85/65 luồn cáp đi ngầm</t>
  </si>
  <si>
    <t>100 m</t>
  </si>
  <si>
    <t>5.28</t>
  </si>
  <si>
    <t>Lắp đặt ống nhựa HDPE D65/50 luồn cáp đi ngầm</t>
  </si>
  <si>
    <t>5.29</t>
  </si>
  <si>
    <t>Lưới báo hiệu cáp ngầm</t>
  </si>
  <si>
    <t>5.30</t>
  </si>
  <si>
    <t>Bảo vệ cáp ngầm, rải lưới ni lông</t>
  </si>
  <si>
    <t>5.31</t>
  </si>
  <si>
    <t>Gạch thẻ báo hiệu cáp</t>
  </si>
  <si>
    <t>viên</t>
  </si>
  <si>
    <t>5.32</t>
  </si>
  <si>
    <t>Bảo vệ cáp ngầm, xếp gạch chỉ</t>
  </si>
  <si>
    <t>1000 viên</t>
  </si>
  <si>
    <t>5.33</t>
  </si>
  <si>
    <t>Đào đất hố móng cột 2.9m, 4.4m, tủ điều khiển</t>
  </si>
  <si>
    <t>1m3</t>
  </si>
  <si>
    <t>5.34</t>
  </si>
  <si>
    <t>Đào đất hố móng cột vươn</t>
  </si>
  <si>
    <t>5.35</t>
  </si>
  <si>
    <t>Ván khuôn</t>
  </si>
  <si>
    <t>5.36</t>
  </si>
  <si>
    <t>Đào rãnh cáp trên đường nhựa</t>
  </si>
  <si>
    <t>5.37</t>
  </si>
  <si>
    <t>Đào rãnh cáp trên vỉa hè</t>
  </si>
  <si>
    <t>5.38</t>
  </si>
  <si>
    <t>Lấp cát rãnh cáp</t>
  </si>
  <si>
    <t>5.39</t>
  </si>
  <si>
    <t>Lấp đất rãnh cáp</t>
  </si>
  <si>
    <t>5.40</t>
  </si>
  <si>
    <t>Vận chuyển đất - Cấp đất III</t>
  </si>
  <si>
    <t>AN TOÀN GIAO THÔNG  (ĐOẠN QUA ĐỊA PHẬN TT BÚT SƠN)</t>
  </si>
  <si>
    <t>6.1</t>
  </si>
  <si>
    <t>Sơn kẻ đường bằng sơn dẻo nhiệt phản quang, dày sơn 3mm</t>
  </si>
  <si>
    <t>6.2</t>
  </si>
  <si>
    <t>Sơn gờ giảm tốc</t>
  </si>
  <si>
    <t>6.3</t>
  </si>
  <si>
    <t>Sơn sàn, nền, bề mặt bê tông bằng sơn các loại 1 nước lót + 2 nước phủ</t>
  </si>
  <si>
    <t>1m2</t>
  </si>
  <si>
    <t>6.4</t>
  </si>
  <si>
    <t>Lắp đặt cột và biển báo phản quang - Loại biển báo phản quang: Biển tam giác cạnh 70cm</t>
  </si>
  <si>
    <t>6.5</t>
  </si>
  <si>
    <t>Lắp đặt cột và biển báo phản quang - Loại biển báo phản quang: Biển tròn D70, bát giác cạnh 25cm</t>
  </si>
  <si>
    <t>6.6</t>
  </si>
  <si>
    <t>Lắp đặt cột và biển báo phản quang - Loại biển báo phản quang: Biển vuông 60x60cm</t>
  </si>
  <si>
    <t>6.7</t>
  </si>
  <si>
    <t>Lắp đặt cột và biển báo phản quang - Loại biển báo phản quang: Biển vuông 70x30cm</t>
  </si>
  <si>
    <t>6.8</t>
  </si>
  <si>
    <t>Lắp đặt cột và biển báo phản quang - Loại biển báo phản quang: Biển chữ nhật 160x100cm</t>
  </si>
  <si>
    <t>6.9</t>
  </si>
  <si>
    <t>Biển báo tam giác D700</t>
  </si>
  <si>
    <t>6.10</t>
  </si>
  <si>
    <t>Biển báo tròn D700</t>
  </si>
  <si>
    <t>6.11</t>
  </si>
  <si>
    <t>Biển vuông 600x600</t>
  </si>
  <si>
    <t>6.12</t>
  </si>
  <si>
    <t>Biển chữ nhật 1600x1000</t>
  </si>
  <si>
    <t>6.13</t>
  </si>
  <si>
    <t>Biển vuông 700x300</t>
  </si>
  <si>
    <t>6.14</t>
  </si>
  <si>
    <t>Cột đỡ biển báo</t>
  </si>
  <si>
    <t>6.15</t>
  </si>
  <si>
    <t>Làm cột Km</t>
  </si>
  <si>
    <t>6.16</t>
  </si>
  <si>
    <t>Làm cọc H bằng bê tông cốt thép</t>
  </si>
  <si>
    <t>6.17</t>
  </si>
  <si>
    <t>Làm cọc tiêu bê tông cốt thép</t>
  </si>
  <si>
    <t>6.18</t>
  </si>
  <si>
    <t>Đinh phản quang</t>
  </si>
  <si>
    <t>6.19</t>
  </si>
  <si>
    <t>Lát gạch Terrazo, vữa XM M75, PCB40</t>
  </si>
  <si>
    <t>6.20</t>
  </si>
  <si>
    <t>Đắp đất nền móng công trình, nền đường bằng thủ công</t>
  </si>
  <si>
    <t>6.21</t>
  </si>
  <si>
    <t>Lát gạch chỉ, vữa lót M75, XM PCB40</t>
  </si>
  <si>
    <t>CỐNG THOÁT NƯỚC  (ĐOẠN QUA ĐỊA PHẬN TT BÚT SƠN)</t>
  </si>
  <si>
    <t>7.1</t>
  </si>
  <si>
    <t>Cốt thép ống cống D&lt;=10</t>
  </si>
  <si>
    <t>7.2</t>
  </si>
  <si>
    <t>Cốt thép ống cống D&lt;=18</t>
  </si>
  <si>
    <t>7.3</t>
  </si>
  <si>
    <t>Bê tông ống cống 30Mpa</t>
  </si>
  <si>
    <t>7.4</t>
  </si>
  <si>
    <t>Sản xuất vữa BT bằng trạm trộn</t>
  </si>
  <si>
    <t>7.5</t>
  </si>
  <si>
    <t>Vận chuyển vữa bê tông</t>
  </si>
  <si>
    <t>7.6</t>
  </si>
  <si>
    <t>Ván khuôn ống cống</t>
  </si>
  <si>
    <t>7.7</t>
  </si>
  <si>
    <t>Lắp đặt cống hộp 2x1,0m</t>
  </si>
  <si>
    <t>1 đoạn cống</t>
  </si>
  <si>
    <t>7.8</t>
  </si>
  <si>
    <t>Bốc xếp cấu kiện bê tông đúc sẵn có trọng lượng P≤5T bằng cần cẩu - Bốc xếp lên</t>
  </si>
  <si>
    <t>7.9</t>
  </si>
  <si>
    <t>Bốc xếp cấu kiện bê tông đúc sẵn có trọng lượng P≤5T bằng cần cẩu - Bốc xếp xuống</t>
  </si>
  <si>
    <t>7.10</t>
  </si>
  <si>
    <t>Vận chuyển CK đúc sẵn</t>
  </si>
  <si>
    <t>tấn/1km</t>
  </si>
  <si>
    <t>7.11</t>
  </si>
  <si>
    <t>Bê tông móng cống 25Mpa</t>
  </si>
  <si>
    <t>7.12</t>
  </si>
  <si>
    <t>Cốt thép móng cống D&lt;10</t>
  </si>
  <si>
    <t>7.13</t>
  </si>
  <si>
    <t>7.14</t>
  </si>
  <si>
    <t>Lắp đặt cấu kiện đúc sẵn</t>
  </si>
  <si>
    <t>7.15</t>
  </si>
  <si>
    <t>7.16</t>
  </si>
  <si>
    <t>7.17</t>
  </si>
  <si>
    <t>Vận chuyển ống cống bê tông bằng ô tô vận tải thùng 12 tấn - Cự ly vận chuyển trong phạm vi ≤1km</t>
  </si>
  <si>
    <t>7.18</t>
  </si>
  <si>
    <t>Đá dăm đệm</t>
  </si>
  <si>
    <t>7.19</t>
  </si>
  <si>
    <t>Vữa xi măng M75</t>
  </si>
  <si>
    <t>7.20</t>
  </si>
  <si>
    <t>Quét nhựa đường</t>
  </si>
  <si>
    <t>7.21</t>
  </si>
  <si>
    <t>Bê tông tường đầu, tường 16Mpa</t>
  </si>
  <si>
    <t>7.22</t>
  </si>
  <si>
    <t>Bê tông móng 16Mpa</t>
  </si>
  <si>
    <t>7.23</t>
  </si>
  <si>
    <t>Ván khuôn móng cống</t>
  </si>
  <si>
    <t>7.24</t>
  </si>
  <si>
    <t>Ván khuôn tường cánh</t>
  </si>
  <si>
    <t>7.25</t>
  </si>
  <si>
    <t>7.26</t>
  </si>
  <si>
    <t>Đá hộc xây vữa m50</t>
  </si>
  <si>
    <t>7.27</t>
  </si>
  <si>
    <t>7.28</t>
  </si>
  <si>
    <t>Đá hộc xây vữa XM M75</t>
  </si>
  <si>
    <t>7.29</t>
  </si>
  <si>
    <t>7.30</t>
  </si>
  <si>
    <t>Đào hố móng bằng máy</t>
  </si>
  <si>
    <t>7.31</t>
  </si>
  <si>
    <t>Đắp hố móng K95</t>
  </si>
  <si>
    <t>7.32</t>
  </si>
  <si>
    <t>7.33</t>
  </si>
  <si>
    <t>7.34</t>
  </si>
  <si>
    <t>Đào cải mương</t>
  </si>
  <si>
    <t>7.35</t>
  </si>
  <si>
    <t>Đắp đất bờ mương</t>
  </si>
  <si>
    <t>7.36</t>
  </si>
  <si>
    <t>Cát thô đầm chặt</t>
  </si>
  <si>
    <t>7.37</t>
  </si>
  <si>
    <t>Cọc tre</t>
  </si>
  <si>
    <t>7.38</t>
  </si>
  <si>
    <t>Vải địa kỹ thuật</t>
  </si>
  <si>
    <t>7.39</t>
  </si>
  <si>
    <t>Đắp vật liệu dạng hạt K95</t>
  </si>
  <si>
    <t>7.40</t>
  </si>
  <si>
    <t>Vận chuyển đất C2 đổ đi, cự ly 4,5km</t>
  </si>
  <si>
    <t>7.41</t>
  </si>
  <si>
    <t>Đào kênh mương tạm Cấp đất II</t>
  </si>
  <si>
    <t>7.42</t>
  </si>
  <si>
    <t>Đắp kênh mương tạm, dung trọng ≤1,65T/m3</t>
  </si>
  <si>
    <t>7.43</t>
  </si>
  <si>
    <t>Đào thanh thải mương tạm - Cấp đất I</t>
  </si>
  <si>
    <t>7.44</t>
  </si>
  <si>
    <t>7.45</t>
  </si>
  <si>
    <t>7.46</t>
  </si>
  <si>
    <t>Phên nứa</t>
  </si>
  <si>
    <t>7.47</t>
  </si>
  <si>
    <t>7.48</t>
  </si>
  <si>
    <t>7.49</t>
  </si>
  <si>
    <t>7.50</t>
  </si>
  <si>
    <t>SX, LD, TD ván khuôn ống cống</t>
  </si>
  <si>
    <t>7.51</t>
  </si>
  <si>
    <t>Lắp đặt cống hộp 2x2m</t>
  </si>
  <si>
    <t>7.52</t>
  </si>
  <si>
    <t>7.53</t>
  </si>
  <si>
    <t>7.54</t>
  </si>
  <si>
    <t>Vận chuyển ống cống bê tông</t>
  </si>
  <si>
    <t>7.55</t>
  </si>
  <si>
    <t>7.56</t>
  </si>
  <si>
    <t>7.57</t>
  </si>
  <si>
    <t>Ván khuôn móng</t>
  </si>
  <si>
    <t>7.58</t>
  </si>
  <si>
    <t>Lắp dựng cấu kiện bê tông đúc sẵn, xà dầm, giằng ≤3T bằng máy</t>
  </si>
  <si>
    <t>7.59</t>
  </si>
  <si>
    <t>7.60</t>
  </si>
  <si>
    <t>7.61</t>
  </si>
  <si>
    <t>7.62</t>
  </si>
  <si>
    <t>7.63</t>
  </si>
  <si>
    <t>7.64</t>
  </si>
  <si>
    <t>7.65</t>
  </si>
  <si>
    <t>Vữa xi măng</t>
  </si>
  <si>
    <t>7.66</t>
  </si>
  <si>
    <t>7.67</t>
  </si>
  <si>
    <t>Bê tông tường đầu, cánh 16Mpa</t>
  </si>
  <si>
    <t>7.68</t>
  </si>
  <si>
    <t>7.69</t>
  </si>
  <si>
    <t>7.70</t>
  </si>
  <si>
    <t>7.71</t>
  </si>
  <si>
    <t>7.72</t>
  </si>
  <si>
    <t>Đá hộc xây vữa</t>
  </si>
  <si>
    <t>7.73</t>
  </si>
  <si>
    <t>7.74</t>
  </si>
  <si>
    <t>7.75</t>
  </si>
  <si>
    <t>7.76</t>
  </si>
  <si>
    <t>7.77</t>
  </si>
  <si>
    <t>7.78</t>
  </si>
  <si>
    <t>7.79</t>
  </si>
  <si>
    <t>7.80</t>
  </si>
  <si>
    <t>7.81</t>
  </si>
  <si>
    <t>7.82</t>
  </si>
  <si>
    <t>7.83</t>
  </si>
  <si>
    <t>7.84</t>
  </si>
  <si>
    <t>7.85</t>
  </si>
  <si>
    <t>7.86</t>
  </si>
  <si>
    <t>Vận chuyển đất C2 đổ đi</t>
  </si>
  <si>
    <t>7.87</t>
  </si>
  <si>
    <t>7.88</t>
  </si>
  <si>
    <t>7.89</t>
  </si>
  <si>
    <t>7.90</t>
  </si>
  <si>
    <t>7.91</t>
  </si>
  <si>
    <t>7.92</t>
  </si>
  <si>
    <t>Bê tông thân cống 30Mpa</t>
  </si>
  <si>
    <t>7.93</t>
  </si>
  <si>
    <t>7.94</t>
  </si>
  <si>
    <t>7.95</t>
  </si>
  <si>
    <t>Cốt thép thân cống hộp D&lt;=10</t>
  </si>
  <si>
    <t>7.96</t>
  </si>
  <si>
    <t>Cốt thép thân cống hộp D&lt;=18</t>
  </si>
  <si>
    <t>7.97</t>
  </si>
  <si>
    <t>Bê tông móng cống10Mpa</t>
  </si>
  <si>
    <t>7.98</t>
  </si>
  <si>
    <t>Ván khuôn thân cống</t>
  </si>
  <si>
    <t>7.99</t>
  </si>
  <si>
    <t>Quét bitum thân cống</t>
  </si>
  <si>
    <t>7.100</t>
  </si>
  <si>
    <t>7.101</t>
  </si>
  <si>
    <t>Cốt thép  D&lt;=10</t>
  </si>
  <si>
    <t>7.102</t>
  </si>
  <si>
    <t>Chốt thép D&gt;18</t>
  </si>
  <si>
    <t>7.103</t>
  </si>
  <si>
    <t>Ống PVC D34</t>
  </si>
  <si>
    <t>7.104</t>
  </si>
  <si>
    <t>Tấm chèn khe</t>
  </si>
  <si>
    <t>7.105</t>
  </si>
  <si>
    <t>Tấm ngăn nước water stop</t>
  </si>
  <si>
    <t>7.106</t>
  </si>
  <si>
    <t>Bê tông móng cống 30Mpa</t>
  </si>
  <si>
    <t>7.107</t>
  </si>
  <si>
    <t>7.108</t>
  </si>
  <si>
    <t>7.109</t>
  </si>
  <si>
    <t>Cốt thép móng cống hộp D&lt;=10</t>
  </si>
  <si>
    <t>7.110</t>
  </si>
  <si>
    <t>Cốt thép móng cống hộp D&lt;=18</t>
  </si>
  <si>
    <t>7.111</t>
  </si>
  <si>
    <t>Bê tông bản nắp 30Mpa</t>
  </si>
  <si>
    <t>7.112</t>
  </si>
  <si>
    <t>7.113</t>
  </si>
  <si>
    <t>7.114</t>
  </si>
  <si>
    <t>Cốt thép bản nắp D&lt;=10</t>
  </si>
  <si>
    <t>7.115</t>
  </si>
  <si>
    <t>Cốt thép bản nắp D&gt;10</t>
  </si>
  <si>
    <t>7.116</t>
  </si>
  <si>
    <t>Ván khuôn bản nắp</t>
  </si>
  <si>
    <t>7.117</t>
  </si>
  <si>
    <t>Bê tông cửa cống 30Mpa</t>
  </si>
  <si>
    <t>7.118</t>
  </si>
  <si>
    <t>7.119</t>
  </si>
  <si>
    <t>Vận chuyển vữa BT</t>
  </si>
  <si>
    <t>7.120</t>
  </si>
  <si>
    <t>Cốt thép cửa cống D&lt;=18</t>
  </si>
  <si>
    <t>7.121</t>
  </si>
  <si>
    <t>Ván khuôn tường cống</t>
  </si>
  <si>
    <t>7.122</t>
  </si>
  <si>
    <t>Bê tông bản quá độ 25Mpa</t>
  </si>
  <si>
    <t>7.123</t>
  </si>
  <si>
    <t>Cốt thép bản quá độ D&lt;10</t>
  </si>
  <si>
    <t>7.124</t>
  </si>
  <si>
    <t>Cốt thép bản quá độ D&lt;18</t>
  </si>
  <si>
    <t>7.125</t>
  </si>
  <si>
    <t>Cốt thép bản quá độ D&gt;18</t>
  </si>
  <si>
    <t>7.126</t>
  </si>
  <si>
    <t>Ván khuôn bản quá độ</t>
  </si>
  <si>
    <t>7.127</t>
  </si>
  <si>
    <t>Đào đất hố móng đất C2</t>
  </si>
  <si>
    <t>7.128</t>
  </si>
  <si>
    <t>7.129</t>
  </si>
  <si>
    <t>7.130</t>
  </si>
  <si>
    <t>7.131</t>
  </si>
  <si>
    <t>7.132</t>
  </si>
  <si>
    <t>7.133</t>
  </si>
  <si>
    <t>7.134</t>
  </si>
  <si>
    <t>Bê tông mương 16Mpa</t>
  </si>
  <si>
    <t>7.135</t>
  </si>
  <si>
    <t>7.136</t>
  </si>
  <si>
    <t>Phá dỡ cống cũ</t>
  </si>
  <si>
    <t>7.137</t>
  </si>
  <si>
    <t>7.138</t>
  </si>
  <si>
    <t>7.139</t>
  </si>
  <si>
    <t>7.140</t>
  </si>
  <si>
    <t>Sản xuất thép hình đà giáo thi công</t>
  </si>
  <si>
    <t>7.141</t>
  </si>
  <si>
    <t>Khấu hao thép hình đà giáo thi công:</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</si>
  <si>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</si>
  <si>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</si>
  <si>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</si>
  <si>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</si>
  <si>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</si>
  <si>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</si>
  <si>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</si>
  <si>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</si>
  <si>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</si>
  <si>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</si>
  <si>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</si>
  <si>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</si>
  <si>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</si>
  <si>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</si>
  <si>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</si>
  <si>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</si>
  <si>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</si>
  <si>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</si>
  <si>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</si>
  <si>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</si>
  <si>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</si>
  <si>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</si>
  <si>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</si>
  <si>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</si>
  <si>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</si>
  <si>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</si>
  <si>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</si>
  <si>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</si>
  <si>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</si>
  <si>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</si>
  <si>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</si>
  <si>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Bê tông 25Mpa</t>
  </si>
  <si>
    <t>7.173</t>
  </si>
  <si>
    <t>Cốt thép D&lt;10</t>
  </si>
  <si>
    <t>7.174</t>
  </si>
  <si>
    <t>Cốt thép D&lt;18</t>
  </si>
  <si>
    <t>7.175</t>
  </si>
  <si>
    <t>7.176</t>
  </si>
  <si>
    <t>7.177</t>
  </si>
  <si>
    <t>7.178</t>
  </si>
  <si>
    <t>7.179</t>
  </si>
  <si>
    <t>Quét bitum</t>
  </si>
  <si>
    <t>7.180</t>
  </si>
  <si>
    <t>Tấm gang</t>
  </si>
  <si>
    <t>tấm</t>
  </si>
  <si>
    <t>7.181</t>
  </si>
  <si>
    <t>7.182</t>
  </si>
  <si>
    <t>7.183</t>
  </si>
  <si>
    <t>7.184</t>
  </si>
  <si>
    <t>Khấu hao cọc ván thép</t>
  </si>
  <si>
    <t>7.185</t>
  </si>
  <si>
    <t>Đóng cọc ván thép ngập đất</t>
  </si>
  <si>
    <t>7.186</t>
  </si>
  <si>
    <t>Đóng cọc ván thép ko ngập đất</t>
  </si>
  <si>
    <t>7.187</t>
  </si>
  <si>
    <t>Nhổ cọc ván thép ngập đất</t>
  </si>
  <si>
    <t>THOÁT NƯỚC NGANG  (ĐOẠN QUA ĐỊA PHẬN TT BÚT SƠN)</t>
  </si>
  <si>
    <t>8.1</t>
  </si>
  <si>
    <t>Bê tông cống hộp 25Mpa, đá 1x2</t>
  </si>
  <si>
    <t>8.2</t>
  </si>
  <si>
    <t>Gia công, lắp đặt cốt thép ống cống, ống buy, ĐK ≤10mm</t>
  </si>
  <si>
    <t>8.3</t>
  </si>
  <si>
    <t>Gia công, lắp đặt cốt thép ống cống, ống buy, ĐK ≤18mm</t>
  </si>
  <si>
    <t>8.4</t>
  </si>
  <si>
    <t>8.5</t>
  </si>
  <si>
    <t>Bốc xếp cấu kiện bê tông đúc sẵn có trọng lượng P≤5T bằng cần cẩu</t>
  </si>
  <si>
    <t>8.6</t>
  </si>
  <si>
    <t>8.7</t>
  </si>
  <si>
    <t>8.8</t>
  </si>
  <si>
    <t>Lắp đặt cống hộp đơn, đoạn ống dài 1,2m - Quy cách ống: 1000x1000mm</t>
  </si>
  <si>
    <t>8.9</t>
  </si>
  <si>
    <t>8.10</t>
  </si>
  <si>
    <t>8.11</t>
  </si>
  <si>
    <t>8.12</t>
  </si>
  <si>
    <t>8.13</t>
  </si>
  <si>
    <t>8.14</t>
  </si>
  <si>
    <t>8.15</t>
  </si>
  <si>
    <t>8.16</t>
  </si>
  <si>
    <t>8.17</t>
  </si>
  <si>
    <t>8.18</t>
  </si>
  <si>
    <t>8.19</t>
  </si>
  <si>
    <t>8.20</t>
  </si>
  <si>
    <t>8.21</t>
  </si>
  <si>
    <t>8.22</t>
  </si>
  <si>
    <t>8.23</t>
  </si>
  <si>
    <t>8.24</t>
  </si>
  <si>
    <t>Lắp đặt cống hộp đơn, đoạn ống dài 1,2m - Quy cách ống: 1200x1200mm</t>
  </si>
  <si>
    <t>8.25</t>
  </si>
  <si>
    <t>8.26</t>
  </si>
  <si>
    <t>8.27</t>
  </si>
  <si>
    <t>8.28</t>
  </si>
  <si>
    <t>8.29</t>
  </si>
  <si>
    <t>8.30</t>
  </si>
  <si>
    <t>8.31</t>
  </si>
  <si>
    <t>8.32</t>
  </si>
  <si>
    <t>8.33</t>
  </si>
  <si>
    <t>8.34</t>
  </si>
  <si>
    <t>8.35</t>
  </si>
  <si>
    <t>Gia công, lắp dựng, tháo dỡ ván khuôn kim loại, ván khuôn nắp đan, tấm chớp</t>
  </si>
  <si>
    <t>8.36</t>
  </si>
  <si>
    <t>8.37</t>
  </si>
  <si>
    <t>Bốc xếp cấu kiện bê tông đúc sẵn có trọng lượng P≤1T bằng cần cẩu</t>
  </si>
  <si>
    <t>8.38</t>
  </si>
  <si>
    <t>Bốc xếp cấu kiện bê tông đúc sẵn có trọng lượng P≤1T bằng cần cẩu - Bốc xếp xuống</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</si>
  <si>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</si>
  <si>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</si>
  <si>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</si>
  <si>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</si>
  <si>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</si>
  <si>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</si>
  <si>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</si>
  <si>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</si>
  <si>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</si>
  <si>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</si>
  <si>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</si>
  <si>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</si>
  <si>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</si>
  <si>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</si>
  <si>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</si>
  <si>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</si>
  <si>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</si>
  <si>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</si>
  <si>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</si>
  <si>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</si>
  <si>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</si>
  <si>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</si>
  <si>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</si>
  <si>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</si>
  <si>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Bê tông xi măng C16</t>
  </si>
  <si>
    <t>8.63</t>
  </si>
  <si>
    <t>8.64</t>
  </si>
  <si>
    <t>8.65</t>
  </si>
  <si>
    <t>Bê tông bản quá độ, đá 1x2, chiều rộng &lt;=250 cm, C25</t>
  </si>
  <si>
    <t>8.66</t>
  </si>
  <si>
    <t>8.67</t>
  </si>
  <si>
    <t>8.68</t>
  </si>
  <si>
    <t>8.69</t>
  </si>
  <si>
    <t>Bốc xếp cấu kiện bê tông đúc sẵn có trọng lượng P≤1T bằng cần cẩu - Bốc xếp lên</t>
  </si>
  <si>
    <t>8.70</t>
  </si>
  <si>
    <t>8.71</t>
  </si>
  <si>
    <t>8.72</t>
  </si>
  <si>
    <t>8.73</t>
  </si>
  <si>
    <t>8.74</t>
  </si>
  <si>
    <t>8.75</t>
  </si>
  <si>
    <t>Đay tẩm nhựa đường (tạm tính 1kg = 3m, trọng lượng 1,38kg/m3)</t>
  </si>
  <si>
    <t>8.76</t>
  </si>
  <si>
    <t>Quét nhựa bi tum và dán bao tải 1 lớp bao tải 2 lớp nhựa</t>
  </si>
  <si>
    <t>8.77</t>
  </si>
  <si>
    <t>8.78</t>
  </si>
  <si>
    <t>8.79</t>
  </si>
  <si>
    <t>8.80</t>
  </si>
  <si>
    <t>8.81</t>
  </si>
  <si>
    <t>8.82</t>
  </si>
  <si>
    <t>Bê tông móng SX bằng máy trộn, đổ bằng thủ công, rộng ≤250cm, M200, đá 1x2, PCB40</t>
  </si>
  <si>
    <t>8.83</t>
  </si>
  <si>
    <t>8.84</t>
  </si>
  <si>
    <t>8.85</t>
  </si>
  <si>
    <t>8.86</t>
  </si>
  <si>
    <t>8.87</t>
  </si>
  <si>
    <t>8.88</t>
  </si>
  <si>
    <t>Xây đá hộc, xây mái dốc thẳng, vữa XM</t>
  </si>
  <si>
    <t>8.89</t>
  </si>
  <si>
    <t>8.90</t>
  </si>
  <si>
    <t>8.91</t>
  </si>
  <si>
    <t>Đá hộc xếp khan</t>
  </si>
  <si>
    <t>8.92</t>
  </si>
  <si>
    <t>8.93</t>
  </si>
  <si>
    <t>Bê tông thành mũ 20Mpa</t>
  </si>
  <si>
    <t>8.94</t>
  </si>
  <si>
    <t>8.95</t>
  </si>
  <si>
    <t>8.96</t>
  </si>
  <si>
    <t>8.97</t>
  </si>
  <si>
    <t>8.98</t>
  </si>
  <si>
    <t>8.99</t>
  </si>
  <si>
    <t>Trát vữa XM M75</t>
  </si>
  <si>
    <t>8.100</t>
  </si>
  <si>
    <t>8.101</t>
  </si>
  <si>
    <t>8.102</t>
  </si>
  <si>
    <t>8.103</t>
  </si>
  <si>
    <t>8.104</t>
  </si>
  <si>
    <t>8.105</t>
  </si>
  <si>
    <t>8.106</t>
  </si>
  <si>
    <t>8.107</t>
  </si>
  <si>
    <t>8.108</t>
  </si>
  <si>
    <t>8.109</t>
  </si>
  <si>
    <t>8.110</t>
  </si>
  <si>
    <t>8.111</t>
  </si>
  <si>
    <t>8.112</t>
  </si>
  <si>
    <t>8.113</t>
  </si>
  <si>
    <t>8.114</t>
  </si>
  <si>
    <t>8.115</t>
  </si>
  <si>
    <t>8.116</t>
  </si>
  <si>
    <t>8.117</t>
  </si>
  <si>
    <t>8.118</t>
  </si>
  <si>
    <t>8.119</t>
  </si>
  <si>
    <t>Lắp đặt bó vỉa</t>
  </si>
  <si>
    <t>8.120</t>
  </si>
  <si>
    <t>8.121</t>
  </si>
  <si>
    <t>8.122</t>
  </si>
  <si>
    <t>8.123</t>
  </si>
  <si>
    <t>Gia công, lắp đặt cốt thép cột, cọc, cừ, xà dầm, giằng, ĐK ≤10mm</t>
  </si>
  <si>
    <t>8.124</t>
  </si>
  <si>
    <t>8.125</t>
  </si>
  <si>
    <t>8.126</t>
  </si>
  <si>
    <t>8.127</t>
  </si>
  <si>
    <t>8.128</t>
  </si>
  <si>
    <t>8.129</t>
  </si>
  <si>
    <t>Phá dỡ kết cấu bê tông có cốt thép bằng búa căn khí nén 3m3/ph</t>
  </si>
  <si>
    <t>8.130</t>
  </si>
  <si>
    <t>8.131</t>
  </si>
  <si>
    <t>8.132</t>
  </si>
  <si>
    <t>8.133</t>
  </si>
  <si>
    <t>8.134</t>
  </si>
  <si>
    <t>8.135</t>
  </si>
  <si>
    <t>Bê tông thanh chống, 20Mpa</t>
  </si>
  <si>
    <t>8.136</t>
  </si>
  <si>
    <t>8.137</t>
  </si>
  <si>
    <t>8.138</t>
  </si>
  <si>
    <t>Phá dỡ kết cấu gạch đá bằng búa căn khí nén 3m3/ph</t>
  </si>
  <si>
    <t>8.139</t>
  </si>
  <si>
    <t>Vận chuyển đất không thích hợp</t>
  </si>
  <si>
    <t>8.140</t>
  </si>
  <si>
    <t>8.141</t>
  </si>
  <si>
    <t>Gia cố nền đất yếu rải vải địa kỹ thuật làm nền đường, mái đê, đập</t>
  </si>
  <si>
    <t>NỀN MẶT ĐƯỜNG TUYẾN CHÍNH (ĐOẠN QUA XÃ HOẰNG ĐẠT, HOẰNG HÀ)</t>
  </si>
  <si>
    <t>9.1</t>
  </si>
  <si>
    <t>9.2</t>
  </si>
  <si>
    <t>Đào cấp bằng máy - Cấp đất III</t>
  </si>
  <si>
    <t>9.3</t>
  </si>
  <si>
    <t>9.4</t>
  </si>
  <si>
    <t>9.5</t>
  </si>
  <si>
    <t>9.6</t>
  </si>
  <si>
    <t>9.7</t>
  </si>
  <si>
    <t>9.8</t>
  </si>
  <si>
    <t>Đắp nền đường độ chặt Y/C K = 0,95</t>
  </si>
  <si>
    <t>9.9</t>
  </si>
  <si>
    <t>9.10</t>
  </si>
  <si>
    <t>9.11</t>
  </si>
  <si>
    <t>9.12</t>
  </si>
  <si>
    <t>9.13</t>
  </si>
  <si>
    <t>9.14</t>
  </si>
  <si>
    <t>9.15</t>
  </si>
  <si>
    <t>9.16</t>
  </si>
  <si>
    <t>Vận chuyển đất không thích hợp đất cấp IV</t>
  </si>
  <si>
    <t>9.17</t>
  </si>
  <si>
    <t>9.18</t>
  </si>
  <si>
    <t>9.19</t>
  </si>
  <si>
    <t>Đệm cát đầu cọc K = 0,90</t>
  </si>
  <si>
    <t>9.20</t>
  </si>
  <si>
    <t>9.21</t>
  </si>
  <si>
    <t>Rải lưới địa kỹ thuật dệt cường độ 600Kn/m</t>
  </si>
  <si>
    <t>9.22</t>
  </si>
  <si>
    <t>Đóng cọc tre bằng máy đào 0,5m3, chiều dài cọc ≤2,5m  - Cấp đất I</t>
  </si>
  <si>
    <t>9.23</t>
  </si>
  <si>
    <t>9.24</t>
  </si>
  <si>
    <t>9.25</t>
  </si>
  <si>
    <t>9.26</t>
  </si>
  <si>
    <t>Vận chuyển đất tận dụng bằng ô tô 10T, cự ly vận chuyển &lt;= 1km</t>
  </si>
  <si>
    <t>9.27</t>
  </si>
  <si>
    <t>9.28</t>
  </si>
  <si>
    <t>9.29</t>
  </si>
  <si>
    <t>9.30</t>
  </si>
  <si>
    <t>Thi công giếng cát bằng phương pháp ép rung kết hợp máy bơm nước, đường kính giếng D400mm, đất cấp I, chiều dài giếng L &lt;= 20</t>
  </si>
  <si>
    <t>9.31</t>
  </si>
  <si>
    <t>9.32</t>
  </si>
  <si>
    <t>Đệm cát hạt nhỏ K95</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</si>
  <si>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</si>
  <si>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</si>
  <si>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</si>
  <si>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</si>
  <si>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</si>
  <si>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</si>
  <si>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</si>
  <si>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</si>
  <si>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</si>
  <si>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</si>
  <si>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</si>
  <si>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</si>
  <si>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</si>
  <si>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</si>
  <si>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</si>
  <si>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</si>
  <si>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</si>
  <si>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</si>
  <si>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</si>
  <si>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</si>
  <si>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</si>
  <si>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</si>
  <si>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</si>
  <si>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</si>
  <si>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</si>
  <si>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</si>
  <si>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</si>
  <si>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</si>
  <si>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</si>
  <si>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</si>
  <si>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Đắp đất bao dính giải phân cách (Tận dụng đất cấp 2) máy lu bánh thép 25T, máy ủi 110CV, độ chặt Y/C K = 0,9</t>
  </si>
  <si>
    <t>ĐƯỜNG GIAO DÂN SINH (ĐOẠN QUA XÃ HOẰNG ĐẠT, HOẰNG HÀ)</t>
  </si>
  <si>
    <t>10.1</t>
  </si>
  <si>
    <t>Đào nền đường bằng máy, đất cấp II</t>
  </si>
  <si>
    <t>10.2</t>
  </si>
  <si>
    <t>10.3</t>
  </si>
  <si>
    <t>10.4</t>
  </si>
  <si>
    <t>10.5</t>
  </si>
  <si>
    <t>10.6</t>
  </si>
  <si>
    <t>10.7</t>
  </si>
  <si>
    <t>10.8</t>
  </si>
  <si>
    <t>10.9</t>
  </si>
  <si>
    <t>10.10</t>
  </si>
  <si>
    <t>10.11</t>
  </si>
  <si>
    <t>10.12</t>
  </si>
  <si>
    <t>10.13</t>
  </si>
  <si>
    <t>10.14</t>
  </si>
  <si>
    <t>10.15</t>
  </si>
  <si>
    <t>10.16</t>
  </si>
  <si>
    <t>10.17</t>
  </si>
  <si>
    <t>10.18</t>
  </si>
  <si>
    <t>10.19</t>
  </si>
  <si>
    <t>10.20</t>
  </si>
  <si>
    <t>10.21</t>
  </si>
  <si>
    <t>10.22</t>
  </si>
  <si>
    <t>10.23</t>
  </si>
  <si>
    <t>10.24</t>
  </si>
  <si>
    <t>10.25</t>
  </si>
  <si>
    <t>10.26</t>
  </si>
  <si>
    <t>10.27</t>
  </si>
  <si>
    <t>THOÁT NƯỚC DỌC (ĐOẠN QUA XÃ HOẰNG ĐẠT, HOẰNG HÀ)</t>
  </si>
  <si>
    <t>11.1</t>
  </si>
  <si>
    <t>11.2</t>
  </si>
  <si>
    <t>11.3</t>
  </si>
  <si>
    <t>11.4</t>
  </si>
  <si>
    <t>11.5</t>
  </si>
  <si>
    <t>11.6</t>
  </si>
  <si>
    <t>11.7</t>
  </si>
  <si>
    <t>11.8</t>
  </si>
  <si>
    <t>11.9</t>
  </si>
  <si>
    <t>11.10</t>
  </si>
  <si>
    <t>11.11</t>
  </si>
  <si>
    <t>11.12</t>
  </si>
  <si>
    <t>11.13</t>
  </si>
  <si>
    <t>11.14</t>
  </si>
  <si>
    <t>11.15</t>
  </si>
  <si>
    <t>11.16</t>
  </si>
  <si>
    <t>11.17</t>
  </si>
  <si>
    <t>11.18</t>
  </si>
  <si>
    <t>Bê tông rãnh, đá 1x2, chiều rộng &lt;=250 cm, 20Mpa</t>
  </si>
  <si>
    <t>11.19</t>
  </si>
  <si>
    <t>11.20</t>
  </si>
  <si>
    <t>Lắp dựng cốt thép mương cáp, rãnh nước, ĐK ≤10mm</t>
  </si>
  <si>
    <t>11.21</t>
  </si>
  <si>
    <t>Lắp dựng cốt thép mương cáp, rãnh nước, ĐK &gt;10mm</t>
  </si>
  <si>
    <t>11.22</t>
  </si>
  <si>
    <t>11.23</t>
  </si>
  <si>
    <t>11.24</t>
  </si>
  <si>
    <t>11.25</t>
  </si>
  <si>
    <t>11.26</t>
  </si>
  <si>
    <t>Bê tông dầm mương, 25Mpa</t>
  </si>
  <si>
    <t>11.27</t>
  </si>
  <si>
    <t>11.28</t>
  </si>
  <si>
    <t>Lắp dựng cốt thép xà dầm, giằng, ĐK ≤18mm, chiều cao ≤6m</t>
  </si>
  <si>
    <t>11.29</t>
  </si>
  <si>
    <t>11.30</t>
  </si>
  <si>
    <t>11.31</t>
  </si>
  <si>
    <t>11.32</t>
  </si>
  <si>
    <t>11.33</t>
  </si>
  <si>
    <t>11.34</t>
  </si>
  <si>
    <t>11.35</t>
  </si>
  <si>
    <t>11.36</t>
  </si>
  <si>
    <t>HẠNG MỤC: AN TOÀN GIAO THÔNG (ĐOẠN QUA XÃ HOẰNG ĐẠT, HOẰNG HÀ)</t>
  </si>
  <si>
    <t>12.1</t>
  </si>
  <si>
    <t>12.2</t>
  </si>
  <si>
    <t>12.3</t>
  </si>
  <si>
    <t>12.4</t>
  </si>
  <si>
    <t>12.5</t>
  </si>
  <si>
    <t>12.6</t>
  </si>
  <si>
    <t>12.7</t>
  </si>
  <si>
    <t>Lắp đặt cột và biển báo phản quang - Loại biển báo phản quang: Biển vuông 90x45cm</t>
  </si>
  <si>
    <t>12.8</t>
  </si>
  <si>
    <t>12.9</t>
  </si>
  <si>
    <t>12.10</t>
  </si>
  <si>
    <t>12.11</t>
  </si>
  <si>
    <t>12.12</t>
  </si>
  <si>
    <t>Biển chữ nhật 900x450</t>
  </si>
  <si>
    <t>12.13</t>
  </si>
  <si>
    <t>12.14</t>
  </si>
  <si>
    <t>12.15</t>
  </si>
  <si>
    <t>Ép cọc hộ lan tôn sóng</t>
  </si>
  <si>
    <t>100m</t>
  </si>
  <si>
    <t>12.16</t>
  </si>
  <si>
    <t>Lắp đặt dải phân cách bằng tôn lượn sóng</t>
  </si>
  <si>
    <t>12.17</t>
  </si>
  <si>
    <t>12.18</t>
  </si>
  <si>
    <t>12.19</t>
  </si>
  <si>
    <t>Cọc H - bằng tôn mạ kẽm</t>
  </si>
  <si>
    <t>12.20</t>
  </si>
  <si>
    <t>12.21</t>
  </si>
  <si>
    <t>CỐNG THOÁT NƯỚC (ĐOẠN QUA XÃ HOẰNG ĐẠT, HOẰNG HÀ)</t>
  </si>
  <si>
    <t>13.1</t>
  </si>
  <si>
    <t>13.2</t>
  </si>
  <si>
    <t>13.3</t>
  </si>
  <si>
    <t>Cốt thép ống cống D&gt;18</t>
  </si>
  <si>
    <t>13.4</t>
  </si>
  <si>
    <t>13.5</t>
  </si>
  <si>
    <t>13.6</t>
  </si>
  <si>
    <t>13.7</t>
  </si>
  <si>
    <t>13.8</t>
  </si>
  <si>
    <t>13.9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</si>
  <si>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</si>
  <si>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</si>
  <si>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</si>
  <si>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</si>
  <si>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</si>
  <si>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</si>
  <si>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</si>
  <si>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</si>
  <si>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</si>
  <si>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</si>
  <si>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</si>
  <si>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</si>
  <si>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</si>
  <si>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</si>
  <si>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</si>
  <si>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</si>
  <si>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</si>
  <si>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</si>
  <si>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</si>
  <si>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</si>
  <si>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</si>
  <si>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</si>
  <si>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</si>
  <si>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</si>
  <si>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</si>
  <si>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</si>
  <si>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</si>
  <si>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</si>
  <si>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</si>
  <si>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</si>
  <si>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</si>
  <si>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</si>
  <si>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</si>
  <si>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</si>
  <si>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</si>
  <si>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</si>
  <si>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</si>
  <si>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</si>
  <si>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</si>
  <si>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</si>
  <si>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</si>
  <si>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</si>
  <si>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Cốt thép thân cống hộp D&gt;18</t>
  </si>
  <si>
    <t>13.52</t>
  </si>
  <si>
    <t>13.53</t>
  </si>
  <si>
    <t>13.54</t>
  </si>
  <si>
    <t>13.55</t>
  </si>
  <si>
    <t>13.56</t>
  </si>
  <si>
    <t>13.57</t>
  </si>
  <si>
    <t>13.58</t>
  </si>
  <si>
    <t>Mạ kẽm</t>
  </si>
  <si>
    <t>13.59</t>
  </si>
  <si>
    <t>13.60</t>
  </si>
  <si>
    <t>13.61</t>
  </si>
  <si>
    <t>13.62</t>
  </si>
  <si>
    <t>13.63</t>
  </si>
  <si>
    <t>13.64</t>
  </si>
  <si>
    <t>13.65</t>
  </si>
  <si>
    <t>13.66</t>
  </si>
  <si>
    <t>13.67</t>
  </si>
  <si>
    <t>Cốt thép móng cống hộp D&gt;18</t>
  </si>
  <si>
    <t>13.68</t>
  </si>
  <si>
    <t>13.69</t>
  </si>
  <si>
    <t>13.70</t>
  </si>
  <si>
    <t>13.71</t>
  </si>
  <si>
    <t>13.72</t>
  </si>
  <si>
    <t>13.73</t>
  </si>
  <si>
    <t>13.74</t>
  </si>
  <si>
    <t>13.75</t>
  </si>
  <si>
    <t>13.76</t>
  </si>
  <si>
    <t>13.77</t>
  </si>
  <si>
    <t>13.78</t>
  </si>
  <si>
    <t>Cốt thép cửa cống D&lt;=10</t>
  </si>
  <si>
    <t>13.79</t>
  </si>
  <si>
    <t>13.80</t>
  </si>
  <si>
    <t>Bê tông sân cống 30Mpa</t>
  </si>
  <si>
    <t>13.81</t>
  </si>
  <si>
    <t>13.82</t>
  </si>
  <si>
    <t>Ván khuôn sân cống</t>
  </si>
  <si>
    <t>13.83</t>
  </si>
  <si>
    <t>13.84</t>
  </si>
  <si>
    <t>13.85</t>
  </si>
  <si>
    <t>13.86</t>
  </si>
  <si>
    <t>13.87</t>
  </si>
  <si>
    <t>13.88</t>
  </si>
  <si>
    <t>13.89</t>
  </si>
  <si>
    <t>13.90</t>
  </si>
  <si>
    <t>13.91</t>
  </si>
  <si>
    <t>13.92</t>
  </si>
  <si>
    <t>13.93</t>
  </si>
  <si>
    <t>13.94</t>
  </si>
  <si>
    <t>13.95</t>
  </si>
  <si>
    <t>13.96</t>
  </si>
  <si>
    <t>13.97</t>
  </si>
  <si>
    <t>13.98</t>
  </si>
  <si>
    <t>13.99</t>
  </si>
  <si>
    <t>13.100</t>
  </si>
  <si>
    <t>13.101</t>
  </si>
  <si>
    <t>13.102</t>
  </si>
  <si>
    <t>13.103</t>
  </si>
  <si>
    <t>THOÁT NƯỚC NGANG (ĐOẠN QUA XÃ HOẰNG ĐẠT, HOẰNG HÀ)</t>
  </si>
  <si>
    <t>14.1</t>
  </si>
  <si>
    <t>14.2</t>
  </si>
  <si>
    <t>14.3</t>
  </si>
  <si>
    <t>14.4</t>
  </si>
  <si>
    <t>14.5</t>
  </si>
  <si>
    <t>14.6</t>
  </si>
  <si>
    <t>14.7</t>
  </si>
  <si>
    <t>14.8</t>
  </si>
  <si>
    <t>14.9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</si>
  <si>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</si>
  <si>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</si>
  <si>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</si>
  <si>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</si>
  <si>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</si>
  <si>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</si>
  <si>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</si>
  <si>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</si>
  <si>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</si>
  <si>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</si>
  <si>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</si>
  <si>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</si>
  <si>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</si>
  <si>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</si>
  <si>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</si>
  <si>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</si>
  <si>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</si>
  <si>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</si>
  <si>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</si>
  <si>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</si>
  <si>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</si>
  <si>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</si>
  <si>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</si>
  <si>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</si>
  <si>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</si>
  <si>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</si>
  <si>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</si>
  <si>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</si>
  <si>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</si>
  <si>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</si>
  <si>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</si>
  <si>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</si>
  <si>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</si>
  <si>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</si>
  <si>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</si>
  <si>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</si>
  <si>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</si>
  <si>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</si>
  <si>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</si>
  <si>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</si>
  <si>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</si>
  <si>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</si>
  <si>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</si>
  <si>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</si>
  <si>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</si>
  <si>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</si>
  <si>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</si>
  <si>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</si>
  <si>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</si>
  <si>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</si>
  <si>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</si>
  <si>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</si>
  <si>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</si>
  <si>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</si>
  <si>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</si>
  <si>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</si>
  <si>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</si>
  <si>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</si>
  <si>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</si>
  <si>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</si>
  <si>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NỀN MẶT ĐƯỜNG TUYẾN CHÍNH  (ĐOẠN QUA XÃ HOẰNG YẾN)</t>
  </si>
  <si>
    <t>15.1</t>
  </si>
  <si>
    <t>15.2</t>
  </si>
  <si>
    <t>15.3</t>
  </si>
  <si>
    <t>15.4</t>
  </si>
  <si>
    <t>15.5</t>
  </si>
  <si>
    <t>15.6</t>
  </si>
  <si>
    <t>15.7</t>
  </si>
  <si>
    <t>15.8</t>
  </si>
  <si>
    <t>15.9</t>
  </si>
  <si>
    <t>15.10</t>
  </si>
  <si>
    <t>15.11</t>
  </si>
  <si>
    <t>Vận chuyển đất không thích hợp  đất cấp IV</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</si>
  <si>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</si>
  <si>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</si>
  <si>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</si>
  <si>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</si>
  <si>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</si>
  <si>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</si>
  <si>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</si>
  <si>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</si>
  <si>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</si>
  <si>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</si>
  <si>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</si>
  <si>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</si>
  <si>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</si>
  <si>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</si>
  <si>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</si>
  <si>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</si>
  <si>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</si>
  <si>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</si>
  <si>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</si>
  <si>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</si>
  <si>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</si>
  <si>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</si>
  <si>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</si>
  <si>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</si>
  <si>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</si>
  <si>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</si>
  <si>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</si>
  <si>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</si>
  <si>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</si>
  <si>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</si>
  <si>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</si>
  <si>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</si>
  <si>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</si>
  <si>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</si>
  <si>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Đắp đất bao dính giải phân cách  độ chặt Y/C K = 0,9</t>
  </si>
  <si>
    <t>NÚT GIAO  (ĐOẠN QUA XÃ HOẰNG YẾN)</t>
  </si>
  <si>
    <t>16.1</t>
  </si>
  <si>
    <t>16.2</t>
  </si>
  <si>
    <t>16.3</t>
  </si>
  <si>
    <t>16.4</t>
  </si>
  <si>
    <t>16.5</t>
  </si>
  <si>
    <t>16.6</t>
  </si>
  <si>
    <t>16.7</t>
  </si>
  <si>
    <t>16.8</t>
  </si>
  <si>
    <t>16.9</t>
  </si>
  <si>
    <t>16.10</t>
  </si>
  <si>
    <t>Đắp cát bằng máy, độ chặt yêu cầu K=0,95</t>
  </si>
  <si>
    <t>16.11</t>
  </si>
  <si>
    <t>16.12</t>
  </si>
  <si>
    <t>16.13</t>
  </si>
  <si>
    <t>16.14</t>
  </si>
  <si>
    <t>16.15</t>
  </si>
  <si>
    <t>16.16</t>
  </si>
  <si>
    <t>16.17</t>
  </si>
  <si>
    <t>16.18</t>
  </si>
  <si>
    <t>16.19</t>
  </si>
  <si>
    <t>16.20</t>
  </si>
  <si>
    <t>16.21</t>
  </si>
  <si>
    <t>Thi công móng cấp phối đá dăm lớp dưới</t>
  </si>
  <si>
    <t>ĐƯỜNG GIAO DÂN SINH  (ĐOẠN QUA XÃ HOẰNG YẾN)</t>
  </si>
  <si>
    <t>17.1</t>
  </si>
  <si>
    <t>17.2</t>
  </si>
  <si>
    <t>17.3</t>
  </si>
  <si>
    <t>17.4</t>
  </si>
  <si>
    <t>17.5</t>
  </si>
  <si>
    <t>17.6</t>
  </si>
  <si>
    <t>17.7</t>
  </si>
  <si>
    <t>17.8</t>
  </si>
  <si>
    <t>17.9</t>
  </si>
  <si>
    <t>17.10</t>
  </si>
  <si>
    <t>17.11</t>
  </si>
  <si>
    <t>17.12</t>
  </si>
  <si>
    <t>17.13</t>
  </si>
  <si>
    <t>17.14</t>
  </si>
  <si>
    <t>17.15</t>
  </si>
  <si>
    <t>17.16</t>
  </si>
  <si>
    <t>17.17</t>
  </si>
  <si>
    <t>17.18</t>
  </si>
  <si>
    <t>17.19</t>
  </si>
  <si>
    <t>17.20</t>
  </si>
  <si>
    <t>17.21</t>
  </si>
  <si>
    <t>AN TOÀN GIAO THÔNG  (ĐOẠN QUA XÃ HOẰNG YẾN)</t>
  </si>
  <si>
    <t>18.1</t>
  </si>
  <si>
    <t>18.2</t>
  </si>
  <si>
    <t>18.3</t>
  </si>
  <si>
    <t>18.4</t>
  </si>
  <si>
    <t>18.5</t>
  </si>
  <si>
    <t>18.6</t>
  </si>
  <si>
    <t>18.7</t>
  </si>
  <si>
    <t>18.8</t>
  </si>
  <si>
    <t>18.9</t>
  </si>
  <si>
    <t>18.10</t>
  </si>
  <si>
    <t>18.11</t>
  </si>
  <si>
    <t>18.12</t>
  </si>
  <si>
    <t>18.13</t>
  </si>
  <si>
    <t>18.14</t>
  </si>
  <si>
    <t>18.15</t>
  </si>
  <si>
    <t>18.16</t>
  </si>
  <si>
    <t>18.17</t>
  </si>
  <si>
    <t>18.18</t>
  </si>
  <si>
    <t>Cọc H - sơn sắt thép</t>
  </si>
  <si>
    <t>18.19</t>
  </si>
  <si>
    <t>PHẦN CẦU  (ĐOẠN QUA XÃ HOẰNG YẾN)</t>
  </si>
  <si>
    <t>19.1</t>
  </si>
  <si>
    <t>Cáp DUL dầm I</t>
  </si>
  <si>
    <t>19.2</t>
  </si>
  <si>
    <t>Cốt thép dầm D&lt;=18</t>
  </si>
  <si>
    <t>19.3</t>
  </si>
  <si>
    <t>Cốt thép dầm D&gt;18</t>
  </si>
  <si>
    <t>19.4</t>
  </si>
  <si>
    <t>Bê tông dầm I 40Mpa</t>
  </si>
  <si>
    <t>19.5</t>
  </si>
  <si>
    <t>Ván khuôn dầm</t>
  </si>
  <si>
    <t>19.6</t>
  </si>
  <si>
    <t>Sản xuất vữa bê tông bằng trạm trộn</t>
  </si>
  <si>
    <t>19.7</t>
  </si>
  <si>
    <t>19.8</t>
  </si>
  <si>
    <t>Lắp đặt ống ghen luồn cáp DƯL D55/60</t>
  </si>
  <si>
    <t>19.9</t>
  </si>
  <si>
    <t>Phun vữa bịt ống luồn cáp</t>
  </si>
  <si>
    <t>19.10</t>
  </si>
  <si>
    <t>Lắp đặt neo cáp 7T12.7</t>
  </si>
  <si>
    <t>đầu neo</t>
  </si>
  <si>
    <t>19.11</t>
  </si>
  <si>
    <t>Sản xuất thép hình, thép bản</t>
  </si>
  <si>
    <t>19.12</t>
  </si>
  <si>
    <t>Lắp đặt thép hình, thép bản</t>
  </si>
  <si>
    <t>19.13</t>
  </si>
  <si>
    <t>19.14</t>
  </si>
  <si>
    <t>19.15</t>
  </si>
  <si>
    <t>19.16</t>
  </si>
  <si>
    <t>19.17</t>
  </si>
  <si>
    <t>19.18</t>
  </si>
  <si>
    <t>19.19</t>
  </si>
  <si>
    <t>19.20</t>
  </si>
  <si>
    <t>Lắp đặt ống ghen luồn cáp DƯL D80/87</t>
  </si>
  <si>
    <t>19.21</t>
  </si>
  <si>
    <t>19.22</t>
  </si>
  <si>
    <t>Lắp đặt neo cáp 12T12.7</t>
  </si>
  <si>
    <t>19.23</t>
  </si>
  <si>
    <t>19.24</t>
  </si>
  <si>
    <t>19.25</t>
  </si>
  <si>
    <t>Bê tông dầm ngang 30MPa</t>
  </si>
  <si>
    <t>19.26</t>
  </si>
  <si>
    <t>19.27</t>
  </si>
  <si>
    <t>19.28</t>
  </si>
  <si>
    <t>Sản xuất, lắp dựng, tháo dỡ ván khuôn dầm ngang</t>
  </si>
  <si>
    <t>19.29</t>
  </si>
  <si>
    <t>Cốt thép dầm ngang D&lt;=18</t>
  </si>
  <si>
    <t>19.30</t>
  </si>
  <si>
    <t>Cốt thép dầm ngang D&gt;18</t>
  </si>
  <si>
    <t>19.31</t>
  </si>
  <si>
    <t>Bê tông tấm ván khuôn 25MPa</t>
  </si>
  <si>
    <t>19.32</t>
  </si>
  <si>
    <t>Cốt thép tấm ván khuôn mặt cầu</t>
  </si>
  <si>
    <t>19.33</t>
  </si>
  <si>
    <t>Ván khuôn tấm ván khuôn mặt cầu</t>
  </si>
  <si>
    <t>19.34</t>
  </si>
  <si>
    <t>Lắp đặt tấm ván khuôn mặt cầu</t>
  </si>
  <si>
    <t>19.35</t>
  </si>
  <si>
    <t>19.36</t>
  </si>
  <si>
    <t>19.37</t>
  </si>
  <si>
    <t>19.38</t>
  </si>
  <si>
    <t>Bê tông mặt cầu+ mối nối bản mặt cầu 30MPa</t>
  </si>
  <si>
    <t>19.39</t>
  </si>
  <si>
    <t>19.40</t>
  </si>
  <si>
    <t>19.41</t>
  </si>
  <si>
    <t>Cốt thép mặt cầu D&lt;=10</t>
  </si>
  <si>
    <t>19.42</t>
  </si>
  <si>
    <t>Cốt thép mặt cầu D&lt;=18</t>
  </si>
  <si>
    <t>19.43</t>
  </si>
  <si>
    <t>Cốt thép mặt cầu D&gt;18</t>
  </si>
  <si>
    <t>19.44</t>
  </si>
  <si>
    <t>Ván khuôn bản mặt cầu</t>
  </si>
  <si>
    <t>19.45</t>
  </si>
  <si>
    <t>Tấm đệm đàn hồi dày 1cm</t>
  </si>
  <si>
    <t>19.46</t>
  </si>
  <si>
    <t>Lớp phòng nước mặt cầu dạng phun</t>
  </si>
  <si>
    <t>19.47</t>
  </si>
  <si>
    <t>Tưới nhựa dính bám 0,5kg/m2</t>
  </si>
  <si>
    <t>19.48</t>
  </si>
  <si>
    <t>Bêtông nhựa chặt C16; dày 7cm</t>
  </si>
  <si>
    <t>19.49</t>
  </si>
  <si>
    <t>19.50</t>
  </si>
  <si>
    <t>Vận chuyển bê tông nhựa từ trạm trộn đến vị trí đổ</t>
  </si>
  <si>
    <t>19.51</t>
  </si>
  <si>
    <t>Gối cao su 400x300x50</t>
  </si>
  <si>
    <t>19.52</t>
  </si>
  <si>
    <t>Gối cao su 400x300x50 (có tấm PTFE)</t>
  </si>
  <si>
    <t>19.53</t>
  </si>
  <si>
    <t>Gối cao su 450x400x78</t>
  </si>
  <si>
    <t>19.54</t>
  </si>
  <si>
    <t>Gối cao su 450x400x78 (có tấm PTFE)</t>
  </si>
  <si>
    <t>19.55</t>
  </si>
  <si>
    <t>Sản xuất thép hình, thép bản tấm đệm gối</t>
  </si>
  <si>
    <t>19.56</t>
  </si>
  <si>
    <t>Lắp đặt thép hình, thép bản tấm đệm gối</t>
  </si>
  <si>
    <t>19.57</t>
  </si>
  <si>
    <t>Quét keo dính bám epoxy</t>
  </si>
  <si>
    <t>Tấn</t>
  </si>
  <si>
    <t>19.58</t>
  </si>
  <si>
    <t>Khe co giãn răng lược 50mm</t>
  </si>
  <si>
    <t>1m</t>
  </si>
  <si>
    <t>19.59</t>
  </si>
  <si>
    <t>Bê tông khe co giãn 30Mpa</t>
  </si>
  <si>
    <t>19.60</t>
  </si>
  <si>
    <t>Cốt thép khe co giãn</t>
  </si>
  <si>
    <t>19.61</t>
  </si>
  <si>
    <t>19.62</t>
  </si>
  <si>
    <t>Bulông neo khe co giãn M12</t>
  </si>
  <si>
    <t>19.63</t>
  </si>
  <si>
    <t>Sản xuất thép hình, thép bản khe co giãn</t>
  </si>
  <si>
    <t>19.64</t>
  </si>
  <si>
    <t>Lắp đặt thép hình khe co giãn</t>
  </si>
  <si>
    <t>19.65</t>
  </si>
  <si>
    <t>19.66</t>
  </si>
  <si>
    <t>Bê tông gờ lan can  25Mpa</t>
  </si>
  <si>
    <t>19.67</t>
  </si>
  <si>
    <t>Sản xuất, lắp dựng, tháo dỡ ván khuôn lan can</t>
  </si>
  <si>
    <t>19.68</t>
  </si>
  <si>
    <t>Cốt thép lan can D&lt;=18</t>
  </si>
  <si>
    <t>19.69</t>
  </si>
  <si>
    <t>Sản xuất thép hình, thép bản tay vị lan can</t>
  </si>
  <si>
    <t>19.70</t>
  </si>
  <si>
    <t>Lắp đặt thép hình, thép bản tay vịn lan can</t>
  </si>
  <si>
    <t>19.71</t>
  </si>
  <si>
    <t>Lắp dựng ống nhựa PVC D90</t>
  </si>
  <si>
    <t>19.72</t>
  </si>
  <si>
    <t>Lắp  ống PVC D60</t>
  </si>
  <si>
    <t>19.73</t>
  </si>
  <si>
    <t>Bulông</t>
  </si>
  <si>
    <t>19.74</t>
  </si>
  <si>
    <t>Bê tông lề bộ hành 25MPa</t>
  </si>
  <si>
    <t>19.75</t>
  </si>
  <si>
    <t>Cốt thép</t>
  </si>
  <si>
    <t>19.76</t>
  </si>
  <si>
    <t>19.77</t>
  </si>
  <si>
    <t>Lắp đặt tấm lề bộ hành</t>
  </si>
  <si>
    <t>19.78</t>
  </si>
  <si>
    <t>19.79</t>
  </si>
  <si>
    <t>19.80</t>
  </si>
  <si>
    <t>19.81</t>
  </si>
  <si>
    <t>Lát gạch Tezzanzo</t>
  </si>
  <si>
    <t>19.82</t>
  </si>
  <si>
    <t>19.83</t>
  </si>
  <si>
    <t>Ống thoát nước bằng gang đúc D150</t>
  </si>
  <si>
    <t>19.84</t>
  </si>
  <si>
    <t>Lưới chắn rác</t>
  </si>
  <si>
    <t>19.85</t>
  </si>
  <si>
    <t>Nâng hạ dầm lên xe</t>
  </si>
  <si>
    <t>1 dầm</t>
  </si>
  <si>
    <t>19.86</t>
  </si>
  <si>
    <t>Di chuyển dầm I bằng goong, chiều dài dầm22&lt;L&lt;=33mn</t>
  </si>
  <si>
    <t>1 dầm/10m</t>
  </si>
  <si>
    <t>19.87</t>
  </si>
  <si>
    <t>Di chuyển dầm I bằng goong, chiều dài dầm 33&lt;L&lt;=40mn</t>
  </si>
  <si>
    <t>19.88</t>
  </si>
  <si>
    <t>Lao lắp dầm  (12&lt;L&lt;=22m)</t>
  </si>
  <si>
    <t>19.89</t>
  </si>
  <si>
    <t>Lao lắp dầm  (22&lt;L&lt;=33m)</t>
  </si>
  <si>
    <t>19.90</t>
  </si>
  <si>
    <t>Đá dăm đệm bệ đúc</t>
  </si>
  <si>
    <t>19.91</t>
  </si>
  <si>
    <t>19.92</t>
  </si>
  <si>
    <t>Bê tông bệ đúc 25MPa</t>
  </si>
  <si>
    <t>19.93</t>
  </si>
  <si>
    <t>Cốt thép bệ đúc</t>
  </si>
  <si>
    <t>19.94</t>
  </si>
  <si>
    <t>Ván khuôn bệ đúc</t>
  </si>
  <si>
    <t>19.95</t>
  </si>
  <si>
    <t>Phá bỏ BT bệ đúc dầm</t>
  </si>
  <si>
    <t>19.96</t>
  </si>
  <si>
    <t>Phá bỏ đá xây bệ đúc dầm</t>
  </si>
  <si>
    <t>19.97</t>
  </si>
  <si>
    <t>19.98</t>
  </si>
  <si>
    <t>19.99</t>
  </si>
  <si>
    <t>Sản xuất thép hình phục vụ thi công mặt cầu</t>
  </si>
  <si>
    <t>19.100</t>
  </si>
  <si>
    <t>KH thép hình phục vụ thi công mặt cầu</t>
  </si>
  <si>
    <t>19.101</t>
  </si>
  <si>
    <t>Sản xuất thép hình phục vụ thi công dầm ngang, lan can</t>
  </si>
  <si>
    <t>19.102</t>
  </si>
  <si>
    <t>KH thép hình phục vụ thi công  dầm ngang, lan can</t>
  </si>
  <si>
    <t>19.103</t>
  </si>
  <si>
    <t>Lắp dựng thép hình PVTC mặt cầu, dầm ngang, lan can</t>
  </si>
  <si>
    <t>19.104</t>
  </si>
  <si>
    <t>Tháo dỡ thép hình PVTC mặt cầu, dầm ngang, lan can</t>
  </si>
  <si>
    <t>19.105</t>
  </si>
  <si>
    <t>Bê tông 25MPa con kê</t>
  </si>
  <si>
    <t>19.106</t>
  </si>
  <si>
    <t>Bu lông D14, L=750mm</t>
  </si>
  <si>
    <t>19.107</t>
  </si>
  <si>
    <t>Bu lông D14, L=525mm</t>
  </si>
  <si>
    <t>19.108</t>
  </si>
  <si>
    <t>Ống nhựa D16, L350mm</t>
  </si>
  <si>
    <t>19.109</t>
  </si>
  <si>
    <t>Cốt thép bản quá độ D&lt;=10</t>
  </si>
  <si>
    <t>19.110</t>
  </si>
  <si>
    <t>Cốt thép bản quá độ D&lt;=18</t>
  </si>
  <si>
    <t>19.111</t>
  </si>
  <si>
    <t>19.112</t>
  </si>
  <si>
    <t>Bê tông bản quá độ 25MPa</t>
  </si>
  <si>
    <t>19.113</t>
  </si>
  <si>
    <t>Bêtông đệm bản quá độ 10MPa</t>
  </si>
  <si>
    <t>19.114</t>
  </si>
  <si>
    <t>19.115</t>
  </si>
  <si>
    <t>Bê tông thân, bệ móng 30MPa trên cạn</t>
  </si>
  <si>
    <t>19.116</t>
  </si>
  <si>
    <t>Bê tông đệm móng 10MPa</t>
  </si>
  <si>
    <t>19.117</t>
  </si>
  <si>
    <t>Sản xuất vữa bê tông qua dây chuyền trạm trộn công suất ≤90m3/h</t>
  </si>
  <si>
    <t>19.118</t>
  </si>
  <si>
    <t>19.119</t>
  </si>
  <si>
    <t>Cốt thép mố D&lt;=10 trên cạn</t>
  </si>
  <si>
    <t>19.120</t>
  </si>
  <si>
    <t>Cốt thép mố D&lt;=18 trên cạn</t>
  </si>
  <si>
    <t>19.121</t>
  </si>
  <si>
    <t>Cốt thép mố D&gt;18 trên cạn</t>
  </si>
  <si>
    <t>19.122</t>
  </si>
  <si>
    <t>Sản xuất, lắp dựng, tháo dỡ ván khuôn thép mố, trụ</t>
  </si>
  <si>
    <t>19.123</t>
  </si>
  <si>
    <t>Thép tròn mạ kẽm</t>
  </si>
  <si>
    <t>19.124</t>
  </si>
  <si>
    <t>19.125</t>
  </si>
  <si>
    <t>Hộp chốt</t>
  </si>
  <si>
    <t>19.126</t>
  </si>
  <si>
    <t>Lắp đặt hộp chốt</t>
  </si>
  <si>
    <t>19.127</t>
  </si>
  <si>
    <t>Vữa không co ngót</t>
  </si>
  <si>
    <t>19.128</t>
  </si>
  <si>
    <t>Tấm ngăn nước</t>
  </si>
  <si>
    <t>19.129</t>
  </si>
  <si>
    <t>Ống nhựa PVC D90</t>
  </si>
  <si>
    <t>19.130</t>
  </si>
  <si>
    <t>Nhựa đường nhét khe</t>
  </si>
  <si>
    <t>19.131</t>
  </si>
  <si>
    <t>Quét nhựa đường sau mố (quét 2 lớp)</t>
  </si>
  <si>
    <t>19.132</t>
  </si>
  <si>
    <t>Bê tông cọc khoan nhồi  trên cạn 30MPa đường kính D&lt;=1,0 (trong ô.vách)</t>
  </si>
  <si>
    <t>19.133</t>
  </si>
  <si>
    <t>19.134</t>
  </si>
  <si>
    <t>19.135</t>
  </si>
  <si>
    <t>Cốt thép cọc khoan nhồi D&lt;=18 cạn</t>
  </si>
  <si>
    <t>19.136</t>
  </si>
  <si>
    <t>Cốt thép cọc khoan nhồi D&gt;18 cạn</t>
  </si>
  <si>
    <t>19.137</t>
  </si>
  <si>
    <t>Thép thép bản</t>
  </si>
  <si>
    <t>19.138</t>
  </si>
  <si>
    <t>Lắp đặt thép  bản</t>
  </si>
  <si>
    <t>19.139</t>
  </si>
  <si>
    <t>Khoan tạo lỗ D1,0 vào đất thường chiều dài khoan &lt;=30m trên cạn</t>
  </si>
  <si>
    <t>19.140</t>
  </si>
  <si>
    <t>Khoan tạo lỗ D1,0 vào đất sét dẻo, cát chiều dài khoan &lt;=30m (hệ số x1,2) trên cạn</t>
  </si>
  <si>
    <t>19.141</t>
  </si>
  <si>
    <t>Khoan tạo lỗ D1,0 vào đất sét dẻo, cát chiều dài khoan &gt;30m (hệ số x1,2x1,015) trên cạn</t>
  </si>
  <si>
    <t>19.142</t>
  </si>
  <si>
    <t>Khoan tạo lỗ vào đá  C4 trên cạn cọc D1,0m, chiều dài khoan &gt;30m (hệ số x1,015)</t>
  </si>
  <si>
    <t>19.143</t>
  </si>
  <si>
    <t>Bơm dung dịch betonit trên cạn</t>
  </si>
  <si>
    <t>19.144</t>
  </si>
  <si>
    <t>Phun vữa bịt ống thăm dò</t>
  </si>
  <si>
    <t>19.145</t>
  </si>
  <si>
    <t>Lắp đặt ống thép D58,7/65,1</t>
  </si>
  <si>
    <t>19.146</t>
  </si>
  <si>
    <t>Lắp đặt ống thép D107,3/114,3</t>
  </si>
  <si>
    <t>19.147</t>
  </si>
  <si>
    <t>Nắp đậy ống D58,7/D65,1</t>
  </si>
  <si>
    <t>19.148</t>
  </si>
  <si>
    <t>Nắp đậy của ống D107,3/D114,3</t>
  </si>
  <si>
    <t>19.149</t>
  </si>
  <si>
    <t>Ống nối của ống D58,7/D65,1</t>
  </si>
  <si>
    <t>19.150</t>
  </si>
  <si>
    <t>Ống nối của ống D107,3/D114,3</t>
  </si>
  <si>
    <t>19.151</t>
  </si>
  <si>
    <t>Cóc nối</t>
  </si>
  <si>
    <t>19.152</t>
  </si>
  <si>
    <t>sản xuất ống vách thép</t>
  </si>
  <si>
    <t>19.153</t>
  </si>
  <si>
    <t>Khấu hao ống vách thép M1 trái l/c sang M1 phải</t>
  </si>
  <si>
    <t>19.154</t>
  </si>
  <si>
    <t>Khấu hao ống vách thép M2 trái l/c sang M2 phải</t>
  </si>
  <si>
    <t>19.155</t>
  </si>
  <si>
    <t>Khấu hao ống vách thép T1 trái l/c sang T1 phải</t>
  </si>
  <si>
    <t>19.156</t>
  </si>
  <si>
    <t>Khấu hao ống vách thép T2 trái l/c sang T2 phải</t>
  </si>
  <si>
    <t>19.157</t>
  </si>
  <si>
    <t>Đập BT đầu cọc</t>
  </si>
  <si>
    <t>19.158</t>
  </si>
  <si>
    <t>Đào xúc đất bằng máy đào 1,25m3 - Cấp đất IV</t>
  </si>
  <si>
    <t>19.159</t>
  </si>
  <si>
    <t>Vận chuyển đất không thích hợp, cự ly 4,5km</t>
  </si>
  <si>
    <t>19.160</t>
  </si>
  <si>
    <t>Vận chuyển phế thải, cự ly 4,5km</t>
  </si>
  <si>
    <t>19.161</t>
  </si>
  <si>
    <t>Thí nghiệm siêu âm chất lượng cọc KN</t>
  </si>
  <si>
    <t>1 mặt cắt siêu âm/ 1 lần thí nghiệm</t>
  </si>
  <si>
    <t>19.162</t>
  </si>
  <si>
    <t>Khoan kiểm tra mùn mũi cọc</t>
  </si>
  <si>
    <t>cọc</t>
  </si>
  <si>
    <t>19.163</t>
  </si>
  <si>
    <t>Thí nghiệm PDA cọc khoan nhồi D=1,0m</t>
  </si>
  <si>
    <t>lần TN/1 cọc</t>
  </si>
  <si>
    <t>19.164</t>
  </si>
  <si>
    <t>Bêtông cọc khoan nhồi 30MPa cạn</t>
  </si>
  <si>
    <t>19.165</t>
  </si>
  <si>
    <t>19.166</t>
  </si>
  <si>
    <t>19.167</t>
  </si>
  <si>
    <t>19.168</t>
  </si>
  <si>
    <t>19.169</t>
  </si>
  <si>
    <t>19.170</t>
  </si>
  <si>
    <t>19.171</t>
  </si>
  <si>
    <t>19.172</t>
  </si>
  <si>
    <t>19.173</t>
  </si>
  <si>
    <t>19.174</t>
  </si>
  <si>
    <t>19.175</t>
  </si>
  <si>
    <t>Vận chuyển đất, đất cấp IV</t>
  </si>
  <si>
    <t>19.176</t>
  </si>
  <si>
    <t>19.177</t>
  </si>
  <si>
    <t>Khấu hao ống vách thép</t>
  </si>
  <si>
    <t>19.178</t>
  </si>
  <si>
    <t>Sản xuất kết cấu thép PVTC (1 đơn nguyên mố M1 rồi luân chuyển sang các mố trụ còn lại)</t>
  </si>
  <si>
    <t>19.179</t>
  </si>
  <si>
    <t>Khấu hao thép PVTC Mố M1 trái</t>
  </si>
  <si>
    <t>19.180</t>
  </si>
  <si>
    <t>Khấu hao thép PVTC Mố M1 phải</t>
  </si>
  <si>
    <t>19.181</t>
  </si>
  <si>
    <t>Khấu hao thép PVTC Mố M2 trái</t>
  </si>
  <si>
    <t>19.182</t>
  </si>
  <si>
    <t>Khấu hao thép PVTC Mố M2 phải</t>
  </si>
  <si>
    <t>19.183</t>
  </si>
  <si>
    <t>Khấu hao thép PVTC Trụ T1 trái</t>
  </si>
  <si>
    <t>19.184</t>
  </si>
  <si>
    <t>Khấu hao thép PVTC Trụ T1 phải</t>
  </si>
  <si>
    <t>19.185</t>
  </si>
  <si>
    <t>Khấu hao thép PVTC Trụ T2 trái</t>
  </si>
  <si>
    <t>19.186</t>
  </si>
  <si>
    <t>Khấu hao thép PVTC Trụ T2 phải</t>
  </si>
  <si>
    <t>19.187</t>
  </si>
  <si>
    <t>Lắp dựng hệ kết cấu thép PVTC</t>
  </si>
  <si>
    <t>19.188</t>
  </si>
  <si>
    <t>Tháo dỡ kết cấu thép PVTC</t>
  </si>
  <si>
    <t>19.189</t>
  </si>
  <si>
    <t>Khấu hao cọc ván thép trụ T1 trái, luân chuyển sang T2 trái</t>
  </si>
  <si>
    <t>19.190</t>
  </si>
  <si>
    <t>Khấu hao cọc ván thép trụ T1 phải, luân chuyển sang T2 phải</t>
  </si>
  <si>
    <t>19.191</t>
  </si>
  <si>
    <t>Đóng cọc ván thép (phần ngập đất)</t>
  </si>
  <si>
    <t>19.192</t>
  </si>
  <si>
    <t>Đóng cọc ván thép (phần ko ngập đất x0,75)</t>
  </si>
  <si>
    <t>19.193</t>
  </si>
  <si>
    <t>Nhổ cọc ván thép</t>
  </si>
  <si>
    <t>19.194</t>
  </si>
  <si>
    <t>Đào đất hố móng bằng máy đất C2</t>
  </si>
  <si>
    <t>19.195</t>
  </si>
  <si>
    <t>San ủi mặt bằng</t>
  </si>
  <si>
    <t>19.196</t>
  </si>
  <si>
    <t>Đắp đất hố móng bằng máy K95</t>
  </si>
  <si>
    <t>19.197</t>
  </si>
  <si>
    <t>Bê tông móng SX bằng máy trộn, đổ bằng thủ công, rộng ≤250cm, M300, đá 1x2, PCB40</t>
  </si>
  <si>
    <t>19.198</t>
  </si>
  <si>
    <t>Bê tông tạo phẳng ngăn nước 16Mpa</t>
  </si>
  <si>
    <t>19.199</t>
  </si>
  <si>
    <t>19.200</t>
  </si>
  <si>
    <t>19.201</t>
  </si>
  <si>
    <t>19.202</t>
  </si>
  <si>
    <t>Đắp vật liệu dạng hạt K98</t>
  </si>
  <si>
    <t>19.203</t>
  </si>
  <si>
    <t>Đắp đất nền đường K95 bằng máy</t>
  </si>
  <si>
    <t>19.204</t>
  </si>
  <si>
    <t>Đào đất nền đường bằng máy</t>
  </si>
  <si>
    <t>19.205</t>
  </si>
  <si>
    <t>Đào đất chân khay</t>
  </si>
  <si>
    <t>19.206</t>
  </si>
  <si>
    <t>19.207</t>
  </si>
  <si>
    <t>Bê tông mái ta luy 20MPa</t>
  </si>
  <si>
    <t>19.208</t>
  </si>
  <si>
    <t>19.209</t>
  </si>
  <si>
    <t>19.210</t>
  </si>
  <si>
    <t>19.211</t>
  </si>
  <si>
    <t>Vữa bê tông</t>
  </si>
  <si>
    <t>19.212</t>
  </si>
  <si>
    <t>Đào gia tải</t>
  </si>
  <si>
    <t>19.213</t>
  </si>
  <si>
    <t>Dỡ gia tải (Chuyển sang bên tuyến)</t>
  </si>
  <si>
    <t>19.214</t>
  </si>
  <si>
    <t>Bê tông tấm BTCT 20MPa</t>
  </si>
  <si>
    <t>19.215</t>
  </si>
  <si>
    <t>19.216</t>
  </si>
  <si>
    <t>19.217</t>
  </si>
  <si>
    <t>Lắp đặt tấm BTCT</t>
  </si>
  <si>
    <t>19.218</t>
  </si>
  <si>
    <t>Bốc xếp cấu kiện bê tông đúc sẵn có trọng lượng P≤200kg cần cẩu - Bốc xếp lên</t>
  </si>
  <si>
    <t>19.219</t>
  </si>
  <si>
    <t>Bốc xếp cấu kiện bê tông đúc sẵn có trọng lượng P≤200kg cần cẩu - Bốc xếp xuống</t>
  </si>
  <si>
    <t>19.220</t>
  </si>
  <si>
    <t>19.221</t>
  </si>
  <si>
    <t>Bê tông tấm đan rãnh 20Mpa</t>
  </si>
  <si>
    <t>19.222</t>
  </si>
  <si>
    <t>Bê tông lót bó vỉa 8Mpa</t>
  </si>
  <si>
    <t>19.223</t>
  </si>
  <si>
    <t>19.224</t>
  </si>
  <si>
    <t>Vữa đệm 8Mpa</t>
  </si>
  <si>
    <t>19.225</t>
  </si>
  <si>
    <t>Bê tông móng SX bằng máy trộn, đổ bằng thủ công, rộng &gt;250cm, M200, đá 1x2, PCB40</t>
  </si>
  <si>
    <t>19.226</t>
  </si>
  <si>
    <t>Ván khuôn bê tông chân khay</t>
  </si>
  <si>
    <t>19.227</t>
  </si>
  <si>
    <t>19.228</t>
  </si>
  <si>
    <t>Ván khuôn móng băng, móng bè, bệ máy</t>
  </si>
  <si>
    <t>19.229</t>
  </si>
  <si>
    <t>Bê tông m200</t>
  </si>
  <si>
    <t>19.230</t>
  </si>
  <si>
    <t>Vải địa kĩ thuật 12KN/m</t>
  </si>
  <si>
    <t>19.231</t>
  </si>
  <si>
    <t>Đóng cọc tre</t>
  </si>
  <si>
    <t>19.232</t>
  </si>
  <si>
    <t>19.233</t>
  </si>
  <si>
    <t>19.234</t>
  </si>
  <si>
    <t>19.235</t>
  </si>
  <si>
    <t>Tưới nhựa dính bám 1kg/m2</t>
  </si>
  <si>
    <t>19.236</t>
  </si>
  <si>
    <t>Đắp đất nền đường K98</t>
  </si>
  <si>
    <t>19.237</t>
  </si>
  <si>
    <t>Cấp phối đá dăm loại 1</t>
  </si>
  <si>
    <t>19.238</t>
  </si>
  <si>
    <t>Cấp phối đá dăm loại 2</t>
  </si>
  <si>
    <t>19.239</t>
  </si>
  <si>
    <t>Bê tông tấm BTCT 25MPa</t>
  </si>
  <si>
    <t>19.240</t>
  </si>
  <si>
    <t>19.241</t>
  </si>
  <si>
    <t>Ray P43</t>
  </si>
  <si>
    <t>kg</t>
  </si>
  <si>
    <t>19.242</t>
  </si>
  <si>
    <t>Đá dăm cấp phối loại 2</t>
  </si>
  <si>
    <t>19.243</t>
  </si>
  <si>
    <t>Đắp đất K90</t>
  </si>
  <si>
    <t>19.244</t>
  </si>
  <si>
    <t>19.245</t>
  </si>
  <si>
    <t>19.246</t>
  </si>
  <si>
    <t>19.247</t>
  </si>
  <si>
    <t>19.248</t>
  </si>
  <si>
    <t>19.249</t>
  </si>
  <si>
    <t>19.250</t>
  </si>
  <si>
    <t>19.251</t>
  </si>
  <si>
    <t>19.252</t>
  </si>
  <si>
    <t>19.253</t>
  </si>
  <si>
    <t>19.254</t>
  </si>
  <si>
    <t>Đào đất dọn dẹp mặt bằng thi công</t>
  </si>
  <si>
    <t>19.255</t>
  </si>
  <si>
    <t>ĐẢM BẢO AN TOÀN GIAO THÔNG TRONG QUÁ TRÌNH THI CÔNG ĐƯỜNG, CỐNG THOÁT NƯỚC</t>
  </si>
  <si>
    <t>20.1</t>
  </si>
  <si>
    <t>Lắp đặt biển báo tam giác D700</t>
  </si>
  <si>
    <t>20.2</t>
  </si>
  <si>
    <t>Biển chữ nhật 440</t>
  </si>
  <si>
    <t>20.3</t>
  </si>
  <si>
    <t>Biển chữ nhật 441</t>
  </si>
  <si>
    <t>20.4</t>
  </si>
  <si>
    <t>Biển chữ nhật</t>
  </si>
  <si>
    <t>20.5</t>
  </si>
  <si>
    <t>Giá đỡ liên hợp</t>
  </si>
  <si>
    <t>20.6</t>
  </si>
  <si>
    <t>Hàng rào cọc tiêu ống nhựa D80, L=1.2m</t>
  </si>
  <si>
    <t>20.7</t>
  </si>
  <si>
    <t>Cuộn rào cảnh báo</t>
  </si>
  <si>
    <t>20.8</t>
  </si>
  <si>
    <t>Bê tông tấm đan C12, đá 1x2</t>
  </si>
  <si>
    <t>20.9</t>
  </si>
  <si>
    <t>Công trực đảm bảo giao thông</t>
  </si>
  <si>
    <t>công</t>
  </si>
  <si>
    <t>20.10</t>
  </si>
  <si>
    <t>Bộ đàm cầm tay</t>
  </si>
  <si>
    <t>20.11</t>
  </si>
  <si>
    <t>Đèn pin ban đêm</t>
  </si>
  <si>
    <t>20.12</t>
  </si>
  <si>
    <t>Gậy đảm bảo ATGT</t>
  </si>
  <si>
    <t>20.13</t>
  </si>
  <si>
    <t>Còi</t>
  </si>
  <si>
    <t>20.14</t>
  </si>
  <si>
    <t>Áo phản quang</t>
  </si>
  <si>
    <t>20.15</t>
  </si>
  <si>
    <t>Đèn chỉ huỷ</t>
  </si>
  <si>
    <t>ĐẢM BẢO GIAO THÔNG THỦY</t>
  </si>
  <si>
    <t>21.1</t>
  </si>
  <si>
    <t>Đèn báo hiệu gắn trên cầu</t>
  </si>
  <si>
    <t>21.2</t>
  </si>
  <si>
    <t>Biển báo 40x40cm</t>
  </si>
  <si>
    <t>21.3</t>
  </si>
  <si>
    <t>Biển báo 120x120cm</t>
  </si>
  <si>
    <t>21.4</t>
  </si>
  <si>
    <t>Lắp đặt biển báo gắn trên cầu</t>
  </si>
  <si>
    <t>21.5</t>
  </si>
  <si>
    <t>Sơn thước nước</t>
  </si>
  <si>
    <t>21.6</t>
  </si>
  <si>
    <t>Cung cấp phao D800</t>
  </si>
  <si>
    <t>21.7</t>
  </si>
  <si>
    <t>Thả phao ĐK phao 0,8m</t>
  </si>
  <si>
    <t>21.8</t>
  </si>
  <si>
    <t>Trục phao ĐK phao 0,8m</t>
  </si>
  <si>
    <t>21.9</t>
  </si>
  <si>
    <t>21.10</t>
  </si>
  <si>
    <t>Biển báo 120x170cm</t>
  </si>
  <si>
    <t>21.11</t>
  </si>
  <si>
    <t>21.12</t>
  </si>
  <si>
    <t>Cột biển báo (KH</t>
  </si>
  <si>
    <t>21.13</t>
  </si>
  <si>
    <t>Lắp đặt cột biển báo</t>
  </si>
  <si>
    <t>CHI PHÍ BẢO HIỂM</t>
  </si>
  <si>
    <t>22.1</t>
  </si>
  <si>
    <t>Chi phí bảo hiểm thi công phần đường, hệ thống thoát nước</t>
  </si>
  <si>
    <t>Khoản</t>
  </si>
  <si>
    <t>22.2</t>
  </si>
  <si>
    <t>Chi phí bảo hiểm thi công phần cầu</t>
  </si>
  <si>
    <t>CHI PHÍ DỰ PHÒNG (6,67%*CPXD)</t>
  </si>
  <si>
    <t>PHỤ LỤC 1: BẢNG TÔNG HỢP KHỐI LƯỢNG, ĐƠN GIÁ, GIÁ TRỊ HỢP ĐỒNG
(Phụ lục kèm theo hợp đồng thi công xây dựng số: 12/06/2023 /HĐTCXD ngày 12/6/2023
GÓI THẦU 06: THI CÔNG XÂY DỰNG + BẢO HIỂM CÔNG TRÌNH
THUỘC DỰ ÁN: ĐƯỜNG TỪ QUỐC LỘ 10 ĐI KHU DU LỊCH HẢI TIẾN, HUYỆN HOĂNG HÓA (GIAI ĐOẠN I)</t>
  </si>
  <si>
    <t>Nội Dung Công Việc</t>
  </si>
  <si>
    <t>Khối lượng</t>
  </si>
  <si>
    <t>Đơn giá hợp đồng</t>
  </si>
  <si>
    <t>Thành Tiền</t>
  </si>
  <si>
    <t>Tổng cộng</t>
  </si>
  <si>
    <t>Công ty Tuấn Linh</t>
  </si>
  <si>
    <t>Công ty Hoàng Tuấn</t>
  </si>
  <si>
    <t>TL</t>
  </si>
  <si>
    <t>HT</t>
  </si>
  <si>
    <t>TL+HT</t>
  </si>
  <si>
    <t>TỔNG CỘNG (LÀM TRÒN)</t>
  </si>
  <si>
    <t>Tỷ lệ</t>
  </si>
  <si>
    <t>Ghi chú:</t>
  </si>
  <si>
    <t>- Công ty cổ phần đầu tư và xây dựng Tuấn Linh đảm nhận thi công xây dựng các hạng mục công việc của đoạn tuyến thuộc địa phận thị trấn Bút Sơn (từ Km0+00 – Km2+783,03)</t>
  </si>
  <si>
    <t>- Công ty TNHH Hoàng Tuấn đảm nhận thi công xây dựng các hạng mục công việc của đoạn tuyến thuộc địa phận các xã Hoằng Đạt, Hoằng Hà, Hoằng Yến (từ Km2+783,03 – Km5+0.00)</t>
  </si>
  <si>
    <t>ĐẠI DIỆN BÊN GIAO THẦU</t>
  </si>
  <si>
    <t>ĐẠI DIỆN BÊN NHẬN THẦU</t>
  </si>
  <si>
    <t>BAN QLDA ĐTXD HUYỆN HOẰNG HÓA
GIÁM ĐỐC</t>
  </si>
  <si>
    <t>CÔNG TY CP ĐT&amp;XD TUẤN LINH
GIÁM ĐỐC</t>
  </si>
  <si>
    <t>CÔNG TY TNHH HOÀNG TUẤN
GIÁM ĐỐC</t>
  </si>
  <si>
    <t>NGUYỄN VĂN TÚ</t>
  </si>
  <si>
    <t>HOÀNG KHẮC NAM</t>
  </si>
  <si>
    <t>NGUYỄN DUY NỞ</t>
  </si>
  <si>
    <t>Đơn vị</t>
  </si>
  <si>
    <t>Đơn giá</t>
  </si>
  <si>
    <t>Hợp đồng số 12/06/2023/HĐTCXD ngày 12/6/2023</t>
  </si>
  <si>
    <t>Quyết định điều chỉnh TKBVTC-DT, số 5892/QĐ-UBND, ngày 31/12/2024</t>
  </si>
  <si>
    <t>Biên bản xác nhận số liệu và tình hình kiểm toán ngày 21/5/2025</t>
  </si>
  <si>
    <t xml:space="preserve">Điều chỉnh, bổ sung
(lần này) theo QĐ số 408/QĐ-BQLDANN, ngày 11/9/2026 và số 422/QĐ-BQLDANN ngày 16/9/2026 </t>
  </si>
  <si>
    <t>Sau điều chỉnh, 
bổ sung</t>
  </si>
  <si>
    <t>Theo Hợp đồng</t>
  </si>
  <si>
    <t>Điều chỉnh, bổ sung</t>
  </si>
  <si>
    <t>A</t>
  </si>
  <si>
    <t>THÀNH VIÊN ĐỨNG ĐẦU LIÊN DANH: CÔNG TY CỔ PHẦN ĐẦU TƯ VÀ XÂY DỰNG TUẤN LINH</t>
  </si>
  <si>
    <t>Rải thảm mặt đường bê tông nhựa Loại C16-Chiều dày mặt đường đã lèn ép 6cm</t>
  </si>
  <si>
    <t>2.22</t>
  </si>
  <si>
    <t>Đào hữu cơ</t>
  </si>
  <si>
    <t>2.25</t>
  </si>
  <si>
    <t>Đào thay K95</t>
  </si>
  <si>
    <t>2.28</t>
  </si>
  <si>
    <t>2.29</t>
  </si>
  <si>
    <t>2.30</t>
  </si>
  <si>
    <t>2.31</t>
  </si>
  <si>
    <t>2.32</t>
  </si>
  <si>
    <t>Đào đất không thích hợp</t>
  </si>
  <si>
    <t>2.33</t>
  </si>
  <si>
    <t>2.34</t>
  </si>
  <si>
    <t>Đắp cát K95</t>
  </si>
  <si>
    <t>2.35</t>
  </si>
  <si>
    <t>Rải vải đại kỹ thuật 12KN/m</t>
  </si>
  <si>
    <t>CỐNG THOÁT NƯỚC (ĐOẠN QUA ĐỊA PHẬN TT BÚT SƠN)</t>
  </si>
  <si>
    <t>Tường chắn đất</t>
  </si>
  <si>
    <t>Bê tông lót C10</t>
  </si>
  <si>
    <t>Trát vữa XM C8 dày 1,5cm</t>
  </si>
  <si>
    <t xml:space="preserve">Giá trị bù trượt giá theo Quyết định số 422/QĐ-BQLDANN ngày 16/9/2026 </t>
  </si>
  <si>
    <t>Giảm thuế VAT theo nghị định</t>
  </si>
  <si>
    <t>B</t>
  </si>
  <si>
    <t>THÀNH VIÊN LIÊN DANH: CÔNG TY TNHH HOÀNG TUẤN</t>
  </si>
  <si>
    <t>KL QĐ 5892 (cột F) lấy từ dòng 728 file GT phát sinh</t>
  </si>
  <si>
    <t>KL QĐ 5892 (cột F) lấy từ dòng 729 file GT phát sinh</t>
  </si>
  <si>
    <t>KL QĐ 5892 (cột F) lấy từ dòng 730 file GT phát sinh</t>
  </si>
  <si>
    <t>13.90a</t>
  </si>
  <si>
    <t>Đào đất C1</t>
  </si>
  <si>
    <t>Khác đơn giá HĐ (20,867) - dòng 763 file GT phát sinh</t>
  </si>
  <si>
    <t>13.91a</t>
  </si>
  <si>
    <t>Đắp đất K95</t>
  </si>
  <si>
    <t>Trùng ĐG nhưng khác tên dòng HĐ 13.91 - dòng file GT phát sinh: 764</t>
  </si>
  <si>
    <t>13.91b</t>
  </si>
  <si>
    <t>Đắp đầu cống K95</t>
  </si>
  <si>
    <t>Trùng ĐG nhưng khác tên dòng HĐ 13.91 - dòng file GT phát sinh: 765</t>
  </si>
  <si>
    <t>KL QĐ 5892 (cột F) lấy từ dòng 766 file GT phát sinh</t>
  </si>
  <si>
    <t>KL QĐ 5892 (cột F) lấy từ dòng 767 file GT phát sinh</t>
  </si>
  <si>
    <t>13.102a</t>
  </si>
  <si>
    <t>Trùng ĐG nhưng khác tên dòng HĐ 13.102 - dòng file GT phát sinh: 769</t>
  </si>
  <si>
    <t>Thân cống</t>
  </si>
  <si>
    <t>13.104</t>
  </si>
  <si>
    <t>Ngoài PL đơn giá HĐ - dòng 918 file GT phát sinh (Thân cống)</t>
  </si>
  <si>
    <t>13.105</t>
  </si>
  <si>
    <t>Ngoài PL đơn giá HĐ - dòng 919 file GT phát sinh (Thân cống)</t>
  </si>
  <si>
    <t>13.106</t>
  </si>
  <si>
    <t>Vận chuyển vữa bê tông bằng ô tô chuyển trộn 10,7m3, phạm vi ≤4km</t>
  </si>
  <si>
    <t>Ngoài PL đơn giá HĐ - dòng 920 file GT phát sinh (Thân cống)</t>
  </si>
  <si>
    <t>13.107</t>
  </si>
  <si>
    <t>Vận chuyển vữa bê tông bằng ô tô chuyển trộn 10,7m3; vận chuyển 5,4km tiếp theo</t>
  </si>
  <si>
    <t>Ngoài PL đơn giá HĐ - dòng 921 file GT phát sinh (Thân cống)</t>
  </si>
  <si>
    <t>13.108</t>
  </si>
  <si>
    <t>Ngoài PL đơn giá HĐ - dòng 922 file GT phát sinh (Thân cống)</t>
  </si>
  <si>
    <t>13.109</t>
  </si>
  <si>
    <t>Ngoài PL đơn giá HĐ - dòng 923 file GT phát sinh (Thân cống)</t>
  </si>
  <si>
    <t>13.110</t>
  </si>
  <si>
    <t>Bê tông móng cống 10Mpa</t>
  </si>
  <si>
    <t>Ngoài PL đơn giá HĐ - dòng 925 file GT phát sinh (Thân cống)</t>
  </si>
  <si>
    <t>13.111</t>
  </si>
  <si>
    <t>Ngoài PL đơn giá HĐ - dòng 926 file GT phát sinh (Thân cống)</t>
  </si>
  <si>
    <t>13.112</t>
  </si>
  <si>
    <t>Ngoài PL đơn giá HĐ - dòng 927 file GT phát sinh (Thân cống)</t>
  </si>
  <si>
    <t>13.113</t>
  </si>
  <si>
    <t>Ngoài PL đơn giá HĐ - dòng 928 file GT phát sinh (Thân cống)</t>
  </si>
  <si>
    <t>Mối nối cống</t>
  </si>
  <si>
    <t>13.114</t>
  </si>
  <si>
    <t>Ngoài PL đơn giá HĐ - dòng 930 file GT phát sinh (Mối nối cống)</t>
  </si>
  <si>
    <t>13.115</t>
  </si>
  <si>
    <t>Chốt thép D25</t>
  </si>
  <si>
    <t>Ngoài PL đơn giá HĐ - dòng 931 file GT phát sinh (Mối nối cống)</t>
  </si>
  <si>
    <t>13.116</t>
  </si>
  <si>
    <t>Ngoài PL đơn giá HĐ - dòng 932 file GT phát sinh (Mối nối cống)</t>
  </si>
  <si>
    <t>13.117</t>
  </si>
  <si>
    <t>Lắp đặt ống nhựa PVC D34</t>
  </si>
  <si>
    <t>Ngoài PL đơn giá HĐ - dòng 933 file GT phát sinh (Mối nối cống)</t>
  </si>
  <si>
    <t>13.118</t>
  </si>
  <si>
    <t>Tấm đệm đàn hồi</t>
  </si>
  <si>
    <t>Ngoài PL đơn giá HĐ - dòng 934 file GT phát sinh (Mối nối cống)</t>
  </si>
  <si>
    <t>13.119</t>
  </si>
  <si>
    <t>Tấm ngăn nước O200</t>
  </si>
  <si>
    <t>Ngoài PL đơn giá HĐ - dòng 935 file GT phát sinh (Mối nối cống)</t>
  </si>
  <si>
    <t>Móng cống</t>
  </si>
  <si>
    <t>13.120</t>
  </si>
  <si>
    <t>Ngoài PL đơn giá HĐ - dòng 937 file GT phát sinh (Móng cống)</t>
  </si>
  <si>
    <t>13.121</t>
  </si>
  <si>
    <t>Ngoài PL đơn giá HĐ - dòng 938 file GT phát sinh (Móng cống)</t>
  </si>
  <si>
    <t>13.122</t>
  </si>
  <si>
    <t>Ngoài PL đơn giá HĐ - dòng 939 file GT phát sinh (Móng cống)</t>
  </si>
  <si>
    <t>13.123</t>
  </si>
  <si>
    <t>Ngoài PL đơn giá HĐ - dòng 940 file GT phát sinh (Móng cống)</t>
  </si>
  <si>
    <t>13.124</t>
  </si>
  <si>
    <t>Ngoài PL đơn giá HĐ - dòng 941 file GT phát sinh (Móng cống)</t>
  </si>
  <si>
    <t>13.125</t>
  </si>
  <si>
    <t>Ngoài PL đơn giá HĐ - dòng 942 file GT phát sinh (Móng cống)</t>
  </si>
  <si>
    <t>13.126</t>
  </si>
  <si>
    <t>Ngoài PL đơn giá HĐ - dòng 943 file GT phát sinh (Móng cống)</t>
  </si>
  <si>
    <t>Bản nắp</t>
  </si>
  <si>
    <t>13.127</t>
  </si>
  <si>
    <t>Ngoài PL đơn giá HĐ - dòng 945 file GT phát sinh (Bản nắp)</t>
  </si>
  <si>
    <t>13.128</t>
  </si>
  <si>
    <t>Ngoài PL đơn giá HĐ - dòng 946 file GT phát sinh (Bản nắp)</t>
  </si>
  <si>
    <t>13.129</t>
  </si>
  <si>
    <t>Ngoài PL đơn giá HĐ - dòng 947 file GT phát sinh (Bản nắp)</t>
  </si>
  <si>
    <t>13.130</t>
  </si>
  <si>
    <t>Ngoài PL đơn giá HĐ - dòng 948 file GT phát sinh (Bản nắp)</t>
  </si>
  <si>
    <t>13.131</t>
  </si>
  <si>
    <t>Ngoài PL đơn giá HĐ - dòng 949 file GT phát sinh (Bản nắp)</t>
  </si>
  <si>
    <t>13.132</t>
  </si>
  <si>
    <t>Cốt thép bản nắp D&lt;18</t>
  </si>
  <si>
    <t>Ngoài PL đơn giá HĐ - dòng 950 file GT phát sinh (Bản nắp)</t>
  </si>
  <si>
    <t>13.133</t>
  </si>
  <si>
    <t>Ngoài PL đơn giá HĐ - dòng 951 file GT phát sinh (Bản nắp)</t>
  </si>
  <si>
    <t>Phần cửa cống</t>
  </si>
  <si>
    <t>13.134</t>
  </si>
  <si>
    <t>Ngoài PL đơn giá HĐ - dòng 953 file GT phát sinh (Phần cửa cống)</t>
  </si>
  <si>
    <t>13.135</t>
  </si>
  <si>
    <t>Ngoài PL đơn giá HĐ - dòng 954 file GT phát sinh (Phần cửa cống)</t>
  </si>
  <si>
    <t>13.136</t>
  </si>
  <si>
    <t>Ngoài PL đơn giá HĐ - dòng 955 file GT phát sinh (Phần cửa cống)</t>
  </si>
  <si>
    <t>13.137</t>
  </si>
  <si>
    <t>Ngoài PL đơn giá HĐ - dòng 956 file GT phát sinh (Phần cửa cống)</t>
  </si>
  <si>
    <t>13.138</t>
  </si>
  <si>
    <t>Ván khuôn tường</t>
  </si>
  <si>
    <t>Ngoài PL đơn giá HĐ - dòng 957 file GT phát sinh (Phần cửa cống)</t>
  </si>
  <si>
    <t>Các hạng mục khác</t>
  </si>
  <si>
    <t>13.139</t>
  </si>
  <si>
    <t>Ngoài PL đơn giá HĐ - dòng 959 file GT phát sinh (Các hạng mục khác)</t>
  </si>
  <si>
    <t>13.140</t>
  </si>
  <si>
    <t>Ngoài PL đơn giá HĐ - dòng 960 file GT phát sinh (Các hạng mục khác)</t>
  </si>
  <si>
    <t>13.141</t>
  </si>
  <si>
    <t>Đắp cấp phối vật liệu K&gt;=0,95</t>
  </si>
  <si>
    <t>Ngoài PL đơn giá HĐ - dòng 961 file GT phát sinh (Các hạng mục khác)</t>
  </si>
  <si>
    <t>13.142</t>
  </si>
  <si>
    <t>Vải địa kỹ thuật 12KN/m</t>
  </si>
  <si>
    <t>Ngoài PL đơn giá HĐ - dòng 962 file GT phát sinh (Các hạng mục khác)</t>
  </si>
  <si>
    <t>13.143</t>
  </si>
  <si>
    <t>Ngoài PL đơn giá HĐ - dòng 963 file GT phát sinh (Các hạng mục khác)</t>
  </si>
  <si>
    <t>13.144</t>
  </si>
  <si>
    <t>Vận chuyển đất bằng ô tô tự đổ 10T, phạm vi ≤1000m - Cấp đất II</t>
  </si>
  <si>
    <t>Ngoài PL đơn giá HĐ - dòng 966 file GT phát sinh (Các hạng mục khác)</t>
  </si>
  <si>
    <t>13.145</t>
  </si>
  <si>
    <t>Vận chuyển đất 1km tiếp theo bằng ô tô tự đổ 10T, trong phạm vi ≤5km - Cấp đất II</t>
  </si>
  <si>
    <t>100m3/1km</t>
  </si>
  <si>
    <t>Ngoài PL đơn giá HĐ - dòng 967 file GT phát sinh (Các hạng mục khác)</t>
  </si>
  <si>
    <t>13.146</t>
  </si>
  <si>
    <t>Vận chuyển đất 1km tiếp theo bằng ô tô tự đổ 10T, ngoài phạm vi 0,672km - Cấp đất II</t>
  </si>
  <si>
    <t>Ngoài PL đơn giá HĐ - dòng 968 file GT phát sinh (Các hạng mục khác)</t>
  </si>
  <si>
    <t>KL QĐ 5892 (cột F) lấy từ dòng 741, 806 file GT phát sinh</t>
  </si>
  <si>
    <t>KL QĐ 5892 (cột F) lấy từ dòng 742, 807 file GT phát sinh</t>
  </si>
  <si>
    <t>KL QĐ 5892 (cột F) lấy từ dòng 743, 808 file GT phát sinh</t>
  </si>
  <si>
    <t>KL QĐ 5892 (cột F) lấy từ dòng 744, 809 file GT phát sinh</t>
  </si>
  <si>
    <t>KL QĐ 5892 (cột F) lấy từ dòng 745, 810 file GT phát sinh</t>
  </si>
  <si>
    <t>KL QĐ 5892 (cột F) lấy từ dòng 746, 811 file GT phát sinh</t>
  </si>
  <si>
    <t>KL QĐ 5892 (cột F) lấy từ dòng 747, 812 file GT phát sinh</t>
  </si>
  <si>
    <t>14.16a</t>
  </si>
  <si>
    <t>Trùng ĐG nhưng khác tên dòng HĐ 14.16 - dòng file GT phát sinh: 748, 813</t>
  </si>
  <si>
    <t>KL QĐ 5892 (cột F) lấy từ dòng 733, 794 file GT phát sinh</t>
  </si>
  <si>
    <t>KL QĐ 5892 (cột F) lấy từ dòng 734, 795, 817, 818 file GT phát sinh</t>
  </si>
  <si>
    <t>KL QĐ 5892 (cột F) lấy từ dòng 735, 796 file GT phát sinh</t>
  </si>
  <si>
    <t>14.27a</t>
  </si>
  <si>
    <t>Trùng ĐG nhưng khác tên dòng HĐ 14.27 - dòng file GT phát sinh: 736, 798</t>
  </si>
  <si>
    <t>14.28a</t>
  </si>
  <si>
    <t>Trùng ĐG nhưng khác tên dòng HĐ 14.28 - dòng file GT phát sinh: 737, 799</t>
  </si>
  <si>
    <t>KL QĐ 5892 (cột F) lấy từ dòng 738, 800, 821 file GT phát sinh</t>
  </si>
  <si>
    <t>14.30a</t>
  </si>
  <si>
    <t>Trùng ĐG nhưng khác tên dòng HĐ 14.30 - dòng file GT phát sinh: 739, 801</t>
  </si>
  <si>
    <t>14.40a</t>
  </si>
  <si>
    <t>Khác đơn giá HĐ (96,763) - dòng 825 file GT phát sinh</t>
  </si>
  <si>
    <t>14.42a</t>
  </si>
  <si>
    <t>Khác đơn giá HĐ (242,779) - dòng 750 file GT phát sinh</t>
  </si>
  <si>
    <t>14.43a</t>
  </si>
  <si>
    <t>Khác đơn giá HĐ (76,805) - dòng 751 file GT phát sinh</t>
  </si>
  <si>
    <t>KL QĐ 5892 (cột F) lấy từ dòng 753 file GT phát sinh</t>
  </si>
  <si>
    <t>KL QĐ 5892 (cột F) lấy từ dòng 754, 836 file GT phát sinh</t>
  </si>
  <si>
    <t>14.48a</t>
  </si>
  <si>
    <t>Trùng ĐG nhưng khác tên dòng HĐ 14.48 - dòng file GT phát sinh: 756, 803</t>
  </si>
  <si>
    <t>KL QĐ 5892 (cột F) lấy từ dòng 757, 797, 804, 823 file GT phát sinh</t>
  </si>
  <si>
    <t>KL QĐ 5892 (cột F) lấy từ dòng 758, 829 file GT phát sinh</t>
  </si>
  <si>
    <t>14.54a</t>
  </si>
  <si>
    <t>Đá hộc xây vữa XM 10Mpa</t>
  </si>
  <si>
    <t>Trùng ĐG nhưng khác tên dòng HĐ 14.54 - dòng file GT phát sinh: 760</t>
  </si>
  <si>
    <t>KL QĐ 5892 (cột F) lấy từ dòng 761, 830 file GT phát sinh</t>
  </si>
  <si>
    <t>14.59a</t>
  </si>
  <si>
    <t>Bê tông 16Mpa</t>
  </si>
  <si>
    <t>Khác đơn giá HĐ (1,568,156) - dòng 771 file GT phát sinh</t>
  </si>
  <si>
    <t>KL QĐ 5892 (cột F) lấy từ dòng 772 file GT phát sinh</t>
  </si>
  <si>
    <t>KL QĐ 5892 (cột F) lấy từ dòng 773, 831 file GT phát sinh</t>
  </si>
  <si>
    <t>KL QĐ 5892 (cột F) lấy từ dòng 774, 832 file GT phát sinh</t>
  </si>
  <si>
    <t>Cải mương</t>
  </si>
  <si>
    <t>14.70</t>
  </si>
  <si>
    <t>Không có trong HĐ - dòng 770 file GT phát sinh (Cải mương)</t>
  </si>
  <si>
    <t>Hố thu gạch xây</t>
  </si>
  <si>
    <t>14.71</t>
  </si>
  <si>
    <t>Không có trong HĐ - dòng 828 file GT phát sinh (Hố thu gạch xây)</t>
  </si>
  <si>
    <t>14.72</t>
  </si>
  <si>
    <t>Không có trong HĐ - dòng 833 file GT phát sinh (Hố thu gạch xây)</t>
  </si>
  <si>
    <t>14.73</t>
  </si>
  <si>
    <t>Không có trong HĐ - dòng 834 file GT phát sinh (Hố thu gạch xây)</t>
  </si>
  <si>
    <t>14.74</t>
  </si>
  <si>
    <t>Bê tông ống cống, bê tông M300, đá 1x2, PCB40</t>
  </si>
  <si>
    <t>Ngoài PL đơn giá HĐ - dòng 848 file GT phát sinh (Thân cống)</t>
  </si>
  <si>
    <t>14.75</t>
  </si>
  <si>
    <t>Ngoài PL đơn giá HĐ - dòng 849 file GT phát sinh (Thân cống)</t>
  </si>
  <si>
    <t>14.76</t>
  </si>
  <si>
    <t>Gia công, lắp đặt cốt thép ống cống, ĐK ≤10mm</t>
  </si>
  <si>
    <t>Ngoài PL đơn giá HĐ - dòng 850 file GT phát sinh (Thân cống)</t>
  </si>
  <si>
    <t>14.77</t>
  </si>
  <si>
    <t>Lắp đặt ống bê tông bằng cần cẩu, đoạn ống dài 1m - Đường kính ≤600mm</t>
  </si>
  <si>
    <t>Ngoài PL đơn giá HĐ - dòng 851 file GT phát sinh (Thân cống)</t>
  </si>
  <si>
    <t>14.78</t>
  </si>
  <si>
    <t>Ngoài PL đơn giá HĐ - dòng 852 file GT phát sinh (Thân cống)</t>
  </si>
  <si>
    <t>14.79</t>
  </si>
  <si>
    <t>Ngoài PL đơn giá HĐ - dòng 853 file GT phát sinh (Thân cống)</t>
  </si>
  <si>
    <t>14.80</t>
  </si>
  <si>
    <t>Ngoài PL đơn giá HĐ - dòng 854 file GT phát sinh (Thân cống)</t>
  </si>
  <si>
    <t>14.81</t>
  </si>
  <si>
    <t>Bê tông móng cống M250, đá 1x2, PCB40</t>
  </si>
  <si>
    <t>Ngoài PL đơn giá HĐ - dòng 856 file GT phát sinh (Móng cống)</t>
  </si>
  <si>
    <t>14.82</t>
  </si>
  <si>
    <t>Ngoài PL đơn giá HĐ - dòng 857 file GT phát sinh (Móng cống)</t>
  </si>
  <si>
    <t>14.83</t>
  </si>
  <si>
    <t>Gia công, lắp đặt cốt thép pa nen, ĐK ≤10mm</t>
  </si>
  <si>
    <t>Ngoài PL đơn giá HĐ - dòng 858 file GT phát sinh (Móng cống)</t>
  </si>
  <si>
    <t>14.84</t>
  </si>
  <si>
    <t>Gia công, lắp đặt cốt thép pa nen, ĐK &gt;10mm</t>
  </si>
  <si>
    <t>Ngoài PL đơn giá HĐ - dòng 859 file GT phát sinh (Móng cống)</t>
  </si>
  <si>
    <t>14.85</t>
  </si>
  <si>
    <t>Lắp dựng móng cống</t>
  </si>
  <si>
    <t>Ngoài PL đơn giá HĐ - dòng 860 file GT phát sinh (Móng cống)</t>
  </si>
  <si>
    <t>14.86</t>
  </si>
  <si>
    <t>Vận chuyển cấu kiện bê tông bằng ô tô vận tải thùng 12 tấn - Cự ly vận chuyển trong phạm vi ≤1km</t>
  </si>
  <si>
    <t>Ngoài PL đơn giá HĐ - dòng 861 file GT phát sinh (Móng cống)</t>
  </si>
  <si>
    <t>14.87</t>
  </si>
  <si>
    <t>Ngoài PL đơn giá HĐ - dòng 862 file GT phát sinh (Móng cống)</t>
  </si>
  <si>
    <t>14.88</t>
  </si>
  <si>
    <t>Ngoài PL đơn giá HĐ - dòng 863 file GT phát sinh (Móng cống)</t>
  </si>
  <si>
    <t>14.89</t>
  </si>
  <si>
    <t>Ngoài PL đơn giá HĐ - dòng 864 file GT phát sinh (Móng cống)</t>
  </si>
  <si>
    <t>CỘT DÀN VAN</t>
  </si>
  <si>
    <t>14.90</t>
  </si>
  <si>
    <t>Thi công lớp đá đệm móng, ĐK đá Dmax ≤4</t>
  </si>
  <si>
    <t>Ngoài PL đơn giá HĐ - dòng 866 file GT phát sinh (CỘT DÀN VAN)</t>
  </si>
  <si>
    <t>Tấm nắp rãnh</t>
  </si>
  <si>
    <t>14.91</t>
  </si>
  <si>
    <t>Bê tông cột dàn van</t>
  </si>
  <si>
    <t>Ngoài PL đơn giá HĐ - dòng 868 file GT phát sinh (Tấm nắp rãnh)</t>
  </si>
  <si>
    <t>14.92</t>
  </si>
  <si>
    <t>Bê tông cánh cửa</t>
  </si>
  <si>
    <t>Ngoài PL đơn giá HĐ - dòng 869 file GT phát sinh (Tấm nắp rãnh)</t>
  </si>
  <si>
    <t>14.93</t>
  </si>
  <si>
    <t>Lắp dựng cốt thép ĐK ≤18mm</t>
  </si>
  <si>
    <t>Ngoài PL đơn giá HĐ - dòng 870 file GT phát sinh (Tấm nắp rãnh)</t>
  </si>
  <si>
    <t>14.94</t>
  </si>
  <si>
    <t>Lắp dựng cốt thép ĐK ≤10mm</t>
  </si>
  <si>
    <t>Ngoài PL đơn giá HĐ - dòng 871 file GT phát sinh (Tấm nắp rãnh)</t>
  </si>
  <si>
    <t>14.95</t>
  </si>
  <si>
    <t>Bộ đỡ nâng cánh phai V1</t>
  </si>
  <si>
    <t>Ngoài PL đơn giá HĐ - dòng 872 file GT phát sinh (Tấm nắp rãnh)</t>
  </si>
  <si>
    <t>14.96</t>
  </si>
  <si>
    <t>Ngoài PL đơn giá HĐ - dòng 873 file GT phát sinh (Tấm nắp rãnh)</t>
  </si>
  <si>
    <t>14.97</t>
  </si>
  <si>
    <t>Lắp dựng cánh phai bằng thép</t>
  </si>
  <si>
    <t>Ngoài PL đơn giá HĐ - dòng 874 file GT phát sinh (Tấm nắp rãnh)</t>
  </si>
  <si>
    <t>14.98</t>
  </si>
  <si>
    <t>Máy đóng mở cánh cổng V3</t>
  </si>
  <si>
    <t>Ngoài PL đơn giá HĐ - dòng 875 file GT phát sinh (Tấm nắp rãnh)</t>
  </si>
  <si>
    <t>Ống thoát nước HDPE</t>
  </si>
  <si>
    <t>14.99</t>
  </si>
  <si>
    <t>Bê tông cột đỡ 16Mpa</t>
  </si>
  <si>
    <t>Ngoài PL đơn giá HĐ - dòng 877 file GT phát sinh (Ống thoát nước HDPE)</t>
  </si>
  <si>
    <t>14.100</t>
  </si>
  <si>
    <t>Ngoài PL đơn giá HĐ - dòng 878 file GT phát sinh (Ống thoát nước HDPE)</t>
  </si>
  <si>
    <t>14.101</t>
  </si>
  <si>
    <t>Ngoài PL đơn giá HĐ - dòng 879 file GT phát sinh (Ống thoát nước HDPE)</t>
  </si>
  <si>
    <t>14.102</t>
  </si>
  <si>
    <t>Đai ôm ống D512</t>
  </si>
  <si>
    <t>Ngoài PL đơn giá HĐ - dòng 880 file GT phát sinh (Ống thoát nước HDPE)</t>
  </si>
  <si>
    <t>14.103</t>
  </si>
  <si>
    <t>Bu lông D16x35</t>
  </si>
  <si>
    <t>Ngoài PL đơn giá HĐ - dòng 881 file GT phát sinh (Ống thoát nước HDPE)</t>
  </si>
  <si>
    <t>14.104</t>
  </si>
  <si>
    <t>Ống thoát nước HDPE D500</t>
  </si>
  <si>
    <t>Ngoài PL đơn giá HĐ - dòng 882 file GT phát sinh (Ống thoát nước HDPE)</t>
  </si>
  <si>
    <t>14.105</t>
  </si>
  <si>
    <t>Đóng cọc tre bằng máy đào 0,5m3, chiều dài cọc &gt;2,5m  - Cấp đất I</t>
  </si>
  <si>
    <t>Ngoài PL đơn giá HĐ - dòng 883 file GT phát sinh (Ống thoát nước HDPE)</t>
  </si>
  <si>
    <t>14.106</t>
  </si>
  <si>
    <t>Ngoài PL đơn giá HĐ - dòng 884 file GT phát sinh (Ống thoát nước HDPE)</t>
  </si>
  <si>
    <t>14.107</t>
  </si>
  <si>
    <t>Lắp đặt cống hộp đơn, đoạn ống dài 1,2m - Quy cách ống: 1500x1500mm</t>
  </si>
  <si>
    <t>Ngoài PL đơn giá HĐ - dòng 887 file GT phát sinh (Thân cống)</t>
  </si>
  <si>
    <t>14.108</t>
  </si>
  <si>
    <t>Nối ống bê tông bằng phương pháp xảm - Đường kính 750mm</t>
  </si>
  <si>
    <t>mối nối</t>
  </si>
  <si>
    <t>Ngoài PL đơn giá HĐ - dòng 888 file GT phát sinh (Thân cống)</t>
  </si>
  <si>
    <t>14.109</t>
  </si>
  <si>
    <t>Ngoài PL đơn giá HĐ - dòng 889 file GT phát sinh (Thân cống)</t>
  </si>
  <si>
    <t>14.110</t>
  </si>
  <si>
    <t>Ngoài PL đơn giá HĐ - dòng 890 file GT phát sinh (Thân cống)</t>
  </si>
  <si>
    <t>14.111</t>
  </si>
  <si>
    <t>Bê tông móng cống, bê tông M200, đá 1x2, PCB40</t>
  </si>
  <si>
    <t>Ngoài PL đơn giá HĐ - dòng 892 file GT phát sinh (Móng cống)</t>
  </si>
  <si>
    <t>14.112</t>
  </si>
  <si>
    <t>Ngoài PL đơn giá HĐ - dòng 893 file GT phát sinh (Móng cống)</t>
  </si>
  <si>
    <t>14.113</t>
  </si>
  <si>
    <t>Ngoài PL đơn giá HĐ - dòng 894 file GT phát sinh (Móng cống)</t>
  </si>
  <si>
    <t>14.114</t>
  </si>
  <si>
    <t>Bê tông chèn khe M200 cống đôi</t>
  </si>
  <si>
    <t>Ngoài PL đơn giá HĐ - dòng 895 file GT phát sinh (Móng cống)</t>
  </si>
  <si>
    <t>14.115</t>
  </si>
  <si>
    <t>Ngoài PL đơn giá HĐ - dòng 896 file GT phát sinh (Móng cống)</t>
  </si>
  <si>
    <t>14.116</t>
  </si>
  <si>
    <t>Ngoài PL đơn giá HĐ - dòng 897 file GT phát sinh (Móng cống)</t>
  </si>
  <si>
    <t>14.117</t>
  </si>
  <si>
    <t>Ngoài PL đơn giá HĐ - dòng 898 file GT phát sinh (Móng cống)</t>
  </si>
  <si>
    <t>Tường đầu</t>
  </si>
  <si>
    <t>14.118</t>
  </si>
  <si>
    <t>Bê tông tường đầu 16Mpa</t>
  </si>
  <si>
    <t>Ngoài PL đơn giá HĐ - dòng 900 file GT phát sinh (Tường đầu)</t>
  </si>
  <si>
    <t>14.119</t>
  </si>
  <si>
    <t>Ngoài PL đơn giá HĐ - dòng 901 file GT phát sinh (Tường đầu)</t>
  </si>
  <si>
    <t>Tường cánh</t>
  </si>
  <si>
    <t>14.120</t>
  </si>
  <si>
    <t>Bê tông tường cánh 16Mpa</t>
  </si>
  <si>
    <t>Ngoài PL đơn giá HĐ - dòng 903 file GT phát sinh (Tường cánh)</t>
  </si>
  <si>
    <t>14.121</t>
  </si>
  <si>
    <t>Ngoài PL đơn giá HĐ - dòng 904 file GT phát sinh (Tường cánh)</t>
  </si>
  <si>
    <t>Móng tường đầu</t>
  </si>
  <si>
    <t>14.122</t>
  </si>
  <si>
    <t>Ngoài PL đơn giá HĐ - dòng 906 file GT phát sinh (Móng tường đầu)</t>
  </si>
  <si>
    <t>14.123</t>
  </si>
  <si>
    <t>Ngoài PL đơn giá HĐ - dòng 907 file GT phát sinh (Móng tường đầu)</t>
  </si>
  <si>
    <t>14.124</t>
  </si>
  <si>
    <t>Ngoài PL đơn giá HĐ - dòng 908 file GT phát sinh (Móng tường đầu)</t>
  </si>
  <si>
    <t>Móng tường cánh</t>
  </si>
  <si>
    <t>14.125</t>
  </si>
  <si>
    <t>Ngoài PL đơn giá HĐ - dòng 910 file GT phát sinh (Móng tường cánh)</t>
  </si>
  <si>
    <t>14.126</t>
  </si>
  <si>
    <t>Ngoài PL đơn giá HĐ - dòng 911 file GT phát sinh (Móng tường cánh)</t>
  </si>
  <si>
    <t>14.127</t>
  </si>
  <si>
    <t>Ngoài PL đơn giá HĐ - dòng 912 file GT phát sinh (Móng tường cánh)</t>
  </si>
  <si>
    <t>Khối lượng đào, đắp</t>
  </si>
  <si>
    <t>14.128</t>
  </si>
  <si>
    <t>Đào móng bằng máy đào 1,25m3, chiều rộng móng ≤6m - Cấp đất I</t>
  </si>
  <si>
    <t>Ngoài PL đơn giá HĐ - dòng 914 file GT phát sinh (Khối lượng đào, đắp)</t>
  </si>
  <si>
    <t>14.129</t>
  </si>
  <si>
    <t>Đắp đất bằng đầm đất cầm tay 70kg, độ chặt Y/C K = 0,95</t>
  </si>
  <si>
    <t>Ngoài PL đơn giá HĐ - dòng 915 file GT phát sinh (Khối lượng đào, đắp)</t>
  </si>
  <si>
    <t>Phần cầu (xã Hoằng Yến)</t>
  </si>
  <si>
    <t>19.256</t>
  </si>
  <si>
    <t>Phá dỡ Cầu cũ</t>
  </si>
  <si>
    <t>Ngoài PL đơn giá HĐ - dòng 970 file GT phát sinh (Phần cầu (xã Hoằng Yến))</t>
  </si>
  <si>
    <t>19.257</t>
  </si>
  <si>
    <t>Nâng hạ dầm từ trên nhịp cầu cũ xuống</t>
  </si>
  <si>
    <t>Ngoài PL đơn giá HĐ - dòng 971 file GT phát sinh (Phần cầu (xã Hoằng Yến))</t>
  </si>
  <si>
    <t>19.258</t>
  </si>
  <si>
    <t>Vận chuyển đất bằng ô tô tự đổ 10T, phạm vi ≤1000m - Cấp đất IV</t>
  </si>
  <si>
    <t>Ngoài PL đơn giá HĐ - dòng 972 file GT phát sinh (Phần cầu (xã Hoằng Yến))</t>
  </si>
  <si>
    <t>19.259</t>
  </si>
  <si>
    <t>Vận chuyển đất 1km tiếp theo bằng ô tô tự đổ 10T, trong phạm vi ≤5km - Cấp đất IV</t>
  </si>
  <si>
    <t>Ngoài PL đơn giá HĐ - dòng 973 file GT phát sinh (Phần cầu (xã Hoằng Yến))</t>
  </si>
  <si>
    <t>19.260</t>
  </si>
  <si>
    <t>Vận chuyển đất 1km tiếp theo bằng ô tô tự đổ 10T, ngoài phạm vi 0,672km - Cấp đất IV</t>
  </si>
  <si>
    <t>Ngoài PL đơn giá HĐ - dòng 974 file GT phát sinh (Phần cầu (xã Hoằng Yến))</t>
  </si>
  <si>
    <t>Giá trị giảm trừ thuế VAT theo nghị định</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</si>
</sst>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 #,##0.00_-;_-* &quot;-&quot;??_-;_-@_-"/>
    <numFmt numFmtId="164" formatCode="_(* #,##0_);_(* \(#,##0\);_(* &quot;-&quot;??_);_(@_)"/>
    <numFmt numFmtId="165" formatCode="_(* #,##0.0_);_(* \(#,##0.0\);_(* &quot;-&quot;??_);_(@_)"/>
    <numFmt numFmtId="166" formatCode="_(* #,##0.0000_);_(* \(#,##0.0000\);_(* &quot;-&quot;??_);_(@_)"/>
    <numFmt numFmtId="167" formatCode="_(* #,##0.000_);_(* \(#,##0.000\);_(* &quot;-&quot;??_);_(@_)"/>
    <numFmt numFmtId="168" formatCode="#,##0.000"/>
    <numFmt numFmtId="169" formatCode="_(* #,##0.000000_);_(* \(#,##0.000000\);_(* &quot;-&quot;??_);_(@_)"/>
  </numFmts>
  <fonts count="26" x14ac:knownFonts="1">
    <font>
      <sz val="11"/>
      <color theme="1"/>
      <name val="Arial"/>
      <family val="2"/>
    </font>
    <font>
      <b/>
      <sz val="14"/>
      <color indexed="8"/>
      <name val="Times New Roman"/>
      <family val="1"/>
    </font>
    <font>
      <i/>
      <sz val="10"/>
      <color indexed="63"/>
      <name val="Times New Roman"/>
      <family val="1"/>
    </font>
    <font>
      <b/>
      <sz val="12"/>
      <color indexed="8"/>
      <name val="Times New Roman"/>
      <family val="1"/>
    </font>
    <font>
      <b/>
      <sz val="12"/>
      <color indexed="10"/>
      <name val="Times New Roman"/>
      <family val="1"/>
    </font>
    <font>
      <sz val="12"/>
      <color indexed="8"/>
      <name val="Times New Roman"/>
      <family val="1"/>
    </font>
    <font>
      <sz val="11"/>
      <color indexed="8"/>
      <name val="Arial"/>
      <family val="2"/>
    </font>
    <font>
      <b/>
      <sz val="11"/>
      <color indexed="8"/>
      <name val="Arial"/>
      <family val="2"/>
    </font>
    <font>
      <sz val="12"/>
      <color indexed="10"/>
      <name val="Times New Roman"/>
      <family val="1"/>
    </font>
    <font>
      <sz val="11"/>
      <color rgb="FFFF0000"/>
      <name val="Arial"/>
      <family val="2"/>
    </font>
    <font>
      <sz val="11"/>
      <color theme="1"/>
      <name val="Arial"/>
      <family val="2"/>
    </font>
    <font>
      <b/>
      <sz val="14"/>
      <name val="Times New Roman"/>
      <family val="1"/>
    </font>
    <font>
      <sz val="11"/>
      <name val="Arial"/>
      <family val="2"/>
    </font>
    <font>
      <b/>
      <sz val="12"/>
      <name val="Times New Roman"/>
      <family val="1"/>
    </font>
    <font>
      <i/>
      <sz val="10"/>
      <name val="Times New Roman"/>
      <family val="1"/>
    </font>
    <font>
      <b/>
      <sz val="11"/>
      <name val="Arial"/>
      <family val="2"/>
    </font>
    <font>
      <sz val="12"/>
      <name val="Times New Roman"/>
      <family val="1"/>
    </font>
    <font>
      <b/>
      <sz val="12"/>
      <name val="Arial"/>
      <family val="2"/>
    </font>
    <font>
      <sz val="11"/>
      <name val="Times New Roman"/>
      <family val="1"/>
    </font>
    <font>
      <b/>
      <sz val="13"/>
      <name val="Times New Roman"/>
      <family val="1"/>
    </font>
    <font>
      <b/>
      <sz val="11"/>
      <name val="Times New Roman"/>
      <family val="1"/>
    </font>
    <font>
      <b/>
      <sz val="12"/>
      <color rgb="FFFF0000"/>
      <name val="Times New Roman"/>
      <family val="1"/>
    </font>
    <font>
      <b/>
      <sz val="12"/>
      <color rgb="FF0000CC"/>
      <name val="Times New Roman"/>
      <family val="1"/>
    </font>
    <font>
      <b/>
      <sz val="14"/>
      <color rgb="FF0000CC"/>
      <name val="Times New Roman"/>
      <family val="1"/>
      <charset val="163"/>
    </font>
    <font>
      <sz val="12"/>
      <color rgb="FFFF0000"/>
      <name val="Times New Roman"/>
      <family val="1"/>
    </font>
    <font>
      <b/>
      <i/>
      <sz val="12"/>
      <name val="Times New Roman"/>
    </font>
  </fonts>
  <fills count="9">
    <fill>
      <patternFill patternType="none"/>
    </fill>
    <fill>
      <patternFill patternType="gray125"/>
    </fill>
    <fill>
      <patternFill patternType="solid">
        <fgColor indexed="9"/>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92D050"/>
        <bgColor indexed="64"/>
      </patternFill>
    </fill>
    <fill>
      <patternFill patternType="solid">
        <fgColor rgb="FFFFFF00"/>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3" fontId="6" fillId="0" borderId="0"/>
    <xf numFmtId="9" fontId="10" fillId="0" borderId="0"/>
  </cellStyleXfs>
  <cellXfs count="181">
    <xf numFmtId="0" fontId="0" fillId="0" borderId="0" xfId="0"/>
    <xf numFmtId="0" fontId="0" fillId="0" borderId="0" xfId="0" applyProtection="1">
      <protection locked="0"/>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center" vertical="center"/>
    </xf>
    <xf numFmtId="4" fontId="0" fillId="0" borderId="0" xfId="0" applyNumberFormat="1"/>
    <xf numFmtId="0" fontId="0" fillId="0" borderId="1" xfId="0" applyBorder="1" applyAlignment="1">
      <alignment horizontal="center"/>
    </xf>
    <xf numFmtId="0" fontId="0" fillId="0" borderId="1" xfId="0" applyBorder="1"/>
    <xf numFmtId="0" fontId="5" fillId="0" borderId="1" xfId="0" applyFont="1" applyBorder="1"/>
    <xf numFmtId="0" fontId="15" fillId="0" borderId="0" xfId="0" applyFont="1" applyAlignment="1">
      <alignment vertical="center"/>
    </xf>
    <xf numFmtId="0" fontId="11" fillId="0" borderId="0" xfId="0" applyFont="1"/>
    <xf numFmtId="0" fontId="16" fillId="0" borderId="1" xfId="0" applyFont="1" applyBorder="1" applyAlignment="1">
      <alignment vertical="center"/>
    </xf>
    <xf numFmtId="0" fontId="13" fillId="0" borderId="1" xfId="0" applyFont="1" applyBorder="1" applyAlignment="1">
      <alignment vertical="center" wrapText="1"/>
    </xf>
    <xf numFmtId="0" fontId="16" fillId="0" borderId="1" xfId="0" applyFont="1" applyBorder="1" applyAlignment="1">
      <alignment horizontal="center" vertical="center" wrapText="1"/>
    </xf>
    <xf numFmtId="9" fontId="13" fillId="0" borderId="1" xfId="2" applyFont="1" applyBorder="1" applyAlignment="1" applyProtection="1">
      <alignment vertical="center"/>
      <protection locked="0"/>
    </xf>
    <xf numFmtId="0" fontId="18" fillId="0" borderId="0" xfId="0" applyFont="1" applyAlignment="1">
      <alignment vertical="center"/>
    </xf>
    <xf numFmtId="0" fontId="13" fillId="0" borderId="0" xfId="0" applyFont="1" applyAlignment="1">
      <alignment vertical="center"/>
    </xf>
    <xf numFmtId="0" fontId="13" fillId="0" borderId="0" xfId="0" applyFont="1" applyAlignment="1">
      <alignment vertical="center" wrapText="1"/>
    </xf>
    <xf numFmtId="0" fontId="12" fillId="0" borderId="0" xfId="0" applyFont="1"/>
    <xf numFmtId="0" fontId="14" fillId="0" borderId="0" xfId="0" applyFont="1" applyAlignment="1">
      <alignment vertical="center" wrapText="1"/>
    </xf>
    <xf numFmtId="0" fontId="13" fillId="0" borderId="0" xfId="0" applyFont="1" applyAlignment="1">
      <alignment horizontal="center" vertical="center" wrapText="1"/>
    </xf>
    <xf numFmtId="0" fontId="13" fillId="0" borderId="0" xfId="0" applyFont="1"/>
    <xf numFmtId="0" fontId="15" fillId="0" borderId="0" xfId="0" applyFont="1"/>
    <xf numFmtId="0" fontId="15" fillId="0" borderId="0" xfId="0" applyFont="1" applyProtection="1">
      <protection locked="0"/>
    </xf>
    <xf numFmtId="0" fontId="18" fillId="0" borderId="0" xfId="0" applyFont="1" applyAlignment="1">
      <alignment vertical="center" wrapText="1"/>
    </xf>
    <xf numFmtId="0" fontId="18" fillId="0" borderId="0" xfId="0" applyFont="1" applyAlignment="1">
      <alignment horizontal="center" vertical="center" wrapText="1"/>
    </xf>
    <xf numFmtId="0" fontId="12" fillId="0" borderId="0" xfId="0" applyFont="1" applyAlignment="1">
      <alignment horizontal="center" wrapText="1"/>
    </xf>
    <xf numFmtId="4" fontId="12" fillId="0" borderId="0" xfId="0" applyNumberFormat="1" applyFont="1"/>
    <xf numFmtId="0" fontId="12" fillId="0" borderId="0" xfId="0" applyFont="1" applyProtection="1">
      <protection locked="0"/>
    </xf>
    <xf numFmtId="0" fontId="13" fillId="0" borderId="1" xfId="0" applyFont="1" applyBorder="1" applyAlignment="1">
      <alignment horizontal="center" vertical="center"/>
    </xf>
    <xf numFmtId="0" fontId="13" fillId="0" borderId="1" xfId="0" applyFont="1" applyBorder="1"/>
    <xf numFmtId="0" fontId="13" fillId="0" borderId="1" xfId="0" applyFont="1" applyBorder="1" applyAlignment="1">
      <alignment horizontal="center" wrapText="1"/>
    </xf>
    <xf numFmtId="0" fontId="16" fillId="0" borderId="1" xfId="0" applyFont="1" applyBorder="1" applyAlignment="1">
      <alignment horizontal="center" vertical="center"/>
    </xf>
    <xf numFmtId="0" fontId="16" fillId="0" borderId="1" xfId="0" applyFont="1" applyBorder="1"/>
    <xf numFmtId="0" fontId="16" fillId="0" borderId="1" xfId="0" applyFont="1" applyBorder="1" applyAlignment="1">
      <alignment horizontal="center" wrapText="1"/>
    </xf>
    <xf numFmtId="0" fontId="17" fillId="0" borderId="1" xfId="0" applyFont="1" applyBorder="1" applyProtection="1">
      <protection locked="0"/>
    </xf>
    <xf numFmtId="167" fontId="16" fillId="0" borderId="1" xfId="1" applyNumberFormat="1" applyFont="1" applyBorder="1"/>
    <xf numFmtId="0" fontId="17" fillId="0" borderId="1" xfId="0" applyFont="1" applyBorder="1" applyAlignment="1">
      <alignment vertical="center"/>
    </xf>
    <xf numFmtId="0" fontId="13" fillId="0" borderId="1" xfId="0" applyFont="1" applyBorder="1" applyAlignment="1">
      <alignment vertical="center"/>
    </xf>
    <xf numFmtId="0" fontId="16" fillId="0" borderId="1" xfId="0" applyFont="1" applyBorder="1" applyAlignment="1">
      <alignment vertical="center" wrapText="1"/>
    </xf>
    <xf numFmtId="0" fontId="12" fillId="0" borderId="0" xfId="0" applyFont="1" applyAlignment="1">
      <alignment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3" fontId="16" fillId="0" borderId="1" xfId="1" applyNumberFormat="1" applyFont="1" applyBorder="1" applyProtection="1">
      <protection locked="0"/>
    </xf>
    <xf numFmtId="0" fontId="13" fillId="4" borderId="1"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3" fillId="4" borderId="1" xfId="0" applyFont="1" applyFill="1" applyBorder="1" applyAlignment="1">
      <alignment vertical="center" wrapText="1"/>
    </xf>
    <xf numFmtId="0" fontId="13" fillId="0" borderId="0" xfId="0" applyFont="1" applyAlignment="1">
      <alignment horizontal="center" vertical="center"/>
    </xf>
    <xf numFmtId="0" fontId="16" fillId="0" borderId="0" xfId="0" applyFont="1" applyAlignment="1">
      <alignment horizontal="center" vertical="center"/>
    </xf>
    <xf numFmtId="0" fontId="15" fillId="0" borderId="0" xfId="0" applyFont="1" applyAlignment="1">
      <alignment horizontal="center" vertical="center"/>
    </xf>
    <xf numFmtId="0" fontId="18" fillId="0" borderId="0" xfId="0" applyFont="1" applyAlignment="1">
      <alignment horizontal="center" vertical="center"/>
    </xf>
    <xf numFmtId="0" fontId="12" fillId="0" borderId="0" xfId="0" applyFont="1" applyAlignment="1">
      <alignment horizontal="center" vertical="center"/>
    </xf>
    <xf numFmtId="0" fontId="16" fillId="0" borderId="4" xfId="0" applyFont="1" applyBorder="1" applyAlignment="1">
      <alignment vertical="center"/>
    </xf>
    <xf numFmtId="0" fontId="13" fillId="0" borderId="4" xfId="0" applyFont="1" applyBorder="1" applyAlignment="1">
      <alignment vertical="center" wrapText="1"/>
    </xf>
    <xf numFmtId="9" fontId="13" fillId="0" borderId="4" xfId="2" applyFont="1" applyBorder="1" applyAlignment="1" applyProtection="1">
      <alignment vertical="center"/>
      <protection locked="0"/>
    </xf>
    <xf numFmtId="0" fontId="13" fillId="4" borderId="1" xfId="0" applyFont="1" applyFill="1" applyBorder="1" applyAlignment="1">
      <alignment vertical="center"/>
    </xf>
    <xf numFmtId="0" fontId="13" fillId="4" borderId="1" xfId="0" applyFont="1" applyFill="1" applyBorder="1" applyAlignment="1">
      <alignment vertical="center" wrapText="1"/>
    </xf>
    <xf numFmtId="3" fontId="13" fillId="4" borderId="1" xfId="0" applyNumberFormat="1" applyFont="1" applyFill="1" applyBorder="1" applyAlignment="1">
      <alignment horizontal="center" vertical="center" wrapText="1"/>
    </xf>
    <xf numFmtId="0" fontId="12" fillId="0" borderId="0" xfId="0" applyFont="1" applyAlignment="1">
      <alignment vertical="center"/>
    </xf>
    <xf numFmtId="3" fontId="13" fillId="0" borderId="1" xfId="1" applyNumberFormat="1" applyFont="1" applyBorder="1" applyProtection="1">
      <protection locked="0"/>
    </xf>
    <xf numFmtId="3" fontId="13" fillId="4" borderId="1" xfId="0" applyNumberFormat="1" applyFont="1" applyFill="1" applyBorder="1" applyAlignment="1">
      <alignment horizontal="right" vertical="center" wrapText="1"/>
    </xf>
    <xf numFmtId="3" fontId="16" fillId="0" borderId="1" xfId="1" applyNumberFormat="1" applyFont="1" applyBorder="1" applyAlignment="1" applyProtection="1">
      <alignment vertical="center"/>
      <protection locked="0"/>
    </xf>
    <xf numFmtId="3" fontId="13" fillId="0" borderId="1" xfId="1" applyNumberFormat="1" applyFont="1" applyBorder="1" applyAlignment="1" applyProtection="1">
      <alignment vertical="center"/>
      <protection locked="0"/>
    </xf>
    <xf numFmtId="0" fontId="12" fillId="0" borderId="0" xfId="0" applyFont="1" applyAlignment="1" applyProtection="1">
      <alignment vertical="center"/>
      <protection locked="0"/>
    </xf>
    <xf numFmtId="3" fontId="13" fillId="4" borderId="1" xfId="1" applyNumberFormat="1" applyFont="1" applyFill="1" applyBorder="1" applyAlignment="1" applyProtection="1">
      <alignment vertical="center"/>
      <protection locked="0"/>
    </xf>
    <xf numFmtId="3" fontId="13" fillId="4" borderId="1" xfId="1" applyNumberFormat="1" applyFont="1" applyFill="1" applyBorder="1" applyAlignment="1" applyProtection="1">
      <alignment horizontal="right" vertical="center"/>
      <protection locked="0"/>
    </xf>
    <xf numFmtId="167" fontId="16" fillId="0" borderId="1" xfId="0" applyNumberFormat="1" applyFont="1" applyBorder="1" applyAlignment="1">
      <alignment vertical="center"/>
    </xf>
    <xf numFmtId="3" fontId="13" fillId="0" borderId="1" xfId="0" applyNumberFormat="1" applyFont="1" applyBorder="1"/>
    <xf numFmtId="3" fontId="21" fillId="4" borderId="1" xfId="0" applyNumberFormat="1" applyFont="1" applyFill="1" applyBorder="1" applyAlignment="1">
      <alignment horizontal="right" vertical="center" wrapText="1"/>
    </xf>
    <xf numFmtId="3" fontId="16" fillId="5" borderId="1" xfId="1" applyNumberFormat="1" applyFont="1" applyFill="1" applyBorder="1" applyAlignment="1" applyProtection="1">
      <alignment vertical="center"/>
      <protection locked="0"/>
    </xf>
    <xf numFmtId="0" fontId="13" fillId="6" borderId="1" xfId="0" applyFont="1" applyFill="1" applyBorder="1" applyAlignment="1">
      <alignment vertical="center" wrapText="1"/>
    </xf>
    <xf numFmtId="0" fontId="16" fillId="5" borderId="1" xfId="0" applyFont="1" applyFill="1" applyBorder="1" applyAlignment="1">
      <alignment vertical="center" wrapText="1"/>
    </xf>
    <xf numFmtId="0" fontId="16" fillId="5" borderId="1" xfId="0" applyFont="1" applyFill="1" applyBorder="1" applyAlignment="1">
      <alignment horizontal="center" vertical="center" wrapText="1"/>
    </xf>
    <xf numFmtId="0" fontId="16" fillId="7" borderId="1" xfId="0" applyFont="1" applyFill="1" applyBorder="1" applyAlignment="1">
      <alignment vertical="center"/>
    </xf>
    <xf numFmtId="0" fontId="13" fillId="7" borderId="1" xfId="0" applyFont="1" applyFill="1" applyBorder="1" applyAlignment="1">
      <alignment vertical="center"/>
    </xf>
    <xf numFmtId="0" fontId="22" fillId="7" borderId="1" xfId="0" applyFont="1" applyFill="1" applyBorder="1" applyAlignment="1">
      <alignment horizontal="center" vertical="center" wrapText="1"/>
    </xf>
    <xf numFmtId="3" fontId="16" fillId="7" borderId="1" xfId="1" applyNumberFormat="1" applyFont="1" applyFill="1" applyBorder="1" applyProtection="1">
      <protection locked="0"/>
    </xf>
    <xf numFmtId="0" fontId="11" fillId="0" borderId="0" xfId="0" applyFont="1" applyAlignment="1" applyProtection="1">
      <alignment horizontal="center" vertical="center" wrapText="1"/>
      <protection locked="0"/>
    </xf>
    <xf numFmtId="0" fontId="13" fillId="0" borderId="1" xfId="0" applyFont="1" applyBorder="1" applyAlignment="1">
      <alignment horizontal="center" vertical="center" wrapText="1"/>
    </xf>
    <xf numFmtId="0" fontId="19" fillId="0" borderId="0" xfId="0" applyFont="1" applyAlignment="1">
      <alignment horizontal="center" vertical="center" wrapText="1"/>
    </xf>
    <xf numFmtId="3" fontId="16" fillId="4" borderId="1" xfId="1" applyNumberFormat="1" applyFont="1" applyFill="1" applyBorder="1" applyAlignment="1" applyProtection="1">
      <alignment vertical="center"/>
      <protection locked="0"/>
    </xf>
    <xf numFmtId="43" fontId="0" fillId="0" borderId="0" xfId="1" applyFont="1" applyProtection="1">
      <protection locked="0"/>
    </xf>
    <xf numFmtId="43" fontId="2" fillId="0" borderId="0" xfId="1" applyFont="1" applyAlignment="1" applyProtection="1">
      <alignment vertical="center" wrapText="1"/>
      <protection locked="0"/>
    </xf>
    <xf numFmtId="43" fontId="4" fillId="2" borderId="1" xfId="1" applyFont="1" applyFill="1" applyBorder="1" applyAlignment="1" applyProtection="1">
      <alignment horizontal="center" vertical="center" wrapText="1"/>
      <protection locked="0"/>
    </xf>
    <xf numFmtId="43" fontId="5" fillId="0" borderId="1" xfId="1" applyFont="1" applyBorder="1" applyProtection="1">
      <protection locked="0"/>
    </xf>
    <xf numFmtId="164" fontId="5" fillId="0" borderId="1" xfId="1" applyNumberFormat="1" applyFont="1" applyBorder="1"/>
    <xf numFmtId="164" fontId="8" fillId="0" borderId="1" xfId="1" applyNumberFormat="1" applyFont="1" applyBorder="1"/>
    <xf numFmtId="164" fontId="5" fillId="3" borderId="1" xfId="1" applyNumberFormat="1" applyFont="1" applyFill="1" applyBorder="1"/>
    <xf numFmtId="164" fontId="0" fillId="0" borderId="0" xfId="1" applyNumberFormat="1" applyFont="1" applyProtection="1">
      <protection locked="0"/>
    </xf>
    <xf numFmtId="43" fontId="0" fillId="0" borderId="1" xfId="1" applyFont="1" applyBorder="1" applyProtection="1">
      <protection locked="0"/>
    </xf>
    <xf numFmtId="164" fontId="0" fillId="0" borderId="1" xfId="1" applyNumberFormat="1" applyFont="1" applyBorder="1" applyProtection="1">
      <protection locked="0"/>
    </xf>
    <xf numFmtId="164" fontId="9" fillId="0" borderId="1" xfId="1" applyNumberFormat="1" applyFont="1" applyBorder="1" applyProtection="1">
      <protection locked="0"/>
    </xf>
    <xf numFmtId="164" fontId="0" fillId="0" borderId="0" xfId="0" applyNumberFormat="1"/>
    <xf numFmtId="164" fontId="7" fillId="0" borderId="0" xfId="0" applyNumberFormat="1" applyFont="1" applyProtection="1">
      <protection locked="0"/>
    </xf>
    <xf numFmtId="164" fontId="12" fillId="0" borderId="0" xfId="1" applyNumberFormat="1" applyFont="1" applyProtection="1">
      <protection locked="0"/>
    </xf>
    <xf numFmtId="164" fontId="13" fillId="0" borderId="1" xfId="1" applyNumberFormat="1" applyFont="1" applyBorder="1" applyAlignment="1" applyProtection="1">
      <alignment horizontal="center" vertical="center" wrapText="1"/>
      <protection locked="0"/>
    </xf>
    <xf numFmtId="164" fontId="13" fillId="0" borderId="1" xfId="1" applyNumberFormat="1" applyFont="1" applyBorder="1" applyProtection="1">
      <protection locked="0"/>
    </xf>
    <xf numFmtId="164" fontId="16" fillId="0" borderId="1" xfId="1" applyNumberFormat="1" applyFont="1" applyBorder="1"/>
    <xf numFmtId="164" fontId="16" fillId="0" borderId="1" xfId="1" applyNumberFormat="1" applyFont="1" applyBorder="1" applyProtection="1">
      <protection locked="0"/>
    </xf>
    <xf numFmtId="164" fontId="16" fillId="0" borderId="0" xfId="1" applyNumberFormat="1" applyFont="1"/>
    <xf numFmtId="165" fontId="16" fillId="0" borderId="1" xfId="1" applyNumberFormat="1" applyFont="1" applyBorder="1"/>
    <xf numFmtId="43" fontId="16" fillId="0" borderId="1" xfId="1" applyFont="1" applyBorder="1"/>
    <xf numFmtId="166" fontId="16" fillId="0" borderId="1" xfId="1" applyNumberFormat="1" applyFont="1" applyBorder="1"/>
    <xf numFmtId="164" fontId="13" fillId="0" borderId="1" xfId="1" applyNumberFormat="1" applyFont="1" applyBorder="1"/>
    <xf numFmtId="164" fontId="13" fillId="0" borderId="0" xfId="1" applyNumberFormat="1" applyFont="1"/>
    <xf numFmtId="43" fontId="16" fillId="0" borderId="1" xfId="1" applyFont="1" applyBorder="1" applyAlignment="1">
      <alignment horizontal="right"/>
    </xf>
    <xf numFmtId="169" fontId="16" fillId="0" borderId="0" xfId="1" applyNumberFormat="1" applyFont="1"/>
    <xf numFmtId="164" fontId="13" fillId="0" borderId="1" xfId="1" applyNumberFormat="1" applyFont="1" applyBorder="1" applyAlignment="1" applyProtection="1">
      <alignment vertical="center"/>
      <protection locked="0"/>
    </xf>
    <xf numFmtId="164" fontId="13" fillId="0" borderId="1" xfId="1" applyNumberFormat="1" applyFont="1" applyBorder="1" applyAlignment="1">
      <alignment vertical="center"/>
    </xf>
    <xf numFmtId="164" fontId="15" fillId="0" borderId="0" xfId="1" applyNumberFormat="1" applyFont="1" applyAlignment="1" applyProtection="1">
      <alignment vertical="center"/>
      <protection locked="0"/>
    </xf>
    <xf numFmtId="164" fontId="11" fillId="0" borderId="0" xfId="1" applyNumberFormat="1" applyFont="1" applyProtection="1">
      <protection locked="0"/>
    </xf>
    <xf numFmtId="164" fontId="16" fillId="0" borderId="1" xfId="1" applyNumberFormat="1" applyFont="1" applyBorder="1" applyAlignment="1" applyProtection="1">
      <alignment vertical="center"/>
      <protection locked="0"/>
    </xf>
    <xf numFmtId="164" fontId="18" fillId="0" borderId="0" xfId="1" applyNumberFormat="1" applyFont="1" applyAlignment="1" applyProtection="1">
      <alignment vertical="center"/>
      <protection locked="0"/>
    </xf>
    <xf numFmtId="164" fontId="13" fillId="0" borderId="0" xfId="1" applyNumberFormat="1" applyFont="1" applyAlignment="1" applyProtection="1">
      <alignment vertical="center"/>
      <protection locked="0"/>
    </xf>
    <xf numFmtId="43" fontId="13" fillId="0" borderId="0" xfId="1" applyFont="1" applyAlignment="1" applyProtection="1">
      <alignment vertical="center"/>
      <protection locked="0"/>
    </xf>
    <xf numFmtId="43" fontId="20" fillId="0" borderId="0" xfId="1" applyFont="1" applyAlignment="1" applyProtection="1">
      <alignment vertical="center"/>
      <protection locked="0"/>
    </xf>
    <xf numFmtId="164" fontId="12" fillId="0" borderId="0" xfId="0" applyNumberFormat="1" applyFont="1"/>
    <xf numFmtId="164" fontId="15" fillId="0" borderId="0" xfId="0" applyNumberFormat="1" applyFont="1" applyProtection="1">
      <protection locked="0"/>
    </xf>
    <xf numFmtId="164" fontId="12" fillId="0" borderId="0" xfId="1" applyNumberFormat="1" applyFont="1" applyAlignment="1" applyProtection="1">
      <alignment vertical="center"/>
      <protection locked="0"/>
    </xf>
    <xf numFmtId="164" fontId="13" fillId="0" borderId="1" xfId="1" applyNumberFormat="1" applyFont="1" applyBorder="1" applyAlignment="1" applyProtection="1">
      <alignment vertical="center" wrapText="1"/>
      <protection locked="0"/>
    </xf>
    <xf numFmtId="164" fontId="13" fillId="4" borderId="1" xfId="1" applyNumberFormat="1" applyFont="1" applyFill="1" applyBorder="1" applyAlignment="1" applyProtection="1">
      <alignment vertical="center" wrapText="1"/>
      <protection locked="0"/>
    </xf>
    <xf numFmtId="164" fontId="13" fillId="4" borderId="1" xfId="1" applyNumberFormat="1" applyFont="1" applyFill="1" applyBorder="1" applyAlignment="1">
      <alignment vertical="center"/>
    </xf>
    <xf numFmtId="168" fontId="16" fillId="0" borderId="1" xfId="0" applyNumberFormat="1" applyFont="1" applyBorder="1" applyAlignment="1">
      <alignment vertical="center"/>
    </xf>
    <xf numFmtId="166" fontId="24" fillId="0" borderId="1" xfId="1" applyNumberFormat="1" applyFont="1" applyBorder="1" applyAlignment="1">
      <alignment horizontal="center" vertical="center"/>
    </xf>
    <xf numFmtId="168" fontId="16" fillId="0" borderId="1" xfId="0" applyNumberFormat="1" applyFont="1" applyBorder="1"/>
    <xf numFmtId="164" fontId="16" fillId="0" borderId="1" xfId="1" applyNumberFormat="1" applyFont="1" applyBorder="1" applyAlignment="1">
      <alignment vertical="center"/>
    </xf>
    <xf numFmtId="164" fontId="16" fillId="0" borderId="1" xfId="1" applyNumberFormat="1" applyFont="1" applyBorder="1" applyAlignment="1">
      <alignment horizontal="right" vertical="center"/>
    </xf>
    <xf numFmtId="166" fontId="16" fillId="0" borderId="1" xfId="1" applyNumberFormat="1" applyFont="1" applyBorder="1" applyAlignment="1">
      <alignment horizontal="center" vertical="center"/>
    </xf>
    <xf numFmtId="43" fontId="16" fillId="0" borderId="1" xfId="0" applyNumberFormat="1" applyFont="1" applyBorder="1" applyAlignment="1">
      <alignment vertical="center"/>
    </xf>
    <xf numFmtId="168" fontId="13" fillId="0" borderId="1" xfId="0" applyNumberFormat="1" applyFont="1" applyBorder="1" applyAlignment="1">
      <alignment vertical="center"/>
    </xf>
    <xf numFmtId="168" fontId="13" fillId="0" borderId="1" xfId="0" applyNumberFormat="1" applyFont="1" applyBorder="1"/>
    <xf numFmtId="164" fontId="15" fillId="0" borderId="0" xfId="0" applyNumberFormat="1" applyFont="1"/>
    <xf numFmtId="43" fontId="16" fillId="0" borderId="1" xfId="1" applyFont="1" applyBorder="1" applyAlignment="1">
      <alignment horizontal="left" vertical="center" wrapText="1"/>
    </xf>
    <xf numFmtId="43" fontId="16" fillId="0" borderId="1" xfId="1" applyFont="1" applyBorder="1" applyAlignment="1">
      <alignment horizontal="center" vertical="center"/>
    </xf>
    <xf numFmtId="168" fontId="13" fillId="4" borderId="1" xfId="0" applyNumberFormat="1" applyFont="1" applyFill="1" applyBorder="1" applyAlignment="1">
      <alignment vertical="center"/>
    </xf>
    <xf numFmtId="168" fontId="16" fillId="7" borderId="1" xfId="0" applyNumberFormat="1" applyFont="1" applyFill="1" applyBorder="1" applyAlignment="1">
      <alignment vertical="center"/>
    </xf>
    <xf numFmtId="166" fontId="16" fillId="4" borderId="1" xfId="1" applyNumberFormat="1" applyFont="1" applyFill="1" applyBorder="1" applyAlignment="1">
      <alignment horizontal="center" vertical="center"/>
    </xf>
    <xf numFmtId="164" fontId="16" fillId="7" borderId="1" xfId="1" applyNumberFormat="1" applyFont="1" applyFill="1" applyBorder="1" applyAlignment="1">
      <alignment vertical="center"/>
    </xf>
    <xf numFmtId="166" fontId="24" fillId="7" borderId="1" xfId="1" applyNumberFormat="1" applyFont="1" applyFill="1" applyBorder="1" applyAlignment="1">
      <alignment horizontal="center" vertical="center"/>
    </xf>
    <xf numFmtId="0" fontId="16" fillId="8" borderId="1" xfId="0" applyFont="1" applyFill="1" applyBorder="1" applyAlignment="1">
      <alignment horizontal="center" vertical="center"/>
    </xf>
    <xf numFmtId="0" fontId="16" fillId="8" borderId="1" xfId="0" applyFont="1" applyFill="1" applyBorder="1" applyAlignment="1">
      <alignment vertical="center" wrapText="1"/>
    </xf>
    <xf numFmtId="0" fontId="16" fillId="8" borderId="1" xfId="0" applyFont="1" applyFill="1" applyBorder="1" applyAlignment="1">
      <alignment horizontal="center" vertical="center" wrapText="1"/>
    </xf>
    <xf numFmtId="168" fontId="16" fillId="8" borderId="1" xfId="0" applyNumberFormat="1" applyFont="1" applyFill="1" applyBorder="1" applyAlignment="1">
      <alignment vertical="center"/>
    </xf>
    <xf numFmtId="168" fontId="16" fillId="8" borderId="1" xfId="0" applyNumberFormat="1" applyFont="1" applyFill="1" applyBorder="1"/>
    <xf numFmtId="3" fontId="16" fillId="8" borderId="1" xfId="1" applyNumberFormat="1" applyFont="1" applyFill="1" applyBorder="1" applyAlignment="1" applyProtection="1">
      <alignment vertical="center"/>
      <protection locked="0"/>
    </xf>
    <xf numFmtId="3" fontId="16" fillId="8" borderId="1" xfId="1" applyNumberFormat="1" applyFont="1" applyFill="1" applyBorder="1" applyProtection="1">
      <protection locked="0"/>
    </xf>
    <xf numFmtId="164" fontId="16" fillId="8" borderId="1" xfId="1" applyNumberFormat="1" applyFont="1" applyFill="1" applyBorder="1" applyAlignment="1">
      <alignment vertical="center"/>
    </xf>
    <xf numFmtId="168" fontId="16" fillId="5" borderId="1" xfId="0" applyNumberFormat="1" applyFont="1" applyFill="1" applyBorder="1" applyAlignment="1">
      <alignment vertical="center"/>
    </xf>
    <xf numFmtId="0" fontId="25" fillId="8" borderId="1" xfId="0" applyFont="1" applyFill="1" applyBorder="1" applyAlignment="1">
      <alignment vertical="center" wrapText="1"/>
    </xf>
    <xf numFmtId="166" fontId="16" fillId="7" borderId="1" xfId="1" applyNumberFormat="1" applyFont="1" applyFill="1" applyBorder="1" applyAlignment="1">
      <alignment horizontal="center" vertical="center"/>
    </xf>
    <xf numFmtId="164" fontId="16" fillId="5" borderId="1" xfId="1" applyNumberFormat="1" applyFont="1" applyFill="1" applyBorder="1" applyAlignment="1">
      <alignment vertical="center"/>
    </xf>
    <xf numFmtId="164" fontId="16" fillId="7" borderId="1" xfId="1" applyNumberFormat="1" applyFont="1" applyFill="1" applyBorder="1"/>
    <xf numFmtId="164" fontId="13" fillId="7" borderId="1" xfId="1" applyNumberFormat="1" applyFont="1" applyFill="1" applyBorder="1" applyAlignment="1">
      <alignment vertical="center"/>
    </xf>
    <xf numFmtId="164" fontId="13" fillId="4" borderId="1" xfId="1" applyNumberFormat="1" applyFont="1" applyFill="1" applyBorder="1" applyAlignment="1" applyProtection="1">
      <alignment vertical="center"/>
      <protection locked="0"/>
    </xf>
    <xf numFmtId="164" fontId="20" fillId="4" borderId="1" xfId="1" applyNumberFormat="1" applyFont="1" applyFill="1" applyBorder="1" applyAlignment="1" applyProtection="1">
      <alignment vertical="center"/>
      <protection locked="0"/>
    </xf>
    <xf numFmtId="164" fontId="16" fillId="0" borderId="4" xfId="1" applyNumberFormat="1" applyFont="1" applyBorder="1" applyAlignment="1" applyProtection="1">
      <alignment vertical="center"/>
      <protection locked="0"/>
    </xf>
    <xf numFmtId="164" fontId="15" fillId="0" borderId="0" xfId="0" applyNumberFormat="1" applyFont="1" applyAlignment="1" applyProtection="1">
      <alignment vertical="center"/>
      <protection locked="0"/>
    </xf>
    <xf numFmtId="0" fontId="1" fillId="0" borderId="0" xfId="0" applyFont="1" applyAlignment="1" applyProtection="1">
      <alignment horizontal="center" vertical="center" wrapText="1"/>
      <protection locked="0"/>
    </xf>
    <xf numFmtId="0" fontId="0" fillId="0" borderId="0" xfId="0" applyProtection="1">
      <protection locked="0"/>
    </xf>
    <xf numFmtId="0" fontId="11" fillId="0" borderId="0" xfId="0" applyFont="1" applyAlignment="1" applyProtection="1">
      <alignment horizontal="center" vertical="center" wrapText="1"/>
      <protection locked="0"/>
    </xf>
    <xf numFmtId="0" fontId="19" fillId="0" borderId="0" xfId="0" applyFont="1" applyAlignment="1">
      <alignment horizontal="center" vertical="center" wrapText="1"/>
    </xf>
    <xf numFmtId="0" fontId="18" fillId="0" borderId="0" xfId="0" applyFont="1" applyAlignment="1">
      <alignment vertical="center"/>
    </xf>
    <xf numFmtId="164" fontId="19" fillId="0" borderId="0" xfId="1" applyNumberFormat="1" applyFont="1" applyAlignment="1" applyProtection="1">
      <alignment horizontal="center" vertical="center" wrapText="1"/>
      <protection locked="0"/>
    </xf>
    <xf numFmtId="0" fontId="19" fillId="0" borderId="0" xfId="0" applyFont="1" applyAlignment="1">
      <alignment horizontal="center" vertical="center"/>
    </xf>
    <xf numFmtId="0" fontId="13" fillId="0" borderId="1" xfId="0" applyFont="1" applyBorder="1" applyAlignment="1">
      <alignment horizontal="center" vertical="center" wrapText="1"/>
    </xf>
    <xf numFmtId="0" fontId="0" fillId="0" borderId="5" xfId="0" applyBorder="1"/>
    <xf numFmtId="0" fontId="0" fillId="0" borderId="2" xfId="0" applyBorder="1"/>
    <xf numFmtId="0" fontId="0" fillId="0" borderId="3" xfId="0" applyBorder="1"/>
    <xf numFmtId="0" fontId="13" fillId="0" borderId="0" xfId="0" quotePrefix="1" applyFont="1" applyAlignment="1">
      <alignment horizontal="left" vertical="center" wrapText="1"/>
    </xf>
    <xf numFmtId="0" fontId="13" fillId="0" borderId="0" xfId="0" applyFont="1" applyAlignment="1">
      <alignment vertical="center"/>
    </xf>
    <xf numFmtId="164" fontId="13" fillId="0" borderId="1" xfId="1" applyNumberFormat="1" applyFont="1" applyBorder="1" applyAlignment="1" applyProtection="1">
      <alignment horizontal="center" vertical="center" wrapText="1"/>
      <protection locked="0"/>
    </xf>
    <xf numFmtId="0" fontId="0" fillId="0" borderId="5" xfId="0" applyBorder="1" applyProtection="1">
      <protection locked="0"/>
    </xf>
    <xf numFmtId="0" fontId="12" fillId="0" borderId="0" xfId="0" applyFont="1" applyAlignment="1">
      <alignment vertical="center" wrapText="1"/>
    </xf>
    <xf numFmtId="0" fontId="12" fillId="0" borderId="0" xfId="0" applyFont="1" applyAlignment="1">
      <alignment vertical="center"/>
    </xf>
    <xf numFmtId="0" fontId="12" fillId="0" borderId="0" xfId="0" applyFont="1"/>
    <xf numFmtId="164" fontId="12" fillId="0" borderId="0" xfId="1" applyNumberFormat="1" applyFont="1" applyAlignment="1" applyProtection="1">
      <alignment vertical="center"/>
      <protection locked="0"/>
    </xf>
    <xf numFmtId="0" fontId="0" fillId="0" borderId="3" xfId="0" applyBorder="1" applyProtection="1">
      <protection locked="0"/>
    </xf>
    <xf numFmtId="164" fontId="12" fillId="0" borderId="0" xfId="1" applyNumberFormat="1" applyFont="1" applyProtection="1">
      <protection locked="0"/>
    </xf>
    <xf numFmtId="0" fontId="12" fillId="0" borderId="0" xfId="0" applyFont="1" applyAlignment="1" applyProtection="1">
      <alignment vertical="center"/>
      <protection locked="0"/>
    </xf>
    <xf numFmtId="0" fontId="12" fillId="0" borderId="0" xfId="0" applyFont="1" applyProtection="1">
      <protection locked="0"/>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QT\Documents\Zalo%20Received%20Files\01.%20TH&#7846;U%20&#272;&#431;&#7900;NG%20QL10-%20H&#7842;I%20TI&#7870;N%203.5.2022\Tu&#7845;n%20Linh%20DC%20thau%20Ho&#224;ng%20ch&#7841;y%20gi&#225;%20th&#7847;u%20TTBS%20ban%20cu&#7889;i%20ok%20-%20g&#7889;c%20t1.2023%20-%20Cop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QT\Documents\Zalo%20Received%20Files\01.%20TH&#7846;U%20&#272;&#431;&#7900;NG%20QL10-%20H&#7842;I%20TI&#7870;N%203.5.2022\2.%20H.Ha%20H.Dat%20PA5%20ch&#7889;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QT\Documents\Zalo%20Received%20Files\01.%20TH&#7846;U%20&#272;&#431;&#7900;NG%20QL10-%20H&#7842;I%20TI&#7870;N%203.5.2022\3.%20H.Yen%20PA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1.%20C&#212;NG%20VI&#7878;C\1.%20Cty%20Tuan%20Linh\21.%20&#272;&#432;&#7901;ng%20QL10\2.%20H&#272;%20v&#224;%20PLH&#272;%20QL10\2.%20PLH&#272;%20QL10%20-%20(2-1-2025)%20PS\2.%20PLH&#272;%20Ql10%20-%20(02.1.2025)%20P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ông trình"/>
      <sheetName val="Hao phí vật tư"/>
      <sheetName val="Vật liệu"/>
      <sheetName val="Nhân công"/>
      <sheetName val="Máy thi công"/>
      <sheetName val="TH dự toán hạng mục"/>
      <sheetName val="TH dự toán công trình"/>
      <sheetName val="Đơn giá chi tiết"/>
      <sheetName val="Dự thầu"/>
      <sheetName val="TH giá dự thầu"/>
      <sheetName val="Dự phòng trượt giá"/>
      <sheetName val="Dự toán gói thầu xây dựng"/>
      <sheetName val="Dự toán gói thầu thiết bị"/>
      <sheetName val="Tổng mức đầu tư"/>
      <sheetName val="Chi phí thiết bị"/>
      <sheetName val="Hạng mục chung"/>
      <sheetName val="Thuyết minh"/>
      <sheetName val="Bìa ngoài"/>
      <sheetName val="Bìa trong"/>
      <sheetName val="Nháp"/>
      <sheetName val="Cước ô tô"/>
      <sheetName val="Cước ô tô kết hợp"/>
      <sheetName val="Cước bộ"/>
      <sheetName val="Cước sông"/>
      <sheetName val="Lương nhân công"/>
      <sheetName val="Tính giá ca máy"/>
      <sheetName val="Bù giá ca máy"/>
      <sheetName val="Tổng hợp nhiên liệu"/>
      <sheetName val="Thanh toán KL hoàn thành"/>
      <sheetName val="Thanh toán KL phát sinh"/>
      <sheetName val="Tổng hợp VL,NC,M"/>
      <sheetName val="Đơn giá chi tiết rút gọn"/>
      <sheetName val="Đơn giá tổng hợp"/>
      <sheetName val="Tổng hợp phụ lục vữa"/>
      <sheetName val="Vật liệu vận chuyển lên cao"/>
      <sheetName val="Hệ số"/>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6">
          <cell r="G6">
            <v>646</v>
          </cell>
        </row>
        <row r="8">
          <cell r="G8">
            <v>20072</v>
          </cell>
        </row>
        <row r="9">
          <cell r="G9">
            <v>30610</v>
          </cell>
        </row>
        <row r="10">
          <cell r="G10">
            <v>12342</v>
          </cell>
        </row>
        <row r="11">
          <cell r="G11">
            <v>12936</v>
          </cell>
        </row>
        <row r="12">
          <cell r="G12">
            <v>8251</v>
          </cell>
        </row>
        <row r="13">
          <cell r="G13">
            <v>12936</v>
          </cell>
        </row>
        <row r="14">
          <cell r="G14">
            <v>12936</v>
          </cell>
        </row>
        <row r="15">
          <cell r="G15">
            <v>15775</v>
          </cell>
        </row>
        <row r="16">
          <cell r="G16">
            <v>50585</v>
          </cell>
        </row>
        <row r="17">
          <cell r="G17">
            <v>54405</v>
          </cell>
        </row>
        <row r="18">
          <cell r="G18">
            <v>91617</v>
          </cell>
        </row>
        <row r="19">
          <cell r="G19">
            <v>440750</v>
          </cell>
        </row>
        <row r="20">
          <cell r="G20">
            <v>408459</v>
          </cell>
        </row>
        <row r="21">
          <cell r="G21">
            <v>39661</v>
          </cell>
        </row>
        <row r="25">
          <cell r="G25">
            <v>40424</v>
          </cell>
        </row>
        <row r="29">
          <cell r="G29">
            <v>45382</v>
          </cell>
        </row>
        <row r="33">
          <cell r="G33">
            <v>56948</v>
          </cell>
        </row>
        <row r="37">
          <cell r="G37">
            <v>2096</v>
          </cell>
        </row>
        <row r="38">
          <cell r="G38">
            <v>8251</v>
          </cell>
        </row>
        <row r="40">
          <cell r="G40">
            <v>20017</v>
          </cell>
        </row>
        <row r="41">
          <cell r="G41">
            <v>36456</v>
          </cell>
        </row>
        <row r="44">
          <cell r="G44">
            <v>12936</v>
          </cell>
        </row>
        <row r="45">
          <cell r="G45">
            <v>12936</v>
          </cell>
        </row>
        <row r="46">
          <cell r="G46">
            <v>12342</v>
          </cell>
        </row>
        <row r="47">
          <cell r="G47">
            <v>6611</v>
          </cell>
        </row>
        <row r="48">
          <cell r="G48">
            <v>12936</v>
          </cell>
        </row>
        <row r="49">
          <cell r="G49">
            <v>12342</v>
          </cell>
        </row>
        <row r="50">
          <cell r="G50">
            <v>6611</v>
          </cell>
        </row>
        <row r="51">
          <cell r="G51">
            <v>868453</v>
          </cell>
        </row>
        <row r="52">
          <cell r="G52">
            <v>26716</v>
          </cell>
        </row>
        <row r="53">
          <cell r="G53">
            <v>32141</v>
          </cell>
        </row>
        <row r="54">
          <cell r="G54">
            <v>7813</v>
          </cell>
        </row>
        <row r="56">
          <cell r="G56">
            <v>267174</v>
          </cell>
        </row>
        <row r="58">
          <cell r="G58">
            <v>20867</v>
          </cell>
        </row>
        <row r="59">
          <cell r="G59">
            <v>12936</v>
          </cell>
        </row>
        <row r="60">
          <cell r="G60">
            <v>301142</v>
          </cell>
        </row>
        <row r="61">
          <cell r="G61">
            <v>191443</v>
          </cell>
        </row>
        <row r="62">
          <cell r="G62">
            <v>184138</v>
          </cell>
        </row>
        <row r="63">
          <cell r="G63">
            <v>33697650</v>
          </cell>
        </row>
        <row r="64">
          <cell r="G64">
            <v>17859</v>
          </cell>
        </row>
        <row r="65">
          <cell r="G65">
            <v>11015</v>
          </cell>
        </row>
        <row r="66">
          <cell r="G66">
            <v>1646788</v>
          </cell>
        </row>
        <row r="67">
          <cell r="G67">
            <v>5344325</v>
          </cell>
        </row>
        <row r="68">
          <cell r="G68">
            <v>3528952</v>
          </cell>
        </row>
        <row r="69">
          <cell r="G69">
            <v>26753</v>
          </cell>
        </row>
        <row r="70">
          <cell r="G70">
            <v>352760</v>
          </cell>
        </row>
        <row r="71">
          <cell r="G71">
            <v>334047</v>
          </cell>
        </row>
        <row r="72">
          <cell r="G72">
            <v>11015</v>
          </cell>
        </row>
        <row r="73">
          <cell r="G73">
            <v>1646788</v>
          </cell>
        </row>
        <row r="74">
          <cell r="G74">
            <v>5344325</v>
          </cell>
        </row>
        <row r="75">
          <cell r="G75">
            <v>3528952</v>
          </cell>
        </row>
        <row r="76">
          <cell r="G76">
            <v>15319</v>
          </cell>
        </row>
        <row r="77">
          <cell r="G77">
            <v>63114</v>
          </cell>
        </row>
        <row r="78">
          <cell r="G78">
            <v>213590</v>
          </cell>
        </row>
        <row r="82">
          <cell r="G82">
            <v>173886</v>
          </cell>
        </row>
        <row r="83">
          <cell r="G83">
            <v>330238</v>
          </cell>
        </row>
        <row r="84">
          <cell r="G84">
            <v>1191268</v>
          </cell>
        </row>
        <row r="85">
          <cell r="G85">
            <v>1572721</v>
          </cell>
        </row>
        <row r="86">
          <cell r="G86">
            <v>1191268</v>
          </cell>
        </row>
        <row r="87">
          <cell r="G87">
            <v>10394299</v>
          </cell>
        </row>
        <row r="88">
          <cell r="G88">
            <v>1191268</v>
          </cell>
        </row>
        <row r="89">
          <cell r="G89">
            <v>320929</v>
          </cell>
        </row>
        <row r="90">
          <cell r="G90">
            <v>10394299</v>
          </cell>
        </row>
        <row r="91">
          <cell r="G91">
            <v>1191268</v>
          </cell>
        </row>
        <row r="92">
          <cell r="G92">
            <v>355817</v>
          </cell>
        </row>
        <row r="93">
          <cell r="G93">
            <v>10394299</v>
          </cell>
        </row>
        <row r="94">
          <cell r="G94">
            <v>1191268</v>
          </cell>
        </row>
        <row r="95">
          <cell r="G95">
            <v>388691</v>
          </cell>
        </row>
        <row r="97">
          <cell r="G97">
            <v>10394299</v>
          </cell>
        </row>
        <row r="98">
          <cell r="G98">
            <v>1191268</v>
          </cell>
        </row>
        <row r="99">
          <cell r="G99">
            <v>169013</v>
          </cell>
        </row>
        <row r="101">
          <cell r="G101">
            <v>84830</v>
          </cell>
        </row>
        <row r="102">
          <cell r="G102">
            <v>381736</v>
          </cell>
        </row>
        <row r="103">
          <cell r="G103">
            <v>145061</v>
          </cell>
        </row>
        <row r="104">
          <cell r="G104">
            <v>1909908</v>
          </cell>
        </row>
        <row r="105">
          <cell r="G105">
            <v>2096</v>
          </cell>
        </row>
        <row r="106">
          <cell r="G106">
            <v>963779</v>
          </cell>
        </row>
        <row r="127">
          <cell r="G127">
            <v>20072</v>
          </cell>
        </row>
        <row r="128">
          <cell r="G128">
            <v>30610</v>
          </cell>
        </row>
        <row r="129">
          <cell r="G129">
            <v>12342</v>
          </cell>
        </row>
        <row r="130">
          <cell r="G130">
            <v>12936</v>
          </cell>
        </row>
        <row r="132">
          <cell r="G132">
            <v>12936</v>
          </cell>
        </row>
        <row r="133">
          <cell r="G133">
            <v>15775</v>
          </cell>
        </row>
        <row r="134">
          <cell r="G134">
            <v>50585</v>
          </cell>
        </row>
        <row r="135">
          <cell r="G135">
            <v>54405</v>
          </cell>
        </row>
        <row r="136">
          <cell r="G136">
            <v>91617</v>
          </cell>
        </row>
        <row r="137">
          <cell r="G137">
            <v>440750</v>
          </cell>
        </row>
        <row r="138">
          <cell r="G138">
            <v>408459</v>
          </cell>
        </row>
        <row r="146">
          <cell r="G146">
            <v>11015</v>
          </cell>
        </row>
        <row r="147">
          <cell r="G147">
            <v>1646788</v>
          </cell>
        </row>
        <row r="148">
          <cell r="G148">
            <v>5344325</v>
          </cell>
        </row>
        <row r="149">
          <cell r="G149">
            <v>3528952</v>
          </cell>
        </row>
        <row r="150">
          <cell r="G150">
            <v>15319</v>
          </cell>
        </row>
        <row r="151">
          <cell r="G151">
            <v>63114</v>
          </cell>
        </row>
        <row r="152">
          <cell r="G152">
            <v>213590</v>
          </cell>
        </row>
        <row r="156">
          <cell r="G156">
            <v>173886</v>
          </cell>
        </row>
        <row r="159">
          <cell r="G159">
            <v>11015</v>
          </cell>
        </row>
        <row r="160">
          <cell r="G160">
            <v>1646788</v>
          </cell>
        </row>
        <row r="161">
          <cell r="G161">
            <v>5344325</v>
          </cell>
        </row>
        <row r="162">
          <cell r="G162">
            <v>3528952</v>
          </cell>
        </row>
        <row r="163">
          <cell r="G163">
            <v>15319</v>
          </cell>
        </row>
        <row r="164">
          <cell r="G164">
            <v>213590</v>
          </cell>
        </row>
        <row r="188">
          <cell r="G188">
            <v>23801</v>
          </cell>
        </row>
        <row r="189">
          <cell r="G189">
            <v>23801</v>
          </cell>
        </row>
        <row r="190">
          <cell r="G190">
            <v>30610</v>
          </cell>
        </row>
        <row r="191">
          <cell r="G191">
            <v>12342</v>
          </cell>
        </row>
        <row r="192">
          <cell r="G192">
            <v>12936</v>
          </cell>
        </row>
        <row r="193">
          <cell r="G193">
            <v>8251</v>
          </cell>
        </row>
        <row r="194">
          <cell r="G194">
            <v>32141</v>
          </cell>
        </row>
        <row r="195">
          <cell r="G195">
            <v>12936</v>
          </cell>
        </row>
        <row r="196">
          <cell r="G196">
            <v>50585</v>
          </cell>
        </row>
        <row r="197">
          <cell r="G197">
            <v>54405</v>
          </cell>
        </row>
        <row r="198">
          <cell r="G198">
            <v>91617</v>
          </cell>
        </row>
        <row r="199">
          <cell r="G199">
            <v>440750</v>
          </cell>
        </row>
        <row r="200">
          <cell r="G200">
            <v>408459</v>
          </cell>
        </row>
        <row r="201">
          <cell r="G201">
            <v>11015</v>
          </cell>
        </row>
        <row r="202">
          <cell r="G202">
            <v>9552</v>
          </cell>
        </row>
        <row r="204">
          <cell r="G204">
            <v>5344325</v>
          </cell>
        </row>
        <row r="205">
          <cell r="G205">
            <v>3528952</v>
          </cell>
        </row>
        <row r="206">
          <cell r="G206">
            <v>15319</v>
          </cell>
        </row>
        <row r="207">
          <cell r="G207">
            <v>11015</v>
          </cell>
        </row>
        <row r="209">
          <cell r="G209">
            <v>5344325</v>
          </cell>
        </row>
        <row r="210">
          <cell r="G210">
            <v>3528952</v>
          </cell>
        </row>
        <row r="211">
          <cell r="G211">
            <v>26753</v>
          </cell>
        </row>
        <row r="212">
          <cell r="G212">
            <v>352760</v>
          </cell>
        </row>
        <row r="213">
          <cell r="G213">
            <v>11015</v>
          </cell>
        </row>
        <row r="215">
          <cell r="G215">
            <v>5344325</v>
          </cell>
        </row>
        <row r="216">
          <cell r="G216">
            <v>3528952</v>
          </cell>
        </row>
        <row r="217">
          <cell r="G217">
            <v>26753</v>
          </cell>
        </row>
        <row r="218">
          <cell r="G218">
            <v>352760</v>
          </cell>
        </row>
        <row r="238">
          <cell r="G238">
            <v>17057</v>
          </cell>
        </row>
        <row r="239">
          <cell r="G239">
            <v>20867</v>
          </cell>
        </row>
        <row r="240">
          <cell r="G240">
            <v>7229</v>
          </cell>
        </row>
        <row r="241">
          <cell r="G241">
            <v>40424</v>
          </cell>
        </row>
        <row r="245">
          <cell r="G245">
            <v>45382</v>
          </cell>
        </row>
        <row r="249">
          <cell r="G249">
            <v>2096</v>
          </cell>
        </row>
        <row r="250">
          <cell r="G250">
            <v>37000</v>
          </cell>
        </row>
        <row r="251">
          <cell r="G251">
            <v>350264</v>
          </cell>
        </row>
        <row r="252">
          <cell r="G252">
            <v>12936</v>
          </cell>
        </row>
        <row r="253">
          <cell r="G253">
            <v>50585</v>
          </cell>
        </row>
        <row r="254">
          <cell r="G254">
            <v>91617</v>
          </cell>
        </row>
        <row r="255">
          <cell r="G255">
            <v>440750</v>
          </cell>
        </row>
        <row r="256">
          <cell r="G256">
            <v>408459</v>
          </cell>
        </row>
        <row r="259">
          <cell r="G259">
            <v>1561916</v>
          </cell>
        </row>
        <row r="260">
          <cell r="G260">
            <v>104798</v>
          </cell>
        </row>
        <row r="261">
          <cell r="G261">
            <v>842139</v>
          </cell>
        </row>
        <row r="262">
          <cell r="G262">
            <v>1631803</v>
          </cell>
        </row>
        <row r="263">
          <cell r="G263">
            <v>87361</v>
          </cell>
        </row>
        <row r="264">
          <cell r="G264">
            <v>27096238</v>
          </cell>
        </row>
        <row r="265">
          <cell r="G265">
            <v>27096238</v>
          </cell>
        </row>
        <row r="266">
          <cell r="G266">
            <v>52812</v>
          </cell>
        </row>
        <row r="267">
          <cell r="G267">
            <v>32162</v>
          </cell>
        </row>
        <row r="268">
          <cell r="G268">
            <v>42761</v>
          </cell>
        </row>
        <row r="269">
          <cell r="G269">
            <v>294187</v>
          </cell>
        </row>
        <row r="270">
          <cell r="G270">
            <v>1191268</v>
          </cell>
        </row>
        <row r="271">
          <cell r="G271">
            <v>1561916</v>
          </cell>
        </row>
        <row r="272">
          <cell r="G272">
            <v>104798</v>
          </cell>
        </row>
        <row r="273">
          <cell r="G273">
            <v>842139</v>
          </cell>
        </row>
        <row r="274">
          <cell r="G274">
            <v>1866757</v>
          </cell>
        </row>
        <row r="275">
          <cell r="G275">
            <v>96659</v>
          </cell>
        </row>
        <row r="276">
          <cell r="G276">
            <v>1631803</v>
          </cell>
        </row>
        <row r="277">
          <cell r="G277">
            <v>87361</v>
          </cell>
        </row>
        <row r="278">
          <cell r="G278">
            <v>27096238</v>
          </cell>
        </row>
        <row r="279">
          <cell r="G279">
            <v>27096238</v>
          </cell>
        </row>
        <row r="280">
          <cell r="G280">
            <v>51234</v>
          </cell>
        </row>
        <row r="281">
          <cell r="G281">
            <v>32162</v>
          </cell>
        </row>
        <row r="282">
          <cell r="G282">
            <v>294187</v>
          </cell>
        </row>
        <row r="283">
          <cell r="G283">
            <v>1191268</v>
          </cell>
        </row>
        <row r="284">
          <cell r="G284">
            <v>1533135</v>
          </cell>
        </row>
        <row r="285">
          <cell r="G285">
            <v>87361</v>
          </cell>
        </row>
        <row r="286">
          <cell r="G286">
            <v>46054</v>
          </cell>
        </row>
        <row r="287">
          <cell r="G287">
            <v>51234</v>
          </cell>
        </row>
        <row r="288">
          <cell r="G288">
            <v>32162</v>
          </cell>
        </row>
        <row r="290">
          <cell r="G290">
            <v>1631803</v>
          </cell>
        </row>
        <row r="291">
          <cell r="G291">
            <v>87361</v>
          </cell>
        </row>
        <row r="292">
          <cell r="G292">
            <v>27096238</v>
          </cell>
        </row>
        <row r="293">
          <cell r="G293">
            <v>27096238</v>
          </cell>
        </row>
        <row r="294">
          <cell r="G294">
            <v>51234</v>
          </cell>
        </row>
        <row r="295">
          <cell r="G295">
            <v>33301</v>
          </cell>
        </row>
        <row r="296">
          <cell r="G296">
            <v>32162</v>
          </cell>
        </row>
        <row r="297">
          <cell r="G297">
            <v>36395</v>
          </cell>
        </row>
        <row r="298">
          <cell r="G298">
            <v>787114</v>
          </cell>
        </row>
        <row r="299">
          <cell r="G299">
            <v>1551168</v>
          </cell>
        </row>
        <row r="300">
          <cell r="G300">
            <v>1191268</v>
          </cell>
        </row>
        <row r="301">
          <cell r="G301">
            <v>10479792</v>
          </cell>
        </row>
        <row r="302">
          <cell r="G302">
            <v>42922</v>
          </cell>
        </row>
        <row r="303">
          <cell r="G303">
            <v>51234</v>
          </cell>
        </row>
        <row r="304">
          <cell r="G304">
            <v>33301</v>
          </cell>
        </row>
        <row r="305">
          <cell r="G305">
            <v>32162</v>
          </cell>
        </row>
        <row r="306">
          <cell r="G306">
            <v>9700</v>
          </cell>
        </row>
        <row r="312">
          <cell r="G312">
            <v>1561916</v>
          </cell>
        </row>
        <row r="313">
          <cell r="G313">
            <v>842139</v>
          </cell>
        </row>
        <row r="314">
          <cell r="G314">
            <v>23993</v>
          </cell>
        </row>
        <row r="315">
          <cell r="G315">
            <v>32141</v>
          </cell>
        </row>
        <row r="317">
          <cell r="G317">
            <v>1561916</v>
          </cell>
        </row>
        <row r="319">
          <cell r="G319">
            <v>174514</v>
          </cell>
        </row>
        <row r="320">
          <cell r="G320">
            <v>842139</v>
          </cell>
        </row>
        <row r="321">
          <cell r="G321">
            <v>1833267</v>
          </cell>
        </row>
        <row r="322">
          <cell r="G322">
            <v>96659</v>
          </cell>
        </row>
        <row r="323">
          <cell r="G323">
            <v>1388494</v>
          </cell>
        </row>
        <row r="325">
          <cell r="G325">
            <v>2081456</v>
          </cell>
        </row>
        <row r="326">
          <cell r="G326">
            <v>104798</v>
          </cell>
        </row>
        <row r="327">
          <cell r="G327">
            <v>26204757</v>
          </cell>
        </row>
        <row r="329">
          <cell r="G329">
            <v>1631803</v>
          </cell>
        </row>
        <row r="330">
          <cell r="G330">
            <v>102621</v>
          </cell>
        </row>
        <row r="331">
          <cell r="G331">
            <v>27096238</v>
          </cell>
        </row>
        <row r="332">
          <cell r="G332">
            <v>27096238</v>
          </cell>
        </row>
        <row r="333">
          <cell r="G333">
            <v>52812</v>
          </cell>
        </row>
        <row r="334">
          <cell r="G334">
            <v>32162</v>
          </cell>
        </row>
        <row r="335">
          <cell r="G335">
            <v>42761</v>
          </cell>
        </row>
        <row r="336">
          <cell r="G336">
            <v>36395</v>
          </cell>
        </row>
        <row r="338">
          <cell r="G338">
            <v>1631803</v>
          </cell>
        </row>
        <row r="339">
          <cell r="G339">
            <v>102621</v>
          </cell>
        </row>
        <row r="340">
          <cell r="G340">
            <v>27096238</v>
          </cell>
        </row>
        <row r="341">
          <cell r="G341">
            <v>27096238</v>
          </cell>
        </row>
        <row r="342">
          <cell r="G342">
            <v>79217</v>
          </cell>
        </row>
        <row r="343">
          <cell r="G343">
            <v>65424</v>
          </cell>
        </row>
        <row r="344">
          <cell r="G344">
            <v>32162</v>
          </cell>
        </row>
        <row r="345">
          <cell r="G345">
            <v>42761</v>
          </cell>
        </row>
        <row r="346">
          <cell r="G346">
            <v>452947</v>
          </cell>
        </row>
        <row r="347">
          <cell r="G347">
            <v>1399730</v>
          </cell>
        </row>
        <row r="348">
          <cell r="G348">
            <v>104798</v>
          </cell>
        </row>
        <row r="349">
          <cell r="G349">
            <v>842139</v>
          </cell>
        </row>
        <row r="351">
          <cell r="G351">
            <v>854417</v>
          </cell>
        </row>
        <row r="352">
          <cell r="G352">
            <v>96659</v>
          </cell>
        </row>
        <row r="353">
          <cell r="G353">
            <v>72328</v>
          </cell>
        </row>
        <row r="354">
          <cell r="G354">
            <v>1881449</v>
          </cell>
        </row>
        <row r="355">
          <cell r="G355">
            <v>104798</v>
          </cell>
        </row>
        <row r="356">
          <cell r="G356">
            <v>1881449</v>
          </cell>
        </row>
        <row r="357">
          <cell r="G357">
            <v>104798</v>
          </cell>
        </row>
        <row r="358">
          <cell r="G358">
            <v>1399730</v>
          </cell>
        </row>
        <row r="359">
          <cell r="G359">
            <v>842139</v>
          </cell>
        </row>
        <row r="360">
          <cell r="G360">
            <v>104798</v>
          </cell>
        </row>
        <row r="361">
          <cell r="G361">
            <v>1399730</v>
          </cell>
        </row>
        <row r="362">
          <cell r="G362">
            <v>842139</v>
          </cell>
        </row>
        <row r="363">
          <cell r="G363">
            <v>104798</v>
          </cell>
        </row>
        <row r="364">
          <cell r="G364">
            <v>1388494</v>
          </cell>
        </row>
        <row r="365">
          <cell r="G365">
            <v>842139</v>
          </cell>
        </row>
        <row r="366">
          <cell r="G366">
            <v>1332575</v>
          </cell>
        </row>
        <row r="367">
          <cell r="G367">
            <v>842139</v>
          </cell>
        </row>
        <row r="368">
          <cell r="G368">
            <v>1399730</v>
          </cell>
        </row>
        <row r="369">
          <cell r="G369">
            <v>104798</v>
          </cell>
        </row>
        <row r="370">
          <cell r="G370">
            <v>667791</v>
          </cell>
        </row>
        <row r="371">
          <cell r="G371">
            <v>1191268</v>
          </cell>
        </row>
        <row r="372">
          <cell r="G372">
            <v>104798</v>
          </cell>
        </row>
        <row r="373">
          <cell r="G373">
            <v>842139</v>
          </cell>
        </row>
        <row r="374">
          <cell r="G374">
            <v>1866757</v>
          </cell>
        </row>
        <row r="375">
          <cell r="G375">
            <v>79477</v>
          </cell>
        </row>
        <row r="376">
          <cell r="G376">
            <v>1631803</v>
          </cell>
        </row>
        <row r="377">
          <cell r="G377">
            <v>87361</v>
          </cell>
        </row>
        <row r="378">
          <cell r="G378">
            <v>27096238</v>
          </cell>
        </row>
        <row r="379">
          <cell r="G379">
            <v>27096238</v>
          </cell>
        </row>
        <row r="380">
          <cell r="G380">
            <v>51234</v>
          </cell>
        </row>
        <row r="381">
          <cell r="G381">
            <v>32162</v>
          </cell>
        </row>
        <row r="382">
          <cell r="G382">
            <v>36395</v>
          </cell>
        </row>
        <row r="383">
          <cell r="G383">
            <v>1191268</v>
          </cell>
        </row>
        <row r="384">
          <cell r="G384">
            <v>1533135</v>
          </cell>
        </row>
        <row r="385">
          <cell r="G385">
            <v>87361</v>
          </cell>
        </row>
        <row r="386">
          <cell r="G386">
            <v>320929</v>
          </cell>
        </row>
        <row r="387">
          <cell r="G387">
            <v>51234</v>
          </cell>
        </row>
        <row r="388">
          <cell r="G388">
            <v>32162</v>
          </cell>
        </row>
        <row r="389">
          <cell r="G389">
            <v>1631803</v>
          </cell>
        </row>
        <row r="390">
          <cell r="G390">
            <v>87361</v>
          </cell>
        </row>
        <row r="391">
          <cell r="G391">
            <v>27096238</v>
          </cell>
        </row>
        <row r="392">
          <cell r="G392">
            <v>27096238</v>
          </cell>
        </row>
        <row r="393">
          <cell r="G393">
            <v>51234</v>
          </cell>
        </row>
        <row r="394">
          <cell r="G394">
            <v>32162</v>
          </cell>
        </row>
        <row r="395">
          <cell r="G395">
            <v>36395</v>
          </cell>
        </row>
        <row r="396">
          <cell r="G396">
            <v>787114</v>
          </cell>
        </row>
        <row r="416">
          <cell r="G416">
            <v>4332357</v>
          </cell>
        </row>
        <row r="417">
          <cell r="G417">
            <v>7260882</v>
          </cell>
        </row>
        <row r="418">
          <cell r="G418">
            <v>13690906</v>
          </cell>
        </row>
        <row r="419">
          <cell r="G419">
            <v>22094501</v>
          </cell>
        </row>
        <row r="420">
          <cell r="G420">
            <v>725765</v>
          </cell>
        </row>
        <row r="421">
          <cell r="G421">
            <v>1056816</v>
          </cell>
        </row>
        <row r="422">
          <cell r="G422">
            <v>4227263</v>
          </cell>
        </row>
        <row r="423">
          <cell r="G423">
            <v>10754096</v>
          </cell>
        </row>
        <row r="424">
          <cell r="G424">
            <v>8589534</v>
          </cell>
        </row>
        <row r="425">
          <cell r="G425">
            <v>8080225</v>
          </cell>
        </row>
        <row r="426">
          <cell r="G426">
            <v>9035179</v>
          </cell>
        </row>
        <row r="427">
          <cell r="G427">
            <v>5788335</v>
          </cell>
        </row>
        <row r="428">
          <cell r="G428">
            <v>95959049</v>
          </cell>
        </row>
        <row r="429">
          <cell r="G429">
            <v>786882</v>
          </cell>
        </row>
        <row r="430">
          <cell r="G430">
            <v>235597</v>
          </cell>
        </row>
        <row r="431">
          <cell r="G431">
            <v>155482</v>
          </cell>
        </row>
        <row r="432">
          <cell r="G432">
            <v>47417</v>
          </cell>
        </row>
        <row r="433">
          <cell r="G433">
            <v>1313212</v>
          </cell>
        </row>
        <row r="434">
          <cell r="G434">
            <v>42291</v>
          </cell>
        </row>
        <row r="435">
          <cell r="G435">
            <v>194956</v>
          </cell>
        </row>
        <row r="439">
          <cell r="G439">
            <v>39395</v>
          </cell>
        </row>
        <row r="440">
          <cell r="G440">
            <v>440823</v>
          </cell>
        </row>
        <row r="441">
          <cell r="G441">
            <v>98805</v>
          </cell>
        </row>
        <row r="442">
          <cell r="G442">
            <v>96659</v>
          </cell>
        </row>
        <row r="443">
          <cell r="G443">
            <v>1399730</v>
          </cell>
        </row>
        <row r="444">
          <cell r="G444">
            <v>5910534</v>
          </cell>
        </row>
        <row r="457">
          <cell r="G457">
            <v>16542870</v>
          </cell>
        </row>
        <row r="458">
          <cell r="G458">
            <v>8589785</v>
          </cell>
        </row>
        <row r="459">
          <cell r="G459">
            <v>6367</v>
          </cell>
        </row>
        <row r="460">
          <cell r="G460">
            <v>128081</v>
          </cell>
        </row>
        <row r="461">
          <cell r="G461">
            <v>1535</v>
          </cell>
        </row>
        <row r="462">
          <cell r="G462">
            <v>1024648</v>
          </cell>
        </row>
        <row r="463">
          <cell r="G463">
            <v>304833</v>
          </cell>
        </row>
        <row r="464">
          <cell r="G464">
            <v>404736</v>
          </cell>
        </row>
        <row r="465">
          <cell r="G465">
            <v>15432203</v>
          </cell>
        </row>
        <row r="466">
          <cell r="G466">
            <v>353505</v>
          </cell>
        </row>
        <row r="467">
          <cell r="G467">
            <v>279217</v>
          </cell>
        </row>
        <row r="468">
          <cell r="G468">
            <v>410010</v>
          </cell>
        </row>
        <row r="469">
          <cell r="G469">
            <v>143451</v>
          </cell>
        </row>
        <row r="470">
          <cell r="G470">
            <v>23390</v>
          </cell>
        </row>
        <row r="471">
          <cell r="G471">
            <v>16271</v>
          </cell>
        </row>
        <row r="491">
          <cell r="G491">
            <v>519576</v>
          </cell>
        </row>
        <row r="492">
          <cell r="G492">
            <v>1113651</v>
          </cell>
        </row>
        <row r="493">
          <cell r="G493">
            <v>56885</v>
          </cell>
        </row>
        <row r="494">
          <cell r="G494">
            <v>304700</v>
          </cell>
        </row>
        <row r="495">
          <cell r="G495">
            <v>319853</v>
          </cell>
        </row>
        <row r="496">
          <cell r="G496">
            <v>313792</v>
          </cell>
        </row>
        <row r="498">
          <cell r="G498">
            <v>313792</v>
          </cell>
        </row>
        <row r="499">
          <cell r="G499">
            <v>313792</v>
          </cell>
        </row>
        <row r="500">
          <cell r="G500">
            <v>492731</v>
          </cell>
        </row>
        <row r="501">
          <cell r="G501">
            <v>1021897</v>
          </cell>
        </row>
        <row r="502">
          <cell r="G502">
            <v>1021897</v>
          </cell>
        </row>
        <row r="504">
          <cell r="G504">
            <v>1755842</v>
          </cell>
        </row>
        <row r="505">
          <cell r="G505">
            <v>804708</v>
          </cell>
        </row>
        <row r="506">
          <cell r="G506">
            <v>171892</v>
          </cell>
        </row>
        <row r="509">
          <cell r="G509">
            <v>383011</v>
          </cell>
        </row>
        <row r="510">
          <cell r="G510">
            <v>308087</v>
          </cell>
        </row>
        <row r="513">
          <cell r="G513">
            <v>266456</v>
          </cell>
        </row>
        <row r="514">
          <cell r="G514">
            <v>50931</v>
          </cell>
        </row>
        <row r="515">
          <cell r="G515">
            <v>214498</v>
          </cell>
        </row>
        <row r="516">
          <cell r="G516">
            <v>143451</v>
          </cell>
        </row>
        <row r="517">
          <cell r="G517">
            <v>138235</v>
          </cell>
        </row>
        <row r="849">
          <cell r="G849">
            <v>28765433</v>
          </cell>
        </row>
        <row r="850">
          <cell r="G850">
            <v>27004108</v>
          </cell>
        </row>
        <row r="851">
          <cell r="G851">
            <v>1871647</v>
          </cell>
        </row>
        <row r="852">
          <cell r="G852">
            <v>57102</v>
          </cell>
        </row>
        <row r="855">
          <cell r="G855">
            <v>115728</v>
          </cell>
        </row>
        <row r="856">
          <cell r="G856">
            <v>561271</v>
          </cell>
        </row>
        <row r="857">
          <cell r="G857">
            <v>113802</v>
          </cell>
        </row>
        <row r="858">
          <cell r="G858">
            <v>91827</v>
          </cell>
        </row>
        <row r="859">
          <cell r="G859">
            <v>3619</v>
          </cell>
        </row>
        <row r="860">
          <cell r="G860">
            <v>1725249</v>
          </cell>
        </row>
        <row r="861">
          <cell r="G861">
            <v>28097053</v>
          </cell>
        </row>
        <row r="862">
          <cell r="G862">
            <v>86606</v>
          </cell>
        </row>
        <row r="863">
          <cell r="G863">
            <v>36395</v>
          </cell>
        </row>
        <row r="864">
          <cell r="G864">
            <v>113802</v>
          </cell>
        </row>
        <row r="865">
          <cell r="G865">
            <v>91827</v>
          </cell>
        </row>
        <row r="866">
          <cell r="G866">
            <v>36181</v>
          </cell>
        </row>
        <row r="867">
          <cell r="G867">
            <v>842139</v>
          </cell>
        </row>
        <row r="868">
          <cell r="G868">
            <v>63427</v>
          </cell>
        </row>
        <row r="869">
          <cell r="G869">
            <v>76805</v>
          </cell>
        </row>
        <row r="870">
          <cell r="G870">
            <v>1881449</v>
          </cell>
        </row>
        <row r="871">
          <cell r="G871">
            <v>1145922</v>
          </cell>
        </row>
        <row r="872">
          <cell r="G872">
            <v>104798</v>
          </cell>
        </row>
        <row r="873">
          <cell r="G873">
            <v>141724</v>
          </cell>
        </row>
        <row r="874">
          <cell r="G874">
            <v>842139</v>
          </cell>
        </row>
        <row r="875">
          <cell r="G875">
            <v>1245512</v>
          </cell>
        </row>
        <row r="876">
          <cell r="G876">
            <v>842139</v>
          </cell>
        </row>
        <row r="877">
          <cell r="G877">
            <v>1299241</v>
          </cell>
        </row>
        <row r="878">
          <cell r="G878">
            <v>842139</v>
          </cell>
        </row>
        <row r="879">
          <cell r="G879">
            <v>20867</v>
          </cell>
        </row>
        <row r="880">
          <cell r="G880">
            <v>12936</v>
          </cell>
        </row>
        <row r="881">
          <cell r="G881">
            <v>50585</v>
          </cell>
        </row>
        <row r="882">
          <cell r="G882">
            <v>91617</v>
          </cell>
        </row>
        <row r="883">
          <cell r="G883">
            <v>440750</v>
          </cell>
        </row>
        <row r="884">
          <cell r="G884">
            <v>408459</v>
          </cell>
        </row>
        <row r="885">
          <cell r="G885">
            <v>23993</v>
          </cell>
        </row>
        <row r="886">
          <cell r="G886">
            <v>11161</v>
          </cell>
        </row>
        <row r="887">
          <cell r="G887">
            <v>276665</v>
          </cell>
        </row>
        <row r="888">
          <cell r="G888">
            <v>11223</v>
          </cell>
        </row>
        <row r="889">
          <cell r="G889">
            <v>19714</v>
          </cell>
        </row>
        <row r="890">
          <cell r="G890">
            <v>267174</v>
          </cell>
        </row>
        <row r="891">
          <cell r="G891">
            <v>45382</v>
          </cell>
        </row>
        <row r="895">
          <cell r="G895">
            <v>23993</v>
          </cell>
        </row>
        <row r="896">
          <cell r="G896">
            <v>7229</v>
          </cell>
        </row>
        <row r="897">
          <cell r="G897">
            <v>19746</v>
          </cell>
        </row>
        <row r="898">
          <cell r="G898">
            <v>45382</v>
          </cell>
        </row>
        <row r="902">
          <cell r="G902">
            <v>1117897</v>
          </cell>
        </row>
        <row r="903">
          <cell r="G903">
            <v>8913</v>
          </cell>
        </row>
        <row r="904">
          <cell r="G904">
            <v>28765433</v>
          </cell>
        </row>
        <row r="905">
          <cell r="G905">
            <v>27004108</v>
          </cell>
        </row>
        <row r="907">
          <cell r="G907">
            <v>1871647</v>
          </cell>
        </row>
        <row r="908">
          <cell r="G908">
            <v>115728</v>
          </cell>
        </row>
        <row r="909">
          <cell r="G909">
            <v>561271</v>
          </cell>
        </row>
        <row r="910">
          <cell r="G910">
            <v>129899</v>
          </cell>
        </row>
        <row r="911">
          <cell r="G911">
            <v>91827</v>
          </cell>
        </row>
        <row r="912">
          <cell r="G912">
            <v>36181</v>
          </cell>
        </row>
        <row r="913">
          <cell r="G913">
            <v>1725249</v>
          </cell>
        </row>
        <row r="914">
          <cell r="G914">
            <v>28097053</v>
          </cell>
        </row>
        <row r="915">
          <cell r="G915">
            <v>86606</v>
          </cell>
        </row>
        <row r="916">
          <cell r="G916">
            <v>231535</v>
          </cell>
        </row>
        <row r="917">
          <cell r="G917">
            <v>113802</v>
          </cell>
        </row>
        <row r="918">
          <cell r="G918">
            <v>91827</v>
          </cell>
        </row>
        <row r="919">
          <cell r="G919">
            <v>36181</v>
          </cell>
        </row>
        <row r="920">
          <cell r="G920">
            <v>1145922</v>
          </cell>
        </row>
        <row r="921">
          <cell r="G921">
            <v>104798</v>
          </cell>
        </row>
        <row r="922">
          <cell r="G922">
            <v>842139</v>
          </cell>
        </row>
        <row r="931">
          <cell r="G931">
            <v>42922</v>
          </cell>
        </row>
        <row r="932">
          <cell r="G932">
            <v>76805</v>
          </cell>
        </row>
        <row r="933">
          <cell r="G933">
            <v>1823873</v>
          </cell>
        </row>
        <row r="934">
          <cell r="G934">
            <v>1145922</v>
          </cell>
        </row>
        <row r="935">
          <cell r="G935">
            <v>104798</v>
          </cell>
        </row>
        <row r="936">
          <cell r="G936">
            <v>141724</v>
          </cell>
        </row>
        <row r="937">
          <cell r="G937">
            <v>842139</v>
          </cell>
        </row>
        <row r="938">
          <cell r="G938">
            <v>1245512</v>
          </cell>
        </row>
        <row r="939">
          <cell r="G939">
            <v>842139</v>
          </cell>
        </row>
        <row r="940">
          <cell r="G940">
            <v>1245512</v>
          </cell>
        </row>
        <row r="941">
          <cell r="G941">
            <v>842139</v>
          </cell>
        </row>
        <row r="942">
          <cell r="G942">
            <v>20867</v>
          </cell>
        </row>
        <row r="943">
          <cell r="G943">
            <v>12936</v>
          </cell>
        </row>
        <row r="944">
          <cell r="G944">
            <v>50585</v>
          </cell>
        </row>
        <row r="945">
          <cell r="G945">
            <v>91617</v>
          </cell>
        </row>
        <row r="946">
          <cell r="G946">
            <v>440750</v>
          </cell>
        </row>
        <row r="947">
          <cell r="G947">
            <v>408459</v>
          </cell>
        </row>
        <row r="948">
          <cell r="G948">
            <v>267174</v>
          </cell>
        </row>
        <row r="949">
          <cell r="G949">
            <v>276665</v>
          </cell>
        </row>
        <row r="950">
          <cell r="G950">
            <v>23993</v>
          </cell>
        </row>
        <row r="951">
          <cell r="G951">
            <v>11161</v>
          </cell>
        </row>
        <row r="952">
          <cell r="G952">
            <v>11223</v>
          </cell>
        </row>
        <row r="953">
          <cell r="G953">
            <v>19714</v>
          </cell>
        </row>
        <row r="954">
          <cell r="G954">
            <v>45382</v>
          </cell>
        </row>
        <row r="958">
          <cell r="G958">
            <v>45382</v>
          </cell>
        </row>
        <row r="962">
          <cell r="G962">
            <v>23993</v>
          </cell>
        </row>
        <row r="963">
          <cell r="G963">
            <v>7229</v>
          </cell>
        </row>
        <row r="964">
          <cell r="G964">
            <v>19746</v>
          </cell>
        </row>
        <row r="965">
          <cell r="G965">
            <v>45382</v>
          </cell>
        </row>
        <row r="969">
          <cell r="G969">
            <v>2095204</v>
          </cell>
        </row>
        <row r="970">
          <cell r="G970">
            <v>57102</v>
          </cell>
        </row>
        <row r="971">
          <cell r="G971">
            <v>171432</v>
          </cell>
        </row>
        <row r="972">
          <cell r="G972">
            <v>60612</v>
          </cell>
        </row>
        <row r="973">
          <cell r="G973">
            <v>25844139</v>
          </cell>
        </row>
        <row r="974">
          <cell r="G974">
            <v>25587312</v>
          </cell>
        </row>
        <row r="975">
          <cell r="G975">
            <v>1141385</v>
          </cell>
        </row>
        <row r="976">
          <cell r="G976">
            <v>141724</v>
          </cell>
        </row>
        <row r="977">
          <cell r="G977">
            <v>76805</v>
          </cell>
        </row>
        <row r="978">
          <cell r="G978">
            <v>842139</v>
          </cell>
        </row>
        <row r="979">
          <cell r="G979">
            <v>25844139</v>
          </cell>
        </row>
        <row r="980">
          <cell r="G980">
            <v>24892659</v>
          </cell>
        </row>
        <row r="981">
          <cell r="G981">
            <v>23353</v>
          </cell>
        </row>
        <row r="982">
          <cell r="G982">
            <v>370346</v>
          </cell>
        </row>
        <row r="983">
          <cell r="G983">
            <v>126388</v>
          </cell>
        </row>
        <row r="984">
          <cell r="G984">
            <v>1644233</v>
          </cell>
        </row>
        <row r="985">
          <cell r="G985">
            <v>57102</v>
          </cell>
        </row>
        <row r="986">
          <cell r="G986">
            <v>171432</v>
          </cell>
        </row>
        <row r="987">
          <cell r="G987">
            <v>60612</v>
          </cell>
        </row>
        <row r="988">
          <cell r="G988">
            <v>25177456</v>
          </cell>
        </row>
        <row r="989">
          <cell r="G989">
            <v>24796382</v>
          </cell>
        </row>
        <row r="990">
          <cell r="G990">
            <v>2040190</v>
          </cell>
        </row>
        <row r="991">
          <cell r="G991">
            <v>57102</v>
          </cell>
        </row>
        <row r="992">
          <cell r="G992">
            <v>171432</v>
          </cell>
        </row>
        <row r="993">
          <cell r="G993">
            <v>60612</v>
          </cell>
        </row>
        <row r="994">
          <cell r="G994">
            <v>26202055</v>
          </cell>
        </row>
        <row r="995">
          <cell r="G995">
            <v>25587587</v>
          </cell>
        </row>
        <row r="996">
          <cell r="G996">
            <v>111276</v>
          </cell>
        </row>
        <row r="997">
          <cell r="G997">
            <v>2095204</v>
          </cell>
        </row>
        <row r="998">
          <cell r="G998">
            <v>57102</v>
          </cell>
        </row>
        <row r="999">
          <cell r="G999">
            <v>171432</v>
          </cell>
        </row>
        <row r="1000">
          <cell r="G1000">
            <v>25587312</v>
          </cell>
        </row>
        <row r="1001">
          <cell r="G1001">
            <v>141724</v>
          </cell>
        </row>
        <row r="1002">
          <cell r="G1002">
            <v>1719517</v>
          </cell>
        </row>
        <row r="1003">
          <cell r="G1003">
            <v>28097053</v>
          </cell>
        </row>
        <row r="1004">
          <cell r="G1004">
            <v>25306325</v>
          </cell>
        </row>
        <row r="1005">
          <cell r="G1005">
            <v>24553255</v>
          </cell>
        </row>
        <row r="1006">
          <cell r="G1006">
            <v>65242</v>
          </cell>
        </row>
        <row r="1007">
          <cell r="G1007">
            <v>20867</v>
          </cell>
        </row>
        <row r="1008">
          <cell r="G1008">
            <v>12936</v>
          </cell>
        </row>
        <row r="1009">
          <cell r="G1009">
            <v>50585</v>
          </cell>
        </row>
        <row r="1010">
          <cell r="G1010">
            <v>91617</v>
          </cell>
        </row>
        <row r="1011">
          <cell r="G1011">
            <v>440750</v>
          </cell>
        </row>
        <row r="1012">
          <cell r="G1012">
            <v>408459</v>
          </cell>
        </row>
        <row r="1013">
          <cell r="G1013">
            <v>267174</v>
          </cell>
        </row>
        <row r="1014">
          <cell r="G1014">
            <v>23993</v>
          </cell>
        </row>
        <row r="1015">
          <cell r="G1015">
            <v>11161</v>
          </cell>
        </row>
        <row r="1016">
          <cell r="G1016">
            <v>1723827</v>
          </cell>
        </row>
        <row r="1017">
          <cell r="G1017">
            <v>276665</v>
          </cell>
        </row>
        <row r="1018">
          <cell r="G1018">
            <v>527970</v>
          </cell>
        </row>
        <row r="1019">
          <cell r="G1019">
            <v>11223</v>
          </cell>
        </row>
        <row r="1020">
          <cell r="G1020">
            <v>19714</v>
          </cell>
        </row>
        <row r="1021">
          <cell r="G1021">
            <v>45382</v>
          </cell>
        </row>
        <row r="1025">
          <cell r="G1025">
            <v>10406267</v>
          </cell>
        </row>
        <row r="1026">
          <cell r="G1026">
            <v>2675075</v>
          </cell>
        </row>
        <row r="1027">
          <cell r="G1027">
            <v>23993</v>
          </cell>
        </row>
        <row r="1028">
          <cell r="G1028">
            <v>7229</v>
          </cell>
        </row>
        <row r="1029">
          <cell r="G1029">
            <v>19746</v>
          </cell>
        </row>
        <row r="1030">
          <cell r="G1030">
            <v>45382</v>
          </cell>
        </row>
        <row r="1100">
          <cell r="G1100">
            <v>2095204</v>
          </cell>
        </row>
        <row r="1101">
          <cell r="G1101">
            <v>57102</v>
          </cell>
        </row>
        <row r="1102">
          <cell r="G1102">
            <v>171432</v>
          </cell>
        </row>
        <row r="1103">
          <cell r="G1103">
            <v>60612</v>
          </cell>
        </row>
        <row r="1104">
          <cell r="G1104">
            <v>25844139</v>
          </cell>
        </row>
        <row r="1105">
          <cell r="G1105">
            <v>25587312</v>
          </cell>
        </row>
        <row r="1106">
          <cell r="G1106">
            <v>1141385</v>
          </cell>
        </row>
        <row r="1107">
          <cell r="G1107">
            <v>141724</v>
          </cell>
        </row>
        <row r="1108">
          <cell r="G1108">
            <v>76805</v>
          </cell>
        </row>
        <row r="1109">
          <cell r="G1109">
            <v>842139</v>
          </cell>
        </row>
        <row r="1110">
          <cell r="G1110">
            <v>25844139</v>
          </cell>
        </row>
        <row r="1111">
          <cell r="G1111">
            <v>24892659</v>
          </cell>
        </row>
        <row r="1112">
          <cell r="G1112">
            <v>23353</v>
          </cell>
        </row>
        <row r="1113">
          <cell r="G1113">
            <v>370346</v>
          </cell>
        </row>
        <row r="1114">
          <cell r="G1114">
            <v>126388</v>
          </cell>
        </row>
        <row r="1115">
          <cell r="G1115">
            <v>1718850</v>
          </cell>
        </row>
        <row r="1116">
          <cell r="G1116">
            <v>57102</v>
          </cell>
        </row>
        <row r="1117">
          <cell r="G1117">
            <v>171432</v>
          </cell>
        </row>
        <row r="1118">
          <cell r="G1118">
            <v>60612</v>
          </cell>
        </row>
        <row r="1119">
          <cell r="G1119">
            <v>25177456</v>
          </cell>
        </row>
        <row r="1120">
          <cell r="G1120">
            <v>24796382</v>
          </cell>
        </row>
        <row r="1121">
          <cell r="G1121">
            <v>65242</v>
          </cell>
        </row>
        <row r="1122">
          <cell r="G1122">
            <v>2040190</v>
          </cell>
        </row>
        <row r="1123">
          <cell r="G1123">
            <v>57102</v>
          </cell>
        </row>
        <row r="1124">
          <cell r="G1124">
            <v>171432</v>
          </cell>
        </row>
        <row r="1125">
          <cell r="G1125">
            <v>60612</v>
          </cell>
        </row>
        <row r="1126">
          <cell r="G1126">
            <v>26202055</v>
          </cell>
        </row>
        <row r="1127">
          <cell r="G1127">
            <v>25587587</v>
          </cell>
        </row>
        <row r="1128">
          <cell r="G1128">
            <v>111276</v>
          </cell>
        </row>
        <row r="1129">
          <cell r="G1129">
            <v>1707891</v>
          </cell>
        </row>
        <row r="1130">
          <cell r="G1130">
            <v>28097053</v>
          </cell>
        </row>
        <row r="1131">
          <cell r="G1131">
            <v>26811910</v>
          </cell>
        </row>
        <row r="1132">
          <cell r="G1132">
            <v>86606</v>
          </cell>
        </row>
        <row r="1133">
          <cell r="G1133">
            <v>142868</v>
          </cell>
        </row>
        <row r="1134">
          <cell r="G1134">
            <v>52812</v>
          </cell>
        </row>
        <row r="1135">
          <cell r="G1135">
            <v>42761</v>
          </cell>
        </row>
        <row r="1136">
          <cell r="G1136">
            <v>76805</v>
          </cell>
        </row>
        <row r="1137">
          <cell r="G1137">
            <v>3030388</v>
          </cell>
        </row>
        <row r="1138">
          <cell r="G1138">
            <v>267174</v>
          </cell>
        </row>
        <row r="1139">
          <cell r="G1139">
            <v>23993</v>
          </cell>
        </row>
        <row r="1140">
          <cell r="G1140">
            <v>45382</v>
          </cell>
        </row>
        <row r="1144">
          <cell r="G1144">
            <v>1630632</v>
          </cell>
        </row>
        <row r="1145">
          <cell r="G1145">
            <v>67386</v>
          </cell>
        </row>
        <row r="1146">
          <cell r="G1146">
            <v>67386</v>
          </cell>
        </row>
        <row r="1147">
          <cell r="G1147">
            <v>52562</v>
          </cell>
        </row>
        <row r="1168">
          <cell r="G1168">
            <v>1682152</v>
          </cell>
        </row>
        <row r="1169">
          <cell r="G1169">
            <v>28765433</v>
          </cell>
        </row>
        <row r="1170">
          <cell r="G1170">
            <v>27004108</v>
          </cell>
        </row>
        <row r="1171">
          <cell r="G1171">
            <v>102621</v>
          </cell>
        </row>
        <row r="1172">
          <cell r="G1172">
            <v>113802</v>
          </cell>
        </row>
        <row r="1173">
          <cell r="G1173">
            <v>91827</v>
          </cell>
        </row>
        <row r="1174">
          <cell r="G1174">
            <v>36181</v>
          </cell>
        </row>
        <row r="1175">
          <cell r="G1175">
            <v>304120</v>
          </cell>
        </row>
        <row r="1177">
          <cell r="G1177">
            <v>1606063</v>
          </cell>
        </row>
        <row r="1178">
          <cell r="G1178">
            <v>28765433</v>
          </cell>
        </row>
        <row r="1179">
          <cell r="G1179">
            <v>27004108</v>
          </cell>
        </row>
        <row r="1180">
          <cell r="G1180">
            <v>102621</v>
          </cell>
        </row>
        <row r="1181">
          <cell r="G1181">
            <v>113802</v>
          </cell>
        </row>
        <row r="1182">
          <cell r="G1182">
            <v>91827</v>
          </cell>
        </row>
        <row r="1183">
          <cell r="G1183">
            <v>36181</v>
          </cell>
        </row>
        <row r="1184">
          <cell r="G1184">
            <v>304120</v>
          </cell>
        </row>
        <row r="1186">
          <cell r="G1186">
            <v>1682152</v>
          </cell>
        </row>
        <row r="1187">
          <cell r="G1187">
            <v>28765433</v>
          </cell>
        </row>
        <row r="1188">
          <cell r="G1188">
            <v>27004108</v>
          </cell>
        </row>
        <row r="1189">
          <cell r="G1189">
            <v>115728</v>
          </cell>
        </row>
        <row r="1190">
          <cell r="G1190">
            <v>113802</v>
          </cell>
        </row>
        <row r="1191">
          <cell r="G1191">
            <v>91827</v>
          </cell>
        </row>
        <row r="1192">
          <cell r="G1192">
            <v>36181</v>
          </cell>
        </row>
        <row r="1193">
          <cell r="G1193">
            <v>319273</v>
          </cell>
        </row>
        <row r="1195">
          <cell r="G1195">
            <v>1682152</v>
          </cell>
        </row>
        <row r="1196">
          <cell r="G1196">
            <v>28765433</v>
          </cell>
        </row>
        <row r="1197">
          <cell r="G1197">
            <v>27004108</v>
          </cell>
        </row>
        <row r="1198">
          <cell r="G1198">
            <v>115728</v>
          </cell>
        </row>
        <row r="1199">
          <cell r="G1199">
            <v>113802</v>
          </cell>
        </row>
        <row r="1200">
          <cell r="G1200">
            <v>91827</v>
          </cell>
        </row>
        <row r="1201">
          <cell r="G1201">
            <v>36181</v>
          </cell>
        </row>
        <row r="1202">
          <cell r="G1202">
            <v>319273</v>
          </cell>
        </row>
        <row r="1204">
          <cell r="G1204">
            <v>1631803</v>
          </cell>
        </row>
        <row r="1205">
          <cell r="G1205">
            <v>27096238</v>
          </cell>
        </row>
        <row r="1206">
          <cell r="G1206">
            <v>86606</v>
          </cell>
        </row>
        <row r="1207">
          <cell r="G1207">
            <v>842139</v>
          </cell>
        </row>
        <row r="1208">
          <cell r="G1208">
            <v>69167</v>
          </cell>
        </row>
        <row r="1209">
          <cell r="G1209">
            <v>52812</v>
          </cell>
        </row>
        <row r="1210">
          <cell r="G1210">
            <v>32162</v>
          </cell>
        </row>
        <row r="1211">
          <cell r="G1211">
            <v>142868</v>
          </cell>
        </row>
        <row r="1213">
          <cell r="G1213">
            <v>1471205</v>
          </cell>
        </row>
        <row r="1214">
          <cell r="G1214">
            <v>27096238</v>
          </cell>
        </row>
        <row r="1215">
          <cell r="G1215">
            <v>86606</v>
          </cell>
        </row>
        <row r="1216">
          <cell r="G1216">
            <v>79217</v>
          </cell>
        </row>
        <row r="1217">
          <cell r="G1217">
            <v>65424</v>
          </cell>
        </row>
        <row r="1218">
          <cell r="G1218">
            <v>32162</v>
          </cell>
        </row>
        <row r="1219">
          <cell r="G1219">
            <v>120701</v>
          </cell>
        </row>
        <row r="1221">
          <cell r="G1221">
            <v>1631803</v>
          </cell>
        </row>
        <row r="1222">
          <cell r="G1222">
            <v>27096238</v>
          </cell>
        </row>
        <row r="1223">
          <cell r="G1223">
            <v>86606</v>
          </cell>
        </row>
        <row r="1224">
          <cell r="G1224">
            <v>79217</v>
          </cell>
        </row>
        <row r="1225">
          <cell r="G1225">
            <v>65424</v>
          </cell>
        </row>
        <row r="1226">
          <cell r="G1226">
            <v>32162</v>
          </cell>
        </row>
        <row r="1227">
          <cell r="G1227">
            <v>120701</v>
          </cell>
        </row>
        <row r="1229">
          <cell r="G1229">
            <v>1631803</v>
          </cell>
        </row>
        <row r="1230">
          <cell r="G1230">
            <v>27096238</v>
          </cell>
        </row>
        <row r="1231">
          <cell r="G1231">
            <v>86606</v>
          </cell>
        </row>
        <row r="1232">
          <cell r="G1232">
            <v>65424</v>
          </cell>
        </row>
        <row r="1233">
          <cell r="G1233">
            <v>65424</v>
          </cell>
        </row>
        <row r="1234">
          <cell r="G1234">
            <v>32162</v>
          </cell>
        </row>
        <row r="1235">
          <cell r="G1235">
            <v>120701</v>
          </cell>
        </row>
        <row r="1237">
          <cell r="G1237">
            <v>1399730</v>
          </cell>
        </row>
        <row r="1238">
          <cell r="G1238">
            <v>65242</v>
          </cell>
        </row>
        <row r="1239">
          <cell r="G1239">
            <v>842139</v>
          </cell>
        </row>
        <row r="1240">
          <cell r="G1240">
            <v>1631803</v>
          </cell>
        </row>
        <row r="1241">
          <cell r="G1241">
            <v>250782</v>
          </cell>
        </row>
        <row r="1242">
          <cell r="G1242">
            <v>27096238</v>
          </cell>
        </row>
        <row r="1243">
          <cell r="G1243">
            <v>27096238</v>
          </cell>
        </row>
        <row r="1244">
          <cell r="G1244">
            <v>69167</v>
          </cell>
        </row>
        <row r="1245">
          <cell r="G1245">
            <v>52812</v>
          </cell>
        </row>
        <row r="1246">
          <cell r="G1246">
            <v>32162</v>
          </cell>
        </row>
        <row r="1247">
          <cell r="G1247">
            <v>142868</v>
          </cell>
        </row>
        <row r="1248">
          <cell r="G1248">
            <v>842139</v>
          </cell>
        </row>
        <row r="1249">
          <cell r="G1249">
            <v>96659</v>
          </cell>
        </row>
        <row r="1250">
          <cell r="G1250">
            <v>610299</v>
          </cell>
        </row>
        <row r="1251">
          <cell r="G1251">
            <v>236061</v>
          </cell>
        </row>
        <row r="1252">
          <cell r="G1252">
            <v>72328</v>
          </cell>
        </row>
        <row r="1253">
          <cell r="G1253">
            <v>1881449</v>
          </cell>
        </row>
        <row r="1254">
          <cell r="G1254">
            <v>104798</v>
          </cell>
        </row>
        <row r="1255">
          <cell r="G1255">
            <v>1881449</v>
          </cell>
        </row>
        <row r="1256">
          <cell r="G1256">
            <v>65242</v>
          </cell>
        </row>
        <row r="1257">
          <cell r="G1257">
            <v>1399730</v>
          </cell>
        </row>
        <row r="1258">
          <cell r="G1258">
            <v>842139</v>
          </cell>
        </row>
        <row r="1259">
          <cell r="G1259">
            <v>104798</v>
          </cell>
        </row>
        <row r="1260">
          <cell r="G1260">
            <v>1399730</v>
          </cell>
        </row>
        <row r="1261">
          <cell r="G1261">
            <v>842139</v>
          </cell>
        </row>
        <row r="1262">
          <cell r="G1262">
            <v>104798</v>
          </cell>
        </row>
        <row r="1263">
          <cell r="G1263">
            <v>1332575</v>
          </cell>
        </row>
        <row r="1264">
          <cell r="G1264">
            <v>842139</v>
          </cell>
        </row>
        <row r="1265">
          <cell r="G1265">
            <v>1299241</v>
          </cell>
        </row>
        <row r="1266">
          <cell r="G1266">
            <v>667791</v>
          </cell>
        </row>
        <row r="1267">
          <cell r="G1267">
            <v>842139</v>
          </cell>
        </row>
        <row r="1268">
          <cell r="G1268">
            <v>1881449</v>
          </cell>
        </row>
        <row r="1269">
          <cell r="G1269">
            <v>104798</v>
          </cell>
        </row>
        <row r="1270">
          <cell r="G1270">
            <v>1881449</v>
          </cell>
        </row>
        <row r="1271">
          <cell r="G1271">
            <v>65242</v>
          </cell>
        </row>
        <row r="1272">
          <cell r="G1272">
            <v>842139</v>
          </cell>
        </row>
        <row r="1273">
          <cell r="G1273">
            <v>1866757</v>
          </cell>
        </row>
        <row r="1274">
          <cell r="G1274">
            <v>79477</v>
          </cell>
        </row>
        <row r="1275">
          <cell r="G1275">
            <v>1551168</v>
          </cell>
        </row>
        <row r="1276">
          <cell r="G1276">
            <v>86606</v>
          </cell>
        </row>
        <row r="1277">
          <cell r="G1277">
            <v>27096238</v>
          </cell>
        </row>
        <row r="1278">
          <cell r="G1278">
            <v>27096238</v>
          </cell>
        </row>
        <row r="1279">
          <cell r="G1279">
            <v>51234</v>
          </cell>
        </row>
        <row r="1280">
          <cell r="G1280">
            <v>32162</v>
          </cell>
        </row>
        <row r="1281">
          <cell r="G1281">
            <v>142868</v>
          </cell>
        </row>
        <row r="1283">
          <cell r="G1283">
            <v>1631803</v>
          </cell>
        </row>
        <row r="1284">
          <cell r="G1284">
            <v>86606</v>
          </cell>
        </row>
        <row r="1285">
          <cell r="G1285">
            <v>27096238</v>
          </cell>
        </row>
        <row r="1286">
          <cell r="G1286">
            <v>27096238</v>
          </cell>
        </row>
        <row r="1287">
          <cell r="G1287">
            <v>52812</v>
          </cell>
        </row>
        <row r="1288">
          <cell r="G1288">
            <v>42761</v>
          </cell>
        </row>
        <row r="1289">
          <cell r="G1289">
            <v>32162</v>
          </cell>
        </row>
        <row r="1290">
          <cell r="G1290">
            <v>294187</v>
          </cell>
        </row>
        <row r="1291">
          <cell r="G1291">
            <v>787114</v>
          </cell>
        </row>
        <row r="1292">
          <cell r="G1292">
            <v>1191268</v>
          </cell>
        </row>
        <row r="1293">
          <cell r="G1293">
            <v>1533135</v>
          </cell>
        </row>
        <row r="1294">
          <cell r="G1294">
            <v>86606</v>
          </cell>
        </row>
        <row r="1295">
          <cell r="G1295">
            <v>46054</v>
          </cell>
        </row>
        <row r="1296">
          <cell r="G1296">
            <v>51234</v>
          </cell>
        </row>
        <row r="1297">
          <cell r="G1297">
            <v>32162</v>
          </cell>
        </row>
        <row r="1298">
          <cell r="G1298">
            <v>1191268</v>
          </cell>
        </row>
        <row r="1299">
          <cell r="G1299">
            <v>26022934</v>
          </cell>
        </row>
        <row r="1300">
          <cell r="G1300">
            <v>1533135</v>
          </cell>
        </row>
        <row r="1301">
          <cell r="G1301">
            <v>86606</v>
          </cell>
        </row>
        <row r="1302">
          <cell r="G1302">
            <v>46054</v>
          </cell>
        </row>
        <row r="1303">
          <cell r="G1303">
            <v>51234</v>
          </cell>
        </row>
        <row r="1304">
          <cell r="G1304">
            <v>32162</v>
          </cell>
        </row>
        <row r="1305">
          <cell r="G1305">
            <v>527970</v>
          </cell>
        </row>
        <row r="1306">
          <cell r="G1306">
            <v>1561916</v>
          </cell>
        </row>
        <row r="1307">
          <cell r="G1307">
            <v>104798</v>
          </cell>
        </row>
        <row r="1308">
          <cell r="G1308">
            <v>842139</v>
          </cell>
        </row>
        <row r="1309">
          <cell r="G1309">
            <v>1866757</v>
          </cell>
        </row>
        <row r="1310">
          <cell r="G1310">
            <v>96659</v>
          </cell>
        </row>
        <row r="1311">
          <cell r="G1311">
            <v>2081456</v>
          </cell>
        </row>
        <row r="1312">
          <cell r="G1312">
            <v>104798</v>
          </cell>
        </row>
        <row r="1313">
          <cell r="G1313">
            <v>26204757</v>
          </cell>
        </row>
        <row r="1314">
          <cell r="G1314">
            <v>167496</v>
          </cell>
        </row>
        <row r="1315">
          <cell r="G1315">
            <v>56948</v>
          </cell>
        </row>
        <row r="1319">
          <cell r="G1319">
            <v>2096</v>
          </cell>
        </row>
        <row r="1320">
          <cell r="G1320">
            <v>20017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ông trình"/>
      <sheetName val="Hao phí vật tư"/>
      <sheetName val="Vật liệu"/>
      <sheetName val="Nhân công"/>
      <sheetName val="Máy thi công"/>
      <sheetName val="TH dự toán hạng mục"/>
      <sheetName val="TH dự toán công trình"/>
      <sheetName val="Đơn giá chi tiết"/>
      <sheetName val="Dự thầu"/>
      <sheetName val="TH giá dự thầu"/>
      <sheetName val="Dự phòng trượt giá"/>
      <sheetName val="Dự toán gói thầu xây dựng"/>
      <sheetName val="Dự toán gói thầu thiết bị"/>
      <sheetName val="Tổng mức đầu tư"/>
      <sheetName val="Chi phí thiết bị"/>
      <sheetName val="Hạng mục chung"/>
      <sheetName val="Thuyết minh"/>
      <sheetName val="Bìa ngoài"/>
      <sheetName val="Bìa trong"/>
      <sheetName val="Nháp"/>
      <sheetName val="Cước ô tô"/>
      <sheetName val="Cước ô tô kết hợp"/>
      <sheetName val="Cước bộ"/>
      <sheetName val="Cước sông"/>
      <sheetName val="Lương nhân công"/>
      <sheetName val="Tính giá ca máy"/>
      <sheetName val="Bù giá ca máy"/>
      <sheetName val="Tổng hợp nhiên liệu"/>
      <sheetName val="Thanh toán KL hoàn thành"/>
      <sheetName val="Thanh toán KL phát sinh"/>
      <sheetName val="Tổng hợp VL,NC,M"/>
      <sheetName val="Đơn giá chi tiết rút gọn"/>
      <sheetName val="Đơn giá tổng hợp"/>
      <sheetName val="Tổng hợp phụ lục vữa"/>
      <sheetName val="Vật liệu vận chuyển lên cao"/>
      <sheetName val="Hệ số"/>
    </sheetNames>
    <sheetDataSet>
      <sheetData sheetId="0"/>
      <sheetData sheetId="1"/>
      <sheetData sheetId="2"/>
      <sheetData sheetId="3"/>
      <sheetData sheetId="4"/>
      <sheetData sheetId="5"/>
      <sheetData sheetId="6"/>
      <sheetData sheetId="7"/>
      <sheetData sheetId="8">
        <row r="6">
          <cell r="G6">
            <v>646</v>
          </cell>
        </row>
        <row r="7">
          <cell r="G7">
            <v>23801</v>
          </cell>
        </row>
        <row r="8">
          <cell r="G8">
            <v>20072</v>
          </cell>
        </row>
        <row r="9">
          <cell r="G9">
            <v>30610</v>
          </cell>
        </row>
        <row r="10">
          <cell r="G10">
            <v>12342</v>
          </cell>
        </row>
        <row r="11">
          <cell r="G11">
            <v>12936</v>
          </cell>
        </row>
        <row r="12">
          <cell r="G12">
            <v>8251</v>
          </cell>
        </row>
        <row r="13">
          <cell r="G13">
            <v>12936</v>
          </cell>
        </row>
        <row r="14">
          <cell r="G14">
            <v>12936</v>
          </cell>
        </row>
        <row r="15">
          <cell r="G15">
            <v>15775</v>
          </cell>
        </row>
        <row r="16">
          <cell r="G16">
            <v>50585</v>
          </cell>
        </row>
        <row r="17">
          <cell r="G17">
            <v>54405</v>
          </cell>
        </row>
        <row r="18">
          <cell r="G18">
            <v>1032698</v>
          </cell>
        </row>
        <row r="26">
          <cell r="G26">
            <v>40424</v>
          </cell>
        </row>
        <row r="30">
          <cell r="G30">
            <v>45382</v>
          </cell>
        </row>
        <row r="34">
          <cell r="G34">
            <v>56948</v>
          </cell>
        </row>
        <row r="38">
          <cell r="G38">
            <v>2096</v>
          </cell>
        </row>
        <row r="39">
          <cell r="G39">
            <v>8251</v>
          </cell>
        </row>
        <row r="40">
          <cell r="G40">
            <v>270205</v>
          </cell>
        </row>
        <row r="41">
          <cell r="G41">
            <v>20017</v>
          </cell>
        </row>
        <row r="42">
          <cell r="G42">
            <v>224210</v>
          </cell>
        </row>
        <row r="43">
          <cell r="G43">
            <v>10831</v>
          </cell>
        </row>
        <row r="44">
          <cell r="G44">
            <v>12936</v>
          </cell>
        </row>
        <row r="45">
          <cell r="G45">
            <v>12936</v>
          </cell>
        </row>
        <row r="46">
          <cell r="G46">
            <v>12342</v>
          </cell>
        </row>
        <row r="47">
          <cell r="G47">
            <v>6611</v>
          </cell>
        </row>
        <row r="48">
          <cell r="G48">
            <v>877622</v>
          </cell>
        </row>
        <row r="49">
          <cell r="G49">
            <v>26716</v>
          </cell>
        </row>
        <row r="50">
          <cell r="G50">
            <v>32141</v>
          </cell>
        </row>
        <row r="51">
          <cell r="G51">
            <v>69175</v>
          </cell>
        </row>
        <row r="52">
          <cell r="G52">
            <v>271833</v>
          </cell>
        </row>
        <row r="53">
          <cell r="G53">
            <v>271833</v>
          </cell>
        </row>
        <row r="54">
          <cell r="G54">
            <v>20867</v>
          </cell>
        </row>
        <row r="55">
          <cell r="G55">
            <v>12936</v>
          </cell>
        </row>
        <row r="56">
          <cell r="G56">
            <v>301142</v>
          </cell>
        </row>
        <row r="57">
          <cell r="G57">
            <v>191443</v>
          </cell>
        </row>
        <row r="58">
          <cell r="G58">
            <v>184138</v>
          </cell>
        </row>
        <row r="59">
          <cell r="G59">
            <v>33697650</v>
          </cell>
        </row>
        <row r="60">
          <cell r="G60">
            <v>17859</v>
          </cell>
        </row>
        <row r="61">
          <cell r="G61">
            <v>11015</v>
          </cell>
        </row>
        <row r="63">
          <cell r="G63">
            <v>10502023</v>
          </cell>
        </row>
        <row r="66">
          <cell r="G66">
            <v>26753</v>
          </cell>
        </row>
        <row r="67">
          <cell r="G67">
            <v>361291</v>
          </cell>
        </row>
        <row r="68">
          <cell r="G68">
            <v>335812</v>
          </cell>
        </row>
        <row r="80">
          <cell r="G80">
            <v>330389</v>
          </cell>
        </row>
        <row r="81">
          <cell r="G81">
            <v>1197457</v>
          </cell>
        </row>
        <row r="82">
          <cell r="G82">
            <v>1587082</v>
          </cell>
        </row>
        <row r="83">
          <cell r="G83">
            <v>1197457</v>
          </cell>
        </row>
        <row r="84">
          <cell r="G84">
            <v>103942.99</v>
          </cell>
        </row>
        <row r="85">
          <cell r="G85">
            <v>1197457</v>
          </cell>
        </row>
        <row r="86">
          <cell r="G86">
            <v>320960</v>
          </cell>
        </row>
        <row r="87">
          <cell r="G87">
            <v>10394299</v>
          </cell>
        </row>
        <row r="88">
          <cell r="G88">
            <v>1197457</v>
          </cell>
        </row>
        <row r="89">
          <cell r="G89">
            <v>388691</v>
          </cell>
        </row>
        <row r="90">
          <cell r="G90">
            <v>10394299</v>
          </cell>
        </row>
        <row r="91">
          <cell r="G91">
            <v>1197457</v>
          </cell>
        </row>
        <row r="92">
          <cell r="G92">
            <v>169013</v>
          </cell>
        </row>
        <row r="93">
          <cell r="G93">
            <v>646440</v>
          </cell>
        </row>
        <row r="97">
          <cell r="G97">
            <v>1909908</v>
          </cell>
        </row>
        <row r="98">
          <cell r="G98">
            <v>2096</v>
          </cell>
        </row>
        <row r="99">
          <cell r="G99">
            <v>963779</v>
          </cell>
        </row>
        <row r="180">
          <cell r="G180">
            <v>20072</v>
          </cell>
        </row>
        <row r="181">
          <cell r="G181">
            <v>23801</v>
          </cell>
        </row>
        <row r="182">
          <cell r="G182">
            <v>23801</v>
          </cell>
        </row>
        <row r="183">
          <cell r="G183">
            <v>30610</v>
          </cell>
        </row>
        <row r="184">
          <cell r="G184">
            <v>12342</v>
          </cell>
        </row>
        <row r="185">
          <cell r="G185">
            <v>12936</v>
          </cell>
        </row>
        <row r="186">
          <cell r="G186">
            <v>8251</v>
          </cell>
        </row>
        <row r="187">
          <cell r="G187">
            <v>32141</v>
          </cell>
        </row>
        <row r="188">
          <cell r="G188">
            <v>12936</v>
          </cell>
        </row>
        <row r="189">
          <cell r="G189">
            <v>50585</v>
          </cell>
        </row>
        <row r="190">
          <cell r="G190">
            <v>50585</v>
          </cell>
        </row>
        <row r="191">
          <cell r="G191">
            <v>1032698</v>
          </cell>
        </row>
        <row r="195">
          <cell r="G195">
            <v>11015</v>
          </cell>
        </row>
        <row r="196">
          <cell r="G196">
            <v>9552</v>
          </cell>
        </row>
        <row r="198">
          <cell r="G198">
            <v>10502023</v>
          </cell>
        </row>
        <row r="201">
          <cell r="G201">
            <v>15319</v>
          </cell>
        </row>
        <row r="202">
          <cell r="G202">
            <v>11015</v>
          </cell>
        </row>
        <row r="204">
          <cell r="G204">
            <v>10502023</v>
          </cell>
        </row>
        <row r="207">
          <cell r="G207">
            <v>26753</v>
          </cell>
        </row>
        <row r="208">
          <cell r="G208">
            <v>361291</v>
          </cell>
        </row>
        <row r="209">
          <cell r="G209">
            <v>11015</v>
          </cell>
        </row>
        <row r="211">
          <cell r="G211">
            <v>10502023</v>
          </cell>
        </row>
        <row r="214">
          <cell r="G214">
            <v>26753</v>
          </cell>
        </row>
        <row r="215">
          <cell r="G215">
            <v>361291</v>
          </cell>
        </row>
        <row r="235">
          <cell r="G235">
            <v>17057</v>
          </cell>
        </row>
        <row r="237">
          <cell r="G237">
            <v>7229</v>
          </cell>
        </row>
        <row r="238">
          <cell r="G238">
            <v>40424</v>
          </cell>
        </row>
        <row r="246">
          <cell r="G246">
            <v>2096</v>
          </cell>
        </row>
        <row r="248">
          <cell r="G248">
            <v>359304</v>
          </cell>
        </row>
        <row r="249">
          <cell r="G249">
            <v>12936</v>
          </cell>
        </row>
        <row r="250">
          <cell r="G250">
            <v>50585</v>
          </cell>
        </row>
        <row r="251">
          <cell r="G251">
            <v>1032698</v>
          </cell>
        </row>
        <row r="297">
          <cell r="G297">
            <v>1557317</v>
          </cell>
        </row>
        <row r="298">
          <cell r="G298">
            <v>1197457</v>
          </cell>
        </row>
        <row r="299">
          <cell r="G299">
            <v>10479792</v>
          </cell>
        </row>
        <row r="300">
          <cell r="G300">
            <v>43066</v>
          </cell>
        </row>
        <row r="301">
          <cell r="G301">
            <v>51234</v>
          </cell>
        </row>
        <row r="302">
          <cell r="G302">
            <v>33301</v>
          </cell>
        </row>
        <row r="303">
          <cell r="G303">
            <v>32162</v>
          </cell>
        </row>
        <row r="304">
          <cell r="G304">
            <v>9700</v>
          </cell>
        </row>
        <row r="305">
          <cell r="G305">
            <v>10479792</v>
          </cell>
        </row>
        <row r="306">
          <cell r="G306">
            <v>1649892</v>
          </cell>
        </row>
        <row r="307">
          <cell r="G307">
            <v>851305</v>
          </cell>
        </row>
        <row r="308">
          <cell r="G308">
            <v>24850511</v>
          </cell>
        </row>
        <row r="309">
          <cell r="G309">
            <v>24510303</v>
          </cell>
        </row>
        <row r="310">
          <cell r="G310">
            <v>1568156</v>
          </cell>
        </row>
        <row r="311">
          <cell r="G311">
            <v>851305</v>
          </cell>
        </row>
        <row r="312">
          <cell r="G312">
            <v>23993</v>
          </cell>
        </row>
        <row r="313">
          <cell r="G313">
            <v>32141</v>
          </cell>
        </row>
        <row r="314">
          <cell r="G314">
            <v>1915334</v>
          </cell>
        </row>
        <row r="315">
          <cell r="G315">
            <v>1568156</v>
          </cell>
        </row>
        <row r="316">
          <cell r="G316">
            <v>25286847</v>
          </cell>
        </row>
        <row r="317">
          <cell r="G317">
            <v>104798</v>
          </cell>
        </row>
        <row r="318">
          <cell r="G318">
            <v>851305</v>
          </cell>
        </row>
        <row r="319">
          <cell r="G319">
            <v>1850255</v>
          </cell>
        </row>
        <row r="320">
          <cell r="G320">
            <v>96763</v>
          </cell>
        </row>
        <row r="321">
          <cell r="G321">
            <v>10831</v>
          </cell>
        </row>
        <row r="322">
          <cell r="G322">
            <v>2087940</v>
          </cell>
        </row>
        <row r="323">
          <cell r="G323">
            <v>104798</v>
          </cell>
        </row>
        <row r="324">
          <cell r="G324">
            <v>26211154</v>
          </cell>
        </row>
        <row r="488">
          <cell r="G488">
            <v>519576</v>
          </cell>
        </row>
        <row r="489">
          <cell r="G489">
            <v>1113651</v>
          </cell>
        </row>
        <row r="490">
          <cell r="G490">
            <v>56885</v>
          </cell>
        </row>
        <row r="491">
          <cell r="G491">
            <v>305237</v>
          </cell>
        </row>
        <row r="492">
          <cell r="G492">
            <v>320389</v>
          </cell>
        </row>
        <row r="493">
          <cell r="G493">
            <v>314327</v>
          </cell>
        </row>
        <row r="494">
          <cell r="G494">
            <v>314327</v>
          </cell>
        </row>
        <row r="495">
          <cell r="G495">
            <v>314327</v>
          </cell>
        </row>
        <row r="496">
          <cell r="G496">
            <v>492731</v>
          </cell>
        </row>
        <row r="497">
          <cell r="G497">
            <v>1021897</v>
          </cell>
        </row>
        <row r="498">
          <cell r="G498">
            <v>1021897</v>
          </cell>
        </row>
        <row r="499">
          <cell r="G499">
            <v>1021897</v>
          </cell>
        </row>
        <row r="500">
          <cell r="G500">
            <v>804708</v>
          </cell>
        </row>
        <row r="501">
          <cell r="G501">
            <v>171892</v>
          </cell>
        </row>
        <row r="502">
          <cell r="G502">
            <v>9382399</v>
          </cell>
        </row>
        <row r="503">
          <cell r="G503">
            <v>856508</v>
          </cell>
        </row>
        <row r="504">
          <cell r="G504">
            <v>383011</v>
          </cell>
        </row>
        <row r="505">
          <cell r="G505">
            <v>308087</v>
          </cell>
        </row>
        <row r="506">
          <cell r="G506">
            <v>40152</v>
          </cell>
        </row>
        <row r="507">
          <cell r="G507">
            <v>266456</v>
          </cell>
        </row>
        <row r="508">
          <cell r="G508">
            <v>50931</v>
          </cell>
        </row>
        <row r="912">
          <cell r="G912">
            <v>28771832</v>
          </cell>
        </row>
        <row r="913">
          <cell r="G913">
            <v>27010601</v>
          </cell>
        </row>
        <row r="914">
          <cell r="G914">
            <v>27010601</v>
          </cell>
        </row>
        <row r="915">
          <cell r="G915">
            <v>1877466</v>
          </cell>
        </row>
        <row r="916">
          <cell r="G916">
            <v>115728</v>
          </cell>
        </row>
        <row r="917">
          <cell r="G917">
            <v>561271</v>
          </cell>
        </row>
        <row r="918">
          <cell r="G918">
            <v>129899</v>
          </cell>
        </row>
        <row r="919">
          <cell r="G919">
            <v>91827</v>
          </cell>
        </row>
        <row r="920">
          <cell r="G920">
            <v>36181</v>
          </cell>
        </row>
        <row r="921">
          <cell r="G921">
            <v>1731173</v>
          </cell>
        </row>
        <row r="922">
          <cell r="G922">
            <v>28103452</v>
          </cell>
        </row>
        <row r="923">
          <cell r="G923">
            <v>86606</v>
          </cell>
        </row>
        <row r="924">
          <cell r="G924">
            <v>231535</v>
          </cell>
        </row>
        <row r="925">
          <cell r="G925">
            <v>113802</v>
          </cell>
        </row>
        <row r="926">
          <cell r="G926">
            <v>91827</v>
          </cell>
        </row>
        <row r="927">
          <cell r="G927">
            <v>36181</v>
          </cell>
        </row>
        <row r="928">
          <cell r="G928">
            <v>851305</v>
          </cell>
        </row>
        <row r="929">
          <cell r="G929">
            <v>1713814</v>
          </cell>
        </row>
        <row r="930">
          <cell r="G930">
            <v>28103452</v>
          </cell>
        </row>
        <row r="931">
          <cell r="G931">
            <v>26818404</v>
          </cell>
        </row>
        <row r="932">
          <cell r="G932">
            <v>86606</v>
          </cell>
        </row>
        <row r="933">
          <cell r="G933">
            <v>36395</v>
          </cell>
        </row>
        <row r="934">
          <cell r="G934">
            <v>79217</v>
          </cell>
        </row>
        <row r="935">
          <cell r="G935">
            <v>65424</v>
          </cell>
        </row>
        <row r="936">
          <cell r="G936">
            <v>36181</v>
          </cell>
        </row>
        <row r="937">
          <cell r="G937">
            <v>43066</v>
          </cell>
        </row>
        <row r="938">
          <cell r="G938">
            <v>76805</v>
          </cell>
        </row>
        <row r="939">
          <cell r="G939">
            <v>1830356</v>
          </cell>
        </row>
        <row r="940">
          <cell r="G940">
            <v>1152109</v>
          </cell>
        </row>
        <row r="941">
          <cell r="G941">
            <v>103945</v>
          </cell>
        </row>
        <row r="942">
          <cell r="G942">
            <v>141724</v>
          </cell>
        </row>
        <row r="943">
          <cell r="G943">
            <v>851305</v>
          </cell>
        </row>
        <row r="944">
          <cell r="G944">
            <v>1252250</v>
          </cell>
        </row>
        <row r="945">
          <cell r="G945">
            <v>851305</v>
          </cell>
        </row>
        <row r="946">
          <cell r="G946">
            <v>1252250</v>
          </cell>
        </row>
        <row r="947">
          <cell r="G947">
            <v>851305</v>
          </cell>
        </row>
        <row r="948">
          <cell r="G948">
            <v>20867</v>
          </cell>
        </row>
        <row r="949">
          <cell r="G949">
            <v>12936</v>
          </cell>
        </row>
        <row r="950">
          <cell r="G950">
            <v>50585</v>
          </cell>
        </row>
        <row r="951">
          <cell r="G951">
            <v>1032698</v>
          </cell>
        </row>
        <row r="955">
          <cell r="G955">
            <v>271833</v>
          </cell>
        </row>
        <row r="956">
          <cell r="G956">
            <v>281325</v>
          </cell>
        </row>
        <row r="957">
          <cell r="G957">
            <v>11223</v>
          </cell>
        </row>
        <row r="958">
          <cell r="G958">
            <v>19714</v>
          </cell>
        </row>
        <row r="959">
          <cell r="G959">
            <v>45382</v>
          </cell>
        </row>
        <row r="1034">
          <cell r="G1034">
            <v>2101184</v>
          </cell>
        </row>
        <row r="1035">
          <cell r="G1035">
            <v>57102</v>
          </cell>
        </row>
        <row r="1036">
          <cell r="G1036">
            <v>171432</v>
          </cell>
        </row>
        <row r="1037">
          <cell r="G1037">
            <v>95248</v>
          </cell>
        </row>
        <row r="1038">
          <cell r="G1038">
            <v>25850539</v>
          </cell>
        </row>
        <row r="1039">
          <cell r="G1039">
            <v>25593806</v>
          </cell>
        </row>
        <row r="1040">
          <cell r="G1040">
            <v>24899152</v>
          </cell>
        </row>
        <row r="1041">
          <cell r="G1041">
            <v>1147575</v>
          </cell>
        </row>
        <row r="1042">
          <cell r="G1042">
            <v>141724</v>
          </cell>
        </row>
        <row r="1043">
          <cell r="G1043">
            <v>76805</v>
          </cell>
        </row>
        <row r="1044">
          <cell r="G1044">
            <v>851305</v>
          </cell>
        </row>
        <row r="1045">
          <cell r="G1045">
            <v>25850539</v>
          </cell>
        </row>
        <row r="1046">
          <cell r="G1046">
            <v>24899152</v>
          </cell>
        </row>
        <row r="1047">
          <cell r="G1047">
            <v>9028655</v>
          </cell>
        </row>
        <row r="1048">
          <cell r="G1048">
            <v>23353</v>
          </cell>
        </row>
        <row r="1049">
          <cell r="G1049">
            <v>370346</v>
          </cell>
        </row>
        <row r="1050">
          <cell r="G1050">
            <v>126388</v>
          </cell>
        </row>
        <row r="1051">
          <cell r="G1051">
            <v>1724716</v>
          </cell>
        </row>
        <row r="1052">
          <cell r="G1052">
            <v>57102</v>
          </cell>
        </row>
        <row r="1053">
          <cell r="G1053">
            <v>171432</v>
          </cell>
        </row>
        <row r="1054">
          <cell r="G1054">
            <v>95248</v>
          </cell>
        </row>
        <row r="1055">
          <cell r="G1055">
            <v>25183853</v>
          </cell>
        </row>
        <row r="1056">
          <cell r="G1056">
            <v>24802876</v>
          </cell>
        </row>
        <row r="1057">
          <cell r="G1057">
            <v>24165799</v>
          </cell>
        </row>
        <row r="1058">
          <cell r="G1058">
            <v>103945</v>
          </cell>
        </row>
        <row r="1059">
          <cell r="G1059">
            <v>2045945</v>
          </cell>
        </row>
        <row r="1060">
          <cell r="G1060">
            <v>57102</v>
          </cell>
        </row>
        <row r="1061">
          <cell r="G1061">
            <v>171432</v>
          </cell>
        </row>
        <row r="1062">
          <cell r="G1062">
            <v>95248</v>
          </cell>
        </row>
        <row r="1063">
          <cell r="G1063">
            <v>26208453</v>
          </cell>
        </row>
        <row r="1064">
          <cell r="G1064">
            <v>25594083</v>
          </cell>
        </row>
        <row r="1065">
          <cell r="G1065">
            <v>111276</v>
          </cell>
        </row>
        <row r="1066">
          <cell r="G1066">
            <v>1884040</v>
          </cell>
        </row>
        <row r="1067">
          <cell r="G1067">
            <v>57102</v>
          </cell>
        </row>
        <row r="1068">
          <cell r="G1068">
            <v>171432</v>
          </cell>
        </row>
        <row r="1069">
          <cell r="G1069">
            <v>95248</v>
          </cell>
        </row>
        <row r="1070">
          <cell r="G1070">
            <v>25850539</v>
          </cell>
        </row>
        <row r="1071">
          <cell r="G1071">
            <v>25593806</v>
          </cell>
        </row>
        <row r="1072">
          <cell r="G1072">
            <v>1649986</v>
          </cell>
        </row>
        <row r="1073">
          <cell r="G1073">
            <v>24802876</v>
          </cell>
        </row>
        <row r="1074">
          <cell r="G1074">
            <v>103945</v>
          </cell>
        </row>
        <row r="1075">
          <cell r="G1075">
            <v>141724</v>
          </cell>
        </row>
        <row r="1076">
          <cell r="G1076">
            <v>1725529</v>
          </cell>
        </row>
        <row r="1077">
          <cell r="G1077">
            <v>28103452</v>
          </cell>
        </row>
        <row r="1078">
          <cell r="G1078">
            <v>25312818</v>
          </cell>
        </row>
        <row r="1079">
          <cell r="G1079">
            <v>24559750</v>
          </cell>
        </row>
        <row r="1080">
          <cell r="G1080">
            <v>103945</v>
          </cell>
        </row>
        <row r="1081">
          <cell r="G1081">
            <v>1252250</v>
          </cell>
        </row>
        <row r="1082">
          <cell r="G1082">
            <v>20867</v>
          </cell>
        </row>
        <row r="1083">
          <cell r="G1083">
            <v>12936</v>
          </cell>
        </row>
        <row r="1084">
          <cell r="G1084">
            <v>50585</v>
          </cell>
        </row>
        <row r="1085">
          <cell r="G1085">
            <v>91617</v>
          </cell>
        </row>
        <row r="1086">
          <cell r="G1086">
            <v>440750</v>
          </cell>
        </row>
        <row r="1087">
          <cell r="G1087">
            <v>500331</v>
          </cell>
        </row>
        <row r="1088">
          <cell r="G1088">
            <v>271833</v>
          </cell>
        </row>
        <row r="1089">
          <cell r="G1089">
            <v>11223</v>
          </cell>
        </row>
        <row r="1090">
          <cell r="G1090">
            <v>19714</v>
          </cell>
        </row>
        <row r="1091">
          <cell r="G1091">
            <v>45382</v>
          </cell>
        </row>
        <row r="1095">
          <cell r="G1095">
            <v>10406267</v>
          </cell>
        </row>
        <row r="1096">
          <cell r="G1096">
            <v>2675122</v>
          </cell>
        </row>
        <row r="1097">
          <cell r="G1097">
            <v>23993</v>
          </cell>
        </row>
        <row r="1098">
          <cell r="G1098">
            <v>7229</v>
          </cell>
        </row>
        <row r="1099">
          <cell r="G1099">
            <v>19746</v>
          </cell>
        </row>
        <row r="1100">
          <cell r="G1100">
            <v>45382</v>
          </cell>
        </row>
        <row r="1190">
          <cell r="G1190">
            <v>1688075</v>
          </cell>
        </row>
        <row r="1191">
          <cell r="G1191">
            <v>28771832</v>
          </cell>
        </row>
        <row r="1192">
          <cell r="G1192">
            <v>27010601</v>
          </cell>
        </row>
        <row r="1193">
          <cell r="G1193">
            <v>102621</v>
          </cell>
        </row>
        <row r="1194">
          <cell r="G1194">
            <v>113802</v>
          </cell>
        </row>
        <row r="1195">
          <cell r="G1195">
            <v>91827</v>
          </cell>
        </row>
        <row r="1196">
          <cell r="G1196">
            <v>36181</v>
          </cell>
        </row>
        <row r="1197">
          <cell r="G1197">
            <v>319273</v>
          </cell>
        </row>
        <row r="1199">
          <cell r="G1199">
            <v>1688075</v>
          </cell>
        </row>
        <row r="1200">
          <cell r="G1200">
            <v>28771832</v>
          </cell>
        </row>
        <row r="1201">
          <cell r="G1201">
            <v>27010601</v>
          </cell>
        </row>
        <row r="1202">
          <cell r="G1202">
            <v>102621</v>
          </cell>
        </row>
        <row r="1203">
          <cell r="G1203">
            <v>113802</v>
          </cell>
        </row>
        <row r="1204">
          <cell r="G1204">
            <v>91827</v>
          </cell>
        </row>
        <row r="1205">
          <cell r="G1205">
            <v>36181</v>
          </cell>
        </row>
        <row r="1206">
          <cell r="G1206">
            <v>319273</v>
          </cell>
        </row>
        <row r="1225">
          <cell r="G1225">
            <v>1637840</v>
          </cell>
        </row>
        <row r="1226">
          <cell r="G1226">
            <v>27102732</v>
          </cell>
        </row>
        <row r="1227">
          <cell r="G1227">
            <v>86606</v>
          </cell>
        </row>
        <row r="1228">
          <cell r="G1228">
            <v>79217</v>
          </cell>
        </row>
        <row r="1229">
          <cell r="G1229">
            <v>65424</v>
          </cell>
        </row>
        <row r="1230">
          <cell r="G1230">
            <v>32162</v>
          </cell>
        </row>
        <row r="1231">
          <cell r="G1231">
            <v>120701</v>
          </cell>
        </row>
        <row r="1233">
          <cell r="G1233">
            <v>1637840</v>
          </cell>
        </row>
        <row r="1234">
          <cell r="G1234">
            <v>27102732</v>
          </cell>
        </row>
        <row r="1235">
          <cell r="G1235">
            <v>86606</v>
          </cell>
        </row>
        <row r="1236">
          <cell r="G1236">
            <v>65424</v>
          </cell>
        </row>
        <row r="1237">
          <cell r="G1237">
            <v>65424</v>
          </cell>
        </row>
        <row r="1238">
          <cell r="G1238">
            <v>32162</v>
          </cell>
        </row>
        <row r="1239">
          <cell r="G1239">
            <v>120701</v>
          </cell>
        </row>
        <row r="1243">
          <cell r="G1243">
            <v>851305</v>
          </cell>
        </row>
        <row r="1244">
          <cell r="G1244">
            <v>1637840</v>
          </cell>
        </row>
        <row r="1245">
          <cell r="G1245">
            <v>250782</v>
          </cell>
        </row>
        <row r="1246">
          <cell r="G1246">
            <v>27102732</v>
          </cell>
        </row>
        <row r="1247">
          <cell r="G1247">
            <v>27102732</v>
          </cell>
        </row>
        <row r="1248">
          <cell r="G1248">
            <v>69167</v>
          </cell>
        </row>
        <row r="1249">
          <cell r="G1249">
            <v>52812</v>
          </cell>
        </row>
        <row r="1250">
          <cell r="G1250">
            <v>32162</v>
          </cell>
        </row>
        <row r="1251">
          <cell r="G1251">
            <v>142868</v>
          </cell>
        </row>
        <row r="1252">
          <cell r="G1252">
            <v>96763</v>
          </cell>
        </row>
        <row r="1253">
          <cell r="G1253">
            <v>610299</v>
          </cell>
        </row>
        <row r="1254">
          <cell r="G1254">
            <v>242779</v>
          </cell>
        </row>
        <row r="1255">
          <cell r="G1255">
            <v>76805</v>
          </cell>
        </row>
        <row r="1256">
          <cell r="G1256">
            <v>1887933</v>
          </cell>
        </row>
        <row r="1257">
          <cell r="G1257">
            <v>103945</v>
          </cell>
        </row>
        <row r="1258">
          <cell r="G1258">
            <v>1887933</v>
          </cell>
        </row>
        <row r="1259">
          <cell r="G1259">
            <v>103945</v>
          </cell>
        </row>
        <row r="1260">
          <cell r="G1260">
            <v>1405969</v>
          </cell>
        </row>
        <row r="1261">
          <cell r="G1261">
            <v>851305</v>
          </cell>
        </row>
        <row r="1262">
          <cell r="G1262">
            <v>103945</v>
          </cell>
        </row>
        <row r="1263">
          <cell r="G1263">
            <v>1405969</v>
          </cell>
        </row>
        <row r="1264">
          <cell r="G1264">
            <v>851305</v>
          </cell>
        </row>
        <row r="1265">
          <cell r="G1265">
            <v>103945</v>
          </cell>
        </row>
        <row r="1266">
          <cell r="G1266">
            <v>1339251</v>
          </cell>
        </row>
        <row r="1267">
          <cell r="G1267">
            <v>851305</v>
          </cell>
        </row>
        <row r="1268">
          <cell r="G1268">
            <v>1305918</v>
          </cell>
        </row>
        <row r="1269">
          <cell r="G1269">
            <v>672112</v>
          </cell>
        </row>
        <row r="1270">
          <cell r="G1270">
            <v>851305</v>
          </cell>
        </row>
        <row r="1309">
          <cell r="G1309">
            <v>1568156</v>
          </cell>
        </row>
        <row r="1310">
          <cell r="G1310">
            <v>103945</v>
          </cell>
        </row>
        <row r="1311">
          <cell r="G1311">
            <v>851305</v>
          </cell>
        </row>
        <row r="1312">
          <cell r="G1312">
            <v>1868221</v>
          </cell>
        </row>
        <row r="1313">
          <cell r="G1313">
            <v>96763</v>
          </cell>
        </row>
        <row r="1314">
          <cell r="G1314">
            <v>2087940</v>
          </cell>
        </row>
        <row r="1315">
          <cell r="G1315">
            <v>103945</v>
          </cell>
        </row>
        <row r="1316">
          <cell r="G1316">
            <v>26211154</v>
          </cell>
        </row>
        <row r="1317">
          <cell r="G1317">
            <v>167496</v>
          </cell>
        </row>
        <row r="1318">
          <cell r="G1318">
            <v>56948</v>
          </cell>
        </row>
        <row r="1322">
          <cell r="G1322">
            <v>2096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ông trình"/>
      <sheetName val="Hao phí vật tư"/>
      <sheetName val="Vật liệu"/>
      <sheetName val="Nhân công"/>
      <sheetName val="Máy thi công"/>
      <sheetName val="TH dự toán hạng mục"/>
      <sheetName val="TH dự toán công trình"/>
      <sheetName val="Đơn giá chi tiết"/>
      <sheetName val="Dự thầu"/>
      <sheetName val="TH giá dự thầu"/>
      <sheetName val="Dự phòng trượt giá"/>
      <sheetName val="Dự toán gói thầu xây dựng"/>
      <sheetName val="Dự toán gói thầu thiết bị"/>
      <sheetName val="Tổng mức đầu tư"/>
      <sheetName val="Chi phí thiết bị"/>
      <sheetName val="Hạng mục chung"/>
      <sheetName val="Thuyết minh"/>
      <sheetName val="Bìa ngoài"/>
      <sheetName val="Bìa trong"/>
      <sheetName val="Nháp"/>
      <sheetName val="Cước ô tô"/>
      <sheetName val="Cước ô tô kết hợp"/>
      <sheetName val="Cước bộ"/>
      <sheetName val="Cước sông"/>
      <sheetName val="Lương nhân công"/>
      <sheetName val="Tính giá ca máy"/>
      <sheetName val="Bù giá ca máy"/>
      <sheetName val="Tổng hợp nhiên liệu"/>
      <sheetName val="Thanh toán KL hoàn thành"/>
      <sheetName val="Thanh toán KL phát sinh"/>
      <sheetName val="Tổng hợp VL,NC,M"/>
      <sheetName val="Đơn giá chi tiết rút gọn"/>
      <sheetName val="Đơn giá tổng hợp"/>
      <sheetName val="Tổng hợp phụ lục vữa"/>
      <sheetName val="Vật liệu vận chuyển lên cao"/>
      <sheetName val="Hệ số"/>
    </sheetNames>
    <sheetDataSet>
      <sheetData sheetId="0"/>
      <sheetData sheetId="1"/>
      <sheetData sheetId="2"/>
      <sheetData sheetId="3"/>
      <sheetData sheetId="4"/>
      <sheetData sheetId="5"/>
      <sheetData sheetId="6"/>
      <sheetData sheetId="7"/>
      <sheetData sheetId="8">
        <row r="6">
          <cell r="G6">
            <v>646</v>
          </cell>
        </row>
        <row r="7">
          <cell r="G7">
            <v>30610</v>
          </cell>
        </row>
        <row r="8">
          <cell r="G8">
            <v>12936</v>
          </cell>
        </row>
        <row r="9">
          <cell r="G9">
            <v>12936</v>
          </cell>
        </row>
        <row r="10">
          <cell r="G10">
            <v>15775</v>
          </cell>
        </row>
        <row r="11">
          <cell r="G11">
            <v>50585</v>
          </cell>
        </row>
        <row r="12">
          <cell r="G12">
            <v>54405</v>
          </cell>
        </row>
        <row r="13">
          <cell r="G13">
            <v>1064000</v>
          </cell>
        </row>
        <row r="21">
          <cell r="G21">
            <v>40424</v>
          </cell>
        </row>
        <row r="25">
          <cell r="G25">
            <v>45382</v>
          </cell>
        </row>
        <row r="29">
          <cell r="G29">
            <v>56948</v>
          </cell>
        </row>
        <row r="33">
          <cell r="G33">
            <v>2096</v>
          </cell>
        </row>
        <row r="34">
          <cell r="G34">
            <v>8251</v>
          </cell>
        </row>
        <row r="35">
          <cell r="G35">
            <v>20017</v>
          </cell>
        </row>
        <row r="36">
          <cell r="G36">
            <v>224210</v>
          </cell>
        </row>
        <row r="37">
          <cell r="G37">
            <v>12936</v>
          </cell>
        </row>
        <row r="38">
          <cell r="G38">
            <v>12936</v>
          </cell>
        </row>
        <row r="39">
          <cell r="G39">
            <v>12342</v>
          </cell>
        </row>
        <row r="40">
          <cell r="G40">
            <v>6611</v>
          </cell>
        </row>
        <row r="41">
          <cell r="G41">
            <v>882587</v>
          </cell>
        </row>
        <row r="42">
          <cell r="G42">
            <v>26716</v>
          </cell>
        </row>
        <row r="43">
          <cell r="G43">
            <v>32141</v>
          </cell>
        </row>
        <row r="44">
          <cell r="G44">
            <v>70225</v>
          </cell>
        </row>
        <row r="45">
          <cell r="G45">
            <v>274941</v>
          </cell>
        </row>
        <row r="46">
          <cell r="G46">
            <v>274941</v>
          </cell>
        </row>
        <row r="47">
          <cell r="G47">
            <v>20867</v>
          </cell>
        </row>
        <row r="48">
          <cell r="G48">
            <v>12936</v>
          </cell>
        </row>
        <row r="49">
          <cell r="G49">
            <v>301142</v>
          </cell>
        </row>
        <row r="50">
          <cell r="G50">
            <v>191443</v>
          </cell>
        </row>
        <row r="51">
          <cell r="G51">
            <v>184138</v>
          </cell>
        </row>
        <row r="52">
          <cell r="G52">
            <v>33697650</v>
          </cell>
        </row>
        <row r="53">
          <cell r="G53">
            <v>17859</v>
          </cell>
        </row>
        <row r="54">
          <cell r="G54">
            <v>11015</v>
          </cell>
        </row>
        <row r="56">
          <cell r="G56">
            <v>5344325</v>
          </cell>
        </row>
        <row r="57">
          <cell r="G57">
            <v>6039936</v>
          </cell>
        </row>
        <row r="58">
          <cell r="G58">
            <v>26753</v>
          </cell>
        </row>
        <row r="59">
          <cell r="G59">
            <v>364704</v>
          </cell>
        </row>
        <row r="60">
          <cell r="G60">
            <v>344284</v>
          </cell>
        </row>
        <row r="82">
          <cell r="G82">
            <v>10394299</v>
          </cell>
        </row>
        <row r="83">
          <cell r="G83">
            <v>1202607</v>
          </cell>
        </row>
        <row r="84">
          <cell r="G84">
            <v>388691</v>
          </cell>
        </row>
        <row r="89">
          <cell r="G89">
            <v>669649</v>
          </cell>
        </row>
        <row r="93">
          <cell r="G93">
            <v>1909908</v>
          </cell>
        </row>
        <row r="94">
          <cell r="G94">
            <v>2096</v>
          </cell>
        </row>
        <row r="95">
          <cell r="G95">
            <v>963779</v>
          </cell>
        </row>
        <row r="115">
          <cell r="G115">
            <v>23801</v>
          </cell>
        </row>
        <row r="116">
          <cell r="G116">
            <v>30610</v>
          </cell>
        </row>
        <row r="117">
          <cell r="G117">
            <v>8251</v>
          </cell>
        </row>
        <row r="118">
          <cell r="G118">
            <v>12936</v>
          </cell>
        </row>
        <row r="119">
          <cell r="G119">
            <v>15775</v>
          </cell>
        </row>
        <row r="120">
          <cell r="G120">
            <v>50585</v>
          </cell>
        </row>
        <row r="121">
          <cell r="G121">
            <v>54405</v>
          </cell>
        </row>
        <row r="122">
          <cell r="G122">
            <v>91617</v>
          </cell>
        </row>
        <row r="123">
          <cell r="G123">
            <v>440750</v>
          </cell>
        </row>
        <row r="124">
          <cell r="G124">
            <v>531633</v>
          </cell>
        </row>
        <row r="125">
          <cell r="G125">
            <v>8251</v>
          </cell>
        </row>
        <row r="126">
          <cell r="G126">
            <v>274941</v>
          </cell>
        </row>
        <row r="127">
          <cell r="G127">
            <v>274941</v>
          </cell>
        </row>
        <row r="128">
          <cell r="G128">
            <v>20017</v>
          </cell>
        </row>
        <row r="129">
          <cell r="G129">
            <v>36456</v>
          </cell>
        </row>
        <row r="130">
          <cell r="G130">
            <v>20867</v>
          </cell>
        </row>
        <row r="131">
          <cell r="G131">
            <v>12936</v>
          </cell>
        </row>
        <row r="132">
          <cell r="G132">
            <v>11015</v>
          </cell>
        </row>
        <row r="134">
          <cell r="G134">
            <v>5344325</v>
          </cell>
        </row>
        <row r="135">
          <cell r="G135">
            <v>6039936</v>
          </cell>
        </row>
        <row r="136">
          <cell r="G136">
            <v>15319</v>
          </cell>
        </row>
        <row r="143">
          <cell r="G143">
            <v>364704</v>
          </cell>
        </row>
        <row r="144">
          <cell r="G144">
            <v>344284</v>
          </cell>
        </row>
        <row r="173">
          <cell r="G173">
            <v>20072</v>
          </cell>
        </row>
        <row r="174">
          <cell r="G174">
            <v>23801</v>
          </cell>
        </row>
        <row r="175">
          <cell r="G175">
            <v>23801</v>
          </cell>
        </row>
        <row r="176">
          <cell r="G176">
            <v>12342</v>
          </cell>
        </row>
        <row r="177">
          <cell r="G177">
            <v>12936</v>
          </cell>
        </row>
        <row r="178">
          <cell r="G178">
            <v>8251</v>
          </cell>
        </row>
        <row r="179">
          <cell r="G179">
            <v>32141</v>
          </cell>
        </row>
        <row r="180">
          <cell r="G180">
            <v>12936</v>
          </cell>
        </row>
        <row r="181">
          <cell r="G181">
            <v>50585</v>
          </cell>
        </row>
        <row r="182">
          <cell r="G182">
            <v>54405</v>
          </cell>
        </row>
        <row r="183">
          <cell r="G183">
            <v>91617</v>
          </cell>
        </row>
        <row r="184">
          <cell r="G184">
            <v>440750</v>
          </cell>
        </row>
        <row r="185">
          <cell r="G185">
            <v>531633</v>
          </cell>
        </row>
        <row r="192">
          <cell r="G192">
            <v>11015</v>
          </cell>
        </row>
        <row r="194">
          <cell r="G194">
            <v>5344325</v>
          </cell>
        </row>
        <row r="195">
          <cell r="G195">
            <v>6039936</v>
          </cell>
        </row>
        <row r="196">
          <cell r="G196">
            <v>26753</v>
          </cell>
        </row>
        <row r="197">
          <cell r="G197">
            <v>364704</v>
          </cell>
        </row>
        <row r="198">
          <cell r="G198">
            <v>11015</v>
          </cell>
        </row>
        <row r="200">
          <cell r="G200">
            <v>5344325</v>
          </cell>
        </row>
        <row r="201">
          <cell r="G201">
            <v>6039936</v>
          </cell>
        </row>
        <row r="202">
          <cell r="G202">
            <v>26753</v>
          </cell>
        </row>
        <row r="203">
          <cell r="G203">
            <v>364704</v>
          </cell>
        </row>
        <row r="475">
          <cell r="G475">
            <v>519576</v>
          </cell>
        </row>
        <row r="476">
          <cell r="G476">
            <v>1113651</v>
          </cell>
        </row>
        <row r="477">
          <cell r="G477">
            <v>56885</v>
          </cell>
        </row>
        <row r="478">
          <cell r="G478">
            <v>305773</v>
          </cell>
        </row>
        <row r="479">
          <cell r="G479">
            <v>320924</v>
          </cell>
        </row>
        <row r="480">
          <cell r="G480">
            <v>314863</v>
          </cell>
        </row>
        <row r="481">
          <cell r="G481">
            <v>314863</v>
          </cell>
        </row>
        <row r="482">
          <cell r="G482">
            <v>314863</v>
          </cell>
        </row>
        <row r="483">
          <cell r="G483">
            <v>492731</v>
          </cell>
        </row>
        <row r="484">
          <cell r="G484">
            <v>1021897</v>
          </cell>
        </row>
        <row r="485">
          <cell r="G485">
            <v>1021897</v>
          </cell>
        </row>
        <row r="486">
          <cell r="G486">
            <v>1755842</v>
          </cell>
        </row>
        <row r="487">
          <cell r="G487">
            <v>804708</v>
          </cell>
        </row>
        <row r="488">
          <cell r="G488">
            <v>171892</v>
          </cell>
        </row>
        <row r="489">
          <cell r="G489">
            <v>9382399</v>
          </cell>
        </row>
        <row r="490">
          <cell r="G490">
            <v>856508</v>
          </cell>
        </row>
        <row r="491">
          <cell r="G491">
            <v>308087</v>
          </cell>
        </row>
        <row r="492">
          <cell r="G492">
            <v>40152</v>
          </cell>
        </row>
        <row r="493">
          <cell r="G493">
            <v>50931</v>
          </cell>
        </row>
        <row r="531">
          <cell r="G531">
            <v>61004533</v>
          </cell>
        </row>
        <row r="532">
          <cell r="G532">
            <v>24716117</v>
          </cell>
        </row>
        <row r="533">
          <cell r="G533">
            <v>23857393</v>
          </cell>
        </row>
        <row r="534">
          <cell r="G534">
            <v>2500986</v>
          </cell>
        </row>
        <row r="535">
          <cell r="G535">
            <v>276887</v>
          </cell>
        </row>
        <row r="536">
          <cell r="G536">
            <v>57102</v>
          </cell>
        </row>
        <row r="537">
          <cell r="G537">
            <v>171432</v>
          </cell>
        </row>
        <row r="538">
          <cell r="G538">
            <v>114011</v>
          </cell>
        </row>
        <row r="539">
          <cell r="G539">
            <v>193720</v>
          </cell>
        </row>
        <row r="540">
          <cell r="G540">
            <v>17104447</v>
          </cell>
        </row>
        <row r="541">
          <cell r="G541">
            <v>746213</v>
          </cell>
        </row>
        <row r="542">
          <cell r="G542">
            <v>31912360</v>
          </cell>
        </row>
        <row r="543">
          <cell r="G543">
            <v>5329201</v>
          </cell>
        </row>
        <row r="544">
          <cell r="G544">
            <v>61004533</v>
          </cell>
        </row>
        <row r="545">
          <cell r="G545">
            <v>24716117</v>
          </cell>
        </row>
        <row r="546">
          <cell r="G546">
            <v>23857393</v>
          </cell>
        </row>
        <row r="547">
          <cell r="G547">
            <v>2500986</v>
          </cell>
        </row>
        <row r="548">
          <cell r="G548">
            <v>276887</v>
          </cell>
        </row>
        <row r="549">
          <cell r="G549">
            <v>57102</v>
          </cell>
        </row>
        <row r="550">
          <cell r="G550">
            <v>171432</v>
          </cell>
        </row>
        <row r="551">
          <cell r="G551">
            <v>114011</v>
          </cell>
        </row>
        <row r="552">
          <cell r="G552">
            <v>193720</v>
          </cell>
        </row>
        <row r="553">
          <cell r="G553">
            <v>17104447</v>
          </cell>
        </row>
        <row r="554">
          <cell r="G554">
            <v>1265707</v>
          </cell>
        </row>
        <row r="555">
          <cell r="G555">
            <v>31912360</v>
          </cell>
        </row>
        <row r="556">
          <cell r="G556">
            <v>5329201</v>
          </cell>
        </row>
        <row r="557">
          <cell r="G557">
            <v>2021360</v>
          </cell>
        </row>
        <row r="558">
          <cell r="G558">
            <v>57102</v>
          </cell>
        </row>
        <row r="559">
          <cell r="G559">
            <v>171432</v>
          </cell>
        </row>
        <row r="560">
          <cell r="G560">
            <v>114011</v>
          </cell>
        </row>
        <row r="561">
          <cell r="G561">
            <v>65242</v>
          </cell>
        </row>
        <row r="562">
          <cell r="G562">
            <v>25285548</v>
          </cell>
        </row>
        <row r="563">
          <cell r="G563">
            <v>25011283</v>
          </cell>
        </row>
        <row r="564">
          <cell r="G564">
            <v>1719728</v>
          </cell>
        </row>
        <row r="565">
          <cell r="G565">
            <v>27101433</v>
          </cell>
        </row>
        <row r="566">
          <cell r="G566">
            <v>86606</v>
          </cell>
        </row>
        <row r="567">
          <cell r="G567">
            <v>36395</v>
          </cell>
        </row>
        <row r="568">
          <cell r="G568">
            <v>52812</v>
          </cell>
        </row>
        <row r="569">
          <cell r="G569">
            <v>42761</v>
          </cell>
        </row>
        <row r="570">
          <cell r="G570">
            <v>36271</v>
          </cell>
        </row>
        <row r="571">
          <cell r="G571">
            <v>1785388</v>
          </cell>
        </row>
        <row r="572">
          <cell r="G572">
            <v>57102</v>
          </cell>
        </row>
        <row r="573">
          <cell r="G573">
            <v>171432</v>
          </cell>
        </row>
        <row r="574">
          <cell r="G574">
            <v>114011</v>
          </cell>
        </row>
        <row r="575">
          <cell r="G575">
            <v>25032847</v>
          </cell>
        </row>
        <row r="576">
          <cell r="G576">
            <v>25032847</v>
          </cell>
        </row>
        <row r="577">
          <cell r="G577">
            <v>24337233</v>
          </cell>
        </row>
        <row r="578">
          <cell r="G578">
            <v>65242</v>
          </cell>
        </row>
        <row r="579">
          <cell r="G579">
            <v>103984</v>
          </cell>
        </row>
        <row r="580">
          <cell r="G580">
            <v>178258</v>
          </cell>
        </row>
        <row r="581">
          <cell r="G581">
            <v>15319</v>
          </cell>
        </row>
        <row r="582">
          <cell r="G582">
            <v>12540</v>
          </cell>
        </row>
        <row r="584">
          <cell r="G584">
            <v>53442</v>
          </cell>
        </row>
        <row r="585">
          <cell r="G585">
            <v>60399</v>
          </cell>
        </row>
        <row r="586">
          <cell r="G586">
            <v>5175851</v>
          </cell>
        </row>
        <row r="587">
          <cell r="G587">
            <v>6590456</v>
          </cell>
        </row>
        <row r="588">
          <cell r="G588">
            <v>11477274</v>
          </cell>
        </row>
        <row r="589">
          <cell r="G589">
            <v>13779223</v>
          </cell>
        </row>
        <row r="590">
          <cell r="G590">
            <v>31922068</v>
          </cell>
        </row>
        <row r="591">
          <cell r="G591">
            <v>5329201</v>
          </cell>
        </row>
        <row r="592">
          <cell r="G592">
            <v>39471</v>
          </cell>
        </row>
        <row r="593">
          <cell r="G593">
            <v>17204605</v>
          </cell>
        </row>
        <row r="594">
          <cell r="G594">
            <v>2080172</v>
          </cell>
        </row>
        <row r="595">
          <cell r="G595">
            <v>25311519</v>
          </cell>
        </row>
        <row r="596">
          <cell r="G596">
            <v>65242</v>
          </cell>
        </row>
        <row r="597">
          <cell r="G597">
            <v>6367</v>
          </cell>
        </row>
        <row r="598">
          <cell r="G598">
            <v>31922068</v>
          </cell>
        </row>
        <row r="599">
          <cell r="G599">
            <v>5329201</v>
          </cell>
        </row>
        <row r="600">
          <cell r="G600">
            <v>9028655</v>
          </cell>
        </row>
        <row r="601">
          <cell r="G601">
            <v>1878060</v>
          </cell>
        </row>
        <row r="602">
          <cell r="G602">
            <v>65242</v>
          </cell>
        </row>
        <row r="603">
          <cell r="G603">
            <v>25032847</v>
          </cell>
        </row>
        <row r="604">
          <cell r="G604">
            <v>40797367</v>
          </cell>
        </row>
        <row r="605">
          <cell r="G605">
            <v>3788899</v>
          </cell>
        </row>
        <row r="606">
          <cell r="G606">
            <v>94291</v>
          </cell>
        </row>
        <row r="607">
          <cell r="G607">
            <v>57483</v>
          </cell>
        </row>
        <row r="608">
          <cell r="G608">
            <v>6367</v>
          </cell>
        </row>
        <row r="609">
          <cell r="G609">
            <v>1719728</v>
          </cell>
        </row>
        <row r="610">
          <cell r="G610">
            <v>27101433</v>
          </cell>
        </row>
        <row r="611">
          <cell r="G611">
            <v>86606</v>
          </cell>
        </row>
        <row r="612">
          <cell r="G612">
            <v>36395</v>
          </cell>
        </row>
        <row r="613">
          <cell r="G613">
            <v>69167</v>
          </cell>
        </row>
        <row r="614">
          <cell r="G614">
            <v>52812</v>
          </cell>
        </row>
        <row r="615">
          <cell r="G615">
            <v>36271</v>
          </cell>
        </row>
        <row r="616">
          <cell r="G616">
            <v>214840</v>
          </cell>
        </row>
        <row r="617">
          <cell r="G617">
            <v>72975</v>
          </cell>
        </row>
        <row r="618">
          <cell r="G618">
            <v>1351063</v>
          </cell>
        </row>
        <row r="619">
          <cell r="G619">
            <v>174876</v>
          </cell>
        </row>
        <row r="620">
          <cell r="G620">
            <v>679609</v>
          </cell>
        </row>
        <row r="621">
          <cell r="G621">
            <v>284010</v>
          </cell>
        </row>
        <row r="622">
          <cell r="G622">
            <v>325457</v>
          </cell>
        </row>
        <row r="623">
          <cell r="G623">
            <v>6759106</v>
          </cell>
        </row>
        <row r="624">
          <cell r="G624">
            <v>8621833</v>
          </cell>
        </row>
        <row r="625">
          <cell r="G625">
            <v>856271</v>
          </cell>
        </row>
        <row r="626">
          <cell r="G626">
            <v>1346046</v>
          </cell>
        </row>
        <row r="627">
          <cell r="G627">
            <v>1731530</v>
          </cell>
        </row>
        <row r="628">
          <cell r="G628">
            <v>24801577</v>
          </cell>
        </row>
        <row r="629">
          <cell r="G629">
            <v>65242</v>
          </cell>
        </row>
        <row r="630">
          <cell r="G630">
            <v>527970</v>
          </cell>
        </row>
        <row r="631">
          <cell r="G631">
            <v>167496</v>
          </cell>
        </row>
        <row r="632">
          <cell r="G632">
            <v>11436</v>
          </cell>
        </row>
        <row r="633">
          <cell r="G633">
            <v>2501712</v>
          </cell>
        </row>
        <row r="634">
          <cell r="G634">
            <v>3230107</v>
          </cell>
        </row>
        <row r="635">
          <cell r="G635">
            <v>10406267</v>
          </cell>
        </row>
        <row r="636">
          <cell r="G636">
            <v>9605637</v>
          </cell>
        </row>
        <row r="637">
          <cell r="G637">
            <v>10406267</v>
          </cell>
        </row>
        <row r="638">
          <cell r="G638">
            <v>15392164</v>
          </cell>
        </row>
        <row r="639">
          <cell r="G639">
            <v>5687244</v>
          </cell>
        </row>
        <row r="640">
          <cell r="G640">
            <v>2343426</v>
          </cell>
        </row>
        <row r="641">
          <cell r="G641">
            <v>1719728</v>
          </cell>
        </row>
        <row r="642">
          <cell r="G642">
            <v>23565</v>
          </cell>
        </row>
        <row r="643">
          <cell r="G643">
            <v>21010</v>
          </cell>
        </row>
        <row r="644">
          <cell r="G644">
            <v>2229</v>
          </cell>
        </row>
        <row r="645">
          <cell r="G645">
            <v>25182574</v>
          </cell>
        </row>
        <row r="646">
          <cell r="G646">
            <v>24801577</v>
          </cell>
        </row>
        <row r="647">
          <cell r="G647">
            <v>24164499</v>
          </cell>
        </row>
        <row r="648">
          <cell r="G648">
            <v>1559273</v>
          </cell>
        </row>
        <row r="649">
          <cell r="G649">
            <v>1331296</v>
          </cell>
        </row>
        <row r="650">
          <cell r="G650">
            <v>65242</v>
          </cell>
        </row>
        <row r="651">
          <cell r="G651">
            <v>2045500</v>
          </cell>
        </row>
        <row r="652">
          <cell r="G652">
            <v>1437305</v>
          </cell>
        </row>
        <row r="653">
          <cell r="G653">
            <v>57102</v>
          </cell>
        </row>
        <row r="654">
          <cell r="G654">
            <v>171432</v>
          </cell>
        </row>
        <row r="655">
          <cell r="G655">
            <v>114011</v>
          </cell>
        </row>
        <row r="656">
          <cell r="G656">
            <v>27013071</v>
          </cell>
        </row>
        <row r="657">
          <cell r="G657">
            <v>26226135</v>
          </cell>
        </row>
        <row r="658">
          <cell r="G658">
            <v>25632494</v>
          </cell>
        </row>
        <row r="659">
          <cell r="G659">
            <v>181766</v>
          </cell>
        </row>
        <row r="660">
          <cell r="G660">
            <v>25632494</v>
          </cell>
        </row>
        <row r="661">
          <cell r="G661">
            <v>9028655</v>
          </cell>
        </row>
        <row r="662">
          <cell r="G662">
            <v>31912360</v>
          </cell>
        </row>
        <row r="663">
          <cell r="G663">
            <v>5329201</v>
          </cell>
        </row>
        <row r="664">
          <cell r="G664">
            <v>15641024</v>
          </cell>
        </row>
        <row r="665">
          <cell r="G665">
            <v>126388</v>
          </cell>
        </row>
        <row r="666">
          <cell r="G666">
            <v>94291</v>
          </cell>
        </row>
        <row r="667">
          <cell r="G667">
            <v>23670194</v>
          </cell>
        </row>
        <row r="668">
          <cell r="G668">
            <v>144654</v>
          </cell>
        </row>
        <row r="671">
          <cell r="G671">
            <v>2198139</v>
          </cell>
        </row>
        <row r="672">
          <cell r="G672">
            <v>57102</v>
          </cell>
        </row>
        <row r="673">
          <cell r="G673">
            <v>171432</v>
          </cell>
        </row>
        <row r="674">
          <cell r="G674">
            <v>114011</v>
          </cell>
        </row>
        <row r="675">
          <cell r="G675">
            <v>27573930</v>
          </cell>
        </row>
        <row r="676">
          <cell r="G676">
            <v>27141473</v>
          </cell>
        </row>
        <row r="677">
          <cell r="G677">
            <v>31912360</v>
          </cell>
        </row>
        <row r="678">
          <cell r="G678">
            <v>5329201</v>
          </cell>
        </row>
        <row r="679">
          <cell r="G679">
            <v>980795</v>
          </cell>
        </row>
        <row r="680">
          <cell r="G680">
            <v>1171576</v>
          </cell>
        </row>
        <row r="681">
          <cell r="G681">
            <v>1188748</v>
          </cell>
        </row>
        <row r="682">
          <cell r="G682">
            <v>3021362</v>
          </cell>
        </row>
        <row r="684">
          <cell r="G684">
            <v>2296256</v>
          </cell>
        </row>
        <row r="685">
          <cell r="G685">
            <v>174511</v>
          </cell>
        </row>
        <row r="686">
          <cell r="G686">
            <v>214046</v>
          </cell>
        </row>
        <row r="687">
          <cell r="G687">
            <v>4688</v>
          </cell>
        </row>
        <row r="688">
          <cell r="G688">
            <v>11770</v>
          </cell>
        </row>
        <row r="689">
          <cell r="G689">
            <v>16259</v>
          </cell>
        </row>
        <row r="690">
          <cell r="G690">
            <v>97184</v>
          </cell>
        </row>
        <row r="691">
          <cell r="G691">
            <v>44564</v>
          </cell>
        </row>
        <row r="692">
          <cell r="G692">
            <v>7612923</v>
          </cell>
        </row>
        <row r="693">
          <cell r="G693">
            <v>9422453</v>
          </cell>
        </row>
        <row r="694">
          <cell r="G694">
            <v>9422453</v>
          </cell>
        </row>
        <row r="695">
          <cell r="G695">
            <v>8614945</v>
          </cell>
        </row>
        <row r="696">
          <cell r="G696">
            <v>8614945</v>
          </cell>
        </row>
        <row r="697">
          <cell r="G697">
            <v>840810</v>
          </cell>
        </row>
        <row r="698">
          <cell r="G698">
            <v>15707</v>
          </cell>
        </row>
        <row r="699">
          <cell r="G699">
            <v>56948</v>
          </cell>
        </row>
        <row r="703">
          <cell r="G703">
            <v>72655</v>
          </cell>
        </row>
        <row r="708">
          <cell r="G708">
            <v>753290</v>
          </cell>
        </row>
        <row r="709">
          <cell r="G709">
            <v>5121205</v>
          </cell>
        </row>
        <row r="710">
          <cell r="G710">
            <v>22607396</v>
          </cell>
        </row>
        <row r="711">
          <cell r="G711">
            <v>2198139</v>
          </cell>
        </row>
        <row r="712">
          <cell r="G712">
            <v>57102</v>
          </cell>
        </row>
        <row r="713">
          <cell r="G713">
            <v>132072</v>
          </cell>
        </row>
        <row r="714">
          <cell r="G714">
            <v>27573930</v>
          </cell>
        </row>
        <row r="715">
          <cell r="G715">
            <v>27141473</v>
          </cell>
        </row>
        <row r="716">
          <cell r="G716">
            <v>31912360</v>
          </cell>
        </row>
        <row r="717">
          <cell r="G717">
            <v>5329201</v>
          </cell>
        </row>
        <row r="718">
          <cell r="G718">
            <v>2296256</v>
          </cell>
        </row>
        <row r="719">
          <cell r="G719">
            <v>174511</v>
          </cell>
        </row>
        <row r="720">
          <cell r="G720">
            <v>214046</v>
          </cell>
        </row>
        <row r="721">
          <cell r="G721">
            <v>840810</v>
          </cell>
        </row>
        <row r="722">
          <cell r="G722">
            <v>2501712</v>
          </cell>
        </row>
        <row r="723">
          <cell r="G723">
            <v>3230107</v>
          </cell>
        </row>
        <row r="724">
          <cell r="G724">
            <v>30799905</v>
          </cell>
        </row>
        <row r="725">
          <cell r="G725">
            <v>10743587</v>
          </cell>
        </row>
        <row r="726">
          <cell r="G726">
            <v>10406267</v>
          </cell>
        </row>
        <row r="727">
          <cell r="G727">
            <v>1512019</v>
          </cell>
        </row>
        <row r="728">
          <cell r="G728">
            <v>1512019</v>
          </cell>
        </row>
        <row r="729">
          <cell r="G729">
            <v>1512019</v>
          </cell>
        </row>
        <row r="730">
          <cell r="G730">
            <v>1512019</v>
          </cell>
        </row>
        <row r="731">
          <cell r="G731">
            <v>1512019</v>
          </cell>
        </row>
        <row r="732">
          <cell r="G732">
            <v>1565192</v>
          </cell>
        </row>
        <row r="733">
          <cell r="G733">
            <v>1512019</v>
          </cell>
        </row>
        <row r="734">
          <cell r="G734">
            <v>1512019</v>
          </cell>
        </row>
        <row r="735">
          <cell r="G735">
            <v>5687244</v>
          </cell>
        </row>
        <row r="736">
          <cell r="G736">
            <v>2343426</v>
          </cell>
        </row>
        <row r="737">
          <cell r="G737">
            <v>2165664</v>
          </cell>
        </row>
        <row r="738">
          <cell r="G738">
            <v>2165664</v>
          </cell>
        </row>
        <row r="739">
          <cell r="G739">
            <v>67386</v>
          </cell>
        </row>
        <row r="740">
          <cell r="G740">
            <v>67386</v>
          </cell>
        </row>
        <row r="741">
          <cell r="G741">
            <v>52562</v>
          </cell>
        </row>
        <row r="742">
          <cell r="G742">
            <v>21361</v>
          </cell>
        </row>
        <row r="743">
          <cell r="G743">
            <v>19560</v>
          </cell>
        </row>
        <row r="744">
          <cell r="G744">
            <v>12936</v>
          </cell>
        </row>
        <row r="745">
          <cell r="G745">
            <v>1570800</v>
          </cell>
        </row>
        <row r="746">
          <cell r="G746">
            <v>1602004</v>
          </cell>
        </row>
        <row r="747">
          <cell r="G747">
            <v>42711</v>
          </cell>
        </row>
        <row r="751">
          <cell r="G751">
            <v>57102</v>
          </cell>
        </row>
        <row r="752">
          <cell r="G752">
            <v>171432</v>
          </cell>
        </row>
        <row r="753">
          <cell r="G753">
            <v>114011</v>
          </cell>
        </row>
        <row r="755">
          <cell r="G755">
            <v>292922</v>
          </cell>
        </row>
        <row r="756">
          <cell r="G756">
            <v>12936</v>
          </cell>
        </row>
        <row r="757">
          <cell r="G757">
            <v>20072</v>
          </cell>
        </row>
        <row r="758">
          <cell r="G758">
            <v>15760</v>
          </cell>
        </row>
        <row r="759">
          <cell r="G759">
            <v>40424</v>
          </cell>
        </row>
        <row r="763">
          <cell r="G763">
            <v>1817922</v>
          </cell>
        </row>
        <row r="764">
          <cell r="G764">
            <v>24801577</v>
          </cell>
        </row>
        <row r="765">
          <cell r="G765">
            <v>20017</v>
          </cell>
        </row>
        <row r="766">
          <cell r="G766">
            <v>214840</v>
          </cell>
        </row>
        <row r="767">
          <cell r="G767">
            <v>1152723</v>
          </cell>
        </row>
        <row r="768">
          <cell r="G768">
            <v>20072</v>
          </cell>
        </row>
        <row r="769">
          <cell r="G769">
            <v>9946</v>
          </cell>
        </row>
        <row r="770">
          <cell r="G770">
            <v>1563454</v>
          </cell>
        </row>
        <row r="771">
          <cell r="G771">
            <v>27101433</v>
          </cell>
        </row>
        <row r="772">
          <cell r="G772">
            <v>86606</v>
          </cell>
        </row>
        <row r="773">
          <cell r="G773">
            <v>36395</v>
          </cell>
        </row>
        <row r="774">
          <cell r="G774">
            <v>33894</v>
          </cell>
        </row>
        <row r="775">
          <cell r="G775">
            <v>26228</v>
          </cell>
        </row>
        <row r="776">
          <cell r="G776">
            <v>36271</v>
          </cell>
        </row>
        <row r="777">
          <cell r="G777">
            <v>1654556</v>
          </cell>
        </row>
        <row r="778">
          <cell r="G778">
            <v>1152723</v>
          </cell>
        </row>
        <row r="779">
          <cell r="G779">
            <v>65242</v>
          </cell>
        </row>
        <row r="780">
          <cell r="G780">
            <v>1532161</v>
          </cell>
        </row>
        <row r="781">
          <cell r="G781">
            <v>1521411</v>
          </cell>
        </row>
        <row r="782">
          <cell r="G782">
            <v>10479792</v>
          </cell>
        </row>
        <row r="783">
          <cell r="G783">
            <v>1331296</v>
          </cell>
        </row>
        <row r="784">
          <cell r="G784">
            <v>10479792</v>
          </cell>
        </row>
        <row r="785">
          <cell r="G785">
            <v>1521411</v>
          </cell>
        </row>
        <row r="786">
          <cell r="G786">
            <v>20017</v>
          </cell>
        </row>
        <row r="787">
          <cell r="G787">
            <v>11223</v>
          </cell>
        </row>
        <row r="788">
          <cell r="G788">
            <v>11015</v>
          </cell>
        </row>
        <row r="790">
          <cell r="G790">
            <v>5344325</v>
          </cell>
        </row>
        <row r="791">
          <cell r="G791">
            <v>6039936</v>
          </cell>
        </row>
        <row r="792">
          <cell r="G792">
            <v>32529</v>
          </cell>
        </row>
        <row r="793">
          <cell r="G793">
            <v>16751</v>
          </cell>
        </row>
        <row r="794">
          <cell r="G794">
            <v>364704</v>
          </cell>
        </row>
        <row r="795">
          <cell r="G795">
            <v>363053</v>
          </cell>
        </row>
        <row r="796">
          <cell r="G796">
            <v>1719728</v>
          </cell>
        </row>
        <row r="797">
          <cell r="G797">
            <v>27101433</v>
          </cell>
        </row>
        <row r="798">
          <cell r="G798">
            <v>20372</v>
          </cell>
        </row>
        <row r="799">
          <cell r="G799">
            <v>363053</v>
          </cell>
        </row>
        <row r="800">
          <cell r="G800">
            <v>6875</v>
          </cell>
        </row>
        <row r="801">
          <cell r="G801">
            <v>50585</v>
          </cell>
        </row>
        <row r="802">
          <cell r="G802">
            <v>91617</v>
          </cell>
        </row>
        <row r="803">
          <cell r="G803">
            <v>440750</v>
          </cell>
        </row>
        <row r="804">
          <cell r="G804">
            <v>531633</v>
          </cell>
        </row>
        <row r="805">
          <cell r="G805">
            <v>363053</v>
          </cell>
        </row>
        <row r="806">
          <cell r="G806">
            <v>6875</v>
          </cell>
        </row>
        <row r="807">
          <cell r="G807">
            <v>50585</v>
          </cell>
        </row>
        <row r="808">
          <cell r="G808">
            <v>91617</v>
          </cell>
        </row>
        <row r="809">
          <cell r="G809">
            <v>440750</v>
          </cell>
        </row>
        <row r="810">
          <cell r="G810">
            <v>531633</v>
          </cell>
        </row>
        <row r="811">
          <cell r="G811">
            <v>363053</v>
          </cell>
        </row>
        <row r="812">
          <cell r="G812">
            <v>6875</v>
          </cell>
        </row>
        <row r="813">
          <cell r="G813">
            <v>50585</v>
          </cell>
        </row>
        <row r="814">
          <cell r="G814">
            <v>91617</v>
          </cell>
        </row>
        <row r="815">
          <cell r="G815">
            <v>440750</v>
          </cell>
        </row>
        <row r="816">
          <cell r="G816">
            <v>531633</v>
          </cell>
        </row>
        <row r="817">
          <cell r="G817">
            <v>9946</v>
          </cell>
        </row>
        <row r="818">
          <cell r="G818">
            <v>40424</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ẫu số 11C. Bảng tổng hợp giá d"/>
      <sheetName val="BIỂU HỢP ĐỒNG"/>
      <sheetName val="TDT DC"/>
      <sheetName val="TMĐTDC"/>
      <sheetName val="TDTDC"/>
      <sheetName val="HS"/>
      <sheetName val="TH"/>
      <sheetName val="DTDC"/>
      <sheetName val="DTDC CÔNG BS "/>
      <sheetName val="Dương + âm"/>
      <sheetName val="Dương (2)"/>
      <sheetName val="PHỤ LỤC GIÁ HỢP ĐỒNG"/>
      <sheetName val="tHOÁT NƯỚC BÚT SƠN"/>
      <sheetName val="Dự thầu"/>
      <sheetName val="Dự thầu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0">
          <cell r="K10">
            <v>-471.14370000001509</v>
          </cell>
        </row>
        <row r="12">
          <cell r="K12">
            <v>-157.90229999999991</v>
          </cell>
        </row>
        <row r="13">
          <cell r="K13">
            <v>-4255.8553500000007</v>
          </cell>
        </row>
        <row r="14">
          <cell r="K14">
            <v>-765.48185000000001</v>
          </cell>
        </row>
        <row r="15">
          <cell r="K15">
            <v>-765.48185000000001</v>
          </cell>
        </row>
        <row r="16">
          <cell r="K16">
            <v>-15.501150000000052</v>
          </cell>
        </row>
        <row r="17">
          <cell r="K17">
            <v>-3133.9909499999776</v>
          </cell>
        </row>
        <row r="18">
          <cell r="K18">
            <v>-4285.1058259349957</v>
          </cell>
        </row>
        <row r="19">
          <cell r="K19">
            <v>-21.757414140000037</v>
          </cell>
        </row>
        <row r="20">
          <cell r="K20">
            <v>-430.68632400749993</v>
          </cell>
        </row>
        <row r="21">
          <cell r="K21">
            <v>-3944.4935500000006</v>
          </cell>
        </row>
        <row r="22">
          <cell r="K22">
            <v>-157.90229999999991</v>
          </cell>
        </row>
        <row r="23">
          <cell r="K23">
            <v>-3956.2597000000001</v>
          </cell>
        </row>
        <row r="25">
          <cell r="K25">
            <v>-618.17234999999846</v>
          </cell>
        </row>
        <row r="26">
          <cell r="K26">
            <v>-49.453787999999861</v>
          </cell>
        </row>
        <row r="29">
          <cell r="K29">
            <v>-700.78394999999989</v>
          </cell>
        </row>
        <row r="30">
          <cell r="K30">
            <v>-700.78394999999989</v>
          </cell>
        </row>
        <row r="31">
          <cell r="K31">
            <v>-3316.96</v>
          </cell>
        </row>
        <row r="32">
          <cell r="K32">
            <v>-4535.2794079999985</v>
          </cell>
        </row>
        <row r="33">
          <cell r="K33">
            <v>-421.04006080399995</v>
          </cell>
        </row>
        <row r="62">
          <cell r="K62">
            <v>-8.5679999999999978E-2</v>
          </cell>
        </row>
        <row r="113">
          <cell r="S113">
            <v>-3613922000</v>
          </cell>
        </row>
        <row r="118">
          <cell r="K118">
            <v>146.13615000000004</v>
          </cell>
        </row>
        <row r="119">
          <cell r="K119">
            <v>311.36180000000002</v>
          </cell>
        </row>
        <row r="120">
          <cell r="K120">
            <v>146.13615000000004</v>
          </cell>
        </row>
        <row r="122">
          <cell r="K122">
            <v>6694.559849999976</v>
          </cell>
        </row>
        <row r="123">
          <cell r="K123">
            <v>6694.559849999976</v>
          </cell>
        </row>
        <row r="124">
          <cell r="K124">
            <v>3791.6134499999998</v>
          </cell>
        </row>
        <row r="125">
          <cell r="K125">
            <v>10433.620299999995</v>
          </cell>
        </row>
        <row r="129">
          <cell r="K129">
            <v>113.54999999999563</v>
          </cell>
        </row>
        <row r="130">
          <cell r="K130">
            <v>16.169519999999466</v>
          </cell>
        </row>
        <row r="131">
          <cell r="K131">
            <v>0.16169519999998982</v>
          </cell>
        </row>
        <row r="132">
          <cell r="K132">
            <v>113.54999999999563</v>
          </cell>
        </row>
        <row r="133">
          <cell r="K133">
            <v>27.251999999996769</v>
          </cell>
        </row>
        <row r="134">
          <cell r="K134">
            <v>38.606999999998152</v>
          </cell>
        </row>
        <row r="136">
          <cell r="K136">
            <v>493.76000000000022</v>
          </cell>
        </row>
        <row r="137">
          <cell r="K137">
            <v>9.4199999999999946</v>
          </cell>
        </row>
        <row r="138">
          <cell r="K138">
            <v>9.3034999999999997</v>
          </cell>
        </row>
        <row r="139">
          <cell r="K139">
            <v>3.8928624068657811</v>
          </cell>
        </row>
        <row r="140">
          <cell r="K140">
            <v>1</v>
          </cell>
        </row>
        <row r="141">
          <cell r="K141">
            <v>121.95872000000008</v>
          </cell>
        </row>
        <row r="142">
          <cell r="K142">
            <v>1.7330976000000007</v>
          </cell>
        </row>
        <row r="144">
          <cell r="K144">
            <v>29.4</v>
          </cell>
          <cell r="M144">
            <v>1866757</v>
          </cell>
        </row>
        <row r="145">
          <cell r="K145">
            <v>3.24</v>
          </cell>
          <cell r="M145">
            <v>1399730</v>
          </cell>
        </row>
        <row r="146">
          <cell r="K146">
            <v>90</v>
          </cell>
          <cell r="M146">
            <v>79477</v>
          </cell>
        </row>
        <row r="150">
          <cell r="I150">
            <v>41.900849999999991</v>
          </cell>
        </row>
        <row r="151">
          <cell r="K151">
            <v>344.19614999999999</v>
          </cell>
        </row>
        <row r="153">
          <cell r="K153">
            <v>231.46109999999976</v>
          </cell>
        </row>
        <row r="154">
          <cell r="K154">
            <v>324.8787999599997</v>
          </cell>
        </row>
        <row r="160">
          <cell r="K160">
            <v>4875.7960000000003</v>
          </cell>
        </row>
        <row r="161">
          <cell r="K161">
            <v>4875.7960000000003</v>
          </cell>
        </row>
        <row r="162">
          <cell r="K162">
            <v>2207.1625999999997</v>
          </cell>
        </row>
        <row r="163">
          <cell r="K163">
            <v>7481.7136</v>
          </cell>
        </row>
        <row r="166">
          <cell r="K166">
            <v>764.4416999999994</v>
          </cell>
        </row>
        <row r="167">
          <cell r="K167">
            <v>108.85649807999982</v>
          </cell>
        </row>
        <row r="168">
          <cell r="K168">
            <v>1.0885649807999984</v>
          </cell>
        </row>
        <row r="169">
          <cell r="K169">
            <v>764.4416999999994</v>
          </cell>
        </row>
        <row r="170">
          <cell r="K170">
            <v>764.4416999999994</v>
          </cell>
        </row>
        <row r="171">
          <cell r="K171">
            <v>183.46600799999987</v>
          </cell>
        </row>
        <row r="172">
          <cell r="K172">
            <v>214.04367599999978</v>
          </cell>
        </row>
        <row r="174">
          <cell r="K174">
            <v>18.310130000000001</v>
          </cell>
        </row>
        <row r="178">
          <cell r="K178">
            <v>14.769599999999969</v>
          </cell>
        </row>
        <row r="179">
          <cell r="K179">
            <v>139.58720000000085</v>
          </cell>
        </row>
        <row r="180">
          <cell r="K180">
            <v>3.475200000000001</v>
          </cell>
        </row>
        <row r="182">
          <cell r="K182">
            <v>3.1899999999999977</v>
          </cell>
        </row>
        <row r="183">
          <cell r="K183">
            <v>15.370000000000005</v>
          </cell>
        </row>
        <row r="184">
          <cell r="K184">
            <v>6.0319999999999929E-2</v>
          </cell>
        </row>
        <row r="185">
          <cell r="K185">
            <v>0.62379000000000318</v>
          </cell>
        </row>
        <row r="186">
          <cell r="K186">
            <v>28.960000000000036</v>
          </cell>
        </row>
        <row r="187">
          <cell r="K187">
            <v>0.79749999999999943</v>
          </cell>
        </row>
        <row r="188">
          <cell r="K188">
            <v>28.960000000000036</v>
          </cell>
        </row>
        <row r="189">
          <cell r="K189">
            <v>28.960000000000036</v>
          </cell>
        </row>
      </sheetData>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91"/>
  <sheetViews>
    <sheetView topLeftCell="A1260" zoomScale="85" zoomScaleNormal="85" workbookViewId="0">
      <selection activeCell="H1384" sqref="H1384"/>
    </sheetView>
  </sheetViews>
  <sheetFormatPr defaultRowHeight="14.25" x14ac:dyDescent="0.2"/>
  <cols>
    <col min="1" max="1" width="6.75" bestFit="1" customWidth="1"/>
    <col min="2" max="2" width="30" hidden="1" customWidth="1"/>
    <col min="3" max="3" width="55" customWidth="1"/>
    <col min="4" max="4" width="30" hidden="1" customWidth="1"/>
    <col min="5" max="5" width="20.125" bestFit="1" customWidth="1"/>
    <col min="6" max="6" width="11.5" customWidth="1"/>
    <col min="7" max="7" width="19" style="82" bestFit="1" customWidth="1"/>
    <col min="8" max="8" width="16.5" style="1" bestFit="1" customWidth="1"/>
    <col min="9" max="9" width="16.5" bestFit="1" customWidth="1"/>
  </cols>
  <sheetData>
    <row r="1" spans="1:8" x14ac:dyDescent="0.2">
      <c r="A1" s="158" t="s">
        <v>0</v>
      </c>
      <c r="B1" s="159"/>
      <c r="C1" s="159"/>
      <c r="D1" s="159"/>
      <c r="E1" s="159"/>
      <c r="F1" s="159"/>
      <c r="G1" s="159"/>
      <c r="H1" s="159"/>
    </row>
    <row r="2" spans="1:8" x14ac:dyDescent="0.2">
      <c r="A2" s="159"/>
      <c r="B2" s="159"/>
      <c r="C2" s="159"/>
      <c r="D2" s="159"/>
      <c r="E2" s="159"/>
      <c r="F2" s="159"/>
      <c r="G2" s="159"/>
      <c r="H2" s="159"/>
    </row>
    <row r="3" spans="1:8" x14ac:dyDescent="0.2">
      <c r="A3" s="159"/>
      <c r="B3" s="159"/>
      <c r="C3" s="159"/>
      <c r="D3" s="159"/>
      <c r="E3" s="159"/>
      <c r="F3" s="159"/>
      <c r="G3" s="159"/>
      <c r="H3" s="159"/>
    </row>
    <row r="4" spans="1:8" x14ac:dyDescent="0.2">
      <c r="A4" s="2"/>
      <c r="B4" s="2"/>
      <c r="C4" s="2"/>
      <c r="D4" s="2"/>
      <c r="E4" s="2"/>
      <c r="F4" s="2"/>
      <c r="G4" s="83"/>
      <c r="H4" s="2"/>
    </row>
    <row r="5" spans="1:8" ht="31.5" customHeight="1" x14ac:dyDescent="0.2">
      <c r="A5" s="3" t="s">
        <v>1</v>
      </c>
      <c r="B5" s="3" t="s">
        <v>2</v>
      </c>
      <c r="C5" s="3" t="s">
        <v>3</v>
      </c>
      <c r="D5" s="3" t="s">
        <v>4</v>
      </c>
      <c r="E5" s="3" t="s">
        <v>5</v>
      </c>
      <c r="F5" s="3" t="s">
        <v>6</v>
      </c>
      <c r="G5" s="84" t="s">
        <v>7</v>
      </c>
      <c r="H5" s="3" t="s">
        <v>8</v>
      </c>
    </row>
    <row r="6" spans="1:8" ht="15.75" customHeight="1" x14ac:dyDescent="0.25">
      <c r="A6" s="4">
        <v>1</v>
      </c>
      <c r="B6" s="8">
        <v>1</v>
      </c>
      <c r="C6" s="8" t="s">
        <v>9</v>
      </c>
      <c r="D6" s="8" t="s">
        <v>10</v>
      </c>
      <c r="E6" s="8"/>
      <c r="F6" s="8"/>
      <c r="G6" s="85"/>
      <c r="H6" s="8">
        <v>0</v>
      </c>
    </row>
    <row r="7" spans="1:8" ht="15.75" customHeight="1" x14ac:dyDescent="0.25">
      <c r="A7" s="4" t="s">
        <v>11</v>
      </c>
      <c r="B7" s="8">
        <v>2</v>
      </c>
      <c r="C7" s="8" t="s">
        <v>12</v>
      </c>
      <c r="D7" s="8" t="s">
        <v>10</v>
      </c>
      <c r="E7" s="8">
        <v>91424</v>
      </c>
      <c r="F7" s="8" t="s">
        <v>13</v>
      </c>
      <c r="G7" s="85">
        <f>+'[1]Dự thầu'!$G$6</f>
        <v>646</v>
      </c>
      <c r="H7" s="86">
        <f t="shared" ref="H7:H38" si="0">+ROUND(G7*E7,0)</f>
        <v>59059904</v>
      </c>
    </row>
    <row r="8" spans="1:8" ht="15.75" customHeight="1" x14ac:dyDescent="0.25">
      <c r="A8" s="4" t="s">
        <v>14</v>
      </c>
      <c r="B8" s="8">
        <v>3</v>
      </c>
      <c r="C8" s="8" t="s">
        <v>15</v>
      </c>
      <c r="D8" s="8" t="s">
        <v>10</v>
      </c>
      <c r="E8" s="8">
        <v>501</v>
      </c>
      <c r="F8" s="8" t="s">
        <v>16</v>
      </c>
      <c r="G8" s="85">
        <f>+'[1]Dự thầu'!$G$8</f>
        <v>20072</v>
      </c>
      <c r="H8" s="86">
        <f t="shared" si="0"/>
        <v>10056072</v>
      </c>
    </row>
    <row r="9" spans="1:8" ht="15.75" customHeight="1" x14ac:dyDescent="0.25">
      <c r="A9" s="4" t="s">
        <v>17</v>
      </c>
      <c r="B9" s="8">
        <v>4</v>
      </c>
      <c r="C9" s="8" t="s">
        <v>18</v>
      </c>
      <c r="D9" s="8" t="s">
        <v>10</v>
      </c>
      <c r="E9" s="8">
        <v>264</v>
      </c>
      <c r="F9" s="8" t="s">
        <v>16</v>
      </c>
      <c r="G9" s="85">
        <f>+'[1]Dự thầu'!$G$9</f>
        <v>30610</v>
      </c>
      <c r="H9" s="86">
        <f t="shared" si="0"/>
        <v>8081040</v>
      </c>
    </row>
    <row r="10" spans="1:8" ht="15.75" customHeight="1" x14ac:dyDescent="0.25">
      <c r="A10" s="4" t="s">
        <v>19</v>
      </c>
      <c r="B10" s="8">
        <v>5</v>
      </c>
      <c r="C10" s="8" t="s">
        <v>20</v>
      </c>
      <c r="D10" s="8" t="s">
        <v>10</v>
      </c>
      <c r="E10" s="8">
        <v>923</v>
      </c>
      <c r="F10" s="8" t="s">
        <v>16</v>
      </c>
      <c r="G10" s="85">
        <f>+'[1]Dự thầu'!$G$10</f>
        <v>12342</v>
      </c>
      <c r="H10" s="86">
        <f t="shared" si="0"/>
        <v>11391666</v>
      </c>
    </row>
    <row r="11" spans="1:8" ht="15.75" customHeight="1" x14ac:dyDescent="0.25">
      <c r="A11" s="4" t="s">
        <v>21</v>
      </c>
      <c r="B11" s="8">
        <v>6</v>
      </c>
      <c r="C11" s="8" t="s">
        <v>22</v>
      </c>
      <c r="D11" s="8" t="s">
        <v>10</v>
      </c>
      <c r="E11" s="8">
        <v>923</v>
      </c>
      <c r="F11" s="8" t="s">
        <v>16</v>
      </c>
      <c r="G11" s="85">
        <f>+'[1]Dự thầu'!$G$11</f>
        <v>12936</v>
      </c>
      <c r="H11" s="86">
        <f t="shared" si="0"/>
        <v>11939928</v>
      </c>
    </row>
    <row r="12" spans="1:8" ht="15.75" customHeight="1" x14ac:dyDescent="0.25">
      <c r="A12" s="4" t="s">
        <v>23</v>
      </c>
      <c r="B12" s="8">
        <v>7</v>
      </c>
      <c r="C12" s="8" t="s">
        <v>24</v>
      </c>
      <c r="D12" s="8" t="s">
        <v>10</v>
      </c>
      <c r="E12" s="8">
        <v>5871.7</v>
      </c>
      <c r="F12" s="8" t="s">
        <v>16</v>
      </c>
      <c r="G12" s="85">
        <f>+'[1]Dự thầu'!$G$12</f>
        <v>8251</v>
      </c>
      <c r="H12" s="86">
        <f t="shared" si="0"/>
        <v>48447397</v>
      </c>
    </row>
    <row r="13" spans="1:8" ht="15.75" customHeight="1" x14ac:dyDescent="0.25">
      <c r="A13" s="4" t="s">
        <v>25</v>
      </c>
      <c r="B13" s="8">
        <v>8</v>
      </c>
      <c r="C13" s="8" t="s">
        <v>26</v>
      </c>
      <c r="D13" s="8" t="s">
        <v>10</v>
      </c>
      <c r="E13" s="8">
        <v>170279</v>
      </c>
      <c r="F13" s="8" t="s">
        <v>16</v>
      </c>
      <c r="G13" s="85">
        <f>+'[1]Dự thầu'!$G$13</f>
        <v>12936</v>
      </c>
      <c r="H13" s="86">
        <f t="shared" si="0"/>
        <v>2202729144</v>
      </c>
    </row>
    <row r="14" spans="1:8" ht="15.75" customHeight="1" x14ac:dyDescent="0.25">
      <c r="A14" s="4" t="s">
        <v>27</v>
      </c>
      <c r="B14" s="8">
        <v>9</v>
      </c>
      <c r="C14" s="8" t="s">
        <v>28</v>
      </c>
      <c r="D14" s="8" t="s">
        <v>10</v>
      </c>
      <c r="E14" s="8">
        <v>28834</v>
      </c>
      <c r="F14" s="8" t="s">
        <v>16</v>
      </c>
      <c r="G14" s="85">
        <f>+'[1]Dự thầu'!$G$14</f>
        <v>12936</v>
      </c>
      <c r="H14" s="86">
        <f t="shared" si="0"/>
        <v>372996624</v>
      </c>
    </row>
    <row r="15" spans="1:8" ht="15.75" customHeight="1" x14ac:dyDescent="0.25">
      <c r="A15" s="4" t="s">
        <v>29</v>
      </c>
      <c r="B15" s="8">
        <v>10</v>
      </c>
      <c r="C15" s="8" t="s">
        <v>30</v>
      </c>
      <c r="D15" s="8" t="s">
        <v>10</v>
      </c>
      <c r="E15" s="8">
        <v>14978</v>
      </c>
      <c r="F15" s="8" t="s">
        <v>16</v>
      </c>
      <c r="G15" s="85">
        <f>+'[1]Dự thầu'!$G$15</f>
        <v>15775</v>
      </c>
      <c r="H15" s="86">
        <f t="shared" si="0"/>
        <v>236277950</v>
      </c>
    </row>
    <row r="16" spans="1:8" ht="15.75" customHeight="1" x14ac:dyDescent="0.25">
      <c r="A16" s="4" t="s">
        <v>31</v>
      </c>
      <c r="B16" s="8">
        <v>11</v>
      </c>
      <c r="C16" s="8" t="s">
        <v>32</v>
      </c>
      <c r="D16" s="8" t="s">
        <v>10</v>
      </c>
      <c r="E16" s="8">
        <v>246897.46</v>
      </c>
      <c r="F16" s="8" t="s">
        <v>16</v>
      </c>
      <c r="G16" s="85">
        <f>+'[1]Dự thầu'!$G$16</f>
        <v>50585</v>
      </c>
      <c r="H16" s="86">
        <f t="shared" si="0"/>
        <v>12489308014</v>
      </c>
    </row>
    <row r="17" spans="1:8" ht="15.75" customHeight="1" x14ac:dyDescent="0.25">
      <c r="A17" s="4" t="s">
        <v>33</v>
      </c>
      <c r="B17" s="8">
        <v>12</v>
      </c>
      <c r="C17" s="8" t="s">
        <v>34</v>
      </c>
      <c r="D17" s="8" t="s">
        <v>10</v>
      </c>
      <c r="E17" s="8">
        <v>21023.119999999999</v>
      </c>
      <c r="F17" s="8" t="s">
        <v>16</v>
      </c>
      <c r="G17" s="85">
        <f>+'[1]Dự thầu'!$G$17</f>
        <v>54405</v>
      </c>
      <c r="H17" s="86">
        <f t="shared" si="0"/>
        <v>1143762844</v>
      </c>
    </row>
    <row r="18" spans="1:8" ht="15.75" customHeight="1" x14ac:dyDescent="0.25">
      <c r="A18" s="4" t="s">
        <v>35</v>
      </c>
      <c r="B18" s="8">
        <v>13</v>
      </c>
      <c r="C18" s="8" t="s">
        <v>36</v>
      </c>
      <c r="D18" s="8" t="s">
        <v>10</v>
      </c>
      <c r="E18" s="8">
        <v>26792.06</v>
      </c>
      <c r="F18" s="8" t="s">
        <v>37</v>
      </c>
      <c r="G18" s="85">
        <f>+'[1]Dự thầu'!$G$18+'[1]Dự thầu'!$G$19+'[1]Dự thầu'!$G$20</f>
        <v>940826</v>
      </c>
      <c r="H18" s="86">
        <f t="shared" si="0"/>
        <v>25206666642</v>
      </c>
    </row>
    <row r="19" spans="1:8" ht="15.75" customHeight="1" x14ac:dyDescent="0.25">
      <c r="A19" s="4" t="s">
        <v>38</v>
      </c>
      <c r="B19" s="8">
        <v>14</v>
      </c>
      <c r="C19" s="8" t="s">
        <v>39</v>
      </c>
      <c r="D19" s="8" t="s">
        <v>10</v>
      </c>
      <c r="E19" s="8">
        <v>4230</v>
      </c>
      <c r="F19" s="8" t="s">
        <v>16</v>
      </c>
      <c r="G19" s="85">
        <f>+'[1]Dự thầu'!$G$21</f>
        <v>39661</v>
      </c>
      <c r="H19" s="86">
        <f t="shared" si="0"/>
        <v>167766030</v>
      </c>
    </row>
    <row r="20" spans="1:8" ht="15.75" customHeight="1" x14ac:dyDescent="0.25">
      <c r="A20" s="4" t="s">
        <v>40</v>
      </c>
      <c r="B20" s="8">
        <v>15</v>
      </c>
      <c r="C20" s="8" t="s">
        <v>41</v>
      </c>
      <c r="D20" s="8" t="s">
        <v>10</v>
      </c>
      <c r="E20" s="8">
        <v>61617.46</v>
      </c>
      <c r="F20" s="8" t="s">
        <v>16</v>
      </c>
      <c r="G20" s="85">
        <f>+'[1]Dự thầu'!$G$25</f>
        <v>40424</v>
      </c>
      <c r="H20" s="86">
        <f t="shared" si="0"/>
        <v>2490824203</v>
      </c>
    </row>
    <row r="21" spans="1:8" ht="15.75" customHeight="1" x14ac:dyDescent="0.25">
      <c r="A21" s="4" t="s">
        <v>42</v>
      </c>
      <c r="B21" s="8">
        <v>16</v>
      </c>
      <c r="C21" s="8" t="s">
        <v>43</v>
      </c>
      <c r="D21" s="8" t="s">
        <v>10</v>
      </c>
      <c r="E21" s="8">
        <v>1686.7</v>
      </c>
      <c r="F21" s="8" t="s">
        <v>16</v>
      </c>
      <c r="G21" s="85">
        <f>+'[1]Dự thầu'!$G$29</f>
        <v>45382</v>
      </c>
      <c r="H21" s="86">
        <f t="shared" si="0"/>
        <v>76545819</v>
      </c>
    </row>
    <row r="22" spans="1:8" ht="15.75" customHeight="1" x14ac:dyDescent="0.25">
      <c r="A22" s="4" t="s">
        <v>44</v>
      </c>
      <c r="B22" s="8">
        <v>17</v>
      </c>
      <c r="C22" s="8" t="s">
        <v>45</v>
      </c>
      <c r="D22" s="8" t="s">
        <v>10</v>
      </c>
      <c r="E22" s="8">
        <v>858</v>
      </c>
      <c r="F22" s="8" t="s">
        <v>16</v>
      </c>
      <c r="G22" s="85">
        <f>+'[1]Dự thầu'!$G$33</f>
        <v>56948</v>
      </c>
      <c r="H22" s="86">
        <f t="shared" si="0"/>
        <v>48861384</v>
      </c>
    </row>
    <row r="23" spans="1:8" ht="15.75" customHeight="1" x14ac:dyDescent="0.25">
      <c r="A23" s="4" t="s">
        <v>46</v>
      </c>
      <c r="B23" s="8">
        <v>18</v>
      </c>
      <c r="C23" s="8" t="s">
        <v>47</v>
      </c>
      <c r="D23" s="8" t="s">
        <v>10</v>
      </c>
      <c r="E23" s="8">
        <v>32081.08</v>
      </c>
      <c r="F23" s="8" t="s">
        <v>16</v>
      </c>
      <c r="G23" s="85">
        <f>+'[1]Dự thầu'!$G$37</f>
        <v>2096</v>
      </c>
      <c r="H23" s="86">
        <f t="shared" si="0"/>
        <v>67241944</v>
      </c>
    </row>
    <row r="24" spans="1:8" ht="15.75" customHeight="1" x14ac:dyDescent="0.25">
      <c r="A24" s="4" t="s">
        <v>48</v>
      </c>
      <c r="B24" s="8">
        <v>19</v>
      </c>
      <c r="C24" s="8" t="s">
        <v>49</v>
      </c>
      <c r="D24" s="8" t="s">
        <v>10</v>
      </c>
      <c r="E24" s="8">
        <v>93677</v>
      </c>
      <c r="F24" s="8" t="s">
        <v>16</v>
      </c>
      <c r="G24" s="85">
        <f>+'[1]Dự thầu'!$G$38</f>
        <v>8251</v>
      </c>
      <c r="H24" s="86">
        <f t="shared" si="0"/>
        <v>772928927</v>
      </c>
    </row>
    <row r="25" spans="1:8" ht="15.75" customHeight="1" x14ac:dyDescent="0.25">
      <c r="A25" s="4" t="s">
        <v>50</v>
      </c>
      <c r="B25" s="8">
        <v>20</v>
      </c>
      <c r="C25" s="8" t="s">
        <v>51</v>
      </c>
      <c r="D25" s="8" t="s">
        <v>10</v>
      </c>
      <c r="E25" s="8">
        <v>88349</v>
      </c>
      <c r="F25" s="8" t="s">
        <v>13</v>
      </c>
      <c r="G25" s="85">
        <f>+'[1]Dự thầu'!$G$40</f>
        <v>20017</v>
      </c>
      <c r="H25" s="86">
        <f t="shared" si="0"/>
        <v>1768481933</v>
      </c>
    </row>
    <row r="26" spans="1:8" ht="15.75" customHeight="1" x14ac:dyDescent="0.25">
      <c r="A26" s="4" t="s">
        <v>52</v>
      </c>
      <c r="B26" s="8">
        <v>21</v>
      </c>
      <c r="C26" s="8" t="s">
        <v>53</v>
      </c>
      <c r="D26" s="8" t="s">
        <v>10</v>
      </c>
      <c r="E26" s="8">
        <v>29119.1</v>
      </c>
      <c r="F26" s="8" t="s">
        <v>13</v>
      </c>
      <c r="G26" s="85">
        <f>+'[1]Dự thầu'!$G$41</f>
        <v>36456</v>
      </c>
      <c r="H26" s="86">
        <f t="shared" si="0"/>
        <v>1061565910</v>
      </c>
    </row>
    <row r="27" spans="1:8" ht="15.75" customHeight="1" x14ac:dyDescent="0.25">
      <c r="A27" s="4" t="s">
        <v>54</v>
      </c>
      <c r="B27" s="8">
        <v>22</v>
      </c>
      <c r="C27" s="8" t="s">
        <v>55</v>
      </c>
      <c r="D27" s="8" t="s">
        <v>10</v>
      </c>
      <c r="E27" s="8">
        <v>10294</v>
      </c>
      <c r="F27" s="8" t="s">
        <v>16</v>
      </c>
      <c r="G27" s="85">
        <f>+'[1]Dự thầu'!$G$44</f>
        <v>12936</v>
      </c>
      <c r="H27" s="86">
        <f t="shared" si="0"/>
        <v>133163184</v>
      </c>
    </row>
    <row r="28" spans="1:8" ht="15.75" customHeight="1" x14ac:dyDescent="0.25">
      <c r="A28" s="4" t="s">
        <v>56</v>
      </c>
      <c r="B28" s="8">
        <v>23</v>
      </c>
      <c r="C28" s="8" t="s">
        <v>57</v>
      </c>
      <c r="D28" s="8" t="s">
        <v>10</v>
      </c>
      <c r="E28" s="8">
        <v>2898.6</v>
      </c>
      <c r="F28" s="8" t="s">
        <v>16</v>
      </c>
      <c r="G28" s="85">
        <f>+'[1]Dự thầu'!$G$45</f>
        <v>12936</v>
      </c>
      <c r="H28" s="86">
        <f t="shared" si="0"/>
        <v>37496290</v>
      </c>
    </row>
    <row r="29" spans="1:8" ht="15.75" customHeight="1" x14ac:dyDescent="0.25">
      <c r="A29" s="4" t="s">
        <v>58</v>
      </c>
      <c r="B29" s="8">
        <v>24</v>
      </c>
      <c r="C29" s="8" t="s">
        <v>59</v>
      </c>
      <c r="D29" s="8" t="s">
        <v>10</v>
      </c>
      <c r="E29" s="8">
        <v>2898.6</v>
      </c>
      <c r="F29" s="8" t="s">
        <v>16</v>
      </c>
      <c r="G29" s="85">
        <f>+'[1]Dự thầu'!$G$46</f>
        <v>12342</v>
      </c>
      <c r="H29" s="86">
        <f t="shared" si="0"/>
        <v>35774521</v>
      </c>
    </row>
    <row r="30" spans="1:8" ht="15.75" customHeight="1" x14ac:dyDescent="0.25">
      <c r="A30" s="4" t="s">
        <v>60</v>
      </c>
      <c r="B30" s="8">
        <v>25</v>
      </c>
      <c r="C30" s="8" t="s">
        <v>61</v>
      </c>
      <c r="D30" s="8" t="s">
        <v>10</v>
      </c>
      <c r="E30" s="8">
        <v>3275.42</v>
      </c>
      <c r="F30" s="8" t="s">
        <v>62</v>
      </c>
      <c r="G30" s="85">
        <f>+'[1]Dự thầu'!$G$47</f>
        <v>6611</v>
      </c>
      <c r="H30" s="86">
        <f t="shared" si="0"/>
        <v>21653802</v>
      </c>
    </row>
    <row r="31" spans="1:8" ht="15.75" customHeight="1" x14ac:dyDescent="0.25">
      <c r="A31" s="4" t="s">
        <v>63</v>
      </c>
      <c r="B31" s="8">
        <v>26</v>
      </c>
      <c r="C31" s="8" t="s">
        <v>64</v>
      </c>
      <c r="D31" s="8" t="s">
        <v>10</v>
      </c>
      <c r="E31" s="8">
        <v>13855.64</v>
      </c>
      <c r="F31" s="8" t="s">
        <v>16</v>
      </c>
      <c r="G31" s="85">
        <f>+'[1]Dự thầu'!$G$48</f>
        <v>12936</v>
      </c>
      <c r="H31" s="86">
        <f t="shared" si="0"/>
        <v>179236559</v>
      </c>
    </row>
    <row r="32" spans="1:8" ht="15.75" customHeight="1" x14ac:dyDescent="0.25">
      <c r="A32" s="4" t="s">
        <v>65</v>
      </c>
      <c r="B32" s="8">
        <v>27</v>
      </c>
      <c r="C32" s="8" t="s">
        <v>59</v>
      </c>
      <c r="D32" s="8" t="s">
        <v>10</v>
      </c>
      <c r="E32" s="8">
        <v>13855.64</v>
      </c>
      <c r="F32" s="8" t="s">
        <v>16</v>
      </c>
      <c r="G32" s="85">
        <f>+'[1]Dự thầu'!$G$49</f>
        <v>12342</v>
      </c>
      <c r="H32" s="86">
        <f t="shared" si="0"/>
        <v>171006309</v>
      </c>
    </row>
    <row r="33" spans="1:8" ht="15.75" customHeight="1" x14ac:dyDescent="0.25">
      <c r="A33" s="4" t="s">
        <v>66</v>
      </c>
      <c r="B33" s="8">
        <v>28</v>
      </c>
      <c r="C33" s="8" t="s">
        <v>61</v>
      </c>
      <c r="D33" s="8" t="s">
        <v>10</v>
      </c>
      <c r="E33" s="8">
        <v>15656.87</v>
      </c>
      <c r="F33" s="8" t="s">
        <v>62</v>
      </c>
      <c r="G33" s="85">
        <f>+'[1]Dự thầu'!$G$50</f>
        <v>6611</v>
      </c>
      <c r="H33" s="86">
        <f t="shared" si="0"/>
        <v>103507568</v>
      </c>
    </row>
    <row r="34" spans="1:8" ht="15.75" customHeight="1" x14ac:dyDescent="0.25">
      <c r="A34" s="4" t="s">
        <v>67</v>
      </c>
      <c r="B34" s="8">
        <v>29</v>
      </c>
      <c r="C34" s="8" t="s">
        <v>68</v>
      </c>
      <c r="D34" s="8" t="s">
        <v>10</v>
      </c>
      <c r="E34" s="8">
        <v>74</v>
      </c>
      <c r="F34" s="8" t="s">
        <v>16</v>
      </c>
      <c r="G34" s="85">
        <f>+'[1]Dự thầu'!$G$51</f>
        <v>868453</v>
      </c>
      <c r="H34" s="86">
        <f t="shared" si="0"/>
        <v>64265522</v>
      </c>
    </row>
    <row r="35" spans="1:8" ht="15.75" customHeight="1" x14ac:dyDescent="0.25">
      <c r="A35" s="4" t="s">
        <v>69</v>
      </c>
      <c r="B35" s="8">
        <v>30</v>
      </c>
      <c r="C35" s="8" t="s">
        <v>70</v>
      </c>
      <c r="D35" s="8" t="s">
        <v>10</v>
      </c>
      <c r="E35" s="8">
        <v>672</v>
      </c>
      <c r="F35" s="8" t="s">
        <v>13</v>
      </c>
      <c r="G35" s="85">
        <f>+'[1]Dự thầu'!$G$52</f>
        <v>26716</v>
      </c>
      <c r="H35" s="86">
        <f t="shared" si="0"/>
        <v>17953152</v>
      </c>
    </row>
    <row r="36" spans="1:8" ht="15.75" customHeight="1" x14ac:dyDescent="0.25">
      <c r="A36" s="4" t="s">
        <v>71</v>
      </c>
      <c r="B36" s="8">
        <v>31</v>
      </c>
      <c r="C36" s="8" t="s">
        <v>72</v>
      </c>
      <c r="D36" s="8" t="s">
        <v>10</v>
      </c>
      <c r="E36" s="8">
        <v>247</v>
      </c>
      <c r="F36" s="8" t="s">
        <v>16</v>
      </c>
      <c r="G36" s="85">
        <f>+'[1]Dự thầu'!$G$53</f>
        <v>32141</v>
      </c>
      <c r="H36" s="86">
        <f t="shared" si="0"/>
        <v>7938827</v>
      </c>
    </row>
    <row r="37" spans="1:8" ht="15.75" customHeight="1" x14ac:dyDescent="0.25">
      <c r="A37" s="4" t="s">
        <v>73</v>
      </c>
      <c r="B37" s="8">
        <v>32</v>
      </c>
      <c r="C37" s="8" t="s">
        <v>74</v>
      </c>
      <c r="D37" s="8" t="s">
        <v>10</v>
      </c>
      <c r="E37" s="8">
        <v>83518.100000000006</v>
      </c>
      <c r="F37" s="8" t="s">
        <v>75</v>
      </c>
      <c r="G37" s="85">
        <f>+'[1]Dự thầu'!$G$54</f>
        <v>7813</v>
      </c>
      <c r="H37" s="86">
        <f t="shared" si="0"/>
        <v>652526915</v>
      </c>
    </row>
    <row r="38" spans="1:8" ht="15.75" customHeight="1" x14ac:dyDescent="0.25">
      <c r="A38" s="4" t="s">
        <v>76</v>
      </c>
      <c r="B38" s="8">
        <v>33</v>
      </c>
      <c r="C38" s="8" t="s">
        <v>77</v>
      </c>
      <c r="D38" s="8" t="s">
        <v>10</v>
      </c>
      <c r="E38" s="8">
        <v>15182</v>
      </c>
      <c r="F38" s="8" t="s">
        <v>16</v>
      </c>
      <c r="G38" s="85">
        <f>+'[1]Dự thầu'!$G$56</f>
        <v>267174</v>
      </c>
      <c r="H38" s="86">
        <f t="shared" si="0"/>
        <v>4056235668</v>
      </c>
    </row>
    <row r="39" spans="1:8" ht="15.75" customHeight="1" x14ac:dyDescent="0.25">
      <c r="A39" s="4" t="s">
        <v>78</v>
      </c>
      <c r="B39" s="8">
        <v>34</v>
      </c>
      <c r="C39" s="8" t="s">
        <v>79</v>
      </c>
      <c r="D39" s="8" t="s">
        <v>10</v>
      </c>
      <c r="E39" s="8">
        <v>1035</v>
      </c>
      <c r="F39" s="8" t="s">
        <v>16</v>
      </c>
      <c r="G39" s="85">
        <f>+'[1]Dự thầu'!$G$58</f>
        <v>20867</v>
      </c>
      <c r="H39" s="86">
        <f t="shared" ref="H39:H70" si="1">+ROUND(G39*E39,0)</f>
        <v>21597345</v>
      </c>
    </row>
    <row r="40" spans="1:8" ht="15.75" customHeight="1" x14ac:dyDescent="0.25">
      <c r="A40" s="4" t="s">
        <v>80</v>
      </c>
      <c r="B40" s="8">
        <v>35</v>
      </c>
      <c r="C40" s="8" t="s">
        <v>81</v>
      </c>
      <c r="D40" s="8" t="s">
        <v>10</v>
      </c>
      <c r="E40" s="8">
        <v>1035</v>
      </c>
      <c r="F40" s="8" t="s">
        <v>16</v>
      </c>
      <c r="G40" s="85">
        <f>+'[1]Dự thầu'!$G$59</f>
        <v>12936</v>
      </c>
      <c r="H40" s="86">
        <f t="shared" si="1"/>
        <v>13388760</v>
      </c>
    </row>
    <row r="41" spans="1:8" ht="15.75" customHeight="1" x14ac:dyDescent="0.25">
      <c r="A41" s="4" t="s">
        <v>82</v>
      </c>
      <c r="B41" s="8">
        <v>36</v>
      </c>
      <c r="C41" s="8" t="s">
        <v>83</v>
      </c>
      <c r="D41" s="8" t="s">
        <v>10</v>
      </c>
      <c r="E41" s="8">
        <v>27</v>
      </c>
      <c r="F41" s="8" t="s">
        <v>75</v>
      </c>
      <c r="G41" s="85">
        <f>+'[1]Dự thầu'!$G$60</f>
        <v>301142</v>
      </c>
      <c r="H41" s="86">
        <f t="shared" si="1"/>
        <v>8130834</v>
      </c>
    </row>
    <row r="42" spans="1:8" ht="15.75" customHeight="1" x14ac:dyDescent="0.25">
      <c r="A42" s="4" t="s">
        <v>84</v>
      </c>
      <c r="B42" s="8">
        <v>37</v>
      </c>
      <c r="C42" s="8" t="s">
        <v>85</v>
      </c>
      <c r="D42" s="8" t="s">
        <v>10</v>
      </c>
      <c r="E42" s="8">
        <v>295</v>
      </c>
      <c r="F42" s="8" t="s">
        <v>75</v>
      </c>
      <c r="G42" s="85">
        <f>+'[1]Dự thầu'!$G$61</f>
        <v>191443</v>
      </c>
      <c r="H42" s="86">
        <f t="shared" si="1"/>
        <v>56475685</v>
      </c>
    </row>
    <row r="43" spans="1:8" ht="15.75" customHeight="1" x14ac:dyDescent="0.25">
      <c r="A43" s="4" t="s">
        <v>86</v>
      </c>
      <c r="B43" s="8">
        <v>38</v>
      </c>
      <c r="C43" s="8" t="s">
        <v>87</v>
      </c>
      <c r="D43" s="8" t="s">
        <v>10</v>
      </c>
      <c r="E43" s="8">
        <v>295</v>
      </c>
      <c r="F43" s="8" t="s">
        <v>75</v>
      </c>
      <c r="G43" s="85">
        <f>+'[1]Dự thầu'!$G$62</f>
        <v>184138</v>
      </c>
      <c r="H43" s="86">
        <f t="shared" si="1"/>
        <v>54320710</v>
      </c>
    </row>
    <row r="44" spans="1:8" ht="15.75" customHeight="1" x14ac:dyDescent="0.25">
      <c r="A44" s="4" t="s">
        <v>88</v>
      </c>
      <c r="B44" s="8">
        <v>39</v>
      </c>
      <c r="C44" s="8" t="s">
        <v>89</v>
      </c>
      <c r="D44" s="8" t="s">
        <v>10</v>
      </c>
      <c r="E44" s="8">
        <v>2.96</v>
      </c>
      <c r="F44" s="8" t="s">
        <v>90</v>
      </c>
      <c r="G44" s="85">
        <f>+'[1]Dự thầu'!$G$63</f>
        <v>33697650</v>
      </c>
      <c r="H44" s="86">
        <f t="shared" si="1"/>
        <v>99745044</v>
      </c>
    </row>
    <row r="45" spans="1:8" ht="15.75" customHeight="1" x14ac:dyDescent="0.25">
      <c r="A45" s="4" t="s">
        <v>91</v>
      </c>
      <c r="B45" s="8">
        <v>40</v>
      </c>
      <c r="C45" s="8" t="s">
        <v>92</v>
      </c>
      <c r="D45" s="8" t="s">
        <v>10</v>
      </c>
      <c r="E45" s="8">
        <v>204</v>
      </c>
      <c r="F45" s="8" t="s">
        <v>75</v>
      </c>
      <c r="G45" s="85">
        <f>+'[1]Dự thầu'!$G$64</f>
        <v>17859</v>
      </c>
      <c r="H45" s="86">
        <f t="shared" si="1"/>
        <v>3643236</v>
      </c>
    </row>
    <row r="46" spans="1:8" ht="15.75" customHeight="1" x14ac:dyDescent="0.25">
      <c r="A46" s="4" t="s">
        <v>93</v>
      </c>
      <c r="B46" s="8">
        <v>41</v>
      </c>
      <c r="C46" s="8" t="s">
        <v>94</v>
      </c>
      <c r="D46" s="8" t="s">
        <v>10</v>
      </c>
      <c r="E46" s="8">
        <v>40997</v>
      </c>
      <c r="F46" s="8" t="s">
        <v>13</v>
      </c>
      <c r="G46" s="85">
        <f>+'[1]Dự thầu'!$G$65</f>
        <v>11015</v>
      </c>
      <c r="H46" s="86">
        <f t="shared" si="1"/>
        <v>451581955</v>
      </c>
    </row>
    <row r="47" spans="1:8" ht="15.75" customHeight="1" x14ac:dyDescent="0.25">
      <c r="A47" s="4" t="s">
        <v>95</v>
      </c>
      <c r="B47" s="8">
        <v>42</v>
      </c>
      <c r="C47" s="8" t="s">
        <v>96</v>
      </c>
      <c r="D47" s="8" t="s">
        <v>10</v>
      </c>
      <c r="E47" s="8">
        <v>5837.9727999999996</v>
      </c>
      <c r="F47" s="8" t="s">
        <v>90</v>
      </c>
      <c r="G47" s="85">
        <f>+'[1]Dự thầu'!$G$66</f>
        <v>1646788</v>
      </c>
      <c r="H47" s="86">
        <f t="shared" si="1"/>
        <v>9613903551</v>
      </c>
    </row>
    <row r="48" spans="1:8" ht="15.75" customHeight="1" x14ac:dyDescent="0.25">
      <c r="A48" s="4" t="s">
        <v>97</v>
      </c>
      <c r="B48" s="8">
        <v>43</v>
      </c>
      <c r="C48" s="8" t="s">
        <v>98</v>
      </c>
      <c r="D48" s="8" t="s">
        <v>10</v>
      </c>
      <c r="E48" s="8">
        <v>58.38</v>
      </c>
      <c r="F48" s="8" t="s">
        <v>99</v>
      </c>
      <c r="G48" s="85">
        <f>+'[1]Dự thầu'!$G$67+'[1]Dự thầu'!$G$68</f>
        <v>8873277</v>
      </c>
      <c r="H48" s="86">
        <f t="shared" si="1"/>
        <v>518021911</v>
      </c>
    </row>
    <row r="49" spans="1:8" ht="15.75" customHeight="1" x14ac:dyDescent="0.25">
      <c r="A49" s="4" t="s">
        <v>100</v>
      </c>
      <c r="B49" s="8">
        <v>44</v>
      </c>
      <c r="C49" s="8" t="s">
        <v>101</v>
      </c>
      <c r="D49" s="8" t="s">
        <v>10</v>
      </c>
      <c r="E49" s="8">
        <v>40997</v>
      </c>
      <c r="F49" s="8" t="s">
        <v>13</v>
      </c>
      <c r="G49" s="85">
        <f>+'[1]Dự thầu'!$G$69</f>
        <v>26753</v>
      </c>
      <c r="H49" s="86">
        <f t="shared" si="1"/>
        <v>1096792741</v>
      </c>
    </row>
    <row r="50" spans="1:8" ht="15.75" customHeight="1" x14ac:dyDescent="0.25">
      <c r="A50" s="4" t="s">
        <v>102</v>
      </c>
      <c r="B50" s="8">
        <v>45</v>
      </c>
      <c r="C50" s="8" t="s">
        <v>103</v>
      </c>
      <c r="D50" s="8" t="s">
        <v>10</v>
      </c>
      <c r="E50" s="8">
        <v>10007</v>
      </c>
      <c r="F50" s="8" t="s">
        <v>16</v>
      </c>
      <c r="G50" s="85">
        <f>+'[1]Dự thầu'!$G$70</f>
        <v>352760</v>
      </c>
      <c r="H50" s="86">
        <f t="shared" si="1"/>
        <v>3530069320</v>
      </c>
    </row>
    <row r="51" spans="1:8" ht="15.75" customHeight="1" x14ac:dyDescent="0.25">
      <c r="A51" s="4" t="s">
        <v>104</v>
      </c>
      <c r="B51" s="8">
        <v>46</v>
      </c>
      <c r="C51" s="8" t="s">
        <v>105</v>
      </c>
      <c r="D51" s="8" t="s">
        <v>10</v>
      </c>
      <c r="E51" s="8">
        <v>15316</v>
      </c>
      <c r="F51" s="8" t="s">
        <v>16</v>
      </c>
      <c r="G51" s="85">
        <f>+'[1]Dự thầu'!$G$71</f>
        <v>334047</v>
      </c>
      <c r="H51" s="86">
        <f t="shared" si="1"/>
        <v>5116263852</v>
      </c>
    </row>
    <row r="52" spans="1:8" ht="15.75" customHeight="1" x14ac:dyDescent="0.25">
      <c r="A52" s="4" t="s">
        <v>106</v>
      </c>
      <c r="B52" s="8">
        <v>47</v>
      </c>
      <c r="C52" s="8" t="s">
        <v>94</v>
      </c>
      <c r="D52" s="8" t="s">
        <v>10</v>
      </c>
      <c r="E52" s="8">
        <v>8058</v>
      </c>
      <c r="F52" s="8" t="s">
        <v>13</v>
      </c>
      <c r="G52" s="85">
        <f>+'[1]Dự thầu'!$G$72</f>
        <v>11015</v>
      </c>
      <c r="H52" s="86">
        <f t="shared" si="1"/>
        <v>88758870</v>
      </c>
    </row>
    <row r="53" spans="1:8" ht="15.75" customHeight="1" x14ac:dyDescent="0.25">
      <c r="A53" s="4" t="s">
        <v>107</v>
      </c>
      <c r="B53" s="8">
        <v>48</v>
      </c>
      <c r="C53" s="8" t="s">
        <v>96</v>
      </c>
      <c r="D53" s="8" t="s">
        <v>10</v>
      </c>
      <c r="E53" s="8">
        <v>1147.46</v>
      </c>
      <c r="F53" s="8" t="s">
        <v>90</v>
      </c>
      <c r="G53" s="85">
        <f>+'[1]Dự thầu'!$G$73</f>
        <v>1646788</v>
      </c>
      <c r="H53" s="86">
        <f t="shared" si="1"/>
        <v>1889623358</v>
      </c>
    </row>
    <row r="54" spans="1:8" ht="15.75" customHeight="1" x14ac:dyDescent="0.25">
      <c r="A54" s="4" t="s">
        <v>108</v>
      </c>
      <c r="B54" s="8">
        <v>49</v>
      </c>
      <c r="C54" s="8" t="s">
        <v>98</v>
      </c>
      <c r="D54" s="8" t="s">
        <v>10</v>
      </c>
      <c r="E54" s="8">
        <v>11.47</v>
      </c>
      <c r="F54" s="8" t="s">
        <v>99</v>
      </c>
      <c r="G54" s="85">
        <f>+'[1]Dự thầu'!$G$74+'[1]Dự thầu'!$G$75</f>
        <v>8873277</v>
      </c>
      <c r="H54" s="86">
        <f t="shared" si="1"/>
        <v>101776487</v>
      </c>
    </row>
    <row r="55" spans="1:8" ht="15.75" customHeight="1" x14ac:dyDescent="0.25">
      <c r="A55" s="4" t="s">
        <v>109</v>
      </c>
      <c r="B55" s="8">
        <v>50</v>
      </c>
      <c r="C55" s="8" t="s">
        <v>110</v>
      </c>
      <c r="D55" s="8" t="s">
        <v>10</v>
      </c>
      <c r="E55" s="8">
        <v>8058</v>
      </c>
      <c r="F55" s="8" t="s">
        <v>13</v>
      </c>
      <c r="G55" s="85">
        <f>+'[1]Dự thầu'!$G$76</f>
        <v>15319</v>
      </c>
      <c r="H55" s="86">
        <f t="shared" si="1"/>
        <v>123440502</v>
      </c>
    </row>
    <row r="56" spans="1:8" ht="15.75" customHeight="1" x14ac:dyDescent="0.25">
      <c r="A56" s="4" t="s">
        <v>111</v>
      </c>
      <c r="B56" s="8">
        <v>51</v>
      </c>
      <c r="C56" s="8" t="s">
        <v>112</v>
      </c>
      <c r="D56" s="8" t="s">
        <v>10</v>
      </c>
      <c r="E56" s="8">
        <v>8058</v>
      </c>
      <c r="F56" s="8" t="s">
        <v>13</v>
      </c>
      <c r="G56" s="85">
        <f>+'[1]Dự thầu'!$G$77</f>
        <v>63114</v>
      </c>
      <c r="H56" s="86">
        <f t="shared" si="1"/>
        <v>508572612</v>
      </c>
    </row>
    <row r="57" spans="1:8" ht="15.75" customHeight="1" x14ac:dyDescent="0.25">
      <c r="A57" s="4" t="s">
        <v>113</v>
      </c>
      <c r="B57" s="8">
        <v>52</v>
      </c>
      <c r="C57" s="8" t="s">
        <v>114</v>
      </c>
      <c r="D57" s="8" t="s">
        <v>10</v>
      </c>
      <c r="E57" s="8">
        <v>8772.9</v>
      </c>
      <c r="F57" s="8" t="s">
        <v>13</v>
      </c>
      <c r="G57" s="85">
        <f>+'[1]Dự thầu'!$G$78</f>
        <v>213590</v>
      </c>
      <c r="H57" s="86">
        <f t="shared" si="1"/>
        <v>1873803711</v>
      </c>
    </row>
    <row r="58" spans="1:8" ht="15.75" customHeight="1" x14ac:dyDescent="0.25">
      <c r="A58" s="4" t="s">
        <v>115</v>
      </c>
      <c r="B58" s="8">
        <v>53</v>
      </c>
      <c r="C58" s="8" t="s">
        <v>116</v>
      </c>
      <c r="D58" s="8" t="s">
        <v>10</v>
      </c>
      <c r="E58" s="8">
        <v>10202.700000000001</v>
      </c>
      <c r="F58" s="8" t="s">
        <v>13</v>
      </c>
      <c r="G58" s="85">
        <f>+'[1]Dự thầu'!$G$82</f>
        <v>173886</v>
      </c>
      <c r="H58" s="86">
        <f t="shared" si="1"/>
        <v>1774106692</v>
      </c>
    </row>
    <row r="59" spans="1:8" ht="15.75" customHeight="1" x14ac:dyDescent="0.25">
      <c r="A59" s="4" t="s">
        <v>117</v>
      </c>
      <c r="B59" s="8">
        <v>54</v>
      </c>
      <c r="C59" s="8" t="s">
        <v>118</v>
      </c>
      <c r="D59" s="8" t="s">
        <v>10</v>
      </c>
      <c r="E59" s="8">
        <v>4122</v>
      </c>
      <c r="F59" s="8" t="s">
        <v>13</v>
      </c>
      <c r="G59" s="85">
        <f>+'[1]Dự thầu'!$G$83</f>
        <v>330238</v>
      </c>
      <c r="H59" s="86">
        <f t="shared" si="1"/>
        <v>1361241036</v>
      </c>
    </row>
    <row r="60" spans="1:8" ht="15.75" customHeight="1" x14ac:dyDescent="0.25">
      <c r="A60" s="4" t="s">
        <v>119</v>
      </c>
      <c r="B60" s="8">
        <v>55</v>
      </c>
      <c r="C60" s="8" t="s">
        <v>120</v>
      </c>
      <c r="D60" s="8" t="s">
        <v>10</v>
      </c>
      <c r="E60" s="8">
        <v>330</v>
      </c>
      <c r="F60" s="8" t="s">
        <v>16</v>
      </c>
      <c r="G60" s="85">
        <f>+'[1]Dự thầu'!$G$84</f>
        <v>1191268</v>
      </c>
      <c r="H60" s="86">
        <f t="shared" si="1"/>
        <v>393118440</v>
      </c>
    </row>
    <row r="61" spans="1:8" ht="15.75" customHeight="1" x14ac:dyDescent="0.25">
      <c r="A61" s="4" t="s">
        <v>121</v>
      </c>
      <c r="B61" s="8">
        <v>56</v>
      </c>
      <c r="C61" s="8" t="s">
        <v>122</v>
      </c>
      <c r="D61" s="8" t="s">
        <v>10</v>
      </c>
      <c r="E61" s="8">
        <v>44</v>
      </c>
      <c r="F61" s="8" t="s">
        <v>16</v>
      </c>
      <c r="G61" s="85">
        <f>+'[1]Dự thầu'!$G$85</f>
        <v>1572721</v>
      </c>
      <c r="H61" s="86">
        <f t="shared" si="1"/>
        <v>69199724</v>
      </c>
    </row>
    <row r="62" spans="1:8" ht="15.75" customHeight="1" x14ac:dyDescent="0.25">
      <c r="A62" s="4" t="s">
        <v>123</v>
      </c>
      <c r="B62" s="8">
        <v>57</v>
      </c>
      <c r="C62" s="8" t="s">
        <v>120</v>
      </c>
      <c r="D62" s="8" t="s">
        <v>10</v>
      </c>
      <c r="E62" s="8">
        <v>27</v>
      </c>
      <c r="F62" s="8" t="s">
        <v>16</v>
      </c>
      <c r="G62" s="85">
        <f>+'[1]Dự thầu'!$G$86</f>
        <v>1191268</v>
      </c>
      <c r="H62" s="86">
        <f t="shared" si="1"/>
        <v>32164236</v>
      </c>
    </row>
    <row r="63" spans="1:8" ht="15.75" customHeight="1" x14ac:dyDescent="0.25">
      <c r="A63" s="4" t="s">
        <v>124</v>
      </c>
      <c r="B63" s="8">
        <v>58</v>
      </c>
      <c r="C63" s="8" t="s">
        <v>125</v>
      </c>
      <c r="D63" s="8" t="s">
        <v>10</v>
      </c>
      <c r="E63" s="8">
        <v>1.97</v>
      </c>
      <c r="F63" s="8" t="s">
        <v>126</v>
      </c>
      <c r="G63" s="85">
        <f>+'[1]Dự thầu'!$G$87</f>
        <v>10394299</v>
      </c>
      <c r="H63" s="86">
        <f t="shared" si="1"/>
        <v>20476769</v>
      </c>
    </row>
    <row r="64" spans="1:8" ht="15.75" customHeight="1" x14ac:dyDescent="0.25">
      <c r="A64" s="4" t="s">
        <v>127</v>
      </c>
      <c r="B64" s="8">
        <v>59</v>
      </c>
      <c r="C64" s="8" t="s">
        <v>120</v>
      </c>
      <c r="D64" s="8" t="s">
        <v>10</v>
      </c>
      <c r="E64" s="8">
        <v>11</v>
      </c>
      <c r="F64" s="8" t="s">
        <v>16</v>
      </c>
      <c r="G64" s="85">
        <f>+'[1]Dự thầu'!$G$88</f>
        <v>1191268</v>
      </c>
      <c r="H64" s="86">
        <f t="shared" si="1"/>
        <v>13103948</v>
      </c>
    </row>
    <row r="65" spans="1:8" ht="15.75" customHeight="1" x14ac:dyDescent="0.25">
      <c r="A65" s="4" t="s">
        <v>128</v>
      </c>
      <c r="B65" s="8">
        <v>60</v>
      </c>
      <c r="C65" s="8" t="s">
        <v>129</v>
      </c>
      <c r="D65" s="8" t="s">
        <v>10</v>
      </c>
      <c r="E65" s="8">
        <v>1118</v>
      </c>
      <c r="F65" s="8" t="s">
        <v>75</v>
      </c>
      <c r="G65" s="85">
        <f>+'[1]Dự thầu'!$G$89</f>
        <v>320929</v>
      </c>
      <c r="H65" s="86">
        <f t="shared" si="1"/>
        <v>358798622</v>
      </c>
    </row>
    <row r="66" spans="1:8" ht="15.75" customHeight="1" x14ac:dyDescent="0.25">
      <c r="A66" s="4" t="s">
        <v>130</v>
      </c>
      <c r="B66" s="8">
        <v>61</v>
      </c>
      <c r="C66" s="8" t="s">
        <v>125</v>
      </c>
      <c r="D66" s="8" t="s">
        <v>10</v>
      </c>
      <c r="E66" s="8">
        <v>19.14</v>
      </c>
      <c r="F66" s="8" t="s">
        <v>13</v>
      </c>
      <c r="G66" s="85">
        <f>+ROUND('[1]Dự thầu'!$G$90/100,0)</f>
        <v>103943</v>
      </c>
      <c r="H66" s="86">
        <f t="shared" si="1"/>
        <v>1989469</v>
      </c>
    </row>
    <row r="67" spans="1:8" ht="15.75" customHeight="1" x14ac:dyDescent="0.25">
      <c r="A67" s="4" t="s">
        <v>131</v>
      </c>
      <c r="B67" s="8">
        <v>62</v>
      </c>
      <c r="C67" s="8" t="s">
        <v>120</v>
      </c>
      <c r="D67" s="8" t="s">
        <v>10</v>
      </c>
      <c r="E67" s="8">
        <v>1.0685</v>
      </c>
      <c r="F67" s="8" t="s">
        <v>16</v>
      </c>
      <c r="G67" s="85">
        <f>+'[1]Dự thầu'!$G$91</f>
        <v>1191268</v>
      </c>
      <c r="H67" s="86">
        <f t="shared" si="1"/>
        <v>1272870</v>
      </c>
    </row>
    <row r="68" spans="1:8" ht="15.75" customHeight="1" x14ac:dyDescent="0.25">
      <c r="A68" s="4" t="s">
        <v>132</v>
      </c>
      <c r="B68" s="8">
        <v>63</v>
      </c>
      <c r="C68" s="8" t="s">
        <v>133</v>
      </c>
      <c r="D68" s="8" t="s">
        <v>10</v>
      </c>
      <c r="E68" s="8">
        <v>108.6</v>
      </c>
      <c r="F68" s="8" t="s">
        <v>75</v>
      </c>
      <c r="G68" s="85">
        <f>+'[1]Dự thầu'!$G$92</f>
        <v>355817</v>
      </c>
      <c r="H68" s="86">
        <f t="shared" si="1"/>
        <v>38641726</v>
      </c>
    </row>
    <row r="69" spans="1:8" ht="15.75" customHeight="1" x14ac:dyDescent="0.25">
      <c r="A69" s="4" t="s">
        <v>134</v>
      </c>
      <c r="B69" s="8">
        <v>64</v>
      </c>
      <c r="C69" s="8" t="s">
        <v>125</v>
      </c>
      <c r="D69" s="8" t="s">
        <v>10</v>
      </c>
      <c r="E69" s="8">
        <v>11.71</v>
      </c>
      <c r="F69" s="8" t="s">
        <v>126</v>
      </c>
      <c r="G69" s="85">
        <f>+'[1]Dự thầu'!$G$93</f>
        <v>10394299</v>
      </c>
      <c r="H69" s="86">
        <f t="shared" si="1"/>
        <v>121717241</v>
      </c>
    </row>
    <row r="70" spans="1:8" ht="15.75" customHeight="1" x14ac:dyDescent="0.25">
      <c r="A70" s="4" t="s">
        <v>135</v>
      </c>
      <c r="B70" s="8">
        <v>65</v>
      </c>
      <c r="C70" s="8" t="s">
        <v>120</v>
      </c>
      <c r="D70" s="8" t="s">
        <v>10</v>
      </c>
      <c r="E70" s="8">
        <v>121.79</v>
      </c>
      <c r="F70" s="8" t="s">
        <v>16</v>
      </c>
      <c r="G70" s="85">
        <f>+'[1]Dự thầu'!$G$94</f>
        <v>1191268</v>
      </c>
      <c r="H70" s="86">
        <f t="shared" si="1"/>
        <v>145084530</v>
      </c>
    </row>
    <row r="71" spans="1:8" ht="15.75" customHeight="1" x14ac:dyDescent="0.25">
      <c r="A71" s="4" t="s">
        <v>136</v>
      </c>
      <c r="B71" s="8">
        <v>66</v>
      </c>
      <c r="C71" s="8" t="s">
        <v>137</v>
      </c>
      <c r="D71" s="8" t="s">
        <v>10</v>
      </c>
      <c r="E71" s="8">
        <v>4684</v>
      </c>
      <c r="F71" s="8" t="s">
        <v>75</v>
      </c>
      <c r="G71" s="85">
        <f>+'[1]Dự thầu'!$G$95</f>
        <v>388691</v>
      </c>
      <c r="H71" s="86">
        <f t="shared" ref="H71:H78" si="2">+ROUND(G71*E71,0)</f>
        <v>1820628644</v>
      </c>
    </row>
    <row r="72" spans="1:8" ht="15.75" customHeight="1" x14ac:dyDescent="0.25">
      <c r="A72" s="4" t="s">
        <v>138</v>
      </c>
      <c r="B72" s="8">
        <v>67</v>
      </c>
      <c r="C72" s="8" t="s">
        <v>125</v>
      </c>
      <c r="D72" s="8" t="s">
        <v>10</v>
      </c>
      <c r="E72" s="8">
        <v>57</v>
      </c>
      <c r="F72" s="8" t="s">
        <v>13</v>
      </c>
      <c r="G72" s="85">
        <f>+ROUND('[1]Dự thầu'!$G$97/100,0)</f>
        <v>103943</v>
      </c>
      <c r="H72" s="86">
        <f t="shared" si="2"/>
        <v>5924751</v>
      </c>
    </row>
    <row r="73" spans="1:8" ht="15.75" customHeight="1" x14ac:dyDescent="0.25">
      <c r="A73" s="4" t="s">
        <v>139</v>
      </c>
      <c r="B73" s="8">
        <v>68</v>
      </c>
      <c r="C73" s="8" t="s">
        <v>120</v>
      </c>
      <c r="D73" s="8" t="s">
        <v>10</v>
      </c>
      <c r="E73" s="8">
        <v>0.34</v>
      </c>
      <c r="F73" s="8" t="s">
        <v>16</v>
      </c>
      <c r="G73" s="85">
        <f>+'[1]Dự thầu'!$G$98</f>
        <v>1191268</v>
      </c>
      <c r="H73" s="86">
        <f t="shared" si="2"/>
        <v>405031</v>
      </c>
    </row>
    <row r="74" spans="1:8" ht="15.75" customHeight="1" x14ac:dyDescent="0.25">
      <c r="A74" s="4" t="s">
        <v>140</v>
      </c>
      <c r="B74" s="8">
        <v>69</v>
      </c>
      <c r="C74" s="8" t="s">
        <v>141</v>
      </c>
      <c r="D74" s="8" t="s">
        <v>10</v>
      </c>
      <c r="E74" s="8">
        <v>57</v>
      </c>
      <c r="F74" s="8" t="s">
        <v>75</v>
      </c>
      <c r="G74" s="85">
        <f>+'[1]Dự thầu'!$G$99</f>
        <v>169013</v>
      </c>
      <c r="H74" s="86">
        <f t="shared" si="2"/>
        <v>9633741</v>
      </c>
    </row>
    <row r="75" spans="1:8" ht="15.75" customHeight="1" x14ac:dyDescent="0.25">
      <c r="A75" s="4" t="s">
        <v>142</v>
      </c>
      <c r="B75" s="8">
        <v>70</v>
      </c>
      <c r="C75" s="8" t="s">
        <v>143</v>
      </c>
      <c r="D75" s="8" t="s">
        <v>10</v>
      </c>
      <c r="E75" s="8">
        <v>36.93</v>
      </c>
      <c r="F75" s="8" t="s">
        <v>37</v>
      </c>
      <c r="G75" s="85">
        <f>+'[1]Dự thầu'!$G$101+'[1]Dự thầu'!$G$102+'[1]Dự thầu'!$G$103</f>
        <v>611627</v>
      </c>
      <c r="H75" s="86">
        <f t="shared" si="2"/>
        <v>22587385</v>
      </c>
    </row>
    <row r="76" spans="1:8" ht="15.75" customHeight="1" x14ac:dyDescent="0.25">
      <c r="A76" s="4" t="s">
        <v>144</v>
      </c>
      <c r="B76" s="8">
        <v>71</v>
      </c>
      <c r="C76" s="8" t="s">
        <v>145</v>
      </c>
      <c r="D76" s="8" t="s">
        <v>10</v>
      </c>
      <c r="E76" s="8">
        <v>10</v>
      </c>
      <c r="F76" s="8" t="s">
        <v>146</v>
      </c>
      <c r="G76" s="85">
        <f>+'[1]Dự thầu'!$G$104</f>
        <v>1909908</v>
      </c>
      <c r="H76" s="86">
        <f t="shared" si="2"/>
        <v>19099080</v>
      </c>
    </row>
    <row r="77" spans="1:8" ht="15.75" customHeight="1" x14ac:dyDescent="0.25">
      <c r="A77" s="4" t="s">
        <v>147</v>
      </c>
      <c r="B77" s="8">
        <v>72</v>
      </c>
      <c r="C77" s="8" t="s">
        <v>47</v>
      </c>
      <c r="D77" s="8" t="s">
        <v>10</v>
      </c>
      <c r="E77" s="8">
        <v>1157</v>
      </c>
      <c r="F77" s="8" t="s">
        <v>16</v>
      </c>
      <c r="G77" s="85">
        <f>+'[1]Dự thầu'!$G$105</f>
        <v>2096</v>
      </c>
      <c r="H77" s="86">
        <f t="shared" si="2"/>
        <v>2425072</v>
      </c>
    </row>
    <row r="78" spans="1:8" ht="15.75" customHeight="1" x14ac:dyDescent="0.25">
      <c r="A78" s="4" t="s">
        <v>148</v>
      </c>
      <c r="B78" s="8">
        <v>73</v>
      </c>
      <c r="C78" s="8" t="s">
        <v>149</v>
      </c>
      <c r="D78" s="8" t="s">
        <v>10</v>
      </c>
      <c r="E78" s="8">
        <v>16.440000000000001</v>
      </c>
      <c r="F78" s="8" t="s">
        <v>150</v>
      </c>
      <c r="G78" s="85">
        <f>+'[1]Dự thầu'!$G$106</f>
        <v>963779</v>
      </c>
      <c r="H78" s="86">
        <f t="shared" si="2"/>
        <v>15844527</v>
      </c>
    </row>
    <row r="79" spans="1:8" ht="15.75" customHeight="1" x14ac:dyDescent="0.25">
      <c r="A79" s="4">
        <v>2</v>
      </c>
      <c r="B79" s="8">
        <v>74</v>
      </c>
      <c r="C79" s="8" t="s">
        <v>151</v>
      </c>
      <c r="D79" s="8" t="s">
        <v>10</v>
      </c>
      <c r="E79" s="8"/>
      <c r="F79" s="8"/>
      <c r="G79" s="85"/>
      <c r="H79" s="86"/>
    </row>
    <row r="80" spans="1:8" ht="15.75" customHeight="1" x14ac:dyDescent="0.25">
      <c r="A80" s="4" t="s">
        <v>152</v>
      </c>
      <c r="B80" s="8">
        <v>75</v>
      </c>
      <c r="C80" s="8" t="s">
        <v>153</v>
      </c>
      <c r="D80" s="8" t="s">
        <v>10</v>
      </c>
      <c r="E80" s="8">
        <v>1152.7</v>
      </c>
      <c r="F80" s="8" t="s">
        <v>16</v>
      </c>
      <c r="G80" s="85">
        <f>+'[1]Dự thầu'!$G$127</f>
        <v>20072</v>
      </c>
      <c r="H80" s="86">
        <f t="shared" ref="H80:H100" si="3">+ROUND(G80*E80,0)</f>
        <v>23136994</v>
      </c>
    </row>
    <row r="81" spans="1:8" ht="15.75" customHeight="1" x14ac:dyDescent="0.25">
      <c r="A81" s="4" t="s">
        <v>154</v>
      </c>
      <c r="B81" s="8">
        <v>76</v>
      </c>
      <c r="C81" s="8" t="s">
        <v>155</v>
      </c>
      <c r="D81" s="8" t="s">
        <v>10</v>
      </c>
      <c r="E81" s="8">
        <v>572</v>
      </c>
      <c r="F81" s="8" t="s">
        <v>16</v>
      </c>
      <c r="G81" s="85">
        <f>+'[1]Dự thầu'!$G$128</f>
        <v>30610</v>
      </c>
      <c r="H81" s="86">
        <f t="shared" si="3"/>
        <v>17508920</v>
      </c>
    </row>
    <row r="82" spans="1:8" ht="15.75" customHeight="1" x14ac:dyDescent="0.25">
      <c r="A82" s="4" t="s">
        <v>156</v>
      </c>
      <c r="B82" s="8">
        <v>77</v>
      </c>
      <c r="C82" s="8" t="s">
        <v>20</v>
      </c>
      <c r="D82" s="8" t="s">
        <v>10</v>
      </c>
      <c r="E82" s="8">
        <v>778</v>
      </c>
      <c r="F82" s="8" t="s">
        <v>16</v>
      </c>
      <c r="G82" s="85">
        <f>+'[1]Dự thầu'!$G$129</f>
        <v>12342</v>
      </c>
      <c r="H82" s="86">
        <f t="shared" si="3"/>
        <v>9602076</v>
      </c>
    </row>
    <row r="83" spans="1:8" ht="15.75" customHeight="1" x14ac:dyDescent="0.25">
      <c r="A83" s="4" t="s">
        <v>157</v>
      </c>
      <c r="B83" s="8">
        <v>78</v>
      </c>
      <c r="C83" s="8" t="s">
        <v>158</v>
      </c>
      <c r="D83" s="8" t="s">
        <v>10</v>
      </c>
      <c r="E83" s="8">
        <v>778</v>
      </c>
      <c r="F83" s="8" t="s">
        <v>16</v>
      </c>
      <c r="G83" s="85">
        <f>+'[1]Dự thầu'!$G$130</f>
        <v>12936</v>
      </c>
      <c r="H83" s="86">
        <f t="shared" si="3"/>
        <v>10064208</v>
      </c>
    </row>
    <row r="84" spans="1:8" ht="15.75" customHeight="1" x14ac:dyDescent="0.25">
      <c r="A84" s="4" t="s">
        <v>159</v>
      </c>
      <c r="B84" s="8">
        <v>79</v>
      </c>
      <c r="C84" s="8" t="s">
        <v>160</v>
      </c>
      <c r="D84" s="8" t="s">
        <v>10</v>
      </c>
      <c r="E84" s="8">
        <v>5180</v>
      </c>
      <c r="F84" s="8" t="s">
        <v>16</v>
      </c>
      <c r="G84" s="85">
        <f>+'[1]Dự thầu'!$G$132</f>
        <v>12936</v>
      </c>
      <c r="H84" s="86">
        <f t="shared" si="3"/>
        <v>67008480</v>
      </c>
    </row>
    <row r="85" spans="1:8" ht="15.75" customHeight="1" x14ac:dyDescent="0.25">
      <c r="A85" s="4" t="s">
        <v>161</v>
      </c>
      <c r="B85" s="8">
        <v>80</v>
      </c>
      <c r="C85" s="8" t="s">
        <v>162</v>
      </c>
      <c r="D85" s="8" t="s">
        <v>10</v>
      </c>
      <c r="E85" s="8">
        <v>1455</v>
      </c>
      <c r="F85" s="8" t="s">
        <v>16</v>
      </c>
      <c r="G85" s="85">
        <f>+'[1]Dự thầu'!$G$133</f>
        <v>15775</v>
      </c>
      <c r="H85" s="86">
        <f t="shared" si="3"/>
        <v>22952625</v>
      </c>
    </row>
    <row r="86" spans="1:8" ht="15.75" customHeight="1" x14ac:dyDescent="0.25">
      <c r="A86" s="4" t="s">
        <v>163</v>
      </c>
      <c r="B86" s="8">
        <v>81</v>
      </c>
      <c r="C86" s="8" t="s">
        <v>32</v>
      </c>
      <c r="D86" s="8" t="s">
        <v>10</v>
      </c>
      <c r="E86" s="8">
        <v>7082.61</v>
      </c>
      <c r="F86" s="8" t="s">
        <v>16</v>
      </c>
      <c r="G86" s="85">
        <f>+'[1]Dự thầu'!$G$134</f>
        <v>50585</v>
      </c>
      <c r="H86" s="86">
        <f t="shared" si="3"/>
        <v>358273827</v>
      </c>
    </row>
    <row r="87" spans="1:8" ht="15.75" customHeight="1" x14ac:dyDescent="0.25">
      <c r="A87" s="4" t="s">
        <v>164</v>
      </c>
      <c r="B87" s="8">
        <v>82</v>
      </c>
      <c r="C87" s="8" t="s">
        <v>34</v>
      </c>
      <c r="D87" s="8" t="s">
        <v>10</v>
      </c>
      <c r="E87" s="8">
        <v>2042.24</v>
      </c>
      <c r="F87" s="8" t="s">
        <v>16</v>
      </c>
      <c r="G87" s="85">
        <f>+'[1]Dự thầu'!$G$135</f>
        <v>54405</v>
      </c>
      <c r="H87" s="86">
        <f t="shared" si="3"/>
        <v>111108067</v>
      </c>
    </row>
    <row r="88" spans="1:8" ht="15.75" customHeight="1" x14ac:dyDescent="0.25">
      <c r="A88" s="4" t="s">
        <v>165</v>
      </c>
      <c r="B88" s="8">
        <v>83</v>
      </c>
      <c r="C88" s="8" t="s">
        <v>36</v>
      </c>
      <c r="D88" s="8" t="s">
        <v>10</v>
      </c>
      <c r="E88" s="8">
        <v>912.49</v>
      </c>
      <c r="F88" s="8" t="s">
        <v>37</v>
      </c>
      <c r="G88" s="85">
        <f>+'[1]Dự thầu'!$G$136+'[1]Dự thầu'!$G$137+'[1]Dự thầu'!$G$138</f>
        <v>940826</v>
      </c>
      <c r="H88" s="86">
        <f t="shared" si="3"/>
        <v>858494317</v>
      </c>
    </row>
    <row r="89" spans="1:8" ht="15.75" customHeight="1" x14ac:dyDescent="0.25">
      <c r="A89" s="4" t="s">
        <v>166</v>
      </c>
      <c r="B89" s="8">
        <v>84</v>
      </c>
      <c r="C89" s="8" t="s">
        <v>94</v>
      </c>
      <c r="D89" s="8" t="s">
        <v>10</v>
      </c>
      <c r="E89" s="8">
        <v>4972.3999999999996</v>
      </c>
      <c r="F89" s="8" t="s">
        <v>13</v>
      </c>
      <c r="G89" s="85">
        <f>+'[1]Dự thầu'!$G$146</f>
        <v>11015</v>
      </c>
      <c r="H89" s="86">
        <f t="shared" si="3"/>
        <v>54770986</v>
      </c>
    </row>
    <row r="90" spans="1:8" ht="15.75" customHeight="1" x14ac:dyDescent="0.25">
      <c r="A90" s="4" t="s">
        <v>167</v>
      </c>
      <c r="B90" s="8">
        <v>85</v>
      </c>
      <c r="C90" s="8" t="s">
        <v>96</v>
      </c>
      <c r="D90" s="8" t="s">
        <v>10</v>
      </c>
      <c r="E90" s="8">
        <v>708.07</v>
      </c>
      <c r="F90" s="8" t="s">
        <v>90</v>
      </c>
      <c r="G90" s="85">
        <f>+'[1]Dự thầu'!$G$147</f>
        <v>1646788</v>
      </c>
      <c r="H90" s="86">
        <f t="shared" si="3"/>
        <v>1166041179</v>
      </c>
    </row>
    <row r="91" spans="1:8" ht="15.75" customHeight="1" x14ac:dyDescent="0.25">
      <c r="A91" s="4" t="s">
        <v>168</v>
      </c>
      <c r="B91" s="8">
        <v>86</v>
      </c>
      <c r="C91" s="8" t="s">
        <v>98</v>
      </c>
      <c r="D91" s="8" t="s">
        <v>10</v>
      </c>
      <c r="E91" s="8">
        <v>7.08</v>
      </c>
      <c r="F91" s="8" t="s">
        <v>99</v>
      </c>
      <c r="G91" s="85">
        <f>+'[1]Dự thầu'!$G$148+'[1]Dự thầu'!$G$149</f>
        <v>8873277</v>
      </c>
      <c r="H91" s="86">
        <f t="shared" si="3"/>
        <v>62822801</v>
      </c>
    </row>
    <row r="92" spans="1:8" ht="15.75" customHeight="1" x14ac:dyDescent="0.25">
      <c r="A92" s="4" t="s">
        <v>169</v>
      </c>
      <c r="B92" s="8">
        <v>87</v>
      </c>
      <c r="C92" s="8" t="s">
        <v>110</v>
      </c>
      <c r="D92" s="8" t="s">
        <v>10</v>
      </c>
      <c r="E92" s="8">
        <v>4972.04</v>
      </c>
      <c r="F92" s="8" t="s">
        <v>13</v>
      </c>
      <c r="G92" s="85">
        <f>+'[1]Dự thầu'!$G$150</f>
        <v>15319</v>
      </c>
      <c r="H92" s="86">
        <f t="shared" si="3"/>
        <v>76166681</v>
      </c>
    </row>
    <row r="93" spans="1:8" ht="15.75" customHeight="1" x14ac:dyDescent="0.25">
      <c r="A93" s="4" t="s">
        <v>170</v>
      </c>
      <c r="B93" s="8">
        <v>88</v>
      </c>
      <c r="C93" s="8" t="s">
        <v>171</v>
      </c>
      <c r="D93" s="8" t="s">
        <v>10</v>
      </c>
      <c r="E93" s="8">
        <v>4972.3999999999996</v>
      </c>
      <c r="F93" s="8" t="s">
        <v>13</v>
      </c>
      <c r="G93" s="85">
        <f>+'[1]Dự thầu'!$G$151</f>
        <v>63114</v>
      </c>
      <c r="H93" s="86">
        <f t="shared" si="3"/>
        <v>313828054</v>
      </c>
    </row>
    <row r="94" spans="1:8" ht="15.75" customHeight="1" x14ac:dyDescent="0.25">
      <c r="A94" s="4" t="s">
        <v>172</v>
      </c>
      <c r="B94" s="8">
        <v>89</v>
      </c>
      <c r="C94" s="8" t="s">
        <v>114</v>
      </c>
      <c r="D94" s="8" t="s">
        <v>10</v>
      </c>
      <c r="E94" s="8">
        <v>4972.3999999999996</v>
      </c>
      <c r="F94" s="8" t="s">
        <v>13</v>
      </c>
      <c r="G94" s="85">
        <f>+'[1]Dự thầu'!$G$152</f>
        <v>213590</v>
      </c>
      <c r="H94" s="86">
        <f t="shared" si="3"/>
        <v>1062054916</v>
      </c>
    </row>
    <row r="95" spans="1:8" ht="15.75" customHeight="1" x14ac:dyDescent="0.25">
      <c r="A95" s="4" t="s">
        <v>173</v>
      </c>
      <c r="B95" s="8">
        <v>90</v>
      </c>
      <c r="C95" s="8" t="s">
        <v>174</v>
      </c>
      <c r="D95" s="8" t="s">
        <v>10</v>
      </c>
      <c r="E95" s="8">
        <v>4972.3999999999996</v>
      </c>
      <c r="F95" s="8" t="s">
        <v>13</v>
      </c>
      <c r="G95" s="85">
        <f>+'[1]Dự thầu'!$G$156</f>
        <v>173886</v>
      </c>
      <c r="H95" s="86">
        <f t="shared" si="3"/>
        <v>864630746</v>
      </c>
    </row>
    <row r="96" spans="1:8" ht="15.75" customHeight="1" x14ac:dyDescent="0.25">
      <c r="A96" s="4" t="s">
        <v>175</v>
      </c>
      <c r="B96" s="8">
        <v>91</v>
      </c>
      <c r="C96" s="8" t="s">
        <v>94</v>
      </c>
      <c r="D96" s="8" t="s">
        <v>10</v>
      </c>
      <c r="E96" s="8">
        <v>4423.7</v>
      </c>
      <c r="F96" s="8" t="s">
        <v>13</v>
      </c>
      <c r="G96" s="85">
        <f>+'[1]Dự thầu'!$G$159</f>
        <v>11015</v>
      </c>
      <c r="H96" s="86">
        <f t="shared" si="3"/>
        <v>48727056</v>
      </c>
    </row>
    <row r="97" spans="1:8" ht="15.75" customHeight="1" x14ac:dyDescent="0.25">
      <c r="A97" s="4" t="s">
        <v>176</v>
      </c>
      <c r="B97" s="8">
        <v>92</v>
      </c>
      <c r="C97" s="8" t="s">
        <v>96</v>
      </c>
      <c r="D97" s="8" t="s">
        <v>10</v>
      </c>
      <c r="E97" s="8">
        <v>629.92999999999995</v>
      </c>
      <c r="F97" s="8" t="s">
        <v>90</v>
      </c>
      <c r="G97" s="85">
        <f>+'[1]Dự thầu'!$G$160</f>
        <v>1646788</v>
      </c>
      <c r="H97" s="86">
        <f t="shared" si="3"/>
        <v>1037361165</v>
      </c>
    </row>
    <row r="98" spans="1:8" ht="15.75" customHeight="1" x14ac:dyDescent="0.25">
      <c r="A98" s="4" t="s">
        <v>177</v>
      </c>
      <c r="B98" s="8">
        <v>93</v>
      </c>
      <c r="C98" s="8" t="s">
        <v>98</v>
      </c>
      <c r="D98" s="8" t="s">
        <v>10</v>
      </c>
      <c r="E98" s="8">
        <v>6.3</v>
      </c>
      <c r="F98" s="8" t="s">
        <v>99</v>
      </c>
      <c r="G98" s="85">
        <f>+'[1]Dự thầu'!$G$161+'[1]Dự thầu'!$G$162</f>
        <v>8873277</v>
      </c>
      <c r="H98" s="86">
        <f t="shared" si="3"/>
        <v>55901645</v>
      </c>
    </row>
    <row r="99" spans="1:8" ht="15.75" customHeight="1" x14ac:dyDescent="0.25">
      <c r="A99" s="4" t="s">
        <v>178</v>
      </c>
      <c r="B99" s="8">
        <v>94</v>
      </c>
      <c r="C99" s="8" t="s">
        <v>110</v>
      </c>
      <c r="D99" s="8" t="s">
        <v>10</v>
      </c>
      <c r="E99" s="8">
        <v>4423.7</v>
      </c>
      <c r="F99" s="8" t="s">
        <v>13</v>
      </c>
      <c r="G99" s="85">
        <f>+'[1]Dự thầu'!$G$163</f>
        <v>15319</v>
      </c>
      <c r="H99" s="86">
        <f t="shared" si="3"/>
        <v>67766660</v>
      </c>
    </row>
    <row r="100" spans="1:8" ht="15.75" customHeight="1" x14ac:dyDescent="0.25">
      <c r="A100" s="4" t="s">
        <v>179</v>
      </c>
      <c r="B100" s="8">
        <v>95</v>
      </c>
      <c r="C100" s="8" t="s">
        <v>180</v>
      </c>
      <c r="D100" s="8" t="s">
        <v>10</v>
      </c>
      <c r="E100" s="8">
        <v>91.6</v>
      </c>
      <c r="F100" s="8" t="s">
        <v>13</v>
      </c>
      <c r="G100" s="85">
        <f>+'[1]Dự thầu'!$G$164</f>
        <v>213590</v>
      </c>
      <c r="H100" s="86">
        <f t="shared" si="3"/>
        <v>19564844</v>
      </c>
    </row>
    <row r="101" spans="1:8" ht="15.75" customHeight="1" x14ac:dyDescent="0.25">
      <c r="A101" s="4">
        <v>3</v>
      </c>
      <c r="B101" s="8">
        <v>96</v>
      </c>
      <c r="C101" s="8" t="s">
        <v>181</v>
      </c>
      <c r="D101" s="8" t="s">
        <v>10</v>
      </c>
      <c r="E101" s="8"/>
      <c r="F101" s="8"/>
      <c r="G101" s="85"/>
      <c r="H101" s="86"/>
    </row>
    <row r="102" spans="1:8" ht="15.75" customHeight="1" x14ac:dyDescent="0.25">
      <c r="A102" s="4" t="s">
        <v>182</v>
      </c>
      <c r="B102" s="8">
        <v>97</v>
      </c>
      <c r="C102" s="8" t="s">
        <v>183</v>
      </c>
      <c r="D102" s="8" t="s">
        <v>10</v>
      </c>
      <c r="E102" s="8">
        <v>12</v>
      </c>
      <c r="F102" s="8" t="s">
        <v>16</v>
      </c>
      <c r="G102" s="85">
        <f>+'[1]Dự thầu'!$G$188</f>
        <v>23801</v>
      </c>
      <c r="H102" s="86">
        <f t="shared" ref="H102:H127" si="4">+ROUND(G102*E102,0)</f>
        <v>285612</v>
      </c>
    </row>
    <row r="103" spans="1:8" ht="15.75" customHeight="1" x14ac:dyDescent="0.25">
      <c r="A103" s="4" t="s">
        <v>184</v>
      </c>
      <c r="B103" s="8">
        <v>98</v>
      </c>
      <c r="C103" s="8" t="s">
        <v>185</v>
      </c>
      <c r="D103" s="8" t="s">
        <v>10</v>
      </c>
      <c r="E103" s="8">
        <v>21</v>
      </c>
      <c r="F103" s="8" t="s">
        <v>16</v>
      </c>
      <c r="G103" s="85">
        <f>+'[1]Dự thầu'!$G$189</f>
        <v>23801</v>
      </c>
      <c r="H103" s="86">
        <f t="shared" si="4"/>
        <v>499821</v>
      </c>
    </row>
    <row r="104" spans="1:8" ht="15.75" customHeight="1" x14ac:dyDescent="0.25">
      <c r="A104" s="4" t="s">
        <v>186</v>
      </c>
      <c r="B104" s="8">
        <v>99</v>
      </c>
      <c r="C104" s="8" t="s">
        <v>155</v>
      </c>
      <c r="D104" s="8" t="s">
        <v>10</v>
      </c>
      <c r="E104" s="8">
        <v>22</v>
      </c>
      <c r="F104" s="8" t="s">
        <v>16</v>
      </c>
      <c r="G104" s="85">
        <f>+'[1]Dự thầu'!$G$190</f>
        <v>30610</v>
      </c>
      <c r="H104" s="86">
        <f t="shared" si="4"/>
        <v>673420</v>
      </c>
    </row>
    <row r="105" spans="1:8" ht="15.75" customHeight="1" x14ac:dyDescent="0.25">
      <c r="A105" s="4" t="s">
        <v>187</v>
      </c>
      <c r="B105" s="8">
        <v>100</v>
      </c>
      <c r="C105" s="8" t="s">
        <v>20</v>
      </c>
      <c r="D105" s="8" t="s">
        <v>10</v>
      </c>
      <c r="E105" s="8">
        <v>8</v>
      </c>
      <c r="F105" s="8" t="s">
        <v>16</v>
      </c>
      <c r="G105" s="85">
        <f>+'[1]Dự thầu'!$G$191</f>
        <v>12342</v>
      </c>
      <c r="H105" s="86">
        <f t="shared" si="4"/>
        <v>98736</v>
      </c>
    </row>
    <row r="106" spans="1:8" ht="15.75" customHeight="1" x14ac:dyDescent="0.25">
      <c r="A106" s="4" t="s">
        <v>188</v>
      </c>
      <c r="B106" s="8">
        <v>101</v>
      </c>
      <c r="C106" s="8" t="s">
        <v>158</v>
      </c>
      <c r="D106" s="8" t="s">
        <v>10</v>
      </c>
      <c r="E106" s="8">
        <v>8</v>
      </c>
      <c r="F106" s="8" t="s">
        <v>16</v>
      </c>
      <c r="G106" s="85">
        <f>+'[1]Dự thầu'!$G$192</f>
        <v>12936</v>
      </c>
      <c r="H106" s="86">
        <f t="shared" si="4"/>
        <v>103488</v>
      </c>
    </row>
    <row r="107" spans="1:8" ht="15.75" customHeight="1" x14ac:dyDescent="0.25">
      <c r="A107" s="4" t="s">
        <v>189</v>
      </c>
      <c r="B107" s="8">
        <v>102</v>
      </c>
      <c r="C107" s="8" t="s">
        <v>190</v>
      </c>
      <c r="D107" s="8" t="s">
        <v>10</v>
      </c>
      <c r="E107" s="8">
        <v>477</v>
      </c>
      <c r="F107" s="8" t="s">
        <v>16</v>
      </c>
      <c r="G107" s="85">
        <f>+'[1]Dự thầu'!$G$193</f>
        <v>8251</v>
      </c>
      <c r="H107" s="86">
        <f t="shared" si="4"/>
        <v>3935727</v>
      </c>
    </row>
    <row r="108" spans="1:8" ht="15.75" customHeight="1" x14ac:dyDescent="0.25">
      <c r="A108" s="4" t="s">
        <v>191</v>
      </c>
      <c r="B108" s="8">
        <v>103</v>
      </c>
      <c r="C108" s="8" t="s">
        <v>192</v>
      </c>
      <c r="D108" s="8" t="s">
        <v>10</v>
      </c>
      <c r="E108" s="8">
        <v>1773</v>
      </c>
      <c r="F108" s="8" t="s">
        <v>16</v>
      </c>
      <c r="G108" s="85">
        <f>+'[1]Dự thầu'!$G$194</f>
        <v>32141</v>
      </c>
      <c r="H108" s="86">
        <f t="shared" si="4"/>
        <v>56985993</v>
      </c>
    </row>
    <row r="109" spans="1:8" ht="15.75" customHeight="1" x14ac:dyDescent="0.25">
      <c r="A109" s="4" t="s">
        <v>193</v>
      </c>
      <c r="B109" s="8">
        <v>104</v>
      </c>
      <c r="C109" s="8" t="s">
        <v>160</v>
      </c>
      <c r="D109" s="8" t="s">
        <v>10</v>
      </c>
      <c r="E109" s="8">
        <v>322</v>
      </c>
      <c r="F109" s="8" t="s">
        <v>16</v>
      </c>
      <c r="G109" s="85">
        <f>+'[1]Dự thầu'!$G$195</f>
        <v>12936</v>
      </c>
      <c r="H109" s="86">
        <f t="shared" si="4"/>
        <v>4165392</v>
      </c>
    </row>
    <row r="110" spans="1:8" ht="15.75" customHeight="1" x14ac:dyDescent="0.25">
      <c r="A110" s="4" t="s">
        <v>194</v>
      </c>
      <c r="B110" s="8">
        <v>105</v>
      </c>
      <c r="C110" s="8" t="s">
        <v>195</v>
      </c>
      <c r="D110" s="8" t="s">
        <v>10</v>
      </c>
      <c r="E110" s="8">
        <v>2359.86</v>
      </c>
      <c r="F110" s="8" t="s">
        <v>16</v>
      </c>
      <c r="G110" s="85">
        <f>+'[1]Dự thầu'!$G$196</f>
        <v>50585</v>
      </c>
      <c r="H110" s="86">
        <f t="shared" si="4"/>
        <v>119373518</v>
      </c>
    </row>
    <row r="111" spans="1:8" ht="15.75" customHeight="1" x14ac:dyDescent="0.25">
      <c r="A111" s="4" t="s">
        <v>196</v>
      </c>
      <c r="B111" s="8">
        <v>106</v>
      </c>
      <c r="C111" s="8" t="s">
        <v>32</v>
      </c>
      <c r="D111" s="8" t="s">
        <v>10</v>
      </c>
      <c r="E111" s="8">
        <v>440.27</v>
      </c>
      <c r="F111" s="8" t="s">
        <v>16</v>
      </c>
      <c r="G111" s="85">
        <f>+'[1]Dự thầu'!$G$197</f>
        <v>54405</v>
      </c>
      <c r="H111" s="86">
        <f t="shared" si="4"/>
        <v>23952889</v>
      </c>
    </row>
    <row r="112" spans="1:8" ht="15.75" customHeight="1" x14ac:dyDescent="0.25">
      <c r="A112" s="4" t="s">
        <v>197</v>
      </c>
      <c r="B112" s="8">
        <v>107</v>
      </c>
      <c r="C112" s="8" t="s">
        <v>36</v>
      </c>
      <c r="D112" s="8" t="s">
        <v>10</v>
      </c>
      <c r="E112" s="8">
        <v>280.01</v>
      </c>
      <c r="F112" s="8" t="s">
        <v>37</v>
      </c>
      <c r="G112" s="85">
        <f>+'[1]Dự thầu'!$G$198+'[1]Dự thầu'!$G$199+'[1]Dự thầu'!$G$200</f>
        <v>940826</v>
      </c>
      <c r="H112" s="86">
        <f t="shared" si="4"/>
        <v>263440688</v>
      </c>
    </row>
    <row r="113" spans="1:8" ht="15.75" customHeight="1" x14ac:dyDescent="0.25">
      <c r="A113" s="4" t="s">
        <v>198</v>
      </c>
      <c r="B113" s="8">
        <v>108</v>
      </c>
      <c r="C113" s="8" t="s">
        <v>94</v>
      </c>
      <c r="D113" s="8" t="s">
        <v>10</v>
      </c>
      <c r="E113" s="8">
        <v>229</v>
      </c>
      <c r="F113" s="8" t="s">
        <v>13</v>
      </c>
      <c r="G113" s="85">
        <f>+'[1]Dự thầu'!$G$201</f>
        <v>11015</v>
      </c>
      <c r="H113" s="86">
        <f t="shared" si="4"/>
        <v>2522435</v>
      </c>
    </row>
    <row r="114" spans="1:8" ht="15.75" customHeight="1" x14ac:dyDescent="0.25">
      <c r="A114" s="4" t="s">
        <v>199</v>
      </c>
      <c r="B114" s="8">
        <v>109</v>
      </c>
      <c r="C114" s="8" t="s">
        <v>200</v>
      </c>
      <c r="D114" s="8" t="s">
        <v>10</v>
      </c>
      <c r="E114" s="8">
        <v>126</v>
      </c>
      <c r="F114" s="8" t="s">
        <v>13</v>
      </c>
      <c r="G114" s="85">
        <f>+'[1]Dự thầu'!$G$202</f>
        <v>9552</v>
      </c>
      <c r="H114" s="86">
        <f t="shared" si="4"/>
        <v>1203552</v>
      </c>
    </row>
    <row r="115" spans="1:8" ht="15.75" customHeight="1" x14ac:dyDescent="0.25">
      <c r="A115" s="4" t="s">
        <v>201</v>
      </c>
      <c r="B115" s="8">
        <v>110</v>
      </c>
      <c r="C115" s="8" t="s">
        <v>96</v>
      </c>
      <c r="D115" s="8" t="s">
        <v>10</v>
      </c>
      <c r="E115" s="8">
        <v>47.57</v>
      </c>
      <c r="F115" s="8" t="s">
        <v>90</v>
      </c>
      <c r="G115" s="85">
        <v>1646788</v>
      </c>
      <c r="H115" s="86">
        <f t="shared" si="4"/>
        <v>78337705</v>
      </c>
    </row>
    <row r="116" spans="1:8" ht="15.75" customHeight="1" x14ac:dyDescent="0.25">
      <c r="A116" s="4" t="s">
        <v>202</v>
      </c>
      <c r="B116" s="8">
        <v>111</v>
      </c>
      <c r="C116" s="8" t="s">
        <v>98</v>
      </c>
      <c r="D116" s="8" t="s">
        <v>10</v>
      </c>
      <c r="E116" s="8">
        <v>0.48</v>
      </c>
      <c r="F116" s="8" t="s">
        <v>99</v>
      </c>
      <c r="G116" s="85">
        <f>+'[1]Dự thầu'!$G$204+'[1]Dự thầu'!$G$205</f>
        <v>8873277</v>
      </c>
      <c r="H116" s="86">
        <f t="shared" si="4"/>
        <v>4259173</v>
      </c>
    </row>
    <row r="117" spans="1:8" ht="15.75" customHeight="1" x14ac:dyDescent="0.25">
      <c r="A117" s="4" t="s">
        <v>203</v>
      </c>
      <c r="B117" s="8">
        <v>112</v>
      </c>
      <c r="C117" s="8" t="s">
        <v>110</v>
      </c>
      <c r="D117" s="8" t="s">
        <v>10</v>
      </c>
      <c r="E117" s="8">
        <v>229</v>
      </c>
      <c r="F117" s="8" t="s">
        <v>13</v>
      </c>
      <c r="G117" s="85">
        <f>+'[1]Dự thầu'!$G$206</f>
        <v>15319</v>
      </c>
      <c r="H117" s="86">
        <f t="shared" si="4"/>
        <v>3508051</v>
      </c>
    </row>
    <row r="118" spans="1:8" ht="15.75" customHeight="1" x14ac:dyDescent="0.25">
      <c r="A118" s="4" t="s">
        <v>204</v>
      </c>
      <c r="B118" s="8">
        <v>113</v>
      </c>
      <c r="C118" s="8" t="s">
        <v>94</v>
      </c>
      <c r="D118" s="8" t="s">
        <v>10</v>
      </c>
      <c r="E118" s="8">
        <v>343</v>
      </c>
      <c r="F118" s="8" t="s">
        <v>13</v>
      </c>
      <c r="G118" s="85">
        <f>+'[1]Dự thầu'!$G$207</f>
        <v>11015</v>
      </c>
      <c r="H118" s="86">
        <f t="shared" si="4"/>
        <v>3778145</v>
      </c>
    </row>
    <row r="119" spans="1:8" ht="15.75" customHeight="1" x14ac:dyDescent="0.25">
      <c r="A119" s="4" t="s">
        <v>205</v>
      </c>
      <c r="B119" s="8">
        <v>114</v>
      </c>
      <c r="C119" s="8" t="s">
        <v>96</v>
      </c>
      <c r="D119" s="8" t="s">
        <v>10</v>
      </c>
      <c r="E119" s="8">
        <v>48.84</v>
      </c>
      <c r="F119" s="8" t="s">
        <v>90</v>
      </c>
      <c r="G119" s="85">
        <v>1646788</v>
      </c>
      <c r="H119" s="86">
        <f t="shared" si="4"/>
        <v>80429126</v>
      </c>
    </row>
    <row r="120" spans="1:8" ht="15.75" customHeight="1" x14ac:dyDescent="0.25">
      <c r="A120" s="4" t="s">
        <v>206</v>
      </c>
      <c r="B120" s="8">
        <v>115</v>
      </c>
      <c r="C120" s="8" t="s">
        <v>98</v>
      </c>
      <c r="D120" s="8" t="s">
        <v>10</v>
      </c>
      <c r="E120" s="8">
        <v>0.49</v>
      </c>
      <c r="F120" s="8" t="s">
        <v>99</v>
      </c>
      <c r="G120" s="85">
        <f>+'[1]Dự thầu'!$G$209+'[1]Dự thầu'!$G$210</f>
        <v>8873277</v>
      </c>
      <c r="H120" s="86">
        <f t="shared" si="4"/>
        <v>4347906</v>
      </c>
    </row>
    <row r="121" spans="1:8" ht="15.75" customHeight="1" x14ac:dyDescent="0.25">
      <c r="A121" s="4" t="s">
        <v>207</v>
      </c>
      <c r="B121" s="8">
        <v>116</v>
      </c>
      <c r="C121" s="8" t="s">
        <v>208</v>
      </c>
      <c r="D121" s="8" t="s">
        <v>10</v>
      </c>
      <c r="E121" s="8">
        <v>343</v>
      </c>
      <c r="F121" s="8" t="s">
        <v>13</v>
      </c>
      <c r="G121" s="85">
        <f>+'[1]Dự thầu'!$G$211</f>
        <v>26753</v>
      </c>
      <c r="H121" s="86">
        <f t="shared" si="4"/>
        <v>9176279</v>
      </c>
    </row>
    <row r="122" spans="1:8" ht="15.75" customHeight="1" x14ac:dyDescent="0.25">
      <c r="A122" s="4" t="s">
        <v>209</v>
      </c>
      <c r="B122" s="8">
        <v>117</v>
      </c>
      <c r="C122" s="8" t="s">
        <v>210</v>
      </c>
      <c r="D122" s="8" t="s">
        <v>10</v>
      </c>
      <c r="E122" s="8">
        <v>40</v>
      </c>
      <c r="F122" s="8" t="s">
        <v>16</v>
      </c>
      <c r="G122" s="85">
        <f>+'[1]Dự thầu'!$G$212</f>
        <v>352760</v>
      </c>
      <c r="H122" s="86">
        <f t="shared" si="4"/>
        <v>14110400</v>
      </c>
    </row>
    <row r="123" spans="1:8" ht="15.75" customHeight="1" x14ac:dyDescent="0.25">
      <c r="A123" s="4" t="s">
        <v>211</v>
      </c>
      <c r="B123" s="8">
        <v>118</v>
      </c>
      <c r="C123" s="8" t="s">
        <v>94</v>
      </c>
      <c r="D123" s="8" t="s">
        <v>10</v>
      </c>
      <c r="E123" s="8">
        <v>1364</v>
      </c>
      <c r="F123" s="8" t="s">
        <v>13</v>
      </c>
      <c r="G123" s="85">
        <f>+'[1]Dự thầu'!$G$213</f>
        <v>11015</v>
      </c>
      <c r="H123" s="86">
        <f t="shared" si="4"/>
        <v>15024460</v>
      </c>
    </row>
    <row r="124" spans="1:8" ht="15.75" customHeight="1" x14ac:dyDescent="0.25">
      <c r="A124" s="4" t="s">
        <v>212</v>
      </c>
      <c r="B124" s="8">
        <v>119</v>
      </c>
      <c r="C124" s="8" t="s">
        <v>96</v>
      </c>
      <c r="D124" s="8" t="s">
        <v>10</v>
      </c>
      <c r="E124" s="8">
        <v>194.23</v>
      </c>
      <c r="F124" s="8" t="s">
        <v>90</v>
      </c>
      <c r="G124" s="85">
        <v>1646788</v>
      </c>
      <c r="H124" s="86">
        <f t="shared" si="4"/>
        <v>319855633</v>
      </c>
    </row>
    <row r="125" spans="1:8" ht="15.75" customHeight="1" x14ac:dyDescent="0.25">
      <c r="A125" s="4" t="s">
        <v>213</v>
      </c>
      <c r="B125" s="8">
        <v>120</v>
      </c>
      <c r="C125" s="8" t="s">
        <v>98</v>
      </c>
      <c r="D125" s="8" t="s">
        <v>10</v>
      </c>
      <c r="E125" s="8">
        <v>1.94</v>
      </c>
      <c r="F125" s="8" t="s">
        <v>99</v>
      </c>
      <c r="G125" s="85">
        <f>+'[1]Dự thầu'!$G$215+'[1]Dự thầu'!$G$216</f>
        <v>8873277</v>
      </c>
      <c r="H125" s="86">
        <f t="shared" si="4"/>
        <v>17214157</v>
      </c>
    </row>
    <row r="126" spans="1:8" ht="15.75" customHeight="1" x14ac:dyDescent="0.25">
      <c r="A126" s="4" t="s">
        <v>214</v>
      </c>
      <c r="B126" s="8">
        <v>121</v>
      </c>
      <c r="C126" s="8" t="s">
        <v>208</v>
      </c>
      <c r="D126" s="8" t="s">
        <v>10</v>
      </c>
      <c r="E126" s="8">
        <v>1364</v>
      </c>
      <c r="F126" s="8" t="s">
        <v>13</v>
      </c>
      <c r="G126" s="85">
        <f>+'[1]Dự thầu'!$G$217</f>
        <v>26753</v>
      </c>
      <c r="H126" s="86">
        <f t="shared" si="4"/>
        <v>36491092</v>
      </c>
    </row>
    <row r="127" spans="1:8" ht="15.75" customHeight="1" x14ac:dyDescent="0.25">
      <c r="A127" s="4" t="s">
        <v>215</v>
      </c>
      <c r="B127" s="8">
        <v>122</v>
      </c>
      <c r="C127" s="8" t="s">
        <v>210</v>
      </c>
      <c r="D127" s="8" t="s">
        <v>10</v>
      </c>
      <c r="E127" s="8">
        <v>204</v>
      </c>
      <c r="F127" s="8" t="s">
        <v>16</v>
      </c>
      <c r="G127" s="85">
        <f>+'[1]Dự thầu'!$G$218</f>
        <v>352760</v>
      </c>
      <c r="H127" s="86">
        <f t="shared" si="4"/>
        <v>71963040</v>
      </c>
    </row>
    <row r="128" spans="1:8" ht="15.75" customHeight="1" x14ac:dyDescent="0.25">
      <c r="A128" s="4">
        <v>4</v>
      </c>
      <c r="B128" s="8">
        <v>123</v>
      </c>
      <c r="C128" s="8" t="s">
        <v>216</v>
      </c>
      <c r="D128" s="8" t="s">
        <v>10</v>
      </c>
      <c r="E128" s="8"/>
      <c r="F128" s="8"/>
      <c r="G128" s="85"/>
      <c r="H128" s="86"/>
    </row>
    <row r="129" spans="1:8" ht="15.75" customHeight="1" x14ac:dyDescent="0.25">
      <c r="A129" s="4" t="s">
        <v>217</v>
      </c>
      <c r="B129" s="8">
        <v>124</v>
      </c>
      <c r="C129" s="8" t="s">
        <v>218</v>
      </c>
      <c r="D129" s="8" t="s">
        <v>10</v>
      </c>
      <c r="E129" s="8">
        <v>2537.4499999999998</v>
      </c>
      <c r="F129" s="8" t="s">
        <v>16</v>
      </c>
      <c r="G129" s="85">
        <f>+'[1]Dự thầu'!$G$238</f>
        <v>17057</v>
      </c>
      <c r="H129" s="86">
        <f t="shared" ref="H129:H160" si="5">+ROUND(G129*E129,0)</f>
        <v>43281285</v>
      </c>
    </row>
    <row r="130" spans="1:8" ht="15.75" customHeight="1" x14ac:dyDescent="0.25">
      <c r="A130" s="4" t="s">
        <v>219</v>
      </c>
      <c r="B130" s="8">
        <v>125</v>
      </c>
      <c r="C130" s="8" t="s">
        <v>220</v>
      </c>
      <c r="D130" s="8" t="s">
        <v>10</v>
      </c>
      <c r="E130" s="8">
        <v>1504.8</v>
      </c>
      <c r="F130" s="8" t="s">
        <v>16</v>
      </c>
      <c r="G130" s="85">
        <f>+'[1]Dự thầu'!$G$239</f>
        <v>20867</v>
      </c>
      <c r="H130" s="86">
        <f t="shared" si="5"/>
        <v>31400662</v>
      </c>
    </row>
    <row r="131" spans="1:8" ht="15.75" customHeight="1" x14ac:dyDescent="0.25">
      <c r="A131" s="4" t="s">
        <v>221</v>
      </c>
      <c r="B131" s="8">
        <v>126</v>
      </c>
      <c r="C131" s="8" t="s">
        <v>222</v>
      </c>
      <c r="D131" s="8" t="s">
        <v>10</v>
      </c>
      <c r="E131" s="8">
        <v>284.01</v>
      </c>
      <c r="F131" s="8" t="s">
        <v>16</v>
      </c>
      <c r="G131" s="85">
        <f>+'[1]Dự thầu'!$G$240</f>
        <v>7229</v>
      </c>
      <c r="H131" s="86">
        <f t="shared" si="5"/>
        <v>2053108</v>
      </c>
    </row>
    <row r="132" spans="1:8" ht="15.75" customHeight="1" x14ac:dyDescent="0.25">
      <c r="A132" s="4" t="s">
        <v>223</v>
      </c>
      <c r="B132" s="8">
        <v>127</v>
      </c>
      <c r="C132" s="8" t="s">
        <v>224</v>
      </c>
      <c r="D132" s="8" t="s">
        <v>10</v>
      </c>
      <c r="E132" s="8">
        <v>2537.4499999999998</v>
      </c>
      <c r="F132" s="8" t="s">
        <v>16</v>
      </c>
      <c r="G132" s="85">
        <f>+'[1]Dự thầu'!$G$241</f>
        <v>40424</v>
      </c>
      <c r="H132" s="86">
        <f t="shared" si="5"/>
        <v>102573879</v>
      </c>
    </row>
    <row r="133" spans="1:8" ht="15.75" customHeight="1" x14ac:dyDescent="0.25">
      <c r="A133" s="4" t="s">
        <v>225</v>
      </c>
      <c r="B133" s="8">
        <v>128</v>
      </c>
      <c r="C133" s="8" t="s">
        <v>226</v>
      </c>
      <c r="D133" s="8" t="s">
        <v>10</v>
      </c>
      <c r="E133" s="8">
        <v>1068.23</v>
      </c>
      <c r="F133" s="8" t="s">
        <v>16</v>
      </c>
      <c r="G133" s="85">
        <f>+'[1]Dự thầu'!$G$245</f>
        <v>45382</v>
      </c>
      <c r="H133" s="86">
        <f t="shared" si="5"/>
        <v>48478414</v>
      </c>
    </row>
    <row r="134" spans="1:8" ht="15.75" customHeight="1" x14ac:dyDescent="0.25">
      <c r="A134" s="4" t="s">
        <v>227</v>
      </c>
      <c r="B134" s="8">
        <v>129</v>
      </c>
      <c r="C134" s="8" t="s">
        <v>228</v>
      </c>
      <c r="D134" s="8" t="s">
        <v>10</v>
      </c>
      <c r="E134" s="8">
        <v>3605.68</v>
      </c>
      <c r="F134" s="8" t="s">
        <v>16</v>
      </c>
      <c r="G134" s="85">
        <f>+'[1]Dự thầu'!$G$249</f>
        <v>2096</v>
      </c>
      <c r="H134" s="86">
        <f t="shared" si="5"/>
        <v>7557505</v>
      </c>
    </row>
    <row r="135" spans="1:8" ht="15.75" customHeight="1" x14ac:dyDescent="0.25">
      <c r="A135" s="4" t="s">
        <v>229</v>
      </c>
      <c r="B135" s="8">
        <v>130</v>
      </c>
      <c r="C135" s="8" t="s">
        <v>230</v>
      </c>
      <c r="D135" s="8" t="s">
        <v>10</v>
      </c>
      <c r="E135" s="8">
        <v>87</v>
      </c>
      <c r="F135" s="8" t="s">
        <v>16</v>
      </c>
      <c r="G135" s="85">
        <f>+'[1]Dự thầu'!$G$250</f>
        <v>37000</v>
      </c>
      <c r="H135" s="86">
        <f t="shared" si="5"/>
        <v>3219000</v>
      </c>
    </row>
    <row r="136" spans="1:8" ht="15.75" customHeight="1" x14ac:dyDescent="0.25">
      <c r="A136" s="4" t="s">
        <v>231</v>
      </c>
      <c r="B136" s="8">
        <v>131</v>
      </c>
      <c r="C136" s="8" t="s">
        <v>232</v>
      </c>
      <c r="D136" s="8" t="s">
        <v>10</v>
      </c>
      <c r="E136" s="8">
        <v>1518.07</v>
      </c>
      <c r="F136" s="8" t="s">
        <v>16</v>
      </c>
      <c r="G136" s="85">
        <f>+'[1]Dự thầu'!$G$251</f>
        <v>350264</v>
      </c>
      <c r="H136" s="86">
        <f t="shared" si="5"/>
        <v>531725270</v>
      </c>
    </row>
    <row r="137" spans="1:8" ht="15.75" customHeight="1" x14ac:dyDescent="0.25">
      <c r="A137" s="4" t="s">
        <v>233</v>
      </c>
      <c r="B137" s="8">
        <v>132</v>
      </c>
      <c r="C137" s="8" t="s">
        <v>160</v>
      </c>
      <c r="D137" s="8" t="s">
        <v>10</v>
      </c>
      <c r="E137" s="8">
        <v>3114.15</v>
      </c>
      <c r="F137" s="8" t="s">
        <v>16</v>
      </c>
      <c r="G137" s="85">
        <f>+'[1]Dự thầu'!$G$252</f>
        <v>12936</v>
      </c>
      <c r="H137" s="86">
        <f t="shared" si="5"/>
        <v>40284644</v>
      </c>
    </row>
    <row r="138" spans="1:8" ht="15.75" customHeight="1" x14ac:dyDescent="0.25">
      <c r="A138" s="4" t="s">
        <v>234</v>
      </c>
      <c r="B138" s="8">
        <v>133</v>
      </c>
      <c r="C138" s="8" t="s">
        <v>32</v>
      </c>
      <c r="D138" s="8" t="s">
        <v>10</v>
      </c>
      <c r="E138" s="8">
        <v>4257.9799999999996</v>
      </c>
      <c r="F138" s="8" t="s">
        <v>16</v>
      </c>
      <c r="G138" s="85">
        <f>+'[1]Dự thầu'!$G$253</f>
        <v>50585</v>
      </c>
      <c r="H138" s="86">
        <f t="shared" si="5"/>
        <v>215389918</v>
      </c>
    </row>
    <row r="139" spans="1:8" ht="15.75" customHeight="1" x14ac:dyDescent="0.25">
      <c r="A139" s="4" t="s">
        <v>235</v>
      </c>
      <c r="B139" s="8">
        <v>134</v>
      </c>
      <c r="C139" s="8" t="s">
        <v>36</v>
      </c>
      <c r="D139" s="8" t="s">
        <v>10</v>
      </c>
      <c r="E139" s="8">
        <v>425.8</v>
      </c>
      <c r="F139" s="8" t="s">
        <v>37</v>
      </c>
      <c r="G139" s="85">
        <f>+'[1]Dự thầu'!$G$254+'[1]Dự thầu'!$G$255+'[1]Dự thầu'!$G$256</f>
        <v>940826</v>
      </c>
      <c r="H139" s="86">
        <f t="shared" si="5"/>
        <v>400603711</v>
      </c>
    </row>
    <row r="140" spans="1:8" ht="15.75" customHeight="1" x14ac:dyDescent="0.25">
      <c r="A140" s="4" t="s">
        <v>236</v>
      </c>
      <c r="B140" s="8">
        <v>135</v>
      </c>
      <c r="C140" s="8" t="s">
        <v>237</v>
      </c>
      <c r="D140" s="8" t="s">
        <v>10</v>
      </c>
      <c r="E140" s="8">
        <v>429.6</v>
      </c>
      <c r="F140" s="8" t="s">
        <v>16</v>
      </c>
      <c r="G140" s="85">
        <f>+'[1]Dự thầu'!$G$259</f>
        <v>1561916</v>
      </c>
      <c r="H140" s="86">
        <f t="shared" si="5"/>
        <v>670999114</v>
      </c>
    </row>
    <row r="141" spans="1:8" ht="15.75" customHeight="1" x14ac:dyDescent="0.25">
      <c r="A141" s="4" t="s">
        <v>238</v>
      </c>
      <c r="B141" s="8">
        <v>136</v>
      </c>
      <c r="C141" s="8" t="s">
        <v>125</v>
      </c>
      <c r="D141" s="8" t="s">
        <v>10</v>
      </c>
      <c r="E141" s="8">
        <v>4060.2</v>
      </c>
      <c r="F141" s="8" t="s">
        <v>13</v>
      </c>
      <c r="G141" s="85">
        <f>+'[1]Dự thầu'!$G$260</f>
        <v>104798</v>
      </c>
      <c r="H141" s="86">
        <f t="shared" si="5"/>
        <v>425500840</v>
      </c>
    </row>
    <row r="142" spans="1:8" ht="15.75" customHeight="1" x14ac:dyDescent="0.25">
      <c r="A142" s="4" t="s">
        <v>239</v>
      </c>
      <c r="B142" s="8">
        <v>137</v>
      </c>
      <c r="C142" s="8" t="s">
        <v>240</v>
      </c>
      <c r="D142" s="8" t="s">
        <v>10</v>
      </c>
      <c r="E142" s="8">
        <v>101.1</v>
      </c>
      <c r="F142" s="8" t="s">
        <v>16</v>
      </c>
      <c r="G142" s="85">
        <f>+'[1]Dự thầu'!$G$261</f>
        <v>842139</v>
      </c>
      <c r="H142" s="86">
        <f t="shared" si="5"/>
        <v>85140253</v>
      </c>
    </row>
    <row r="143" spans="1:8" ht="15.75" customHeight="1" x14ac:dyDescent="0.25">
      <c r="A143" s="4" t="s">
        <v>241</v>
      </c>
      <c r="B143" s="8">
        <v>138</v>
      </c>
      <c r="C143" s="8" t="s">
        <v>242</v>
      </c>
      <c r="D143" s="8" t="s">
        <v>10</v>
      </c>
      <c r="E143" s="8">
        <v>93.1</v>
      </c>
      <c r="F143" s="8" t="s">
        <v>16</v>
      </c>
      <c r="G143" s="85">
        <f>+'[1]Dự thầu'!$G$262</f>
        <v>1631803</v>
      </c>
      <c r="H143" s="86">
        <f t="shared" si="5"/>
        <v>151920859</v>
      </c>
    </row>
    <row r="144" spans="1:8" ht="15.75" customHeight="1" x14ac:dyDescent="0.25">
      <c r="A144" s="4" t="s">
        <v>243</v>
      </c>
      <c r="B144" s="8">
        <v>139</v>
      </c>
      <c r="C144" s="8" t="s">
        <v>244</v>
      </c>
      <c r="D144" s="8" t="s">
        <v>10</v>
      </c>
      <c r="E144" s="8">
        <v>448.4</v>
      </c>
      <c r="F144" s="8" t="s">
        <v>13</v>
      </c>
      <c r="G144" s="85">
        <f>+'[1]Dự thầu'!$G$263</f>
        <v>87361</v>
      </c>
      <c r="H144" s="86">
        <f t="shared" si="5"/>
        <v>39172672</v>
      </c>
    </row>
    <row r="145" spans="1:8" ht="15.75" customHeight="1" x14ac:dyDescent="0.25">
      <c r="A145" s="4" t="s">
        <v>245</v>
      </c>
      <c r="B145" s="8">
        <v>140</v>
      </c>
      <c r="C145" s="8" t="s">
        <v>246</v>
      </c>
      <c r="D145" s="8" t="s">
        <v>10</v>
      </c>
      <c r="E145" s="8">
        <v>1.8</v>
      </c>
      <c r="F145" s="8" t="s">
        <v>90</v>
      </c>
      <c r="G145" s="85">
        <f>+'[1]Dự thầu'!$G$264</f>
        <v>27096238</v>
      </c>
      <c r="H145" s="86">
        <f t="shared" si="5"/>
        <v>48773228</v>
      </c>
    </row>
    <row r="146" spans="1:8" ht="15.75" customHeight="1" x14ac:dyDescent="0.25">
      <c r="A146" s="4" t="s">
        <v>247</v>
      </c>
      <c r="B146" s="8">
        <v>141</v>
      </c>
      <c r="C146" s="8" t="s">
        <v>246</v>
      </c>
      <c r="D146" s="8" t="s">
        <v>10</v>
      </c>
      <c r="E146" s="8">
        <v>18.2</v>
      </c>
      <c r="F146" s="8" t="s">
        <v>90</v>
      </c>
      <c r="G146" s="85">
        <f>+'[1]Dự thầu'!$G$265</f>
        <v>27096238</v>
      </c>
      <c r="H146" s="86">
        <f t="shared" si="5"/>
        <v>493151532</v>
      </c>
    </row>
    <row r="147" spans="1:8" ht="15.75" customHeight="1" x14ac:dyDescent="0.25">
      <c r="A147" s="4" t="s">
        <v>248</v>
      </c>
      <c r="B147" s="8">
        <v>142</v>
      </c>
      <c r="C147" s="8" t="s">
        <v>249</v>
      </c>
      <c r="D147" s="8" t="s">
        <v>10</v>
      </c>
      <c r="E147" s="8">
        <v>846</v>
      </c>
      <c r="F147" s="8" t="s">
        <v>250</v>
      </c>
      <c r="G147" s="85">
        <f>+'[1]Dự thầu'!$G$266</f>
        <v>52812</v>
      </c>
      <c r="H147" s="86">
        <f t="shared" si="5"/>
        <v>44678952</v>
      </c>
    </row>
    <row r="148" spans="1:8" ht="15.75" customHeight="1" x14ac:dyDescent="0.25">
      <c r="A148" s="4" t="s">
        <v>251</v>
      </c>
      <c r="B148" s="8">
        <v>143</v>
      </c>
      <c r="C148" s="8" t="s">
        <v>252</v>
      </c>
      <c r="D148" s="8" t="s">
        <v>10</v>
      </c>
      <c r="E148" s="8">
        <v>23.3</v>
      </c>
      <c r="F148" s="8" t="s">
        <v>253</v>
      </c>
      <c r="G148" s="85">
        <f>+'[1]Dự thầu'!$G$267</f>
        <v>32162</v>
      </c>
      <c r="H148" s="86">
        <f t="shared" si="5"/>
        <v>749375</v>
      </c>
    </row>
    <row r="149" spans="1:8" ht="15.75" customHeight="1" x14ac:dyDescent="0.25">
      <c r="A149" s="4" t="s">
        <v>254</v>
      </c>
      <c r="B149" s="8">
        <v>144</v>
      </c>
      <c r="C149" s="8" t="s">
        <v>255</v>
      </c>
      <c r="D149" s="8" t="s">
        <v>10</v>
      </c>
      <c r="E149" s="8">
        <v>846</v>
      </c>
      <c r="F149" s="8" t="s">
        <v>250</v>
      </c>
      <c r="G149" s="85">
        <f>+'[1]Dự thầu'!$G$268</f>
        <v>42761</v>
      </c>
      <c r="H149" s="86">
        <f t="shared" si="5"/>
        <v>36175806</v>
      </c>
    </row>
    <row r="150" spans="1:8" ht="15.75" customHeight="1" x14ac:dyDescent="0.25">
      <c r="A150" s="4" t="s">
        <v>256</v>
      </c>
      <c r="B150" s="8">
        <v>145</v>
      </c>
      <c r="C150" s="8" t="s">
        <v>257</v>
      </c>
      <c r="D150" s="8" t="s">
        <v>10</v>
      </c>
      <c r="E150" s="8">
        <v>846</v>
      </c>
      <c r="F150" s="8" t="s">
        <v>258</v>
      </c>
      <c r="G150" s="85">
        <f>+'[1]Dự thầu'!$G$269</f>
        <v>294187</v>
      </c>
      <c r="H150" s="86">
        <f t="shared" si="5"/>
        <v>248882202</v>
      </c>
    </row>
    <row r="151" spans="1:8" ht="15.75" customHeight="1" x14ac:dyDescent="0.25">
      <c r="A151" s="4" t="s">
        <v>259</v>
      </c>
      <c r="B151" s="8">
        <v>146</v>
      </c>
      <c r="C151" s="8" t="s">
        <v>120</v>
      </c>
      <c r="D151" s="8" t="s">
        <v>10</v>
      </c>
      <c r="E151" s="8">
        <v>16.8</v>
      </c>
      <c r="F151" s="8" t="s">
        <v>16</v>
      </c>
      <c r="G151" s="85">
        <f>+'[1]Dự thầu'!$G$270</f>
        <v>1191268</v>
      </c>
      <c r="H151" s="86">
        <f t="shared" si="5"/>
        <v>20013302</v>
      </c>
    </row>
    <row r="152" spans="1:8" ht="15.75" customHeight="1" x14ac:dyDescent="0.25">
      <c r="A152" s="4" t="s">
        <v>260</v>
      </c>
      <c r="B152" s="8">
        <v>147</v>
      </c>
      <c r="C152" s="8" t="s">
        <v>261</v>
      </c>
      <c r="D152" s="8" t="s">
        <v>10</v>
      </c>
      <c r="E152" s="8">
        <v>7.23</v>
      </c>
      <c r="F152" s="8" t="s">
        <v>16</v>
      </c>
      <c r="G152" s="85">
        <f>+'[1]Dự thầu'!$G$271</f>
        <v>1561916</v>
      </c>
      <c r="H152" s="86">
        <f t="shared" si="5"/>
        <v>11292653</v>
      </c>
    </row>
    <row r="153" spans="1:8" ht="15.75" customHeight="1" x14ac:dyDescent="0.25">
      <c r="A153" s="4" t="s">
        <v>262</v>
      </c>
      <c r="B153" s="8">
        <v>148</v>
      </c>
      <c r="C153" s="8" t="s">
        <v>125</v>
      </c>
      <c r="D153" s="8" t="s">
        <v>10</v>
      </c>
      <c r="E153" s="8">
        <v>33.450000000000003</v>
      </c>
      <c r="F153" s="8" t="s">
        <v>13</v>
      </c>
      <c r="G153" s="85">
        <f>+'[1]Dự thầu'!$G$272</f>
        <v>104798</v>
      </c>
      <c r="H153" s="86">
        <f t="shared" si="5"/>
        <v>3505493</v>
      </c>
    </row>
    <row r="154" spans="1:8" ht="15.75" customHeight="1" x14ac:dyDescent="0.25">
      <c r="A154" s="4" t="s">
        <v>263</v>
      </c>
      <c r="B154" s="8">
        <v>149</v>
      </c>
      <c r="C154" s="8" t="s">
        <v>240</v>
      </c>
      <c r="D154" s="8" t="s">
        <v>10</v>
      </c>
      <c r="E154" s="8">
        <v>8.4</v>
      </c>
      <c r="F154" s="8" t="s">
        <v>16</v>
      </c>
      <c r="G154" s="85">
        <f>+'[1]Dự thầu'!$G$273</f>
        <v>842139</v>
      </c>
      <c r="H154" s="86">
        <f t="shared" si="5"/>
        <v>7073968</v>
      </c>
    </row>
    <row r="155" spans="1:8" ht="15.75" customHeight="1" x14ac:dyDescent="0.25">
      <c r="A155" s="4" t="s">
        <v>264</v>
      </c>
      <c r="B155" s="8">
        <v>150</v>
      </c>
      <c r="C155" s="8" t="s">
        <v>122</v>
      </c>
      <c r="D155" s="8" t="s">
        <v>10</v>
      </c>
      <c r="E155" s="8">
        <v>33</v>
      </c>
      <c r="F155" s="8" t="s">
        <v>16</v>
      </c>
      <c r="G155" s="85">
        <f>+'[1]Dự thầu'!$G$274</f>
        <v>1866757</v>
      </c>
      <c r="H155" s="86">
        <f t="shared" si="5"/>
        <v>61602981</v>
      </c>
    </row>
    <row r="156" spans="1:8" ht="15.75" customHeight="1" x14ac:dyDescent="0.25">
      <c r="A156" s="4" t="s">
        <v>265</v>
      </c>
      <c r="B156" s="8">
        <v>151</v>
      </c>
      <c r="C156" s="8" t="s">
        <v>266</v>
      </c>
      <c r="D156" s="8" t="s">
        <v>10</v>
      </c>
      <c r="E156" s="8">
        <v>207.4</v>
      </c>
      <c r="F156" s="8" t="s">
        <v>13</v>
      </c>
      <c r="G156" s="85">
        <f>+'[1]Dự thầu'!$G$275</f>
        <v>96659</v>
      </c>
      <c r="H156" s="86">
        <f t="shared" si="5"/>
        <v>20047077</v>
      </c>
    </row>
    <row r="157" spans="1:8" ht="15.75" customHeight="1" x14ac:dyDescent="0.25">
      <c r="A157" s="4" t="s">
        <v>267</v>
      </c>
      <c r="B157" s="8">
        <v>152</v>
      </c>
      <c r="C157" s="8" t="s">
        <v>242</v>
      </c>
      <c r="D157" s="8" t="s">
        <v>10</v>
      </c>
      <c r="E157" s="8">
        <v>3.89</v>
      </c>
      <c r="F157" s="8" t="s">
        <v>16</v>
      </c>
      <c r="G157" s="85">
        <f>+'[1]Dự thầu'!$G$276</f>
        <v>1631803</v>
      </c>
      <c r="H157" s="86">
        <f t="shared" si="5"/>
        <v>6347714</v>
      </c>
    </row>
    <row r="158" spans="1:8" ht="15.75" customHeight="1" x14ac:dyDescent="0.25">
      <c r="A158" s="4" t="s">
        <v>268</v>
      </c>
      <c r="B158" s="8">
        <v>153</v>
      </c>
      <c r="C158" s="8" t="s">
        <v>244</v>
      </c>
      <c r="D158" s="8" t="s">
        <v>10</v>
      </c>
      <c r="E158" s="8">
        <v>16.2</v>
      </c>
      <c r="F158" s="8" t="s">
        <v>13</v>
      </c>
      <c r="G158" s="85">
        <f>+'[1]Dự thầu'!$G$277</f>
        <v>87361</v>
      </c>
      <c r="H158" s="86">
        <f t="shared" si="5"/>
        <v>1415248</v>
      </c>
    </row>
    <row r="159" spans="1:8" ht="15.75" customHeight="1" x14ac:dyDescent="0.25">
      <c r="A159" s="4" t="s">
        <v>269</v>
      </c>
      <c r="B159" s="8">
        <v>154</v>
      </c>
      <c r="C159" s="8" t="s">
        <v>246</v>
      </c>
      <c r="D159" s="8" t="s">
        <v>10</v>
      </c>
      <c r="E159" s="8">
        <v>0.04</v>
      </c>
      <c r="F159" s="8" t="s">
        <v>90</v>
      </c>
      <c r="G159" s="85">
        <f>+'[1]Dự thầu'!$G$278</f>
        <v>27096238</v>
      </c>
      <c r="H159" s="86">
        <f t="shared" si="5"/>
        <v>1083850</v>
      </c>
    </row>
    <row r="160" spans="1:8" ht="15.75" customHeight="1" x14ac:dyDescent="0.25">
      <c r="A160" s="4" t="s">
        <v>270</v>
      </c>
      <c r="B160" s="8">
        <v>155</v>
      </c>
      <c r="C160" s="8" t="s">
        <v>246</v>
      </c>
      <c r="D160" s="8" t="s">
        <v>10</v>
      </c>
      <c r="E160" s="8">
        <v>0.62</v>
      </c>
      <c r="F160" s="8" t="s">
        <v>90</v>
      </c>
      <c r="G160" s="85">
        <f>+'[1]Dự thầu'!$G$279</f>
        <v>27096238</v>
      </c>
      <c r="H160" s="86">
        <f t="shared" si="5"/>
        <v>16799668</v>
      </c>
    </row>
    <row r="161" spans="1:8" ht="15.75" customHeight="1" x14ac:dyDescent="0.25">
      <c r="A161" s="4" t="s">
        <v>271</v>
      </c>
      <c r="B161" s="8">
        <v>156</v>
      </c>
      <c r="C161" s="8" t="s">
        <v>272</v>
      </c>
      <c r="D161" s="8" t="s">
        <v>10</v>
      </c>
      <c r="E161" s="8">
        <v>9.73</v>
      </c>
      <c r="F161" s="8" t="s">
        <v>90</v>
      </c>
      <c r="G161" s="85">
        <f>+'[1]Dự thầu'!$G$280</f>
        <v>51234</v>
      </c>
      <c r="H161" s="86">
        <f t="shared" ref="H161:H192" si="6">+ROUND(G161*E161,0)</f>
        <v>498507</v>
      </c>
    </row>
    <row r="162" spans="1:8" ht="15.75" customHeight="1" x14ac:dyDescent="0.25">
      <c r="A162" s="4" t="s">
        <v>273</v>
      </c>
      <c r="B162" s="8">
        <v>157</v>
      </c>
      <c r="C162" s="8" t="s">
        <v>252</v>
      </c>
      <c r="D162" s="8" t="s">
        <v>10</v>
      </c>
      <c r="E162" s="8">
        <v>0.97</v>
      </c>
      <c r="F162" s="8" t="s">
        <v>274</v>
      </c>
      <c r="G162" s="85">
        <f>+'[1]Dự thầu'!$G$281</f>
        <v>32162</v>
      </c>
      <c r="H162" s="86">
        <f t="shared" si="6"/>
        <v>31197</v>
      </c>
    </row>
    <row r="163" spans="1:8" ht="15.75" customHeight="1" x14ac:dyDescent="0.25">
      <c r="A163" s="4" t="s">
        <v>275</v>
      </c>
      <c r="B163" s="8">
        <v>158</v>
      </c>
      <c r="C163" s="8" t="s">
        <v>257</v>
      </c>
      <c r="D163" s="8" t="s">
        <v>10</v>
      </c>
      <c r="E163" s="8">
        <v>40</v>
      </c>
      <c r="F163" s="8" t="s">
        <v>258</v>
      </c>
      <c r="G163" s="85">
        <f>+'[1]Dự thầu'!$G$282</f>
        <v>294187</v>
      </c>
      <c r="H163" s="86">
        <f t="shared" si="6"/>
        <v>11767480</v>
      </c>
    </row>
    <row r="164" spans="1:8" ht="15.75" customHeight="1" x14ac:dyDescent="0.25">
      <c r="A164" s="4" t="s">
        <v>276</v>
      </c>
      <c r="B164" s="8">
        <v>159</v>
      </c>
      <c r="C164" s="8" t="s">
        <v>120</v>
      </c>
      <c r="D164" s="8" t="s">
        <v>10</v>
      </c>
      <c r="E164" s="8">
        <v>0.1</v>
      </c>
      <c r="F164" s="8" t="s">
        <v>16</v>
      </c>
      <c r="G164" s="85">
        <f>+'[1]Dự thầu'!$G$283</f>
        <v>1191268</v>
      </c>
      <c r="H164" s="86">
        <f t="shared" si="6"/>
        <v>119127</v>
      </c>
    </row>
    <row r="165" spans="1:8" ht="15.75" customHeight="1" x14ac:dyDescent="0.25">
      <c r="A165" s="4" t="s">
        <v>277</v>
      </c>
      <c r="B165" s="8">
        <v>160</v>
      </c>
      <c r="C165" s="8" t="s">
        <v>278</v>
      </c>
      <c r="D165" s="8" t="s">
        <v>10</v>
      </c>
      <c r="E165" s="8">
        <v>0.82</v>
      </c>
      <c r="F165" s="8" t="s">
        <v>16</v>
      </c>
      <c r="G165" s="85">
        <f>+'[1]Dự thầu'!$G$284</f>
        <v>1533135</v>
      </c>
      <c r="H165" s="86">
        <f t="shared" si="6"/>
        <v>1257171</v>
      </c>
    </row>
    <row r="166" spans="1:8" ht="15.75" customHeight="1" x14ac:dyDescent="0.25">
      <c r="A166" s="4" t="s">
        <v>279</v>
      </c>
      <c r="B166" s="8">
        <v>161</v>
      </c>
      <c r="C166" s="8" t="s">
        <v>244</v>
      </c>
      <c r="D166" s="8" t="s">
        <v>10</v>
      </c>
      <c r="E166" s="8">
        <v>3.52</v>
      </c>
      <c r="F166" s="8" t="s">
        <v>13</v>
      </c>
      <c r="G166" s="85">
        <f>+'[1]Dự thầu'!$G$285</f>
        <v>87361</v>
      </c>
      <c r="H166" s="86">
        <f t="shared" si="6"/>
        <v>307511</v>
      </c>
    </row>
    <row r="167" spans="1:8" ht="15.75" customHeight="1" x14ac:dyDescent="0.25">
      <c r="A167" s="4" t="s">
        <v>280</v>
      </c>
      <c r="B167" s="8">
        <v>162</v>
      </c>
      <c r="C167" s="8" t="s">
        <v>281</v>
      </c>
      <c r="D167" s="8" t="s">
        <v>10</v>
      </c>
      <c r="E167" s="8">
        <v>20</v>
      </c>
      <c r="F167" s="8" t="s">
        <v>75</v>
      </c>
      <c r="G167" s="85">
        <f>+'[1]Dự thầu'!$G$286</f>
        <v>46054</v>
      </c>
      <c r="H167" s="86">
        <f t="shared" si="6"/>
        <v>921080</v>
      </c>
    </row>
    <row r="168" spans="1:8" ht="15.75" customHeight="1" x14ac:dyDescent="0.25">
      <c r="A168" s="4" t="s">
        <v>282</v>
      </c>
      <c r="B168" s="8">
        <v>163</v>
      </c>
      <c r="C168" s="8" t="s">
        <v>272</v>
      </c>
      <c r="D168" s="8" t="s">
        <v>10</v>
      </c>
      <c r="E168" s="8">
        <v>2.0499999999999998</v>
      </c>
      <c r="F168" s="8" t="s">
        <v>90</v>
      </c>
      <c r="G168" s="85">
        <f>+'[1]Dự thầu'!$G$287</f>
        <v>51234</v>
      </c>
      <c r="H168" s="86">
        <f t="shared" si="6"/>
        <v>105030</v>
      </c>
    </row>
    <row r="169" spans="1:8" ht="15.75" customHeight="1" x14ac:dyDescent="0.25">
      <c r="A169" s="4" t="s">
        <v>283</v>
      </c>
      <c r="B169" s="8">
        <v>164</v>
      </c>
      <c r="C169" s="8" t="s">
        <v>284</v>
      </c>
      <c r="D169" s="8" t="s">
        <v>10</v>
      </c>
      <c r="E169" s="8">
        <v>0.21</v>
      </c>
      <c r="F169" s="8" t="s">
        <v>274</v>
      </c>
      <c r="G169" s="85">
        <f>+'[1]Dự thầu'!$G$288</f>
        <v>32162</v>
      </c>
      <c r="H169" s="86">
        <f t="shared" si="6"/>
        <v>6754</v>
      </c>
    </row>
    <row r="170" spans="1:8" ht="15.75" customHeight="1" x14ac:dyDescent="0.25">
      <c r="A170" s="4" t="s">
        <v>285</v>
      </c>
      <c r="B170" s="8">
        <v>165</v>
      </c>
      <c r="C170" s="8" t="s">
        <v>286</v>
      </c>
      <c r="D170" s="8" t="s">
        <v>10</v>
      </c>
      <c r="E170" s="8">
        <v>0.06</v>
      </c>
      <c r="F170" s="8" t="s">
        <v>90</v>
      </c>
      <c r="G170" s="85">
        <f>+'[1]Dự thầu'!$G$292</f>
        <v>27096238</v>
      </c>
      <c r="H170" s="86">
        <f t="shared" si="6"/>
        <v>1625774</v>
      </c>
    </row>
    <row r="171" spans="1:8" ht="15.75" customHeight="1" x14ac:dyDescent="0.25">
      <c r="A171" s="4" t="s">
        <v>287</v>
      </c>
      <c r="B171" s="8">
        <v>166</v>
      </c>
      <c r="C171" s="8" t="s">
        <v>242</v>
      </c>
      <c r="D171" s="8" t="s">
        <v>10</v>
      </c>
      <c r="E171" s="8">
        <v>1.88</v>
      </c>
      <c r="F171" s="8" t="s">
        <v>16</v>
      </c>
      <c r="G171" s="85">
        <f>+'[1]Dự thầu'!$G$290</f>
        <v>1631803</v>
      </c>
      <c r="H171" s="86">
        <f t="shared" si="6"/>
        <v>3067790</v>
      </c>
    </row>
    <row r="172" spans="1:8" ht="15.75" customHeight="1" x14ac:dyDescent="0.25">
      <c r="A172" s="4" t="s">
        <v>288</v>
      </c>
      <c r="B172" s="8">
        <v>167</v>
      </c>
      <c r="C172" s="8" t="s">
        <v>244</v>
      </c>
      <c r="D172" s="8" t="s">
        <v>10</v>
      </c>
      <c r="E172" s="8">
        <v>37.42</v>
      </c>
      <c r="F172" s="8" t="s">
        <v>13</v>
      </c>
      <c r="G172" s="85">
        <f>+'[1]Dự thầu'!$G$291</f>
        <v>87361</v>
      </c>
      <c r="H172" s="86">
        <f t="shared" si="6"/>
        <v>3269049</v>
      </c>
    </row>
    <row r="173" spans="1:8" ht="15.75" customHeight="1" x14ac:dyDescent="0.25">
      <c r="A173" s="4" t="s">
        <v>289</v>
      </c>
      <c r="B173" s="8">
        <v>168</v>
      </c>
      <c r="C173" s="8" t="s">
        <v>246</v>
      </c>
      <c r="D173" s="8" t="s">
        <v>10</v>
      </c>
      <c r="E173" s="8">
        <v>0.05</v>
      </c>
      <c r="F173" s="8" t="s">
        <v>90</v>
      </c>
      <c r="G173" s="85">
        <f>+'[1]Dự thầu'!$G$292</f>
        <v>27096238</v>
      </c>
      <c r="H173" s="86">
        <f t="shared" si="6"/>
        <v>1354812</v>
      </c>
    </row>
    <row r="174" spans="1:8" ht="15.75" customHeight="1" x14ac:dyDescent="0.25">
      <c r="A174" s="4" t="s">
        <v>290</v>
      </c>
      <c r="B174" s="8">
        <v>169</v>
      </c>
      <c r="C174" s="8" t="s">
        <v>246</v>
      </c>
      <c r="D174" s="8" t="s">
        <v>10</v>
      </c>
      <c r="E174" s="8">
        <v>0.16</v>
      </c>
      <c r="F174" s="8" t="s">
        <v>90</v>
      </c>
      <c r="G174" s="85">
        <f>+'[1]Dự thầu'!$G$293</f>
        <v>27096238</v>
      </c>
      <c r="H174" s="86">
        <f t="shared" si="6"/>
        <v>4335398</v>
      </c>
    </row>
    <row r="175" spans="1:8" ht="15.75" customHeight="1" x14ac:dyDescent="0.25">
      <c r="A175" s="4" t="s">
        <v>291</v>
      </c>
      <c r="B175" s="8">
        <v>170</v>
      </c>
      <c r="C175" s="8" t="s">
        <v>272</v>
      </c>
      <c r="D175" s="8" t="s">
        <v>10</v>
      </c>
      <c r="E175" s="8">
        <v>4.7</v>
      </c>
      <c r="F175" s="8" t="s">
        <v>90</v>
      </c>
      <c r="G175" s="85">
        <f>+'[1]Dự thầu'!$G$294</f>
        <v>51234</v>
      </c>
      <c r="H175" s="86">
        <f t="shared" si="6"/>
        <v>240800</v>
      </c>
    </row>
    <row r="176" spans="1:8" ht="15.75" customHeight="1" x14ac:dyDescent="0.25">
      <c r="A176" s="4" t="s">
        <v>292</v>
      </c>
      <c r="B176" s="8">
        <v>171</v>
      </c>
      <c r="C176" s="8" t="s">
        <v>293</v>
      </c>
      <c r="D176" s="8" t="s">
        <v>10</v>
      </c>
      <c r="E176" s="8">
        <v>4.7</v>
      </c>
      <c r="F176" s="8" t="s">
        <v>90</v>
      </c>
      <c r="G176" s="85">
        <f>+'[1]Dự thầu'!$G$295</f>
        <v>33301</v>
      </c>
      <c r="H176" s="86">
        <f t="shared" si="6"/>
        <v>156515</v>
      </c>
    </row>
    <row r="177" spans="1:8" ht="15.75" customHeight="1" x14ac:dyDescent="0.25">
      <c r="A177" s="4" t="s">
        <v>294</v>
      </c>
      <c r="B177" s="8">
        <v>172</v>
      </c>
      <c r="C177" s="8" t="s">
        <v>252</v>
      </c>
      <c r="D177" s="8" t="s">
        <v>10</v>
      </c>
      <c r="E177" s="8">
        <v>0.47</v>
      </c>
      <c r="F177" s="8" t="s">
        <v>274</v>
      </c>
      <c r="G177" s="85">
        <f>+'[1]Dự thầu'!$G$296</f>
        <v>32162</v>
      </c>
      <c r="H177" s="86">
        <f t="shared" si="6"/>
        <v>15116</v>
      </c>
    </row>
    <row r="178" spans="1:8" ht="15.75" customHeight="1" x14ac:dyDescent="0.25">
      <c r="A178" s="4" t="s">
        <v>295</v>
      </c>
      <c r="B178" s="8">
        <v>173</v>
      </c>
      <c r="C178" s="8" t="s">
        <v>296</v>
      </c>
      <c r="D178" s="8" t="s">
        <v>10</v>
      </c>
      <c r="E178" s="8">
        <v>20</v>
      </c>
      <c r="F178" s="8" t="s">
        <v>297</v>
      </c>
      <c r="G178" s="85">
        <f>+'[1]Dự thầu'!$G$297</f>
        <v>36395</v>
      </c>
      <c r="H178" s="86">
        <f t="shared" si="6"/>
        <v>727900</v>
      </c>
    </row>
    <row r="179" spans="1:8" ht="15.75" customHeight="1" x14ac:dyDescent="0.25">
      <c r="A179" s="4" t="s">
        <v>298</v>
      </c>
      <c r="B179" s="8">
        <v>174</v>
      </c>
      <c r="C179" s="8" t="s">
        <v>299</v>
      </c>
      <c r="D179" s="8" t="s">
        <v>10</v>
      </c>
      <c r="E179" s="8">
        <v>20</v>
      </c>
      <c r="F179" s="8" t="s">
        <v>258</v>
      </c>
      <c r="G179" s="85">
        <f>+'[1]Dự thầu'!$G$298</f>
        <v>787114</v>
      </c>
      <c r="H179" s="86">
        <f t="shared" si="6"/>
        <v>15742280</v>
      </c>
    </row>
    <row r="180" spans="1:8" ht="15.75" customHeight="1" x14ac:dyDescent="0.25">
      <c r="A180" s="4" t="s">
        <v>300</v>
      </c>
      <c r="B180" s="8">
        <v>175</v>
      </c>
      <c r="C180" s="8" t="s">
        <v>301</v>
      </c>
      <c r="D180" s="8" t="s">
        <v>10</v>
      </c>
      <c r="E180" s="8">
        <v>8</v>
      </c>
      <c r="F180" s="8" t="s">
        <v>16</v>
      </c>
      <c r="G180" s="85">
        <f>+'[1]Dự thầu'!$G$299</f>
        <v>1551168</v>
      </c>
      <c r="H180" s="86">
        <f t="shared" si="6"/>
        <v>12409344</v>
      </c>
    </row>
    <row r="181" spans="1:8" ht="15.75" customHeight="1" x14ac:dyDescent="0.25">
      <c r="A181" s="4" t="s">
        <v>302</v>
      </c>
      <c r="B181" s="8">
        <v>176</v>
      </c>
      <c r="C181" s="8" t="s">
        <v>120</v>
      </c>
      <c r="D181" s="8" t="s">
        <v>10</v>
      </c>
      <c r="E181" s="8">
        <v>47</v>
      </c>
      <c r="F181" s="8" t="s">
        <v>16</v>
      </c>
      <c r="G181" s="85">
        <f>+'[1]Dự thầu'!$G$300</f>
        <v>1191268</v>
      </c>
      <c r="H181" s="86">
        <f t="shared" si="6"/>
        <v>55989596</v>
      </c>
    </row>
    <row r="182" spans="1:8" ht="15.75" customHeight="1" x14ac:dyDescent="0.25">
      <c r="A182" s="4" t="s">
        <v>303</v>
      </c>
      <c r="B182" s="8">
        <v>177</v>
      </c>
      <c r="C182" s="8" t="s">
        <v>125</v>
      </c>
      <c r="D182" s="8" t="s">
        <v>10</v>
      </c>
      <c r="E182" s="8">
        <v>4.84</v>
      </c>
      <c r="F182" s="8" t="s">
        <v>126</v>
      </c>
      <c r="G182" s="85">
        <f>+'[1]Dự thầu'!$G$301</f>
        <v>10479792</v>
      </c>
      <c r="H182" s="86">
        <f t="shared" si="6"/>
        <v>50722193</v>
      </c>
    </row>
    <row r="183" spans="1:8" ht="15.75" customHeight="1" x14ac:dyDescent="0.25">
      <c r="A183" s="4" t="s">
        <v>304</v>
      </c>
      <c r="B183" s="8">
        <v>178</v>
      </c>
      <c r="C183" s="8" t="s">
        <v>305</v>
      </c>
      <c r="D183" s="8" t="s">
        <v>10</v>
      </c>
      <c r="E183" s="8">
        <v>291</v>
      </c>
      <c r="F183" s="8" t="s">
        <v>13</v>
      </c>
      <c r="G183" s="85">
        <f>+'[1]Dự thầu'!$G$302</f>
        <v>42922</v>
      </c>
      <c r="H183" s="86">
        <f t="shared" si="6"/>
        <v>12490302</v>
      </c>
    </row>
    <row r="184" spans="1:8" ht="15.75" customHeight="1" x14ac:dyDescent="0.25">
      <c r="A184" s="4" t="s">
        <v>306</v>
      </c>
      <c r="B184" s="8">
        <v>179</v>
      </c>
      <c r="C184" s="8" t="s">
        <v>272</v>
      </c>
      <c r="D184" s="8" t="s">
        <v>10</v>
      </c>
      <c r="E184" s="8">
        <v>20</v>
      </c>
      <c r="F184" s="8" t="s">
        <v>90</v>
      </c>
      <c r="G184" s="85">
        <f>+'[1]Dự thầu'!$G$303</f>
        <v>51234</v>
      </c>
      <c r="H184" s="86">
        <f t="shared" si="6"/>
        <v>1024680</v>
      </c>
    </row>
    <row r="185" spans="1:8" ht="15.75" customHeight="1" x14ac:dyDescent="0.25">
      <c r="A185" s="4" t="s">
        <v>307</v>
      </c>
      <c r="B185" s="8">
        <v>180</v>
      </c>
      <c r="C185" s="8" t="s">
        <v>293</v>
      </c>
      <c r="D185" s="8" t="s">
        <v>10</v>
      </c>
      <c r="E185" s="8">
        <v>20</v>
      </c>
      <c r="F185" s="8" t="s">
        <v>90</v>
      </c>
      <c r="G185" s="85">
        <f>+'[1]Dự thầu'!$G$304</f>
        <v>33301</v>
      </c>
      <c r="H185" s="86">
        <f t="shared" si="6"/>
        <v>666020</v>
      </c>
    </row>
    <row r="186" spans="1:8" ht="15.75" customHeight="1" x14ac:dyDescent="0.25">
      <c r="A186" s="4" t="s">
        <v>308</v>
      </c>
      <c r="B186" s="8">
        <v>181</v>
      </c>
      <c r="C186" s="8" t="s">
        <v>252</v>
      </c>
      <c r="D186" s="8" t="s">
        <v>10</v>
      </c>
      <c r="E186" s="8">
        <v>2</v>
      </c>
      <c r="F186" s="8" t="s">
        <v>253</v>
      </c>
      <c r="G186" s="85">
        <f>+'[1]Dự thầu'!$G$305</f>
        <v>32162</v>
      </c>
      <c r="H186" s="86">
        <f t="shared" si="6"/>
        <v>64324</v>
      </c>
    </row>
    <row r="187" spans="1:8" ht="15.75" customHeight="1" x14ac:dyDescent="0.25">
      <c r="A187" s="4" t="s">
        <v>309</v>
      </c>
      <c r="B187" s="8">
        <v>182</v>
      </c>
      <c r="C187" s="8" t="s">
        <v>310</v>
      </c>
      <c r="D187" s="8" t="s">
        <v>10</v>
      </c>
      <c r="E187" s="8">
        <v>1118</v>
      </c>
      <c r="F187" s="8" t="s">
        <v>250</v>
      </c>
      <c r="G187" s="85">
        <f>+'[1]Dự thầu'!$G$306</f>
        <v>9700</v>
      </c>
      <c r="H187" s="86">
        <f t="shared" si="6"/>
        <v>10844600</v>
      </c>
    </row>
    <row r="188" spans="1:8" ht="15.75" customHeight="1" x14ac:dyDescent="0.25">
      <c r="A188" s="4" t="s">
        <v>311</v>
      </c>
      <c r="B188" s="8">
        <v>183</v>
      </c>
      <c r="C188" s="8" t="s">
        <v>312</v>
      </c>
      <c r="D188" s="8" t="s">
        <v>10</v>
      </c>
      <c r="E188" s="8">
        <v>10.8</v>
      </c>
      <c r="F188" s="8" t="s">
        <v>16</v>
      </c>
      <c r="G188" s="85">
        <f>+'[1]Dự thầu'!$G$312</f>
        <v>1561916</v>
      </c>
      <c r="H188" s="86">
        <f t="shared" si="6"/>
        <v>16868693</v>
      </c>
    </row>
    <row r="189" spans="1:8" ht="15.75" customHeight="1" x14ac:dyDescent="0.25">
      <c r="A189" s="4" t="s">
        <v>313</v>
      </c>
      <c r="B189" s="8">
        <v>184</v>
      </c>
      <c r="C189" s="8" t="s">
        <v>240</v>
      </c>
      <c r="D189" s="8" t="s">
        <v>10</v>
      </c>
      <c r="E189" s="8">
        <v>8.1</v>
      </c>
      <c r="F189" s="8" t="s">
        <v>16</v>
      </c>
      <c r="G189" s="85">
        <f>+'[1]Dự thầu'!$G$313</f>
        <v>842139</v>
      </c>
      <c r="H189" s="86">
        <f t="shared" si="6"/>
        <v>6821326</v>
      </c>
    </row>
    <row r="190" spans="1:8" ht="15.75" customHeight="1" x14ac:dyDescent="0.25">
      <c r="A190" s="4" t="s">
        <v>314</v>
      </c>
      <c r="B190" s="8">
        <v>185</v>
      </c>
      <c r="C190" s="8" t="s">
        <v>315</v>
      </c>
      <c r="D190" s="8" t="s">
        <v>10</v>
      </c>
      <c r="E190" s="8">
        <v>781.35</v>
      </c>
      <c r="F190" s="8" t="s">
        <v>16</v>
      </c>
      <c r="G190" s="85">
        <f>+'[1]Dự thầu'!$G$314</f>
        <v>23993</v>
      </c>
      <c r="H190" s="86">
        <f t="shared" si="6"/>
        <v>18746931</v>
      </c>
    </row>
    <row r="191" spans="1:8" ht="15.75" customHeight="1" x14ac:dyDescent="0.25">
      <c r="A191" s="4" t="s">
        <v>316</v>
      </c>
      <c r="B191" s="8">
        <v>186</v>
      </c>
      <c r="C191" s="8" t="s">
        <v>317</v>
      </c>
      <c r="D191" s="8" t="s">
        <v>10</v>
      </c>
      <c r="E191" s="8">
        <v>7305.62</v>
      </c>
      <c r="F191" s="8" t="s">
        <v>16</v>
      </c>
      <c r="G191" s="85">
        <f>+'[1]Dự thầu'!$G$315</f>
        <v>32141</v>
      </c>
      <c r="H191" s="86">
        <f t="shared" si="6"/>
        <v>234809932</v>
      </c>
    </row>
    <row r="192" spans="1:8" ht="15.75" customHeight="1" x14ac:dyDescent="0.25">
      <c r="A192" s="4" t="s">
        <v>318</v>
      </c>
      <c r="B192" s="8">
        <v>187</v>
      </c>
      <c r="C192" s="8" t="s">
        <v>319</v>
      </c>
      <c r="D192" s="8" t="s">
        <v>10</v>
      </c>
      <c r="E192" s="8">
        <v>31.93</v>
      </c>
      <c r="F192" s="8" t="s">
        <v>16</v>
      </c>
      <c r="G192" s="85">
        <f>+'[1]Dự thầu'!$G$317</f>
        <v>1561916</v>
      </c>
      <c r="H192" s="86">
        <f t="shared" si="6"/>
        <v>49871978</v>
      </c>
    </row>
    <row r="193" spans="1:8" ht="15.75" customHeight="1" x14ac:dyDescent="0.25">
      <c r="A193" s="4" t="s">
        <v>320</v>
      </c>
      <c r="B193" s="8">
        <v>188</v>
      </c>
      <c r="C193" s="8" t="s">
        <v>125</v>
      </c>
      <c r="D193" s="8" t="s">
        <v>10</v>
      </c>
      <c r="E193" s="8">
        <v>48.19</v>
      </c>
      <c r="F193" s="8" t="s">
        <v>13</v>
      </c>
      <c r="G193" s="85">
        <f>+'[1]Dự thầu'!$G$319</f>
        <v>174514</v>
      </c>
      <c r="H193" s="86">
        <f t="shared" ref="H193:H224" si="7">+ROUND(G193*E193,0)</f>
        <v>8409830</v>
      </c>
    </row>
    <row r="194" spans="1:8" ht="15.75" customHeight="1" x14ac:dyDescent="0.25">
      <c r="A194" s="4" t="s">
        <v>321</v>
      </c>
      <c r="B194" s="8">
        <v>189</v>
      </c>
      <c r="C194" s="8" t="s">
        <v>240</v>
      </c>
      <c r="D194" s="8" t="s">
        <v>10</v>
      </c>
      <c r="E194" s="8">
        <v>241.22</v>
      </c>
      <c r="F194" s="8" t="s">
        <v>16</v>
      </c>
      <c r="G194" s="85">
        <f>+'[1]Dự thầu'!$G$320</f>
        <v>842139</v>
      </c>
      <c r="H194" s="86">
        <f t="shared" si="7"/>
        <v>203140770</v>
      </c>
    </row>
    <row r="195" spans="1:8" ht="15.75" customHeight="1" x14ac:dyDescent="0.25">
      <c r="A195" s="4" t="s">
        <v>322</v>
      </c>
      <c r="B195" s="8">
        <v>190</v>
      </c>
      <c r="C195" s="8" t="s">
        <v>323</v>
      </c>
      <c r="D195" s="8" t="s">
        <v>10</v>
      </c>
      <c r="E195" s="8">
        <v>36.69</v>
      </c>
      <c r="F195" s="8" t="s">
        <v>16</v>
      </c>
      <c r="G195" s="85">
        <f>+'[1]Dự thầu'!$G$321</f>
        <v>1833267</v>
      </c>
      <c r="H195" s="86">
        <f t="shared" si="7"/>
        <v>67262566</v>
      </c>
    </row>
    <row r="196" spans="1:8" ht="15.75" customHeight="1" x14ac:dyDescent="0.25">
      <c r="A196" s="4" t="s">
        <v>324</v>
      </c>
      <c r="B196" s="8">
        <v>191</v>
      </c>
      <c r="C196" s="8" t="s">
        <v>325</v>
      </c>
      <c r="D196" s="8" t="s">
        <v>10</v>
      </c>
      <c r="E196" s="8">
        <v>385.98</v>
      </c>
      <c r="F196" s="8" t="s">
        <v>13</v>
      </c>
      <c r="G196" s="85">
        <f>+'[1]Dự thầu'!$G$322</f>
        <v>96659</v>
      </c>
      <c r="H196" s="86">
        <f t="shared" si="7"/>
        <v>37308441</v>
      </c>
    </row>
    <row r="197" spans="1:8" ht="15.75" customHeight="1" x14ac:dyDescent="0.25">
      <c r="A197" s="4" t="s">
        <v>326</v>
      </c>
      <c r="B197" s="8">
        <v>192</v>
      </c>
      <c r="C197" s="8" t="s">
        <v>327</v>
      </c>
      <c r="D197" s="8" t="s">
        <v>10</v>
      </c>
      <c r="E197" s="8">
        <v>490.8</v>
      </c>
      <c r="F197" s="8" t="s">
        <v>16</v>
      </c>
      <c r="G197" s="85">
        <f>+'[1]Dự thầu'!$G$323</f>
        <v>1388494</v>
      </c>
      <c r="H197" s="86">
        <f t="shared" si="7"/>
        <v>681472855</v>
      </c>
    </row>
    <row r="198" spans="1:8" ht="15.75" customHeight="1" x14ac:dyDescent="0.25">
      <c r="A198" s="4" t="s">
        <v>328</v>
      </c>
      <c r="B198" s="8">
        <v>193</v>
      </c>
      <c r="C198" s="8" t="s">
        <v>329</v>
      </c>
      <c r="D198" s="8" t="s">
        <v>10</v>
      </c>
      <c r="E198" s="8">
        <v>0.52</v>
      </c>
      <c r="F198" s="8" t="s">
        <v>16</v>
      </c>
      <c r="G198" s="85">
        <f>+'[1]Dự thầu'!$G$325</f>
        <v>2081456</v>
      </c>
      <c r="H198" s="86">
        <f t="shared" si="7"/>
        <v>1082357</v>
      </c>
    </row>
    <row r="199" spans="1:8" ht="15.75" customHeight="1" x14ac:dyDescent="0.25">
      <c r="A199" s="4" t="s">
        <v>330</v>
      </c>
      <c r="B199" s="8">
        <v>194</v>
      </c>
      <c r="C199" s="8" t="s">
        <v>125</v>
      </c>
      <c r="D199" s="8" t="s">
        <v>10</v>
      </c>
      <c r="E199" s="8">
        <v>4.6100000000000003</v>
      </c>
      <c r="F199" s="8" t="s">
        <v>13</v>
      </c>
      <c r="G199" s="85">
        <f>+'[1]Dự thầu'!$G$326</f>
        <v>104798</v>
      </c>
      <c r="H199" s="86">
        <f t="shared" si="7"/>
        <v>483119</v>
      </c>
    </row>
    <row r="200" spans="1:8" ht="15.75" customHeight="1" x14ac:dyDescent="0.25">
      <c r="A200" s="4" t="s">
        <v>331</v>
      </c>
      <c r="B200" s="8">
        <v>195</v>
      </c>
      <c r="C200" s="8" t="s">
        <v>332</v>
      </c>
      <c r="D200" s="8" t="s">
        <v>10</v>
      </c>
      <c r="E200" s="8">
        <v>0.06</v>
      </c>
      <c r="F200" s="8" t="s">
        <v>90</v>
      </c>
      <c r="G200" s="85">
        <f>+'[1]Dự thầu'!$G$327</f>
        <v>26204757</v>
      </c>
      <c r="H200" s="86">
        <f t="shared" si="7"/>
        <v>1572285</v>
      </c>
    </row>
    <row r="201" spans="1:8" ht="15.75" customHeight="1" x14ac:dyDescent="0.25">
      <c r="A201" s="4" t="s">
        <v>333</v>
      </c>
      <c r="B201" s="8">
        <v>196</v>
      </c>
      <c r="C201" s="8" t="s">
        <v>334</v>
      </c>
      <c r="D201" s="8" t="s">
        <v>10</v>
      </c>
      <c r="E201" s="8">
        <v>0.56000000000000005</v>
      </c>
      <c r="F201" s="8" t="s">
        <v>16</v>
      </c>
      <c r="G201" s="85">
        <f>+'[1]Dự thầu'!$G$329</f>
        <v>1631803</v>
      </c>
      <c r="H201" s="86">
        <f t="shared" si="7"/>
        <v>913810</v>
      </c>
    </row>
    <row r="202" spans="1:8" ht="15.75" customHeight="1" x14ac:dyDescent="0.25">
      <c r="A202" s="4" t="s">
        <v>335</v>
      </c>
      <c r="B202" s="8">
        <v>197</v>
      </c>
      <c r="C202" s="8" t="s">
        <v>336</v>
      </c>
      <c r="D202" s="8" t="s">
        <v>10</v>
      </c>
      <c r="E202" s="8">
        <v>2.88</v>
      </c>
      <c r="F202" s="8" t="s">
        <v>13</v>
      </c>
      <c r="G202" s="85">
        <f>+'[1]Dự thầu'!$G$330</f>
        <v>102621</v>
      </c>
      <c r="H202" s="86">
        <f t="shared" si="7"/>
        <v>295548</v>
      </c>
    </row>
    <row r="203" spans="1:8" ht="15.75" customHeight="1" x14ac:dyDescent="0.25">
      <c r="A203" s="4" t="s">
        <v>337</v>
      </c>
      <c r="B203" s="8">
        <v>198</v>
      </c>
      <c r="C203" s="8" t="s">
        <v>246</v>
      </c>
      <c r="D203" s="8" t="s">
        <v>10</v>
      </c>
      <c r="E203" s="8">
        <v>0.02</v>
      </c>
      <c r="F203" s="8" t="s">
        <v>90</v>
      </c>
      <c r="G203" s="85">
        <f>+'[1]Dự thầu'!$G$331</f>
        <v>27096238</v>
      </c>
      <c r="H203" s="86">
        <f t="shared" si="7"/>
        <v>541925</v>
      </c>
    </row>
    <row r="204" spans="1:8" ht="15.75" customHeight="1" x14ac:dyDescent="0.25">
      <c r="A204" s="4" t="s">
        <v>338</v>
      </c>
      <c r="B204" s="8">
        <v>199</v>
      </c>
      <c r="C204" s="8" t="s">
        <v>246</v>
      </c>
      <c r="D204" s="8" t="s">
        <v>10</v>
      </c>
      <c r="E204" s="8">
        <v>0.01</v>
      </c>
      <c r="F204" s="8" t="s">
        <v>90</v>
      </c>
      <c r="G204" s="85">
        <f>+'[1]Dự thầu'!$G$332</f>
        <v>27096238</v>
      </c>
      <c r="H204" s="86">
        <f t="shared" si="7"/>
        <v>270962</v>
      </c>
    </row>
    <row r="205" spans="1:8" ht="15.75" customHeight="1" x14ac:dyDescent="0.25">
      <c r="A205" s="4" t="s">
        <v>339</v>
      </c>
      <c r="B205" s="8">
        <v>200</v>
      </c>
      <c r="C205" s="8" t="s">
        <v>249</v>
      </c>
      <c r="D205" s="8" t="s">
        <v>10</v>
      </c>
      <c r="E205" s="8">
        <v>2</v>
      </c>
      <c r="F205" s="8" t="s">
        <v>250</v>
      </c>
      <c r="G205" s="85">
        <f>+'[1]Dự thầu'!$G$333</f>
        <v>52812</v>
      </c>
      <c r="H205" s="86">
        <f t="shared" si="7"/>
        <v>105624</v>
      </c>
    </row>
    <row r="206" spans="1:8" ht="15.75" customHeight="1" x14ac:dyDescent="0.25">
      <c r="A206" s="4" t="s">
        <v>340</v>
      </c>
      <c r="B206" s="8">
        <v>201</v>
      </c>
      <c r="C206" s="8" t="s">
        <v>252</v>
      </c>
      <c r="D206" s="8" t="s">
        <v>10</v>
      </c>
      <c r="E206" s="8">
        <v>0.14000000000000001</v>
      </c>
      <c r="F206" s="8" t="s">
        <v>274</v>
      </c>
      <c r="G206" s="85">
        <f>+'[1]Dự thầu'!$G$334</f>
        <v>32162</v>
      </c>
      <c r="H206" s="86">
        <f t="shared" si="7"/>
        <v>4503</v>
      </c>
    </row>
    <row r="207" spans="1:8" ht="15.75" customHeight="1" x14ac:dyDescent="0.25">
      <c r="A207" s="4" t="s">
        <v>341</v>
      </c>
      <c r="B207" s="8">
        <v>202</v>
      </c>
      <c r="C207" s="8" t="s">
        <v>255</v>
      </c>
      <c r="D207" s="8" t="s">
        <v>10</v>
      </c>
      <c r="E207" s="8">
        <v>2</v>
      </c>
      <c r="F207" s="8" t="s">
        <v>250</v>
      </c>
      <c r="G207" s="85">
        <f>+'[1]Dự thầu'!$G$335</f>
        <v>42761</v>
      </c>
      <c r="H207" s="86">
        <f t="shared" si="7"/>
        <v>85522</v>
      </c>
    </row>
    <row r="208" spans="1:8" ht="15.75" customHeight="1" x14ac:dyDescent="0.25">
      <c r="A208" s="4" t="s">
        <v>342</v>
      </c>
      <c r="B208" s="8">
        <v>203</v>
      </c>
      <c r="C208" s="8" t="s">
        <v>343</v>
      </c>
      <c r="D208" s="8" t="s">
        <v>10</v>
      </c>
      <c r="E208" s="8">
        <v>2</v>
      </c>
      <c r="F208" s="8" t="s">
        <v>297</v>
      </c>
      <c r="G208" s="85">
        <f>+'[1]Dự thầu'!$G$336</f>
        <v>36395</v>
      </c>
      <c r="H208" s="86">
        <f t="shared" si="7"/>
        <v>72790</v>
      </c>
    </row>
    <row r="209" spans="1:8" ht="15.75" customHeight="1" x14ac:dyDescent="0.25">
      <c r="A209" s="4" t="s">
        <v>344</v>
      </c>
      <c r="B209" s="8">
        <v>204</v>
      </c>
      <c r="C209" s="8" t="s">
        <v>334</v>
      </c>
      <c r="D209" s="8" t="s">
        <v>10</v>
      </c>
      <c r="E209" s="8">
        <v>5.04</v>
      </c>
      <c r="F209" s="8" t="s">
        <v>16</v>
      </c>
      <c r="G209" s="85">
        <f>+'[1]Dự thầu'!$G$338</f>
        <v>1631803</v>
      </c>
      <c r="H209" s="86">
        <f t="shared" si="7"/>
        <v>8224287</v>
      </c>
    </row>
    <row r="210" spans="1:8" ht="15.75" customHeight="1" x14ac:dyDescent="0.25">
      <c r="A210" s="4" t="s">
        <v>345</v>
      </c>
      <c r="B210" s="8">
        <v>205</v>
      </c>
      <c r="C210" s="8" t="s">
        <v>336</v>
      </c>
      <c r="D210" s="8" t="s">
        <v>10</v>
      </c>
      <c r="E210" s="8">
        <v>22.68</v>
      </c>
      <c r="F210" s="8" t="s">
        <v>13</v>
      </c>
      <c r="G210" s="85">
        <f>+'[1]Dự thầu'!$G$339</f>
        <v>102621</v>
      </c>
      <c r="H210" s="86">
        <f t="shared" si="7"/>
        <v>2327444</v>
      </c>
    </row>
    <row r="211" spans="1:8" ht="15.75" customHeight="1" x14ac:dyDescent="0.25">
      <c r="A211" s="4" t="s">
        <v>346</v>
      </c>
      <c r="B211" s="8">
        <v>206</v>
      </c>
      <c r="C211" s="8" t="s">
        <v>246</v>
      </c>
      <c r="D211" s="8" t="s">
        <v>10</v>
      </c>
      <c r="E211" s="8">
        <v>0.13</v>
      </c>
      <c r="F211" s="8" t="s">
        <v>90</v>
      </c>
      <c r="G211" s="85">
        <f>+'[1]Dự thầu'!$G$340</f>
        <v>27096238</v>
      </c>
      <c r="H211" s="86">
        <f t="shared" si="7"/>
        <v>3522511</v>
      </c>
    </row>
    <row r="212" spans="1:8" ht="15.75" customHeight="1" x14ac:dyDescent="0.25">
      <c r="A212" s="4" t="s">
        <v>347</v>
      </c>
      <c r="B212" s="8">
        <v>207</v>
      </c>
      <c r="C212" s="8" t="s">
        <v>246</v>
      </c>
      <c r="D212" s="8" t="s">
        <v>10</v>
      </c>
      <c r="E212" s="8">
        <v>0.08</v>
      </c>
      <c r="F212" s="8" t="s">
        <v>90</v>
      </c>
      <c r="G212" s="85">
        <f>+'[1]Dự thầu'!$G$341</f>
        <v>27096238</v>
      </c>
      <c r="H212" s="86">
        <f t="shared" si="7"/>
        <v>2167699</v>
      </c>
    </row>
    <row r="213" spans="1:8" ht="15.75" customHeight="1" x14ac:dyDescent="0.25">
      <c r="A213" s="4" t="s">
        <v>348</v>
      </c>
      <c r="B213" s="8">
        <v>208</v>
      </c>
      <c r="C213" s="8" t="s">
        <v>349</v>
      </c>
      <c r="D213" s="8" t="s">
        <v>10</v>
      </c>
      <c r="E213" s="8">
        <v>12</v>
      </c>
      <c r="F213" s="8" t="s">
        <v>250</v>
      </c>
      <c r="G213" s="85">
        <f>+'[1]Dự thầu'!$G$342</f>
        <v>79217</v>
      </c>
      <c r="H213" s="86">
        <f t="shared" si="7"/>
        <v>950604</v>
      </c>
    </row>
    <row r="214" spans="1:8" ht="15.75" customHeight="1" x14ac:dyDescent="0.25">
      <c r="A214" s="4" t="s">
        <v>350</v>
      </c>
      <c r="B214" s="8">
        <v>209</v>
      </c>
      <c r="C214" s="8" t="s">
        <v>351</v>
      </c>
      <c r="D214" s="8" t="s">
        <v>10</v>
      </c>
      <c r="E214" s="8">
        <v>12</v>
      </c>
      <c r="F214" s="8" t="s">
        <v>250</v>
      </c>
      <c r="G214" s="85">
        <f>+'[1]Dự thầu'!$G$343</f>
        <v>65424</v>
      </c>
      <c r="H214" s="86">
        <f t="shared" si="7"/>
        <v>785088</v>
      </c>
    </row>
    <row r="215" spans="1:8" ht="15.75" customHeight="1" x14ac:dyDescent="0.25">
      <c r="A215" s="4" t="s">
        <v>352</v>
      </c>
      <c r="B215" s="8">
        <v>210</v>
      </c>
      <c r="C215" s="8" t="s">
        <v>252</v>
      </c>
      <c r="D215" s="8" t="s">
        <v>10</v>
      </c>
      <c r="E215" s="8">
        <v>1.26</v>
      </c>
      <c r="F215" s="8" t="s">
        <v>253</v>
      </c>
      <c r="G215" s="85">
        <f>+'[1]Dự thầu'!$G$344</f>
        <v>32162</v>
      </c>
      <c r="H215" s="86">
        <f t="shared" si="7"/>
        <v>40524</v>
      </c>
    </row>
    <row r="216" spans="1:8" ht="15.75" customHeight="1" x14ac:dyDescent="0.25">
      <c r="A216" s="4" t="s">
        <v>353</v>
      </c>
      <c r="B216" s="8">
        <v>211</v>
      </c>
      <c r="C216" s="8" t="s">
        <v>255</v>
      </c>
      <c r="D216" s="8" t="s">
        <v>10</v>
      </c>
      <c r="E216" s="8">
        <v>12</v>
      </c>
      <c r="F216" s="8" t="s">
        <v>250</v>
      </c>
      <c r="G216" s="85">
        <f>+'[1]Dự thầu'!$G$345</f>
        <v>42761</v>
      </c>
      <c r="H216" s="86">
        <f t="shared" si="7"/>
        <v>513132</v>
      </c>
    </row>
    <row r="217" spans="1:8" ht="15.75" customHeight="1" x14ac:dyDescent="0.25">
      <c r="A217" s="4" t="s">
        <v>354</v>
      </c>
      <c r="B217" s="8">
        <v>212</v>
      </c>
      <c r="C217" s="8" t="s">
        <v>355</v>
      </c>
      <c r="D217" s="8" t="s">
        <v>10</v>
      </c>
      <c r="E217" s="8">
        <v>12</v>
      </c>
      <c r="F217" s="8" t="s">
        <v>258</v>
      </c>
      <c r="G217" s="85">
        <f>+'[1]Dự thầu'!$G$346</f>
        <v>452947</v>
      </c>
      <c r="H217" s="86">
        <f t="shared" si="7"/>
        <v>5435364</v>
      </c>
    </row>
    <row r="218" spans="1:8" ht="15.75" customHeight="1" x14ac:dyDescent="0.25">
      <c r="A218" s="4" t="s">
        <v>356</v>
      </c>
      <c r="B218" s="8">
        <v>213</v>
      </c>
      <c r="C218" s="8" t="s">
        <v>357</v>
      </c>
      <c r="D218" s="8" t="s">
        <v>10</v>
      </c>
      <c r="E218" s="8">
        <v>1.25</v>
      </c>
      <c r="F218" s="8" t="s">
        <v>16</v>
      </c>
      <c r="G218" s="85">
        <f>+'[1]Dự thầu'!$G$347</f>
        <v>1399730</v>
      </c>
      <c r="H218" s="86">
        <f t="shared" si="7"/>
        <v>1749663</v>
      </c>
    </row>
    <row r="219" spans="1:8" ht="15.75" customHeight="1" x14ac:dyDescent="0.25">
      <c r="A219" s="4" t="s">
        <v>358</v>
      </c>
      <c r="B219" s="8">
        <v>214</v>
      </c>
      <c r="C219" s="8" t="s">
        <v>125</v>
      </c>
      <c r="D219" s="8" t="s">
        <v>10</v>
      </c>
      <c r="E219" s="8">
        <v>3.63</v>
      </c>
      <c r="F219" s="8" t="s">
        <v>13</v>
      </c>
      <c r="G219" s="85">
        <f>+'[1]Dự thầu'!$G$348</f>
        <v>104798</v>
      </c>
      <c r="H219" s="86">
        <f t="shared" si="7"/>
        <v>380417</v>
      </c>
    </row>
    <row r="220" spans="1:8" ht="15.75" customHeight="1" x14ac:dyDescent="0.25">
      <c r="A220" s="4" t="s">
        <v>359</v>
      </c>
      <c r="B220" s="8">
        <v>215</v>
      </c>
      <c r="C220" s="8" t="s">
        <v>240</v>
      </c>
      <c r="D220" s="8" t="s">
        <v>10</v>
      </c>
      <c r="E220" s="8">
        <v>5.93</v>
      </c>
      <c r="F220" s="8" t="s">
        <v>16</v>
      </c>
      <c r="G220" s="85">
        <f>+'[1]Dự thầu'!$G$349</f>
        <v>842139</v>
      </c>
      <c r="H220" s="86">
        <f t="shared" si="7"/>
        <v>4993884</v>
      </c>
    </row>
    <row r="221" spans="1:8" ht="15.75" customHeight="1" x14ac:dyDescent="0.25">
      <c r="A221" s="4" t="s">
        <v>360</v>
      </c>
      <c r="B221" s="8">
        <v>216</v>
      </c>
      <c r="C221" s="8" t="s">
        <v>361</v>
      </c>
      <c r="D221" s="8" t="s">
        <v>10</v>
      </c>
      <c r="E221" s="8">
        <v>29</v>
      </c>
      <c r="F221" s="8" t="s">
        <v>362</v>
      </c>
      <c r="G221" s="85">
        <f>+'[1]Dự thầu'!$G$351</f>
        <v>854417</v>
      </c>
      <c r="H221" s="86">
        <f t="shared" si="7"/>
        <v>24778093</v>
      </c>
    </row>
    <row r="222" spans="1:8" ht="15.75" customHeight="1" x14ac:dyDescent="0.25">
      <c r="A222" s="4" t="s">
        <v>363</v>
      </c>
      <c r="B222" s="8">
        <v>217</v>
      </c>
      <c r="C222" s="8" t="s">
        <v>364</v>
      </c>
      <c r="D222" s="8" t="s">
        <v>10</v>
      </c>
      <c r="E222" s="8">
        <v>1.72</v>
      </c>
      <c r="F222" s="8" t="s">
        <v>13</v>
      </c>
      <c r="G222" s="85">
        <f>+'[1]Dự thầu'!$G$352</f>
        <v>96659</v>
      </c>
      <c r="H222" s="86">
        <f t="shared" si="7"/>
        <v>166253</v>
      </c>
    </row>
    <row r="223" spans="1:8" ht="15.75" customHeight="1" x14ac:dyDescent="0.25">
      <c r="A223" s="4" t="s">
        <v>365</v>
      </c>
      <c r="B223" s="8">
        <v>218</v>
      </c>
      <c r="C223" s="8" t="s">
        <v>366</v>
      </c>
      <c r="D223" s="8" t="s">
        <v>10</v>
      </c>
      <c r="E223" s="8">
        <v>63.52</v>
      </c>
      <c r="F223" s="8" t="s">
        <v>13</v>
      </c>
      <c r="G223" s="85">
        <f>+'[1]Dự thầu'!$G$353</f>
        <v>72328</v>
      </c>
      <c r="H223" s="86">
        <f t="shared" si="7"/>
        <v>4594275</v>
      </c>
    </row>
    <row r="224" spans="1:8" ht="15.75" customHeight="1" x14ac:dyDescent="0.25">
      <c r="A224" s="4" t="s">
        <v>367</v>
      </c>
      <c r="B224" s="8">
        <v>219</v>
      </c>
      <c r="C224" s="8" t="s">
        <v>368</v>
      </c>
      <c r="D224" s="8" t="s">
        <v>10</v>
      </c>
      <c r="E224" s="8">
        <v>2.59</v>
      </c>
      <c r="F224" s="8" t="s">
        <v>16</v>
      </c>
      <c r="G224" s="85">
        <f>+'[1]Dự thầu'!$G$354</f>
        <v>1881449</v>
      </c>
      <c r="H224" s="86">
        <f t="shared" si="7"/>
        <v>4872953</v>
      </c>
    </row>
    <row r="225" spans="1:8" ht="15.75" customHeight="1" x14ac:dyDescent="0.25">
      <c r="A225" s="4" t="s">
        <v>369</v>
      </c>
      <c r="B225" s="8">
        <v>220</v>
      </c>
      <c r="C225" s="8" t="s">
        <v>125</v>
      </c>
      <c r="D225" s="8" t="s">
        <v>10</v>
      </c>
      <c r="E225" s="8">
        <v>9.4</v>
      </c>
      <c r="F225" s="8" t="s">
        <v>13</v>
      </c>
      <c r="G225" s="85">
        <f>+'[1]Dự thầu'!$G$355</f>
        <v>104798</v>
      </c>
      <c r="H225" s="86">
        <f t="shared" ref="H225:H256" si="8">+ROUND(G225*E225,0)</f>
        <v>985101</v>
      </c>
    </row>
    <row r="226" spans="1:8" ht="15.75" customHeight="1" x14ac:dyDescent="0.25">
      <c r="A226" s="4" t="s">
        <v>370</v>
      </c>
      <c r="B226" s="8">
        <v>221</v>
      </c>
      <c r="C226" s="8" t="s">
        <v>368</v>
      </c>
      <c r="D226" s="8" t="s">
        <v>10</v>
      </c>
      <c r="E226" s="8">
        <v>0.98</v>
      </c>
      <c r="F226" s="8" t="s">
        <v>16</v>
      </c>
      <c r="G226" s="85">
        <f>+'[1]Dự thầu'!$G$356</f>
        <v>1881449</v>
      </c>
      <c r="H226" s="86">
        <f t="shared" si="8"/>
        <v>1843820</v>
      </c>
    </row>
    <row r="227" spans="1:8" ht="15.75" customHeight="1" x14ac:dyDescent="0.25">
      <c r="A227" s="4" t="s">
        <v>371</v>
      </c>
      <c r="B227" s="8">
        <v>222</v>
      </c>
      <c r="C227" s="8" t="s">
        <v>125</v>
      </c>
      <c r="D227" s="8" t="s">
        <v>10</v>
      </c>
      <c r="E227" s="8">
        <v>4.05</v>
      </c>
      <c r="F227" s="8" t="s">
        <v>13</v>
      </c>
      <c r="G227" s="85">
        <f>+'[1]Dự thầu'!$G$357</f>
        <v>104798</v>
      </c>
      <c r="H227" s="86">
        <f t="shared" si="8"/>
        <v>424432</v>
      </c>
    </row>
    <row r="228" spans="1:8" ht="15.75" customHeight="1" x14ac:dyDescent="0.25">
      <c r="A228" s="4" t="s">
        <v>372</v>
      </c>
      <c r="B228" s="8">
        <v>223</v>
      </c>
      <c r="C228" s="8" t="s">
        <v>357</v>
      </c>
      <c r="D228" s="8" t="s">
        <v>10</v>
      </c>
      <c r="E228" s="8">
        <v>9.5</v>
      </c>
      <c r="F228" s="8" t="s">
        <v>16</v>
      </c>
      <c r="G228" s="85">
        <f>+'[1]Dự thầu'!$G$358</f>
        <v>1399730</v>
      </c>
      <c r="H228" s="86">
        <f t="shared" si="8"/>
        <v>13297435</v>
      </c>
    </row>
    <row r="229" spans="1:8" ht="15.75" customHeight="1" x14ac:dyDescent="0.25">
      <c r="A229" s="4" t="s">
        <v>373</v>
      </c>
      <c r="B229" s="8">
        <v>224</v>
      </c>
      <c r="C229" s="8" t="s">
        <v>240</v>
      </c>
      <c r="D229" s="8" t="s">
        <v>10</v>
      </c>
      <c r="E229" s="8">
        <v>0.68</v>
      </c>
      <c r="F229" s="8" t="s">
        <v>16</v>
      </c>
      <c r="G229" s="85">
        <f>+'[1]Dự thầu'!$G$359</f>
        <v>842139</v>
      </c>
      <c r="H229" s="86">
        <f t="shared" si="8"/>
        <v>572655</v>
      </c>
    </row>
    <row r="230" spans="1:8" ht="15.75" customHeight="1" x14ac:dyDescent="0.25">
      <c r="A230" s="4" t="s">
        <v>374</v>
      </c>
      <c r="B230" s="8">
        <v>225</v>
      </c>
      <c r="C230" s="8" t="s">
        <v>125</v>
      </c>
      <c r="D230" s="8" t="s">
        <v>10</v>
      </c>
      <c r="E230" s="8">
        <v>21.9</v>
      </c>
      <c r="F230" s="8" t="s">
        <v>13</v>
      </c>
      <c r="G230" s="85">
        <f>+'[1]Dự thầu'!$G$360</f>
        <v>104798</v>
      </c>
      <c r="H230" s="86">
        <f t="shared" si="8"/>
        <v>2295076</v>
      </c>
    </row>
    <row r="231" spans="1:8" ht="15.75" customHeight="1" x14ac:dyDescent="0.25">
      <c r="A231" s="4" t="s">
        <v>375</v>
      </c>
      <c r="B231" s="8">
        <v>226</v>
      </c>
      <c r="C231" s="8" t="s">
        <v>376</v>
      </c>
      <c r="D231" s="8" t="s">
        <v>10</v>
      </c>
      <c r="E231" s="8">
        <v>2.5499999999999998</v>
      </c>
      <c r="F231" s="8" t="s">
        <v>16</v>
      </c>
      <c r="G231" s="85">
        <f>+'[1]Dự thầu'!$G$361</f>
        <v>1399730</v>
      </c>
      <c r="H231" s="86">
        <f t="shared" si="8"/>
        <v>3569312</v>
      </c>
    </row>
    <row r="232" spans="1:8" ht="15.75" customHeight="1" x14ac:dyDescent="0.25">
      <c r="A232" s="4" t="s">
        <v>377</v>
      </c>
      <c r="B232" s="8">
        <v>227</v>
      </c>
      <c r="C232" s="8" t="s">
        <v>240</v>
      </c>
      <c r="D232" s="8" t="s">
        <v>10</v>
      </c>
      <c r="E232" s="8">
        <v>0.53</v>
      </c>
      <c r="F232" s="8" t="s">
        <v>16</v>
      </c>
      <c r="G232" s="85">
        <f>+'[1]Dự thầu'!$G$362</f>
        <v>842139</v>
      </c>
      <c r="H232" s="86">
        <f t="shared" si="8"/>
        <v>446334</v>
      </c>
    </row>
    <row r="233" spans="1:8" ht="15.75" customHeight="1" x14ac:dyDescent="0.25">
      <c r="A233" s="4" t="s">
        <v>378</v>
      </c>
      <c r="B233" s="8">
        <v>228</v>
      </c>
      <c r="C233" s="8" t="s">
        <v>125</v>
      </c>
      <c r="D233" s="8" t="s">
        <v>10</v>
      </c>
      <c r="E233" s="8">
        <v>15.52</v>
      </c>
      <c r="F233" s="8" t="s">
        <v>13</v>
      </c>
      <c r="G233" s="85">
        <f>+'[1]Dự thầu'!$G$363</f>
        <v>104798</v>
      </c>
      <c r="H233" s="86">
        <f t="shared" si="8"/>
        <v>1626465</v>
      </c>
    </row>
    <row r="234" spans="1:8" ht="15.75" customHeight="1" x14ac:dyDescent="0.25">
      <c r="A234" s="4" t="s">
        <v>379</v>
      </c>
      <c r="B234" s="8">
        <v>229</v>
      </c>
      <c r="C234" s="8" t="s">
        <v>380</v>
      </c>
      <c r="D234" s="8" t="s">
        <v>10</v>
      </c>
      <c r="E234" s="8">
        <v>3.28</v>
      </c>
      <c r="F234" s="8" t="s">
        <v>16</v>
      </c>
      <c r="G234" s="85">
        <f>+'[1]Dự thầu'!$G$364</f>
        <v>1388494</v>
      </c>
      <c r="H234" s="86">
        <f t="shared" si="8"/>
        <v>4554260</v>
      </c>
    </row>
    <row r="235" spans="1:8" ht="15.75" customHeight="1" x14ac:dyDescent="0.25">
      <c r="A235" s="4" t="s">
        <v>381</v>
      </c>
      <c r="B235" s="8">
        <v>230</v>
      </c>
      <c r="C235" s="8" t="s">
        <v>240</v>
      </c>
      <c r="D235" s="8" t="s">
        <v>10</v>
      </c>
      <c r="E235" s="8">
        <v>1.31</v>
      </c>
      <c r="F235" s="8" t="s">
        <v>16</v>
      </c>
      <c r="G235" s="85">
        <f>+'[1]Dự thầu'!$G$365</f>
        <v>842139</v>
      </c>
      <c r="H235" s="86">
        <f t="shared" si="8"/>
        <v>1103202</v>
      </c>
    </row>
    <row r="236" spans="1:8" ht="15.75" customHeight="1" x14ac:dyDescent="0.25">
      <c r="A236" s="4" t="s">
        <v>382</v>
      </c>
      <c r="B236" s="8">
        <v>231</v>
      </c>
      <c r="C236" s="8" t="s">
        <v>380</v>
      </c>
      <c r="D236" s="8" t="s">
        <v>10</v>
      </c>
      <c r="E236" s="8">
        <v>1.1000000000000001</v>
      </c>
      <c r="F236" s="8" t="s">
        <v>16</v>
      </c>
      <c r="G236" s="85">
        <f>+'[1]Dự thầu'!$G$366</f>
        <v>1332575</v>
      </c>
      <c r="H236" s="86">
        <f t="shared" si="8"/>
        <v>1465833</v>
      </c>
    </row>
    <row r="237" spans="1:8" ht="15.75" customHeight="1" x14ac:dyDescent="0.25">
      <c r="A237" s="4" t="s">
        <v>383</v>
      </c>
      <c r="B237" s="8">
        <v>232</v>
      </c>
      <c r="C237" s="8" t="s">
        <v>240</v>
      </c>
      <c r="D237" s="8" t="s">
        <v>10</v>
      </c>
      <c r="E237" s="8">
        <v>0.22</v>
      </c>
      <c r="F237" s="8" t="s">
        <v>16</v>
      </c>
      <c r="G237" s="85">
        <f>+'[1]Dự thầu'!$G$367</f>
        <v>842139</v>
      </c>
      <c r="H237" s="86">
        <f t="shared" si="8"/>
        <v>185271</v>
      </c>
    </row>
    <row r="238" spans="1:8" ht="15.75" customHeight="1" x14ac:dyDescent="0.25">
      <c r="A238" s="4" t="s">
        <v>384</v>
      </c>
      <c r="B238" s="8">
        <v>233</v>
      </c>
      <c r="C238" s="8" t="s">
        <v>357</v>
      </c>
      <c r="D238" s="8" t="s">
        <v>10</v>
      </c>
      <c r="E238" s="8">
        <v>1.4</v>
      </c>
      <c r="F238" s="8" t="s">
        <v>16</v>
      </c>
      <c r="G238" s="85">
        <f>+'[1]Dự thầu'!$G$368</f>
        <v>1399730</v>
      </c>
      <c r="H238" s="86">
        <f t="shared" si="8"/>
        <v>1959622</v>
      </c>
    </row>
    <row r="239" spans="1:8" ht="15.75" customHeight="1" x14ac:dyDescent="0.25">
      <c r="A239" s="4" t="s">
        <v>385</v>
      </c>
      <c r="B239" s="8">
        <v>234</v>
      </c>
      <c r="C239" s="8" t="s">
        <v>125</v>
      </c>
      <c r="D239" s="8" t="s">
        <v>10</v>
      </c>
      <c r="E239" s="8">
        <v>1.52</v>
      </c>
      <c r="F239" s="8" t="s">
        <v>13</v>
      </c>
      <c r="G239" s="85">
        <f>+'[1]Dự thầu'!$G$369</f>
        <v>104798</v>
      </c>
      <c r="H239" s="86">
        <f t="shared" si="8"/>
        <v>159293</v>
      </c>
    </row>
    <row r="240" spans="1:8" ht="15.75" customHeight="1" x14ac:dyDescent="0.25">
      <c r="A240" s="4" t="s">
        <v>386</v>
      </c>
      <c r="B240" s="8">
        <v>235</v>
      </c>
      <c r="C240" s="8" t="s">
        <v>387</v>
      </c>
      <c r="D240" s="8" t="s">
        <v>10</v>
      </c>
      <c r="E240" s="8">
        <v>1.94</v>
      </c>
      <c r="F240" s="8" t="s">
        <v>16</v>
      </c>
      <c r="G240" s="85">
        <f>+'[1]Dự thầu'!$G$370</f>
        <v>667791</v>
      </c>
      <c r="H240" s="86">
        <f t="shared" si="8"/>
        <v>1295515</v>
      </c>
    </row>
    <row r="241" spans="1:8" ht="15.75" customHeight="1" x14ac:dyDescent="0.25">
      <c r="A241" s="4" t="s">
        <v>388</v>
      </c>
      <c r="B241" s="8">
        <v>236</v>
      </c>
      <c r="C241" s="8" t="s">
        <v>120</v>
      </c>
      <c r="D241" s="8" t="s">
        <v>10</v>
      </c>
      <c r="E241" s="8">
        <v>4.8099999999999996</v>
      </c>
      <c r="F241" s="8" t="s">
        <v>16</v>
      </c>
      <c r="G241" s="85">
        <f>+'[1]Dự thầu'!$G$371</f>
        <v>1191268</v>
      </c>
      <c r="H241" s="86">
        <f t="shared" si="8"/>
        <v>5729999</v>
      </c>
    </row>
    <row r="242" spans="1:8" ht="15.75" customHeight="1" x14ac:dyDescent="0.25">
      <c r="A242" s="4" t="s">
        <v>389</v>
      </c>
      <c r="B242" s="8">
        <v>237</v>
      </c>
      <c r="C242" s="8" t="s">
        <v>125</v>
      </c>
      <c r="D242" s="8" t="s">
        <v>10</v>
      </c>
      <c r="E242" s="8">
        <v>15.66</v>
      </c>
      <c r="F242" s="8" t="s">
        <v>13</v>
      </c>
      <c r="G242" s="85">
        <f>+'[1]Dự thầu'!$G$372</f>
        <v>104798</v>
      </c>
      <c r="H242" s="86">
        <f t="shared" si="8"/>
        <v>1641137</v>
      </c>
    </row>
    <row r="243" spans="1:8" ht="15.75" customHeight="1" x14ac:dyDescent="0.25">
      <c r="A243" s="4" t="s">
        <v>390</v>
      </c>
      <c r="B243" s="8">
        <v>238</v>
      </c>
      <c r="C243" s="8" t="s">
        <v>240</v>
      </c>
      <c r="D243" s="8" t="s">
        <v>10</v>
      </c>
      <c r="E243" s="8">
        <v>1.68</v>
      </c>
      <c r="F243" s="8" t="s">
        <v>16</v>
      </c>
      <c r="G243" s="85">
        <f>+'[1]Dự thầu'!$G$373</f>
        <v>842139</v>
      </c>
      <c r="H243" s="86">
        <f t="shared" si="8"/>
        <v>1414794</v>
      </c>
    </row>
    <row r="244" spans="1:8" ht="15.75" customHeight="1" x14ac:dyDescent="0.25">
      <c r="A244" s="4" t="s">
        <v>391</v>
      </c>
      <c r="B244" s="8">
        <v>239</v>
      </c>
      <c r="C244" s="8" t="s">
        <v>122</v>
      </c>
      <c r="D244" s="8" t="s">
        <v>10</v>
      </c>
      <c r="E244" s="8">
        <v>13.72</v>
      </c>
      <c r="F244" s="8" t="s">
        <v>16</v>
      </c>
      <c r="G244" s="85">
        <f>+'[1]Dự thầu'!$G$374</f>
        <v>1866757</v>
      </c>
      <c r="H244" s="86">
        <f t="shared" si="8"/>
        <v>25611906</v>
      </c>
    </row>
    <row r="245" spans="1:8" ht="15.75" customHeight="1" x14ac:dyDescent="0.25">
      <c r="A245" s="4" t="s">
        <v>392</v>
      </c>
      <c r="B245" s="8">
        <v>240</v>
      </c>
      <c r="C245" s="8" t="s">
        <v>393</v>
      </c>
      <c r="D245" s="8" t="s">
        <v>10</v>
      </c>
      <c r="E245" s="8">
        <v>85.39</v>
      </c>
      <c r="F245" s="8" t="s">
        <v>13</v>
      </c>
      <c r="G245" s="85">
        <f>+'[1]Dự thầu'!$G$375</f>
        <v>79477</v>
      </c>
      <c r="H245" s="86">
        <f t="shared" si="8"/>
        <v>6786541</v>
      </c>
    </row>
    <row r="246" spans="1:8" ht="15.75" customHeight="1" x14ac:dyDescent="0.25">
      <c r="A246" s="4" t="s">
        <v>394</v>
      </c>
      <c r="B246" s="8">
        <v>241</v>
      </c>
      <c r="C246" s="8" t="s">
        <v>242</v>
      </c>
      <c r="D246" s="8" t="s">
        <v>10</v>
      </c>
      <c r="E246" s="8">
        <v>0.39</v>
      </c>
      <c r="F246" s="8" t="s">
        <v>16</v>
      </c>
      <c r="G246" s="85">
        <f>+'[1]Dự thầu'!$G$376</f>
        <v>1631803</v>
      </c>
      <c r="H246" s="86">
        <f t="shared" si="8"/>
        <v>636403</v>
      </c>
    </row>
    <row r="247" spans="1:8" ht="15.75" customHeight="1" x14ac:dyDescent="0.25">
      <c r="A247" s="4" t="s">
        <v>395</v>
      </c>
      <c r="B247" s="8">
        <v>242</v>
      </c>
      <c r="C247" s="8" t="s">
        <v>244</v>
      </c>
      <c r="D247" s="8" t="s">
        <v>10</v>
      </c>
      <c r="E247" s="8">
        <v>1.62</v>
      </c>
      <c r="F247" s="8" t="s">
        <v>13</v>
      </c>
      <c r="G247" s="85">
        <f>+'[1]Dự thầu'!$G$377</f>
        <v>87361</v>
      </c>
      <c r="H247" s="86">
        <f t="shared" si="8"/>
        <v>141525</v>
      </c>
    </row>
    <row r="248" spans="1:8" ht="15.75" customHeight="1" x14ac:dyDescent="0.25">
      <c r="A248" s="4" t="s">
        <v>396</v>
      </c>
      <c r="B248" s="8">
        <v>243</v>
      </c>
      <c r="C248" s="8" t="s">
        <v>246</v>
      </c>
      <c r="D248" s="8" t="s">
        <v>10</v>
      </c>
      <c r="E248" s="8">
        <v>0.01</v>
      </c>
      <c r="F248" s="8" t="s">
        <v>90</v>
      </c>
      <c r="G248" s="85">
        <f>+'[1]Dự thầu'!$G$378</f>
        <v>27096238</v>
      </c>
      <c r="H248" s="86">
        <f t="shared" si="8"/>
        <v>270962</v>
      </c>
    </row>
    <row r="249" spans="1:8" ht="15.75" customHeight="1" x14ac:dyDescent="0.25">
      <c r="A249" s="4" t="s">
        <v>397</v>
      </c>
      <c r="B249" s="8">
        <v>244</v>
      </c>
      <c r="C249" s="8" t="s">
        <v>246</v>
      </c>
      <c r="D249" s="8" t="s">
        <v>10</v>
      </c>
      <c r="E249" s="8">
        <v>0.1</v>
      </c>
      <c r="F249" s="8" t="s">
        <v>90</v>
      </c>
      <c r="G249" s="85">
        <f>+'[1]Dự thầu'!$G$379</f>
        <v>27096238</v>
      </c>
      <c r="H249" s="86">
        <f t="shared" si="8"/>
        <v>2709624</v>
      </c>
    </row>
    <row r="250" spans="1:8" ht="15.75" customHeight="1" x14ac:dyDescent="0.25">
      <c r="A250" s="4" t="s">
        <v>398</v>
      </c>
      <c r="B250" s="8">
        <v>245</v>
      </c>
      <c r="C250" s="8" t="s">
        <v>272</v>
      </c>
      <c r="D250" s="8" t="s">
        <v>10</v>
      </c>
      <c r="E250" s="8">
        <v>0.97</v>
      </c>
      <c r="F250" s="8" t="s">
        <v>90</v>
      </c>
      <c r="G250" s="85">
        <f>+'[1]Dự thầu'!$G$380</f>
        <v>51234</v>
      </c>
      <c r="H250" s="86">
        <f t="shared" si="8"/>
        <v>49697</v>
      </c>
    </row>
    <row r="251" spans="1:8" ht="15.75" customHeight="1" x14ac:dyDescent="0.25">
      <c r="A251" s="4" t="s">
        <v>399</v>
      </c>
      <c r="B251" s="8">
        <v>246</v>
      </c>
      <c r="C251" s="8" t="s">
        <v>252</v>
      </c>
      <c r="D251" s="8" t="s">
        <v>10</v>
      </c>
      <c r="E251" s="8">
        <v>0.1</v>
      </c>
      <c r="F251" s="8" t="s">
        <v>274</v>
      </c>
      <c r="G251" s="85">
        <f>+'[1]Dự thầu'!$G$381</f>
        <v>32162</v>
      </c>
      <c r="H251" s="86">
        <f t="shared" si="8"/>
        <v>3216</v>
      </c>
    </row>
    <row r="252" spans="1:8" ht="15.75" customHeight="1" x14ac:dyDescent="0.25">
      <c r="A252" s="4" t="s">
        <v>400</v>
      </c>
      <c r="B252" s="8">
        <v>247</v>
      </c>
      <c r="C252" s="8" t="s">
        <v>296</v>
      </c>
      <c r="D252" s="8" t="s">
        <v>10</v>
      </c>
      <c r="E252" s="8">
        <v>8</v>
      </c>
      <c r="F252" s="8" t="s">
        <v>297</v>
      </c>
      <c r="G252" s="85">
        <f>+'[1]Dự thầu'!$G$382</f>
        <v>36395</v>
      </c>
      <c r="H252" s="86">
        <f t="shared" si="8"/>
        <v>291160</v>
      </c>
    </row>
    <row r="253" spans="1:8" ht="15.75" customHeight="1" x14ac:dyDescent="0.25">
      <c r="A253" s="4" t="s">
        <v>401</v>
      </c>
      <c r="B253" s="8">
        <v>248</v>
      </c>
      <c r="C253" s="8" t="s">
        <v>120</v>
      </c>
      <c r="D253" s="8" t="s">
        <v>10</v>
      </c>
      <c r="E253" s="8">
        <v>0.02</v>
      </c>
      <c r="F253" s="8" t="s">
        <v>16</v>
      </c>
      <c r="G253" s="85">
        <f>+'[1]Dự thầu'!$G$383</f>
        <v>1191268</v>
      </c>
      <c r="H253" s="86">
        <f t="shared" si="8"/>
        <v>23825</v>
      </c>
    </row>
    <row r="254" spans="1:8" ht="15.75" customHeight="1" x14ac:dyDescent="0.25">
      <c r="A254" s="4" t="s">
        <v>402</v>
      </c>
      <c r="B254" s="8">
        <v>249</v>
      </c>
      <c r="C254" s="8" t="s">
        <v>278</v>
      </c>
      <c r="D254" s="8" t="s">
        <v>10</v>
      </c>
      <c r="E254" s="8">
        <v>0.16</v>
      </c>
      <c r="F254" s="8" t="s">
        <v>16</v>
      </c>
      <c r="G254" s="85">
        <f>+'[1]Dự thầu'!$G$384</f>
        <v>1533135</v>
      </c>
      <c r="H254" s="86">
        <f t="shared" si="8"/>
        <v>245302</v>
      </c>
    </row>
    <row r="255" spans="1:8" ht="15.75" customHeight="1" x14ac:dyDescent="0.25">
      <c r="A255" s="4" t="s">
        <v>403</v>
      </c>
      <c r="B255" s="8">
        <v>250</v>
      </c>
      <c r="C255" s="8" t="s">
        <v>244</v>
      </c>
      <c r="D255" s="8" t="s">
        <v>10</v>
      </c>
      <c r="E255" s="8">
        <v>0.7</v>
      </c>
      <c r="F255" s="8" t="s">
        <v>13</v>
      </c>
      <c r="G255" s="85">
        <f>+'[1]Dự thầu'!$G$385</f>
        <v>87361</v>
      </c>
      <c r="H255" s="86">
        <f t="shared" si="8"/>
        <v>61153</v>
      </c>
    </row>
    <row r="256" spans="1:8" ht="15.75" customHeight="1" x14ac:dyDescent="0.25">
      <c r="A256" s="4" t="s">
        <v>404</v>
      </c>
      <c r="B256" s="8">
        <v>251</v>
      </c>
      <c r="C256" s="8" t="s">
        <v>405</v>
      </c>
      <c r="D256" s="8" t="s">
        <v>10</v>
      </c>
      <c r="E256" s="8">
        <v>4</v>
      </c>
      <c r="F256" s="8" t="s">
        <v>75</v>
      </c>
      <c r="G256" s="85">
        <f>+'[1]Dự thầu'!$G$386</f>
        <v>320929</v>
      </c>
      <c r="H256" s="86">
        <f t="shared" si="8"/>
        <v>1283716</v>
      </c>
    </row>
    <row r="257" spans="1:8" ht="15.75" customHeight="1" x14ac:dyDescent="0.25">
      <c r="A257" s="4" t="s">
        <v>406</v>
      </c>
      <c r="B257" s="8">
        <v>252</v>
      </c>
      <c r="C257" s="8" t="s">
        <v>272</v>
      </c>
      <c r="D257" s="8" t="s">
        <v>10</v>
      </c>
      <c r="E257" s="8">
        <v>0.41</v>
      </c>
      <c r="F257" s="8" t="s">
        <v>90</v>
      </c>
      <c r="G257" s="85">
        <f>+'[1]Dự thầu'!$G$387</f>
        <v>51234</v>
      </c>
      <c r="H257" s="86">
        <f t="shared" ref="H257:H266" si="9">+ROUND(G257*E257,0)</f>
        <v>21006</v>
      </c>
    </row>
    <row r="258" spans="1:8" ht="15.75" customHeight="1" x14ac:dyDescent="0.25">
      <c r="A258" s="4" t="s">
        <v>407</v>
      </c>
      <c r="B258" s="8">
        <v>253</v>
      </c>
      <c r="C258" s="8" t="s">
        <v>284</v>
      </c>
      <c r="D258" s="8" t="s">
        <v>10</v>
      </c>
      <c r="E258" s="8">
        <v>0.04</v>
      </c>
      <c r="F258" s="8" t="s">
        <v>274</v>
      </c>
      <c r="G258" s="85">
        <f>+'[1]Dự thầu'!$G$388</f>
        <v>32162</v>
      </c>
      <c r="H258" s="86">
        <f t="shared" si="9"/>
        <v>1286</v>
      </c>
    </row>
    <row r="259" spans="1:8" ht="15.75" customHeight="1" x14ac:dyDescent="0.25">
      <c r="A259" s="4" t="s">
        <v>408</v>
      </c>
      <c r="B259" s="8">
        <v>254</v>
      </c>
      <c r="C259" s="8" t="s">
        <v>242</v>
      </c>
      <c r="D259" s="8" t="s">
        <v>10</v>
      </c>
      <c r="E259" s="8">
        <v>0.38</v>
      </c>
      <c r="F259" s="8" t="s">
        <v>16</v>
      </c>
      <c r="G259" s="85">
        <f>+'[1]Dự thầu'!$G$389</f>
        <v>1631803</v>
      </c>
      <c r="H259" s="86">
        <f t="shared" si="9"/>
        <v>620085</v>
      </c>
    </row>
    <row r="260" spans="1:8" ht="15.75" customHeight="1" x14ac:dyDescent="0.25">
      <c r="A260" s="4" t="s">
        <v>409</v>
      </c>
      <c r="B260" s="8">
        <v>255</v>
      </c>
      <c r="C260" s="8" t="s">
        <v>244</v>
      </c>
      <c r="D260" s="8" t="s">
        <v>10</v>
      </c>
      <c r="E260" s="8">
        <v>7.48</v>
      </c>
      <c r="F260" s="8" t="s">
        <v>13</v>
      </c>
      <c r="G260" s="85">
        <f>+'[1]Dự thầu'!$G$390</f>
        <v>87361</v>
      </c>
      <c r="H260" s="86">
        <f t="shared" si="9"/>
        <v>653460</v>
      </c>
    </row>
    <row r="261" spans="1:8" ht="15.75" customHeight="1" x14ac:dyDescent="0.25">
      <c r="A261" s="4" t="s">
        <v>410</v>
      </c>
      <c r="B261" s="8">
        <v>256</v>
      </c>
      <c r="C261" s="8" t="s">
        <v>246</v>
      </c>
      <c r="D261" s="8" t="s">
        <v>10</v>
      </c>
      <c r="E261" s="8">
        <v>0.01</v>
      </c>
      <c r="F261" s="8" t="s">
        <v>90</v>
      </c>
      <c r="G261" s="85">
        <f>+'[1]Dự thầu'!$G$391</f>
        <v>27096238</v>
      </c>
      <c r="H261" s="86">
        <f t="shared" si="9"/>
        <v>270962</v>
      </c>
    </row>
    <row r="262" spans="1:8" ht="15.75" customHeight="1" x14ac:dyDescent="0.25">
      <c r="A262" s="4" t="s">
        <v>411</v>
      </c>
      <c r="B262" s="8">
        <v>257</v>
      </c>
      <c r="C262" s="8" t="s">
        <v>246</v>
      </c>
      <c r="D262" s="8" t="s">
        <v>10</v>
      </c>
      <c r="E262" s="8">
        <v>0.03</v>
      </c>
      <c r="F262" s="8" t="s">
        <v>90</v>
      </c>
      <c r="G262" s="85">
        <f>+'[1]Dự thầu'!$G$392</f>
        <v>27096238</v>
      </c>
      <c r="H262" s="86">
        <f t="shared" si="9"/>
        <v>812887</v>
      </c>
    </row>
    <row r="263" spans="1:8" ht="15.75" customHeight="1" x14ac:dyDescent="0.25">
      <c r="A263" s="4" t="s">
        <v>412</v>
      </c>
      <c r="B263" s="8">
        <v>258</v>
      </c>
      <c r="C263" s="8" t="s">
        <v>272</v>
      </c>
      <c r="D263" s="8" t="s">
        <v>10</v>
      </c>
      <c r="E263" s="8">
        <v>0.94</v>
      </c>
      <c r="F263" s="8" t="s">
        <v>90</v>
      </c>
      <c r="G263" s="85">
        <f>+'[1]Dự thầu'!$G$393</f>
        <v>51234</v>
      </c>
      <c r="H263" s="86">
        <f t="shared" si="9"/>
        <v>48160</v>
      </c>
    </row>
    <row r="264" spans="1:8" ht="15.75" customHeight="1" x14ac:dyDescent="0.25">
      <c r="A264" s="4" t="s">
        <v>413</v>
      </c>
      <c r="B264" s="8">
        <v>259</v>
      </c>
      <c r="C264" s="8" t="s">
        <v>252</v>
      </c>
      <c r="D264" s="8" t="s">
        <v>10</v>
      </c>
      <c r="E264" s="8">
        <v>0.09</v>
      </c>
      <c r="F264" s="8" t="s">
        <v>253</v>
      </c>
      <c r="G264" s="85">
        <f>+'[1]Dự thầu'!$G$394</f>
        <v>32162</v>
      </c>
      <c r="H264" s="86">
        <f t="shared" si="9"/>
        <v>2895</v>
      </c>
    </row>
    <row r="265" spans="1:8" ht="15.75" customHeight="1" x14ac:dyDescent="0.25">
      <c r="A265" s="4" t="s">
        <v>414</v>
      </c>
      <c r="B265" s="8">
        <v>260</v>
      </c>
      <c r="C265" s="8" t="s">
        <v>296</v>
      </c>
      <c r="D265" s="8" t="s">
        <v>10</v>
      </c>
      <c r="E265" s="8">
        <v>4</v>
      </c>
      <c r="F265" s="8" t="s">
        <v>297</v>
      </c>
      <c r="G265" s="85">
        <f>+'[1]Dự thầu'!$G$395</f>
        <v>36395</v>
      </c>
      <c r="H265" s="86">
        <f t="shared" si="9"/>
        <v>145580</v>
      </c>
    </row>
    <row r="266" spans="1:8" ht="15.75" customHeight="1" x14ac:dyDescent="0.25">
      <c r="A266" s="4" t="s">
        <v>415</v>
      </c>
      <c r="B266" s="8">
        <v>261</v>
      </c>
      <c r="C266" s="8" t="s">
        <v>299</v>
      </c>
      <c r="D266" s="8" t="s">
        <v>10</v>
      </c>
      <c r="E266" s="8">
        <v>4</v>
      </c>
      <c r="F266" s="8" t="s">
        <v>258</v>
      </c>
      <c r="G266" s="85">
        <f>+'[1]Dự thầu'!$G$396</f>
        <v>787114</v>
      </c>
      <c r="H266" s="86">
        <f t="shared" si="9"/>
        <v>3148456</v>
      </c>
    </row>
    <row r="267" spans="1:8" ht="15.75" customHeight="1" x14ac:dyDescent="0.25">
      <c r="A267" s="4">
        <v>5</v>
      </c>
      <c r="B267" s="8">
        <v>262</v>
      </c>
      <c r="C267" s="8" t="s">
        <v>416</v>
      </c>
      <c r="D267" s="8" t="s">
        <v>10</v>
      </c>
      <c r="E267" s="8"/>
      <c r="F267" s="8"/>
      <c r="G267" s="85"/>
      <c r="H267" s="86"/>
    </row>
    <row r="268" spans="1:8" ht="15.75" customHeight="1" x14ac:dyDescent="0.25">
      <c r="A268" s="4" t="s">
        <v>417</v>
      </c>
      <c r="B268" s="8">
        <v>263</v>
      </c>
      <c r="C268" s="8" t="s">
        <v>418</v>
      </c>
      <c r="D268" s="8" t="s">
        <v>10</v>
      </c>
      <c r="E268" s="8">
        <v>1</v>
      </c>
      <c r="F268" s="8" t="s">
        <v>419</v>
      </c>
      <c r="G268" s="85">
        <f>+'[1]Dự thầu'!$G$416</f>
        <v>4332357</v>
      </c>
      <c r="H268" s="86">
        <f t="shared" ref="H268:H307" si="10">+ROUND(G268*E268,0)</f>
        <v>4332357</v>
      </c>
    </row>
    <row r="269" spans="1:8" ht="15.75" customHeight="1" x14ac:dyDescent="0.25">
      <c r="A269" s="4" t="s">
        <v>420</v>
      </c>
      <c r="B269" s="8">
        <v>264</v>
      </c>
      <c r="C269" s="8" t="s">
        <v>421</v>
      </c>
      <c r="D269" s="8" t="s">
        <v>10</v>
      </c>
      <c r="E269" s="8">
        <v>8</v>
      </c>
      <c r="F269" s="8" t="s">
        <v>419</v>
      </c>
      <c r="G269" s="85">
        <f>+'[1]Dự thầu'!$G$417</f>
        <v>7260882</v>
      </c>
      <c r="H269" s="86">
        <f t="shared" si="10"/>
        <v>58087056</v>
      </c>
    </row>
    <row r="270" spans="1:8" ht="15.75" customHeight="1" x14ac:dyDescent="0.25">
      <c r="A270" s="4" t="s">
        <v>422</v>
      </c>
      <c r="B270" s="8">
        <v>265</v>
      </c>
      <c r="C270" s="8" t="s">
        <v>423</v>
      </c>
      <c r="D270" s="8" t="s">
        <v>10</v>
      </c>
      <c r="E270" s="8">
        <v>4</v>
      </c>
      <c r="F270" s="8" t="s">
        <v>419</v>
      </c>
      <c r="G270" s="85">
        <f>+'[1]Dự thầu'!$G$418</f>
        <v>13690906</v>
      </c>
      <c r="H270" s="86">
        <f t="shared" si="10"/>
        <v>54763624</v>
      </c>
    </row>
    <row r="271" spans="1:8" ht="15.75" customHeight="1" x14ac:dyDescent="0.25">
      <c r="A271" s="4" t="s">
        <v>424</v>
      </c>
      <c r="B271" s="8">
        <v>266</v>
      </c>
      <c r="C271" s="8" t="s">
        <v>425</v>
      </c>
      <c r="D271" s="8" t="s">
        <v>10</v>
      </c>
      <c r="E271" s="8">
        <v>4</v>
      </c>
      <c r="F271" s="8" t="s">
        <v>419</v>
      </c>
      <c r="G271" s="85">
        <f>+'[1]Dự thầu'!$G$419</f>
        <v>22094501</v>
      </c>
      <c r="H271" s="86">
        <f t="shared" si="10"/>
        <v>88378004</v>
      </c>
    </row>
    <row r="272" spans="1:8" ht="15.75" customHeight="1" x14ac:dyDescent="0.25">
      <c r="A272" s="4" t="s">
        <v>426</v>
      </c>
      <c r="B272" s="8">
        <v>267</v>
      </c>
      <c r="C272" s="8" t="s">
        <v>427</v>
      </c>
      <c r="D272" s="8" t="s">
        <v>10</v>
      </c>
      <c r="E272" s="8">
        <v>9</v>
      </c>
      <c r="F272" s="8" t="s">
        <v>428</v>
      </c>
      <c r="G272" s="85">
        <f>+'[1]Dự thầu'!$G$420</f>
        <v>725765</v>
      </c>
      <c r="H272" s="86">
        <f t="shared" si="10"/>
        <v>6531885</v>
      </c>
    </row>
    <row r="273" spans="1:8" ht="15.75" customHeight="1" x14ac:dyDescent="0.25">
      <c r="A273" s="4" t="s">
        <v>429</v>
      </c>
      <c r="B273" s="8">
        <v>268</v>
      </c>
      <c r="C273" s="8" t="s">
        <v>430</v>
      </c>
      <c r="D273" s="8" t="s">
        <v>10</v>
      </c>
      <c r="E273" s="8">
        <v>4</v>
      </c>
      <c r="F273" s="8" t="s">
        <v>428</v>
      </c>
      <c r="G273" s="85">
        <f>+'[1]Dự thầu'!$G$421</f>
        <v>1056816</v>
      </c>
      <c r="H273" s="86">
        <f t="shared" si="10"/>
        <v>4227264</v>
      </c>
    </row>
    <row r="274" spans="1:8" ht="15.75" customHeight="1" x14ac:dyDescent="0.25">
      <c r="A274" s="4" t="s">
        <v>431</v>
      </c>
      <c r="B274" s="8">
        <v>269</v>
      </c>
      <c r="C274" s="8" t="s">
        <v>432</v>
      </c>
      <c r="D274" s="8" t="s">
        <v>10</v>
      </c>
      <c r="E274" s="8">
        <v>4</v>
      </c>
      <c r="F274" s="8" t="s">
        <v>428</v>
      </c>
      <c r="G274" s="85">
        <f>+'[1]Dự thầu'!$G$422</f>
        <v>4227263</v>
      </c>
      <c r="H274" s="86">
        <f t="shared" si="10"/>
        <v>16909052</v>
      </c>
    </row>
    <row r="275" spans="1:8" ht="15.75" customHeight="1" x14ac:dyDescent="0.25">
      <c r="A275" s="4" t="s">
        <v>433</v>
      </c>
      <c r="B275" s="8">
        <v>270</v>
      </c>
      <c r="C275" s="8" t="s">
        <v>434</v>
      </c>
      <c r="D275" s="8" t="s">
        <v>10</v>
      </c>
      <c r="E275" s="8">
        <v>16</v>
      </c>
      <c r="F275" s="8" t="s">
        <v>428</v>
      </c>
      <c r="G275" s="85">
        <f>+'[1]Dự thầu'!$G$423</f>
        <v>10754096</v>
      </c>
      <c r="H275" s="86">
        <f t="shared" si="10"/>
        <v>172065536</v>
      </c>
    </row>
    <row r="276" spans="1:8" ht="15.75" customHeight="1" x14ac:dyDescent="0.25">
      <c r="A276" s="4" t="s">
        <v>435</v>
      </c>
      <c r="B276" s="8">
        <v>271</v>
      </c>
      <c r="C276" s="8" t="s">
        <v>436</v>
      </c>
      <c r="D276" s="8" t="s">
        <v>10</v>
      </c>
      <c r="E276" s="8">
        <v>4</v>
      </c>
      <c r="F276" s="8" t="s">
        <v>428</v>
      </c>
      <c r="G276" s="85">
        <f>+'[1]Dự thầu'!$G$424</f>
        <v>8589534</v>
      </c>
      <c r="H276" s="86">
        <f t="shared" si="10"/>
        <v>34358136</v>
      </c>
    </row>
    <row r="277" spans="1:8" ht="15.75" customHeight="1" x14ac:dyDescent="0.25">
      <c r="A277" s="4" t="s">
        <v>437</v>
      </c>
      <c r="B277" s="8">
        <v>272</v>
      </c>
      <c r="C277" s="8" t="s">
        <v>438</v>
      </c>
      <c r="D277" s="8" t="s">
        <v>10</v>
      </c>
      <c r="E277" s="8">
        <v>8</v>
      </c>
      <c r="F277" s="8" t="s">
        <v>428</v>
      </c>
      <c r="G277" s="85">
        <f>+'[1]Dự thầu'!$G$425</f>
        <v>8080225</v>
      </c>
      <c r="H277" s="86">
        <f t="shared" si="10"/>
        <v>64641800</v>
      </c>
    </row>
    <row r="278" spans="1:8" ht="15.75" customHeight="1" x14ac:dyDescent="0.25">
      <c r="A278" s="4" t="s">
        <v>439</v>
      </c>
      <c r="B278" s="8">
        <v>273</v>
      </c>
      <c r="C278" s="8" t="s">
        <v>440</v>
      </c>
      <c r="D278" s="8" t="s">
        <v>10</v>
      </c>
      <c r="E278" s="8">
        <v>12</v>
      </c>
      <c r="F278" s="8" t="s">
        <v>428</v>
      </c>
      <c r="G278" s="85">
        <f>+'[1]Dự thầu'!$G$426</f>
        <v>9035179</v>
      </c>
      <c r="H278" s="86">
        <f t="shared" si="10"/>
        <v>108422148</v>
      </c>
    </row>
    <row r="279" spans="1:8" ht="15.75" customHeight="1" x14ac:dyDescent="0.25">
      <c r="A279" s="4" t="s">
        <v>441</v>
      </c>
      <c r="B279" s="8">
        <v>274</v>
      </c>
      <c r="C279" s="8" t="s">
        <v>442</v>
      </c>
      <c r="D279" s="8" t="s">
        <v>10</v>
      </c>
      <c r="E279" s="8">
        <v>17</v>
      </c>
      <c r="F279" s="8" t="s">
        <v>428</v>
      </c>
      <c r="G279" s="85">
        <f>+'[1]Dự thầu'!$G$427</f>
        <v>5788335</v>
      </c>
      <c r="H279" s="86">
        <f t="shared" si="10"/>
        <v>98401695</v>
      </c>
    </row>
    <row r="280" spans="1:8" ht="15.75" customHeight="1" x14ac:dyDescent="0.25">
      <c r="A280" s="4" t="s">
        <v>443</v>
      </c>
      <c r="B280" s="8">
        <v>275</v>
      </c>
      <c r="C280" s="8" t="s">
        <v>444</v>
      </c>
      <c r="D280" s="8" t="s">
        <v>10</v>
      </c>
      <c r="E280" s="8">
        <v>2</v>
      </c>
      <c r="F280" s="8" t="s">
        <v>445</v>
      </c>
      <c r="G280" s="85">
        <f>+'[1]Dự thầu'!$G$428</f>
        <v>95959049</v>
      </c>
      <c r="H280" s="86">
        <f t="shared" si="10"/>
        <v>191918098</v>
      </c>
    </row>
    <row r="281" spans="1:8" ht="15.75" customHeight="1" x14ac:dyDescent="0.25">
      <c r="A281" s="4" t="s">
        <v>446</v>
      </c>
      <c r="B281" s="8">
        <v>276</v>
      </c>
      <c r="C281" s="8" t="s">
        <v>447</v>
      </c>
      <c r="D281" s="8" t="s">
        <v>10</v>
      </c>
      <c r="E281" s="8">
        <v>2</v>
      </c>
      <c r="F281" s="8" t="s">
        <v>428</v>
      </c>
      <c r="G281" s="85">
        <f>+'[1]Dự thầu'!$G$429</f>
        <v>786882</v>
      </c>
      <c r="H281" s="86">
        <f t="shared" si="10"/>
        <v>1573764</v>
      </c>
    </row>
    <row r="282" spans="1:8" ht="15.75" customHeight="1" x14ac:dyDescent="0.25">
      <c r="A282" s="4" t="s">
        <v>448</v>
      </c>
      <c r="B282" s="8">
        <v>277</v>
      </c>
      <c r="C282" s="8" t="s">
        <v>449</v>
      </c>
      <c r="D282" s="8" t="s">
        <v>10</v>
      </c>
      <c r="E282" s="8">
        <v>670.73</v>
      </c>
      <c r="F282" s="8" t="s">
        <v>75</v>
      </c>
      <c r="G282" s="85">
        <f>+'[1]Dự thầu'!$G$430</f>
        <v>235597</v>
      </c>
      <c r="H282" s="86">
        <f t="shared" si="10"/>
        <v>158021976</v>
      </c>
    </row>
    <row r="283" spans="1:8" ht="15.75" customHeight="1" x14ac:dyDescent="0.25">
      <c r="A283" s="4" t="s">
        <v>450</v>
      </c>
      <c r="B283" s="8">
        <v>278</v>
      </c>
      <c r="C283" s="8" t="s">
        <v>451</v>
      </c>
      <c r="D283" s="8" t="s">
        <v>10</v>
      </c>
      <c r="E283" s="8">
        <v>55.62</v>
      </c>
      <c r="F283" s="8" t="s">
        <v>75</v>
      </c>
      <c r="G283" s="85">
        <f>+'[1]Dự thầu'!$G$431</f>
        <v>155482</v>
      </c>
      <c r="H283" s="86">
        <f t="shared" si="10"/>
        <v>8647909</v>
      </c>
    </row>
    <row r="284" spans="1:8" ht="15.75" customHeight="1" x14ac:dyDescent="0.25">
      <c r="A284" s="4" t="s">
        <v>452</v>
      </c>
      <c r="B284" s="8">
        <v>279</v>
      </c>
      <c r="C284" s="8" t="s">
        <v>453</v>
      </c>
      <c r="D284" s="8" t="s">
        <v>10</v>
      </c>
      <c r="E284" s="8">
        <v>411</v>
      </c>
      <c r="F284" s="8" t="s">
        <v>75</v>
      </c>
      <c r="G284" s="85">
        <f>+'[1]Dự thầu'!$G$432</f>
        <v>47417</v>
      </c>
      <c r="H284" s="86">
        <f t="shared" si="10"/>
        <v>19488387</v>
      </c>
    </row>
    <row r="285" spans="1:8" ht="15.75" customHeight="1" x14ac:dyDescent="0.25">
      <c r="A285" s="4" t="s">
        <v>454</v>
      </c>
      <c r="B285" s="8">
        <v>280</v>
      </c>
      <c r="C285" s="8" t="s">
        <v>455</v>
      </c>
      <c r="D285" s="8" t="s">
        <v>10</v>
      </c>
      <c r="E285" s="8">
        <v>31</v>
      </c>
      <c r="F285" s="8" t="s">
        <v>456</v>
      </c>
      <c r="G285" s="85">
        <f>+'[1]Dự thầu'!$G$433</f>
        <v>1313212</v>
      </c>
      <c r="H285" s="86">
        <f t="shared" si="10"/>
        <v>40709572</v>
      </c>
    </row>
    <row r="286" spans="1:8" ht="15.75" customHeight="1" x14ac:dyDescent="0.25">
      <c r="A286" s="4" t="s">
        <v>457</v>
      </c>
      <c r="B286" s="8">
        <v>281</v>
      </c>
      <c r="C286" s="8" t="s">
        <v>458</v>
      </c>
      <c r="D286" s="8" t="s">
        <v>10</v>
      </c>
      <c r="E286" s="8">
        <v>518</v>
      </c>
      <c r="F286" s="8" t="s">
        <v>75</v>
      </c>
      <c r="G286" s="85">
        <f>+'[1]Dự thầu'!$G$434</f>
        <v>42291</v>
      </c>
      <c r="H286" s="86">
        <f t="shared" si="10"/>
        <v>21906738</v>
      </c>
    </row>
    <row r="287" spans="1:8" ht="15.75" customHeight="1" x14ac:dyDescent="0.25">
      <c r="A287" s="4" t="s">
        <v>459</v>
      </c>
      <c r="B287" s="8">
        <v>282</v>
      </c>
      <c r="C287" s="8" t="s">
        <v>460</v>
      </c>
      <c r="D287" s="8" t="s">
        <v>10</v>
      </c>
      <c r="E287" s="8">
        <v>17</v>
      </c>
      <c r="F287" s="8" t="s">
        <v>258</v>
      </c>
      <c r="G287" s="85">
        <f>+'[1]Dự thầu'!$G$435</f>
        <v>194956</v>
      </c>
      <c r="H287" s="86">
        <f t="shared" si="10"/>
        <v>3314252</v>
      </c>
    </row>
    <row r="288" spans="1:8" ht="15.75" customHeight="1" x14ac:dyDescent="0.25">
      <c r="A288" s="4" t="s">
        <v>461</v>
      </c>
      <c r="B288" s="8">
        <v>283</v>
      </c>
      <c r="C288" s="8" t="s">
        <v>462</v>
      </c>
      <c r="D288" s="8" t="s">
        <v>10</v>
      </c>
      <c r="E288" s="8">
        <v>48</v>
      </c>
      <c r="F288" s="8" t="s">
        <v>463</v>
      </c>
      <c r="G288" s="85">
        <f>+'[1]Dự thầu'!$G$439</f>
        <v>39395</v>
      </c>
      <c r="H288" s="86">
        <f t="shared" si="10"/>
        <v>1890960</v>
      </c>
    </row>
    <row r="289" spans="1:8" ht="15.75" customHeight="1" x14ac:dyDescent="0.25">
      <c r="A289" s="4" t="s">
        <v>464</v>
      </c>
      <c r="B289" s="8">
        <v>284</v>
      </c>
      <c r="C289" s="8" t="s">
        <v>465</v>
      </c>
      <c r="D289" s="8" t="s">
        <v>10</v>
      </c>
      <c r="E289" s="8">
        <v>1.7</v>
      </c>
      <c r="F289" s="8" t="s">
        <v>466</v>
      </c>
      <c r="G289" s="85">
        <f>+'[1]Dự thầu'!$G$440</f>
        <v>440823</v>
      </c>
      <c r="H289" s="86">
        <f t="shared" si="10"/>
        <v>749399</v>
      </c>
    </row>
    <row r="290" spans="1:8" ht="15.75" customHeight="1" x14ac:dyDescent="0.25">
      <c r="A290" s="4" t="s">
        <v>467</v>
      </c>
      <c r="B290" s="8">
        <v>285</v>
      </c>
      <c r="C290" s="8" t="s">
        <v>468</v>
      </c>
      <c r="D290" s="8" t="s">
        <v>10</v>
      </c>
      <c r="E290" s="8">
        <v>48</v>
      </c>
      <c r="F290" s="8" t="s">
        <v>463</v>
      </c>
      <c r="G290" s="85">
        <f>+'[1]Dự thầu'!$G$441</f>
        <v>98805</v>
      </c>
      <c r="H290" s="86">
        <f t="shared" si="10"/>
        <v>4742640</v>
      </c>
    </row>
    <row r="291" spans="1:8" ht="15.75" customHeight="1" x14ac:dyDescent="0.25">
      <c r="A291" s="4" t="s">
        <v>469</v>
      </c>
      <c r="B291" s="8">
        <v>286</v>
      </c>
      <c r="C291" s="8" t="s">
        <v>470</v>
      </c>
      <c r="D291" s="8" t="s">
        <v>10</v>
      </c>
      <c r="E291" s="8">
        <v>5.3</v>
      </c>
      <c r="F291" s="8" t="s">
        <v>13</v>
      </c>
      <c r="G291" s="85">
        <f>+'[1]Dự thầu'!$G$442</f>
        <v>96659</v>
      </c>
      <c r="H291" s="86">
        <f t="shared" si="10"/>
        <v>512293</v>
      </c>
    </row>
    <row r="292" spans="1:8" ht="15.75" customHeight="1" x14ac:dyDescent="0.25">
      <c r="A292" s="4" t="s">
        <v>471</v>
      </c>
      <c r="B292" s="8">
        <v>287</v>
      </c>
      <c r="C292" s="8" t="s">
        <v>472</v>
      </c>
      <c r="D292" s="8" t="s">
        <v>10</v>
      </c>
      <c r="E292" s="8">
        <v>23.21</v>
      </c>
      <c r="F292" s="8" t="s">
        <v>16</v>
      </c>
      <c r="G292" s="85">
        <f>+'[1]Dự thầu'!$G$443</f>
        <v>1399730</v>
      </c>
      <c r="H292" s="86">
        <f t="shared" si="10"/>
        <v>32487733</v>
      </c>
    </row>
    <row r="293" spans="1:8" ht="15.75" customHeight="1" x14ac:dyDescent="0.25">
      <c r="A293" s="4" t="s">
        <v>473</v>
      </c>
      <c r="B293" s="8">
        <v>288</v>
      </c>
      <c r="C293" s="8" t="s">
        <v>474</v>
      </c>
      <c r="D293" s="8" t="s">
        <v>10</v>
      </c>
      <c r="E293" s="8">
        <v>10</v>
      </c>
      <c r="F293" s="8" t="s">
        <v>475</v>
      </c>
      <c r="G293" s="85">
        <f>+'[1]Dự thầu'!$G$444</f>
        <v>5910534</v>
      </c>
      <c r="H293" s="86">
        <f t="shared" si="10"/>
        <v>59105340</v>
      </c>
    </row>
    <row r="294" spans="1:8" ht="15.75" customHeight="1" x14ac:dyDescent="0.25">
      <c r="A294" s="4" t="s">
        <v>476</v>
      </c>
      <c r="B294" s="8">
        <v>289</v>
      </c>
      <c r="C294" s="8" t="s">
        <v>477</v>
      </c>
      <c r="D294" s="8" t="s">
        <v>10</v>
      </c>
      <c r="E294" s="8">
        <v>2.0299999999999998</v>
      </c>
      <c r="F294" s="8" t="s">
        <v>478</v>
      </c>
      <c r="G294" s="85">
        <f>+'[1]Dự thầu'!$G$457</f>
        <v>16542870</v>
      </c>
      <c r="H294" s="86">
        <f t="shared" si="10"/>
        <v>33582026</v>
      </c>
    </row>
    <row r="295" spans="1:8" ht="15.75" customHeight="1" x14ac:dyDescent="0.25">
      <c r="A295" s="4" t="s">
        <v>479</v>
      </c>
      <c r="B295" s="8">
        <v>290</v>
      </c>
      <c r="C295" s="8" t="s">
        <v>480</v>
      </c>
      <c r="D295" s="8" t="s">
        <v>10</v>
      </c>
      <c r="E295" s="8">
        <v>2.0699999999999998</v>
      </c>
      <c r="F295" s="8" t="s">
        <v>478</v>
      </c>
      <c r="G295" s="85">
        <f>+'[1]Dự thầu'!$G$458</f>
        <v>8589785</v>
      </c>
      <c r="H295" s="86">
        <f t="shared" si="10"/>
        <v>17780855</v>
      </c>
    </row>
    <row r="296" spans="1:8" ht="15.75" customHeight="1" x14ac:dyDescent="0.25">
      <c r="A296" s="4" t="s">
        <v>481</v>
      </c>
      <c r="B296" s="8">
        <v>291</v>
      </c>
      <c r="C296" s="8" t="s">
        <v>482</v>
      </c>
      <c r="D296" s="8" t="s">
        <v>10</v>
      </c>
      <c r="E296" s="8">
        <v>327</v>
      </c>
      <c r="F296" s="8" t="s">
        <v>75</v>
      </c>
      <c r="G296" s="85">
        <f>+'[1]Dự thầu'!$G$459</f>
        <v>6367</v>
      </c>
      <c r="H296" s="86">
        <f t="shared" si="10"/>
        <v>2082009</v>
      </c>
    </row>
    <row r="297" spans="1:8" ht="15.75" customHeight="1" x14ac:dyDescent="0.25">
      <c r="A297" s="4" t="s">
        <v>483</v>
      </c>
      <c r="B297" s="8">
        <v>292</v>
      </c>
      <c r="C297" s="8" t="s">
        <v>484</v>
      </c>
      <c r="D297" s="8" t="s">
        <v>10</v>
      </c>
      <c r="E297" s="8">
        <v>3.27</v>
      </c>
      <c r="F297" s="8" t="s">
        <v>126</v>
      </c>
      <c r="G297" s="85">
        <f>+'[1]Dự thầu'!$G$460</f>
        <v>128081</v>
      </c>
      <c r="H297" s="86">
        <f t="shared" si="10"/>
        <v>418825</v>
      </c>
    </row>
    <row r="298" spans="1:8" ht="15.75" customHeight="1" x14ac:dyDescent="0.25">
      <c r="A298" s="4" t="s">
        <v>485</v>
      </c>
      <c r="B298" s="8">
        <v>293</v>
      </c>
      <c r="C298" s="8" t="s">
        <v>486</v>
      </c>
      <c r="D298" s="8" t="s">
        <v>10</v>
      </c>
      <c r="E298" s="8">
        <v>1635</v>
      </c>
      <c r="F298" s="8" t="s">
        <v>487</v>
      </c>
      <c r="G298" s="85">
        <f>+'[1]Dự thầu'!$G$461</f>
        <v>1535</v>
      </c>
      <c r="H298" s="86">
        <f t="shared" si="10"/>
        <v>2509725</v>
      </c>
    </row>
    <row r="299" spans="1:8" ht="15.75" customHeight="1" x14ac:dyDescent="0.25">
      <c r="A299" s="4" t="s">
        <v>488</v>
      </c>
      <c r="B299" s="8">
        <v>294</v>
      </c>
      <c r="C299" s="8" t="s">
        <v>489</v>
      </c>
      <c r="D299" s="8" t="s">
        <v>10</v>
      </c>
      <c r="E299" s="8">
        <v>1.635</v>
      </c>
      <c r="F299" s="8" t="s">
        <v>490</v>
      </c>
      <c r="G299" s="85">
        <f>+'[1]Dự thầu'!$G$462</f>
        <v>1024648</v>
      </c>
      <c r="H299" s="86">
        <f t="shared" si="10"/>
        <v>1675299</v>
      </c>
    </row>
    <row r="300" spans="1:8" ht="15.75" customHeight="1" x14ac:dyDescent="0.25">
      <c r="A300" s="4" t="s">
        <v>491</v>
      </c>
      <c r="B300" s="8">
        <v>295</v>
      </c>
      <c r="C300" s="8" t="s">
        <v>492</v>
      </c>
      <c r="D300" s="8" t="s">
        <v>10</v>
      </c>
      <c r="E300" s="8">
        <v>4.0999999999999996</v>
      </c>
      <c r="F300" s="8" t="s">
        <v>493</v>
      </c>
      <c r="G300" s="85">
        <f>+'[1]Dự thầu'!$G$463</f>
        <v>304833</v>
      </c>
      <c r="H300" s="86">
        <f t="shared" si="10"/>
        <v>1249815</v>
      </c>
    </row>
    <row r="301" spans="1:8" ht="15.75" customHeight="1" x14ac:dyDescent="0.25">
      <c r="A301" s="4" t="s">
        <v>494</v>
      </c>
      <c r="B301" s="8">
        <v>296</v>
      </c>
      <c r="C301" s="8" t="s">
        <v>495</v>
      </c>
      <c r="D301" s="8" t="s">
        <v>10</v>
      </c>
      <c r="E301" s="8">
        <v>18.43</v>
      </c>
      <c r="F301" s="8" t="s">
        <v>493</v>
      </c>
      <c r="G301" s="85">
        <f>+'[1]Dự thầu'!$G$464</f>
        <v>404736</v>
      </c>
      <c r="H301" s="86">
        <f t="shared" si="10"/>
        <v>7459284</v>
      </c>
    </row>
    <row r="302" spans="1:8" ht="15.75" customHeight="1" x14ac:dyDescent="0.25">
      <c r="A302" s="4" t="s">
        <v>496</v>
      </c>
      <c r="B302" s="8">
        <v>297</v>
      </c>
      <c r="C302" s="8" t="s">
        <v>497</v>
      </c>
      <c r="D302" s="8" t="s">
        <v>10</v>
      </c>
      <c r="E302" s="8">
        <v>89.12</v>
      </c>
      <c r="F302" s="8" t="s">
        <v>13</v>
      </c>
      <c r="G302" s="85">
        <f>+'[1]Dự thầu'!$G$465/100</f>
        <v>154322.03</v>
      </c>
      <c r="H302" s="86">
        <f t="shared" si="10"/>
        <v>13753179</v>
      </c>
    </row>
    <row r="303" spans="1:8" ht="15.75" customHeight="1" x14ac:dyDescent="0.25">
      <c r="A303" s="4" t="s">
        <v>498</v>
      </c>
      <c r="B303" s="8">
        <v>298</v>
      </c>
      <c r="C303" s="8" t="s">
        <v>499</v>
      </c>
      <c r="D303" s="8" t="s">
        <v>10</v>
      </c>
      <c r="E303" s="8">
        <v>43.2</v>
      </c>
      <c r="F303" s="8" t="s">
        <v>493</v>
      </c>
      <c r="G303" s="85">
        <f>+'[1]Dự thầu'!$G$466</f>
        <v>353505</v>
      </c>
      <c r="H303" s="86">
        <f t="shared" si="10"/>
        <v>15271416</v>
      </c>
    </row>
    <row r="304" spans="1:8" ht="15.75" customHeight="1" x14ac:dyDescent="0.25">
      <c r="A304" s="4" t="s">
        <v>500</v>
      </c>
      <c r="B304" s="8">
        <v>299</v>
      </c>
      <c r="C304" s="8" t="s">
        <v>501</v>
      </c>
      <c r="D304" s="8" t="s">
        <v>10</v>
      </c>
      <c r="E304" s="8">
        <v>61.32</v>
      </c>
      <c r="F304" s="8" t="s">
        <v>493</v>
      </c>
      <c r="G304" s="85">
        <f>+'[1]Dự thầu'!$G$467</f>
        <v>279217</v>
      </c>
      <c r="H304" s="86">
        <f t="shared" si="10"/>
        <v>17121586</v>
      </c>
    </row>
    <row r="305" spans="1:8" ht="15.75" customHeight="1" x14ac:dyDescent="0.25">
      <c r="A305" s="4" t="s">
        <v>502</v>
      </c>
      <c r="B305" s="8">
        <v>300</v>
      </c>
      <c r="C305" s="8" t="s">
        <v>503</v>
      </c>
      <c r="D305" s="8" t="s">
        <v>10</v>
      </c>
      <c r="E305" s="8">
        <v>19.62</v>
      </c>
      <c r="F305" s="8" t="s">
        <v>16</v>
      </c>
      <c r="G305" s="85">
        <f>+'[1]Dự thầu'!$G$468</f>
        <v>410010</v>
      </c>
      <c r="H305" s="86">
        <f t="shared" si="10"/>
        <v>8044396</v>
      </c>
    </row>
    <row r="306" spans="1:8" ht="15.75" customHeight="1" x14ac:dyDescent="0.25">
      <c r="A306" s="4" t="s">
        <v>504</v>
      </c>
      <c r="B306" s="8">
        <v>301</v>
      </c>
      <c r="C306" s="8" t="s">
        <v>505</v>
      </c>
      <c r="D306" s="8" t="s">
        <v>10</v>
      </c>
      <c r="E306" s="8">
        <v>84.9</v>
      </c>
      <c r="F306" s="8" t="s">
        <v>16</v>
      </c>
      <c r="G306" s="85">
        <f>+'[1]Dự thầu'!$G$469</f>
        <v>143451</v>
      </c>
      <c r="H306" s="86">
        <f t="shared" si="10"/>
        <v>12178990</v>
      </c>
    </row>
    <row r="307" spans="1:8" ht="15.75" customHeight="1" x14ac:dyDescent="0.25">
      <c r="A307" s="4" t="s">
        <v>506</v>
      </c>
      <c r="B307" s="8">
        <v>302</v>
      </c>
      <c r="C307" s="8" t="s">
        <v>507</v>
      </c>
      <c r="D307" s="8" t="s">
        <v>10</v>
      </c>
      <c r="E307" s="8">
        <v>64</v>
      </c>
      <c r="F307" s="8" t="s">
        <v>16</v>
      </c>
      <c r="G307" s="85">
        <f>+'[1]Dự thầu'!$G$470+'[1]Dự thầu'!$G$471</f>
        <v>39661</v>
      </c>
      <c r="H307" s="86">
        <f t="shared" si="10"/>
        <v>2538304</v>
      </c>
    </row>
    <row r="308" spans="1:8" ht="15.75" customHeight="1" x14ac:dyDescent="0.25">
      <c r="A308" s="4">
        <v>6</v>
      </c>
      <c r="B308" s="8">
        <v>303</v>
      </c>
      <c r="C308" s="8" t="s">
        <v>508</v>
      </c>
      <c r="D308" s="8" t="s">
        <v>10</v>
      </c>
      <c r="E308" s="8"/>
      <c r="F308" s="8"/>
      <c r="G308" s="85"/>
      <c r="H308" s="86"/>
    </row>
    <row r="309" spans="1:8" ht="15.75" customHeight="1" x14ac:dyDescent="0.25">
      <c r="A309" s="4" t="s">
        <v>509</v>
      </c>
      <c r="B309" s="8">
        <v>304</v>
      </c>
      <c r="C309" s="8" t="s">
        <v>510</v>
      </c>
      <c r="D309" s="8" t="s">
        <v>10</v>
      </c>
      <c r="E309" s="8">
        <v>3489</v>
      </c>
      <c r="F309" s="8" t="s">
        <v>13</v>
      </c>
      <c r="G309" s="85">
        <f>+'[1]Dự thầu'!$G$491</f>
        <v>519576</v>
      </c>
      <c r="H309" s="86">
        <f t="shared" ref="H309:H329" si="11">+ROUND(G309*E309,0)</f>
        <v>1812800664</v>
      </c>
    </row>
    <row r="310" spans="1:8" ht="15.75" customHeight="1" x14ac:dyDescent="0.25">
      <c r="A310" s="4" t="s">
        <v>511</v>
      </c>
      <c r="B310" s="8">
        <v>305</v>
      </c>
      <c r="C310" s="8" t="s">
        <v>512</v>
      </c>
      <c r="D310" s="8" t="s">
        <v>10</v>
      </c>
      <c r="E310" s="8">
        <v>241.57</v>
      </c>
      <c r="F310" s="8" t="s">
        <v>13</v>
      </c>
      <c r="G310" s="85">
        <f>+'[1]Dự thầu'!$G$492</f>
        <v>1113651</v>
      </c>
      <c r="H310" s="86">
        <f t="shared" si="11"/>
        <v>269024672</v>
      </c>
    </row>
    <row r="311" spans="1:8" ht="15.75" customHeight="1" x14ac:dyDescent="0.25">
      <c r="A311" s="4" t="s">
        <v>513</v>
      </c>
      <c r="B311" s="8">
        <v>306</v>
      </c>
      <c r="C311" s="8" t="s">
        <v>514</v>
      </c>
      <c r="D311" s="8" t="s">
        <v>10</v>
      </c>
      <c r="E311" s="8">
        <v>106.4</v>
      </c>
      <c r="F311" s="8" t="s">
        <v>515</v>
      </c>
      <c r="G311" s="85">
        <f>+'[1]Dự thầu'!$G$493</f>
        <v>56885</v>
      </c>
      <c r="H311" s="86">
        <f t="shared" si="11"/>
        <v>6052564</v>
      </c>
    </row>
    <row r="312" spans="1:8" ht="15.75" customHeight="1" x14ac:dyDescent="0.25">
      <c r="A312" s="4" t="s">
        <v>516</v>
      </c>
      <c r="B312" s="8">
        <v>307</v>
      </c>
      <c r="C312" s="8" t="s">
        <v>517</v>
      </c>
      <c r="D312" s="8" t="s">
        <v>10</v>
      </c>
      <c r="E312" s="8">
        <v>37</v>
      </c>
      <c r="F312" s="8" t="s">
        <v>258</v>
      </c>
      <c r="G312" s="85">
        <f>+'[1]Dự thầu'!$G$494</f>
        <v>304700</v>
      </c>
      <c r="H312" s="86">
        <f t="shared" si="11"/>
        <v>11273900</v>
      </c>
    </row>
    <row r="313" spans="1:8" ht="15.75" customHeight="1" x14ac:dyDescent="0.25">
      <c r="A313" s="4" t="s">
        <v>518</v>
      </c>
      <c r="B313" s="8">
        <v>308</v>
      </c>
      <c r="C313" s="8" t="s">
        <v>519</v>
      </c>
      <c r="D313" s="8" t="s">
        <v>10</v>
      </c>
      <c r="E313" s="8">
        <v>36</v>
      </c>
      <c r="F313" s="8" t="s">
        <v>258</v>
      </c>
      <c r="G313" s="85">
        <f>+'[1]Dự thầu'!$G$495</f>
        <v>319853</v>
      </c>
      <c r="H313" s="86">
        <f t="shared" si="11"/>
        <v>11514708</v>
      </c>
    </row>
    <row r="314" spans="1:8" ht="15.75" customHeight="1" x14ac:dyDescent="0.25">
      <c r="A314" s="4" t="s">
        <v>520</v>
      </c>
      <c r="B314" s="8">
        <v>309</v>
      </c>
      <c r="C314" s="8" t="s">
        <v>521</v>
      </c>
      <c r="D314" s="8" t="s">
        <v>10</v>
      </c>
      <c r="E314" s="8">
        <v>27</v>
      </c>
      <c r="F314" s="8" t="s">
        <v>258</v>
      </c>
      <c r="G314" s="85">
        <f>+'[1]Dự thầu'!$G$496</f>
        <v>313792</v>
      </c>
      <c r="H314" s="86">
        <f t="shared" si="11"/>
        <v>8472384</v>
      </c>
    </row>
    <row r="315" spans="1:8" ht="15.75" customHeight="1" x14ac:dyDescent="0.25">
      <c r="A315" s="4" t="s">
        <v>522</v>
      </c>
      <c r="B315" s="8">
        <v>310</v>
      </c>
      <c r="C315" s="8" t="s">
        <v>523</v>
      </c>
      <c r="D315" s="8" t="s">
        <v>10</v>
      </c>
      <c r="E315" s="8">
        <v>2</v>
      </c>
      <c r="F315" s="8" t="s">
        <v>258</v>
      </c>
      <c r="G315" s="85">
        <f>+'[1]Dự thầu'!$G$498</f>
        <v>313792</v>
      </c>
      <c r="H315" s="86">
        <f t="shared" si="11"/>
        <v>627584</v>
      </c>
    </row>
    <row r="316" spans="1:8" ht="15.75" customHeight="1" x14ac:dyDescent="0.25">
      <c r="A316" s="4" t="s">
        <v>524</v>
      </c>
      <c r="B316" s="8">
        <v>311</v>
      </c>
      <c r="C316" s="8" t="s">
        <v>525</v>
      </c>
      <c r="D316" s="8" t="s">
        <v>10</v>
      </c>
      <c r="E316" s="8">
        <v>8</v>
      </c>
      <c r="F316" s="8" t="s">
        <v>258</v>
      </c>
      <c r="G316" s="85">
        <f>+'[1]Dự thầu'!$G$499</f>
        <v>313792</v>
      </c>
      <c r="H316" s="86">
        <f t="shared" si="11"/>
        <v>2510336</v>
      </c>
    </row>
    <row r="317" spans="1:8" ht="15.75" customHeight="1" x14ac:dyDescent="0.25">
      <c r="A317" s="4" t="s">
        <v>526</v>
      </c>
      <c r="B317" s="8">
        <v>312</v>
      </c>
      <c r="C317" s="8" t="s">
        <v>527</v>
      </c>
      <c r="D317" s="8" t="s">
        <v>10</v>
      </c>
      <c r="E317" s="8">
        <v>37</v>
      </c>
      <c r="F317" s="8" t="s">
        <v>258</v>
      </c>
      <c r="G317" s="85">
        <f>+'[1]Dự thầu'!$G$500</f>
        <v>492731</v>
      </c>
      <c r="H317" s="86">
        <f t="shared" si="11"/>
        <v>18231047</v>
      </c>
    </row>
    <row r="318" spans="1:8" ht="15.75" customHeight="1" x14ac:dyDescent="0.25">
      <c r="A318" s="4" t="s">
        <v>528</v>
      </c>
      <c r="B318" s="8">
        <v>313</v>
      </c>
      <c r="C318" s="8" t="s">
        <v>529</v>
      </c>
      <c r="D318" s="8" t="s">
        <v>10</v>
      </c>
      <c r="E318" s="8">
        <v>36</v>
      </c>
      <c r="F318" s="8" t="s">
        <v>258</v>
      </c>
      <c r="G318" s="85">
        <f>+'[1]Dự thầu'!$G$501</f>
        <v>1021897</v>
      </c>
      <c r="H318" s="86">
        <f t="shared" si="11"/>
        <v>36788292</v>
      </c>
    </row>
    <row r="319" spans="1:8" ht="15.75" customHeight="1" x14ac:dyDescent="0.25">
      <c r="A319" s="4" t="s">
        <v>530</v>
      </c>
      <c r="B319" s="8">
        <v>314</v>
      </c>
      <c r="C319" s="8" t="s">
        <v>531</v>
      </c>
      <c r="D319" s="8" t="s">
        <v>10</v>
      </c>
      <c r="E319" s="8">
        <v>27</v>
      </c>
      <c r="F319" s="8" t="s">
        <v>258</v>
      </c>
      <c r="G319" s="85">
        <f>+'[1]Dự thầu'!$G$502</f>
        <v>1021897</v>
      </c>
      <c r="H319" s="86">
        <f t="shared" si="11"/>
        <v>27591219</v>
      </c>
    </row>
    <row r="320" spans="1:8" ht="15.75" customHeight="1" x14ac:dyDescent="0.25">
      <c r="A320" s="4" t="s">
        <v>532</v>
      </c>
      <c r="B320" s="8">
        <v>315</v>
      </c>
      <c r="C320" s="8" t="s">
        <v>533</v>
      </c>
      <c r="D320" s="8" t="s">
        <v>10</v>
      </c>
      <c r="E320" s="8">
        <v>8</v>
      </c>
      <c r="F320" s="8" t="s">
        <v>258</v>
      </c>
      <c r="G320" s="85">
        <f>+'[1]Dự thầu'!$G$504</f>
        <v>1755842</v>
      </c>
      <c r="H320" s="86">
        <f t="shared" si="11"/>
        <v>14046736</v>
      </c>
    </row>
    <row r="321" spans="1:8" ht="15.75" customHeight="1" x14ac:dyDescent="0.25">
      <c r="A321" s="4" t="s">
        <v>534</v>
      </c>
      <c r="B321" s="8">
        <v>316</v>
      </c>
      <c r="C321" s="8" t="s">
        <v>535</v>
      </c>
      <c r="D321" s="8" t="s">
        <v>10</v>
      </c>
      <c r="E321" s="8">
        <v>2</v>
      </c>
      <c r="F321" s="8" t="s">
        <v>258</v>
      </c>
      <c r="G321" s="85">
        <f>+'[1]Dự thầu'!$G$505</f>
        <v>804708</v>
      </c>
      <c r="H321" s="86">
        <f t="shared" si="11"/>
        <v>1609416</v>
      </c>
    </row>
    <row r="322" spans="1:8" ht="15.75" customHeight="1" x14ac:dyDescent="0.25">
      <c r="A322" s="4" t="s">
        <v>536</v>
      </c>
      <c r="B322" s="8">
        <v>317</v>
      </c>
      <c r="C322" s="8" t="s">
        <v>537</v>
      </c>
      <c r="D322" s="8" t="s">
        <v>10</v>
      </c>
      <c r="E322" s="8">
        <v>385</v>
      </c>
      <c r="F322" s="8" t="s">
        <v>75</v>
      </c>
      <c r="G322" s="85">
        <f>+'[1]Dự thầu'!$G$506</f>
        <v>171892</v>
      </c>
      <c r="H322" s="86">
        <f t="shared" si="11"/>
        <v>66178420</v>
      </c>
    </row>
    <row r="323" spans="1:8" ht="15.75" customHeight="1" x14ac:dyDescent="0.25">
      <c r="A323" s="4" t="s">
        <v>538</v>
      </c>
      <c r="B323" s="8">
        <v>318</v>
      </c>
      <c r="C323" s="8" t="s">
        <v>539</v>
      </c>
      <c r="D323" s="8" t="s">
        <v>10</v>
      </c>
      <c r="E323" s="8">
        <v>3</v>
      </c>
      <c r="F323" s="8" t="s">
        <v>258</v>
      </c>
      <c r="G323" s="85">
        <f>+'[1]Dự thầu'!$G$509</f>
        <v>383011</v>
      </c>
      <c r="H323" s="86">
        <f t="shared" si="11"/>
        <v>1149033</v>
      </c>
    </row>
    <row r="324" spans="1:8" ht="15.75" customHeight="1" x14ac:dyDescent="0.25">
      <c r="A324" s="4" t="s">
        <v>540</v>
      </c>
      <c r="B324" s="8">
        <v>319</v>
      </c>
      <c r="C324" s="8" t="s">
        <v>541</v>
      </c>
      <c r="D324" s="8" t="s">
        <v>10</v>
      </c>
      <c r="E324" s="8">
        <v>25</v>
      </c>
      <c r="F324" s="8" t="s">
        <v>258</v>
      </c>
      <c r="G324" s="85">
        <f>+'[1]Dự thầu'!$G$510</f>
        <v>308087</v>
      </c>
      <c r="H324" s="86">
        <f t="shared" si="11"/>
        <v>7702175</v>
      </c>
    </row>
    <row r="325" spans="1:8" ht="15.75" customHeight="1" x14ac:dyDescent="0.25">
      <c r="A325" s="4" t="s">
        <v>542</v>
      </c>
      <c r="B325" s="8">
        <v>320</v>
      </c>
      <c r="C325" s="8" t="s">
        <v>543</v>
      </c>
      <c r="D325" s="8" t="s">
        <v>10</v>
      </c>
      <c r="E325" s="8">
        <v>387</v>
      </c>
      <c r="F325" s="8" t="s">
        <v>258</v>
      </c>
      <c r="G325" s="85">
        <f>+'[1]Dự thầu'!$G$513</f>
        <v>266456</v>
      </c>
      <c r="H325" s="86">
        <f t="shared" si="11"/>
        <v>103118472</v>
      </c>
    </row>
    <row r="326" spans="1:8" ht="15.75" customHeight="1" x14ac:dyDescent="0.25">
      <c r="A326" s="4" t="s">
        <v>544</v>
      </c>
      <c r="B326" s="8">
        <v>321</v>
      </c>
      <c r="C326" s="8" t="s">
        <v>545</v>
      </c>
      <c r="D326" s="8" t="s">
        <v>10</v>
      </c>
      <c r="E326" s="8">
        <v>173</v>
      </c>
      <c r="F326" s="8" t="s">
        <v>258</v>
      </c>
      <c r="G326" s="85">
        <f>+'[1]Dự thầu'!$G$514</f>
        <v>50931</v>
      </c>
      <c r="H326" s="86">
        <f t="shared" si="11"/>
        <v>8811063</v>
      </c>
    </row>
    <row r="327" spans="1:8" ht="15.75" customHeight="1" x14ac:dyDescent="0.25">
      <c r="A327" s="4" t="s">
        <v>546</v>
      </c>
      <c r="B327" s="8">
        <v>322</v>
      </c>
      <c r="C327" s="8" t="s">
        <v>547</v>
      </c>
      <c r="D327" s="8" t="s">
        <v>10</v>
      </c>
      <c r="E327" s="8">
        <v>48</v>
      </c>
      <c r="F327" s="8" t="s">
        <v>13</v>
      </c>
      <c r="G327" s="85">
        <f>+'[1]Dự thầu'!$G$515</f>
        <v>214498</v>
      </c>
      <c r="H327" s="86">
        <f t="shared" si="11"/>
        <v>10295904</v>
      </c>
    </row>
    <row r="328" spans="1:8" ht="15.75" customHeight="1" x14ac:dyDescent="0.25">
      <c r="A328" s="4" t="s">
        <v>548</v>
      </c>
      <c r="B328" s="8">
        <v>323</v>
      </c>
      <c r="C328" s="8" t="s">
        <v>549</v>
      </c>
      <c r="D328" s="8" t="s">
        <v>10</v>
      </c>
      <c r="E328" s="8">
        <v>2.4</v>
      </c>
      <c r="F328" s="8" t="s">
        <v>16</v>
      </c>
      <c r="G328" s="85">
        <f>+'[1]Dự thầu'!$G$516</f>
        <v>143451</v>
      </c>
      <c r="H328" s="86">
        <f t="shared" si="11"/>
        <v>344282</v>
      </c>
    </row>
    <row r="329" spans="1:8" ht="15.75" customHeight="1" x14ac:dyDescent="0.25">
      <c r="A329" s="4" t="s">
        <v>550</v>
      </c>
      <c r="B329" s="8">
        <v>324</v>
      </c>
      <c r="C329" s="8" t="s">
        <v>551</v>
      </c>
      <c r="D329" s="8" t="s">
        <v>10</v>
      </c>
      <c r="E329" s="8">
        <v>16.13</v>
      </c>
      <c r="F329" s="8" t="s">
        <v>13</v>
      </c>
      <c r="G329" s="85">
        <f>+'[1]Dự thầu'!$G$517</f>
        <v>138235</v>
      </c>
      <c r="H329" s="86">
        <f t="shared" si="11"/>
        <v>2229731</v>
      </c>
    </row>
    <row r="330" spans="1:8" ht="15.75" customHeight="1" x14ac:dyDescent="0.25">
      <c r="A330" s="4">
        <v>7</v>
      </c>
      <c r="B330" s="8">
        <v>325</v>
      </c>
      <c r="C330" s="8" t="s">
        <v>552</v>
      </c>
      <c r="D330" s="8" t="s">
        <v>10</v>
      </c>
      <c r="E330" s="8"/>
      <c r="F330" s="8"/>
      <c r="G330" s="85"/>
      <c r="H330" s="86"/>
    </row>
    <row r="331" spans="1:8" ht="15.75" customHeight="1" x14ac:dyDescent="0.25">
      <c r="A331" s="4" t="s">
        <v>553</v>
      </c>
      <c r="B331" s="8">
        <v>326</v>
      </c>
      <c r="C331" s="8" t="s">
        <v>554</v>
      </c>
      <c r="D331" s="8" t="s">
        <v>10</v>
      </c>
      <c r="E331" s="8">
        <v>0.35</v>
      </c>
      <c r="F331" s="8" t="s">
        <v>90</v>
      </c>
      <c r="G331" s="85">
        <f>+'[1]Dự thầu'!$G$849</f>
        <v>28765433</v>
      </c>
      <c r="H331" s="86">
        <f t="shared" ref="H331:H362" si="12">+ROUND(G331*E331,0)</f>
        <v>10067902</v>
      </c>
    </row>
    <row r="332" spans="1:8" ht="15.75" customHeight="1" x14ac:dyDescent="0.25">
      <c r="A332" s="4" t="s">
        <v>555</v>
      </c>
      <c r="B332" s="8">
        <v>327</v>
      </c>
      <c r="C332" s="8" t="s">
        <v>556</v>
      </c>
      <c r="D332" s="8" t="s">
        <v>10</v>
      </c>
      <c r="E332" s="8">
        <v>15.24</v>
      </c>
      <c r="F332" s="8" t="s">
        <v>90</v>
      </c>
      <c r="G332" s="85">
        <f>+'[1]Dự thầu'!$G$850</f>
        <v>27004108</v>
      </c>
      <c r="H332" s="86">
        <f t="shared" si="12"/>
        <v>411542606</v>
      </c>
    </row>
    <row r="333" spans="1:8" ht="15.75" customHeight="1" x14ac:dyDescent="0.25">
      <c r="A333" s="4" t="s">
        <v>557</v>
      </c>
      <c r="B333" s="8">
        <v>328</v>
      </c>
      <c r="C333" s="8" t="s">
        <v>558</v>
      </c>
      <c r="D333" s="8" t="s">
        <v>10</v>
      </c>
      <c r="E333" s="8">
        <v>102.48</v>
      </c>
      <c r="F333" s="8" t="s">
        <v>16</v>
      </c>
      <c r="G333" s="85">
        <f>+'[1]Dự thầu'!$G$851</f>
        <v>1871647</v>
      </c>
      <c r="H333" s="86">
        <f t="shared" si="12"/>
        <v>191806385</v>
      </c>
    </row>
    <row r="334" spans="1:8" ht="15.75" customHeight="1" x14ac:dyDescent="0.25">
      <c r="A334" s="4" t="s">
        <v>559</v>
      </c>
      <c r="B334" s="8">
        <v>329</v>
      </c>
      <c r="C334" s="8" t="s">
        <v>560</v>
      </c>
      <c r="D334" s="8" t="s">
        <v>10</v>
      </c>
      <c r="E334" s="8">
        <v>104.02</v>
      </c>
      <c r="F334" s="8" t="s">
        <v>16</v>
      </c>
      <c r="G334" s="85">
        <f>+'[1]Dự thầu'!$G$852</f>
        <v>57102</v>
      </c>
      <c r="H334" s="86">
        <f t="shared" si="12"/>
        <v>5939750</v>
      </c>
    </row>
    <row r="335" spans="1:8" ht="15.75" customHeight="1" x14ac:dyDescent="0.25">
      <c r="A335" s="4" t="s">
        <v>561</v>
      </c>
      <c r="B335" s="8">
        <v>330</v>
      </c>
      <c r="C335" s="8" t="s">
        <v>562</v>
      </c>
      <c r="D335" s="8" t="s">
        <v>10</v>
      </c>
      <c r="E335" s="8">
        <v>104.02</v>
      </c>
      <c r="F335" s="8" t="s">
        <v>16</v>
      </c>
      <c r="G335" s="85">
        <v>232044</v>
      </c>
      <c r="H335" s="86">
        <f t="shared" si="12"/>
        <v>24137217</v>
      </c>
    </row>
    <row r="336" spans="1:8" ht="15.75" customHeight="1" x14ac:dyDescent="0.25">
      <c r="A336" s="4" t="s">
        <v>563</v>
      </c>
      <c r="B336" s="8">
        <v>331</v>
      </c>
      <c r="C336" s="8" t="s">
        <v>564</v>
      </c>
      <c r="D336" s="8" t="s">
        <v>10</v>
      </c>
      <c r="E336" s="8">
        <v>757.68</v>
      </c>
      <c r="F336" s="8" t="s">
        <v>13</v>
      </c>
      <c r="G336" s="85">
        <f>+'[1]Dự thầu'!$G$855</f>
        <v>115728</v>
      </c>
      <c r="H336" s="86">
        <f t="shared" si="12"/>
        <v>87684791</v>
      </c>
    </row>
    <row r="337" spans="1:8" ht="15.75" customHeight="1" x14ac:dyDescent="0.25">
      <c r="A337" s="4" t="s">
        <v>565</v>
      </c>
      <c r="B337" s="8">
        <v>332</v>
      </c>
      <c r="C337" s="8" t="s">
        <v>566</v>
      </c>
      <c r="D337" s="8" t="s">
        <v>10</v>
      </c>
      <c r="E337" s="8">
        <v>56</v>
      </c>
      <c r="F337" s="8" t="s">
        <v>567</v>
      </c>
      <c r="G337" s="85">
        <f>+'[1]Dự thầu'!$G$856</f>
        <v>561271</v>
      </c>
      <c r="H337" s="86">
        <f t="shared" si="12"/>
        <v>31431176</v>
      </c>
    </row>
    <row r="338" spans="1:8" ht="15.75" customHeight="1" x14ac:dyDescent="0.25">
      <c r="A338" s="4" t="s">
        <v>568</v>
      </c>
      <c r="B338" s="8">
        <v>333</v>
      </c>
      <c r="C338" s="8" t="s">
        <v>569</v>
      </c>
      <c r="D338" s="8" t="s">
        <v>10</v>
      </c>
      <c r="E338" s="8">
        <v>56</v>
      </c>
      <c r="F338" s="8" t="s">
        <v>250</v>
      </c>
      <c r="G338" s="85">
        <f>+'[1]Dự thầu'!$G$857</f>
        <v>113802</v>
      </c>
      <c r="H338" s="86">
        <f t="shared" si="12"/>
        <v>6372912</v>
      </c>
    </row>
    <row r="339" spans="1:8" ht="15.75" customHeight="1" x14ac:dyDescent="0.25">
      <c r="A339" s="4" t="s">
        <v>570</v>
      </c>
      <c r="B339" s="8">
        <v>334</v>
      </c>
      <c r="C339" s="8" t="s">
        <v>571</v>
      </c>
      <c r="D339" s="8" t="s">
        <v>10</v>
      </c>
      <c r="E339" s="8">
        <v>56</v>
      </c>
      <c r="F339" s="8" t="s">
        <v>250</v>
      </c>
      <c r="G339" s="85">
        <f>+'[1]Dự thầu'!$G$858</f>
        <v>91827</v>
      </c>
      <c r="H339" s="86">
        <f t="shared" si="12"/>
        <v>5142312</v>
      </c>
    </row>
    <row r="340" spans="1:8" ht="15.75" customHeight="1" x14ac:dyDescent="0.25">
      <c r="A340" s="4" t="s">
        <v>572</v>
      </c>
      <c r="B340" s="8">
        <v>335</v>
      </c>
      <c r="C340" s="8" t="s">
        <v>573</v>
      </c>
      <c r="D340" s="8" t="s">
        <v>10</v>
      </c>
      <c r="E340" s="8">
        <v>256.2</v>
      </c>
      <c r="F340" s="8" t="s">
        <v>574</v>
      </c>
      <c r="G340" s="85">
        <f>+'[1]Dự thầu'!$G$859</f>
        <v>3619</v>
      </c>
      <c r="H340" s="86">
        <f t="shared" si="12"/>
        <v>927188</v>
      </c>
    </row>
    <row r="341" spans="1:8" ht="15.75" customHeight="1" x14ac:dyDescent="0.25">
      <c r="A341" s="4" t="s">
        <v>575</v>
      </c>
      <c r="B341" s="8">
        <v>336</v>
      </c>
      <c r="C341" s="8" t="s">
        <v>576</v>
      </c>
      <c r="D341" s="8" t="s">
        <v>10</v>
      </c>
      <c r="E341" s="8">
        <v>31.32</v>
      </c>
      <c r="F341" s="8" t="s">
        <v>16</v>
      </c>
      <c r="G341" s="85">
        <f>+'[1]Dự thầu'!$G$860</f>
        <v>1725249</v>
      </c>
      <c r="H341" s="86">
        <f t="shared" si="12"/>
        <v>54034799</v>
      </c>
    </row>
    <row r="342" spans="1:8" ht="15.75" customHeight="1" x14ac:dyDescent="0.25">
      <c r="A342" s="4" t="s">
        <v>577</v>
      </c>
      <c r="B342" s="8">
        <v>337</v>
      </c>
      <c r="C342" s="8" t="s">
        <v>578</v>
      </c>
      <c r="D342" s="8" t="s">
        <v>10</v>
      </c>
      <c r="E342" s="8">
        <v>1.85</v>
      </c>
      <c r="F342" s="8" t="s">
        <v>90</v>
      </c>
      <c r="G342" s="85">
        <f>+'[1]Dự thầu'!$G$861</f>
        <v>28097053</v>
      </c>
      <c r="H342" s="86">
        <f t="shared" si="12"/>
        <v>51979548</v>
      </c>
    </row>
    <row r="343" spans="1:8" ht="15.75" customHeight="1" x14ac:dyDescent="0.25">
      <c r="A343" s="4" t="s">
        <v>579</v>
      </c>
      <c r="B343" s="8">
        <v>338</v>
      </c>
      <c r="C343" s="8" t="s">
        <v>497</v>
      </c>
      <c r="D343" s="8" t="s">
        <v>10</v>
      </c>
      <c r="E343" s="8">
        <v>63.36</v>
      </c>
      <c r="F343" s="8" t="s">
        <v>13</v>
      </c>
      <c r="G343" s="85">
        <f>+'[1]Dự thầu'!$G$862</f>
        <v>86606</v>
      </c>
      <c r="H343" s="86">
        <f t="shared" si="12"/>
        <v>5487356</v>
      </c>
    </row>
    <row r="344" spans="1:8" ht="15.75" customHeight="1" x14ac:dyDescent="0.25">
      <c r="A344" s="4" t="s">
        <v>580</v>
      </c>
      <c r="B344" s="8">
        <v>339</v>
      </c>
      <c r="C344" s="8" t="s">
        <v>581</v>
      </c>
      <c r="D344" s="8" t="s">
        <v>10</v>
      </c>
      <c r="E344" s="8">
        <v>78.3</v>
      </c>
      <c r="F344" s="8" t="s">
        <v>297</v>
      </c>
      <c r="G344" s="85">
        <f>+'[1]Dự thầu'!$G$863</f>
        <v>36395</v>
      </c>
      <c r="H344" s="86">
        <f t="shared" si="12"/>
        <v>2849729</v>
      </c>
    </row>
    <row r="345" spans="1:8" ht="15.75" customHeight="1" x14ac:dyDescent="0.25">
      <c r="A345" s="4" t="s">
        <v>582</v>
      </c>
      <c r="B345" s="8">
        <v>340</v>
      </c>
      <c r="C345" s="8" t="s">
        <v>569</v>
      </c>
      <c r="D345" s="8" t="s">
        <v>10</v>
      </c>
      <c r="E345" s="8">
        <v>36</v>
      </c>
      <c r="F345" s="8" t="s">
        <v>250</v>
      </c>
      <c r="G345" s="85">
        <f>+'[1]Dự thầu'!$G$864</f>
        <v>113802</v>
      </c>
      <c r="H345" s="86">
        <f t="shared" si="12"/>
        <v>4096872</v>
      </c>
    </row>
    <row r="346" spans="1:8" ht="15.75" customHeight="1" x14ac:dyDescent="0.25">
      <c r="A346" s="4" t="s">
        <v>583</v>
      </c>
      <c r="B346" s="8">
        <v>341</v>
      </c>
      <c r="C346" s="8" t="s">
        <v>571</v>
      </c>
      <c r="D346" s="8" t="s">
        <v>10</v>
      </c>
      <c r="E346" s="8">
        <v>36</v>
      </c>
      <c r="F346" s="8" t="s">
        <v>250</v>
      </c>
      <c r="G346" s="85">
        <f>+'[1]Dự thầu'!$G$865</f>
        <v>91827</v>
      </c>
      <c r="H346" s="86">
        <f t="shared" si="12"/>
        <v>3305772</v>
      </c>
    </row>
    <row r="347" spans="1:8" ht="15.75" customHeight="1" x14ac:dyDescent="0.25">
      <c r="A347" s="4" t="s">
        <v>584</v>
      </c>
      <c r="B347" s="8">
        <v>342</v>
      </c>
      <c r="C347" s="8" t="s">
        <v>585</v>
      </c>
      <c r="D347" s="8" t="s">
        <v>10</v>
      </c>
      <c r="E347" s="8">
        <v>7.83</v>
      </c>
      <c r="F347" s="8" t="s">
        <v>253</v>
      </c>
      <c r="G347" s="85">
        <f>+'[1]Dự thầu'!$G$866</f>
        <v>36181</v>
      </c>
      <c r="H347" s="86">
        <f t="shared" si="12"/>
        <v>283297</v>
      </c>
    </row>
    <row r="348" spans="1:8" ht="15.75" customHeight="1" x14ac:dyDescent="0.25">
      <c r="A348" s="4" t="s">
        <v>586</v>
      </c>
      <c r="B348" s="8">
        <v>343</v>
      </c>
      <c r="C348" s="8" t="s">
        <v>587</v>
      </c>
      <c r="D348" s="8" t="s">
        <v>10</v>
      </c>
      <c r="E348" s="8">
        <v>17.66</v>
      </c>
      <c r="F348" s="8" t="s">
        <v>16</v>
      </c>
      <c r="G348" s="85">
        <f>+'[1]Dự thầu'!$G$867</f>
        <v>842139</v>
      </c>
      <c r="H348" s="86">
        <f t="shared" si="12"/>
        <v>14872175</v>
      </c>
    </row>
    <row r="349" spans="1:8" ht="15.75" customHeight="1" x14ac:dyDescent="0.25">
      <c r="A349" s="4" t="s">
        <v>588</v>
      </c>
      <c r="B349" s="8">
        <v>344</v>
      </c>
      <c r="C349" s="8" t="s">
        <v>589</v>
      </c>
      <c r="D349" s="8" t="s">
        <v>10</v>
      </c>
      <c r="E349" s="8">
        <v>1.82</v>
      </c>
      <c r="F349" s="8" t="s">
        <v>13</v>
      </c>
      <c r="G349" s="85">
        <f>+'[1]Dự thầu'!$G$868</f>
        <v>63427</v>
      </c>
      <c r="H349" s="86">
        <f t="shared" si="12"/>
        <v>115437</v>
      </c>
    </row>
    <row r="350" spans="1:8" ht="15.75" customHeight="1" x14ac:dyDescent="0.25">
      <c r="A350" s="4" t="s">
        <v>590</v>
      </c>
      <c r="B350" s="8">
        <v>345</v>
      </c>
      <c r="C350" s="8" t="s">
        <v>591</v>
      </c>
      <c r="D350" s="8" t="s">
        <v>10</v>
      </c>
      <c r="E350" s="8">
        <v>420</v>
      </c>
      <c r="F350" s="8" t="s">
        <v>13</v>
      </c>
      <c r="G350" s="85">
        <f>+'[1]Dự thầu'!$G$869</f>
        <v>76805</v>
      </c>
      <c r="H350" s="86">
        <f t="shared" si="12"/>
        <v>32258100</v>
      </c>
    </row>
    <row r="351" spans="1:8" ht="15.75" customHeight="1" x14ac:dyDescent="0.25">
      <c r="A351" s="4" t="s">
        <v>592</v>
      </c>
      <c r="B351" s="8">
        <v>346</v>
      </c>
      <c r="C351" s="8" t="s">
        <v>593</v>
      </c>
      <c r="D351" s="8" t="s">
        <v>10</v>
      </c>
      <c r="E351" s="8">
        <v>4.93</v>
      </c>
      <c r="F351" s="8" t="s">
        <v>16</v>
      </c>
      <c r="G351" s="85">
        <f>+'[1]Dự thầu'!$G$870</f>
        <v>1881449</v>
      </c>
      <c r="H351" s="86">
        <f t="shared" si="12"/>
        <v>9275544</v>
      </c>
    </row>
    <row r="352" spans="1:8" ht="15.75" customHeight="1" x14ac:dyDescent="0.25">
      <c r="A352" s="4" t="s">
        <v>594</v>
      </c>
      <c r="B352" s="8">
        <v>347</v>
      </c>
      <c r="C352" s="8" t="s">
        <v>595</v>
      </c>
      <c r="D352" s="8" t="s">
        <v>10</v>
      </c>
      <c r="E352" s="8">
        <v>21.71</v>
      </c>
      <c r="F352" s="8" t="s">
        <v>16</v>
      </c>
      <c r="G352" s="85">
        <f>+'[1]Dự thầu'!$G$871</f>
        <v>1145922</v>
      </c>
      <c r="H352" s="86">
        <f t="shared" si="12"/>
        <v>24877967</v>
      </c>
    </row>
    <row r="353" spans="1:8" ht="15.75" customHeight="1" x14ac:dyDescent="0.25">
      <c r="A353" s="4" t="s">
        <v>596</v>
      </c>
      <c r="B353" s="8">
        <v>348</v>
      </c>
      <c r="C353" s="8" t="s">
        <v>597</v>
      </c>
      <c r="D353" s="8" t="s">
        <v>10</v>
      </c>
      <c r="E353" s="8">
        <v>43.9</v>
      </c>
      <c r="F353" s="8" t="s">
        <v>13</v>
      </c>
      <c r="G353" s="85">
        <f>+'[1]Dự thầu'!$G$872</f>
        <v>104798</v>
      </c>
      <c r="H353" s="86">
        <f t="shared" si="12"/>
        <v>4600632</v>
      </c>
    </row>
    <row r="354" spans="1:8" ht="15.75" customHeight="1" x14ac:dyDescent="0.25">
      <c r="A354" s="4" t="s">
        <v>598</v>
      </c>
      <c r="B354" s="8">
        <v>349</v>
      </c>
      <c r="C354" s="8" t="s">
        <v>599</v>
      </c>
      <c r="D354" s="8" t="s">
        <v>10</v>
      </c>
      <c r="E354" s="8">
        <v>32.14</v>
      </c>
      <c r="F354" s="8" t="s">
        <v>13</v>
      </c>
      <c r="G354" s="85">
        <f>+'[1]Dự thầu'!$G$873</f>
        <v>141724</v>
      </c>
      <c r="H354" s="86">
        <f t="shared" si="12"/>
        <v>4555009</v>
      </c>
    </row>
    <row r="355" spans="1:8" ht="15.75" customHeight="1" x14ac:dyDescent="0.25">
      <c r="A355" s="4" t="s">
        <v>600</v>
      </c>
      <c r="B355" s="8">
        <v>350</v>
      </c>
      <c r="C355" s="8" t="s">
        <v>587</v>
      </c>
      <c r="D355" s="8" t="s">
        <v>10</v>
      </c>
      <c r="E355" s="8">
        <v>2.2200000000000002</v>
      </c>
      <c r="F355" s="8" t="s">
        <v>16</v>
      </c>
      <c r="G355" s="85">
        <f>+'[1]Dự thầu'!$G$874</f>
        <v>842139</v>
      </c>
      <c r="H355" s="86">
        <f t="shared" si="12"/>
        <v>1869549</v>
      </c>
    </row>
    <row r="356" spans="1:8" ht="15.75" customHeight="1" x14ac:dyDescent="0.25">
      <c r="A356" s="4" t="s">
        <v>601</v>
      </c>
      <c r="B356" s="8">
        <v>351</v>
      </c>
      <c r="C356" s="8" t="s">
        <v>602</v>
      </c>
      <c r="D356" s="8" t="s">
        <v>10</v>
      </c>
      <c r="E356" s="8">
        <v>20.48</v>
      </c>
      <c r="F356" s="8" t="s">
        <v>16</v>
      </c>
      <c r="G356" s="85">
        <f>+'[1]Dự thầu'!$G$875</f>
        <v>1245512</v>
      </c>
      <c r="H356" s="86">
        <f t="shared" si="12"/>
        <v>25508086</v>
      </c>
    </row>
    <row r="357" spans="1:8" ht="15.75" customHeight="1" x14ac:dyDescent="0.25">
      <c r="A357" s="4" t="s">
        <v>603</v>
      </c>
      <c r="B357" s="8">
        <v>352</v>
      </c>
      <c r="C357" s="8" t="s">
        <v>587</v>
      </c>
      <c r="D357" s="8" t="s">
        <v>10</v>
      </c>
      <c r="E357" s="8">
        <v>8.19</v>
      </c>
      <c r="F357" s="8" t="s">
        <v>16</v>
      </c>
      <c r="G357" s="85">
        <f>+'[1]Dự thầu'!$G$876</f>
        <v>842139</v>
      </c>
      <c r="H357" s="86">
        <f t="shared" si="12"/>
        <v>6897118</v>
      </c>
    </row>
    <row r="358" spans="1:8" ht="15.75" customHeight="1" x14ac:dyDescent="0.25">
      <c r="A358" s="4" t="s">
        <v>604</v>
      </c>
      <c r="B358" s="8">
        <v>353</v>
      </c>
      <c r="C358" s="8" t="s">
        <v>605</v>
      </c>
      <c r="D358" s="8" t="s">
        <v>10</v>
      </c>
      <c r="E358" s="8">
        <v>2.98</v>
      </c>
      <c r="F358" s="8" t="s">
        <v>16</v>
      </c>
      <c r="G358" s="85">
        <f>+'[1]Dự thầu'!$G$877</f>
        <v>1299241</v>
      </c>
      <c r="H358" s="86">
        <f t="shared" si="12"/>
        <v>3871738</v>
      </c>
    </row>
    <row r="359" spans="1:8" ht="15.75" customHeight="1" x14ac:dyDescent="0.25">
      <c r="A359" s="4" t="s">
        <v>606</v>
      </c>
      <c r="B359" s="8">
        <v>354</v>
      </c>
      <c r="C359" s="8" t="s">
        <v>587</v>
      </c>
      <c r="D359" s="8" t="s">
        <v>10</v>
      </c>
      <c r="E359" s="8">
        <v>1.19</v>
      </c>
      <c r="F359" s="8" t="s">
        <v>16</v>
      </c>
      <c r="G359" s="85">
        <f>+'[1]Dự thầu'!$G$878</f>
        <v>842139</v>
      </c>
      <c r="H359" s="86">
        <f t="shared" si="12"/>
        <v>1002145</v>
      </c>
    </row>
    <row r="360" spans="1:8" ht="15.75" customHeight="1" x14ac:dyDescent="0.25">
      <c r="A360" s="4" t="s">
        <v>607</v>
      </c>
      <c r="B360" s="8">
        <v>355</v>
      </c>
      <c r="C360" s="8" t="s">
        <v>608</v>
      </c>
      <c r="D360" s="8" t="s">
        <v>10</v>
      </c>
      <c r="E360" s="8">
        <v>1744.99</v>
      </c>
      <c r="F360" s="8" t="s">
        <v>16</v>
      </c>
      <c r="G360" s="85">
        <f>+'[1]Dự thầu'!$G$879</f>
        <v>20867</v>
      </c>
      <c r="H360" s="86">
        <f t="shared" si="12"/>
        <v>36412706</v>
      </c>
    </row>
    <row r="361" spans="1:8" ht="15.75" customHeight="1" x14ac:dyDescent="0.25">
      <c r="A361" s="4" t="s">
        <v>609</v>
      </c>
      <c r="B361" s="8">
        <v>356</v>
      </c>
      <c r="C361" s="8" t="s">
        <v>610</v>
      </c>
      <c r="D361" s="8" t="s">
        <v>10</v>
      </c>
      <c r="E361" s="8">
        <v>868.65</v>
      </c>
      <c r="F361" s="8" t="s">
        <v>16</v>
      </c>
      <c r="G361" s="85">
        <f>+'[1]Dự thầu'!$G$880</f>
        <v>12936</v>
      </c>
      <c r="H361" s="86">
        <f t="shared" si="12"/>
        <v>11236856</v>
      </c>
    </row>
    <row r="362" spans="1:8" ht="15.75" customHeight="1" x14ac:dyDescent="0.25">
      <c r="A362" s="4" t="s">
        <v>611</v>
      </c>
      <c r="B362" s="8">
        <v>357</v>
      </c>
      <c r="C362" s="8" t="s">
        <v>32</v>
      </c>
      <c r="D362" s="8" t="s">
        <v>10</v>
      </c>
      <c r="E362" s="8">
        <v>1187.7</v>
      </c>
      <c r="F362" s="8" t="s">
        <v>16</v>
      </c>
      <c r="G362" s="85">
        <f>+'[1]Dự thầu'!$G$881</f>
        <v>50585</v>
      </c>
      <c r="H362" s="86">
        <f t="shared" si="12"/>
        <v>60079805</v>
      </c>
    </row>
    <row r="363" spans="1:8" ht="15.75" customHeight="1" x14ac:dyDescent="0.25">
      <c r="A363" s="4" t="s">
        <v>612</v>
      </c>
      <c r="B363" s="8">
        <v>358</v>
      </c>
      <c r="C363" s="8" t="s">
        <v>36</v>
      </c>
      <c r="D363" s="8" t="s">
        <v>10</v>
      </c>
      <c r="E363" s="8">
        <v>118.77</v>
      </c>
      <c r="F363" s="8" t="s">
        <v>37</v>
      </c>
      <c r="G363" s="85">
        <f>+'[1]Dự thầu'!$G$882+'[1]Dự thầu'!$G$883+'[1]Dự thầu'!$G$884</f>
        <v>940826</v>
      </c>
      <c r="H363" s="86">
        <f t="shared" ref="H363:H394" si="13">+ROUND(G363*E363,0)</f>
        <v>111741904</v>
      </c>
    </row>
    <row r="364" spans="1:8" ht="15.75" customHeight="1" x14ac:dyDescent="0.25">
      <c r="A364" s="4" t="s">
        <v>613</v>
      </c>
      <c r="B364" s="8">
        <v>359</v>
      </c>
      <c r="C364" s="8" t="s">
        <v>614</v>
      </c>
      <c r="D364" s="8" t="s">
        <v>10</v>
      </c>
      <c r="E364" s="8">
        <v>146.30000000000001</v>
      </c>
      <c r="F364" s="8" t="s">
        <v>16</v>
      </c>
      <c r="G364" s="85">
        <f>+'[1]Dự thầu'!$G$885</f>
        <v>23993</v>
      </c>
      <c r="H364" s="86">
        <f t="shared" si="13"/>
        <v>3510176</v>
      </c>
    </row>
    <row r="365" spans="1:8" ht="15.75" customHeight="1" x14ac:dyDescent="0.25">
      <c r="A365" s="4" t="s">
        <v>615</v>
      </c>
      <c r="B365" s="8">
        <v>360</v>
      </c>
      <c r="C365" s="8" t="s">
        <v>616</v>
      </c>
      <c r="D365" s="8" t="s">
        <v>10</v>
      </c>
      <c r="E365" s="8">
        <v>25.4</v>
      </c>
      <c r="F365" s="8" t="s">
        <v>16</v>
      </c>
      <c r="G365" s="85">
        <f>+'[1]Dự thầu'!$G$886</f>
        <v>11161</v>
      </c>
      <c r="H365" s="86">
        <f t="shared" si="13"/>
        <v>283489</v>
      </c>
    </row>
    <row r="366" spans="1:8" ht="15.75" customHeight="1" x14ac:dyDescent="0.25">
      <c r="A366" s="4" t="s">
        <v>617</v>
      </c>
      <c r="B366" s="8">
        <v>361</v>
      </c>
      <c r="C366" s="8" t="s">
        <v>618</v>
      </c>
      <c r="D366" s="8" t="s">
        <v>10</v>
      </c>
      <c r="E366" s="8">
        <v>112.25</v>
      </c>
      <c r="F366" s="8" t="s">
        <v>16</v>
      </c>
      <c r="G366" s="85">
        <f>+'[1]Dự thầu'!$G$887</f>
        <v>276665</v>
      </c>
      <c r="H366" s="86">
        <f t="shared" si="13"/>
        <v>31055646</v>
      </c>
    </row>
    <row r="367" spans="1:8" ht="15.75" customHeight="1" x14ac:dyDescent="0.25">
      <c r="A367" s="4" t="s">
        <v>619</v>
      </c>
      <c r="B367" s="8">
        <v>362</v>
      </c>
      <c r="C367" s="8" t="s">
        <v>620</v>
      </c>
      <c r="D367" s="8" t="s">
        <v>10</v>
      </c>
      <c r="E367" s="8">
        <v>28061.78</v>
      </c>
      <c r="F367" s="8" t="s">
        <v>75</v>
      </c>
      <c r="G367" s="85">
        <f>+'[1]Dự thầu'!$G$888</f>
        <v>11223</v>
      </c>
      <c r="H367" s="86">
        <f t="shared" si="13"/>
        <v>314937357</v>
      </c>
    </row>
    <row r="368" spans="1:8" ht="15.75" customHeight="1" x14ac:dyDescent="0.25">
      <c r="A368" s="4" t="s">
        <v>621</v>
      </c>
      <c r="B368" s="8">
        <v>363</v>
      </c>
      <c r="C368" s="8" t="s">
        <v>622</v>
      </c>
      <c r="D368" s="8" t="s">
        <v>10</v>
      </c>
      <c r="E368" s="8">
        <v>584.53</v>
      </c>
      <c r="F368" s="8" t="s">
        <v>13</v>
      </c>
      <c r="G368" s="85">
        <f>+'[1]Dự thầu'!$G$889</f>
        <v>19714</v>
      </c>
      <c r="H368" s="86">
        <f t="shared" si="13"/>
        <v>11523424</v>
      </c>
    </row>
    <row r="369" spans="1:8" ht="15.75" customHeight="1" x14ac:dyDescent="0.25">
      <c r="A369" s="4" t="s">
        <v>623</v>
      </c>
      <c r="B369" s="8">
        <v>364</v>
      </c>
      <c r="C369" s="8" t="s">
        <v>624</v>
      </c>
      <c r="D369" s="8" t="s">
        <v>10</v>
      </c>
      <c r="E369" s="8">
        <v>413.78</v>
      </c>
      <c r="F369" s="8" t="s">
        <v>16</v>
      </c>
      <c r="G369" s="85">
        <f>+'[1]Dự thầu'!$G$890</f>
        <v>267174</v>
      </c>
      <c r="H369" s="86">
        <f t="shared" si="13"/>
        <v>110551258</v>
      </c>
    </row>
    <row r="370" spans="1:8" ht="15.75" customHeight="1" x14ac:dyDescent="0.25">
      <c r="A370" s="4" t="s">
        <v>625</v>
      </c>
      <c r="B370" s="8">
        <v>365</v>
      </c>
      <c r="C370" s="8" t="s">
        <v>626</v>
      </c>
      <c r="D370" s="8" t="s">
        <v>10</v>
      </c>
      <c r="E370" s="8">
        <v>1865.9</v>
      </c>
      <c r="F370" s="8" t="s">
        <v>16</v>
      </c>
      <c r="G370" s="85">
        <f>+'[1]Dự thầu'!$G$891</f>
        <v>45382</v>
      </c>
      <c r="H370" s="86">
        <f t="shared" si="13"/>
        <v>84678274</v>
      </c>
    </row>
    <row r="371" spans="1:8" ht="15.75" customHeight="1" x14ac:dyDescent="0.25">
      <c r="A371" s="4" t="s">
        <v>627</v>
      </c>
      <c r="B371" s="8">
        <v>366</v>
      </c>
      <c r="C371" s="8" t="s">
        <v>628</v>
      </c>
      <c r="D371" s="8" t="s">
        <v>10</v>
      </c>
      <c r="E371" s="8">
        <v>158.4</v>
      </c>
      <c r="F371" s="8" t="s">
        <v>16</v>
      </c>
      <c r="G371" s="85">
        <f>+'[1]Dự thầu'!$G$895</f>
        <v>23993</v>
      </c>
      <c r="H371" s="86">
        <f t="shared" si="13"/>
        <v>3800491</v>
      </c>
    </row>
    <row r="372" spans="1:8" ht="15.75" customHeight="1" x14ac:dyDescent="0.25">
      <c r="A372" s="4" t="s">
        <v>629</v>
      </c>
      <c r="B372" s="8">
        <v>367</v>
      </c>
      <c r="C372" s="8" t="s">
        <v>630</v>
      </c>
      <c r="D372" s="8" t="s">
        <v>10</v>
      </c>
      <c r="E372" s="8">
        <v>41</v>
      </c>
      <c r="F372" s="8" t="s">
        <v>16</v>
      </c>
      <c r="G372" s="85">
        <f>+'[1]Dự thầu'!$G$896</f>
        <v>7229</v>
      </c>
      <c r="H372" s="86">
        <f t="shared" si="13"/>
        <v>296389</v>
      </c>
    </row>
    <row r="373" spans="1:8" ht="15.75" customHeight="1" x14ac:dyDescent="0.25">
      <c r="A373" s="4" t="s">
        <v>631</v>
      </c>
      <c r="B373" s="8">
        <v>368</v>
      </c>
      <c r="C373" s="8" t="s">
        <v>632</v>
      </c>
      <c r="D373" s="8" t="s">
        <v>10</v>
      </c>
      <c r="E373" s="8">
        <v>158.4</v>
      </c>
      <c r="F373" s="8" t="s">
        <v>16</v>
      </c>
      <c r="G373" s="85">
        <f>+'[1]Dự thầu'!$G$897</f>
        <v>19746</v>
      </c>
      <c r="H373" s="86">
        <f t="shared" si="13"/>
        <v>3127766</v>
      </c>
    </row>
    <row r="374" spans="1:8" ht="15.75" customHeight="1" x14ac:dyDescent="0.25">
      <c r="A374" s="4" t="s">
        <v>633</v>
      </c>
      <c r="B374" s="8">
        <v>369</v>
      </c>
      <c r="C374" s="8" t="s">
        <v>626</v>
      </c>
      <c r="D374" s="8" t="s">
        <v>10</v>
      </c>
      <c r="E374" s="8">
        <v>158.4</v>
      </c>
      <c r="F374" s="8" t="s">
        <v>16</v>
      </c>
      <c r="G374" s="85">
        <f>+'[1]Dự thầu'!$G$898</f>
        <v>45382</v>
      </c>
      <c r="H374" s="86">
        <f t="shared" si="13"/>
        <v>7188509</v>
      </c>
    </row>
    <row r="375" spans="1:8" ht="15.75" customHeight="1" x14ac:dyDescent="0.25">
      <c r="A375" s="4" t="s">
        <v>634</v>
      </c>
      <c r="B375" s="8">
        <v>370</v>
      </c>
      <c r="C375" s="8" t="s">
        <v>620</v>
      </c>
      <c r="D375" s="8" t="s">
        <v>10</v>
      </c>
      <c r="E375" s="8">
        <v>1.53</v>
      </c>
      <c r="F375" s="8" t="s">
        <v>75</v>
      </c>
      <c r="G375" s="85">
        <f>+'[1]Dự thầu'!$G$902</f>
        <v>1117897</v>
      </c>
      <c r="H375" s="86">
        <f t="shared" si="13"/>
        <v>1710382</v>
      </c>
    </row>
    <row r="376" spans="1:8" ht="15.75" customHeight="1" x14ac:dyDescent="0.25">
      <c r="A376" s="4" t="s">
        <v>635</v>
      </c>
      <c r="B376" s="8">
        <v>371</v>
      </c>
      <c r="C376" s="8" t="s">
        <v>636</v>
      </c>
      <c r="D376" s="8" t="s">
        <v>10</v>
      </c>
      <c r="E376" s="8">
        <v>18</v>
      </c>
      <c r="F376" s="8" t="s">
        <v>13</v>
      </c>
      <c r="G376" s="85">
        <f>+'[1]Dự thầu'!$G$903</f>
        <v>8913</v>
      </c>
      <c r="H376" s="86">
        <f t="shared" si="13"/>
        <v>160434</v>
      </c>
    </row>
    <row r="377" spans="1:8" ht="15.75" customHeight="1" x14ac:dyDescent="0.25">
      <c r="A377" s="4" t="s">
        <v>637</v>
      </c>
      <c r="B377" s="8">
        <v>372</v>
      </c>
      <c r="C377" s="8" t="s">
        <v>554</v>
      </c>
      <c r="D377" s="8" t="s">
        <v>10</v>
      </c>
      <c r="E377" s="8">
        <v>1.0900000000000001</v>
      </c>
      <c r="F377" s="8" t="s">
        <v>90</v>
      </c>
      <c r="G377" s="85">
        <f>+'[1]Dự thầu'!$G$904</f>
        <v>28765433</v>
      </c>
      <c r="H377" s="86">
        <f t="shared" si="13"/>
        <v>31354322</v>
      </c>
    </row>
    <row r="378" spans="1:8" ht="15.75" customHeight="1" x14ac:dyDescent="0.25">
      <c r="A378" s="4" t="s">
        <v>638</v>
      </c>
      <c r="B378" s="8">
        <v>373</v>
      </c>
      <c r="C378" s="8" t="s">
        <v>556</v>
      </c>
      <c r="D378" s="8" t="s">
        <v>10</v>
      </c>
      <c r="E378" s="8">
        <v>10.51</v>
      </c>
      <c r="F378" s="8" t="s">
        <v>90</v>
      </c>
      <c r="G378" s="85">
        <f>+'[1]Dự thầu'!$G$905</f>
        <v>27004108</v>
      </c>
      <c r="H378" s="86">
        <f t="shared" si="13"/>
        <v>283813175</v>
      </c>
    </row>
    <row r="379" spans="1:8" ht="15.75" customHeight="1" x14ac:dyDescent="0.25">
      <c r="A379" s="4" t="s">
        <v>639</v>
      </c>
      <c r="B379" s="8">
        <v>374</v>
      </c>
      <c r="C379" s="8" t="s">
        <v>558</v>
      </c>
      <c r="D379" s="8" t="s">
        <v>10</v>
      </c>
      <c r="E379" s="8">
        <v>83.88</v>
      </c>
      <c r="F379" s="8" t="s">
        <v>16</v>
      </c>
      <c r="G379" s="85">
        <f>+'[1]Dự thầu'!$G$907</f>
        <v>1871647</v>
      </c>
      <c r="H379" s="86">
        <f t="shared" si="13"/>
        <v>156993750</v>
      </c>
    </row>
    <row r="380" spans="1:8" ht="15.75" customHeight="1" x14ac:dyDescent="0.25">
      <c r="A380" s="4" t="s">
        <v>640</v>
      </c>
      <c r="B380" s="8">
        <v>375</v>
      </c>
      <c r="C380" s="8" t="s">
        <v>641</v>
      </c>
      <c r="D380" s="8" t="s">
        <v>10</v>
      </c>
      <c r="E380" s="8">
        <v>631.08000000000004</v>
      </c>
      <c r="F380" s="8" t="s">
        <v>13</v>
      </c>
      <c r="G380" s="85">
        <f>+'[1]Dự thầu'!$G$908</f>
        <v>115728</v>
      </c>
      <c r="H380" s="86">
        <f t="shared" si="13"/>
        <v>73033626</v>
      </c>
    </row>
    <row r="381" spans="1:8" ht="15.75" customHeight="1" x14ac:dyDescent="0.25">
      <c r="A381" s="4" t="s">
        <v>642</v>
      </c>
      <c r="B381" s="8">
        <v>376</v>
      </c>
      <c r="C381" s="8" t="s">
        <v>643</v>
      </c>
      <c r="D381" s="8" t="s">
        <v>10</v>
      </c>
      <c r="E381" s="8">
        <v>36</v>
      </c>
      <c r="F381" s="8" t="s">
        <v>567</v>
      </c>
      <c r="G381" s="85">
        <f>+'[1]Dự thầu'!$G$909</f>
        <v>561271</v>
      </c>
      <c r="H381" s="86">
        <f t="shared" si="13"/>
        <v>20205756</v>
      </c>
    </row>
    <row r="382" spans="1:8" ht="15.75" customHeight="1" x14ac:dyDescent="0.25">
      <c r="A382" s="4" t="s">
        <v>644</v>
      </c>
      <c r="B382" s="8">
        <v>377</v>
      </c>
      <c r="C382" s="8" t="s">
        <v>569</v>
      </c>
      <c r="D382" s="8" t="s">
        <v>10</v>
      </c>
      <c r="E382" s="8">
        <v>36</v>
      </c>
      <c r="F382" s="8" t="s">
        <v>250</v>
      </c>
      <c r="G382" s="85">
        <f>+'[1]Dự thầu'!$G$910</f>
        <v>129899</v>
      </c>
      <c r="H382" s="86">
        <f t="shared" si="13"/>
        <v>4676364</v>
      </c>
    </row>
    <row r="383" spans="1:8" ht="15.75" customHeight="1" x14ac:dyDescent="0.25">
      <c r="A383" s="4" t="s">
        <v>645</v>
      </c>
      <c r="B383" s="8">
        <v>378</v>
      </c>
      <c r="C383" s="8" t="s">
        <v>571</v>
      </c>
      <c r="D383" s="8" t="s">
        <v>10</v>
      </c>
      <c r="E383" s="8">
        <v>36</v>
      </c>
      <c r="F383" s="8" t="s">
        <v>250</v>
      </c>
      <c r="G383" s="85">
        <f>+'[1]Dự thầu'!$G$911</f>
        <v>91827</v>
      </c>
      <c r="H383" s="86">
        <f t="shared" si="13"/>
        <v>3305772</v>
      </c>
    </row>
    <row r="384" spans="1:8" ht="15.75" customHeight="1" x14ac:dyDescent="0.25">
      <c r="A384" s="4" t="s">
        <v>646</v>
      </c>
      <c r="B384" s="8">
        <v>379</v>
      </c>
      <c r="C384" s="8" t="s">
        <v>647</v>
      </c>
      <c r="D384" s="8" t="s">
        <v>10</v>
      </c>
      <c r="E384" s="8">
        <v>20.97</v>
      </c>
      <c r="F384" s="8" t="s">
        <v>253</v>
      </c>
      <c r="G384" s="85">
        <f>+'[1]Dự thầu'!$G$912</f>
        <v>36181</v>
      </c>
      <c r="H384" s="86">
        <f t="shared" si="13"/>
        <v>758716</v>
      </c>
    </row>
    <row r="385" spans="1:8" ht="15.75" customHeight="1" x14ac:dyDescent="0.25">
      <c r="A385" s="4" t="s">
        <v>648</v>
      </c>
      <c r="B385" s="8">
        <v>380</v>
      </c>
      <c r="C385" s="8" t="s">
        <v>576</v>
      </c>
      <c r="D385" s="8" t="s">
        <v>10</v>
      </c>
      <c r="E385" s="8">
        <v>19.14</v>
      </c>
      <c r="F385" s="8" t="s">
        <v>16</v>
      </c>
      <c r="G385" s="85">
        <f>+'[1]Dự thầu'!$G$913</f>
        <v>1725249</v>
      </c>
      <c r="H385" s="86">
        <f t="shared" si="13"/>
        <v>33021266</v>
      </c>
    </row>
    <row r="386" spans="1:8" ht="15.75" customHeight="1" x14ac:dyDescent="0.25">
      <c r="A386" s="4" t="s">
        <v>649</v>
      </c>
      <c r="B386" s="8">
        <v>381</v>
      </c>
      <c r="C386" s="8" t="s">
        <v>578</v>
      </c>
      <c r="D386" s="8" t="s">
        <v>10</v>
      </c>
      <c r="E386" s="8">
        <v>1.1299999999999999</v>
      </c>
      <c r="F386" s="8" t="s">
        <v>90</v>
      </c>
      <c r="G386" s="85">
        <f>+'[1]Dự thầu'!$G$914</f>
        <v>28097053</v>
      </c>
      <c r="H386" s="86">
        <f t="shared" si="13"/>
        <v>31749670</v>
      </c>
    </row>
    <row r="387" spans="1:8" ht="15.75" customHeight="1" x14ac:dyDescent="0.25">
      <c r="A387" s="4" t="s">
        <v>650</v>
      </c>
      <c r="B387" s="8">
        <v>382</v>
      </c>
      <c r="C387" s="8" t="s">
        <v>651</v>
      </c>
      <c r="D387" s="8" t="s">
        <v>10</v>
      </c>
      <c r="E387" s="8">
        <v>38.72</v>
      </c>
      <c r="F387" s="8" t="s">
        <v>13</v>
      </c>
      <c r="G387" s="85">
        <f>+'[1]Dự thầu'!$G$915</f>
        <v>86606</v>
      </c>
      <c r="H387" s="86">
        <f t="shared" si="13"/>
        <v>3353384</v>
      </c>
    </row>
    <row r="388" spans="1:8" ht="15.75" customHeight="1" x14ac:dyDescent="0.25">
      <c r="A388" s="4" t="s">
        <v>652</v>
      </c>
      <c r="B388" s="8">
        <v>383</v>
      </c>
      <c r="C388" s="8" t="s">
        <v>653</v>
      </c>
      <c r="D388" s="8" t="s">
        <v>10</v>
      </c>
      <c r="E388" s="8">
        <v>22</v>
      </c>
      <c r="F388" s="8" t="s">
        <v>258</v>
      </c>
      <c r="G388" s="85">
        <f>+'[1]Dự thầu'!$G$916</f>
        <v>231535</v>
      </c>
      <c r="H388" s="86">
        <f t="shared" si="13"/>
        <v>5093770</v>
      </c>
    </row>
    <row r="389" spans="1:8" ht="15.75" customHeight="1" x14ac:dyDescent="0.25">
      <c r="A389" s="4" t="s">
        <v>654</v>
      </c>
      <c r="B389" s="8">
        <v>384</v>
      </c>
      <c r="C389" s="8" t="s">
        <v>569</v>
      </c>
      <c r="D389" s="8" t="s">
        <v>10</v>
      </c>
      <c r="E389" s="8">
        <v>22</v>
      </c>
      <c r="F389" s="8" t="s">
        <v>250</v>
      </c>
      <c r="G389" s="85">
        <f>+'[1]Dự thầu'!$G$917</f>
        <v>113802</v>
      </c>
      <c r="H389" s="86">
        <f t="shared" si="13"/>
        <v>2503644</v>
      </c>
    </row>
    <row r="390" spans="1:8" ht="15.75" customHeight="1" x14ac:dyDescent="0.25">
      <c r="A390" s="4" t="s">
        <v>655</v>
      </c>
      <c r="B390" s="8">
        <v>385</v>
      </c>
      <c r="C390" s="8" t="s">
        <v>571</v>
      </c>
      <c r="D390" s="8" t="s">
        <v>10</v>
      </c>
      <c r="E390" s="8">
        <v>22</v>
      </c>
      <c r="F390" s="8" t="s">
        <v>250</v>
      </c>
      <c r="G390" s="85">
        <f>+'[1]Dự thầu'!$G$918</f>
        <v>91827</v>
      </c>
      <c r="H390" s="86">
        <f t="shared" si="13"/>
        <v>2020194</v>
      </c>
    </row>
    <row r="391" spans="1:8" ht="15.75" customHeight="1" x14ac:dyDescent="0.25">
      <c r="A391" s="4" t="s">
        <v>656</v>
      </c>
      <c r="B391" s="8">
        <v>386</v>
      </c>
      <c r="C391" s="8" t="s">
        <v>573</v>
      </c>
      <c r="D391" s="8" t="s">
        <v>10</v>
      </c>
      <c r="E391" s="8">
        <v>4.79</v>
      </c>
      <c r="F391" s="8" t="s">
        <v>253</v>
      </c>
      <c r="G391" s="85">
        <f>+'[1]Dự thầu'!$G$919</f>
        <v>36181</v>
      </c>
      <c r="H391" s="86">
        <f t="shared" si="13"/>
        <v>173307</v>
      </c>
    </row>
    <row r="392" spans="1:8" ht="15.75" customHeight="1" x14ac:dyDescent="0.25">
      <c r="A392" s="4" t="s">
        <v>657</v>
      </c>
      <c r="B392" s="8">
        <v>387</v>
      </c>
      <c r="C392" s="8" t="s">
        <v>595</v>
      </c>
      <c r="D392" s="8" t="s">
        <v>10</v>
      </c>
      <c r="E392" s="8">
        <v>0.23</v>
      </c>
      <c r="F392" s="8" t="s">
        <v>16</v>
      </c>
      <c r="G392" s="85">
        <f>+'[1]Dự thầu'!$G$920</f>
        <v>1145922</v>
      </c>
      <c r="H392" s="86">
        <f t="shared" si="13"/>
        <v>263562</v>
      </c>
    </row>
    <row r="393" spans="1:8" ht="15.75" customHeight="1" x14ac:dyDescent="0.25">
      <c r="A393" s="4" t="s">
        <v>658</v>
      </c>
      <c r="B393" s="8">
        <v>388</v>
      </c>
      <c r="C393" s="8" t="s">
        <v>597</v>
      </c>
      <c r="D393" s="8" t="s">
        <v>10</v>
      </c>
      <c r="E393" s="8">
        <v>1.32</v>
      </c>
      <c r="F393" s="8" t="s">
        <v>13</v>
      </c>
      <c r="G393" s="85">
        <f>+'[1]Dự thầu'!$G$921</f>
        <v>104798</v>
      </c>
      <c r="H393" s="86">
        <f t="shared" si="13"/>
        <v>138333</v>
      </c>
    </row>
    <row r="394" spans="1:8" ht="15.75" customHeight="1" x14ac:dyDescent="0.25">
      <c r="A394" s="4" t="s">
        <v>659</v>
      </c>
      <c r="B394" s="8">
        <v>389</v>
      </c>
      <c r="C394" s="8" t="s">
        <v>587</v>
      </c>
      <c r="D394" s="8" t="s">
        <v>10</v>
      </c>
      <c r="E394" s="8">
        <v>11.86</v>
      </c>
      <c r="F394" s="8" t="s">
        <v>16</v>
      </c>
      <c r="G394" s="85">
        <f>+'[1]Dự thầu'!$G$922</f>
        <v>842139</v>
      </c>
      <c r="H394" s="86">
        <f t="shared" si="13"/>
        <v>9987769</v>
      </c>
    </row>
    <row r="395" spans="1:8" ht="15.75" customHeight="1" x14ac:dyDescent="0.25">
      <c r="A395" s="4" t="s">
        <v>660</v>
      </c>
      <c r="B395" s="8">
        <v>390</v>
      </c>
      <c r="C395" s="8" t="s">
        <v>661</v>
      </c>
      <c r="D395" s="8" t="s">
        <v>10</v>
      </c>
      <c r="E395" s="8">
        <v>1.1599999999999999</v>
      </c>
      <c r="F395" s="8" t="s">
        <v>13</v>
      </c>
      <c r="G395" s="85">
        <f>+'[1]Dự thầu'!$G$931</f>
        <v>42922</v>
      </c>
      <c r="H395" s="86">
        <f t="shared" ref="H395:H426" si="14">+ROUND(G395*E395,0)</f>
        <v>49790</v>
      </c>
    </row>
    <row r="396" spans="1:8" ht="15.75" customHeight="1" x14ac:dyDescent="0.25">
      <c r="A396" s="4" t="s">
        <v>662</v>
      </c>
      <c r="B396" s="8">
        <v>391</v>
      </c>
      <c r="C396" s="8" t="s">
        <v>591</v>
      </c>
      <c r="D396" s="8" t="s">
        <v>10</v>
      </c>
      <c r="E396" s="8">
        <v>270</v>
      </c>
      <c r="F396" s="8" t="s">
        <v>13</v>
      </c>
      <c r="G396" s="85">
        <f>+'[1]Dự thầu'!$G$932</f>
        <v>76805</v>
      </c>
      <c r="H396" s="86">
        <f t="shared" si="14"/>
        <v>20737350</v>
      </c>
    </row>
    <row r="397" spans="1:8" ht="15.75" customHeight="1" x14ac:dyDescent="0.25">
      <c r="A397" s="4" t="s">
        <v>663</v>
      </c>
      <c r="B397" s="8">
        <v>392</v>
      </c>
      <c r="C397" s="8" t="s">
        <v>664</v>
      </c>
      <c r="D397" s="8" t="s">
        <v>10</v>
      </c>
      <c r="E397" s="8">
        <v>14.96</v>
      </c>
      <c r="F397" s="8" t="s">
        <v>16</v>
      </c>
      <c r="G397" s="85">
        <f>+'[1]Dự thầu'!$G$933</f>
        <v>1823873</v>
      </c>
      <c r="H397" s="86">
        <f t="shared" si="14"/>
        <v>27285140</v>
      </c>
    </row>
    <row r="398" spans="1:8" ht="15.75" customHeight="1" x14ac:dyDescent="0.25">
      <c r="A398" s="4" t="s">
        <v>665</v>
      </c>
      <c r="B398" s="8">
        <v>393</v>
      </c>
      <c r="C398" s="8" t="s">
        <v>595</v>
      </c>
      <c r="D398" s="8" t="s">
        <v>10</v>
      </c>
      <c r="E398" s="8">
        <v>36.130000000000003</v>
      </c>
      <c r="F398" s="8" t="s">
        <v>16</v>
      </c>
      <c r="G398" s="85">
        <f>+'[1]Dự thầu'!$G$934</f>
        <v>1145922</v>
      </c>
      <c r="H398" s="86">
        <f t="shared" si="14"/>
        <v>41402162</v>
      </c>
    </row>
    <row r="399" spans="1:8" ht="15.75" customHeight="1" x14ac:dyDescent="0.25">
      <c r="A399" s="4" t="s">
        <v>666</v>
      </c>
      <c r="B399" s="8">
        <v>394</v>
      </c>
      <c r="C399" s="8" t="s">
        <v>597</v>
      </c>
      <c r="D399" s="8" t="s">
        <v>10</v>
      </c>
      <c r="E399" s="8">
        <v>55.52</v>
      </c>
      <c r="F399" s="8" t="s">
        <v>13</v>
      </c>
      <c r="G399" s="85">
        <f>+'[1]Dự thầu'!$G$935</f>
        <v>104798</v>
      </c>
      <c r="H399" s="86">
        <f t="shared" si="14"/>
        <v>5818385</v>
      </c>
    </row>
    <row r="400" spans="1:8" ht="15.75" customHeight="1" x14ac:dyDescent="0.25">
      <c r="A400" s="4" t="s">
        <v>667</v>
      </c>
      <c r="B400" s="8">
        <v>395</v>
      </c>
      <c r="C400" s="8" t="s">
        <v>599</v>
      </c>
      <c r="D400" s="8" t="s">
        <v>10</v>
      </c>
      <c r="E400" s="8">
        <v>84.33</v>
      </c>
      <c r="F400" s="8" t="s">
        <v>13</v>
      </c>
      <c r="G400" s="85">
        <f>+'[1]Dự thầu'!$G$936</f>
        <v>141724</v>
      </c>
      <c r="H400" s="86">
        <f t="shared" si="14"/>
        <v>11951585</v>
      </c>
    </row>
    <row r="401" spans="1:8" ht="15.75" customHeight="1" x14ac:dyDescent="0.25">
      <c r="A401" s="4" t="s">
        <v>668</v>
      </c>
      <c r="B401" s="8">
        <v>396</v>
      </c>
      <c r="C401" s="8" t="s">
        <v>587</v>
      </c>
      <c r="D401" s="8" t="s">
        <v>10</v>
      </c>
      <c r="E401" s="8">
        <v>4.0199999999999996</v>
      </c>
      <c r="F401" s="8" t="s">
        <v>16</v>
      </c>
      <c r="G401" s="85">
        <f>+'[1]Dự thầu'!$G$937</f>
        <v>842139</v>
      </c>
      <c r="H401" s="86">
        <f t="shared" si="14"/>
        <v>3385399</v>
      </c>
    </row>
    <row r="402" spans="1:8" ht="15.75" customHeight="1" x14ac:dyDescent="0.25">
      <c r="A402" s="4" t="s">
        <v>669</v>
      </c>
      <c r="B402" s="8">
        <v>397</v>
      </c>
      <c r="C402" s="8" t="s">
        <v>670</v>
      </c>
      <c r="D402" s="8" t="s">
        <v>10</v>
      </c>
      <c r="E402" s="8">
        <v>15.38</v>
      </c>
      <c r="F402" s="8" t="s">
        <v>16</v>
      </c>
      <c r="G402" s="85">
        <f>+'[1]Dự thầu'!$G$938</f>
        <v>1245512</v>
      </c>
      <c r="H402" s="86">
        <f t="shared" si="14"/>
        <v>19155975</v>
      </c>
    </row>
    <row r="403" spans="1:8" ht="15.75" customHeight="1" x14ac:dyDescent="0.25">
      <c r="A403" s="4" t="s">
        <v>671</v>
      </c>
      <c r="B403" s="8">
        <v>398</v>
      </c>
      <c r="C403" s="8" t="s">
        <v>587</v>
      </c>
      <c r="D403" s="8" t="s">
        <v>10</v>
      </c>
      <c r="E403" s="8">
        <v>6.15</v>
      </c>
      <c r="F403" s="8" t="s">
        <v>16</v>
      </c>
      <c r="G403" s="85">
        <f>+'[1]Dự thầu'!$G$939</f>
        <v>842139</v>
      </c>
      <c r="H403" s="86">
        <f t="shared" si="14"/>
        <v>5179155</v>
      </c>
    </row>
    <row r="404" spans="1:8" ht="15.75" customHeight="1" x14ac:dyDescent="0.25">
      <c r="A404" s="4" t="s">
        <v>672</v>
      </c>
      <c r="B404" s="8">
        <v>399</v>
      </c>
      <c r="C404" s="8" t="s">
        <v>670</v>
      </c>
      <c r="D404" s="8" t="s">
        <v>10</v>
      </c>
      <c r="E404" s="8">
        <v>8.58</v>
      </c>
      <c r="F404" s="8" t="s">
        <v>16</v>
      </c>
      <c r="G404" s="85">
        <f>+'[1]Dự thầu'!$G$940</f>
        <v>1245512</v>
      </c>
      <c r="H404" s="86">
        <f t="shared" si="14"/>
        <v>10686493</v>
      </c>
    </row>
    <row r="405" spans="1:8" ht="15.75" customHeight="1" x14ac:dyDescent="0.25">
      <c r="A405" s="4" t="s">
        <v>673</v>
      </c>
      <c r="B405" s="8">
        <v>400</v>
      </c>
      <c r="C405" s="8" t="s">
        <v>587</v>
      </c>
      <c r="D405" s="8" t="s">
        <v>10</v>
      </c>
      <c r="E405" s="8">
        <v>3.43</v>
      </c>
      <c r="F405" s="8" t="s">
        <v>16</v>
      </c>
      <c r="G405" s="85">
        <f>+'[1]Dự thầu'!$G$941</f>
        <v>842139</v>
      </c>
      <c r="H405" s="86">
        <f t="shared" si="14"/>
        <v>2888537</v>
      </c>
    </row>
    <row r="406" spans="1:8" ht="15.75" customHeight="1" x14ac:dyDescent="0.25">
      <c r="A406" s="4" t="s">
        <v>674</v>
      </c>
      <c r="B406" s="8">
        <v>401</v>
      </c>
      <c r="C406" s="8" t="s">
        <v>608</v>
      </c>
      <c r="D406" s="8" t="s">
        <v>10</v>
      </c>
      <c r="E406" s="8">
        <v>2217.42</v>
      </c>
      <c r="F406" s="8" t="s">
        <v>16</v>
      </c>
      <c r="G406" s="85">
        <f>+'[1]Dự thầu'!$G$942</f>
        <v>20867</v>
      </c>
      <c r="H406" s="86">
        <f t="shared" si="14"/>
        <v>46270903</v>
      </c>
    </row>
    <row r="407" spans="1:8" ht="15.75" customHeight="1" x14ac:dyDescent="0.25">
      <c r="A407" s="4" t="s">
        <v>675</v>
      </c>
      <c r="B407" s="8">
        <v>402</v>
      </c>
      <c r="C407" s="8" t="s">
        <v>610</v>
      </c>
      <c r="D407" s="8" t="s">
        <v>10</v>
      </c>
      <c r="E407" s="8">
        <v>1937.35</v>
      </c>
      <c r="F407" s="8" t="s">
        <v>16</v>
      </c>
      <c r="G407" s="85">
        <f>+'[1]Dự thầu'!$G$943</f>
        <v>12936</v>
      </c>
      <c r="H407" s="86">
        <f t="shared" si="14"/>
        <v>25061560</v>
      </c>
    </row>
    <row r="408" spans="1:8" ht="15.75" customHeight="1" x14ac:dyDescent="0.25">
      <c r="A408" s="4" t="s">
        <v>676</v>
      </c>
      <c r="B408" s="8">
        <v>403</v>
      </c>
      <c r="C408" s="8" t="s">
        <v>32</v>
      </c>
      <c r="D408" s="8" t="s">
        <v>10</v>
      </c>
      <c r="E408" s="8">
        <v>2648.94</v>
      </c>
      <c r="F408" s="8" t="s">
        <v>16</v>
      </c>
      <c r="G408" s="85">
        <f>+'[1]Dự thầu'!$G$944</f>
        <v>50585</v>
      </c>
      <c r="H408" s="86">
        <f t="shared" si="14"/>
        <v>133996630</v>
      </c>
    </row>
    <row r="409" spans="1:8" ht="15.75" customHeight="1" x14ac:dyDescent="0.25">
      <c r="A409" s="4" t="s">
        <v>677</v>
      </c>
      <c r="B409" s="8">
        <v>404</v>
      </c>
      <c r="C409" s="8" t="s">
        <v>36</v>
      </c>
      <c r="D409" s="8" t="s">
        <v>10</v>
      </c>
      <c r="E409" s="8">
        <v>264.89</v>
      </c>
      <c r="F409" s="8" t="s">
        <v>37</v>
      </c>
      <c r="G409" s="85">
        <f>+'[1]Dự thầu'!$G$945+'[1]Dự thầu'!$G$946+'[1]Dự thầu'!$G$947</f>
        <v>940826</v>
      </c>
      <c r="H409" s="86">
        <f t="shared" si="14"/>
        <v>249215399</v>
      </c>
    </row>
    <row r="410" spans="1:8" ht="15.75" customHeight="1" x14ac:dyDescent="0.25">
      <c r="A410" s="4" t="s">
        <v>678</v>
      </c>
      <c r="B410" s="8">
        <v>405</v>
      </c>
      <c r="C410" s="8" t="s">
        <v>624</v>
      </c>
      <c r="D410" s="8" t="s">
        <v>10</v>
      </c>
      <c r="E410" s="8">
        <v>591.75</v>
      </c>
      <c r="F410" s="8" t="s">
        <v>16</v>
      </c>
      <c r="G410" s="85">
        <f>+'[1]Dự thầu'!$G$948</f>
        <v>267174</v>
      </c>
      <c r="H410" s="86">
        <f t="shared" si="14"/>
        <v>158100215</v>
      </c>
    </row>
    <row r="411" spans="1:8" ht="15.75" customHeight="1" x14ac:dyDescent="0.25">
      <c r="A411" s="4" t="s">
        <v>679</v>
      </c>
      <c r="B411" s="8">
        <v>406</v>
      </c>
      <c r="C411" s="8" t="s">
        <v>618</v>
      </c>
      <c r="D411" s="8" t="s">
        <v>10</v>
      </c>
      <c r="E411" s="8">
        <v>116.76</v>
      </c>
      <c r="F411" s="8" t="s">
        <v>16</v>
      </c>
      <c r="G411" s="85">
        <f>+'[1]Dự thầu'!$G$949</f>
        <v>276665</v>
      </c>
      <c r="H411" s="86">
        <f t="shared" si="14"/>
        <v>32303405</v>
      </c>
    </row>
    <row r="412" spans="1:8" ht="15.75" customHeight="1" x14ac:dyDescent="0.25">
      <c r="A412" s="4" t="s">
        <v>680</v>
      </c>
      <c r="B412" s="8">
        <v>407</v>
      </c>
      <c r="C412" s="8" t="s">
        <v>614</v>
      </c>
      <c r="D412" s="8" t="s">
        <v>10</v>
      </c>
      <c r="E412" s="8">
        <v>150.88</v>
      </c>
      <c r="F412" s="8" t="s">
        <v>16</v>
      </c>
      <c r="G412" s="85">
        <f>+'[1]Dự thầu'!$G$950</f>
        <v>23993</v>
      </c>
      <c r="H412" s="86">
        <f t="shared" si="14"/>
        <v>3620064</v>
      </c>
    </row>
    <row r="413" spans="1:8" ht="15.75" customHeight="1" x14ac:dyDescent="0.25">
      <c r="A413" s="4" t="s">
        <v>681</v>
      </c>
      <c r="B413" s="8">
        <v>408</v>
      </c>
      <c r="C413" s="8" t="s">
        <v>616</v>
      </c>
      <c r="D413" s="8" t="s">
        <v>10</v>
      </c>
      <c r="E413" s="8">
        <v>23</v>
      </c>
      <c r="F413" s="8" t="s">
        <v>16</v>
      </c>
      <c r="G413" s="85">
        <f>+'[1]Dự thầu'!$G$951</f>
        <v>11161</v>
      </c>
      <c r="H413" s="86">
        <f t="shared" si="14"/>
        <v>256703</v>
      </c>
    </row>
    <row r="414" spans="1:8" ht="15.75" customHeight="1" x14ac:dyDescent="0.25">
      <c r="A414" s="4" t="s">
        <v>682</v>
      </c>
      <c r="B414" s="8">
        <v>409</v>
      </c>
      <c r="C414" s="8" t="s">
        <v>620</v>
      </c>
      <c r="D414" s="8" t="s">
        <v>10</v>
      </c>
      <c r="E414" s="8">
        <v>29190.38</v>
      </c>
      <c r="F414" s="8" t="s">
        <v>75</v>
      </c>
      <c r="G414" s="85">
        <f>+'[1]Dự thầu'!$G$952</f>
        <v>11223</v>
      </c>
      <c r="H414" s="86">
        <f t="shared" si="14"/>
        <v>327603635</v>
      </c>
    </row>
    <row r="415" spans="1:8" ht="15.75" customHeight="1" x14ac:dyDescent="0.25">
      <c r="A415" s="4" t="s">
        <v>683</v>
      </c>
      <c r="B415" s="8">
        <v>410</v>
      </c>
      <c r="C415" s="8" t="s">
        <v>622</v>
      </c>
      <c r="D415" s="8" t="s">
        <v>10</v>
      </c>
      <c r="E415" s="8">
        <v>791.9</v>
      </c>
      <c r="F415" s="8" t="s">
        <v>13</v>
      </c>
      <c r="G415" s="85">
        <f>+'[1]Dự thầu'!$G$953</f>
        <v>19714</v>
      </c>
      <c r="H415" s="86">
        <f t="shared" si="14"/>
        <v>15611517</v>
      </c>
    </row>
    <row r="416" spans="1:8" ht="15.75" customHeight="1" x14ac:dyDescent="0.25">
      <c r="A416" s="4" t="s">
        <v>684</v>
      </c>
      <c r="B416" s="8">
        <v>411</v>
      </c>
      <c r="C416" s="8" t="s">
        <v>685</v>
      </c>
      <c r="D416" s="8" t="s">
        <v>10</v>
      </c>
      <c r="E416" s="8">
        <v>2345.3000000000002</v>
      </c>
      <c r="F416" s="8" t="s">
        <v>16</v>
      </c>
      <c r="G416" s="85">
        <f>+'[1]Dự thầu'!$G$954</f>
        <v>45382</v>
      </c>
      <c r="H416" s="86">
        <f t="shared" si="14"/>
        <v>106434405</v>
      </c>
    </row>
    <row r="417" spans="1:8" ht="15.75" customHeight="1" x14ac:dyDescent="0.25">
      <c r="A417" s="4" t="s">
        <v>686</v>
      </c>
      <c r="B417" s="8">
        <v>412</v>
      </c>
      <c r="C417" s="8" t="s">
        <v>685</v>
      </c>
      <c r="D417" s="8" t="s">
        <v>10</v>
      </c>
      <c r="E417" s="8">
        <v>156.1</v>
      </c>
      <c r="F417" s="8" t="s">
        <v>16</v>
      </c>
      <c r="G417" s="85">
        <f>+'[1]Dự thầu'!$G$958</f>
        <v>45382</v>
      </c>
      <c r="H417" s="86">
        <f t="shared" si="14"/>
        <v>7084130</v>
      </c>
    </row>
    <row r="418" spans="1:8" ht="15.75" customHeight="1" x14ac:dyDescent="0.25">
      <c r="A418" s="4" t="s">
        <v>687</v>
      </c>
      <c r="B418" s="8">
        <v>413</v>
      </c>
      <c r="C418" s="8" t="s">
        <v>628</v>
      </c>
      <c r="D418" s="8" t="s">
        <v>10</v>
      </c>
      <c r="E418" s="8">
        <v>135</v>
      </c>
      <c r="F418" s="8" t="s">
        <v>16</v>
      </c>
      <c r="G418" s="85">
        <f>+'[1]Dự thầu'!$G$962</f>
        <v>23993</v>
      </c>
      <c r="H418" s="86">
        <f t="shared" si="14"/>
        <v>3239055</v>
      </c>
    </row>
    <row r="419" spans="1:8" ht="15.75" customHeight="1" x14ac:dyDescent="0.25">
      <c r="A419" s="4" t="s">
        <v>688</v>
      </c>
      <c r="B419" s="8">
        <v>414</v>
      </c>
      <c r="C419" s="8" t="s">
        <v>630</v>
      </c>
      <c r="D419" s="8" t="s">
        <v>10</v>
      </c>
      <c r="E419" s="8">
        <v>35</v>
      </c>
      <c r="F419" s="8" t="s">
        <v>16</v>
      </c>
      <c r="G419" s="85">
        <f>+'[1]Dự thầu'!$G$963</f>
        <v>7229</v>
      </c>
      <c r="H419" s="86">
        <f t="shared" si="14"/>
        <v>253015</v>
      </c>
    </row>
    <row r="420" spans="1:8" ht="15.75" customHeight="1" x14ac:dyDescent="0.25">
      <c r="A420" s="4" t="s">
        <v>689</v>
      </c>
      <c r="B420" s="8">
        <v>415</v>
      </c>
      <c r="C420" s="8" t="s">
        <v>632</v>
      </c>
      <c r="D420" s="8" t="s">
        <v>10</v>
      </c>
      <c r="E420" s="8">
        <v>35</v>
      </c>
      <c r="F420" s="8" t="s">
        <v>16</v>
      </c>
      <c r="G420" s="85">
        <f>+'[1]Dự thầu'!$G$964</f>
        <v>19746</v>
      </c>
      <c r="H420" s="86">
        <f t="shared" si="14"/>
        <v>691110</v>
      </c>
    </row>
    <row r="421" spans="1:8" ht="15.75" customHeight="1" x14ac:dyDescent="0.25">
      <c r="A421" s="4" t="s">
        <v>690</v>
      </c>
      <c r="B421" s="8">
        <v>416</v>
      </c>
      <c r="C421" s="8" t="s">
        <v>685</v>
      </c>
      <c r="D421" s="8" t="s">
        <v>10</v>
      </c>
      <c r="E421" s="8">
        <v>170</v>
      </c>
      <c r="F421" s="8" t="s">
        <v>16</v>
      </c>
      <c r="G421" s="85">
        <f>+'[1]Dự thầu'!$G$965</f>
        <v>45382</v>
      </c>
      <c r="H421" s="86">
        <f t="shared" si="14"/>
        <v>7714940</v>
      </c>
    </row>
    <row r="422" spans="1:8" ht="15.75" customHeight="1" x14ac:dyDescent="0.25">
      <c r="A422" s="4" t="s">
        <v>691</v>
      </c>
      <c r="B422" s="8">
        <v>417</v>
      </c>
      <c r="C422" s="8" t="s">
        <v>692</v>
      </c>
      <c r="D422" s="8" t="s">
        <v>10</v>
      </c>
      <c r="E422" s="8">
        <v>61.52</v>
      </c>
      <c r="F422" s="8" t="s">
        <v>16</v>
      </c>
      <c r="G422" s="85">
        <f>+'[1]Dự thầu'!$G$969</f>
        <v>2095204</v>
      </c>
      <c r="H422" s="86">
        <f t="shared" si="14"/>
        <v>128896950</v>
      </c>
    </row>
    <row r="423" spans="1:8" ht="15.75" customHeight="1" x14ac:dyDescent="0.25">
      <c r="A423" s="4" t="s">
        <v>693</v>
      </c>
      <c r="B423" s="8">
        <v>418</v>
      </c>
      <c r="C423" s="8" t="s">
        <v>560</v>
      </c>
      <c r="D423" s="8" t="s">
        <v>10</v>
      </c>
      <c r="E423" s="8">
        <v>63.06</v>
      </c>
      <c r="F423" s="8" t="s">
        <v>16</v>
      </c>
      <c r="G423" s="85">
        <f>+'[1]Dự thầu'!$G$970</f>
        <v>57102</v>
      </c>
      <c r="H423" s="86">
        <f t="shared" si="14"/>
        <v>3600852</v>
      </c>
    </row>
    <row r="424" spans="1:8" ht="15.75" customHeight="1" x14ac:dyDescent="0.25">
      <c r="A424" s="4" t="s">
        <v>694</v>
      </c>
      <c r="B424" s="8">
        <v>419</v>
      </c>
      <c r="C424" s="8" t="s">
        <v>562</v>
      </c>
      <c r="D424" s="8" t="s">
        <v>10</v>
      </c>
      <c r="E424" s="8">
        <v>63.06</v>
      </c>
      <c r="F424" s="8" t="s">
        <v>16</v>
      </c>
      <c r="G424" s="85">
        <f>+'[1]Dự thầu'!$G$971+'[1]Dự thầu'!$G$972</f>
        <v>232044</v>
      </c>
      <c r="H424" s="87">
        <f t="shared" si="14"/>
        <v>14632695</v>
      </c>
    </row>
    <row r="425" spans="1:8" ht="15.75" customHeight="1" x14ac:dyDescent="0.25">
      <c r="A425" s="4" t="s">
        <v>695</v>
      </c>
      <c r="B425" s="8">
        <v>420</v>
      </c>
      <c r="C425" s="8" t="s">
        <v>696</v>
      </c>
      <c r="D425" s="8" t="s">
        <v>10</v>
      </c>
      <c r="E425" s="8">
        <v>0.19</v>
      </c>
      <c r="F425" s="8" t="s">
        <v>90</v>
      </c>
      <c r="G425" s="85">
        <f>+'[1]Dự thầu'!$G$973</f>
        <v>25844139</v>
      </c>
      <c r="H425" s="86">
        <f t="shared" si="14"/>
        <v>4910386</v>
      </c>
    </row>
    <row r="426" spans="1:8" ht="15.75" customHeight="1" x14ac:dyDescent="0.25">
      <c r="A426" s="4" t="s">
        <v>697</v>
      </c>
      <c r="B426" s="8">
        <v>421</v>
      </c>
      <c r="C426" s="8" t="s">
        <v>698</v>
      </c>
      <c r="D426" s="8" t="s">
        <v>10</v>
      </c>
      <c r="E426" s="8">
        <v>8.92</v>
      </c>
      <c r="F426" s="8" t="s">
        <v>90</v>
      </c>
      <c r="G426" s="85">
        <f>+'[1]Dự thầu'!$G$974</f>
        <v>25587312</v>
      </c>
      <c r="H426" s="86">
        <f t="shared" si="14"/>
        <v>228238823</v>
      </c>
    </row>
    <row r="427" spans="1:8" ht="15.75" customHeight="1" x14ac:dyDescent="0.25">
      <c r="A427" s="4" t="s">
        <v>699</v>
      </c>
      <c r="B427" s="8">
        <v>422</v>
      </c>
      <c r="C427" s="8" t="s">
        <v>700</v>
      </c>
      <c r="D427" s="8" t="s">
        <v>10</v>
      </c>
      <c r="E427" s="8">
        <v>40.75</v>
      </c>
      <c r="F427" s="8" t="s">
        <v>16</v>
      </c>
      <c r="G427" s="85">
        <f>+'[1]Dự thầu'!$G$975</f>
        <v>1141385</v>
      </c>
      <c r="H427" s="86">
        <f t="shared" ref="H427:H458" si="15">+ROUND(G427*E427,0)</f>
        <v>46511439</v>
      </c>
    </row>
    <row r="428" spans="1:8" ht="15.75" customHeight="1" x14ac:dyDescent="0.25">
      <c r="A428" s="4" t="s">
        <v>701</v>
      </c>
      <c r="B428" s="8">
        <v>423</v>
      </c>
      <c r="C428" s="8" t="s">
        <v>702</v>
      </c>
      <c r="D428" s="8" t="s">
        <v>10</v>
      </c>
      <c r="E428" s="8">
        <v>397.77</v>
      </c>
      <c r="F428" s="8" t="s">
        <v>13</v>
      </c>
      <c r="G428" s="85">
        <f>+'[1]Dự thầu'!$G$976</f>
        <v>141724</v>
      </c>
      <c r="H428" s="86">
        <f t="shared" si="15"/>
        <v>56373555</v>
      </c>
    </row>
    <row r="429" spans="1:8" ht="15.75" customHeight="1" x14ac:dyDescent="0.25">
      <c r="A429" s="4" t="s">
        <v>703</v>
      </c>
      <c r="B429" s="8">
        <v>424</v>
      </c>
      <c r="C429" s="8" t="s">
        <v>704</v>
      </c>
      <c r="D429" s="8" t="s">
        <v>10</v>
      </c>
      <c r="E429" s="8">
        <v>774.86</v>
      </c>
      <c r="F429" s="8" t="s">
        <v>13</v>
      </c>
      <c r="G429" s="85">
        <f>+'[1]Dự thầu'!$G$977</f>
        <v>76805</v>
      </c>
      <c r="H429" s="86">
        <f t="shared" si="15"/>
        <v>59513122</v>
      </c>
    </row>
    <row r="430" spans="1:8" ht="15.75" customHeight="1" x14ac:dyDescent="0.25">
      <c r="A430" s="4" t="s">
        <v>705</v>
      </c>
      <c r="B430" s="8">
        <v>425</v>
      </c>
      <c r="C430" s="8" t="s">
        <v>587</v>
      </c>
      <c r="D430" s="8" t="s">
        <v>10</v>
      </c>
      <c r="E430" s="8">
        <v>23.91</v>
      </c>
      <c r="F430" s="8" t="s">
        <v>16</v>
      </c>
      <c r="G430" s="85">
        <f>+'[1]Dự thầu'!$G$978</f>
        <v>842139</v>
      </c>
      <c r="H430" s="86">
        <f t="shared" si="15"/>
        <v>20135543</v>
      </c>
    </row>
    <row r="431" spans="1:8" ht="15.75" customHeight="1" x14ac:dyDescent="0.25">
      <c r="A431" s="4" t="s">
        <v>706</v>
      </c>
      <c r="B431" s="8">
        <v>426</v>
      </c>
      <c r="C431" s="8" t="s">
        <v>707</v>
      </c>
      <c r="D431" s="8" t="s">
        <v>10</v>
      </c>
      <c r="E431" s="8">
        <v>0.02</v>
      </c>
      <c r="F431" s="8" t="s">
        <v>90</v>
      </c>
      <c r="G431" s="85">
        <f>+'[1]Dự thầu'!$G$979</f>
        <v>25844139</v>
      </c>
      <c r="H431" s="86">
        <f t="shared" si="15"/>
        <v>516883</v>
      </c>
    </row>
    <row r="432" spans="1:8" ht="15.75" customHeight="1" x14ac:dyDescent="0.25">
      <c r="A432" s="4" t="s">
        <v>708</v>
      </c>
      <c r="B432" s="8">
        <v>427</v>
      </c>
      <c r="C432" s="8" t="s">
        <v>709</v>
      </c>
      <c r="D432" s="8" t="s">
        <v>10</v>
      </c>
      <c r="E432" s="8">
        <v>0.31</v>
      </c>
      <c r="F432" s="8" t="s">
        <v>90</v>
      </c>
      <c r="G432" s="85">
        <f>+'[1]Dự thầu'!$G$980</f>
        <v>24892659</v>
      </c>
      <c r="H432" s="86">
        <f t="shared" si="15"/>
        <v>7716724</v>
      </c>
    </row>
    <row r="433" spans="1:8" ht="15.75" customHeight="1" x14ac:dyDescent="0.25">
      <c r="A433" s="4" t="s">
        <v>710</v>
      </c>
      <c r="B433" s="8">
        <v>428</v>
      </c>
      <c r="C433" s="8" t="s">
        <v>711</v>
      </c>
      <c r="D433" s="8" t="s">
        <v>10</v>
      </c>
      <c r="E433" s="8">
        <v>41.6</v>
      </c>
      <c r="F433" s="8" t="s">
        <v>75</v>
      </c>
      <c r="G433" s="85">
        <f>+'[1]Dự thầu'!$G$981</f>
        <v>23353</v>
      </c>
      <c r="H433" s="86">
        <f t="shared" si="15"/>
        <v>971485</v>
      </c>
    </row>
    <row r="434" spans="1:8" ht="15.75" customHeight="1" x14ac:dyDescent="0.25">
      <c r="A434" s="4" t="s">
        <v>712</v>
      </c>
      <c r="B434" s="8">
        <v>429</v>
      </c>
      <c r="C434" s="8" t="s">
        <v>713</v>
      </c>
      <c r="D434" s="8" t="s">
        <v>10</v>
      </c>
      <c r="E434" s="8">
        <v>0.98</v>
      </c>
      <c r="F434" s="8" t="s">
        <v>13</v>
      </c>
      <c r="G434" s="85">
        <f>+'[1]Dự thầu'!$G$982</f>
        <v>370346</v>
      </c>
      <c r="H434" s="86">
        <f t="shared" si="15"/>
        <v>362939</v>
      </c>
    </row>
    <row r="435" spans="1:8" ht="15.75" customHeight="1" x14ac:dyDescent="0.25">
      <c r="A435" s="4" t="s">
        <v>714</v>
      </c>
      <c r="B435" s="8">
        <v>430</v>
      </c>
      <c r="C435" s="8" t="s">
        <v>715</v>
      </c>
      <c r="D435" s="8" t="s">
        <v>10</v>
      </c>
      <c r="E435" s="8">
        <v>37.6</v>
      </c>
      <c r="F435" s="8" t="s">
        <v>75</v>
      </c>
      <c r="G435" s="85">
        <f>+'[1]Dự thầu'!$G$983</f>
        <v>126388</v>
      </c>
      <c r="H435" s="86">
        <f t="shared" si="15"/>
        <v>4752189</v>
      </c>
    </row>
    <row r="436" spans="1:8" ht="15.75" customHeight="1" x14ac:dyDescent="0.25">
      <c r="A436" s="4" t="s">
        <v>716</v>
      </c>
      <c r="B436" s="8">
        <v>431</v>
      </c>
      <c r="C436" s="8" t="s">
        <v>717</v>
      </c>
      <c r="D436" s="8" t="s">
        <v>10</v>
      </c>
      <c r="E436" s="8">
        <v>67.650000000000006</v>
      </c>
      <c r="F436" s="8" t="s">
        <v>16</v>
      </c>
      <c r="G436" s="85">
        <f>+'[1]Dự thầu'!$G$984</f>
        <v>1644233</v>
      </c>
      <c r="H436" s="86">
        <f t="shared" si="15"/>
        <v>111232362</v>
      </c>
    </row>
    <row r="437" spans="1:8" ht="15.75" customHeight="1" x14ac:dyDescent="0.25">
      <c r="A437" s="4" t="s">
        <v>718</v>
      </c>
      <c r="B437" s="8">
        <v>432</v>
      </c>
      <c r="C437" s="8" t="s">
        <v>560</v>
      </c>
      <c r="D437" s="8" t="s">
        <v>10</v>
      </c>
      <c r="E437" s="8">
        <v>68.66</v>
      </c>
      <c r="F437" s="8" t="s">
        <v>16</v>
      </c>
      <c r="G437" s="85">
        <f>+'[1]Dự thầu'!$G$985</f>
        <v>57102</v>
      </c>
      <c r="H437" s="86">
        <f t="shared" si="15"/>
        <v>3920623</v>
      </c>
    </row>
    <row r="438" spans="1:8" ht="15.75" customHeight="1" x14ac:dyDescent="0.25">
      <c r="A438" s="4" t="s">
        <v>719</v>
      </c>
      <c r="B438" s="8">
        <v>433</v>
      </c>
      <c r="C438" s="8" t="s">
        <v>562</v>
      </c>
      <c r="D438" s="8" t="s">
        <v>10</v>
      </c>
      <c r="E438" s="8">
        <v>68.66</v>
      </c>
      <c r="F438" s="8" t="s">
        <v>16</v>
      </c>
      <c r="G438" s="85">
        <f>+'[1]Dự thầu'!$G$986+'[1]Dự thầu'!$G$987</f>
        <v>232044</v>
      </c>
      <c r="H438" s="86">
        <f t="shared" si="15"/>
        <v>15932141</v>
      </c>
    </row>
    <row r="439" spans="1:8" ht="15.75" customHeight="1" x14ac:dyDescent="0.25">
      <c r="A439" s="4" t="s">
        <v>720</v>
      </c>
      <c r="B439" s="8">
        <v>434</v>
      </c>
      <c r="C439" s="8" t="s">
        <v>721</v>
      </c>
      <c r="D439" s="8" t="s">
        <v>10</v>
      </c>
      <c r="E439" s="8">
        <v>0.18</v>
      </c>
      <c r="F439" s="8" t="s">
        <v>90</v>
      </c>
      <c r="G439" s="85">
        <f>+'[1]Dự thầu'!$G$988</f>
        <v>25177456</v>
      </c>
      <c r="H439" s="86">
        <f t="shared" si="15"/>
        <v>4531942</v>
      </c>
    </row>
    <row r="440" spans="1:8" ht="15.75" customHeight="1" x14ac:dyDescent="0.25">
      <c r="A440" s="4" t="s">
        <v>722</v>
      </c>
      <c r="B440" s="8">
        <v>435</v>
      </c>
      <c r="C440" s="8" t="s">
        <v>723</v>
      </c>
      <c r="D440" s="8" t="s">
        <v>10</v>
      </c>
      <c r="E440" s="8">
        <v>7.88</v>
      </c>
      <c r="F440" s="8" t="s">
        <v>90</v>
      </c>
      <c r="G440" s="85">
        <f>+'[1]Dự thầu'!$G$989</f>
        <v>24796382</v>
      </c>
      <c r="H440" s="86">
        <f t="shared" si="15"/>
        <v>195395490</v>
      </c>
    </row>
    <row r="441" spans="1:8" ht="15.75" customHeight="1" x14ac:dyDescent="0.25">
      <c r="A441" s="4" t="s">
        <v>724</v>
      </c>
      <c r="B441" s="8">
        <v>436</v>
      </c>
      <c r="C441" s="8" t="s">
        <v>725</v>
      </c>
      <c r="D441" s="8" t="s">
        <v>10</v>
      </c>
      <c r="E441" s="8">
        <v>52.84</v>
      </c>
      <c r="F441" s="8" t="s">
        <v>16</v>
      </c>
      <c r="G441" s="85">
        <f>+'[1]Dự thầu'!$G$990</f>
        <v>2040190</v>
      </c>
      <c r="H441" s="86">
        <f t="shared" si="15"/>
        <v>107803640</v>
      </c>
    </row>
    <row r="442" spans="1:8" ht="15.75" customHeight="1" x14ac:dyDescent="0.25">
      <c r="A442" s="4" t="s">
        <v>726</v>
      </c>
      <c r="B442" s="8">
        <v>437</v>
      </c>
      <c r="C442" s="8" t="s">
        <v>560</v>
      </c>
      <c r="D442" s="8" t="s">
        <v>10</v>
      </c>
      <c r="E442" s="8">
        <v>53.63</v>
      </c>
      <c r="F442" s="8" t="s">
        <v>16</v>
      </c>
      <c r="G442" s="85">
        <f>+'[1]Dự thầu'!$G$991</f>
        <v>57102</v>
      </c>
      <c r="H442" s="86">
        <f t="shared" si="15"/>
        <v>3062380</v>
      </c>
    </row>
    <row r="443" spans="1:8" ht="15.75" customHeight="1" x14ac:dyDescent="0.25">
      <c r="A443" s="4" t="s">
        <v>727</v>
      </c>
      <c r="B443" s="8">
        <v>438</v>
      </c>
      <c r="C443" s="8" t="s">
        <v>562</v>
      </c>
      <c r="D443" s="8" t="s">
        <v>10</v>
      </c>
      <c r="E443" s="8">
        <v>53.63</v>
      </c>
      <c r="F443" s="8" t="s">
        <v>16</v>
      </c>
      <c r="G443" s="85">
        <f>+'[1]Dự thầu'!$G$992+'[1]Dự thầu'!$G$993</f>
        <v>232044</v>
      </c>
      <c r="H443" s="87">
        <f t="shared" si="15"/>
        <v>12444520</v>
      </c>
    </row>
    <row r="444" spans="1:8" ht="15.75" customHeight="1" x14ac:dyDescent="0.25">
      <c r="A444" s="4" t="s">
        <v>728</v>
      </c>
      <c r="B444" s="8">
        <v>439</v>
      </c>
      <c r="C444" s="8" t="s">
        <v>729</v>
      </c>
      <c r="D444" s="8" t="s">
        <v>10</v>
      </c>
      <c r="E444" s="8">
        <v>0.16</v>
      </c>
      <c r="F444" s="8" t="s">
        <v>90</v>
      </c>
      <c r="G444" s="85">
        <f>+'[1]Dự thầu'!$G$994</f>
        <v>26202055</v>
      </c>
      <c r="H444" s="86">
        <f t="shared" si="15"/>
        <v>4192329</v>
      </c>
    </row>
    <row r="445" spans="1:8" ht="15.75" customHeight="1" x14ac:dyDescent="0.25">
      <c r="A445" s="4" t="s">
        <v>730</v>
      </c>
      <c r="B445" s="8">
        <v>440</v>
      </c>
      <c r="C445" s="8" t="s">
        <v>731</v>
      </c>
      <c r="D445" s="8" t="s">
        <v>10</v>
      </c>
      <c r="E445" s="8">
        <v>6.92</v>
      </c>
      <c r="F445" s="8" t="s">
        <v>90</v>
      </c>
      <c r="G445" s="85">
        <f>+'[1]Dự thầu'!$G$995</f>
        <v>25587587</v>
      </c>
      <c r="H445" s="86">
        <f t="shared" si="15"/>
        <v>177066102</v>
      </c>
    </row>
    <row r="446" spans="1:8" ht="15.75" customHeight="1" x14ac:dyDescent="0.25">
      <c r="A446" s="4" t="s">
        <v>732</v>
      </c>
      <c r="B446" s="8">
        <v>441</v>
      </c>
      <c r="C446" s="8" t="s">
        <v>733</v>
      </c>
      <c r="D446" s="8" t="s">
        <v>10</v>
      </c>
      <c r="E446" s="8">
        <v>189.36</v>
      </c>
      <c r="F446" s="8" t="s">
        <v>13</v>
      </c>
      <c r="G446" s="85">
        <f>+'[1]Dự thầu'!$G$996</f>
        <v>111276</v>
      </c>
      <c r="H446" s="86">
        <f t="shared" si="15"/>
        <v>21071223</v>
      </c>
    </row>
    <row r="447" spans="1:8" ht="15.75" customHeight="1" x14ac:dyDescent="0.25">
      <c r="A447" s="4" t="s">
        <v>734</v>
      </c>
      <c r="B447" s="8">
        <v>442</v>
      </c>
      <c r="C447" s="8" t="s">
        <v>735</v>
      </c>
      <c r="D447" s="8" t="s">
        <v>10</v>
      </c>
      <c r="E447" s="8">
        <v>4.37</v>
      </c>
      <c r="F447" s="8" t="s">
        <v>16</v>
      </c>
      <c r="G447" s="85">
        <f>+'[1]Dự thầu'!$G$997</f>
        <v>2095204</v>
      </c>
      <c r="H447" s="86">
        <f t="shared" si="15"/>
        <v>9156041</v>
      </c>
    </row>
    <row r="448" spans="1:8" ht="15.75" customHeight="1" x14ac:dyDescent="0.25">
      <c r="A448" s="4" t="s">
        <v>736</v>
      </c>
      <c r="B448" s="8">
        <v>443</v>
      </c>
      <c r="C448" s="8" t="s">
        <v>560</v>
      </c>
      <c r="D448" s="8" t="s">
        <v>10</v>
      </c>
      <c r="E448" s="8">
        <v>4.43</v>
      </c>
      <c r="F448" s="8" t="s">
        <v>16</v>
      </c>
      <c r="G448" s="85">
        <f>+'[1]Dự thầu'!$G$998</f>
        <v>57102</v>
      </c>
      <c r="H448" s="86">
        <f t="shared" si="15"/>
        <v>252962</v>
      </c>
    </row>
    <row r="449" spans="1:8" ht="15.75" customHeight="1" x14ac:dyDescent="0.25">
      <c r="A449" s="4" t="s">
        <v>737</v>
      </c>
      <c r="B449" s="8">
        <v>444</v>
      </c>
      <c r="C449" s="8" t="s">
        <v>738</v>
      </c>
      <c r="D449" s="8" t="s">
        <v>10</v>
      </c>
      <c r="E449" s="8">
        <v>4.43</v>
      </c>
      <c r="F449" s="8" t="s">
        <v>16</v>
      </c>
      <c r="G449" s="85">
        <f>+'[1]Dự thầu'!$G$999</f>
        <v>171432</v>
      </c>
      <c r="H449" s="86">
        <f t="shared" si="15"/>
        <v>759444</v>
      </c>
    </row>
    <row r="450" spans="1:8" ht="15.75" customHeight="1" x14ac:dyDescent="0.25">
      <c r="A450" s="4" t="s">
        <v>739</v>
      </c>
      <c r="B450" s="8">
        <v>445</v>
      </c>
      <c r="C450" s="8" t="s">
        <v>740</v>
      </c>
      <c r="D450" s="8" t="s">
        <v>10</v>
      </c>
      <c r="E450" s="8">
        <v>0.67</v>
      </c>
      <c r="F450" s="8" t="s">
        <v>90</v>
      </c>
      <c r="G450" s="85">
        <f>+'[1]Dự thầu'!$G$1000</f>
        <v>25587312</v>
      </c>
      <c r="H450" s="86">
        <f t="shared" si="15"/>
        <v>17143499</v>
      </c>
    </row>
    <row r="451" spans="1:8" ht="15.75" customHeight="1" x14ac:dyDescent="0.25">
      <c r="A451" s="4" t="s">
        <v>741</v>
      </c>
      <c r="B451" s="8">
        <v>446</v>
      </c>
      <c r="C451" s="8" t="s">
        <v>742</v>
      </c>
      <c r="D451" s="8" t="s">
        <v>10</v>
      </c>
      <c r="E451" s="8">
        <v>33.51</v>
      </c>
      <c r="F451" s="8" t="s">
        <v>13</v>
      </c>
      <c r="G451" s="85">
        <f>+'[1]Dự thầu'!$G$1001</f>
        <v>141724</v>
      </c>
      <c r="H451" s="86">
        <f t="shared" si="15"/>
        <v>4749171</v>
      </c>
    </row>
    <row r="452" spans="1:8" ht="15.75" customHeight="1" x14ac:dyDescent="0.25">
      <c r="A452" s="4" t="s">
        <v>743</v>
      </c>
      <c r="B452" s="8">
        <v>447</v>
      </c>
      <c r="C452" s="8" t="s">
        <v>744</v>
      </c>
      <c r="D452" s="8" t="s">
        <v>10</v>
      </c>
      <c r="E452" s="8">
        <v>61.88</v>
      </c>
      <c r="F452" s="8" t="s">
        <v>16</v>
      </c>
      <c r="G452" s="85">
        <f>+'[1]Dự thầu'!$G$1002</f>
        <v>1719517</v>
      </c>
      <c r="H452" s="86">
        <f t="shared" si="15"/>
        <v>106403712</v>
      </c>
    </row>
    <row r="453" spans="1:8" ht="15.75" customHeight="1" x14ac:dyDescent="0.25">
      <c r="A453" s="4" t="s">
        <v>745</v>
      </c>
      <c r="B453" s="8">
        <v>448</v>
      </c>
      <c r="C453" s="8" t="s">
        <v>746</v>
      </c>
      <c r="D453" s="8" t="s">
        <v>10</v>
      </c>
      <c r="E453" s="8">
        <v>0.04</v>
      </c>
      <c r="F453" s="8" t="s">
        <v>90</v>
      </c>
      <c r="G453" s="85">
        <f>+'[1]Dự thầu'!$G$1003</f>
        <v>28097053</v>
      </c>
      <c r="H453" s="86">
        <f t="shared" si="15"/>
        <v>1123882</v>
      </c>
    </row>
    <row r="454" spans="1:8" ht="15.75" customHeight="1" x14ac:dyDescent="0.25">
      <c r="A454" s="4" t="s">
        <v>747</v>
      </c>
      <c r="B454" s="8">
        <v>449</v>
      </c>
      <c r="C454" s="8" t="s">
        <v>748</v>
      </c>
      <c r="D454" s="8" t="s">
        <v>10</v>
      </c>
      <c r="E454" s="8">
        <v>7.65</v>
      </c>
      <c r="F454" s="8" t="s">
        <v>90</v>
      </c>
      <c r="G454" s="85">
        <f>+'[1]Dự thầu'!$G$1004</f>
        <v>25306325</v>
      </c>
      <c r="H454" s="86">
        <f t="shared" si="15"/>
        <v>193593386</v>
      </c>
    </row>
    <row r="455" spans="1:8" ht="15.75" customHeight="1" x14ac:dyDescent="0.25">
      <c r="A455" s="4" t="s">
        <v>749</v>
      </c>
      <c r="B455" s="8">
        <v>450</v>
      </c>
      <c r="C455" s="8" t="s">
        <v>750</v>
      </c>
      <c r="D455" s="8" t="s">
        <v>10</v>
      </c>
      <c r="E455" s="8">
        <v>0.18</v>
      </c>
      <c r="F455" s="8" t="s">
        <v>90</v>
      </c>
      <c r="G455" s="85">
        <f>+'[1]Dự thầu'!$G$1005</f>
        <v>24553255</v>
      </c>
      <c r="H455" s="86">
        <f t="shared" si="15"/>
        <v>4419586</v>
      </c>
    </row>
    <row r="456" spans="1:8" ht="15.75" customHeight="1" x14ac:dyDescent="0.25">
      <c r="A456" s="4" t="s">
        <v>751</v>
      </c>
      <c r="B456" s="8">
        <v>451</v>
      </c>
      <c r="C456" s="8" t="s">
        <v>752</v>
      </c>
      <c r="D456" s="8" t="s">
        <v>10</v>
      </c>
      <c r="E456" s="8">
        <v>43.13</v>
      </c>
      <c r="F456" s="8" t="s">
        <v>13</v>
      </c>
      <c r="G456" s="85">
        <f>+'[1]Dự thầu'!$G$1006</f>
        <v>65242</v>
      </c>
      <c r="H456" s="86">
        <f t="shared" si="15"/>
        <v>2813887</v>
      </c>
    </row>
    <row r="457" spans="1:8" ht="15.75" customHeight="1" x14ac:dyDescent="0.25">
      <c r="A457" s="4" t="s">
        <v>753</v>
      </c>
      <c r="B457" s="8">
        <v>452</v>
      </c>
      <c r="C457" s="8" t="s">
        <v>754</v>
      </c>
      <c r="D457" s="8" t="s">
        <v>10</v>
      </c>
      <c r="E457" s="8">
        <v>3003.24</v>
      </c>
      <c r="F457" s="8" t="s">
        <v>16</v>
      </c>
      <c r="G457" s="85">
        <f>+'[1]Dự thầu'!$G$1007</f>
        <v>20867</v>
      </c>
      <c r="H457" s="86">
        <f t="shared" si="15"/>
        <v>62668609</v>
      </c>
    </row>
    <row r="458" spans="1:8" ht="15.75" customHeight="1" x14ac:dyDescent="0.25">
      <c r="A458" s="4" t="s">
        <v>755</v>
      </c>
      <c r="B458" s="8">
        <v>453</v>
      </c>
      <c r="C458" s="8" t="s">
        <v>610</v>
      </c>
      <c r="D458" s="8" t="s">
        <v>10</v>
      </c>
      <c r="E458" s="8">
        <v>2570.15</v>
      </c>
      <c r="F458" s="8" t="s">
        <v>16</v>
      </c>
      <c r="G458" s="85">
        <f>+'[1]Dự thầu'!$G$1008</f>
        <v>12936</v>
      </c>
      <c r="H458" s="86">
        <f t="shared" si="15"/>
        <v>33247460</v>
      </c>
    </row>
    <row r="459" spans="1:8" ht="15.75" customHeight="1" x14ac:dyDescent="0.25">
      <c r="A459" s="4" t="s">
        <v>756</v>
      </c>
      <c r="B459" s="8">
        <v>454</v>
      </c>
      <c r="C459" s="8" t="s">
        <v>32</v>
      </c>
      <c r="D459" s="8" t="s">
        <v>10</v>
      </c>
      <c r="E459" s="8">
        <v>3514.17</v>
      </c>
      <c r="F459" s="8" t="s">
        <v>16</v>
      </c>
      <c r="G459" s="85">
        <f>+'[1]Dự thầu'!$G$1009</f>
        <v>50585</v>
      </c>
      <c r="H459" s="86">
        <f t="shared" ref="H459:H490" si="16">+ROUND(G459*E459,0)</f>
        <v>177764289</v>
      </c>
    </row>
    <row r="460" spans="1:8" ht="15.75" customHeight="1" x14ac:dyDescent="0.25">
      <c r="A460" s="4" t="s">
        <v>757</v>
      </c>
      <c r="B460" s="8">
        <v>455</v>
      </c>
      <c r="C460" s="8" t="s">
        <v>36</v>
      </c>
      <c r="D460" s="8" t="s">
        <v>10</v>
      </c>
      <c r="E460" s="8">
        <v>351.42</v>
      </c>
      <c r="F460" s="8" t="s">
        <v>37</v>
      </c>
      <c r="G460" s="85">
        <f>+'[1]Dự thầu'!$G$1010+'[1]Dự thầu'!$G$1011+'[1]Dự thầu'!$G$1012</f>
        <v>940826</v>
      </c>
      <c r="H460" s="86">
        <f t="shared" si="16"/>
        <v>330625073</v>
      </c>
    </row>
    <row r="461" spans="1:8" ht="15.75" customHeight="1" x14ac:dyDescent="0.25">
      <c r="A461" s="4" t="s">
        <v>758</v>
      </c>
      <c r="B461" s="8">
        <v>456</v>
      </c>
      <c r="C461" s="8" t="s">
        <v>624</v>
      </c>
      <c r="D461" s="8" t="s">
        <v>10</v>
      </c>
      <c r="E461" s="8">
        <v>460.1</v>
      </c>
      <c r="F461" s="8" t="s">
        <v>16</v>
      </c>
      <c r="G461" s="85">
        <f>+'[1]Dự thầu'!$G$1013</f>
        <v>267174</v>
      </c>
      <c r="H461" s="86">
        <f t="shared" si="16"/>
        <v>122926757</v>
      </c>
    </row>
    <row r="462" spans="1:8" ht="15.75" customHeight="1" x14ac:dyDescent="0.25">
      <c r="A462" s="4" t="s">
        <v>759</v>
      </c>
      <c r="B462" s="8">
        <v>457</v>
      </c>
      <c r="C462" s="8" t="s">
        <v>614</v>
      </c>
      <c r="D462" s="8" t="s">
        <v>10</v>
      </c>
      <c r="E462" s="8">
        <v>68.430000000000007</v>
      </c>
      <c r="F462" s="8" t="s">
        <v>16</v>
      </c>
      <c r="G462" s="85">
        <f>+'[1]Dự thầu'!$G$1014</f>
        <v>23993</v>
      </c>
      <c r="H462" s="86">
        <f t="shared" si="16"/>
        <v>1641841</v>
      </c>
    </row>
    <row r="463" spans="1:8" ht="15.75" customHeight="1" x14ac:dyDescent="0.25">
      <c r="A463" s="4" t="s">
        <v>760</v>
      </c>
      <c r="B463" s="8">
        <v>458</v>
      </c>
      <c r="C463" s="8" t="s">
        <v>616</v>
      </c>
      <c r="D463" s="8" t="s">
        <v>10</v>
      </c>
      <c r="E463" s="8">
        <v>8.5</v>
      </c>
      <c r="F463" s="8" t="s">
        <v>16</v>
      </c>
      <c r="G463" s="85">
        <f>+'[1]Dự thầu'!$G$1015</f>
        <v>11161</v>
      </c>
      <c r="H463" s="86">
        <f t="shared" si="16"/>
        <v>94869</v>
      </c>
    </row>
    <row r="464" spans="1:8" ht="15.75" customHeight="1" x14ac:dyDescent="0.25">
      <c r="A464" s="4" t="s">
        <v>761</v>
      </c>
      <c r="B464" s="8">
        <v>459</v>
      </c>
      <c r="C464" s="8" t="s">
        <v>762</v>
      </c>
      <c r="D464" s="8" t="s">
        <v>10</v>
      </c>
      <c r="E464" s="8">
        <v>18.100000000000001</v>
      </c>
      <c r="F464" s="8" t="s">
        <v>16</v>
      </c>
      <c r="G464" s="85">
        <f>+'[1]Dự thầu'!$G$1016</f>
        <v>1723827</v>
      </c>
      <c r="H464" s="86">
        <f t="shared" si="16"/>
        <v>31201269</v>
      </c>
    </row>
    <row r="465" spans="1:8" ht="15.75" customHeight="1" x14ac:dyDescent="0.25">
      <c r="A465" s="4" t="s">
        <v>763</v>
      </c>
      <c r="B465" s="8">
        <v>460</v>
      </c>
      <c r="C465" s="8" t="s">
        <v>618</v>
      </c>
      <c r="D465" s="8" t="s">
        <v>10</v>
      </c>
      <c r="E465" s="8">
        <v>199.99</v>
      </c>
      <c r="F465" s="8" t="s">
        <v>16</v>
      </c>
      <c r="G465" s="85">
        <f>+'[1]Dự thầu'!$G$1017</f>
        <v>276665</v>
      </c>
      <c r="H465" s="86">
        <f t="shared" si="16"/>
        <v>55330233</v>
      </c>
    </row>
    <row r="466" spans="1:8" ht="15.75" customHeight="1" x14ac:dyDescent="0.25">
      <c r="A466" s="4" t="s">
        <v>764</v>
      </c>
      <c r="B466" s="8">
        <v>461</v>
      </c>
      <c r="C466" s="8" t="s">
        <v>765</v>
      </c>
      <c r="D466" s="8" t="s">
        <v>10</v>
      </c>
      <c r="E466" s="8">
        <v>26.48</v>
      </c>
      <c r="F466" s="8" t="s">
        <v>16</v>
      </c>
      <c r="G466" s="85">
        <f>+'[1]Dự thầu'!$G$1018</f>
        <v>527970</v>
      </c>
      <c r="H466" s="86">
        <f t="shared" si="16"/>
        <v>13980646</v>
      </c>
    </row>
    <row r="467" spans="1:8" ht="15.75" customHeight="1" x14ac:dyDescent="0.25">
      <c r="A467" s="4" t="s">
        <v>766</v>
      </c>
      <c r="B467" s="8">
        <v>462</v>
      </c>
      <c r="C467" s="8" t="s">
        <v>620</v>
      </c>
      <c r="D467" s="8" t="s">
        <v>10</v>
      </c>
      <c r="E467" s="8">
        <v>50022.75</v>
      </c>
      <c r="F467" s="8" t="s">
        <v>75</v>
      </c>
      <c r="G467" s="85">
        <f>+'[1]Dự thầu'!$G$1019</f>
        <v>11223</v>
      </c>
      <c r="H467" s="86">
        <f t="shared" si="16"/>
        <v>561405323</v>
      </c>
    </row>
    <row r="468" spans="1:8" ht="15.75" customHeight="1" x14ac:dyDescent="0.25">
      <c r="A468" s="4" t="s">
        <v>767</v>
      </c>
      <c r="B468" s="8">
        <v>463</v>
      </c>
      <c r="C468" s="8" t="s">
        <v>622</v>
      </c>
      <c r="D468" s="8" t="s">
        <v>10</v>
      </c>
      <c r="E468" s="8">
        <v>1361.95</v>
      </c>
      <c r="F468" s="8" t="s">
        <v>13</v>
      </c>
      <c r="G468" s="85">
        <f>+'[1]Dự thầu'!$G$1020</f>
        <v>19714</v>
      </c>
      <c r="H468" s="86">
        <f t="shared" si="16"/>
        <v>26849482</v>
      </c>
    </row>
    <row r="469" spans="1:8" ht="15.75" customHeight="1" x14ac:dyDescent="0.25">
      <c r="A469" s="4" t="s">
        <v>768</v>
      </c>
      <c r="B469" s="8">
        <v>464</v>
      </c>
      <c r="C469" s="8" t="s">
        <v>626</v>
      </c>
      <c r="D469" s="8" t="s">
        <v>10</v>
      </c>
      <c r="E469" s="8">
        <v>3063.17</v>
      </c>
      <c r="F469" s="8" t="s">
        <v>16</v>
      </c>
      <c r="G469" s="85">
        <f>+'[1]Dự thầu'!$G$1021</f>
        <v>45382</v>
      </c>
      <c r="H469" s="86">
        <f t="shared" si="16"/>
        <v>139012781</v>
      </c>
    </row>
    <row r="470" spans="1:8" ht="15.75" customHeight="1" x14ac:dyDescent="0.25">
      <c r="A470" s="4" t="s">
        <v>769</v>
      </c>
      <c r="B470" s="8">
        <v>465</v>
      </c>
      <c r="C470" s="8" t="s">
        <v>770</v>
      </c>
      <c r="D470" s="8" t="s">
        <v>10</v>
      </c>
      <c r="E470" s="8">
        <v>6.5693999999999999</v>
      </c>
      <c r="F470" s="8" t="s">
        <v>90</v>
      </c>
      <c r="G470" s="85">
        <f>+'[1]Dự thầu'!$G$1025</f>
        <v>10406267</v>
      </c>
      <c r="H470" s="86">
        <f t="shared" si="16"/>
        <v>68362930</v>
      </c>
    </row>
    <row r="471" spans="1:8" ht="15.75" customHeight="1" x14ac:dyDescent="0.25">
      <c r="A471" s="4" t="s">
        <v>771</v>
      </c>
      <c r="B471" s="8">
        <v>466</v>
      </c>
      <c r="C471" s="8" t="s">
        <v>772</v>
      </c>
      <c r="D471" s="8" t="s">
        <v>10</v>
      </c>
      <c r="E471" s="8">
        <v>6.5693999999999999</v>
      </c>
      <c r="F471" s="8" t="s">
        <v>90</v>
      </c>
      <c r="G471" s="85">
        <f>+'[1]Dự thầu'!$G$1026</f>
        <v>2675075</v>
      </c>
      <c r="H471" s="86">
        <f t="shared" si="16"/>
        <v>17573638</v>
      </c>
    </row>
    <row r="472" spans="1:8" ht="15.75" customHeight="1" x14ac:dyDescent="0.25">
      <c r="A472" s="4" t="s">
        <v>773</v>
      </c>
      <c r="B472" s="8">
        <v>467</v>
      </c>
      <c r="C472" s="8" t="s">
        <v>628</v>
      </c>
      <c r="D472" s="8" t="s">
        <v>10</v>
      </c>
      <c r="E472" s="8">
        <v>380.2</v>
      </c>
      <c r="F472" s="8" t="s">
        <v>16</v>
      </c>
      <c r="G472" s="85">
        <f>+'[1]Dự thầu'!$G$1027</f>
        <v>23993</v>
      </c>
      <c r="H472" s="86">
        <f t="shared" si="16"/>
        <v>9122139</v>
      </c>
    </row>
    <row r="473" spans="1:8" ht="15.75" customHeight="1" x14ac:dyDescent="0.25">
      <c r="A473" s="4" t="s">
        <v>774</v>
      </c>
      <c r="B473" s="8">
        <v>468</v>
      </c>
      <c r="C473" s="8" t="s">
        <v>630</v>
      </c>
      <c r="D473" s="8" t="s">
        <v>10</v>
      </c>
      <c r="E473" s="8">
        <v>81</v>
      </c>
      <c r="F473" s="8" t="s">
        <v>16</v>
      </c>
      <c r="G473" s="85">
        <f>+'[1]Dự thầu'!$G$1028</f>
        <v>7229</v>
      </c>
      <c r="H473" s="86">
        <f t="shared" si="16"/>
        <v>585549</v>
      </c>
    </row>
    <row r="474" spans="1:8" ht="15.75" customHeight="1" x14ac:dyDescent="0.25">
      <c r="A474" s="4" t="s">
        <v>775</v>
      </c>
      <c r="B474" s="8">
        <v>469</v>
      </c>
      <c r="C474" s="8" t="s">
        <v>632</v>
      </c>
      <c r="D474" s="8" t="s">
        <v>10</v>
      </c>
      <c r="E474" s="8">
        <v>380.2</v>
      </c>
      <c r="F474" s="8" t="s">
        <v>16</v>
      </c>
      <c r="G474" s="85">
        <f>+'[1]Dự thầu'!$G$1029</f>
        <v>19746</v>
      </c>
      <c r="H474" s="86">
        <f t="shared" si="16"/>
        <v>7507429</v>
      </c>
    </row>
    <row r="475" spans="1:8" ht="15.75" customHeight="1" x14ac:dyDescent="0.25">
      <c r="A475" s="4" t="s">
        <v>776</v>
      </c>
      <c r="B475" s="8">
        <v>470</v>
      </c>
      <c r="C475" s="8" t="s">
        <v>626</v>
      </c>
      <c r="D475" s="8" t="s">
        <v>10</v>
      </c>
      <c r="E475" s="8">
        <v>380.2</v>
      </c>
      <c r="F475" s="8" t="s">
        <v>16</v>
      </c>
      <c r="G475" s="85">
        <f>+'[1]Dự thầu'!$G$1030</f>
        <v>45382</v>
      </c>
      <c r="H475" s="88">
        <f t="shared" si="16"/>
        <v>17254236</v>
      </c>
    </row>
    <row r="476" spans="1:8" ht="15.75" customHeight="1" x14ac:dyDescent="0.25">
      <c r="A476" s="4" t="s">
        <v>777</v>
      </c>
      <c r="B476" s="8">
        <v>471</v>
      </c>
      <c r="C476" s="8" t="s">
        <v>692</v>
      </c>
      <c r="D476" s="8" t="s">
        <v>10</v>
      </c>
      <c r="E476" s="8">
        <v>168.07</v>
      </c>
      <c r="F476" s="8" t="s">
        <v>16</v>
      </c>
      <c r="G476" s="85">
        <f>+'[1]Dự thầu'!$G$1100</f>
        <v>2095204</v>
      </c>
      <c r="H476" s="86">
        <f t="shared" si="16"/>
        <v>352140936</v>
      </c>
    </row>
    <row r="477" spans="1:8" ht="15.75" customHeight="1" x14ac:dyDescent="0.25">
      <c r="A477" s="4" t="s">
        <v>778</v>
      </c>
      <c r="B477" s="8">
        <v>472</v>
      </c>
      <c r="C477" s="8" t="s">
        <v>560</v>
      </c>
      <c r="D477" s="8" t="s">
        <v>10</v>
      </c>
      <c r="E477" s="8">
        <v>172.27</v>
      </c>
      <c r="F477" s="8" t="s">
        <v>16</v>
      </c>
      <c r="G477" s="85">
        <f>+'[1]Dự thầu'!$G$1101</f>
        <v>57102</v>
      </c>
      <c r="H477" s="86">
        <f t="shared" si="16"/>
        <v>9836962</v>
      </c>
    </row>
    <row r="478" spans="1:8" ht="15.75" customHeight="1" x14ac:dyDescent="0.25">
      <c r="A478" s="4" t="s">
        <v>779</v>
      </c>
      <c r="B478" s="8">
        <v>473</v>
      </c>
      <c r="C478" s="8" t="s">
        <v>562</v>
      </c>
      <c r="D478" s="8" t="s">
        <v>10</v>
      </c>
      <c r="E478" s="8">
        <v>172.27</v>
      </c>
      <c r="F478" s="8" t="s">
        <v>16</v>
      </c>
      <c r="G478" s="85">
        <f>+'[1]Dự thầu'!$G$1102+'[1]Dự thầu'!$G$1103</f>
        <v>232044</v>
      </c>
      <c r="H478" s="86">
        <f t="shared" si="16"/>
        <v>39974220</v>
      </c>
    </row>
    <row r="479" spans="1:8" ht="15.75" customHeight="1" x14ac:dyDescent="0.25">
      <c r="A479" s="4" t="s">
        <v>780</v>
      </c>
      <c r="B479" s="8">
        <v>474</v>
      </c>
      <c r="C479" s="8" t="s">
        <v>696</v>
      </c>
      <c r="D479" s="8" t="s">
        <v>10</v>
      </c>
      <c r="E479" s="8">
        <v>0.9</v>
      </c>
      <c r="F479" s="8" t="s">
        <v>90</v>
      </c>
      <c r="G479" s="85">
        <f>+'[1]Dự thầu'!$G$1104</f>
        <v>25844139</v>
      </c>
      <c r="H479" s="86">
        <f t="shared" si="16"/>
        <v>23259725</v>
      </c>
    </row>
    <row r="480" spans="1:8" ht="15.75" customHeight="1" x14ac:dyDescent="0.25">
      <c r="A480" s="4" t="s">
        <v>781</v>
      </c>
      <c r="B480" s="8">
        <v>475</v>
      </c>
      <c r="C480" s="8" t="s">
        <v>698</v>
      </c>
      <c r="D480" s="8" t="s">
        <v>10</v>
      </c>
      <c r="E480" s="8">
        <v>25.79</v>
      </c>
      <c r="F480" s="8" t="s">
        <v>90</v>
      </c>
      <c r="G480" s="85">
        <f>+'[1]Dự thầu'!$G$1105</f>
        <v>25587312</v>
      </c>
      <c r="H480" s="86">
        <f t="shared" si="16"/>
        <v>659896776</v>
      </c>
    </row>
    <row r="481" spans="1:8" ht="15.75" customHeight="1" x14ac:dyDescent="0.25">
      <c r="A481" s="4" t="s">
        <v>782</v>
      </c>
      <c r="B481" s="8">
        <v>476</v>
      </c>
      <c r="C481" s="8" t="s">
        <v>700</v>
      </c>
      <c r="D481" s="8" t="s">
        <v>10</v>
      </c>
      <c r="E481" s="8">
        <v>47.91</v>
      </c>
      <c r="F481" s="8" t="s">
        <v>16</v>
      </c>
      <c r="G481" s="85">
        <f>+'[1]Dự thầu'!$G$1106</f>
        <v>1141385</v>
      </c>
      <c r="H481" s="86">
        <f t="shared" si="16"/>
        <v>54683755</v>
      </c>
    </row>
    <row r="482" spans="1:8" ht="15.75" customHeight="1" x14ac:dyDescent="0.25">
      <c r="A482" s="4" t="s">
        <v>783</v>
      </c>
      <c r="B482" s="8">
        <v>477</v>
      </c>
      <c r="C482" s="8" t="s">
        <v>702</v>
      </c>
      <c r="D482" s="8" t="s">
        <v>10</v>
      </c>
      <c r="E482" s="8">
        <v>1666.61</v>
      </c>
      <c r="F482" s="8" t="s">
        <v>13</v>
      </c>
      <c r="G482" s="85">
        <f>+'[1]Dự thầu'!$G$1107</f>
        <v>141724</v>
      </c>
      <c r="H482" s="86">
        <f t="shared" si="16"/>
        <v>236198636</v>
      </c>
    </row>
    <row r="483" spans="1:8" ht="15.75" customHeight="1" x14ac:dyDescent="0.25">
      <c r="A483" s="4" t="s">
        <v>784</v>
      </c>
      <c r="B483" s="8">
        <v>478</v>
      </c>
      <c r="C483" s="8" t="s">
        <v>704</v>
      </c>
      <c r="D483" s="8" t="s">
        <v>10</v>
      </c>
      <c r="E483" s="8">
        <v>1480.84</v>
      </c>
      <c r="F483" s="8" t="s">
        <v>13</v>
      </c>
      <c r="G483" s="85">
        <f>+'[1]Dự thầu'!$G$1108</f>
        <v>76805</v>
      </c>
      <c r="H483" s="86">
        <f t="shared" si="16"/>
        <v>113735916</v>
      </c>
    </row>
    <row r="484" spans="1:8" ht="15.75" customHeight="1" x14ac:dyDescent="0.25">
      <c r="A484" s="4" t="s">
        <v>785</v>
      </c>
      <c r="B484" s="8">
        <v>479</v>
      </c>
      <c r="C484" s="8" t="s">
        <v>587</v>
      </c>
      <c r="D484" s="8" t="s">
        <v>10</v>
      </c>
      <c r="E484" s="8">
        <v>47.91</v>
      </c>
      <c r="F484" s="8" t="s">
        <v>16</v>
      </c>
      <c r="G484" s="85">
        <f>+'[1]Dự thầu'!$G$1109</f>
        <v>842139</v>
      </c>
      <c r="H484" s="86">
        <f t="shared" si="16"/>
        <v>40346879</v>
      </c>
    </row>
    <row r="485" spans="1:8" ht="15.75" customHeight="1" x14ac:dyDescent="0.25">
      <c r="A485" s="4" t="s">
        <v>786</v>
      </c>
      <c r="B485" s="8">
        <v>480</v>
      </c>
      <c r="C485" s="8" t="s">
        <v>707</v>
      </c>
      <c r="D485" s="8" t="s">
        <v>10</v>
      </c>
      <c r="E485" s="8">
        <v>7.0000000000000007E-2</v>
      </c>
      <c r="F485" s="8" t="s">
        <v>90</v>
      </c>
      <c r="G485" s="85">
        <f>+'[1]Dự thầu'!$G$1110</f>
        <v>25844139</v>
      </c>
      <c r="H485" s="86">
        <f t="shared" si="16"/>
        <v>1809090</v>
      </c>
    </row>
    <row r="486" spans="1:8" ht="15.75" customHeight="1" x14ac:dyDescent="0.25">
      <c r="A486" s="4" t="s">
        <v>787</v>
      </c>
      <c r="B486" s="8">
        <v>481</v>
      </c>
      <c r="C486" s="8" t="s">
        <v>709</v>
      </c>
      <c r="D486" s="8" t="s">
        <v>10</v>
      </c>
      <c r="E486" s="8">
        <v>0.97</v>
      </c>
      <c r="F486" s="8" t="s">
        <v>90</v>
      </c>
      <c r="G486" s="85">
        <f>+'[1]Dự thầu'!$G$1111</f>
        <v>24892659</v>
      </c>
      <c r="H486" s="86">
        <f t="shared" si="16"/>
        <v>24145879</v>
      </c>
    </row>
    <row r="487" spans="1:8" ht="15.75" customHeight="1" x14ac:dyDescent="0.25">
      <c r="A487" s="4" t="s">
        <v>788</v>
      </c>
      <c r="B487" s="8">
        <v>482</v>
      </c>
      <c r="C487" s="8" t="s">
        <v>711</v>
      </c>
      <c r="D487" s="8" t="s">
        <v>10</v>
      </c>
      <c r="E487" s="8">
        <v>131.04</v>
      </c>
      <c r="F487" s="8" t="s">
        <v>75</v>
      </c>
      <c r="G487" s="85">
        <f>+'[1]Dự thầu'!$G$1112</f>
        <v>23353</v>
      </c>
      <c r="H487" s="86">
        <f t="shared" si="16"/>
        <v>3060177</v>
      </c>
    </row>
    <row r="488" spans="1:8" ht="15.75" customHeight="1" x14ac:dyDescent="0.25">
      <c r="A488" s="4" t="s">
        <v>789</v>
      </c>
      <c r="B488" s="8">
        <v>483</v>
      </c>
      <c r="C488" s="8" t="s">
        <v>713</v>
      </c>
      <c r="D488" s="8" t="s">
        <v>10</v>
      </c>
      <c r="E488" s="8">
        <v>1.01</v>
      </c>
      <c r="F488" s="8" t="s">
        <v>13</v>
      </c>
      <c r="G488" s="85">
        <f>+'[1]Dự thầu'!$G$1113</f>
        <v>370346</v>
      </c>
      <c r="H488" s="86">
        <f t="shared" si="16"/>
        <v>374049</v>
      </c>
    </row>
    <row r="489" spans="1:8" ht="15.75" customHeight="1" x14ac:dyDescent="0.25">
      <c r="A489" s="4" t="s">
        <v>790</v>
      </c>
      <c r="B489" s="8">
        <v>484</v>
      </c>
      <c r="C489" s="8" t="s">
        <v>715</v>
      </c>
      <c r="D489" s="8" t="s">
        <v>10</v>
      </c>
      <c r="E489" s="8">
        <v>112</v>
      </c>
      <c r="F489" s="8" t="s">
        <v>75</v>
      </c>
      <c r="G489" s="85">
        <f>+'[1]Dự thầu'!$G$1114</f>
        <v>126388</v>
      </c>
      <c r="H489" s="86">
        <f t="shared" si="16"/>
        <v>14155456</v>
      </c>
    </row>
    <row r="490" spans="1:8" ht="15.75" customHeight="1" x14ac:dyDescent="0.25">
      <c r="A490" s="4" t="s">
        <v>791</v>
      </c>
      <c r="B490" s="8">
        <v>485</v>
      </c>
      <c r="C490" s="8" t="s">
        <v>717</v>
      </c>
      <c r="D490" s="8" t="s">
        <v>10</v>
      </c>
      <c r="E490" s="8">
        <v>105.07</v>
      </c>
      <c r="F490" s="8" t="s">
        <v>16</v>
      </c>
      <c r="G490" s="85">
        <f>+'[1]Dự thầu'!$G$1115</f>
        <v>1718850</v>
      </c>
      <c r="H490" s="86">
        <f t="shared" si="16"/>
        <v>180599570</v>
      </c>
    </row>
    <row r="491" spans="1:8" ht="15.75" customHeight="1" x14ac:dyDescent="0.25">
      <c r="A491" s="4" t="s">
        <v>792</v>
      </c>
      <c r="B491" s="8">
        <v>486</v>
      </c>
      <c r="C491" s="8" t="s">
        <v>560</v>
      </c>
      <c r="D491" s="8" t="s">
        <v>10</v>
      </c>
      <c r="E491" s="8">
        <v>106.65</v>
      </c>
      <c r="F491" s="8" t="s">
        <v>16</v>
      </c>
      <c r="G491" s="85">
        <f>+'[1]Dự thầu'!$G$1116</f>
        <v>57102</v>
      </c>
      <c r="H491" s="86">
        <f t="shared" ref="H491:H517" si="17">+ROUND(G491*E491,0)</f>
        <v>6089928</v>
      </c>
    </row>
    <row r="492" spans="1:8" ht="15.75" customHeight="1" x14ac:dyDescent="0.25">
      <c r="A492" s="4" t="s">
        <v>793</v>
      </c>
      <c r="B492" s="8">
        <v>487</v>
      </c>
      <c r="C492" s="8" t="s">
        <v>562</v>
      </c>
      <c r="D492" s="8" t="s">
        <v>10</v>
      </c>
      <c r="E492" s="8">
        <v>106.65</v>
      </c>
      <c r="F492" s="8" t="s">
        <v>16</v>
      </c>
      <c r="G492" s="85">
        <f>+'[1]Dự thầu'!$G$1117+'[1]Dự thầu'!$G$1118</f>
        <v>232044</v>
      </c>
      <c r="H492" s="86">
        <f t="shared" si="17"/>
        <v>24747493</v>
      </c>
    </row>
    <row r="493" spans="1:8" ht="15.75" customHeight="1" x14ac:dyDescent="0.25">
      <c r="A493" s="4" t="s">
        <v>794</v>
      </c>
      <c r="B493" s="8">
        <v>488</v>
      </c>
      <c r="C493" s="8" t="s">
        <v>721</v>
      </c>
      <c r="D493" s="8" t="s">
        <v>10</v>
      </c>
      <c r="E493" s="8">
        <v>0.36</v>
      </c>
      <c r="F493" s="8" t="s">
        <v>90</v>
      </c>
      <c r="G493" s="85">
        <f>+'[1]Dự thầu'!$G$1119</f>
        <v>25177456</v>
      </c>
      <c r="H493" s="86">
        <f t="shared" si="17"/>
        <v>9063884</v>
      </c>
    </row>
    <row r="494" spans="1:8" ht="15.75" customHeight="1" x14ac:dyDescent="0.25">
      <c r="A494" s="4" t="s">
        <v>795</v>
      </c>
      <c r="B494" s="8">
        <v>489</v>
      </c>
      <c r="C494" s="8" t="s">
        <v>723</v>
      </c>
      <c r="D494" s="8" t="s">
        <v>10</v>
      </c>
      <c r="E494" s="8">
        <v>16.29</v>
      </c>
      <c r="F494" s="8" t="s">
        <v>90</v>
      </c>
      <c r="G494" s="85">
        <f>+'[1]Dự thầu'!$G$1120</f>
        <v>24796382</v>
      </c>
      <c r="H494" s="86">
        <f t="shared" si="17"/>
        <v>403933063</v>
      </c>
    </row>
    <row r="495" spans="1:8" ht="15.75" customHeight="1" x14ac:dyDescent="0.25">
      <c r="A495" s="4" t="s">
        <v>796</v>
      </c>
      <c r="B495" s="8">
        <v>490</v>
      </c>
      <c r="C495" s="8" t="s">
        <v>651</v>
      </c>
      <c r="D495" s="8" t="s">
        <v>10</v>
      </c>
      <c r="E495" s="8">
        <v>170.77</v>
      </c>
      <c r="F495" s="8" t="s">
        <v>13</v>
      </c>
      <c r="G495" s="85">
        <f>+'[1]Dự thầu'!$G$1121</f>
        <v>65242</v>
      </c>
      <c r="H495" s="86">
        <f t="shared" si="17"/>
        <v>11141376</v>
      </c>
    </row>
    <row r="496" spans="1:8" ht="15.75" customHeight="1" x14ac:dyDescent="0.25">
      <c r="A496" s="4" t="s">
        <v>797</v>
      </c>
      <c r="B496" s="8">
        <v>491</v>
      </c>
      <c r="C496" s="8" t="s">
        <v>725</v>
      </c>
      <c r="D496" s="8" t="s">
        <v>10</v>
      </c>
      <c r="E496" s="8">
        <v>87.11</v>
      </c>
      <c r="F496" s="8" t="s">
        <v>16</v>
      </c>
      <c r="G496" s="85">
        <f>+'[1]Dự thầu'!$G$1122</f>
        <v>2040190</v>
      </c>
      <c r="H496" s="86">
        <f t="shared" si="17"/>
        <v>177720951</v>
      </c>
    </row>
    <row r="497" spans="1:8" ht="15.75" customHeight="1" x14ac:dyDescent="0.25">
      <c r="A497" s="4" t="s">
        <v>798</v>
      </c>
      <c r="B497" s="8">
        <v>492</v>
      </c>
      <c r="C497" s="8" t="s">
        <v>560</v>
      </c>
      <c r="D497" s="8" t="s">
        <v>10</v>
      </c>
      <c r="E497" s="8">
        <v>88.41</v>
      </c>
      <c r="F497" s="8" t="s">
        <v>16</v>
      </c>
      <c r="G497" s="85">
        <f>+'[1]Dự thầu'!$G$1123</f>
        <v>57102</v>
      </c>
      <c r="H497" s="86">
        <f t="shared" si="17"/>
        <v>5048388</v>
      </c>
    </row>
    <row r="498" spans="1:8" ht="15.75" customHeight="1" x14ac:dyDescent="0.25">
      <c r="A498" s="4" t="s">
        <v>799</v>
      </c>
      <c r="B498" s="8">
        <v>493</v>
      </c>
      <c r="C498" s="8" t="s">
        <v>562</v>
      </c>
      <c r="D498" s="8" t="s">
        <v>10</v>
      </c>
      <c r="E498" s="8">
        <v>88.41</v>
      </c>
      <c r="F498" s="8" t="s">
        <v>16</v>
      </c>
      <c r="G498" s="85">
        <f>+'[1]Dự thầu'!$G$1124+'[1]Dự thầu'!$G$1125</f>
        <v>232044</v>
      </c>
      <c r="H498" s="86">
        <f t="shared" si="17"/>
        <v>20515010</v>
      </c>
    </row>
    <row r="499" spans="1:8" ht="15.75" customHeight="1" x14ac:dyDescent="0.25">
      <c r="A499" s="4" t="s">
        <v>800</v>
      </c>
      <c r="B499" s="8">
        <v>494</v>
      </c>
      <c r="C499" s="8" t="s">
        <v>729</v>
      </c>
      <c r="D499" s="8" t="s">
        <v>10</v>
      </c>
      <c r="E499" s="8">
        <v>0.35</v>
      </c>
      <c r="F499" s="8" t="s">
        <v>90</v>
      </c>
      <c r="G499" s="85">
        <f>+'[1]Dự thầu'!$G$1126</f>
        <v>26202055</v>
      </c>
      <c r="H499" s="86">
        <f t="shared" si="17"/>
        <v>9170719</v>
      </c>
    </row>
    <row r="500" spans="1:8" ht="15.75" customHeight="1" x14ac:dyDescent="0.25">
      <c r="A500" s="4" t="s">
        <v>801</v>
      </c>
      <c r="B500" s="8">
        <v>495</v>
      </c>
      <c r="C500" s="8" t="s">
        <v>731</v>
      </c>
      <c r="D500" s="8" t="s">
        <v>10</v>
      </c>
      <c r="E500" s="8">
        <v>14.67</v>
      </c>
      <c r="F500" s="8" t="s">
        <v>90</v>
      </c>
      <c r="G500" s="85">
        <f>+'[1]Dự thầu'!$G$1127</f>
        <v>25587587</v>
      </c>
      <c r="H500" s="86">
        <f t="shared" si="17"/>
        <v>375369901</v>
      </c>
    </row>
    <row r="501" spans="1:8" ht="15.75" customHeight="1" x14ac:dyDescent="0.25">
      <c r="A501" s="4" t="s">
        <v>802</v>
      </c>
      <c r="B501" s="8">
        <v>496</v>
      </c>
      <c r="C501" s="8" t="s">
        <v>733</v>
      </c>
      <c r="D501" s="8" t="s">
        <v>10</v>
      </c>
      <c r="E501" s="8">
        <v>385.41</v>
      </c>
      <c r="F501" s="8" t="s">
        <v>13</v>
      </c>
      <c r="G501" s="85">
        <f>+'[1]Dự thầu'!$G$1128</f>
        <v>111276</v>
      </c>
      <c r="H501" s="86">
        <f t="shared" si="17"/>
        <v>42886883</v>
      </c>
    </row>
    <row r="502" spans="1:8" ht="15.75" customHeight="1" x14ac:dyDescent="0.25">
      <c r="A502" s="4" t="s">
        <v>803</v>
      </c>
      <c r="B502" s="8">
        <v>497</v>
      </c>
      <c r="C502" s="8" t="s">
        <v>804</v>
      </c>
      <c r="D502" s="8" t="s">
        <v>10</v>
      </c>
      <c r="E502" s="8">
        <v>93.87</v>
      </c>
      <c r="F502" s="8" t="s">
        <v>16</v>
      </c>
      <c r="G502" s="85">
        <f>+'[1]Dự thầu'!$G$1129</f>
        <v>1707891</v>
      </c>
      <c r="H502" s="86">
        <f t="shared" si="17"/>
        <v>160319728</v>
      </c>
    </row>
    <row r="503" spans="1:8" ht="15.75" customHeight="1" x14ac:dyDescent="0.25">
      <c r="A503" s="4" t="s">
        <v>805</v>
      </c>
      <c r="B503" s="8">
        <v>498</v>
      </c>
      <c r="C503" s="8" t="s">
        <v>806</v>
      </c>
      <c r="D503" s="8" t="s">
        <v>10</v>
      </c>
      <c r="E503" s="8">
        <v>5.74</v>
      </c>
      <c r="F503" s="8" t="s">
        <v>90</v>
      </c>
      <c r="G503" s="85">
        <f>+'[1]Dự thầu'!$G$1130</f>
        <v>28097053</v>
      </c>
      <c r="H503" s="86">
        <f t="shared" si="17"/>
        <v>161277084</v>
      </c>
    </row>
    <row r="504" spans="1:8" ht="15.75" customHeight="1" x14ac:dyDescent="0.25">
      <c r="A504" s="4" t="s">
        <v>807</v>
      </c>
      <c r="B504" s="8">
        <v>499</v>
      </c>
      <c r="C504" s="8" t="s">
        <v>808</v>
      </c>
      <c r="D504" s="8" t="s">
        <v>10</v>
      </c>
      <c r="E504" s="8">
        <v>9.69</v>
      </c>
      <c r="F504" s="8" t="s">
        <v>90</v>
      </c>
      <c r="G504" s="85">
        <f>+'[1]Dự thầu'!$G$1131</f>
        <v>26811910</v>
      </c>
      <c r="H504" s="86">
        <f t="shared" si="17"/>
        <v>259807408</v>
      </c>
    </row>
    <row r="505" spans="1:8" ht="15.75" customHeight="1" x14ac:dyDescent="0.25">
      <c r="A505" s="4" t="s">
        <v>809</v>
      </c>
      <c r="B505" s="8">
        <v>500</v>
      </c>
      <c r="C505" s="8" t="s">
        <v>497</v>
      </c>
      <c r="D505" s="8" t="s">
        <v>10</v>
      </c>
      <c r="E505" s="8">
        <v>464.88</v>
      </c>
      <c r="F505" s="8" t="s">
        <v>13</v>
      </c>
      <c r="G505" s="85">
        <f>+'[1]Dự thầu'!$G$1132</f>
        <v>86606</v>
      </c>
      <c r="H505" s="86">
        <f t="shared" si="17"/>
        <v>40261397</v>
      </c>
    </row>
    <row r="506" spans="1:8" ht="15.75" customHeight="1" x14ac:dyDescent="0.25">
      <c r="A506" s="4" t="s">
        <v>810</v>
      </c>
      <c r="B506" s="8">
        <v>501</v>
      </c>
      <c r="C506" s="8" t="s">
        <v>257</v>
      </c>
      <c r="D506" s="8" t="s">
        <v>10</v>
      </c>
      <c r="E506" s="8">
        <v>596</v>
      </c>
      <c r="F506" s="8" t="s">
        <v>258</v>
      </c>
      <c r="G506" s="85">
        <f>+'[1]Dự thầu'!$G$1133</f>
        <v>142868</v>
      </c>
      <c r="H506" s="86">
        <f t="shared" si="17"/>
        <v>85149328</v>
      </c>
    </row>
    <row r="507" spans="1:8" ht="15.75" customHeight="1" x14ac:dyDescent="0.25">
      <c r="A507" s="4" t="s">
        <v>811</v>
      </c>
      <c r="B507" s="8">
        <v>502</v>
      </c>
      <c r="C507" s="8" t="s">
        <v>249</v>
      </c>
      <c r="D507" s="8" t="s">
        <v>10</v>
      </c>
      <c r="E507" s="8">
        <v>596</v>
      </c>
      <c r="F507" s="8" t="s">
        <v>250</v>
      </c>
      <c r="G507" s="85">
        <f>+'[1]Dự thầu'!$G$1134</f>
        <v>52812</v>
      </c>
      <c r="H507" s="86">
        <f t="shared" si="17"/>
        <v>31475952</v>
      </c>
    </row>
    <row r="508" spans="1:8" ht="15.75" customHeight="1" x14ac:dyDescent="0.25">
      <c r="A508" s="4" t="s">
        <v>812</v>
      </c>
      <c r="B508" s="8">
        <v>503</v>
      </c>
      <c r="C508" s="8" t="s">
        <v>255</v>
      </c>
      <c r="D508" s="8" t="s">
        <v>10</v>
      </c>
      <c r="E508" s="8">
        <v>596</v>
      </c>
      <c r="F508" s="8" t="s">
        <v>250</v>
      </c>
      <c r="G508" s="85">
        <f>+'[1]Dự thầu'!$G$1135</f>
        <v>42761</v>
      </c>
      <c r="H508" s="86">
        <f t="shared" si="17"/>
        <v>25485556</v>
      </c>
    </row>
    <row r="509" spans="1:8" ht="15.75" customHeight="1" x14ac:dyDescent="0.25">
      <c r="A509" s="4" t="s">
        <v>813</v>
      </c>
      <c r="B509" s="8">
        <v>504</v>
      </c>
      <c r="C509" s="8" t="s">
        <v>814</v>
      </c>
      <c r="D509" s="8" t="s">
        <v>10</v>
      </c>
      <c r="E509" s="8">
        <v>625.79999999999995</v>
      </c>
      <c r="F509" s="8" t="s">
        <v>13</v>
      </c>
      <c r="G509" s="85">
        <f>+'[1]Dự thầu'!$G$1136</f>
        <v>76805</v>
      </c>
      <c r="H509" s="86">
        <f t="shared" si="17"/>
        <v>48064569</v>
      </c>
    </row>
    <row r="510" spans="1:8" ht="15.75" customHeight="1" x14ac:dyDescent="0.25">
      <c r="A510" s="4" t="s">
        <v>815</v>
      </c>
      <c r="B510" s="8">
        <v>505</v>
      </c>
      <c r="C510" s="8" t="s">
        <v>816</v>
      </c>
      <c r="D510" s="8" t="s">
        <v>10</v>
      </c>
      <c r="E510" s="8">
        <v>3</v>
      </c>
      <c r="F510" s="8" t="s">
        <v>817</v>
      </c>
      <c r="G510" s="85">
        <f>+'[1]Dự thầu'!$G$1137</f>
        <v>3030388</v>
      </c>
      <c r="H510" s="86">
        <f t="shared" si="17"/>
        <v>9091164</v>
      </c>
    </row>
    <row r="511" spans="1:8" ht="15.75" customHeight="1" x14ac:dyDescent="0.25">
      <c r="A511" s="4" t="s">
        <v>818</v>
      </c>
      <c r="B511" s="8">
        <v>506</v>
      </c>
      <c r="C511" s="8" t="s">
        <v>624</v>
      </c>
      <c r="D511" s="8" t="s">
        <v>10</v>
      </c>
      <c r="E511" s="8">
        <v>2142.86</v>
      </c>
      <c r="F511" s="8" t="s">
        <v>16</v>
      </c>
      <c r="G511" s="85">
        <f>+'[1]Dự thầu'!$G$1138</f>
        <v>267174</v>
      </c>
      <c r="H511" s="86">
        <f t="shared" si="17"/>
        <v>572516478</v>
      </c>
    </row>
    <row r="512" spans="1:8" ht="15.75" customHeight="1" x14ac:dyDescent="0.25">
      <c r="A512" s="4" t="s">
        <v>819</v>
      </c>
      <c r="B512" s="8">
        <v>507</v>
      </c>
      <c r="C512" s="8" t="s">
        <v>614</v>
      </c>
      <c r="D512" s="8" t="s">
        <v>10</v>
      </c>
      <c r="E512" s="8">
        <v>300.61</v>
      </c>
      <c r="F512" s="8" t="s">
        <v>16</v>
      </c>
      <c r="G512" s="85">
        <f>+'[1]Dự thầu'!$G$1139</f>
        <v>23993</v>
      </c>
      <c r="H512" s="86">
        <f t="shared" si="17"/>
        <v>7212536</v>
      </c>
    </row>
    <row r="513" spans="1:8" ht="15.75" customHeight="1" x14ac:dyDescent="0.25">
      <c r="A513" s="4" t="s">
        <v>820</v>
      </c>
      <c r="B513" s="8">
        <v>508</v>
      </c>
      <c r="C513" s="8" t="s">
        <v>626</v>
      </c>
      <c r="D513" s="8" t="s">
        <v>10</v>
      </c>
      <c r="E513" s="8">
        <v>300.61</v>
      </c>
      <c r="F513" s="8" t="s">
        <v>16</v>
      </c>
      <c r="G513" s="85">
        <f>+'[1]Dự thầu'!$G$1140</f>
        <v>45382</v>
      </c>
      <c r="H513" s="86">
        <f t="shared" si="17"/>
        <v>13642283</v>
      </c>
    </row>
    <row r="514" spans="1:8" ht="15.75" customHeight="1" x14ac:dyDescent="0.25">
      <c r="A514" s="4" t="s">
        <v>821</v>
      </c>
      <c r="B514" s="8">
        <v>509</v>
      </c>
      <c r="C514" s="8" t="s">
        <v>822</v>
      </c>
      <c r="D514" s="8" t="s">
        <v>10</v>
      </c>
      <c r="E514" s="8">
        <v>198.36</v>
      </c>
      <c r="F514" s="8" t="s">
        <v>90</v>
      </c>
      <c r="G514" s="85">
        <f>+'[1]Dự thầu'!$G$1144</f>
        <v>1630632</v>
      </c>
      <c r="H514" s="86">
        <f t="shared" si="17"/>
        <v>323452164</v>
      </c>
    </row>
    <row r="515" spans="1:8" ht="15.75" customHeight="1" x14ac:dyDescent="0.25">
      <c r="A515" s="4" t="s">
        <v>823</v>
      </c>
      <c r="B515" s="8">
        <v>510</v>
      </c>
      <c r="C515" s="8" t="s">
        <v>824</v>
      </c>
      <c r="D515" s="8" t="s">
        <v>10</v>
      </c>
      <c r="E515" s="8">
        <v>2349</v>
      </c>
      <c r="F515" s="8" t="s">
        <v>75</v>
      </c>
      <c r="G515" s="85">
        <f>+'[1]Dự thầu'!$G$1145</f>
        <v>67386</v>
      </c>
      <c r="H515" s="86">
        <f t="shared" si="17"/>
        <v>158289714</v>
      </c>
    </row>
    <row r="516" spans="1:8" ht="15.75" customHeight="1" x14ac:dyDescent="0.25">
      <c r="A516" s="4" t="s">
        <v>825</v>
      </c>
      <c r="B516" s="8">
        <v>511</v>
      </c>
      <c r="C516" s="8" t="s">
        <v>826</v>
      </c>
      <c r="D516" s="8" t="s">
        <v>10</v>
      </c>
      <c r="E516" s="8">
        <v>261</v>
      </c>
      <c r="F516" s="8" t="s">
        <v>75</v>
      </c>
      <c r="G516" s="85">
        <f>+'[1]Dự thầu'!$G$1146</f>
        <v>67386</v>
      </c>
      <c r="H516" s="86">
        <f t="shared" si="17"/>
        <v>17587746</v>
      </c>
    </row>
    <row r="517" spans="1:8" ht="15.75" customHeight="1" x14ac:dyDescent="0.25">
      <c r="A517" s="4" t="s">
        <v>827</v>
      </c>
      <c r="B517" s="8">
        <v>512</v>
      </c>
      <c r="C517" s="8" t="s">
        <v>828</v>
      </c>
      <c r="D517" s="8" t="s">
        <v>10</v>
      </c>
      <c r="E517" s="8">
        <v>2349</v>
      </c>
      <c r="F517" s="8" t="s">
        <v>75</v>
      </c>
      <c r="G517" s="85">
        <f>+'[1]Dự thầu'!$G$1147</f>
        <v>52562</v>
      </c>
      <c r="H517" s="86">
        <f t="shared" si="17"/>
        <v>123468138</v>
      </c>
    </row>
    <row r="518" spans="1:8" ht="15.75" customHeight="1" x14ac:dyDescent="0.25">
      <c r="A518" s="4">
        <v>8</v>
      </c>
      <c r="B518" s="8">
        <v>513</v>
      </c>
      <c r="C518" s="8" t="s">
        <v>829</v>
      </c>
      <c r="D518" s="8" t="s">
        <v>10</v>
      </c>
      <c r="E518" s="8"/>
      <c r="F518" s="8"/>
      <c r="G518" s="85"/>
      <c r="H518" s="86"/>
    </row>
    <row r="519" spans="1:8" ht="15.75" customHeight="1" x14ac:dyDescent="0.25">
      <c r="A519" s="4" t="s">
        <v>830</v>
      </c>
      <c r="B519" s="8">
        <v>514</v>
      </c>
      <c r="C519" s="8" t="s">
        <v>831</v>
      </c>
      <c r="D519" s="8" t="s">
        <v>10</v>
      </c>
      <c r="E519" s="8">
        <v>58</v>
      </c>
      <c r="F519" s="8" t="s">
        <v>16</v>
      </c>
      <c r="G519" s="85">
        <f>+'[1]Dự thầu'!$G$1168</f>
        <v>1682152</v>
      </c>
      <c r="H519" s="86">
        <f t="shared" ref="H519:H550" si="18">+ROUND(G519*E519,0)</f>
        <v>97564816</v>
      </c>
    </row>
    <row r="520" spans="1:8" ht="15.75" customHeight="1" x14ac:dyDescent="0.25">
      <c r="A520" s="4" t="s">
        <v>832</v>
      </c>
      <c r="B520" s="8">
        <v>515</v>
      </c>
      <c r="C520" s="8" t="s">
        <v>833</v>
      </c>
      <c r="D520" s="8" t="s">
        <v>10</v>
      </c>
      <c r="E520" s="8">
        <v>0.5</v>
      </c>
      <c r="F520" s="8" t="s">
        <v>90</v>
      </c>
      <c r="G520" s="85">
        <f>+'[1]Dự thầu'!$G$1169</f>
        <v>28765433</v>
      </c>
      <c r="H520" s="86">
        <f t="shared" si="18"/>
        <v>14382717</v>
      </c>
    </row>
    <row r="521" spans="1:8" ht="15.75" customHeight="1" x14ac:dyDescent="0.25">
      <c r="A521" s="4" t="s">
        <v>834</v>
      </c>
      <c r="B521" s="8">
        <v>516</v>
      </c>
      <c r="C521" s="8" t="s">
        <v>835</v>
      </c>
      <c r="D521" s="8" t="s">
        <v>10</v>
      </c>
      <c r="E521" s="8">
        <v>8.65</v>
      </c>
      <c r="F521" s="8" t="s">
        <v>90</v>
      </c>
      <c r="G521" s="85">
        <f>+'[1]Dự thầu'!$G$1170</f>
        <v>27004108</v>
      </c>
      <c r="H521" s="86">
        <f t="shared" si="18"/>
        <v>233585534</v>
      </c>
    </row>
    <row r="522" spans="1:8" ht="15.75" customHeight="1" x14ac:dyDescent="0.25">
      <c r="A522" s="4" t="s">
        <v>836</v>
      </c>
      <c r="B522" s="8">
        <v>517</v>
      </c>
      <c r="C522" s="8" t="s">
        <v>336</v>
      </c>
      <c r="D522" s="8" t="s">
        <v>10</v>
      </c>
      <c r="E522" s="8">
        <v>635.1</v>
      </c>
      <c r="F522" s="8" t="s">
        <v>13</v>
      </c>
      <c r="G522" s="85">
        <f>+'[1]Dự thầu'!$G$1171</f>
        <v>102621</v>
      </c>
      <c r="H522" s="86">
        <f t="shared" si="18"/>
        <v>65174597</v>
      </c>
    </row>
    <row r="523" spans="1:8" ht="15.75" customHeight="1" x14ac:dyDescent="0.25">
      <c r="A523" s="4" t="s">
        <v>837</v>
      </c>
      <c r="B523" s="8">
        <v>518</v>
      </c>
      <c r="C523" s="8" t="s">
        <v>838</v>
      </c>
      <c r="D523" s="8" t="s">
        <v>10</v>
      </c>
      <c r="E523" s="8">
        <v>58</v>
      </c>
      <c r="F523" s="8" t="s">
        <v>250</v>
      </c>
      <c r="G523" s="85">
        <f>+'[1]Dự thầu'!$G$1172</f>
        <v>113802</v>
      </c>
      <c r="H523" s="86">
        <f t="shared" si="18"/>
        <v>6600516</v>
      </c>
    </row>
    <row r="524" spans="1:8" ht="15.75" customHeight="1" x14ac:dyDescent="0.25">
      <c r="A524" s="4" t="s">
        <v>839</v>
      </c>
      <c r="B524" s="8">
        <v>519</v>
      </c>
      <c r="C524" s="8" t="s">
        <v>571</v>
      </c>
      <c r="D524" s="8" t="s">
        <v>10</v>
      </c>
      <c r="E524" s="8">
        <v>58</v>
      </c>
      <c r="F524" s="8" t="s">
        <v>250</v>
      </c>
      <c r="G524" s="85">
        <f>+'[1]Dự thầu'!$G$1173</f>
        <v>91827</v>
      </c>
      <c r="H524" s="86">
        <f t="shared" si="18"/>
        <v>5325966</v>
      </c>
    </row>
    <row r="525" spans="1:8" ht="15.75" customHeight="1" x14ac:dyDescent="0.25">
      <c r="A525" s="4" t="s">
        <v>840</v>
      </c>
      <c r="B525" s="8">
        <v>520</v>
      </c>
      <c r="C525" s="8" t="s">
        <v>585</v>
      </c>
      <c r="D525" s="8" t="s">
        <v>10</v>
      </c>
      <c r="E525" s="8">
        <v>14.5</v>
      </c>
      <c r="F525" s="8" t="s">
        <v>253</v>
      </c>
      <c r="G525" s="85">
        <f>+'[1]Dự thầu'!$G$1174</f>
        <v>36181</v>
      </c>
      <c r="H525" s="86">
        <f t="shared" si="18"/>
        <v>524625</v>
      </c>
    </row>
    <row r="526" spans="1:8" ht="15.75" customHeight="1" x14ac:dyDescent="0.25">
      <c r="A526" s="4" t="s">
        <v>841</v>
      </c>
      <c r="B526" s="8">
        <v>521</v>
      </c>
      <c r="C526" s="8" t="s">
        <v>842</v>
      </c>
      <c r="D526" s="8" t="s">
        <v>10</v>
      </c>
      <c r="E526" s="8">
        <v>58</v>
      </c>
      <c r="F526" s="8" t="s">
        <v>567</v>
      </c>
      <c r="G526" s="85">
        <f>+'[1]Dự thầu'!$G$1175</f>
        <v>304120</v>
      </c>
      <c r="H526" s="86">
        <f t="shared" si="18"/>
        <v>17638960</v>
      </c>
    </row>
    <row r="527" spans="1:8" ht="15.75" customHeight="1" x14ac:dyDescent="0.25">
      <c r="A527" s="4" t="s">
        <v>843</v>
      </c>
      <c r="B527" s="8">
        <v>522</v>
      </c>
      <c r="C527" s="8" t="s">
        <v>831</v>
      </c>
      <c r="D527" s="8" t="s">
        <v>10</v>
      </c>
      <c r="E527" s="8">
        <v>16.72</v>
      </c>
      <c r="F527" s="8" t="s">
        <v>16</v>
      </c>
      <c r="G527" s="85">
        <f>+'[1]Dự thầu'!$G$1177</f>
        <v>1606063</v>
      </c>
      <c r="H527" s="86">
        <f t="shared" si="18"/>
        <v>26853373</v>
      </c>
    </row>
    <row r="528" spans="1:8" ht="15.75" customHeight="1" x14ac:dyDescent="0.25">
      <c r="A528" s="4" t="s">
        <v>844</v>
      </c>
      <c r="B528" s="8">
        <v>523</v>
      </c>
      <c r="C528" s="8" t="s">
        <v>833</v>
      </c>
      <c r="D528" s="8" t="s">
        <v>10</v>
      </c>
      <c r="E528" s="8">
        <v>0.16</v>
      </c>
      <c r="F528" s="8" t="s">
        <v>90</v>
      </c>
      <c r="G528" s="85">
        <f>+'[1]Dự thầu'!$G$1178</f>
        <v>28765433</v>
      </c>
      <c r="H528" s="86">
        <f t="shared" si="18"/>
        <v>4602469</v>
      </c>
    </row>
    <row r="529" spans="1:8" ht="15.75" customHeight="1" x14ac:dyDescent="0.25">
      <c r="A529" s="4" t="s">
        <v>845</v>
      </c>
      <c r="B529" s="8">
        <v>524</v>
      </c>
      <c r="C529" s="8" t="s">
        <v>835</v>
      </c>
      <c r="D529" s="8" t="s">
        <v>10</v>
      </c>
      <c r="E529" s="8">
        <v>2.39</v>
      </c>
      <c r="F529" s="8" t="s">
        <v>90</v>
      </c>
      <c r="G529" s="85">
        <f>+'[1]Dự thầu'!$G$1179</f>
        <v>27004108</v>
      </c>
      <c r="H529" s="86">
        <f t="shared" si="18"/>
        <v>64539818</v>
      </c>
    </row>
    <row r="530" spans="1:8" ht="15.75" customHeight="1" x14ac:dyDescent="0.25">
      <c r="A530" s="4" t="s">
        <v>846</v>
      </c>
      <c r="B530" s="8">
        <v>525</v>
      </c>
      <c r="C530" s="8" t="s">
        <v>336</v>
      </c>
      <c r="D530" s="8" t="s">
        <v>10</v>
      </c>
      <c r="E530" s="8">
        <v>173.66</v>
      </c>
      <c r="F530" s="8" t="s">
        <v>13</v>
      </c>
      <c r="G530" s="85">
        <f>+'[1]Dự thầu'!$G$1180</f>
        <v>102621</v>
      </c>
      <c r="H530" s="86">
        <f t="shared" si="18"/>
        <v>17821163</v>
      </c>
    </row>
    <row r="531" spans="1:8" ht="15.75" customHeight="1" x14ac:dyDescent="0.25">
      <c r="A531" s="4" t="s">
        <v>847</v>
      </c>
      <c r="B531" s="8">
        <v>526</v>
      </c>
      <c r="C531" s="8" t="s">
        <v>838</v>
      </c>
      <c r="D531" s="8" t="s">
        <v>10</v>
      </c>
      <c r="E531" s="8">
        <v>19</v>
      </c>
      <c r="F531" s="8" t="s">
        <v>250</v>
      </c>
      <c r="G531" s="85">
        <f>+'[1]Dự thầu'!$G$1181</f>
        <v>113802</v>
      </c>
      <c r="H531" s="86">
        <f t="shared" si="18"/>
        <v>2162238</v>
      </c>
    </row>
    <row r="532" spans="1:8" ht="15.75" customHeight="1" x14ac:dyDescent="0.25">
      <c r="A532" s="4" t="s">
        <v>848</v>
      </c>
      <c r="B532" s="8">
        <v>527</v>
      </c>
      <c r="C532" s="8" t="s">
        <v>571</v>
      </c>
      <c r="D532" s="8" t="s">
        <v>10</v>
      </c>
      <c r="E532" s="8">
        <v>19</v>
      </c>
      <c r="F532" s="8" t="s">
        <v>250</v>
      </c>
      <c r="G532" s="85">
        <f>+'[1]Dự thầu'!$G$1182</f>
        <v>91827</v>
      </c>
      <c r="H532" s="86">
        <f t="shared" si="18"/>
        <v>1744713</v>
      </c>
    </row>
    <row r="533" spans="1:8" ht="15.75" customHeight="1" x14ac:dyDescent="0.25">
      <c r="A533" s="4" t="s">
        <v>849</v>
      </c>
      <c r="B533" s="8">
        <v>528</v>
      </c>
      <c r="C533" s="8" t="s">
        <v>647</v>
      </c>
      <c r="D533" s="8" t="s">
        <v>10</v>
      </c>
      <c r="E533" s="8">
        <v>4.18</v>
      </c>
      <c r="F533" s="8" t="s">
        <v>253</v>
      </c>
      <c r="G533" s="85">
        <f>+'[1]Dự thầu'!$G$1183</f>
        <v>36181</v>
      </c>
      <c r="H533" s="86">
        <f t="shared" si="18"/>
        <v>151237</v>
      </c>
    </row>
    <row r="534" spans="1:8" ht="15.75" customHeight="1" x14ac:dyDescent="0.25">
      <c r="A534" s="4" t="s">
        <v>850</v>
      </c>
      <c r="B534" s="8">
        <v>529</v>
      </c>
      <c r="C534" s="8" t="s">
        <v>842</v>
      </c>
      <c r="D534" s="8" t="s">
        <v>10</v>
      </c>
      <c r="E534" s="8">
        <v>19</v>
      </c>
      <c r="F534" s="8" t="s">
        <v>567</v>
      </c>
      <c r="G534" s="85">
        <f>+'[1]Dự thầu'!$G$1184</f>
        <v>304120</v>
      </c>
      <c r="H534" s="87">
        <f t="shared" si="18"/>
        <v>5778280</v>
      </c>
    </row>
    <row r="535" spans="1:8" ht="15.75" customHeight="1" x14ac:dyDescent="0.25">
      <c r="A535" s="4" t="s">
        <v>851</v>
      </c>
      <c r="B535" s="8">
        <v>530</v>
      </c>
      <c r="C535" s="8" t="s">
        <v>831</v>
      </c>
      <c r="D535" s="8" t="s">
        <v>10</v>
      </c>
      <c r="E535" s="8">
        <v>73.150000000000006</v>
      </c>
      <c r="F535" s="8" t="s">
        <v>16</v>
      </c>
      <c r="G535" s="85">
        <f>+'[1]Dự thầu'!$G$1186</f>
        <v>1682152</v>
      </c>
      <c r="H535" s="86">
        <f t="shared" si="18"/>
        <v>123049419</v>
      </c>
    </row>
    <row r="536" spans="1:8" ht="15.75" customHeight="1" x14ac:dyDescent="0.25">
      <c r="A536" s="4" t="s">
        <v>852</v>
      </c>
      <c r="B536" s="8">
        <v>531</v>
      </c>
      <c r="C536" s="8" t="s">
        <v>833</v>
      </c>
      <c r="D536" s="8" t="s">
        <v>10</v>
      </c>
      <c r="E536" s="8">
        <v>0.51</v>
      </c>
      <c r="F536" s="8" t="s">
        <v>90</v>
      </c>
      <c r="G536" s="85">
        <f>+'[1]Dự thầu'!$G$1187</f>
        <v>28765433</v>
      </c>
      <c r="H536" s="86">
        <f t="shared" si="18"/>
        <v>14670371</v>
      </c>
    </row>
    <row r="537" spans="1:8" ht="15.75" customHeight="1" x14ac:dyDescent="0.25">
      <c r="A537" s="4" t="s">
        <v>853</v>
      </c>
      <c r="B537" s="8">
        <v>532</v>
      </c>
      <c r="C537" s="8" t="s">
        <v>835</v>
      </c>
      <c r="D537" s="8" t="s">
        <v>10</v>
      </c>
      <c r="E537" s="8">
        <v>11.44</v>
      </c>
      <c r="F537" s="8" t="s">
        <v>90</v>
      </c>
      <c r="G537" s="85">
        <f>+'[1]Dự thầu'!$G$1188</f>
        <v>27004108</v>
      </c>
      <c r="H537" s="86">
        <f t="shared" si="18"/>
        <v>308926996</v>
      </c>
    </row>
    <row r="538" spans="1:8" ht="15.75" customHeight="1" x14ac:dyDescent="0.25">
      <c r="A538" s="4" t="s">
        <v>854</v>
      </c>
      <c r="B538" s="8">
        <v>533</v>
      </c>
      <c r="C538" s="8" t="s">
        <v>336</v>
      </c>
      <c r="D538" s="8" t="s">
        <v>10</v>
      </c>
      <c r="E538" s="8">
        <v>650</v>
      </c>
      <c r="F538" s="8" t="s">
        <v>13</v>
      </c>
      <c r="G538" s="85">
        <f>+'[1]Dự thầu'!$G$1189</f>
        <v>115728</v>
      </c>
      <c r="H538" s="86">
        <f t="shared" si="18"/>
        <v>75223200</v>
      </c>
    </row>
    <row r="539" spans="1:8" ht="15.75" customHeight="1" x14ac:dyDescent="0.25">
      <c r="A539" s="4" t="s">
        <v>855</v>
      </c>
      <c r="B539" s="8">
        <v>534</v>
      </c>
      <c r="C539" s="8" t="s">
        <v>838</v>
      </c>
      <c r="D539" s="8" t="s">
        <v>10</v>
      </c>
      <c r="E539" s="8">
        <v>55</v>
      </c>
      <c r="F539" s="8" t="s">
        <v>250</v>
      </c>
      <c r="G539" s="85">
        <f>+'[1]Dự thầu'!$G$1190</f>
        <v>113802</v>
      </c>
      <c r="H539" s="86">
        <f t="shared" si="18"/>
        <v>6259110</v>
      </c>
    </row>
    <row r="540" spans="1:8" ht="15.75" customHeight="1" x14ac:dyDescent="0.25">
      <c r="A540" s="4" t="s">
        <v>856</v>
      </c>
      <c r="B540" s="8">
        <v>535</v>
      </c>
      <c r="C540" s="8" t="s">
        <v>571</v>
      </c>
      <c r="D540" s="8" t="s">
        <v>10</v>
      </c>
      <c r="E540" s="8">
        <v>55</v>
      </c>
      <c r="F540" s="8" t="s">
        <v>250</v>
      </c>
      <c r="G540" s="85">
        <f>+'[1]Dự thầu'!$G$1191</f>
        <v>91827</v>
      </c>
      <c r="H540" s="86">
        <f t="shared" si="18"/>
        <v>5050485</v>
      </c>
    </row>
    <row r="541" spans="1:8" ht="15.75" customHeight="1" x14ac:dyDescent="0.25">
      <c r="A541" s="4" t="s">
        <v>857</v>
      </c>
      <c r="B541" s="8">
        <v>536</v>
      </c>
      <c r="C541" s="8" t="s">
        <v>647</v>
      </c>
      <c r="D541" s="8" t="s">
        <v>10</v>
      </c>
      <c r="E541" s="8">
        <v>18.29</v>
      </c>
      <c r="F541" s="8" t="s">
        <v>253</v>
      </c>
      <c r="G541" s="85">
        <f>+'[1]Dự thầu'!$G$1192</f>
        <v>36181</v>
      </c>
      <c r="H541" s="86">
        <f t="shared" si="18"/>
        <v>661750</v>
      </c>
    </row>
    <row r="542" spans="1:8" ht="15.75" customHeight="1" x14ac:dyDescent="0.25">
      <c r="A542" s="4" t="s">
        <v>858</v>
      </c>
      <c r="B542" s="8">
        <v>537</v>
      </c>
      <c r="C542" s="8" t="s">
        <v>859</v>
      </c>
      <c r="D542" s="8" t="s">
        <v>10</v>
      </c>
      <c r="E542" s="8">
        <v>55</v>
      </c>
      <c r="F542" s="8" t="s">
        <v>567</v>
      </c>
      <c r="G542" s="85">
        <f>+'[1]Dự thầu'!$G$1193</f>
        <v>319273</v>
      </c>
      <c r="H542" s="87">
        <f t="shared" si="18"/>
        <v>17560015</v>
      </c>
    </row>
    <row r="543" spans="1:8" ht="15.75" customHeight="1" x14ac:dyDescent="0.25">
      <c r="A543" s="4" t="s">
        <v>860</v>
      </c>
      <c r="B543" s="8">
        <v>538</v>
      </c>
      <c r="C543" s="8" t="s">
        <v>831</v>
      </c>
      <c r="D543" s="8" t="s">
        <v>10</v>
      </c>
      <c r="E543" s="8">
        <v>374</v>
      </c>
      <c r="F543" s="8" t="s">
        <v>16</v>
      </c>
      <c r="G543" s="85">
        <f>+'[1]Dự thầu'!$G$1195</f>
        <v>1682152</v>
      </c>
      <c r="H543" s="86">
        <f t="shared" si="18"/>
        <v>629124848</v>
      </c>
    </row>
    <row r="544" spans="1:8" ht="15.75" customHeight="1" x14ac:dyDescent="0.25">
      <c r="A544" s="4" t="s">
        <v>861</v>
      </c>
      <c r="B544" s="8">
        <v>539</v>
      </c>
      <c r="C544" s="8" t="s">
        <v>833</v>
      </c>
      <c r="D544" s="8" t="s">
        <v>10</v>
      </c>
      <c r="E544" s="8">
        <v>2.9</v>
      </c>
      <c r="F544" s="8" t="s">
        <v>90</v>
      </c>
      <c r="G544" s="85">
        <f>+'[1]Dự thầu'!$G$1196</f>
        <v>28765433</v>
      </c>
      <c r="H544" s="86">
        <f t="shared" si="18"/>
        <v>83419756</v>
      </c>
    </row>
    <row r="545" spans="1:8" ht="15.75" customHeight="1" x14ac:dyDescent="0.25">
      <c r="A545" s="4" t="s">
        <v>862</v>
      </c>
      <c r="B545" s="8">
        <v>540</v>
      </c>
      <c r="C545" s="8" t="s">
        <v>835</v>
      </c>
      <c r="D545" s="8" t="s">
        <v>10</v>
      </c>
      <c r="E545" s="8">
        <v>56.85</v>
      </c>
      <c r="F545" s="8" t="s">
        <v>90</v>
      </c>
      <c r="G545" s="85">
        <f>+'[1]Dự thầu'!$G$1197</f>
        <v>27004108</v>
      </c>
      <c r="H545" s="86">
        <f t="shared" si="18"/>
        <v>1535183540</v>
      </c>
    </row>
    <row r="546" spans="1:8" ht="15.75" customHeight="1" x14ac:dyDescent="0.25">
      <c r="A546" s="4" t="s">
        <v>863</v>
      </c>
      <c r="B546" s="8">
        <v>541</v>
      </c>
      <c r="C546" s="8" t="s">
        <v>336</v>
      </c>
      <c r="D546" s="8" t="s">
        <v>10</v>
      </c>
      <c r="E546" s="8">
        <v>3476</v>
      </c>
      <c r="F546" s="8" t="s">
        <v>13</v>
      </c>
      <c r="G546" s="85">
        <f>+'[1]Dự thầu'!$G$1198</f>
        <v>115728</v>
      </c>
      <c r="H546" s="86">
        <f t="shared" si="18"/>
        <v>402270528</v>
      </c>
    </row>
    <row r="547" spans="1:8" ht="15.75" customHeight="1" x14ac:dyDescent="0.25">
      <c r="A547" s="4" t="s">
        <v>864</v>
      </c>
      <c r="B547" s="8">
        <v>542</v>
      </c>
      <c r="C547" s="8" t="s">
        <v>838</v>
      </c>
      <c r="D547" s="8" t="s">
        <v>10</v>
      </c>
      <c r="E547" s="8">
        <v>309</v>
      </c>
      <c r="F547" s="8" t="s">
        <v>250</v>
      </c>
      <c r="G547" s="85">
        <f>+'[1]Dự thầu'!$G$1199</f>
        <v>113802</v>
      </c>
      <c r="H547" s="86">
        <f t="shared" si="18"/>
        <v>35164818</v>
      </c>
    </row>
    <row r="548" spans="1:8" ht="15.75" customHeight="1" x14ac:dyDescent="0.25">
      <c r="A548" s="4" t="s">
        <v>865</v>
      </c>
      <c r="B548" s="8">
        <v>543</v>
      </c>
      <c r="C548" s="8" t="s">
        <v>571</v>
      </c>
      <c r="D548" s="8" t="s">
        <v>10</v>
      </c>
      <c r="E548" s="8">
        <v>309</v>
      </c>
      <c r="F548" s="8" t="s">
        <v>250</v>
      </c>
      <c r="G548" s="85">
        <f>+'[1]Dự thầu'!$G$1200</f>
        <v>91827</v>
      </c>
      <c r="H548" s="86">
        <f t="shared" si="18"/>
        <v>28374543</v>
      </c>
    </row>
    <row r="549" spans="1:8" ht="15.75" customHeight="1" x14ac:dyDescent="0.25">
      <c r="A549" s="4" t="s">
        <v>866</v>
      </c>
      <c r="B549" s="8">
        <v>544</v>
      </c>
      <c r="C549" s="8" t="s">
        <v>647</v>
      </c>
      <c r="D549" s="8" t="s">
        <v>10</v>
      </c>
      <c r="E549" s="8">
        <v>93.5</v>
      </c>
      <c r="F549" s="8" t="s">
        <v>253</v>
      </c>
      <c r="G549" s="85">
        <f>+'[1]Dự thầu'!$G$1201</f>
        <v>36181</v>
      </c>
      <c r="H549" s="86">
        <f t="shared" si="18"/>
        <v>3382924</v>
      </c>
    </row>
    <row r="550" spans="1:8" ht="15.75" customHeight="1" x14ac:dyDescent="0.25">
      <c r="A550" s="4" t="s">
        <v>867</v>
      </c>
      <c r="B550" s="8">
        <v>545</v>
      </c>
      <c r="C550" s="8" t="s">
        <v>859</v>
      </c>
      <c r="D550" s="8" t="s">
        <v>10</v>
      </c>
      <c r="E550" s="8">
        <v>309</v>
      </c>
      <c r="F550" s="8" t="s">
        <v>567</v>
      </c>
      <c r="G550" s="85">
        <f>+'[1]Dự thầu'!$G$1202</f>
        <v>319273</v>
      </c>
      <c r="H550" s="87">
        <f t="shared" si="18"/>
        <v>98655357</v>
      </c>
    </row>
    <row r="551" spans="1:8" ht="15.75" customHeight="1" x14ac:dyDescent="0.25">
      <c r="A551" s="4" t="s">
        <v>868</v>
      </c>
      <c r="B551" s="8">
        <v>546</v>
      </c>
      <c r="C551" s="8" t="s">
        <v>334</v>
      </c>
      <c r="D551" s="8" t="s">
        <v>10</v>
      </c>
      <c r="E551" s="8">
        <v>3.52</v>
      </c>
      <c r="F551" s="8" t="s">
        <v>16</v>
      </c>
      <c r="G551" s="85">
        <f>+'[1]Dự thầu'!$G$1204</f>
        <v>1631803</v>
      </c>
      <c r="H551" s="86">
        <f t="shared" ref="H551:H582" si="19">+ROUND(G551*E551,0)</f>
        <v>5743947</v>
      </c>
    </row>
    <row r="552" spans="1:8" ht="15.75" customHeight="1" x14ac:dyDescent="0.25">
      <c r="A552" s="4" t="s">
        <v>869</v>
      </c>
      <c r="B552" s="8">
        <v>547</v>
      </c>
      <c r="C552" s="8" t="s">
        <v>246</v>
      </c>
      <c r="D552" s="8" t="s">
        <v>10</v>
      </c>
      <c r="E552" s="8">
        <v>0.18</v>
      </c>
      <c r="F552" s="8" t="s">
        <v>90</v>
      </c>
      <c r="G552" s="85">
        <f>+'[1]Dự thầu'!$G$1205</f>
        <v>27096238</v>
      </c>
      <c r="H552" s="86">
        <f t="shared" si="19"/>
        <v>4877323</v>
      </c>
    </row>
    <row r="553" spans="1:8" ht="15.75" customHeight="1" x14ac:dyDescent="0.25">
      <c r="A553" s="4" t="s">
        <v>870</v>
      </c>
      <c r="B553" s="8">
        <v>548</v>
      </c>
      <c r="C553" s="8" t="s">
        <v>871</v>
      </c>
      <c r="D553" s="8" t="s">
        <v>10</v>
      </c>
      <c r="E553" s="8">
        <v>11</v>
      </c>
      <c r="F553" s="8" t="s">
        <v>13</v>
      </c>
      <c r="G553" s="85">
        <f>+'[1]Dự thầu'!$G$1206</f>
        <v>86606</v>
      </c>
      <c r="H553" s="86">
        <f t="shared" si="19"/>
        <v>952666</v>
      </c>
    </row>
    <row r="554" spans="1:8" ht="15.75" customHeight="1" x14ac:dyDescent="0.25">
      <c r="A554" s="4" t="s">
        <v>872</v>
      </c>
      <c r="B554" s="8">
        <v>549</v>
      </c>
      <c r="C554" s="8" t="s">
        <v>240</v>
      </c>
      <c r="D554" s="8" t="s">
        <v>10</v>
      </c>
      <c r="E554" s="8">
        <v>1.3</v>
      </c>
      <c r="F554" s="8" t="s">
        <v>16</v>
      </c>
      <c r="G554" s="85">
        <f>+'[1]Dự thầu'!$G$1207</f>
        <v>842139</v>
      </c>
      <c r="H554" s="86">
        <f t="shared" si="19"/>
        <v>1094781</v>
      </c>
    </row>
    <row r="555" spans="1:8" ht="15.75" customHeight="1" x14ac:dyDescent="0.25">
      <c r="A555" s="4" t="s">
        <v>873</v>
      </c>
      <c r="B555" s="8">
        <v>550</v>
      </c>
      <c r="C555" s="8" t="s">
        <v>874</v>
      </c>
      <c r="D555" s="8" t="s">
        <v>10</v>
      </c>
      <c r="E555" s="8">
        <v>10</v>
      </c>
      <c r="F555" s="8" t="s">
        <v>250</v>
      </c>
      <c r="G555" s="85">
        <f>+'[1]Dự thầu'!$G$1208</f>
        <v>69167</v>
      </c>
      <c r="H555" s="86">
        <f t="shared" si="19"/>
        <v>691670</v>
      </c>
    </row>
    <row r="556" spans="1:8" ht="15.75" customHeight="1" x14ac:dyDescent="0.25">
      <c r="A556" s="4" t="s">
        <v>875</v>
      </c>
      <c r="B556" s="8">
        <v>551</v>
      </c>
      <c r="C556" s="8" t="s">
        <v>876</v>
      </c>
      <c r="D556" s="8" t="s">
        <v>10</v>
      </c>
      <c r="E556" s="8">
        <v>10</v>
      </c>
      <c r="F556" s="8" t="s">
        <v>250</v>
      </c>
      <c r="G556" s="85">
        <f>+'[1]Dự thầu'!$G$1209</f>
        <v>52812</v>
      </c>
      <c r="H556" s="86">
        <f t="shared" si="19"/>
        <v>528120</v>
      </c>
    </row>
    <row r="557" spans="1:8" ht="15.75" customHeight="1" x14ac:dyDescent="0.25">
      <c r="A557" s="4" t="s">
        <v>877</v>
      </c>
      <c r="B557" s="8">
        <v>552</v>
      </c>
      <c r="C557" s="8" t="s">
        <v>284</v>
      </c>
      <c r="D557" s="8" t="s">
        <v>10</v>
      </c>
      <c r="E557" s="8">
        <v>0.88</v>
      </c>
      <c r="F557" s="8" t="s">
        <v>274</v>
      </c>
      <c r="G557" s="85">
        <f>+'[1]Dự thầu'!$G$1210</f>
        <v>32162</v>
      </c>
      <c r="H557" s="86">
        <f t="shared" si="19"/>
        <v>28303</v>
      </c>
    </row>
    <row r="558" spans="1:8" ht="15.75" customHeight="1" x14ac:dyDescent="0.25">
      <c r="A558" s="4" t="s">
        <v>878</v>
      </c>
      <c r="B558" s="8">
        <v>553</v>
      </c>
      <c r="C558" s="8" t="s">
        <v>257</v>
      </c>
      <c r="D558" s="8" t="s">
        <v>10</v>
      </c>
      <c r="E558" s="8">
        <v>10</v>
      </c>
      <c r="F558" s="8" t="s">
        <v>258</v>
      </c>
      <c r="G558" s="85">
        <f>+'[1]Dự thầu'!$G$1211</f>
        <v>142868</v>
      </c>
      <c r="H558" s="86">
        <f t="shared" si="19"/>
        <v>1428680</v>
      </c>
    </row>
    <row r="559" spans="1:8" ht="15.75" customHeight="1" x14ac:dyDescent="0.25">
      <c r="A559" s="4" t="s">
        <v>879</v>
      </c>
      <c r="B559" s="8">
        <v>554</v>
      </c>
      <c r="C559" s="8" t="s">
        <v>334</v>
      </c>
      <c r="D559" s="8" t="s">
        <v>10</v>
      </c>
      <c r="E559" s="8">
        <v>17.95</v>
      </c>
      <c r="F559" s="8" t="s">
        <v>16</v>
      </c>
      <c r="G559" s="85">
        <f>+'[1]Dự thầu'!$G$1213</f>
        <v>1471205</v>
      </c>
      <c r="H559" s="86">
        <f t="shared" si="19"/>
        <v>26408130</v>
      </c>
    </row>
    <row r="560" spans="1:8" ht="15.75" customHeight="1" x14ac:dyDescent="0.25">
      <c r="A560" s="4" t="s">
        <v>880</v>
      </c>
      <c r="B560" s="8">
        <v>555</v>
      </c>
      <c r="C560" s="8" t="s">
        <v>246</v>
      </c>
      <c r="D560" s="8" t="s">
        <v>10</v>
      </c>
      <c r="E560" s="8">
        <v>0.9</v>
      </c>
      <c r="F560" s="8" t="s">
        <v>90</v>
      </c>
      <c r="G560" s="85">
        <f>+'[1]Dự thầu'!$G$1214</f>
        <v>27096238</v>
      </c>
      <c r="H560" s="86">
        <f t="shared" si="19"/>
        <v>24386614</v>
      </c>
    </row>
    <row r="561" spans="1:8" ht="15.75" customHeight="1" x14ac:dyDescent="0.25">
      <c r="A561" s="4" t="s">
        <v>881</v>
      </c>
      <c r="B561" s="8">
        <v>556</v>
      </c>
      <c r="C561" s="8" t="s">
        <v>871</v>
      </c>
      <c r="D561" s="8" t="s">
        <v>10</v>
      </c>
      <c r="E561" s="8">
        <v>44.34</v>
      </c>
      <c r="F561" s="8" t="s">
        <v>13</v>
      </c>
      <c r="G561" s="85">
        <f>+'[1]Dự thầu'!$G$1215</f>
        <v>86606</v>
      </c>
      <c r="H561" s="86">
        <f t="shared" si="19"/>
        <v>3840110</v>
      </c>
    </row>
    <row r="562" spans="1:8" ht="15.75" customHeight="1" x14ac:dyDescent="0.25">
      <c r="A562" s="4" t="s">
        <v>882</v>
      </c>
      <c r="B562" s="8">
        <v>557</v>
      </c>
      <c r="C562" s="8" t="s">
        <v>349</v>
      </c>
      <c r="D562" s="8" t="s">
        <v>10</v>
      </c>
      <c r="E562" s="8">
        <v>34</v>
      </c>
      <c r="F562" s="8" t="s">
        <v>250</v>
      </c>
      <c r="G562" s="85">
        <f>+'[1]Dự thầu'!$G$1216</f>
        <v>79217</v>
      </c>
      <c r="H562" s="86">
        <f t="shared" si="19"/>
        <v>2693378</v>
      </c>
    </row>
    <row r="563" spans="1:8" ht="15.75" customHeight="1" x14ac:dyDescent="0.25">
      <c r="A563" s="4" t="s">
        <v>883</v>
      </c>
      <c r="B563" s="8">
        <v>558</v>
      </c>
      <c r="C563" s="8" t="s">
        <v>351</v>
      </c>
      <c r="D563" s="8" t="s">
        <v>10</v>
      </c>
      <c r="E563" s="8">
        <v>34</v>
      </c>
      <c r="F563" s="8" t="s">
        <v>250</v>
      </c>
      <c r="G563" s="85">
        <f>+'[1]Dự thầu'!$G$1217</f>
        <v>65424</v>
      </c>
      <c r="H563" s="86">
        <f t="shared" si="19"/>
        <v>2224416</v>
      </c>
    </row>
    <row r="564" spans="1:8" ht="15.75" customHeight="1" x14ac:dyDescent="0.25">
      <c r="A564" s="4" t="s">
        <v>884</v>
      </c>
      <c r="B564" s="8">
        <v>559</v>
      </c>
      <c r="C564" s="8" t="s">
        <v>284</v>
      </c>
      <c r="D564" s="8" t="s">
        <v>10</v>
      </c>
      <c r="E564" s="8">
        <v>4.49</v>
      </c>
      <c r="F564" s="8" t="s">
        <v>253</v>
      </c>
      <c r="G564" s="85">
        <f>+'[1]Dự thầu'!$G$1218</f>
        <v>32162</v>
      </c>
      <c r="H564" s="86">
        <f t="shared" si="19"/>
        <v>144407</v>
      </c>
    </row>
    <row r="565" spans="1:8" ht="15.75" customHeight="1" x14ac:dyDescent="0.25">
      <c r="A565" s="4" t="s">
        <v>885</v>
      </c>
      <c r="B565" s="8">
        <v>560</v>
      </c>
      <c r="C565" s="8" t="s">
        <v>355</v>
      </c>
      <c r="D565" s="8" t="s">
        <v>10</v>
      </c>
      <c r="E565" s="8">
        <v>34</v>
      </c>
      <c r="F565" s="8" t="s">
        <v>258</v>
      </c>
      <c r="G565" s="85">
        <f>+'[1]Dự thầu'!$G$1219</f>
        <v>120701</v>
      </c>
      <c r="H565" s="87">
        <f t="shared" si="19"/>
        <v>4103834</v>
      </c>
    </row>
    <row r="566" spans="1:8" ht="15.75" customHeight="1" x14ac:dyDescent="0.25">
      <c r="A566" s="4" t="s">
        <v>886</v>
      </c>
      <c r="B566" s="8">
        <v>561</v>
      </c>
      <c r="C566" s="8" t="s">
        <v>334</v>
      </c>
      <c r="D566" s="8" t="s">
        <v>10</v>
      </c>
      <c r="E566" s="8">
        <v>2.09</v>
      </c>
      <c r="F566" s="8" t="s">
        <v>16</v>
      </c>
      <c r="G566" s="85">
        <f>+'[1]Dự thầu'!$G$1221</f>
        <v>1631803</v>
      </c>
      <c r="H566" s="86">
        <f t="shared" si="19"/>
        <v>3410468</v>
      </c>
    </row>
    <row r="567" spans="1:8" ht="15.75" customHeight="1" x14ac:dyDescent="0.25">
      <c r="A567" s="4" t="s">
        <v>887</v>
      </c>
      <c r="B567" s="8">
        <v>562</v>
      </c>
      <c r="C567" s="8" t="s">
        <v>246</v>
      </c>
      <c r="D567" s="8" t="s">
        <v>10</v>
      </c>
      <c r="E567" s="8">
        <v>0.14000000000000001</v>
      </c>
      <c r="F567" s="8" t="s">
        <v>90</v>
      </c>
      <c r="G567" s="85">
        <f>+'[1]Dự thầu'!$G$1222</f>
        <v>27096238</v>
      </c>
      <c r="H567" s="86">
        <f t="shared" si="19"/>
        <v>3793473</v>
      </c>
    </row>
    <row r="568" spans="1:8" ht="15.75" customHeight="1" x14ac:dyDescent="0.25">
      <c r="A568" s="4" t="s">
        <v>888</v>
      </c>
      <c r="B568" s="8">
        <v>563</v>
      </c>
      <c r="C568" s="8" t="s">
        <v>871</v>
      </c>
      <c r="D568" s="8" t="s">
        <v>10</v>
      </c>
      <c r="E568" s="8">
        <v>6.16</v>
      </c>
      <c r="F568" s="8" t="s">
        <v>13</v>
      </c>
      <c r="G568" s="85">
        <f>+'[1]Dự thầu'!$G$1223</f>
        <v>86606</v>
      </c>
      <c r="H568" s="86">
        <f t="shared" si="19"/>
        <v>533493</v>
      </c>
    </row>
    <row r="569" spans="1:8" ht="15.75" customHeight="1" x14ac:dyDescent="0.25">
      <c r="A569" s="4" t="s">
        <v>889</v>
      </c>
      <c r="B569" s="8">
        <v>564</v>
      </c>
      <c r="C569" s="8" t="s">
        <v>349</v>
      </c>
      <c r="D569" s="8" t="s">
        <v>10</v>
      </c>
      <c r="E569" s="8">
        <v>5</v>
      </c>
      <c r="F569" s="8" t="s">
        <v>250</v>
      </c>
      <c r="G569" s="85">
        <f>+'[1]Dự thầu'!$G$1224</f>
        <v>79217</v>
      </c>
      <c r="H569" s="86">
        <f t="shared" si="19"/>
        <v>396085</v>
      </c>
    </row>
    <row r="570" spans="1:8" ht="15.75" customHeight="1" x14ac:dyDescent="0.25">
      <c r="A570" s="4" t="s">
        <v>890</v>
      </c>
      <c r="B570" s="8">
        <v>565</v>
      </c>
      <c r="C570" s="8" t="s">
        <v>351</v>
      </c>
      <c r="D570" s="8" t="s">
        <v>10</v>
      </c>
      <c r="E570" s="8">
        <v>5</v>
      </c>
      <c r="F570" s="8" t="s">
        <v>250</v>
      </c>
      <c r="G570" s="85">
        <f>+'[1]Dự thầu'!$G$1225</f>
        <v>65424</v>
      </c>
      <c r="H570" s="86">
        <f t="shared" si="19"/>
        <v>327120</v>
      </c>
    </row>
    <row r="571" spans="1:8" ht="15.75" customHeight="1" x14ac:dyDescent="0.25">
      <c r="A571" s="4" t="s">
        <v>891</v>
      </c>
      <c r="B571" s="8">
        <v>566</v>
      </c>
      <c r="C571" s="8" t="s">
        <v>284</v>
      </c>
      <c r="D571" s="8" t="s">
        <v>10</v>
      </c>
      <c r="E571" s="8">
        <v>0.52</v>
      </c>
      <c r="F571" s="8" t="s">
        <v>274</v>
      </c>
      <c r="G571" s="85">
        <f>+'[1]Dự thầu'!$G$1226</f>
        <v>32162</v>
      </c>
      <c r="H571" s="86">
        <f t="shared" si="19"/>
        <v>16724</v>
      </c>
    </row>
    <row r="572" spans="1:8" ht="15.75" customHeight="1" x14ac:dyDescent="0.25">
      <c r="A572" s="4" t="s">
        <v>892</v>
      </c>
      <c r="B572" s="8">
        <v>567</v>
      </c>
      <c r="C572" s="8" t="s">
        <v>355</v>
      </c>
      <c r="D572" s="8" t="s">
        <v>10</v>
      </c>
      <c r="E572" s="8">
        <v>5</v>
      </c>
      <c r="F572" s="8" t="s">
        <v>258</v>
      </c>
      <c r="G572" s="85">
        <f>+'[1]Dự thầu'!$G$1227</f>
        <v>120701</v>
      </c>
      <c r="H572" s="86">
        <f t="shared" si="19"/>
        <v>603505</v>
      </c>
    </row>
    <row r="573" spans="1:8" ht="15.75" customHeight="1" x14ac:dyDescent="0.25">
      <c r="A573" s="4" t="s">
        <v>893</v>
      </c>
      <c r="B573" s="8">
        <v>568</v>
      </c>
      <c r="C573" s="8" t="s">
        <v>334</v>
      </c>
      <c r="D573" s="8" t="s">
        <v>10</v>
      </c>
      <c r="E573" s="8">
        <v>140.49</v>
      </c>
      <c r="F573" s="8" t="s">
        <v>16</v>
      </c>
      <c r="G573" s="85">
        <f>+'[1]Dự thầu'!$G$1229</f>
        <v>1631803</v>
      </c>
      <c r="H573" s="86">
        <f t="shared" si="19"/>
        <v>229252003</v>
      </c>
    </row>
    <row r="574" spans="1:8" ht="15.75" customHeight="1" x14ac:dyDescent="0.25">
      <c r="A574" s="4" t="s">
        <v>894</v>
      </c>
      <c r="B574" s="8">
        <v>569</v>
      </c>
      <c r="C574" s="8" t="s">
        <v>246</v>
      </c>
      <c r="D574" s="8" t="s">
        <v>10</v>
      </c>
      <c r="E574" s="8">
        <v>6.68</v>
      </c>
      <c r="F574" s="8" t="s">
        <v>90</v>
      </c>
      <c r="G574" s="85">
        <f>+'[1]Dự thầu'!$G$1230</f>
        <v>27096238</v>
      </c>
      <c r="H574" s="86">
        <f t="shared" si="19"/>
        <v>181002870</v>
      </c>
    </row>
    <row r="575" spans="1:8" ht="15.75" customHeight="1" x14ac:dyDescent="0.25">
      <c r="A575" s="4" t="s">
        <v>895</v>
      </c>
      <c r="B575" s="8">
        <v>570</v>
      </c>
      <c r="C575" s="8" t="s">
        <v>871</v>
      </c>
      <c r="D575" s="8" t="s">
        <v>10</v>
      </c>
      <c r="E575" s="8">
        <v>321.66000000000003</v>
      </c>
      <c r="F575" s="8" t="s">
        <v>13</v>
      </c>
      <c r="G575" s="85">
        <f>+'[1]Dự thầu'!$G$1231</f>
        <v>86606</v>
      </c>
      <c r="H575" s="86">
        <f t="shared" si="19"/>
        <v>27857686</v>
      </c>
    </row>
    <row r="576" spans="1:8" ht="15.75" customHeight="1" x14ac:dyDescent="0.25">
      <c r="A576" s="4" t="s">
        <v>896</v>
      </c>
      <c r="B576" s="8">
        <v>571</v>
      </c>
      <c r="C576" s="8" t="s">
        <v>351</v>
      </c>
      <c r="D576" s="8" t="s">
        <v>10</v>
      </c>
      <c r="E576" s="8">
        <v>224</v>
      </c>
      <c r="F576" s="8" t="s">
        <v>250</v>
      </c>
      <c r="G576" s="85">
        <f>+'[1]Dự thầu'!$G$1232</f>
        <v>65424</v>
      </c>
      <c r="H576" s="86">
        <f t="shared" si="19"/>
        <v>14654976</v>
      </c>
    </row>
    <row r="577" spans="1:8" ht="15.75" customHeight="1" x14ac:dyDescent="0.25">
      <c r="A577" s="4" t="s">
        <v>897</v>
      </c>
      <c r="B577" s="8">
        <v>572</v>
      </c>
      <c r="C577" s="8" t="s">
        <v>351</v>
      </c>
      <c r="D577" s="8" t="s">
        <v>10</v>
      </c>
      <c r="E577" s="8">
        <v>224</v>
      </c>
      <c r="F577" s="8" t="s">
        <v>250</v>
      </c>
      <c r="G577" s="85">
        <f>+'[1]Dự thầu'!$G$1233</f>
        <v>65424</v>
      </c>
      <c r="H577" s="86">
        <f t="shared" si="19"/>
        <v>14654976</v>
      </c>
    </row>
    <row r="578" spans="1:8" ht="15.75" customHeight="1" x14ac:dyDescent="0.25">
      <c r="A578" s="4" t="s">
        <v>898</v>
      </c>
      <c r="B578" s="8">
        <v>573</v>
      </c>
      <c r="C578" s="8" t="s">
        <v>284</v>
      </c>
      <c r="D578" s="8" t="s">
        <v>10</v>
      </c>
      <c r="E578" s="8">
        <v>35.119999999999997</v>
      </c>
      <c r="F578" s="8" t="s">
        <v>253</v>
      </c>
      <c r="G578" s="85">
        <f>+'[1]Dự thầu'!$G$1234</f>
        <v>32162</v>
      </c>
      <c r="H578" s="86">
        <f t="shared" si="19"/>
        <v>1129529</v>
      </c>
    </row>
    <row r="579" spans="1:8" ht="15.75" customHeight="1" x14ac:dyDescent="0.25">
      <c r="A579" s="4" t="s">
        <v>899</v>
      </c>
      <c r="B579" s="8">
        <v>574</v>
      </c>
      <c r="C579" s="8" t="s">
        <v>355</v>
      </c>
      <c r="D579" s="8" t="s">
        <v>10</v>
      </c>
      <c r="E579" s="8">
        <v>224</v>
      </c>
      <c r="F579" s="8" t="s">
        <v>258</v>
      </c>
      <c r="G579" s="85">
        <f>+'[1]Dự thầu'!$G$1235</f>
        <v>120701</v>
      </c>
      <c r="H579" s="87">
        <f t="shared" si="19"/>
        <v>27037024</v>
      </c>
    </row>
    <row r="580" spans="1:8" ht="15.75" customHeight="1" x14ac:dyDescent="0.25">
      <c r="A580" s="4" t="s">
        <v>900</v>
      </c>
      <c r="B580" s="8">
        <v>575</v>
      </c>
      <c r="C580" s="8" t="s">
        <v>901</v>
      </c>
      <c r="D580" s="8" t="s">
        <v>10</v>
      </c>
      <c r="E580" s="8">
        <v>2.1</v>
      </c>
      <c r="F580" s="8" t="s">
        <v>16</v>
      </c>
      <c r="G580" s="85">
        <f>+'[1]Dự thầu'!$G$1237</f>
        <v>1399730</v>
      </c>
      <c r="H580" s="86">
        <f t="shared" si="19"/>
        <v>2939433</v>
      </c>
    </row>
    <row r="581" spans="1:8" ht="15.75" customHeight="1" x14ac:dyDescent="0.25">
      <c r="A581" s="4" t="s">
        <v>902</v>
      </c>
      <c r="B581" s="8">
        <v>576</v>
      </c>
      <c r="C581" s="8" t="s">
        <v>125</v>
      </c>
      <c r="D581" s="8" t="s">
        <v>10</v>
      </c>
      <c r="E581" s="8">
        <v>9.1</v>
      </c>
      <c r="F581" s="8" t="s">
        <v>13</v>
      </c>
      <c r="G581" s="85">
        <f>+'[1]Dự thầu'!$G$1238</f>
        <v>65242</v>
      </c>
      <c r="H581" s="86">
        <f t="shared" si="19"/>
        <v>593702</v>
      </c>
    </row>
    <row r="582" spans="1:8" ht="15.75" customHeight="1" x14ac:dyDescent="0.25">
      <c r="A582" s="4" t="s">
        <v>903</v>
      </c>
      <c r="B582" s="8">
        <v>577</v>
      </c>
      <c r="C582" s="8" t="s">
        <v>240</v>
      </c>
      <c r="D582" s="8" t="s">
        <v>10</v>
      </c>
      <c r="E582" s="8">
        <v>97.48</v>
      </c>
      <c r="F582" s="8" t="s">
        <v>16</v>
      </c>
      <c r="G582" s="85">
        <f>+'[1]Dự thầu'!$G$1239</f>
        <v>842139</v>
      </c>
      <c r="H582" s="86">
        <f t="shared" si="19"/>
        <v>82091710</v>
      </c>
    </row>
    <row r="583" spans="1:8" ht="15.75" customHeight="1" x14ac:dyDescent="0.25">
      <c r="A583" s="4" t="s">
        <v>904</v>
      </c>
      <c r="B583" s="8">
        <v>578</v>
      </c>
      <c r="C583" s="8" t="s">
        <v>905</v>
      </c>
      <c r="D583" s="8" t="s">
        <v>10</v>
      </c>
      <c r="E583" s="8">
        <v>80.209999999999994</v>
      </c>
      <c r="F583" s="8" t="s">
        <v>16</v>
      </c>
      <c r="G583" s="85">
        <f>+'[1]Dự thầu'!$G$1240</f>
        <v>1631803</v>
      </c>
      <c r="H583" s="86">
        <f t="shared" ref="H583:H614" si="20">+ROUND(G583*E583,0)</f>
        <v>130886919</v>
      </c>
    </row>
    <row r="584" spans="1:8" ht="15.75" customHeight="1" x14ac:dyDescent="0.25">
      <c r="A584" s="4" t="s">
        <v>906</v>
      </c>
      <c r="B584" s="8">
        <v>579</v>
      </c>
      <c r="C584" s="8" t="s">
        <v>871</v>
      </c>
      <c r="D584" s="8" t="s">
        <v>10</v>
      </c>
      <c r="E584" s="8">
        <v>1162</v>
      </c>
      <c r="F584" s="8" t="s">
        <v>13</v>
      </c>
      <c r="G584" s="85">
        <f>+'[1]Dự thầu'!$G$1241</f>
        <v>250782</v>
      </c>
      <c r="H584" s="86">
        <f t="shared" si="20"/>
        <v>291408684</v>
      </c>
    </row>
    <row r="585" spans="1:8" ht="15.75" customHeight="1" x14ac:dyDescent="0.25">
      <c r="A585" s="4" t="s">
        <v>907</v>
      </c>
      <c r="B585" s="8">
        <v>580</v>
      </c>
      <c r="C585" s="8" t="s">
        <v>246</v>
      </c>
      <c r="D585" s="8" t="s">
        <v>10</v>
      </c>
      <c r="E585" s="8">
        <v>10.6</v>
      </c>
      <c r="F585" s="8" t="s">
        <v>90</v>
      </c>
      <c r="G585" s="85">
        <f>+'[1]Dự thầu'!$G$1242</f>
        <v>27096238</v>
      </c>
      <c r="H585" s="86">
        <f t="shared" si="20"/>
        <v>287220123</v>
      </c>
    </row>
    <row r="586" spans="1:8" ht="15.75" customHeight="1" x14ac:dyDescent="0.25">
      <c r="A586" s="4" t="s">
        <v>908</v>
      </c>
      <c r="B586" s="8">
        <v>581</v>
      </c>
      <c r="C586" s="8" t="s">
        <v>246</v>
      </c>
      <c r="D586" s="8" t="s">
        <v>10</v>
      </c>
      <c r="E586" s="8">
        <v>8.3000000000000007</v>
      </c>
      <c r="F586" s="8" t="s">
        <v>90</v>
      </c>
      <c r="G586" s="85">
        <f>+'[1]Dự thầu'!$G$1243</f>
        <v>27096238</v>
      </c>
      <c r="H586" s="86">
        <f t="shared" si="20"/>
        <v>224898775</v>
      </c>
    </row>
    <row r="587" spans="1:8" ht="15.75" customHeight="1" x14ac:dyDescent="0.25">
      <c r="A587" s="4" t="s">
        <v>909</v>
      </c>
      <c r="B587" s="8">
        <v>582</v>
      </c>
      <c r="C587" s="8" t="s">
        <v>910</v>
      </c>
      <c r="D587" s="8" t="s">
        <v>10</v>
      </c>
      <c r="E587" s="8">
        <v>243</v>
      </c>
      <c r="F587" s="8" t="s">
        <v>250</v>
      </c>
      <c r="G587" s="85">
        <f>+'[1]Dự thầu'!$G$1244</f>
        <v>69167</v>
      </c>
      <c r="H587" s="86">
        <f t="shared" si="20"/>
        <v>16807581</v>
      </c>
    </row>
    <row r="588" spans="1:8" ht="15.75" customHeight="1" x14ac:dyDescent="0.25">
      <c r="A588" s="4" t="s">
        <v>911</v>
      </c>
      <c r="B588" s="8">
        <v>583</v>
      </c>
      <c r="C588" s="8" t="s">
        <v>876</v>
      </c>
      <c r="D588" s="8" t="s">
        <v>10</v>
      </c>
      <c r="E588" s="8">
        <v>243</v>
      </c>
      <c r="F588" s="8" t="s">
        <v>250</v>
      </c>
      <c r="G588" s="85">
        <f>+'[1]Dự thầu'!$G$1245</f>
        <v>52812</v>
      </c>
      <c r="H588" s="86">
        <f t="shared" si="20"/>
        <v>12833316</v>
      </c>
    </row>
    <row r="589" spans="1:8" ht="15.75" customHeight="1" x14ac:dyDescent="0.25">
      <c r="A589" s="4" t="s">
        <v>912</v>
      </c>
      <c r="B589" s="8">
        <v>584</v>
      </c>
      <c r="C589" s="8" t="s">
        <v>284</v>
      </c>
      <c r="D589" s="8" t="s">
        <v>10</v>
      </c>
      <c r="E589" s="8">
        <v>20.05</v>
      </c>
      <c r="F589" s="8" t="s">
        <v>253</v>
      </c>
      <c r="G589" s="85">
        <f>+'[1]Dự thầu'!$G$1246</f>
        <v>32162</v>
      </c>
      <c r="H589" s="86">
        <f t="shared" si="20"/>
        <v>644848</v>
      </c>
    </row>
    <row r="590" spans="1:8" ht="15.75" customHeight="1" x14ac:dyDescent="0.25">
      <c r="A590" s="4" t="s">
        <v>913</v>
      </c>
      <c r="B590" s="8">
        <v>585</v>
      </c>
      <c r="C590" s="8" t="s">
        <v>257</v>
      </c>
      <c r="D590" s="8" t="s">
        <v>10</v>
      </c>
      <c r="E590" s="8">
        <v>243</v>
      </c>
      <c r="F590" s="8" t="s">
        <v>258</v>
      </c>
      <c r="G590" s="85">
        <f>+'[1]Dự thầu'!$G$1247</f>
        <v>142868</v>
      </c>
      <c r="H590" s="86">
        <f t="shared" si="20"/>
        <v>34716924</v>
      </c>
    </row>
    <row r="591" spans="1:8" ht="15.75" customHeight="1" x14ac:dyDescent="0.25">
      <c r="A591" s="4" t="s">
        <v>914</v>
      </c>
      <c r="B591" s="8">
        <v>586</v>
      </c>
      <c r="C591" s="8" t="s">
        <v>240</v>
      </c>
      <c r="D591" s="8" t="s">
        <v>10</v>
      </c>
      <c r="E591" s="8">
        <v>7.9</v>
      </c>
      <c r="F591" s="8" t="s">
        <v>16</v>
      </c>
      <c r="G591" s="85">
        <f>+'[1]Dự thầu'!$G$1248</f>
        <v>842139</v>
      </c>
      <c r="H591" s="86">
        <f t="shared" si="20"/>
        <v>6652898</v>
      </c>
    </row>
    <row r="592" spans="1:8" ht="15.75" customHeight="1" x14ac:dyDescent="0.25">
      <c r="A592" s="4" t="s">
        <v>915</v>
      </c>
      <c r="B592" s="8">
        <v>587</v>
      </c>
      <c r="C592" s="8" t="s">
        <v>364</v>
      </c>
      <c r="D592" s="8" t="s">
        <v>10</v>
      </c>
      <c r="E592" s="8">
        <v>77.3</v>
      </c>
      <c r="F592" s="8" t="s">
        <v>13</v>
      </c>
      <c r="G592" s="85">
        <f>+'[1]Dự thầu'!$G$1249</f>
        <v>96659</v>
      </c>
      <c r="H592" s="86">
        <f t="shared" si="20"/>
        <v>7471741</v>
      </c>
    </row>
    <row r="593" spans="1:8" ht="15.75" customHeight="1" x14ac:dyDescent="0.25">
      <c r="A593" s="4" t="s">
        <v>916</v>
      </c>
      <c r="B593" s="8">
        <v>588</v>
      </c>
      <c r="C593" s="8" t="s">
        <v>917</v>
      </c>
      <c r="D593" s="8" t="s">
        <v>10</v>
      </c>
      <c r="E593" s="8">
        <v>6.1</v>
      </c>
      <c r="F593" s="8" t="s">
        <v>16</v>
      </c>
      <c r="G593" s="85">
        <f>+'[1]Dự thầu'!$G$1250</f>
        <v>610299</v>
      </c>
      <c r="H593" s="86">
        <f t="shared" si="20"/>
        <v>3722824</v>
      </c>
    </row>
    <row r="594" spans="1:8" ht="15.75" customHeight="1" x14ac:dyDescent="0.25">
      <c r="A594" s="4" t="s">
        <v>918</v>
      </c>
      <c r="B594" s="8">
        <v>589</v>
      </c>
      <c r="C594" s="8" t="s">
        <v>919</v>
      </c>
      <c r="D594" s="8" t="s">
        <v>10</v>
      </c>
      <c r="E594" s="8">
        <v>1383.98</v>
      </c>
      <c r="F594" s="8" t="s">
        <v>13</v>
      </c>
      <c r="G594" s="85">
        <f>+'[1]Dự thầu'!$G$1251</f>
        <v>236061</v>
      </c>
      <c r="H594" s="86">
        <f t="shared" si="20"/>
        <v>326703703</v>
      </c>
    </row>
    <row r="595" spans="1:8" ht="15.75" customHeight="1" x14ac:dyDescent="0.25">
      <c r="A595" s="4" t="s">
        <v>920</v>
      </c>
      <c r="B595" s="8">
        <v>590</v>
      </c>
      <c r="C595" s="8" t="s">
        <v>366</v>
      </c>
      <c r="D595" s="8" t="s">
        <v>10</v>
      </c>
      <c r="E595" s="8">
        <v>5082.66</v>
      </c>
      <c r="F595" s="8" t="s">
        <v>13</v>
      </c>
      <c r="G595" s="85">
        <f>+'[1]Dự thầu'!$G$1252</f>
        <v>72328</v>
      </c>
      <c r="H595" s="86">
        <f t="shared" si="20"/>
        <v>367618632</v>
      </c>
    </row>
    <row r="596" spans="1:8" ht="15.75" customHeight="1" x14ac:dyDescent="0.25">
      <c r="A596" s="4" t="s">
        <v>921</v>
      </c>
      <c r="B596" s="8">
        <v>591</v>
      </c>
      <c r="C596" s="8" t="s">
        <v>368</v>
      </c>
      <c r="D596" s="8" t="s">
        <v>10</v>
      </c>
      <c r="E596" s="8">
        <v>44.66</v>
      </c>
      <c r="F596" s="8" t="s">
        <v>16</v>
      </c>
      <c r="G596" s="85">
        <f>+'[1]Dự thầu'!$G$1253</f>
        <v>1881449</v>
      </c>
      <c r="H596" s="86">
        <f t="shared" si="20"/>
        <v>84025512</v>
      </c>
    </row>
    <row r="597" spans="1:8" ht="15.75" customHeight="1" x14ac:dyDescent="0.25">
      <c r="A597" s="4" t="s">
        <v>922</v>
      </c>
      <c r="B597" s="8">
        <v>592</v>
      </c>
      <c r="C597" s="8" t="s">
        <v>125</v>
      </c>
      <c r="D597" s="8" t="s">
        <v>10</v>
      </c>
      <c r="E597" s="8">
        <v>214</v>
      </c>
      <c r="F597" s="8" t="s">
        <v>13</v>
      </c>
      <c r="G597" s="85">
        <f>+'[1]Dự thầu'!$G$1254</f>
        <v>104798</v>
      </c>
      <c r="H597" s="86">
        <f t="shared" si="20"/>
        <v>22426772</v>
      </c>
    </row>
    <row r="598" spans="1:8" ht="15.75" customHeight="1" x14ac:dyDescent="0.25">
      <c r="A598" s="4" t="s">
        <v>923</v>
      </c>
      <c r="B598" s="8">
        <v>593</v>
      </c>
      <c r="C598" s="8" t="s">
        <v>368</v>
      </c>
      <c r="D598" s="8" t="s">
        <v>10</v>
      </c>
      <c r="E598" s="8">
        <v>42</v>
      </c>
      <c r="F598" s="8" t="s">
        <v>16</v>
      </c>
      <c r="G598" s="85">
        <f>+'[1]Dự thầu'!$G$1255</f>
        <v>1881449</v>
      </c>
      <c r="H598" s="86">
        <f t="shared" si="20"/>
        <v>79020858</v>
      </c>
    </row>
    <row r="599" spans="1:8" ht="15.75" customHeight="1" x14ac:dyDescent="0.25">
      <c r="A599" s="4" t="s">
        <v>924</v>
      </c>
      <c r="B599" s="8">
        <v>594</v>
      </c>
      <c r="C599" s="8" t="s">
        <v>125</v>
      </c>
      <c r="D599" s="8" t="s">
        <v>10</v>
      </c>
      <c r="E599" s="8">
        <v>151.46</v>
      </c>
      <c r="F599" s="8" t="s">
        <v>13</v>
      </c>
      <c r="G599" s="85">
        <f>+'[1]Dự thầu'!$G$1256</f>
        <v>65242</v>
      </c>
      <c r="H599" s="86">
        <f t="shared" si="20"/>
        <v>9881553</v>
      </c>
    </row>
    <row r="600" spans="1:8" ht="15.75" customHeight="1" x14ac:dyDescent="0.25">
      <c r="A600" s="4" t="s">
        <v>925</v>
      </c>
      <c r="B600" s="8">
        <v>595</v>
      </c>
      <c r="C600" s="8" t="s">
        <v>926</v>
      </c>
      <c r="D600" s="8" t="s">
        <v>10</v>
      </c>
      <c r="E600" s="8">
        <v>133</v>
      </c>
      <c r="F600" s="8" t="s">
        <v>16</v>
      </c>
      <c r="G600" s="85">
        <f>+'[1]Dự thầu'!$G$1257</f>
        <v>1399730</v>
      </c>
      <c r="H600" s="86">
        <f t="shared" si="20"/>
        <v>186164090</v>
      </c>
    </row>
    <row r="601" spans="1:8" ht="15.75" customHeight="1" x14ac:dyDescent="0.25">
      <c r="A601" s="4" t="s">
        <v>927</v>
      </c>
      <c r="B601" s="8">
        <v>596</v>
      </c>
      <c r="C601" s="8" t="s">
        <v>240</v>
      </c>
      <c r="D601" s="8" t="s">
        <v>10</v>
      </c>
      <c r="E601" s="8">
        <v>10</v>
      </c>
      <c r="F601" s="8" t="s">
        <v>16</v>
      </c>
      <c r="G601" s="85">
        <f>+'[1]Dự thầu'!$G$1258</f>
        <v>842139</v>
      </c>
      <c r="H601" s="86">
        <f t="shared" si="20"/>
        <v>8421390</v>
      </c>
    </row>
    <row r="602" spans="1:8" ht="15.75" customHeight="1" x14ac:dyDescent="0.25">
      <c r="A602" s="4" t="s">
        <v>928</v>
      </c>
      <c r="B602" s="8">
        <v>597</v>
      </c>
      <c r="C602" s="8" t="s">
        <v>125</v>
      </c>
      <c r="D602" s="8" t="s">
        <v>10</v>
      </c>
      <c r="E602" s="8">
        <v>297.38</v>
      </c>
      <c r="F602" s="8" t="s">
        <v>13</v>
      </c>
      <c r="G602" s="85">
        <f>+'[1]Dự thầu'!$G$1259</f>
        <v>104798</v>
      </c>
      <c r="H602" s="86">
        <f t="shared" si="20"/>
        <v>31164829</v>
      </c>
    </row>
    <row r="603" spans="1:8" ht="15.75" customHeight="1" x14ac:dyDescent="0.25">
      <c r="A603" s="4" t="s">
        <v>929</v>
      </c>
      <c r="B603" s="8">
        <v>598</v>
      </c>
      <c r="C603" s="8" t="s">
        <v>926</v>
      </c>
      <c r="D603" s="8" t="s">
        <v>10</v>
      </c>
      <c r="E603" s="8">
        <v>81.77</v>
      </c>
      <c r="F603" s="8" t="s">
        <v>16</v>
      </c>
      <c r="G603" s="85">
        <f>+'[1]Dự thầu'!$G$1260</f>
        <v>1399730</v>
      </c>
      <c r="H603" s="86">
        <f t="shared" si="20"/>
        <v>114455922</v>
      </c>
    </row>
    <row r="604" spans="1:8" ht="15.75" customHeight="1" x14ac:dyDescent="0.25">
      <c r="A604" s="4" t="s">
        <v>930</v>
      </c>
      <c r="B604" s="8">
        <v>599</v>
      </c>
      <c r="C604" s="8" t="s">
        <v>240</v>
      </c>
      <c r="D604" s="8" t="s">
        <v>10</v>
      </c>
      <c r="E604" s="8">
        <v>12.78</v>
      </c>
      <c r="F604" s="8" t="s">
        <v>16</v>
      </c>
      <c r="G604" s="85">
        <f>+'[1]Dự thầu'!$G$1261</f>
        <v>842139</v>
      </c>
      <c r="H604" s="86">
        <f t="shared" si="20"/>
        <v>10762536</v>
      </c>
    </row>
    <row r="605" spans="1:8" ht="15.75" customHeight="1" x14ac:dyDescent="0.25">
      <c r="A605" s="4" t="s">
        <v>931</v>
      </c>
      <c r="B605" s="8">
        <v>600</v>
      </c>
      <c r="C605" s="8" t="s">
        <v>125</v>
      </c>
      <c r="D605" s="8" t="s">
        <v>10</v>
      </c>
      <c r="E605" s="8">
        <v>238.26</v>
      </c>
      <c r="F605" s="8" t="s">
        <v>13</v>
      </c>
      <c r="G605" s="85">
        <f>+'[1]Dự thầu'!$G$1262</f>
        <v>104798</v>
      </c>
      <c r="H605" s="86">
        <f t="shared" si="20"/>
        <v>24969171</v>
      </c>
    </row>
    <row r="606" spans="1:8" ht="15.75" customHeight="1" x14ac:dyDescent="0.25">
      <c r="A606" s="4" t="s">
        <v>932</v>
      </c>
      <c r="B606" s="8">
        <v>601</v>
      </c>
      <c r="C606" s="8" t="s">
        <v>933</v>
      </c>
      <c r="D606" s="8" t="s">
        <v>10</v>
      </c>
      <c r="E606" s="8">
        <v>55</v>
      </c>
      <c r="F606" s="8" t="s">
        <v>16</v>
      </c>
      <c r="G606" s="85">
        <f>+'[1]Dự thầu'!$G$1263</f>
        <v>1332575</v>
      </c>
      <c r="H606" s="86">
        <f t="shared" si="20"/>
        <v>73291625</v>
      </c>
    </row>
    <row r="607" spans="1:8" ht="15.75" customHeight="1" x14ac:dyDescent="0.25">
      <c r="A607" s="4" t="s">
        <v>934</v>
      </c>
      <c r="B607" s="8">
        <v>602</v>
      </c>
      <c r="C607" s="8" t="s">
        <v>240</v>
      </c>
      <c r="D607" s="8" t="s">
        <v>10</v>
      </c>
      <c r="E607" s="8">
        <v>22</v>
      </c>
      <c r="F607" s="8" t="s">
        <v>16</v>
      </c>
      <c r="G607" s="85">
        <f>+'[1]Dự thầu'!$G$1264</f>
        <v>842139</v>
      </c>
      <c r="H607" s="86">
        <f t="shared" si="20"/>
        <v>18527058</v>
      </c>
    </row>
    <row r="608" spans="1:8" ht="15.75" customHeight="1" x14ac:dyDescent="0.25">
      <c r="A608" s="4" t="s">
        <v>935</v>
      </c>
      <c r="B608" s="8">
        <v>603</v>
      </c>
      <c r="C608" s="8" t="s">
        <v>933</v>
      </c>
      <c r="D608" s="8" t="s">
        <v>10</v>
      </c>
      <c r="E608" s="8">
        <v>74</v>
      </c>
      <c r="F608" s="8" t="s">
        <v>16</v>
      </c>
      <c r="G608" s="85">
        <f>+'[1]Dự thầu'!$G$1265</f>
        <v>1299241</v>
      </c>
      <c r="H608" s="86">
        <f t="shared" si="20"/>
        <v>96143834</v>
      </c>
    </row>
    <row r="609" spans="1:8" ht="15.75" customHeight="1" x14ac:dyDescent="0.25">
      <c r="A609" s="4" t="s">
        <v>936</v>
      </c>
      <c r="B609" s="8">
        <v>604</v>
      </c>
      <c r="C609" s="8" t="s">
        <v>937</v>
      </c>
      <c r="D609" s="8" t="s">
        <v>10</v>
      </c>
      <c r="E609" s="8">
        <v>43</v>
      </c>
      <c r="F609" s="8" t="s">
        <v>16</v>
      </c>
      <c r="G609" s="85">
        <f>+'[1]Dự thầu'!$G$1266</f>
        <v>667791</v>
      </c>
      <c r="H609" s="86">
        <f t="shared" si="20"/>
        <v>28715013</v>
      </c>
    </row>
    <row r="610" spans="1:8" ht="15.75" customHeight="1" x14ac:dyDescent="0.25">
      <c r="A610" s="4" t="s">
        <v>938</v>
      </c>
      <c r="B610" s="8">
        <v>605</v>
      </c>
      <c r="C610" s="8" t="s">
        <v>240</v>
      </c>
      <c r="D610" s="8" t="s">
        <v>10</v>
      </c>
      <c r="E610" s="8">
        <v>21</v>
      </c>
      <c r="F610" s="8" t="s">
        <v>16</v>
      </c>
      <c r="G610" s="85">
        <f>+'[1]Dự thầu'!$G$1267</f>
        <v>842139</v>
      </c>
      <c r="H610" s="86">
        <f t="shared" si="20"/>
        <v>17684919</v>
      </c>
    </row>
    <row r="611" spans="1:8" ht="15.75" customHeight="1" x14ac:dyDescent="0.25">
      <c r="A611" s="4" t="s">
        <v>939</v>
      </c>
      <c r="B611" s="8">
        <v>606</v>
      </c>
      <c r="C611" s="8" t="s">
        <v>940</v>
      </c>
      <c r="D611" s="8" t="s">
        <v>10</v>
      </c>
      <c r="E611" s="8">
        <v>3.76</v>
      </c>
      <c r="F611" s="8" t="s">
        <v>16</v>
      </c>
      <c r="G611" s="85">
        <f>+'[1]Dự thầu'!$G$1268</f>
        <v>1881449</v>
      </c>
      <c r="H611" s="86">
        <f t="shared" si="20"/>
        <v>7074248</v>
      </c>
    </row>
    <row r="612" spans="1:8" ht="15.75" customHeight="1" x14ac:dyDescent="0.25">
      <c r="A612" s="4" t="s">
        <v>941</v>
      </c>
      <c r="B612" s="8">
        <v>607</v>
      </c>
      <c r="C612" s="8" t="s">
        <v>125</v>
      </c>
      <c r="D612" s="8" t="s">
        <v>10</v>
      </c>
      <c r="E612" s="8">
        <v>11.83</v>
      </c>
      <c r="F612" s="8" t="s">
        <v>13</v>
      </c>
      <c r="G612" s="85">
        <f>+'[1]Dự thầu'!$G$1269</f>
        <v>104798</v>
      </c>
      <c r="H612" s="86">
        <f t="shared" si="20"/>
        <v>1239760</v>
      </c>
    </row>
    <row r="613" spans="1:8" ht="15.75" customHeight="1" x14ac:dyDescent="0.25">
      <c r="A613" s="4" t="s">
        <v>942</v>
      </c>
      <c r="B613" s="8">
        <v>608</v>
      </c>
      <c r="C613" s="8" t="s">
        <v>368</v>
      </c>
      <c r="D613" s="8" t="s">
        <v>10</v>
      </c>
      <c r="E613" s="8">
        <v>3.69</v>
      </c>
      <c r="F613" s="8" t="s">
        <v>16</v>
      </c>
      <c r="G613" s="85">
        <f>+'[1]Dự thầu'!$G$1270</f>
        <v>1881449</v>
      </c>
      <c r="H613" s="86">
        <f t="shared" si="20"/>
        <v>6942547</v>
      </c>
    </row>
    <row r="614" spans="1:8" ht="15.75" customHeight="1" x14ac:dyDescent="0.25">
      <c r="A614" s="4" t="s">
        <v>943</v>
      </c>
      <c r="B614" s="8">
        <v>609</v>
      </c>
      <c r="C614" s="8" t="s">
        <v>125</v>
      </c>
      <c r="D614" s="8" t="s">
        <v>10</v>
      </c>
      <c r="E614" s="8">
        <v>5.86</v>
      </c>
      <c r="F614" s="8" t="s">
        <v>13</v>
      </c>
      <c r="G614" s="85">
        <f>+'[1]Dự thầu'!$G$1271</f>
        <v>65242</v>
      </c>
      <c r="H614" s="86">
        <f t="shared" si="20"/>
        <v>382318</v>
      </c>
    </row>
    <row r="615" spans="1:8" ht="15.75" customHeight="1" x14ac:dyDescent="0.25">
      <c r="A615" s="4" t="s">
        <v>944</v>
      </c>
      <c r="B615" s="8">
        <v>610</v>
      </c>
      <c r="C615" s="8" t="s">
        <v>240</v>
      </c>
      <c r="D615" s="8" t="s">
        <v>10</v>
      </c>
      <c r="E615" s="8">
        <v>1.78</v>
      </c>
      <c r="F615" s="8" t="s">
        <v>16</v>
      </c>
      <c r="G615" s="85">
        <f>+'[1]Dự thầu'!$G$1272</f>
        <v>842139</v>
      </c>
      <c r="H615" s="86">
        <f t="shared" ref="H615:H646" si="21">+ROUND(G615*E615,0)</f>
        <v>1499007</v>
      </c>
    </row>
    <row r="616" spans="1:8" ht="15.75" customHeight="1" x14ac:dyDescent="0.25">
      <c r="A616" s="4" t="s">
        <v>945</v>
      </c>
      <c r="B616" s="8">
        <v>611</v>
      </c>
      <c r="C616" s="8" t="s">
        <v>122</v>
      </c>
      <c r="D616" s="8" t="s">
        <v>10</v>
      </c>
      <c r="E616" s="8">
        <v>9.41</v>
      </c>
      <c r="F616" s="8" t="s">
        <v>16</v>
      </c>
      <c r="G616" s="85">
        <f>+'[1]Dự thầu'!$G$1273</f>
        <v>1866757</v>
      </c>
      <c r="H616" s="86">
        <f t="shared" si="21"/>
        <v>17566183</v>
      </c>
    </row>
    <row r="617" spans="1:8" ht="15.75" customHeight="1" x14ac:dyDescent="0.25">
      <c r="A617" s="4" t="s">
        <v>946</v>
      </c>
      <c r="B617" s="8">
        <v>612</v>
      </c>
      <c r="C617" s="8" t="s">
        <v>947</v>
      </c>
      <c r="D617" s="8" t="s">
        <v>10</v>
      </c>
      <c r="E617" s="8">
        <v>54.1</v>
      </c>
      <c r="F617" s="8" t="s">
        <v>13</v>
      </c>
      <c r="G617" s="85">
        <f>+'[1]Dự thầu'!$G$1274</f>
        <v>79477</v>
      </c>
      <c r="H617" s="86">
        <f t="shared" si="21"/>
        <v>4299706</v>
      </c>
    </row>
    <row r="618" spans="1:8" ht="15.75" customHeight="1" x14ac:dyDescent="0.25">
      <c r="A618" s="4" t="s">
        <v>948</v>
      </c>
      <c r="B618" s="8">
        <v>613</v>
      </c>
      <c r="C618" s="8" t="s">
        <v>242</v>
      </c>
      <c r="D618" s="8" t="s">
        <v>10</v>
      </c>
      <c r="E618" s="8">
        <v>0.98</v>
      </c>
      <c r="F618" s="8" t="s">
        <v>16</v>
      </c>
      <c r="G618" s="85">
        <f>+'[1]Dự thầu'!$G$1275</f>
        <v>1551168</v>
      </c>
      <c r="H618" s="86">
        <f t="shared" si="21"/>
        <v>1520145</v>
      </c>
    </row>
    <row r="619" spans="1:8" ht="15.75" customHeight="1" x14ac:dyDescent="0.25">
      <c r="A619" s="4" t="s">
        <v>949</v>
      </c>
      <c r="B619" s="8">
        <v>614</v>
      </c>
      <c r="C619" s="8" t="s">
        <v>871</v>
      </c>
      <c r="D619" s="8" t="s">
        <v>10</v>
      </c>
      <c r="E619" s="8">
        <v>3.16</v>
      </c>
      <c r="F619" s="8" t="s">
        <v>13</v>
      </c>
      <c r="G619" s="85">
        <f>+'[1]Dự thầu'!$G$1276</f>
        <v>86606</v>
      </c>
      <c r="H619" s="86">
        <f t="shared" si="21"/>
        <v>273675</v>
      </c>
    </row>
    <row r="620" spans="1:8" ht="15.75" customHeight="1" x14ac:dyDescent="0.25">
      <c r="A620" s="4" t="s">
        <v>950</v>
      </c>
      <c r="B620" s="8">
        <v>615</v>
      </c>
      <c r="C620" s="8" t="s">
        <v>246</v>
      </c>
      <c r="D620" s="8" t="s">
        <v>10</v>
      </c>
      <c r="E620" s="8">
        <v>0.01</v>
      </c>
      <c r="F620" s="8" t="s">
        <v>90</v>
      </c>
      <c r="G620" s="85">
        <f>+'[1]Dự thầu'!$G$1277</f>
        <v>27096238</v>
      </c>
      <c r="H620" s="86">
        <f t="shared" si="21"/>
        <v>270962</v>
      </c>
    </row>
    <row r="621" spans="1:8" ht="15.75" customHeight="1" x14ac:dyDescent="0.25">
      <c r="A621" s="4" t="s">
        <v>951</v>
      </c>
      <c r="B621" s="8">
        <v>616</v>
      </c>
      <c r="C621" s="8" t="s">
        <v>246</v>
      </c>
      <c r="D621" s="8" t="s">
        <v>10</v>
      </c>
      <c r="E621" s="8">
        <v>0.11</v>
      </c>
      <c r="F621" s="8" t="s">
        <v>90</v>
      </c>
      <c r="G621" s="85">
        <f>+'[1]Dự thầu'!$G$1278</f>
        <v>27096238</v>
      </c>
      <c r="H621" s="86">
        <f t="shared" si="21"/>
        <v>2980586</v>
      </c>
    </row>
    <row r="622" spans="1:8" ht="15.75" customHeight="1" x14ac:dyDescent="0.25">
      <c r="A622" s="4" t="s">
        <v>952</v>
      </c>
      <c r="B622" s="8">
        <v>617</v>
      </c>
      <c r="C622" s="8" t="s">
        <v>272</v>
      </c>
      <c r="D622" s="8" t="s">
        <v>10</v>
      </c>
      <c r="E622" s="8">
        <v>2.4500000000000002</v>
      </c>
      <c r="F622" s="8" t="s">
        <v>90</v>
      </c>
      <c r="G622" s="85">
        <f>+'[1]Dự thầu'!$G$1279</f>
        <v>51234</v>
      </c>
      <c r="H622" s="86">
        <f t="shared" si="21"/>
        <v>125523</v>
      </c>
    </row>
    <row r="623" spans="1:8" ht="15.75" customHeight="1" x14ac:dyDescent="0.25">
      <c r="A623" s="4" t="s">
        <v>953</v>
      </c>
      <c r="B623" s="8">
        <v>618</v>
      </c>
      <c r="C623" s="8" t="s">
        <v>284</v>
      </c>
      <c r="D623" s="8" t="s">
        <v>10</v>
      </c>
      <c r="E623" s="8">
        <v>0.24</v>
      </c>
      <c r="F623" s="8" t="s">
        <v>274</v>
      </c>
      <c r="G623" s="85">
        <f>+'[1]Dự thầu'!$G$1280</f>
        <v>32162</v>
      </c>
      <c r="H623" s="86">
        <f t="shared" si="21"/>
        <v>7719</v>
      </c>
    </row>
    <row r="624" spans="1:8" ht="15.75" customHeight="1" x14ac:dyDescent="0.25">
      <c r="A624" s="4" t="s">
        <v>954</v>
      </c>
      <c r="B624" s="8">
        <v>619</v>
      </c>
      <c r="C624" s="8" t="s">
        <v>257</v>
      </c>
      <c r="D624" s="8" t="s">
        <v>10</v>
      </c>
      <c r="E624" s="8">
        <v>6</v>
      </c>
      <c r="F624" s="8" t="s">
        <v>258</v>
      </c>
      <c r="G624" s="85">
        <f>+'[1]Dự thầu'!$G$1281</f>
        <v>142868</v>
      </c>
      <c r="H624" s="86">
        <f t="shared" si="21"/>
        <v>857208</v>
      </c>
    </row>
    <row r="625" spans="1:8" ht="15.75" customHeight="1" x14ac:dyDescent="0.25">
      <c r="A625" s="4" t="s">
        <v>955</v>
      </c>
      <c r="B625" s="8">
        <v>620</v>
      </c>
      <c r="C625" s="8" t="s">
        <v>242</v>
      </c>
      <c r="D625" s="8" t="s">
        <v>10</v>
      </c>
      <c r="E625" s="8">
        <v>0.28000000000000003</v>
      </c>
      <c r="F625" s="8" t="s">
        <v>16</v>
      </c>
      <c r="G625" s="85">
        <f>+'[1]Dự thầu'!$G$1283</f>
        <v>1631803</v>
      </c>
      <c r="H625" s="86">
        <f t="shared" si="21"/>
        <v>456905</v>
      </c>
    </row>
    <row r="626" spans="1:8" ht="15.75" customHeight="1" x14ac:dyDescent="0.25">
      <c r="A626" s="4" t="s">
        <v>956</v>
      </c>
      <c r="B626" s="8">
        <v>621</v>
      </c>
      <c r="C626" s="8" t="s">
        <v>871</v>
      </c>
      <c r="D626" s="8" t="s">
        <v>10</v>
      </c>
      <c r="E626" s="8">
        <v>5.61</v>
      </c>
      <c r="F626" s="8" t="s">
        <v>13</v>
      </c>
      <c r="G626" s="85">
        <f>+'[1]Dự thầu'!$G$1284</f>
        <v>86606</v>
      </c>
      <c r="H626" s="86">
        <f t="shared" si="21"/>
        <v>485860</v>
      </c>
    </row>
    <row r="627" spans="1:8" ht="15.75" customHeight="1" x14ac:dyDescent="0.25">
      <c r="A627" s="4" t="s">
        <v>957</v>
      </c>
      <c r="B627" s="8">
        <v>622</v>
      </c>
      <c r="C627" s="8" t="s">
        <v>246</v>
      </c>
      <c r="D627" s="8" t="s">
        <v>10</v>
      </c>
      <c r="E627" s="8">
        <v>0.01</v>
      </c>
      <c r="F627" s="8" t="s">
        <v>90</v>
      </c>
      <c r="G627" s="85">
        <f>+'[1]Dự thầu'!$G$1285</f>
        <v>27096238</v>
      </c>
      <c r="H627" s="86">
        <f t="shared" si="21"/>
        <v>270962</v>
      </c>
    </row>
    <row r="628" spans="1:8" ht="15.75" customHeight="1" x14ac:dyDescent="0.25">
      <c r="A628" s="4" t="s">
        <v>958</v>
      </c>
      <c r="B628" s="8">
        <v>623</v>
      </c>
      <c r="C628" s="8" t="s">
        <v>246</v>
      </c>
      <c r="D628" s="8" t="s">
        <v>10</v>
      </c>
      <c r="E628" s="8">
        <v>0.02</v>
      </c>
      <c r="F628" s="8" t="s">
        <v>90</v>
      </c>
      <c r="G628" s="85">
        <f>+'[1]Dự thầu'!$G$1286</f>
        <v>27096238</v>
      </c>
      <c r="H628" s="86">
        <f t="shared" si="21"/>
        <v>541925</v>
      </c>
    </row>
    <row r="629" spans="1:8" ht="15.75" customHeight="1" x14ac:dyDescent="0.25">
      <c r="A629" s="4" t="s">
        <v>959</v>
      </c>
      <c r="B629" s="8">
        <v>624</v>
      </c>
      <c r="C629" s="8" t="s">
        <v>249</v>
      </c>
      <c r="D629" s="8" t="s">
        <v>10</v>
      </c>
      <c r="E629" s="8">
        <v>3</v>
      </c>
      <c r="F629" s="8" t="s">
        <v>250</v>
      </c>
      <c r="G629" s="85">
        <f>+'[1]Dự thầu'!$G$1287</f>
        <v>52812</v>
      </c>
      <c r="H629" s="86">
        <f t="shared" si="21"/>
        <v>158436</v>
      </c>
    </row>
    <row r="630" spans="1:8" ht="15.75" customHeight="1" x14ac:dyDescent="0.25">
      <c r="A630" s="4" t="s">
        <v>960</v>
      </c>
      <c r="B630" s="8">
        <v>625</v>
      </c>
      <c r="C630" s="8" t="s">
        <v>255</v>
      </c>
      <c r="D630" s="8" t="s">
        <v>10</v>
      </c>
      <c r="E630" s="8">
        <v>3</v>
      </c>
      <c r="F630" s="8" t="s">
        <v>250</v>
      </c>
      <c r="G630" s="85">
        <f>+'[1]Dự thầu'!$G$1288</f>
        <v>42761</v>
      </c>
      <c r="H630" s="86">
        <f t="shared" si="21"/>
        <v>128283</v>
      </c>
    </row>
    <row r="631" spans="1:8" ht="15.75" customHeight="1" x14ac:dyDescent="0.25">
      <c r="A631" s="4" t="s">
        <v>961</v>
      </c>
      <c r="B631" s="8">
        <v>626</v>
      </c>
      <c r="C631" s="8" t="s">
        <v>284</v>
      </c>
      <c r="D631" s="8" t="s">
        <v>10</v>
      </c>
      <c r="E631" s="8">
        <v>7.0000000000000007E-2</v>
      </c>
      <c r="F631" s="8" t="s">
        <v>274</v>
      </c>
      <c r="G631" s="85">
        <f>+'[1]Dự thầu'!$G$1289</f>
        <v>32162</v>
      </c>
      <c r="H631" s="86">
        <f t="shared" si="21"/>
        <v>2251</v>
      </c>
    </row>
    <row r="632" spans="1:8" ht="15.75" customHeight="1" x14ac:dyDescent="0.25">
      <c r="A632" s="4" t="s">
        <v>962</v>
      </c>
      <c r="B632" s="8">
        <v>627</v>
      </c>
      <c r="C632" s="8" t="s">
        <v>257</v>
      </c>
      <c r="D632" s="8" t="s">
        <v>10</v>
      </c>
      <c r="E632" s="8">
        <v>3</v>
      </c>
      <c r="F632" s="8" t="s">
        <v>258</v>
      </c>
      <c r="G632" s="85">
        <f>+'[1]Dự thầu'!$G$1290</f>
        <v>294187</v>
      </c>
      <c r="H632" s="86">
        <f t="shared" si="21"/>
        <v>882561</v>
      </c>
    </row>
    <row r="633" spans="1:8" ht="15.75" customHeight="1" x14ac:dyDescent="0.25">
      <c r="A633" s="4" t="s">
        <v>963</v>
      </c>
      <c r="B633" s="8">
        <v>628</v>
      </c>
      <c r="C633" s="8" t="s">
        <v>299</v>
      </c>
      <c r="D633" s="8" t="s">
        <v>10</v>
      </c>
      <c r="E633" s="8">
        <v>2</v>
      </c>
      <c r="F633" s="8" t="s">
        <v>258</v>
      </c>
      <c r="G633" s="85">
        <f>+'[1]Dự thầu'!$G$1291</f>
        <v>787114</v>
      </c>
      <c r="H633" s="86">
        <f t="shared" si="21"/>
        <v>1574228</v>
      </c>
    </row>
    <row r="634" spans="1:8" ht="15.75" customHeight="1" x14ac:dyDescent="0.25">
      <c r="A634" s="4" t="s">
        <v>964</v>
      </c>
      <c r="B634" s="8">
        <v>629</v>
      </c>
      <c r="C634" s="8" t="s">
        <v>120</v>
      </c>
      <c r="D634" s="8" t="s">
        <v>10</v>
      </c>
      <c r="E634" s="8">
        <v>0.02</v>
      </c>
      <c r="F634" s="8" t="s">
        <v>16</v>
      </c>
      <c r="G634" s="85">
        <f>+'[1]Dự thầu'!$G$1292</f>
        <v>1191268</v>
      </c>
      <c r="H634" s="86">
        <f t="shared" si="21"/>
        <v>23825</v>
      </c>
    </row>
    <row r="635" spans="1:8" ht="15.75" customHeight="1" x14ac:dyDescent="0.25">
      <c r="A635" s="4" t="s">
        <v>965</v>
      </c>
      <c r="B635" s="8">
        <v>630</v>
      </c>
      <c r="C635" s="8" t="s">
        <v>278</v>
      </c>
      <c r="D635" s="8" t="s">
        <v>10</v>
      </c>
      <c r="E635" s="8">
        <v>0.27</v>
      </c>
      <c r="F635" s="8" t="s">
        <v>16</v>
      </c>
      <c r="G635" s="85">
        <f>+'[1]Dự thầu'!$G$1293</f>
        <v>1533135</v>
      </c>
      <c r="H635" s="86">
        <f t="shared" si="21"/>
        <v>413946</v>
      </c>
    </row>
    <row r="636" spans="1:8" ht="15.75" customHeight="1" x14ac:dyDescent="0.25">
      <c r="A636" s="4" t="s">
        <v>966</v>
      </c>
      <c r="B636" s="8">
        <v>631</v>
      </c>
      <c r="C636" s="8" t="s">
        <v>871</v>
      </c>
      <c r="D636" s="8" t="s">
        <v>10</v>
      </c>
      <c r="E636" s="8">
        <v>0.53</v>
      </c>
      <c r="F636" s="8" t="s">
        <v>13</v>
      </c>
      <c r="G636" s="85">
        <f>+'[1]Dự thầu'!$G$1294</f>
        <v>86606</v>
      </c>
      <c r="H636" s="86">
        <f t="shared" si="21"/>
        <v>45901</v>
      </c>
    </row>
    <row r="637" spans="1:8" ht="15.75" customHeight="1" x14ac:dyDescent="0.25">
      <c r="A637" s="4" t="s">
        <v>967</v>
      </c>
      <c r="B637" s="8">
        <v>632</v>
      </c>
      <c r="C637" s="8" t="s">
        <v>968</v>
      </c>
      <c r="D637" s="8" t="s">
        <v>10</v>
      </c>
      <c r="E637" s="8">
        <v>3</v>
      </c>
      <c r="F637" s="8" t="s">
        <v>75</v>
      </c>
      <c r="G637" s="85">
        <f>+'[1]Dự thầu'!$G$1295</f>
        <v>46054</v>
      </c>
      <c r="H637" s="86">
        <f t="shared" si="21"/>
        <v>138162</v>
      </c>
    </row>
    <row r="638" spans="1:8" ht="15.75" customHeight="1" x14ac:dyDescent="0.25">
      <c r="A638" s="4" t="s">
        <v>969</v>
      </c>
      <c r="B638" s="8">
        <v>633</v>
      </c>
      <c r="C638" s="8" t="s">
        <v>272</v>
      </c>
      <c r="D638" s="8" t="s">
        <v>10</v>
      </c>
      <c r="E638" s="8">
        <v>0.68</v>
      </c>
      <c r="F638" s="8" t="s">
        <v>90</v>
      </c>
      <c r="G638" s="85">
        <f>+'[1]Dự thầu'!$G$1296</f>
        <v>51234</v>
      </c>
      <c r="H638" s="86">
        <f t="shared" si="21"/>
        <v>34839</v>
      </c>
    </row>
    <row r="639" spans="1:8" ht="15.75" customHeight="1" x14ac:dyDescent="0.25">
      <c r="A639" s="4" t="s">
        <v>970</v>
      </c>
      <c r="B639" s="8">
        <v>634</v>
      </c>
      <c r="C639" s="8" t="s">
        <v>284</v>
      </c>
      <c r="D639" s="8" t="s">
        <v>10</v>
      </c>
      <c r="E639" s="8">
        <v>7.0000000000000007E-2</v>
      </c>
      <c r="F639" s="8" t="s">
        <v>274</v>
      </c>
      <c r="G639" s="85">
        <f>+'[1]Dự thầu'!$G$1297</f>
        <v>32162</v>
      </c>
      <c r="H639" s="86">
        <f t="shared" si="21"/>
        <v>2251</v>
      </c>
    </row>
    <row r="640" spans="1:8" ht="15.75" customHeight="1" x14ac:dyDescent="0.25">
      <c r="A640" s="4" t="s">
        <v>971</v>
      </c>
      <c r="B640" s="8">
        <v>635</v>
      </c>
      <c r="C640" s="8" t="s">
        <v>120</v>
      </c>
      <c r="D640" s="8" t="s">
        <v>10</v>
      </c>
      <c r="E640" s="8">
        <v>0.03</v>
      </c>
      <c r="F640" s="8" t="s">
        <v>16</v>
      </c>
      <c r="G640" s="85">
        <f>+'[1]Dự thầu'!$G$1298</f>
        <v>1191268</v>
      </c>
      <c r="H640" s="86">
        <f t="shared" si="21"/>
        <v>35738</v>
      </c>
    </row>
    <row r="641" spans="1:8" ht="15.75" customHeight="1" x14ac:dyDescent="0.25">
      <c r="A641" s="4" t="s">
        <v>972</v>
      </c>
      <c r="B641" s="8">
        <v>636</v>
      </c>
      <c r="C641" s="8" t="s">
        <v>973</v>
      </c>
      <c r="D641" s="8" t="s">
        <v>10</v>
      </c>
      <c r="E641" s="8">
        <v>0.02</v>
      </c>
      <c r="F641" s="8" t="s">
        <v>90</v>
      </c>
      <c r="G641" s="85">
        <f>+'[1]Dự thầu'!$G$1299</f>
        <v>26022934</v>
      </c>
      <c r="H641" s="86">
        <f t="shared" si="21"/>
        <v>520459</v>
      </c>
    </row>
    <row r="642" spans="1:8" ht="15.75" customHeight="1" x14ac:dyDescent="0.25">
      <c r="A642" s="4" t="s">
        <v>974</v>
      </c>
      <c r="B642" s="8">
        <v>637</v>
      </c>
      <c r="C642" s="8" t="s">
        <v>278</v>
      </c>
      <c r="D642" s="8" t="s">
        <v>10</v>
      </c>
      <c r="E642" s="8">
        <v>0.3</v>
      </c>
      <c r="F642" s="8" t="s">
        <v>16</v>
      </c>
      <c r="G642" s="85">
        <f>+'[1]Dự thầu'!$G$1300</f>
        <v>1533135</v>
      </c>
      <c r="H642" s="86">
        <f t="shared" si="21"/>
        <v>459941</v>
      </c>
    </row>
    <row r="643" spans="1:8" ht="15.75" customHeight="1" x14ac:dyDescent="0.25">
      <c r="A643" s="4" t="s">
        <v>975</v>
      </c>
      <c r="B643" s="8">
        <v>638</v>
      </c>
      <c r="C643" s="8" t="s">
        <v>871</v>
      </c>
      <c r="D643" s="8" t="s">
        <v>10</v>
      </c>
      <c r="E643" s="8">
        <v>3.72</v>
      </c>
      <c r="F643" s="8" t="s">
        <v>13</v>
      </c>
      <c r="G643" s="85">
        <f>+'[1]Dự thầu'!$G$1301</f>
        <v>86606</v>
      </c>
      <c r="H643" s="86">
        <f t="shared" si="21"/>
        <v>322174</v>
      </c>
    </row>
    <row r="644" spans="1:8" ht="15.75" customHeight="1" x14ac:dyDescent="0.25">
      <c r="A644" s="4" t="s">
        <v>976</v>
      </c>
      <c r="B644" s="8">
        <v>639</v>
      </c>
      <c r="C644" s="8" t="s">
        <v>968</v>
      </c>
      <c r="D644" s="8" t="s">
        <v>10</v>
      </c>
      <c r="E644" s="8">
        <v>6</v>
      </c>
      <c r="F644" s="8" t="s">
        <v>75</v>
      </c>
      <c r="G644" s="85">
        <f>+'[1]Dự thầu'!$G$1302</f>
        <v>46054</v>
      </c>
      <c r="H644" s="86">
        <f t="shared" si="21"/>
        <v>276324</v>
      </c>
    </row>
    <row r="645" spans="1:8" ht="15.75" customHeight="1" x14ac:dyDescent="0.25">
      <c r="A645" s="4" t="s">
        <v>977</v>
      </c>
      <c r="B645" s="8">
        <v>640</v>
      </c>
      <c r="C645" s="8" t="s">
        <v>272</v>
      </c>
      <c r="D645" s="8" t="s">
        <v>10</v>
      </c>
      <c r="E645" s="8">
        <v>0.75</v>
      </c>
      <c r="F645" s="8" t="s">
        <v>90</v>
      </c>
      <c r="G645" s="85">
        <f>+'[1]Dự thầu'!$G$1303</f>
        <v>51234</v>
      </c>
      <c r="H645" s="86">
        <f t="shared" si="21"/>
        <v>38426</v>
      </c>
    </row>
    <row r="646" spans="1:8" ht="15.75" customHeight="1" x14ac:dyDescent="0.25">
      <c r="A646" s="4" t="s">
        <v>978</v>
      </c>
      <c r="B646" s="8">
        <v>641</v>
      </c>
      <c r="C646" s="8" t="s">
        <v>284</v>
      </c>
      <c r="D646" s="8" t="s">
        <v>10</v>
      </c>
      <c r="E646" s="8">
        <v>0.08</v>
      </c>
      <c r="F646" s="8" t="s">
        <v>274</v>
      </c>
      <c r="G646" s="85">
        <f>+'[1]Dự thầu'!$G$1304</f>
        <v>32162</v>
      </c>
      <c r="H646" s="86">
        <f t="shared" si="21"/>
        <v>2573</v>
      </c>
    </row>
    <row r="647" spans="1:8" ht="15.75" customHeight="1" x14ac:dyDescent="0.25">
      <c r="A647" s="4" t="s">
        <v>979</v>
      </c>
      <c r="B647" s="8">
        <v>642</v>
      </c>
      <c r="C647" s="8" t="s">
        <v>980</v>
      </c>
      <c r="D647" s="8" t="s">
        <v>10</v>
      </c>
      <c r="E647" s="8">
        <v>67.97</v>
      </c>
      <c r="F647" s="8" t="s">
        <v>16</v>
      </c>
      <c r="G647" s="85">
        <f>+'[1]Dự thầu'!$G$1305</f>
        <v>527970</v>
      </c>
      <c r="H647" s="86">
        <f t="shared" ref="H647:H659" si="22">+ROUND(G647*E647,0)</f>
        <v>35886121</v>
      </c>
    </row>
    <row r="648" spans="1:8" ht="15.75" customHeight="1" x14ac:dyDescent="0.25">
      <c r="A648" s="4" t="s">
        <v>981</v>
      </c>
      <c r="B648" s="8">
        <v>643</v>
      </c>
      <c r="C648" s="8" t="s">
        <v>319</v>
      </c>
      <c r="D648" s="8" t="s">
        <v>10</v>
      </c>
      <c r="E648" s="8">
        <v>31.01</v>
      </c>
      <c r="F648" s="8" t="s">
        <v>16</v>
      </c>
      <c r="G648" s="85">
        <f>+'[1]Dự thầu'!$G$1306</f>
        <v>1561916</v>
      </c>
      <c r="H648" s="86">
        <f t="shared" si="22"/>
        <v>48435015</v>
      </c>
    </row>
    <row r="649" spans="1:8" ht="15.75" customHeight="1" x14ac:dyDescent="0.25">
      <c r="A649" s="4" t="s">
        <v>982</v>
      </c>
      <c r="B649" s="8">
        <v>644</v>
      </c>
      <c r="C649" s="8" t="s">
        <v>125</v>
      </c>
      <c r="D649" s="8" t="s">
        <v>10</v>
      </c>
      <c r="E649" s="8">
        <v>45.88</v>
      </c>
      <c r="F649" s="8" t="s">
        <v>13</v>
      </c>
      <c r="G649" s="85">
        <f>+'[1]Dự thầu'!$G$1307</f>
        <v>104798</v>
      </c>
      <c r="H649" s="86">
        <f t="shared" si="22"/>
        <v>4808132</v>
      </c>
    </row>
    <row r="650" spans="1:8" ht="15.75" customHeight="1" x14ac:dyDescent="0.25">
      <c r="A650" s="4" t="s">
        <v>983</v>
      </c>
      <c r="B650" s="8">
        <v>645</v>
      </c>
      <c r="C650" s="8" t="s">
        <v>240</v>
      </c>
      <c r="D650" s="8" t="s">
        <v>10</v>
      </c>
      <c r="E650" s="8">
        <v>16.010000000000002</v>
      </c>
      <c r="F650" s="8" t="s">
        <v>16</v>
      </c>
      <c r="G650" s="85">
        <f>+'[1]Dự thầu'!$G$1308</f>
        <v>842139</v>
      </c>
      <c r="H650" s="86">
        <f t="shared" si="22"/>
        <v>13482645</v>
      </c>
    </row>
    <row r="651" spans="1:8" ht="15.75" customHeight="1" x14ac:dyDescent="0.25">
      <c r="A651" s="4" t="s">
        <v>984</v>
      </c>
      <c r="B651" s="8">
        <v>646</v>
      </c>
      <c r="C651" s="8" t="s">
        <v>122</v>
      </c>
      <c r="D651" s="8" t="s">
        <v>10</v>
      </c>
      <c r="E651" s="8">
        <v>42.82</v>
      </c>
      <c r="F651" s="8" t="s">
        <v>16</v>
      </c>
      <c r="G651" s="85">
        <f>+'[1]Dự thầu'!$G$1309</f>
        <v>1866757</v>
      </c>
      <c r="H651" s="86">
        <f t="shared" si="22"/>
        <v>79934535</v>
      </c>
    </row>
    <row r="652" spans="1:8" ht="15.75" customHeight="1" x14ac:dyDescent="0.25">
      <c r="A652" s="4" t="s">
        <v>985</v>
      </c>
      <c r="B652" s="8">
        <v>647</v>
      </c>
      <c r="C652" s="8" t="s">
        <v>947</v>
      </c>
      <c r="D652" s="8" t="s">
        <v>10</v>
      </c>
      <c r="E652" s="8">
        <v>354.6</v>
      </c>
      <c r="F652" s="8" t="s">
        <v>13</v>
      </c>
      <c r="G652" s="85">
        <f>+'[1]Dự thầu'!$G$1310</f>
        <v>96659</v>
      </c>
      <c r="H652" s="86">
        <f t="shared" si="22"/>
        <v>34275281</v>
      </c>
    </row>
    <row r="653" spans="1:8" ht="15.75" customHeight="1" x14ac:dyDescent="0.25">
      <c r="A653" s="4" t="s">
        <v>986</v>
      </c>
      <c r="B653" s="8">
        <v>648</v>
      </c>
      <c r="C653" s="8" t="s">
        <v>987</v>
      </c>
      <c r="D653" s="8" t="s">
        <v>10</v>
      </c>
      <c r="E653" s="8">
        <v>0.37</v>
      </c>
      <c r="F653" s="8" t="s">
        <v>16</v>
      </c>
      <c r="G653" s="85">
        <f>+'[1]Dự thầu'!$G$1311</f>
        <v>2081456</v>
      </c>
      <c r="H653" s="86">
        <f t="shared" si="22"/>
        <v>770139</v>
      </c>
    </row>
    <row r="654" spans="1:8" ht="15.75" customHeight="1" x14ac:dyDescent="0.25">
      <c r="A654" s="4" t="s">
        <v>988</v>
      </c>
      <c r="B654" s="8">
        <v>649</v>
      </c>
      <c r="C654" s="8" t="s">
        <v>125</v>
      </c>
      <c r="D654" s="8" t="s">
        <v>10</v>
      </c>
      <c r="E654" s="8">
        <v>1.95</v>
      </c>
      <c r="F654" s="8" t="s">
        <v>13</v>
      </c>
      <c r="G654" s="85">
        <f>+'[1]Dự thầu'!$G$1312</f>
        <v>104798</v>
      </c>
      <c r="H654" s="86">
        <f t="shared" si="22"/>
        <v>204356</v>
      </c>
    </row>
    <row r="655" spans="1:8" ht="15.75" customHeight="1" x14ac:dyDescent="0.25">
      <c r="A655" s="4" t="s">
        <v>989</v>
      </c>
      <c r="B655" s="8">
        <v>650</v>
      </c>
      <c r="C655" s="8" t="s">
        <v>332</v>
      </c>
      <c r="D655" s="8" t="s">
        <v>10</v>
      </c>
      <c r="E655" s="8">
        <v>0.06</v>
      </c>
      <c r="F655" s="8" t="s">
        <v>90</v>
      </c>
      <c r="G655" s="85">
        <f>+'[1]Dự thầu'!$G$1313</f>
        <v>26204757</v>
      </c>
      <c r="H655" s="86">
        <f t="shared" si="22"/>
        <v>1572285</v>
      </c>
    </row>
    <row r="656" spans="1:8" ht="15.75" customHeight="1" x14ac:dyDescent="0.25">
      <c r="A656" s="4" t="s">
        <v>990</v>
      </c>
      <c r="B656" s="8">
        <v>651</v>
      </c>
      <c r="C656" s="8" t="s">
        <v>991</v>
      </c>
      <c r="D656" s="8" t="s">
        <v>10</v>
      </c>
      <c r="E656" s="8">
        <v>406</v>
      </c>
      <c r="F656" s="8" t="s">
        <v>16</v>
      </c>
      <c r="G656" s="85">
        <f>+'[1]Dự thầu'!$G$1314</f>
        <v>167496</v>
      </c>
      <c r="H656" s="86">
        <f t="shared" si="22"/>
        <v>68003376</v>
      </c>
    </row>
    <row r="657" spans="1:9" ht="15.75" customHeight="1" x14ac:dyDescent="0.25">
      <c r="A657" s="4" t="s">
        <v>992</v>
      </c>
      <c r="B657" s="8">
        <v>652</v>
      </c>
      <c r="C657" s="8" t="s">
        <v>993</v>
      </c>
      <c r="D657" s="8" t="s">
        <v>10</v>
      </c>
      <c r="E657" s="8">
        <v>406</v>
      </c>
      <c r="F657" s="8" t="s">
        <v>16</v>
      </c>
      <c r="G657" s="85">
        <f>+'[1]Dự thầu'!$G$1315</f>
        <v>56948</v>
      </c>
      <c r="H657" s="86">
        <f t="shared" si="22"/>
        <v>23120888</v>
      </c>
    </row>
    <row r="658" spans="1:9" ht="15.75" customHeight="1" x14ac:dyDescent="0.25">
      <c r="A658" s="4" t="s">
        <v>994</v>
      </c>
      <c r="B658" s="8">
        <v>653</v>
      </c>
      <c r="C658" s="8" t="s">
        <v>47</v>
      </c>
      <c r="D658" s="8" t="s">
        <v>10</v>
      </c>
      <c r="E658" s="8">
        <v>406</v>
      </c>
      <c r="F658" s="8" t="s">
        <v>16</v>
      </c>
      <c r="G658" s="85">
        <f>+'[1]Dự thầu'!$G$1319</f>
        <v>2096</v>
      </c>
      <c r="H658" s="86">
        <f t="shared" si="22"/>
        <v>850976</v>
      </c>
    </row>
    <row r="659" spans="1:9" ht="15.75" customHeight="1" x14ac:dyDescent="0.25">
      <c r="A659" s="4" t="s">
        <v>995</v>
      </c>
      <c r="B659" s="8">
        <v>654</v>
      </c>
      <c r="C659" s="8" t="s">
        <v>996</v>
      </c>
      <c r="D659" s="8" t="s">
        <v>10</v>
      </c>
      <c r="E659" s="8">
        <v>461.2</v>
      </c>
      <c r="F659" s="8" t="s">
        <v>13</v>
      </c>
      <c r="G659" s="85">
        <f>+'[1]Dự thầu'!$G$1320</f>
        <v>20017</v>
      </c>
      <c r="H659" s="86">
        <f t="shared" si="22"/>
        <v>9231840</v>
      </c>
    </row>
    <row r="660" spans="1:9" ht="15.75" customHeight="1" x14ac:dyDescent="0.25">
      <c r="A660" s="4">
        <v>9</v>
      </c>
      <c r="B660" s="8">
        <v>655</v>
      </c>
      <c r="C660" s="8" t="s">
        <v>997</v>
      </c>
      <c r="D660" s="8" t="s">
        <v>10</v>
      </c>
      <c r="E660" s="8"/>
      <c r="F660" s="8"/>
      <c r="G660" s="85"/>
      <c r="I660" s="86"/>
    </row>
    <row r="661" spans="1:9" ht="15.75" customHeight="1" x14ac:dyDescent="0.25">
      <c r="A661" s="4" t="s">
        <v>998</v>
      </c>
      <c r="B661" s="8">
        <v>656</v>
      </c>
      <c r="C661" s="8" t="s">
        <v>12</v>
      </c>
      <c r="D661" s="8" t="s">
        <v>10</v>
      </c>
      <c r="E661" s="8">
        <v>95711</v>
      </c>
      <c r="F661" s="8" t="s">
        <v>13</v>
      </c>
      <c r="G661" s="85">
        <f>+'[2]Dự thầu'!$G6</f>
        <v>646</v>
      </c>
      <c r="H661" s="86">
        <f t="shared" ref="H661:H692" si="23">+ROUND(G661*E661,0)</f>
        <v>61829306</v>
      </c>
    </row>
    <row r="662" spans="1:9" ht="15.75" customHeight="1" x14ac:dyDescent="0.25">
      <c r="A662" s="4" t="s">
        <v>999</v>
      </c>
      <c r="B662" s="8">
        <v>657</v>
      </c>
      <c r="C662" s="8" t="s">
        <v>1000</v>
      </c>
      <c r="D662" s="8" t="s">
        <v>10</v>
      </c>
      <c r="E662" s="8">
        <v>44.5</v>
      </c>
      <c r="F662" s="8" t="s">
        <v>16</v>
      </c>
      <c r="G662" s="85">
        <f>+'[2]Dự thầu'!$G7</f>
        <v>23801</v>
      </c>
      <c r="H662" s="86">
        <f t="shared" si="23"/>
        <v>1059145</v>
      </c>
    </row>
    <row r="663" spans="1:9" ht="15.75" customHeight="1" x14ac:dyDescent="0.25">
      <c r="A663" s="4" t="s">
        <v>1001</v>
      </c>
      <c r="B663" s="8">
        <v>658</v>
      </c>
      <c r="C663" s="8" t="s">
        <v>15</v>
      </c>
      <c r="D663" s="8" t="s">
        <v>10</v>
      </c>
      <c r="E663" s="8">
        <v>1897.6</v>
      </c>
      <c r="F663" s="8" t="s">
        <v>16</v>
      </c>
      <c r="G663" s="85">
        <f>+'[2]Dự thầu'!$G8</f>
        <v>20072</v>
      </c>
      <c r="H663" s="86">
        <f t="shared" si="23"/>
        <v>38088627</v>
      </c>
    </row>
    <row r="664" spans="1:9" ht="15.75" customHeight="1" x14ac:dyDescent="0.25">
      <c r="A664" s="4" t="s">
        <v>1002</v>
      </c>
      <c r="B664" s="8">
        <v>659</v>
      </c>
      <c r="C664" s="8" t="s">
        <v>18</v>
      </c>
      <c r="D664" s="8" t="s">
        <v>10</v>
      </c>
      <c r="E664" s="8">
        <v>1726</v>
      </c>
      <c r="F664" s="8" t="s">
        <v>16</v>
      </c>
      <c r="G664" s="85">
        <f>+'[2]Dự thầu'!$G9</f>
        <v>30610</v>
      </c>
      <c r="H664" s="86">
        <f t="shared" si="23"/>
        <v>52832860</v>
      </c>
    </row>
    <row r="665" spans="1:9" ht="15.75" customHeight="1" x14ac:dyDescent="0.25">
      <c r="A665" s="4" t="s">
        <v>1003</v>
      </c>
      <c r="B665" s="8">
        <v>660</v>
      </c>
      <c r="C665" s="8" t="s">
        <v>20</v>
      </c>
      <c r="D665" s="8" t="s">
        <v>10</v>
      </c>
      <c r="E665" s="8">
        <v>3344.1</v>
      </c>
      <c r="F665" s="8" t="s">
        <v>16</v>
      </c>
      <c r="G665" s="85">
        <f>+'[2]Dự thầu'!$G10</f>
        <v>12342</v>
      </c>
      <c r="H665" s="86">
        <f t="shared" si="23"/>
        <v>41272882</v>
      </c>
    </row>
    <row r="666" spans="1:9" ht="15.75" customHeight="1" x14ac:dyDescent="0.25">
      <c r="A666" s="4" t="s">
        <v>1004</v>
      </c>
      <c r="B666" s="8">
        <v>661</v>
      </c>
      <c r="C666" s="8" t="s">
        <v>22</v>
      </c>
      <c r="D666" s="8" t="s">
        <v>10</v>
      </c>
      <c r="E666" s="8">
        <v>3344.1</v>
      </c>
      <c r="F666" s="8" t="s">
        <v>16</v>
      </c>
      <c r="G666" s="85">
        <f>+'[2]Dự thầu'!$G11</f>
        <v>12936</v>
      </c>
      <c r="H666" s="86">
        <f t="shared" si="23"/>
        <v>43259278</v>
      </c>
    </row>
    <row r="667" spans="1:9" ht="15.75" customHeight="1" x14ac:dyDescent="0.25">
      <c r="A667" s="4" t="s">
        <v>1005</v>
      </c>
      <c r="B667" s="8">
        <v>662</v>
      </c>
      <c r="C667" s="8" t="s">
        <v>24</v>
      </c>
      <c r="D667" s="8" t="s">
        <v>10</v>
      </c>
      <c r="E667" s="8">
        <v>6541.1</v>
      </c>
      <c r="F667" s="8" t="s">
        <v>16</v>
      </c>
      <c r="G667" s="85">
        <f>+'[2]Dự thầu'!$G12</f>
        <v>8251</v>
      </c>
      <c r="H667" s="86">
        <f t="shared" si="23"/>
        <v>53970616</v>
      </c>
    </row>
    <row r="668" spans="1:9" ht="15.75" customHeight="1" x14ac:dyDescent="0.25">
      <c r="A668" s="4" t="s">
        <v>1006</v>
      </c>
      <c r="B668" s="8">
        <v>663</v>
      </c>
      <c r="C668" s="8" t="s">
        <v>1007</v>
      </c>
      <c r="D668" s="8" t="s">
        <v>10</v>
      </c>
      <c r="E668" s="8">
        <v>195955</v>
      </c>
      <c r="F668" s="8" t="s">
        <v>16</v>
      </c>
      <c r="G668" s="85">
        <f>+'[2]Dự thầu'!$G13</f>
        <v>12936</v>
      </c>
      <c r="H668" s="86">
        <f t="shared" si="23"/>
        <v>2534873880</v>
      </c>
    </row>
    <row r="669" spans="1:9" ht="15.75" customHeight="1" x14ac:dyDescent="0.25">
      <c r="A669" s="4" t="s">
        <v>1008</v>
      </c>
      <c r="B669" s="8">
        <v>664</v>
      </c>
      <c r="C669" s="8" t="s">
        <v>28</v>
      </c>
      <c r="D669" s="8" t="s">
        <v>10</v>
      </c>
      <c r="E669" s="8">
        <v>34746</v>
      </c>
      <c r="F669" s="8" t="s">
        <v>16</v>
      </c>
      <c r="G669" s="85">
        <f>+'[2]Dự thầu'!$G14</f>
        <v>12936</v>
      </c>
      <c r="H669" s="86">
        <f t="shared" si="23"/>
        <v>449474256</v>
      </c>
    </row>
    <row r="670" spans="1:9" ht="15.75" customHeight="1" x14ac:dyDescent="0.25">
      <c r="A670" s="4" t="s">
        <v>1009</v>
      </c>
      <c r="B670" s="8">
        <v>665</v>
      </c>
      <c r="C670" s="8" t="s">
        <v>30</v>
      </c>
      <c r="D670" s="8" t="s">
        <v>10</v>
      </c>
      <c r="E670" s="8">
        <v>15874</v>
      </c>
      <c r="F670" s="8" t="s">
        <v>16</v>
      </c>
      <c r="G670" s="85">
        <f>+'[2]Dự thầu'!$G15</f>
        <v>15775</v>
      </c>
      <c r="H670" s="86">
        <f t="shared" si="23"/>
        <v>250412350</v>
      </c>
    </row>
    <row r="671" spans="1:9" ht="15.75" customHeight="1" x14ac:dyDescent="0.25">
      <c r="A671" s="4" t="s">
        <v>1010</v>
      </c>
      <c r="B671" s="8">
        <v>666</v>
      </c>
      <c r="C671" s="8" t="s">
        <v>32</v>
      </c>
      <c r="D671" s="8" t="s">
        <v>10</v>
      </c>
      <c r="E671" s="8">
        <v>272217.12</v>
      </c>
      <c r="F671" s="8" t="s">
        <v>16</v>
      </c>
      <c r="G671" s="85">
        <f>+'[2]Dự thầu'!$G16</f>
        <v>50585</v>
      </c>
      <c r="H671" s="86">
        <f t="shared" si="23"/>
        <v>13770103015</v>
      </c>
    </row>
    <row r="672" spans="1:9" ht="15.75" customHeight="1" x14ac:dyDescent="0.25">
      <c r="A672" s="4" t="s">
        <v>1011</v>
      </c>
      <c r="B672" s="8">
        <v>667</v>
      </c>
      <c r="C672" s="8" t="s">
        <v>34</v>
      </c>
      <c r="D672" s="8" t="s">
        <v>10</v>
      </c>
      <c r="E672" s="8">
        <v>22280.75</v>
      </c>
      <c r="F672" s="8" t="s">
        <v>16</v>
      </c>
      <c r="G672" s="85">
        <f>+'[2]Dự thầu'!$G17</f>
        <v>54405</v>
      </c>
      <c r="H672" s="86">
        <f t="shared" si="23"/>
        <v>1212184204</v>
      </c>
    </row>
    <row r="673" spans="1:8" ht="15.75" customHeight="1" x14ac:dyDescent="0.25">
      <c r="A673" s="4" t="s">
        <v>1012</v>
      </c>
      <c r="B673" s="8">
        <v>668</v>
      </c>
      <c r="C673" s="8" t="s">
        <v>36</v>
      </c>
      <c r="D673" s="8" t="s">
        <v>10</v>
      </c>
      <c r="E673" s="8">
        <v>29449.79</v>
      </c>
      <c r="F673" s="8" t="s">
        <v>37</v>
      </c>
      <c r="G673" s="85">
        <f>+'[2]Dự thầu'!$G18</f>
        <v>1032698</v>
      </c>
      <c r="H673" s="86">
        <f t="shared" si="23"/>
        <v>30412739233</v>
      </c>
    </row>
    <row r="674" spans="1:8" ht="15.75" customHeight="1" x14ac:dyDescent="0.25">
      <c r="A674" s="4" t="s">
        <v>1013</v>
      </c>
      <c r="B674" s="8">
        <v>669</v>
      </c>
      <c r="C674" s="8" t="s">
        <v>41</v>
      </c>
      <c r="D674" s="8" t="s">
        <v>10</v>
      </c>
      <c r="E674" s="8">
        <v>65786.64</v>
      </c>
      <c r="F674" s="8" t="s">
        <v>16</v>
      </c>
      <c r="G674" s="85">
        <f>+'[2]Dự thầu'!$G$26</f>
        <v>40424</v>
      </c>
      <c r="H674" s="86">
        <f t="shared" si="23"/>
        <v>2659359135</v>
      </c>
    </row>
    <row r="675" spans="1:8" ht="15.75" customHeight="1" x14ac:dyDescent="0.25">
      <c r="A675" s="4" t="s">
        <v>1014</v>
      </c>
      <c r="B675" s="8">
        <v>670</v>
      </c>
      <c r="C675" s="8" t="s">
        <v>43</v>
      </c>
      <c r="D675" s="8" t="s">
        <v>10</v>
      </c>
      <c r="E675" s="8">
        <v>2276.92</v>
      </c>
      <c r="F675" s="8" t="s">
        <v>16</v>
      </c>
      <c r="G675" s="85">
        <f>+'[2]Dự thầu'!$G$30</f>
        <v>45382</v>
      </c>
      <c r="H675" s="86">
        <f t="shared" si="23"/>
        <v>103331183</v>
      </c>
    </row>
    <row r="676" spans="1:8" ht="15.75" customHeight="1" x14ac:dyDescent="0.25">
      <c r="A676" s="4" t="s">
        <v>1015</v>
      </c>
      <c r="B676" s="8">
        <v>671</v>
      </c>
      <c r="C676" s="8" t="s">
        <v>1016</v>
      </c>
      <c r="D676" s="8" t="s">
        <v>10</v>
      </c>
      <c r="E676" s="8">
        <v>1748.8</v>
      </c>
      <c r="F676" s="8" t="s">
        <v>16</v>
      </c>
      <c r="G676" s="85">
        <f>+'[2]Dự thầu'!$G$34</f>
        <v>56948</v>
      </c>
      <c r="H676" s="86">
        <f t="shared" si="23"/>
        <v>99590662</v>
      </c>
    </row>
    <row r="677" spans="1:8" ht="15.75" customHeight="1" x14ac:dyDescent="0.25">
      <c r="A677" s="4" t="s">
        <v>1017</v>
      </c>
      <c r="B677" s="8">
        <v>672</v>
      </c>
      <c r="C677" s="8" t="s">
        <v>47</v>
      </c>
      <c r="D677" s="8" t="s">
        <v>10</v>
      </c>
      <c r="E677" s="8">
        <v>34906.18</v>
      </c>
      <c r="F677" s="8" t="s">
        <v>16</v>
      </c>
      <c r="G677" s="85">
        <f>+'[2]Dự thầu'!$G38</f>
        <v>2096</v>
      </c>
      <c r="H677" s="86">
        <f t="shared" si="23"/>
        <v>73163353</v>
      </c>
    </row>
    <row r="678" spans="1:8" ht="15.75" customHeight="1" x14ac:dyDescent="0.25">
      <c r="A678" s="4" t="s">
        <v>1018</v>
      </c>
      <c r="B678" s="8">
        <v>673</v>
      </c>
      <c r="C678" s="8" t="s">
        <v>49</v>
      </c>
      <c r="D678" s="8" t="s">
        <v>10</v>
      </c>
      <c r="E678" s="8">
        <v>105090.8</v>
      </c>
      <c r="F678" s="8" t="s">
        <v>16</v>
      </c>
      <c r="G678" s="85">
        <f>+'[2]Dự thầu'!$G39</f>
        <v>8251</v>
      </c>
      <c r="H678" s="86">
        <f t="shared" si="23"/>
        <v>867104191</v>
      </c>
    </row>
    <row r="679" spans="1:8" ht="15.75" customHeight="1" x14ac:dyDescent="0.25">
      <c r="A679" s="4" t="s">
        <v>1019</v>
      </c>
      <c r="B679" s="8">
        <v>674</v>
      </c>
      <c r="C679" s="8" t="s">
        <v>1020</v>
      </c>
      <c r="D679" s="8" t="s">
        <v>10</v>
      </c>
      <c r="E679" s="8">
        <v>2816.8</v>
      </c>
      <c r="F679" s="8" t="s">
        <v>16</v>
      </c>
      <c r="G679" s="85">
        <f>+'[2]Dự thầu'!$G40</f>
        <v>270205</v>
      </c>
      <c r="H679" s="86">
        <f t="shared" si="23"/>
        <v>761113444</v>
      </c>
    </row>
    <row r="680" spans="1:8" ht="15.75" customHeight="1" x14ac:dyDescent="0.25">
      <c r="A680" s="4" t="s">
        <v>1021</v>
      </c>
      <c r="B680" s="8">
        <v>675</v>
      </c>
      <c r="C680" s="8" t="s">
        <v>51</v>
      </c>
      <c r="D680" s="8" t="s">
        <v>10</v>
      </c>
      <c r="E680" s="8">
        <v>78311</v>
      </c>
      <c r="F680" s="8" t="s">
        <v>13</v>
      </c>
      <c r="G680" s="85">
        <f>+'[2]Dự thầu'!$G41</f>
        <v>20017</v>
      </c>
      <c r="H680" s="86">
        <f t="shared" si="23"/>
        <v>1567551287</v>
      </c>
    </row>
    <row r="681" spans="1:8" ht="15.75" customHeight="1" x14ac:dyDescent="0.25">
      <c r="A681" s="4" t="s">
        <v>1022</v>
      </c>
      <c r="B681" s="8">
        <v>676</v>
      </c>
      <c r="C681" s="8" t="s">
        <v>1023</v>
      </c>
      <c r="D681" s="8" t="s">
        <v>10</v>
      </c>
      <c r="E681" s="8">
        <v>6176</v>
      </c>
      <c r="F681" s="8" t="s">
        <v>13</v>
      </c>
      <c r="G681" s="85">
        <f>+'[2]Dự thầu'!$G42</f>
        <v>224210</v>
      </c>
      <c r="H681" s="86">
        <f t="shared" si="23"/>
        <v>1384720960</v>
      </c>
    </row>
    <row r="682" spans="1:8" ht="15.75" customHeight="1" x14ac:dyDescent="0.25">
      <c r="A682" s="4" t="s">
        <v>1024</v>
      </c>
      <c r="B682" s="8">
        <v>677</v>
      </c>
      <c r="C682" s="8" t="s">
        <v>1025</v>
      </c>
      <c r="D682" s="8" t="s">
        <v>10</v>
      </c>
      <c r="E682" s="8">
        <v>295500</v>
      </c>
      <c r="F682" s="8" t="s">
        <v>75</v>
      </c>
      <c r="G682" s="85">
        <f>+'[2]Dự thầu'!$G43</f>
        <v>10831</v>
      </c>
      <c r="H682" s="86">
        <f t="shared" si="23"/>
        <v>3200560500</v>
      </c>
    </row>
    <row r="683" spans="1:8" ht="15.75" customHeight="1" x14ac:dyDescent="0.25">
      <c r="A683" s="4" t="s">
        <v>1026</v>
      </c>
      <c r="B683" s="8">
        <v>678</v>
      </c>
      <c r="C683" s="8" t="s">
        <v>55</v>
      </c>
      <c r="D683" s="8" t="s">
        <v>10</v>
      </c>
      <c r="E683" s="8">
        <v>3136</v>
      </c>
      <c r="F683" s="8" t="s">
        <v>16</v>
      </c>
      <c r="G683" s="85">
        <f>+'[2]Dự thầu'!$G44</f>
        <v>12936</v>
      </c>
      <c r="H683" s="86">
        <f t="shared" si="23"/>
        <v>40567296</v>
      </c>
    </row>
    <row r="684" spans="1:8" ht="15.75" customHeight="1" x14ac:dyDescent="0.25">
      <c r="A684" s="4" t="s">
        <v>1027</v>
      </c>
      <c r="B684" s="8">
        <v>679</v>
      </c>
      <c r="C684" s="8" t="s">
        <v>64</v>
      </c>
      <c r="D684" s="8" t="s">
        <v>10</v>
      </c>
      <c r="E684" s="8">
        <v>1355</v>
      </c>
      <c r="F684" s="8" t="s">
        <v>16</v>
      </c>
      <c r="G684" s="85">
        <f>+'[2]Dự thầu'!$G45</f>
        <v>12936</v>
      </c>
      <c r="H684" s="86">
        <f t="shared" si="23"/>
        <v>17528280</v>
      </c>
    </row>
    <row r="685" spans="1:8" ht="15.75" customHeight="1" x14ac:dyDescent="0.25">
      <c r="A685" s="4" t="s">
        <v>1028</v>
      </c>
      <c r="B685" s="8">
        <v>680</v>
      </c>
      <c r="C685" s="8" t="s">
        <v>59</v>
      </c>
      <c r="D685" s="8" t="s">
        <v>10</v>
      </c>
      <c r="E685" s="8">
        <v>1355</v>
      </c>
      <c r="F685" s="8" t="s">
        <v>16</v>
      </c>
      <c r="G685" s="85">
        <f>+'[2]Dự thầu'!$G46</f>
        <v>12342</v>
      </c>
      <c r="H685" s="86">
        <f t="shared" si="23"/>
        <v>16723410</v>
      </c>
    </row>
    <row r="686" spans="1:8" ht="15.75" customHeight="1" x14ac:dyDescent="0.25">
      <c r="A686" s="4" t="s">
        <v>1029</v>
      </c>
      <c r="B686" s="8">
        <v>681</v>
      </c>
      <c r="C686" s="8" t="s">
        <v>1030</v>
      </c>
      <c r="D686" s="8" t="s">
        <v>10</v>
      </c>
      <c r="E686" s="8">
        <v>1531.15</v>
      </c>
      <c r="F686" s="8" t="s">
        <v>62</v>
      </c>
      <c r="G686" s="85">
        <f>+'[2]Dự thầu'!$G47</f>
        <v>6611</v>
      </c>
      <c r="H686" s="86">
        <f t="shared" si="23"/>
        <v>10122433</v>
      </c>
    </row>
    <row r="687" spans="1:8" ht="15.75" customHeight="1" x14ac:dyDescent="0.25">
      <c r="A687" s="4" t="s">
        <v>1031</v>
      </c>
      <c r="B687" s="8">
        <v>682</v>
      </c>
      <c r="C687" s="8" t="s">
        <v>68</v>
      </c>
      <c r="D687" s="8" t="s">
        <v>10</v>
      </c>
      <c r="E687" s="8">
        <v>17</v>
      </c>
      <c r="F687" s="8" t="s">
        <v>16</v>
      </c>
      <c r="G687" s="85">
        <f>+'[2]Dự thầu'!$G48</f>
        <v>877622</v>
      </c>
      <c r="H687" s="86">
        <f t="shared" si="23"/>
        <v>14919574</v>
      </c>
    </row>
    <row r="688" spans="1:8" ht="15.75" customHeight="1" x14ac:dyDescent="0.25">
      <c r="A688" s="4" t="s">
        <v>1032</v>
      </c>
      <c r="B688" s="8">
        <v>683</v>
      </c>
      <c r="C688" s="8" t="s">
        <v>70</v>
      </c>
      <c r="D688" s="8" t="s">
        <v>10</v>
      </c>
      <c r="E688" s="8">
        <v>131</v>
      </c>
      <c r="F688" s="8" t="s">
        <v>13</v>
      </c>
      <c r="G688" s="85">
        <f>+'[2]Dự thầu'!$G49</f>
        <v>26716</v>
      </c>
      <c r="H688" s="86">
        <f t="shared" si="23"/>
        <v>3499796</v>
      </c>
    </row>
    <row r="689" spans="1:8" ht="15.75" customHeight="1" x14ac:dyDescent="0.25">
      <c r="A689" s="4" t="s">
        <v>1033</v>
      </c>
      <c r="B689" s="8">
        <v>684</v>
      </c>
      <c r="C689" s="8" t="s">
        <v>72</v>
      </c>
      <c r="D689" s="8" t="s">
        <v>10</v>
      </c>
      <c r="E689" s="8">
        <v>34</v>
      </c>
      <c r="F689" s="8" t="s">
        <v>16</v>
      </c>
      <c r="G689" s="85">
        <f>+'[2]Dự thầu'!$G50</f>
        <v>32141</v>
      </c>
      <c r="H689" s="86">
        <f t="shared" si="23"/>
        <v>1092794</v>
      </c>
    </row>
    <row r="690" spans="1:8" ht="15.75" customHeight="1" x14ac:dyDescent="0.25">
      <c r="A690" s="4" t="s">
        <v>1034</v>
      </c>
      <c r="B690" s="8">
        <v>685</v>
      </c>
      <c r="C690" s="8" t="s">
        <v>1035</v>
      </c>
      <c r="D690" s="8" t="s">
        <v>10</v>
      </c>
      <c r="E690" s="8">
        <v>10540</v>
      </c>
      <c r="F690" s="8" t="s">
        <v>75</v>
      </c>
      <c r="G690" s="85">
        <f>+'[2]Dự thầu'!$G51</f>
        <v>69175</v>
      </c>
      <c r="H690" s="86">
        <f t="shared" si="23"/>
        <v>729104500</v>
      </c>
    </row>
    <row r="691" spans="1:8" ht="15.75" customHeight="1" x14ac:dyDescent="0.25">
      <c r="A691" s="4" t="s">
        <v>1036</v>
      </c>
      <c r="B691" s="8">
        <v>686</v>
      </c>
      <c r="C691" s="8" t="s">
        <v>77</v>
      </c>
      <c r="D691" s="8" t="s">
        <v>10</v>
      </c>
      <c r="E691" s="8">
        <v>2129</v>
      </c>
      <c r="F691" s="8" t="s">
        <v>16</v>
      </c>
      <c r="G691" s="85">
        <f>+'[2]Dự thầu'!$G52</f>
        <v>271833</v>
      </c>
      <c r="H691" s="86">
        <f t="shared" si="23"/>
        <v>578732457</v>
      </c>
    </row>
    <row r="692" spans="1:8" ht="15.75" customHeight="1" x14ac:dyDescent="0.25">
      <c r="A692" s="4" t="s">
        <v>1037</v>
      </c>
      <c r="B692" s="8">
        <v>687</v>
      </c>
      <c r="C692" s="8" t="s">
        <v>1038</v>
      </c>
      <c r="D692" s="8" t="s">
        <v>10</v>
      </c>
      <c r="E692" s="8">
        <v>2673</v>
      </c>
      <c r="F692" s="8" t="s">
        <v>16</v>
      </c>
      <c r="G692" s="85">
        <f>+'[2]Dự thầu'!$G53</f>
        <v>271833</v>
      </c>
      <c r="H692" s="86">
        <f t="shared" si="23"/>
        <v>726609609</v>
      </c>
    </row>
    <row r="693" spans="1:8" ht="15.75" customHeight="1" x14ac:dyDescent="0.25">
      <c r="A693" s="4" t="s">
        <v>1039</v>
      </c>
      <c r="B693" s="8">
        <v>688</v>
      </c>
      <c r="C693" s="8" t="s">
        <v>79</v>
      </c>
      <c r="D693" s="8" t="s">
        <v>10</v>
      </c>
      <c r="E693" s="8">
        <v>261</v>
      </c>
      <c r="F693" s="8" t="s">
        <v>16</v>
      </c>
      <c r="G693" s="85">
        <f>+'[2]Dự thầu'!$G54</f>
        <v>20867</v>
      </c>
      <c r="H693" s="86">
        <f t="shared" ref="H693:H722" si="24">+ROUND(G693*E693,0)</f>
        <v>5446287</v>
      </c>
    </row>
    <row r="694" spans="1:8" ht="15.75" customHeight="1" x14ac:dyDescent="0.25">
      <c r="A694" s="4" t="s">
        <v>1040</v>
      </c>
      <c r="B694" s="8">
        <v>689</v>
      </c>
      <c r="C694" s="8" t="s">
        <v>81</v>
      </c>
      <c r="D694" s="8" t="s">
        <v>10</v>
      </c>
      <c r="E694" s="8">
        <v>261</v>
      </c>
      <c r="F694" s="8" t="s">
        <v>16</v>
      </c>
      <c r="G694" s="85">
        <f>+'[2]Dự thầu'!$G55</f>
        <v>12936</v>
      </c>
      <c r="H694" s="86">
        <f t="shared" si="24"/>
        <v>3376296</v>
      </c>
    </row>
    <row r="695" spans="1:8" ht="15.75" customHeight="1" x14ac:dyDescent="0.25">
      <c r="A695" s="4" t="s">
        <v>1041</v>
      </c>
      <c r="B695" s="8">
        <v>690</v>
      </c>
      <c r="C695" s="8" t="s">
        <v>83</v>
      </c>
      <c r="D695" s="8" t="s">
        <v>10</v>
      </c>
      <c r="E695" s="8">
        <v>16</v>
      </c>
      <c r="F695" s="8" t="s">
        <v>75</v>
      </c>
      <c r="G695" s="85">
        <f>+'[2]Dự thầu'!$G56</f>
        <v>301142</v>
      </c>
      <c r="H695" s="86">
        <f t="shared" si="24"/>
        <v>4818272</v>
      </c>
    </row>
    <row r="696" spans="1:8" ht="15.75" customHeight="1" x14ac:dyDescent="0.25">
      <c r="A696" s="4" t="s">
        <v>1042</v>
      </c>
      <c r="B696" s="8">
        <v>691</v>
      </c>
      <c r="C696" s="8" t="s">
        <v>85</v>
      </c>
      <c r="D696" s="8" t="s">
        <v>10</v>
      </c>
      <c r="E696" s="8">
        <v>375</v>
      </c>
      <c r="F696" s="8" t="s">
        <v>75</v>
      </c>
      <c r="G696" s="85">
        <f>+'[2]Dự thầu'!$G57</f>
        <v>191443</v>
      </c>
      <c r="H696" s="86">
        <f t="shared" si="24"/>
        <v>71791125</v>
      </c>
    </row>
    <row r="697" spans="1:8" ht="15.75" customHeight="1" x14ac:dyDescent="0.25">
      <c r="A697" s="4" t="s">
        <v>1043</v>
      </c>
      <c r="B697" s="8">
        <v>692</v>
      </c>
      <c r="C697" s="8" t="s">
        <v>87</v>
      </c>
      <c r="D697" s="8" t="s">
        <v>10</v>
      </c>
      <c r="E697" s="8">
        <v>375</v>
      </c>
      <c r="F697" s="8" t="s">
        <v>75</v>
      </c>
      <c r="G697" s="85">
        <f>+'[2]Dự thầu'!$G58</f>
        <v>184138</v>
      </c>
      <c r="H697" s="86">
        <f t="shared" si="24"/>
        <v>69051750</v>
      </c>
    </row>
    <row r="698" spans="1:8" ht="15.75" customHeight="1" x14ac:dyDescent="0.25">
      <c r="A698" s="4" t="s">
        <v>1044</v>
      </c>
      <c r="B698" s="8">
        <v>693</v>
      </c>
      <c r="C698" s="8" t="s">
        <v>89</v>
      </c>
      <c r="D698" s="8" t="s">
        <v>10</v>
      </c>
      <c r="E698" s="8">
        <v>3.77</v>
      </c>
      <c r="F698" s="8" t="s">
        <v>90</v>
      </c>
      <c r="G698" s="85">
        <f>+'[2]Dự thầu'!$G59</f>
        <v>33697650</v>
      </c>
      <c r="H698" s="86">
        <f t="shared" si="24"/>
        <v>127040141</v>
      </c>
    </row>
    <row r="699" spans="1:8" ht="15.75" customHeight="1" x14ac:dyDescent="0.25">
      <c r="A699" s="4" t="s">
        <v>1045</v>
      </c>
      <c r="B699" s="8">
        <v>694</v>
      </c>
      <c r="C699" s="8" t="s">
        <v>92</v>
      </c>
      <c r="D699" s="8" t="s">
        <v>10</v>
      </c>
      <c r="E699" s="8">
        <v>259.8</v>
      </c>
      <c r="F699" s="8" t="s">
        <v>75</v>
      </c>
      <c r="G699" s="85">
        <f>+'[2]Dự thầu'!$G60</f>
        <v>17859</v>
      </c>
      <c r="H699" s="86">
        <f t="shared" si="24"/>
        <v>4639768</v>
      </c>
    </row>
    <row r="700" spans="1:8" ht="15.75" customHeight="1" x14ac:dyDescent="0.25">
      <c r="A700" s="4" t="s">
        <v>1046</v>
      </c>
      <c r="B700" s="8">
        <v>695</v>
      </c>
      <c r="C700" s="8" t="s">
        <v>94</v>
      </c>
      <c r="D700" s="8" t="s">
        <v>10</v>
      </c>
      <c r="E700" s="8">
        <v>51397</v>
      </c>
      <c r="F700" s="8" t="s">
        <v>13</v>
      </c>
      <c r="G700" s="85">
        <f>+'[2]Dự thầu'!$G61</f>
        <v>11015</v>
      </c>
      <c r="H700" s="86">
        <f t="shared" si="24"/>
        <v>566137955</v>
      </c>
    </row>
    <row r="701" spans="1:8" ht="15.75" customHeight="1" x14ac:dyDescent="0.25">
      <c r="A701" s="4" t="s">
        <v>1047</v>
      </c>
      <c r="B701" s="8">
        <v>696</v>
      </c>
      <c r="C701" s="8" t="s">
        <v>96</v>
      </c>
      <c r="D701" s="8" t="s">
        <v>10</v>
      </c>
      <c r="E701" s="8">
        <v>7318.93</v>
      </c>
      <c r="F701" s="8" t="s">
        <v>90</v>
      </c>
      <c r="G701" s="85">
        <v>1646788</v>
      </c>
      <c r="H701" s="86">
        <f t="shared" si="24"/>
        <v>12052726097</v>
      </c>
    </row>
    <row r="702" spans="1:8" ht="15.75" customHeight="1" x14ac:dyDescent="0.25">
      <c r="A702" s="4" t="s">
        <v>1048</v>
      </c>
      <c r="B702" s="8">
        <v>697</v>
      </c>
      <c r="C702" s="8" t="s">
        <v>98</v>
      </c>
      <c r="D702" s="8" t="s">
        <v>10</v>
      </c>
      <c r="E702" s="8">
        <v>73.19</v>
      </c>
      <c r="F702" s="8" t="s">
        <v>99</v>
      </c>
      <c r="G702" s="85">
        <f>+'[2]Dự thầu'!$G63</f>
        <v>10502023</v>
      </c>
      <c r="H702" s="86">
        <f t="shared" si="24"/>
        <v>768643063</v>
      </c>
    </row>
    <row r="703" spans="1:8" ht="15.75" customHeight="1" x14ac:dyDescent="0.25">
      <c r="A703" s="4" t="s">
        <v>1049</v>
      </c>
      <c r="B703" s="8">
        <v>698</v>
      </c>
      <c r="C703" s="8" t="s">
        <v>101</v>
      </c>
      <c r="D703" s="8" t="s">
        <v>10</v>
      </c>
      <c r="E703" s="8">
        <v>51397</v>
      </c>
      <c r="F703" s="8" t="s">
        <v>13</v>
      </c>
      <c r="G703" s="85">
        <f>+'[2]Dự thầu'!$G66</f>
        <v>26753</v>
      </c>
      <c r="H703" s="86">
        <f t="shared" si="24"/>
        <v>1375023941</v>
      </c>
    </row>
    <row r="704" spans="1:8" ht="15.75" customHeight="1" x14ac:dyDescent="0.25">
      <c r="A704" s="4" t="s">
        <v>1050</v>
      </c>
      <c r="B704" s="8">
        <v>699</v>
      </c>
      <c r="C704" s="8" t="s">
        <v>103</v>
      </c>
      <c r="D704" s="8" t="s">
        <v>10</v>
      </c>
      <c r="E704" s="8">
        <v>12513</v>
      </c>
      <c r="F704" s="8" t="s">
        <v>16</v>
      </c>
      <c r="G704" s="85">
        <f>+'[2]Dự thầu'!$G67</f>
        <v>361291</v>
      </c>
      <c r="H704" s="86">
        <f t="shared" si="24"/>
        <v>4520834283</v>
      </c>
    </row>
    <row r="705" spans="1:8" ht="15.75" customHeight="1" x14ac:dyDescent="0.25">
      <c r="A705" s="4" t="s">
        <v>1051</v>
      </c>
      <c r="B705" s="8">
        <v>700</v>
      </c>
      <c r="C705" s="8" t="s">
        <v>105</v>
      </c>
      <c r="D705" s="8" t="s">
        <v>10</v>
      </c>
      <c r="E705" s="8">
        <v>18194</v>
      </c>
      <c r="F705" s="8" t="s">
        <v>16</v>
      </c>
      <c r="G705" s="85">
        <f>+'[2]Dự thầu'!$G68</f>
        <v>335812</v>
      </c>
      <c r="H705" s="86">
        <f t="shared" si="24"/>
        <v>6109763528</v>
      </c>
    </row>
    <row r="706" spans="1:8" ht="15.75" customHeight="1" x14ac:dyDescent="0.25">
      <c r="A706" s="4" t="s">
        <v>1052</v>
      </c>
      <c r="B706" s="8">
        <v>701</v>
      </c>
      <c r="C706" s="8" t="s">
        <v>118</v>
      </c>
      <c r="D706" s="8" t="s">
        <v>10</v>
      </c>
      <c r="E706" s="8">
        <v>434.1</v>
      </c>
      <c r="F706" s="8" t="s">
        <v>13</v>
      </c>
      <c r="G706" s="85">
        <f>+'[2]Dự thầu'!$G80</f>
        <v>330389</v>
      </c>
      <c r="H706" s="86">
        <f t="shared" si="24"/>
        <v>143421865</v>
      </c>
    </row>
    <row r="707" spans="1:8" ht="15.75" customHeight="1" x14ac:dyDescent="0.25">
      <c r="A707" s="4" t="s">
        <v>1053</v>
      </c>
      <c r="B707" s="8">
        <v>702</v>
      </c>
      <c r="C707" s="8" t="s">
        <v>120</v>
      </c>
      <c r="D707" s="8" t="s">
        <v>10</v>
      </c>
      <c r="E707" s="8">
        <v>34.5</v>
      </c>
      <c r="F707" s="8" t="s">
        <v>16</v>
      </c>
      <c r="G707" s="85">
        <f>+'[2]Dự thầu'!$G81</f>
        <v>1197457</v>
      </c>
      <c r="H707" s="86">
        <f t="shared" si="24"/>
        <v>41312267</v>
      </c>
    </row>
    <row r="708" spans="1:8" ht="15.75" customHeight="1" x14ac:dyDescent="0.25">
      <c r="A708" s="4" t="s">
        <v>1054</v>
      </c>
      <c r="B708" s="8">
        <v>703</v>
      </c>
      <c r="C708" s="8" t="s">
        <v>122</v>
      </c>
      <c r="D708" s="8" t="s">
        <v>10</v>
      </c>
      <c r="E708" s="8">
        <v>3.5</v>
      </c>
      <c r="F708" s="8" t="s">
        <v>16</v>
      </c>
      <c r="G708" s="85">
        <f>+'[2]Dự thầu'!$G82</f>
        <v>1587082</v>
      </c>
      <c r="H708" s="86">
        <f t="shared" si="24"/>
        <v>5554787</v>
      </c>
    </row>
    <row r="709" spans="1:8" ht="15.75" customHeight="1" x14ac:dyDescent="0.25">
      <c r="A709" s="4" t="s">
        <v>1055</v>
      </c>
      <c r="B709" s="8">
        <v>704</v>
      </c>
      <c r="C709" s="8" t="s">
        <v>120</v>
      </c>
      <c r="D709" s="8" t="s">
        <v>10</v>
      </c>
      <c r="E709" s="8">
        <v>1.8</v>
      </c>
      <c r="F709" s="8" t="s">
        <v>16</v>
      </c>
      <c r="G709" s="85">
        <f>+'[2]Dự thầu'!$G83</f>
        <v>1197457</v>
      </c>
      <c r="H709" s="86">
        <f t="shared" si="24"/>
        <v>2155423</v>
      </c>
    </row>
    <row r="710" spans="1:8" ht="15.75" customHeight="1" x14ac:dyDescent="0.25">
      <c r="A710" s="4" t="s">
        <v>1056</v>
      </c>
      <c r="B710" s="8">
        <v>705</v>
      </c>
      <c r="C710" s="8" t="s">
        <v>125</v>
      </c>
      <c r="D710" s="8" t="s">
        <v>10</v>
      </c>
      <c r="E710" s="8">
        <v>0.18</v>
      </c>
      <c r="F710" s="8" t="s">
        <v>126</v>
      </c>
      <c r="G710" s="85">
        <f>+'[2]Dự thầu'!$G84</f>
        <v>103942.99</v>
      </c>
      <c r="H710" s="86">
        <f t="shared" si="24"/>
        <v>18710</v>
      </c>
    </row>
    <row r="711" spans="1:8" ht="15.75" customHeight="1" x14ac:dyDescent="0.25">
      <c r="A711" s="4" t="s">
        <v>1057</v>
      </c>
      <c r="B711" s="8">
        <v>706</v>
      </c>
      <c r="C711" s="8" t="s">
        <v>120</v>
      </c>
      <c r="D711" s="8" t="s">
        <v>10</v>
      </c>
      <c r="E711" s="8">
        <v>1.2</v>
      </c>
      <c r="F711" s="8" t="s">
        <v>16</v>
      </c>
      <c r="G711" s="85">
        <f>+'[2]Dự thầu'!$G85</f>
        <v>1197457</v>
      </c>
      <c r="H711" s="86">
        <f t="shared" si="24"/>
        <v>1436948</v>
      </c>
    </row>
    <row r="712" spans="1:8" ht="15.75" customHeight="1" x14ac:dyDescent="0.25">
      <c r="A712" s="4" t="s">
        <v>1058</v>
      </c>
      <c r="B712" s="8">
        <v>707</v>
      </c>
      <c r="C712" s="8" t="s">
        <v>129</v>
      </c>
      <c r="D712" s="8" t="s">
        <v>10</v>
      </c>
      <c r="E712" s="8">
        <v>99.5</v>
      </c>
      <c r="F712" s="8" t="s">
        <v>75</v>
      </c>
      <c r="G712" s="85">
        <f>+'[2]Dự thầu'!$G86</f>
        <v>320960</v>
      </c>
      <c r="H712" s="86">
        <f t="shared" si="24"/>
        <v>31935520</v>
      </c>
    </row>
    <row r="713" spans="1:8" ht="15.75" customHeight="1" x14ac:dyDescent="0.25">
      <c r="A713" s="4" t="s">
        <v>1059</v>
      </c>
      <c r="B713" s="8">
        <v>708</v>
      </c>
      <c r="C713" s="8" t="s">
        <v>125</v>
      </c>
      <c r="D713" s="8" t="s">
        <v>10</v>
      </c>
      <c r="E713" s="8">
        <v>15.2</v>
      </c>
      <c r="F713" s="8" t="s">
        <v>126</v>
      </c>
      <c r="G713" s="85">
        <f>+'[2]Dự thầu'!$G87</f>
        <v>10394299</v>
      </c>
      <c r="H713" s="86">
        <f t="shared" si="24"/>
        <v>157993345</v>
      </c>
    </row>
    <row r="714" spans="1:8" ht="15.75" customHeight="1" x14ac:dyDescent="0.25">
      <c r="A714" s="4" t="s">
        <v>1060</v>
      </c>
      <c r="B714" s="8">
        <v>709</v>
      </c>
      <c r="C714" s="8" t="s">
        <v>120</v>
      </c>
      <c r="D714" s="8" t="s">
        <v>10</v>
      </c>
      <c r="E714" s="8">
        <v>116.28</v>
      </c>
      <c r="F714" s="8" t="s">
        <v>16</v>
      </c>
      <c r="G714" s="85">
        <f>+'[2]Dự thầu'!$G88</f>
        <v>1197457</v>
      </c>
      <c r="H714" s="86">
        <f t="shared" si="24"/>
        <v>139240300</v>
      </c>
    </row>
    <row r="715" spans="1:8" ht="15.75" customHeight="1" x14ac:dyDescent="0.25">
      <c r="A715" s="4" t="s">
        <v>1061</v>
      </c>
      <c r="B715" s="8">
        <v>710</v>
      </c>
      <c r="C715" s="8" t="s">
        <v>137</v>
      </c>
      <c r="D715" s="8" t="s">
        <v>10</v>
      </c>
      <c r="E715" s="8">
        <v>6080</v>
      </c>
      <c r="F715" s="8" t="s">
        <v>75</v>
      </c>
      <c r="G715" s="85">
        <f>+'[2]Dự thầu'!$G89</f>
        <v>388691</v>
      </c>
      <c r="H715" s="86">
        <f t="shared" si="24"/>
        <v>2363241280</v>
      </c>
    </row>
    <row r="716" spans="1:8" ht="15.75" customHeight="1" x14ac:dyDescent="0.25">
      <c r="A716" s="4" t="s">
        <v>1062</v>
      </c>
      <c r="B716" s="8">
        <v>711</v>
      </c>
      <c r="C716" s="8" t="s">
        <v>125</v>
      </c>
      <c r="D716" s="8" t="s">
        <v>10</v>
      </c>
      <c r="E716" s="8">
        <v>0.47</v>
      </c>
      <c r="F716" s="8" t="s">
        <v>126</v>
      </c>
      <c r="G716" s="85">
        <f>+'[2]Dự thầu'!$G90</f>
        <v>10394299</v>
      </c>
      <c r="H716" s="86">
        <f t="shared" si="24"/>
        <v>4885321</v>
      </c>
    </row>
    <row r="717" spans="1:8" ht="15.75" customHeight="1" x14ac:dyDescent="0.25">
      <c r="A717" s="4" t="s">
        <v>1063</v>
      </c>
      <c r="B717" s="8">
        <v>712</v>
      </c>
      <c r="C717" s="8" t="s">
        <v>120</v>
      </c>
      <c r="D717" s="8" t="s">
        <v>10</v>
      </c>
      <c r="E717" s="8">
        <v>0.28000000000000003</v>
      </c>
      <c r="F717" s="8" t="s">
        <v>16</v>
      </c>
      <c r="G717" s="85">
        <f>+'[2]Dự thầu'!$G91</f>
        <v>1197457</v>
      </c>
      <c r="H717" s="86">
        <f t="shared" si="24"/>
        <v>335288</v>
      </c>
    </row>
    <row r="718" spans="1:8" ht="15.75" customHeight="1" x14ac:dyDescent="0.25">
      <c r="A718" s="4" t="s">
        <v>1064</v>
      </c>
      <c r="B718" s="8">
        <v>713</v>
      </c>
      <c r="C718" s="8" t="s">
        <v>141</v>
      </c>
      <c r="D718" s="8" t="s">
        <v>10</v>
      </c>
      <c r="E718" s="8">
        <v>46.6</v>
      </c>
      <c r="F718" s="8" t="s">
        <v>75</v>
      </c>
      <c r="G718" s="85">
        <f>+'[2]Dự thầu'!$G92</f>
        <v>169013</v>
      </c>
      <c r="H718" s="86">
        <f t="shared" si="24"/>
        <v>7876006</v>
      </c>
    </row>
    <row r="719" spans="1:8" ht="15.75" customHeight="1" x14ac:dyDescent="0.25">
      <c r="A719" s="4" t="s">
        <v>1065</v>
      </c>
      <c r="B719" s="8">
        <v>714</v>
      </c>
      <c r="C719" s="8" t="s">
        <v>143</v>
      </c>
      <c r="D719" s="8" t="s">
        <v>10</v>
      </c>
      <c r="E719" s="8">
        <v>48.48</v>
      </c>
      <c r="F719" s="8" t="s">
        <v>37</v>
      </c>
      <c r="G719" s="85">
        <f>+'[2]Dự thầu'!$G93</f>
        <v>646440</v>
      </c>
      <c r="H719" s="86">
        <f t="shared" si="24"/>
        <v>31339411</v>
      </c>
    </row>
    <row r="720" spans="1:8" ht="15.75" customHeight="1" x14ac:dyDescent="0.25">
      <c r="A720" s="4" t="s">
        <v>1066</v>
      </c>
      <c r="B720" s="8">
        <v>715</v>
      </c>
      <c r="C720" s="8" t="s">
        <v>145</v>
      </c>
      <c r="D720" s="8" t="s">
        <v>10</v>
      </c>
      <c r="E720" s="8">
        <v>7</v>
      </c>
      <c r="F720" s="8" t="s">
        <v>146</v>
      </c>
      <c r="G720" s="85">
        <f>+'[2]Dự thầu'!$G97</f>
        <v>1909908</v>
      </c>
      <c r="H720" s="86">
        <f t="shared" si="24"/>
        <v>13369356</v>
      </c>
    </row>
    <row r="721" spans="1:9" ht="15.75" customHeight="1" x14ac:dyDescent="0.25">
      <c r="A721" s="4" t="s">
        <v>1067</v>
      </c>
      <c r="B721" s="8">
        <v>716</v>
      </c>
      <c r="C721" s="8" t="s">
        <v>47</v>
      </c>
      <c r="D721" s="8" t="s">
        <v>10</v>
      </c>
      <c r="E721" s="8">
        <v>1501.7</v>
      </c>
      <c r="F721" s="8" t="s">
        <v>16</v>
      </c>
      <c r="G721" s="85">
        <f>+'[2]Dự thầu'!$G98</f>
        <v>2096</v>
      </c>
      <c r="H721" s="86">
        <f t="shared" si="24"/>
        <v>3147563</v>
      </c>
    </row>
    <row r="722" spans="1:9" ht="15.75" customHeight="1" x14ac:dyDescent="0.25">
      <c r="A722" s="4" t="s">
        <v>1068</v>
      </c>
      <c r="B722" s="8">
        <v>717</v>
      </c>
      <c r="C722" s="8" t="s">
        <v>1069</v>
      </c>
      <c r="D722" s="8" t="s">
        <v>10</v>
      </c>
      <c r="E722" s="8">
        <v>21.34</v>
      </c>
      <c r="F722" s="8" t="s">
        <v>150</v>
      </c>
      <c r="G722" s="85">
        <f>+'[2]Dự thầu'!$G99</f>
        <v>963779</v>
      </c>
      <c r="H722" s="86">
        <f t="shared" si="24"/>
        <v>20567044</v>
      </c>
    </row>
    <row r="723" spans="1:9" ht="15.75" customHeight="1" x14ac:dyDescent="0.25">
      <c r="A723" s="4">
        <v>10</v>
      </c>
      <c r="B723" s="8">
        <v>718</v>
      </c>
      <c r="C723" s="8" t="s">
        <v>1070</v>
      </c>
      <c r="D723" s="8" t="s">
        <v>10</v>
      </c>
      <c r="E723" s="8"/>
      <c r="F723" s="8"/>
      <c r="G723" s="85"/>
      <c r="I723" s="86"/>
    </row>
    <row r="724" spans="1:9" ht="15.75" customHeight="1" x14ac:dyDescent="0.25">
      <c r="A724" s="4" t="s">
        <v>1071</v>
      </c>
      <c r="B724" s="8">
        <v>719</v>
      </c>
      <c r="C724" s="8" t="s">
        <v>1072</v>
      </c>
      <c r="D724" s="8" t="s">
        <v>10</v>
      </c>
      <c r="E724" s="8">
        <v>3.87</v>
      </c>
      <c r="F724" s="8" t="s">
        <v>16</v>
      </c>
      <c r="G724" s="85">
        <f>+'[2]Dự thầu'!$G180</f>
        <v>20072</v>
      </c>
      <c r="H724" s="86">
        <f t="shared" ref="H724:H750" si="25">+ROUND(G724*E724,0)</f>
        <v>77679</v>
      </c>
    </row>
    <row r="725" spans="1:9" ht="15.75" customHeight="1" x14ac:dyDescent="0.25">
      <c r="A725" s="4" t="s">
        <v>1073</v>
      </c>
      <c r="B725" s="8">
        <v>720</v>
      </c>
      <c r="C725" s="8" t="s">
        <v>183</v>
      </c>
      <c r="D725" s="8" t="s">
        <v>10</v>
      </c>
      <c r="E725" s="8">
        <v>8.76</v>
      </c>
      <c r="F725" s="8" t="s">
        <v>16</v>
      </c>
      <c r="G725" s="85">
        <f>+'[2]Dự thầu'!$G181</f>
        <v>23801</v>
      </c>
      <c r="H725" s="86">
        <f t="shared" si="25"/>
        <v>208497</v>
      </c>
    </row>
    <row r="726" spans="1:9" ht="15.75" customHeight="1" x14ac:dyDescent="0.25">
      <c r="A726" s="4" t="s">
        <v>1074</v>
      </c>
      <c r="B726" s="8">
        <v>721</v>
      </c>
      <c r="C726" s="8" t="s">
        <v>185</v>
      </c>
      <c r="D726" s="8" t="s">
        <v>10</v>
      </c>
      <c r="E726" s="8">
        <v>322.19</v>
      </c>
      <c r="F726" s="8" t="s">
        <v>16</v>
      </c>
      <c r="G726" s="85">
        <f>+'[2]Dự thầu'!$G182</f>
        <v>23801</v>
      </c>
      <c r="H726" s="86">
        <f t="shared" si="25"/>
        <v>7668444</v>
      </c>
    </row>
    <row r="727" spans="1:9" ht="15.75" customHeight="1" x14ac:dyDescent="0.25">
      <c r="A727" s="4" t="s">
        <v>1075</v>
      </c>
      <c r="B727" s="8">
        <v>722</v>
      </c>
      <c r="C727" s="8" t="s">
        <v>155</v>
      </c>
      <c r="D727" s="8" t="s">
        <v>10</v>
      </c>
      <c r="E727" s="8">
        <v>22.8</v>
      </c>
      <c r="F727" s="8" t="s">
        <v>16</v>
      </c>
      <c r="G727" s="85">
        <f>+'[2]Dự thầu'!$G183</f>
        <v>30610</v>
      </c>
      <c r="H727" s="86">
        <f t="shared" si="25"/>
        <v>697908</v>
      </c>
    </row>
    <row r="728" spans="1:9" ht="15.75" customHeight="1" x14ac:dyDescent="0.25">
      <c r="A728" s="4" t="s">
        <v>1076</v>
      </c>
      <c r="B728" s="8">
        <v>723</v>
      </c>
      <c r="C728" s="8" t="s">
        <v>20</v>
      </c>
      <c r="D728" s="8" t="s">
        <v>10</v>
      </c>
      <c r="E728" s="8">
        <v>43</v>
      </c>
      <c r="F728" s="8" t="s">
        <v>16</v>
      </c>
      <c r="G728" s="85">
        <f>+'[2]Dự thầu'!$G184</f>
        <v>12342</v>
      </c>
      <c r="H728" s="86">
        <f t="shared" si="25"/>
        <v>530706</v>
      </c>
    </row>
    <row r="729" spans="1:9" ht="15.75" customHeight="1" x14ac:dyDescent="0.25">
      <c r="A729" s="4" t="s">
        <v>1077</v>
      </c>
      <c r="B729" s="8">
        <v>724</v>
      </c>
      <c r="C729" s="8" t="s">
        <v>158</v>
      </c>
      <c r="D729" s="8" t="s">
        <v>10</v>
      </c>
      <c r="E729" s="8">
        <v>43</v>
      </c>
      <c r="F729" s="8" t="s">
        <v>16</v>
      </c>
      <c r="G729" s="85">
        <f>+'[2]Dự thầu'!$G185</f>
        <v>12936</v>
      </c>
      <c r="H729" s="86">
        <f t="shared" si="25"/>
        <v>556248</v>
      </c>
    </row>
    <row r="730" spans="1:9" ht="15.75" customHeight="1" x14ac:dyDescent="0.25">
      <c r="A730" s="4" t="s">
        <v>1078</v>
      </c>
      <c r="B730" s="8">
        <v>725</v>
      </c>
      <c r="C730" s="8" t="s">
        <v>190</v>
      </c>
      <c r="D730" s="8" t="s">
        <v>10</v>
      </c>
      <c r="E730" s="8">
        <v>1059</v>
      </c>
      <c r="F730" s="8" t="s">
        <v>16</v>
      </c>
      <c r="G730" s="85">
        <f>+'[2]Dự thầu'!$G186</f>
        <v>8251</v>
      </c>
      <c r="H730" s="86">
        <f t="shared" si="25"/>
        <v>8737809</v>
      </c>
    </row>
    <row r="731" spans="1:9" ht="15.75" customHeight="1" x14ac:dyDescent="0.25">
      <c r="A731" s="4" t="s">
        <v>1079</v>
      </c>
      <c r="B731" s="8">
        <v>726</v>
      </c>
      <c r="C731" s="8" t="s">
        <v>192</v>
      </c>
      <c r="D731" s="8" t="s">
        <v>10</v>
      </c>
      <c r="E731" s="8">
        <v>5744</v>
      </c>
      <c r="F731" s="8" t="s">
        <v>16</v>
      </c>
      <c r="G731" s="85">
        <f>+'[2]Dự thầu'!$G187</f>
        <v>32141</v>
      </c>
      <c r="H731" s="86">
        <f t="shared" si="25"/>
        <v>184617904</v>
      </c>
    </row>
    <row r="732" spans="1:9" ht="15.75" customHeight="1" x14ac:dyDescent="0.25">
      <c r="A732" s="4" t="s">
        <v>1080</v>
      </c>
      <c r="B732" s="8">
        <v>727</v>
      </c>
      <c r="C732" s="8" t="s">
        <v>160</v>
      </c>
      <c r="D732" s="8" t="s">
        <v>10</v>
      </c>
      <c r="E732" s="8">
        <v>566</v>
      </c>
      <c r="F732" s="8" t="s">
        <v>16</v>
      </c>
      <c r="G732" s="85">
        <f>+'[2]Dự thầu'!$G188</f>
        <v>12936</v>
      </c>
      <c r="H732" s="86">
        <f t="shared" si="25"/>
        <v>7321776</v>
      </c>
    </row>
    <row r="733" spans="1:9" ht="15.75" customHeight="1" x14ac:dyDescent="0.25">
      <c r="A733" s="4" t="s">
        <v>1081</v>
      </c>
      <c r="B733" s="8">
        <v>728</v>
      </c>
      <c r="C733" s="8" t="s">
        <v>195</v>
      </c>
      <c r="D733" s="8" t="s">
        <v>10</v>
      </c>
      <c r="E733" s="8">
        <v>7645.26</v>
      </c>
      <c r="F733" s="8" t="s">
        <v>16</v>
      </c>
      <c r="G733" s="85">
        <f>+'[2]Dự thầu'!$G189</f>
        <v>50585</v>
      </c>
      <c r="H733" s="86">
        <f t="shared" si="25"/>
        <v>386735477</v>
      </c>
    </row>
    <row r="734" spans="1:9" ht="15.75" customHeight="1" x14ac:dyDescent="0.25">
      <c r="A734" s="4" t="s">
        <v>1082</v>
      </c>
      <c r="B734" s="8">
        <v>729</v>
      </c>
      <c r="C734" s="8" t="s">
        <v>32</v>
      </c>
      <c r="D734" s="8" t="s">
        <v>10</v>
      </c>
      <c r="E734" s="8">
        <v>773.89</v>
      </c>
      <c r="F734" s="8" t="s">
        <v>16</v>
      </c>
      <c r="G734" s="85">
        <f>+'[2]Dự thầu'!$G190</f>
        <v>50585</v>
      </c>
      <c r="H734" s="86">
        <f t="shared" si="25"/>
        <v>39147226</v>
      </c>
    </row>
    <row r="735" spans="1:9" ht="15.75" customHeight="1" x14ac:dyDescent="0.25">
      <c r="A735" s="4" t="s">
        <v>1083</v>
      </c>
      <c r="B735" s="8">
        <v>730</v>
      </c>
      <c r="C735" s="8" t="s">
        <v>36</v>
      </c>
      <c r="D735" s="8" t="s">
        <v>10</v>
      </c>
      <c r="E735" s="8">
        <v>841.92</v>
      </c>
      <c r="F735" s="8" t="s">
        <v>37</v>
      </c>
      <c r="G735" s="85">
        <f>+'[2]Dự thầu'!$G191</f>
        <v>1032698</v>
      </c>
      <c r="H735" s="86">
        <f t="shared" si="25"/>
        <v>869449100</v>
      </c>
    </row>
    <row r="736" spans="1:9" ht="15.75" customHeight="1" x14ac:dyDescent="0.25">
      <c r="A736" s="4" t="s">
        <v>1084</v>
      </c>
      <c r="B736" s="8">
        <v>731</v>
      </c>
      <c r="C736" s="8" t="s">
        <v>94</v>
      </c>
      <c r="D736" s="8" t="s">
        <v>10</v>
      </c>
      <c r="E736" s="8">
        <v>175</v>
      </c>
      <c r="F736" s="8" t="s">
        <v>13</v>
      </c>
      <c r="G736" s="85">
        <f>+'[2]Dự thầu'!$G195</f>
        <v>11015</v>
      </c>
      <c r="H736" s="86">
        <f t="shared" si="25"/>
        <v>1927625</v>
      </c>
    </row>
    <row r="737" spans="1:9" ht="15.75" customHeight="1" x14ac:dyDescent="0.25">
      <c r="A737" s="4" t="s">
        <v>1085</v>
      </c>
      <c r="B737" s="8">
        <v>732</v>
      </c>
      <c r="C737" s="8" t="s">
        <v>200</v>
      </c>
      <c r="D737" s="8" t="s">
        <v>10</v>
      </c>
      <c r="E737" s="8">
        <v>66</v>
      </c>
      <c r="F737" s="8" t="s">
        <v>13</v>
      </c>
      <c r="G737" s="85">
        <f>+'[2]Dự thầu'!$G196</f>
        <v>9552</v>
      </c>
      <c r="H737" s="86">
        <f t="shared" si="25"/>
        <v>630432</v>
      </c>
    </row>
    <row r="738" spans="1:9" ht="15.75" customHeight="1" x14ac:dyDescent="0.25">
      <c r="A738" s="4" t="s">
        <v>1086</v>
      </c>
      <c r="B738" s="8">
        <v>733</v>
      </c>
      <c r="C738" s="8" t="s">
        <v>96</v>
      </c>
      <c r="D738" s="8" t="s">
        <v>10</v>
      </c>
      <c r="E738" s="8">
        <v>32.75</v>
      </c>
      <c r="F738" s="8" t="s">
        <v>90</v>
      </c>
      <c r="G738" s="85">
        <v>1646788</v>
      </c>
      <c r="H738" s="86">
        <f t="shared" si="25"/>
        <v>53932307</v>
      </c>
    </row>
    <row r="739" spans="1:9" ht="15.75" customHeight="1" x14ac:dyDescent="0.25">
      <c r="A739" s="4" t="s">
        <v>1087</v>
      </c>
      <c r="B739" s="8">
        <v>734</v>
      </c>
      <c r="C739" s="8" t="s">
        <v>98</v>
      </c>
      <c r="D739" s="8" t="s">
        <v>10</v>
      </c>
      <c r="E739" s="8">
        <v>0.33</v>
      </c>
      <c r="F739" s="8" t="s">
        <v>99</v>
      </c>
      <c r="G739" s="85">
        <f>+'[2]Dự thầu'!$G198</f>
        <v>10502023</v>
      </c>
      <c r="H739" s="86">
        <f t="shared" si="25"/>
        <v>3465668</v>
      </c>
    </row>
    <row r="740" spans="1:9" ht="15.75" customHeight="1" x14ac:dyDescent="0.25">
      <c r="A740" s="4" t="s">
        <v>1088</v>
      </c>
      <c r="B740" s="8">
        <v>735</v>
      </c>
      <c r="C740" s="8" t="s">
        <v>110</v>
      </c>
      <c r="D740" s="8" t="s">
        <v>10</v>
      </c>
      <c r="E740" s="8">
        <v>175</v>
      </c>
      <c r="F740" s="8" t="s">
        <v>13</v>
      </c>
      <c r="G740" s="85">
        <f>+'[2]Dự thầu'!$G201</f>
        <v>15319</v>
      </c>
      <c r="H740" s="86">
        <f t="shared" si="25"/>
        <v>2680825</v>
      </c>
    </row>
    <row r="741" spans="1:9" ht="15.75" customHeight="1" x14ac:dyDescent="0.25">
      <c r="A741" s="4" t="s">
        <v>1089</v>
      </c>
      <c r="B741" s="8">
        <v>736</v>
      </c>
      <c r="C741" s="8" t="s">
        <v>94</v>
      </c>
      <c r="D741" s="8" t="s">
        <v>10</v>
      </c>
      <c r="E741" s="8">
        <v>263</v>
      </c>
      <c r="F741" s="8" t="s">
        <v>13</v>
      </c>
      <c r="G741" s="85">
        <f>+'[2]Dự thầu'!$G202</f>
        <v>11015</v>
      </c>
      <c r="H741" s="86">
        <f t="shared" si="25"/>
        <v>2896945</v>
      </c>
    </row>
    <row r="742" spans="1:9" ht="15.75" customHeight="1" x14ac:dyDescent="0.25">
      <c r="A742" s="4" t="s">
        <v>1090</v>
      </c>
      <c r="B742" s="8">
        <v>737</v>
      </c>
      <c r="C742" s="8" t="s">
        <v>96</v>
      </c>
      <c r="D742" s="8" t="s">
        <v>10</v>
      </c>
      <c r="E742" s="8">
        <v>37.450000000000003</v>
      </c>
      <c r="F742" s="8" t="s">
        <v>90</v>
      </c>
      <c r="G742" s="85">
        <v>1646788</v>
      </c>
      <c r="H742" s="86">
        <f t="shared" si="25"/>
        <v>61672211</v>
      </c>
    </row>
    <row r="743" spans="1:9" ht="15.75" customHeight="1" x14ac:dyDescent="0.25">
      <c r="A743" s="4" t="s">
        <v>1091</v>
      </c>
      <c r="B743" s="8">
        <v>738</v>
      </c>
      <c r="C743" s="8" t="s">
        <v>98</v>
      </c>
      <c r="D743" s="8" t="s">
        <v>10</v>
      </c>
      <c r="E743" s="8">
        <v>0.37</v>
      </c>
      <c r="F743" s="8" t="s">
        <v>99</v>
      </c>
      <c r="G743" s="85">
        <f>+'[2]Dự thầu'!$G204</f>
        <v>10502023</v>
      </c>
      <c r="H743" s="86">
        <f t="shared" si="25"/>
        <v>3885749</v>
      </c>
    </row>
    <row r="744" spans="1:9" ht="15.75" customHeight="1" x14ac:dyDescent="0.25">
      <c r="A744" s="4" t="s">
        <v>1092</v>
      </c>
      <c r="B744" s="8">
        <v>739</v>
      </c>
      <c r="C744" s="8" t="s">
        <v>208</v>
      </c>
      <c r="D744" s="8" t="s">
        <v>10</v>
      </c>
      <c r="E744" s="8">
        <v>263</v>
      </c>
      <c r="F744" s="8" t="s">
        <v>13</v>
      </c>
      <c r="G744" s="85">
        <f>+'[2]Dự thầu'!$G207</f>
        <v>26753</v>
      </c>
      <c r="H744" s="86">
        <f t="shared" si="25"/>
        <v>7036039</v>
      </c>
    </row>
    <row r="745" spans="1:9" ht="15.75" customHeight="1" x14ac:dyDescent="0.25">
      <c r="A745" s="4" t="s">
        <v>1093</v>
      </c>
      <c r="B745" s="8">
        <v>740</v>
      </c>
      <c r="C745" s="8" t="s">
        <v>210</v>
      </c>
      <c r="D745" s="8" t="s">
        <v>10</v>
      </c>
      <c r="E745" s="8">
        <v>38.56</v>
      </c>
      <c r="F745" s="8" t="s">
        <v>16</v>
      </c>
      <c r="G745" s="85">
        <f>+'[2]Dự thầu'!$G208</f>
        <v>361291</v>
      </c>
      <c r="H745" s="86">
        <f t="shared" si="25"/>
        <v>13931381</v>
      </c>
    </row>
    <row r="746" spans="1:9" ht="15.75" customHeight="1" x14ac:dyDescent="0.25">
      <c r="A746" s="4" t="s">
        <v>1094</v>
      </c>
      <c r="B746" s="8">
        <v>741</v>
      </c>
      <c r="C746" s="8" t="s">
        <v>94</v>
      </c>
      <c r="D746" s="8" t="s">
        <v>10</v>
      </c>
      <c r="E746" s="8">
        <v>2529</v>
      </c>
      <c r="F746" s="8" t="s">
        <v>13</v>
      </c>
      <c r="G746" s="85">
        <f>+'[2]Dự thầu'!$G209</f>
        <v>11015</v>
      </c>
      <c r="H746" s="86">
        <f t="shared" si="25"/>
        <v>27856935</v>
      </c>
    </row>
    <row r="747" spans="1:9" ht="15.75" customHeight="1" x14ac:dyDescent="0.25">
      <c r="A747" s="4" t="s">
        <v>1095</v>
      </c>
      <c r="B747" s="8">
        <v>742</v>
      </c>
      <c r="C747" s="8" t="s">
        <v>96</v>
      </c>
      <c r="D747" s="8" t="s">
        <v>10</v>
      </c>
      <c r="E747" s="8">
        <v>360.13</v>
      </c>
      <c r="F747" s="8" t="s">
        <v>90</v>
      </c>
      <c r="G747" s="85">
        <v>1646788</v>
      </c>
      <c r="H747" s="86">
        <f t="shared" si="25"/>
        <v>593057762</v>
      </c>
    </row>
    <row r="748" spans="1:9" ht="15.75" customHeight="1" x14ac:dyDescent="0.25">
      <c r="A748" s="4" t="s">
        <v>1096</v>
      </c>
      <c r="B748" s="8">
        <v>743</v>
      </c>
      <c r="C748" s="8" t="s">
        <v>98</v>
      </c>
      <c r="D748" s="8" t="s">
        <v>10</v>
      </c>
      <c r="E748" s="8">
        <v>3.6</v>
      </c>
      <c r="F748" s="8" t="s">
        <v>99</v>
      </c>
      <c r="G748" s="85">
        <f>+'[2]Dự thầu'!$G211</f>
        <v>10502023</v>
      </c>
      <c r="H748" s="86">
        <f t="shared" si="25"/>
        <v>37807283</v>
      </c>
    </row>
    <row r="749" spans="1:9" ht="15.75" customHeight="1" x14ac:dyDescent="0.25">
      <c r="A749" s="4" t="s">
        <v>1097</v>
      </c>
      <c r="B749" s="8">
        <v>744</v>
      </c>
      <c r="C749" s="8" t="s">
        <v>208</v>
      </c>
      <c r="D749" s="8" t="s">
        <v>10</v>
      </c>
      <c r="E749" s="8">
        <v>2529</v>
      </c>
      <c r="F749" s="8" t="s">
        <v>13</v>
      </c>
      <c r="G749" s="85">
        <f>+'[2]Dự thầu'!$G214</f>
        <v>26753</v>
      </c>
      <c r="H749" s="86">
        <f t="shared" si="25"/>
        <v>67658337</v>
      </c>
    </row>
    <row r="750" spans="1:9" ht="15.75" customHeight="1" x14ac:dyDescent="0.25">
      <c r="A750" s="4" t="s">
        <v>1098</v>
      </c>
      <c r="B750" s="8">
        <v>745</v>
      </c>
      <c r="C750" s="8" t="s">
        <v>210</v>
      </c>
      <c r="D750" s="8" t="s">
        <v>10</v>
      </c>
      <c r="E750" s="8">
        <v>379</v>
      </c>
      <c r="F750" s="8" t="s">
        <v>16</v>
      </c>
      <c r="G750" s="85">
        <f>+'[2]Dự thầu'!$G215</f>
        <v>361291</v>
      </c>
      <c r="H750" s="86">
        <f t="shared" si="25"/>
        <v>136929289</v>
      </c>
    </row>
    <row r="751" spans="1:9" ht="15.75" customHeight="1" x14ac:dyDescent="0.25">
      <c r="A751" s="4">
        <v>11</v>
      </c>
      <c r="B751" s="8">
        <v>746</v>
      </c>
      <c r="C751" s="8" t="s">
        <v>1099</v>
      </c>
      <c r="D751" s="8" t="s">
        <v>10</v>
      </c>
      <c r="E751" s="8"/>
      <c r="F751" s="8"/>
      <c r="G751" s="85"/>
      <c r="I751" s="86"/>
    </row>
    <row r="752" spans="1:9" ht="15.75" customHeight="1" x14ac:dyDescent="0.25">
      <c r="A752" s="4" t="s">
        <v>1100</v>
      </c>
      <c r="B752" s="8">
        <v>747</v>
      </c>
      <c r="C752" s="8" t="s">
        <v>218</v>
      </c>
      <c r="D752" s="8" t="s">
        <v>10</v>
      </c>
      <c r="E752" s="8">
        <v>991.54</v>
      </c>
      <c r="F752" s="8" t="s">
        <v>16</v>
      </c>
      <c r="G752" s="85">
        <f>+'[2]Dự thầu'!$G$235</f>
        <v>17057</v>
      </c>
      <c r="H752" s="86">
        <f t="shared" ref="H752:H787" si="26">+ROUND(G752*E752,0)</f>
        <v>16912698</v>
      </c>
    </row>
    <row r="753" spans="1:8" ht="15.75" customHeight="1" x14ac:dyDescent="0.25">
      <c r="A753" s="4" t="s">
        <v>1101</v>
      </c>
      <c r="B753" s="8">
        <v>748</v>
      </c>
      <c r="C753" s="8" t="s">
        <v>222</v>
      </c>
      <c r="D753" s="8" t="s">
        <v>10</v>
      </c>
      <c r="E753" s="8">
        <v>152.56</v>
      </c>
      <c r="F753" s="8" t="s">
        <v>16</v>
      </c>
      <c r="G753" s="85">
        <f>+'[2]Dự thầu'!$G$237</f>
        <v>7229</v>
      </c>
      <c r="H753" s="86">
        <f t="shared" si="26"/>
        <v>1102856</v>
      </c>
    </row>
    <row r="754" spans="1:8" ht="15.75" customHeight="1" x14ac:dyDescent="0.25">
      <c r="A754" s="4" t="s">
        <v>1102</v>
      </c>
      <c r="B754" s="8">
        <v>749</v>
      </c>
      <c r="C754" s="8" t="s">
        <v>41</v>
      </c>
      <c r="D754" s="8" t="s">
        <v>10</v>
      </c>
      <c r="E754" s="8">
        <v>991.54</v>
      </c>
      <c r="F754" s="8" t="s">
        <v>16</v>
      </c>
      <c r="G754" s="85">
        <f>+'[2]Dự thầu'!$G$238</f>
        <v>40424</v>
      </c>
      <c r="H754" s="86">
        <f t="shared" si="26"/>
        <v>40082013</v>
      </c>
    </row>
    <row r="755" spans="1:8" ht="15.75" customHeight="1" x14ac:dyDescent="0.25">
      <c r="A755" s="4" t="s">
        <v>1103</v>
      </c>
      <c r="B755" s="8">
        <v>750</v>
      </c>
      <c r="C755" s="8" t="s">
        <v>228</v>
      </c>
      <c r="D755" s="8" t="s">
        <v>10</v>
      </c>
      <c r="E755" s="8">
        <v>991.54</v>
      </c>
      <c r="F755" s="8" t="s">
        <v>16</v>
      </c>
      <c r="G755" s="85">
        <f>+'[2]Dự thầu'!$G$246</f>
        <v>2096</v>
      </c>
      <c r="H755" s="86">
        <f t="shared" si="26"/>
        <v>2078268</v>
      </c>
    </row>
    <row r="756" spans="1:8" ht="15.75" customHeight="1" x14ac:dyDescent="0.25">
      <c r="A756" s="4" t="s">
        <v>1104</v>
      </c>
      <c r="B756" s="8">
        <v>751</v>
      </c>
      <c r="C756" s="8" t="s">
        <v>232</v>
      </c>
      <c r="D756" s="8" t="s">
        <v>10</v>
      </c>
      <c r="E756" s="8">
        <v>360.74</v>
      </c>
      <c r="F756" s="8" t="s">
        <v>16</v>
      </c>
      <c r="G756" s="85">
        <f>+'[2]Dự thầu'!$G$248</f>
        <v>359304</v>
      </c>
      <c r="H756" s="86">
        <f t="shared" si="26"/>
        <v>129615325</v>
      </c>
    </row>
    <row r="757" spans="1:8" ht="15.75" customHeight="1" x14ac:dyDescent="0.25">
      <c r="A757" s="4" t="s">
        <v>1105</v>
      </c>
      <c r="B757" s="8">
        <v>752</v>
      </c>
      <c r="C757" s="8" t="s">
        <v>160</v>
      </c>
      <c r="D757" s="8" t="s">
        <v>10</v>
      </c>
      <c r="E757" s="8">
        <v>1842.9</v>
      </c>
      <c r="F757" s="8" t="s">
        <v>16</v>
      </c>
      <c r="G757" s="85">
        <f>+'[2]Dự thầu'!$G249</f>
        <v>12936</v>
      </c>
      <c r="H757" s="86">
        <f t="shared" si="26"/>
        <v>23839754</v>
      </c>
    </row>
    <row r="758" spans="1:8" ht="15.75" customHeight="1" x14ac:dyDescent="0.25">
      <c r="A758" s="4" t="s">
        <v>1106</v>
      </c>
      <c r="B758" s="8">
        <v>753</v>
      </c>
      <c r="C758" s="8" t="s">
        <v>32</v>
      </c>
      <c r="D758" s="8" t="s">
        <v>10</v>
      </c>
      <c r="E758" s="8">
        <v>2519.8000000000002</v>
      </c>
      <c r="F758" s="8" t="s">
        <v>16</v>
      </c>
      <c r="G758" s="85">
        <f>+'[2]Dự thầu'!$G250</f>
        <v>50585</v>
      </c>
      <c r="H758" s="86">
        <f t="shared" si="26"/>
        <v>127464083</v>
      </c>
    </row>
    <row r="759" spans="1:8" ht="15.75" customHeight="1" x14ac:dyDescent="0.25">
      <c r="A759" s="4" t="s">
        <v>1107</v>
      </c>
      <c r="B759" s="8">
        <v>754</v>
      </c>
      <c r="C759" s="8" t="s">
        <v>36</v>
      </c>
      <c r="D759" s="8" t="s">
        <v>10</v>
      </c>
      <c r="E759" s="8">
        <v>251.98</v>
      </c>
      <c r="F759" s="8" t="s">
        <v>37</v>
      </c>
      <c r="G759" s="85">
        <f>+'[2]Dự thầu'!$G251</f>
        <v>1032698</v>
      </c>
      <c r="H759" s="86">
        <f t="shared" si="26"/>
        <v>260219242</v>
      </c>
    </row>
    <row r="760" spans="1:8" ht="15.75" customHeight="1" x14ac:dyDescent="0.25">
      <c r="A760" s="4" t="s">
        <v>1108</v>
      </c>
      <c r="B760" s="8">
        <v>755</v>
      </c>
      <c r="C760" s="8" t="s">
        <v>301</v>
      </c>
      <c r="D760" s="8" t="s">
        <v>10</v>
      </c>
      <c r="E760" s="8">
        <v>1.1000000000000001</v>
      </c>
      <c r="F760" s="8" t="s">
        <v>16</v>
      </c>
      <c r="G760" s="85">
        <f>+'[2]Dự thầu'!$G297</f>
        <v>1557317</v>
      </c>
      <c r="H760" s="86">
        <f t="shared" si="26"/>
        <v>1713049</v>
      </c>
    </row>
    <row r="761" spans="1:8" ht="15.75" customHeight="1" x14ac:dyDescent="0.25">
      <c r="A761" s="4" t="s">
        <v>1109</v>
      </c>
      <c r="B761" s="8">
        <v>756</v>
      </c>
      <c r="C761" s="8" t="s">
        <v>120</v>
      </c>
      <c r="D761" s="8" t="s">
        <v>10</v>
      </c>
      <c r="E761" s="8">
        <v>4.0999999999999996</v>
      </c>
      <c r="F761" s="8" t="s">
        <v>16</v>
      </c>
      <c r="G761" s="85">
        <f>+'[2]Dự thầu'!$G298</f>
        <v>1197457</v>
      </c>
      <c r="H761" s="86">
        <f t="shared" si="26"/>
        <v>4909574</v>
      </c>
    </row>
    <row r="762" spans="1:8" ht="15.75" customHeight="1" x14ac:dyDescent="0.25">
      <c r="A762" s="4" t="s">
        <v>1110</v>
      </c>
      <c r="B762" s="8">
        <v>757</v>
      </c>
      <c r="C762" s="8" t="s">
        <v>125</v>
      </c>
      <c r="D762" s="8" t="s">
        <v>10</v>
      </c>
      <c r="E762" s="8">
        <v>0.43</v>
      </c>
      <c r="F762" s="8" t="s">
        <v>126</v>
      </c>
      <c r="G762" s="85">
        <f>+'[2]Dự thầu'!$G299</f>
        <v>10479792</v>
      </c>
      <c r="H762" s="86">
        <f t="shared" si="26"/>
        <v>4506311</v>
      </c>
    </row>
    <row r="763" spans="1:8" ht="15.75" customHeight="1" x14ac:dyDescent="0.25">
      <c r="A763" s="4" t="s">
        <v>1111</v>
      </c>
      <c r="B763" s="8">
        <v>758</v>
      </c>
      <c r="C763" s="8" t="s">
        <v>305</v>
      </c>
      <c r="D763" s="8" t="s">
        <v>10</v>
      </c>
      <c r="E763" s="8">
        <v>25.6</v>
      </c>
      <c r="F763" s="8" t="s">
        <v>13</v>
      </c>
      <c r="G763" s="85">
        <f>+'[2]Dự thầu'!$G300</f>
        <v>43066</v>
      </c>
      <c r="H763" s="86">
        <f t="shared" si="26"/>
        <v>1102490</v>
      </c>
    </row>
    <row r="764" spans="1:8" ht="15.75" customHeight="1" x14ac:dyDescent="0.25">
      <c r="A764" s="4" t="s">
        <v>1112</v>
      </c>
      <c r="B764" s="8">
        <v>759</v>
      </c>
      <c r="C764" s="8" t="s">
        <v>272</v>
      </c>
      <c r="D764" s="8" t="s">
        <v>10</v>
      </c>
      <c r="E764" s="8">
        <v>2.75</v>
      </c>
      <c r="F764" s="8" t="s">
        <v>90</v>
      </c>
      <c r="G764" s="85">
        <f>+'[2]Dự thầu'!$G301</f>
        <v>51234</v>
      </c>
      <c r="H764" s="86">
        <f t="shared" si="26"/>
        <v>140894</v>
      </c>
    </row>
    <row r="765" spans="1:8" ht="15.75" customHeight="1" x14ac:dyDescent="0.25">
      <c r="A765" s="4" t="s">
        <v>1113</v>
      </c>
      <c r="B765" s="8">
        <v>760</v>
      </c>
      <c r="C765" s="8" t="s">
        <v>293</v>
      </c>
      <c r="D765" s="8" t="s">
        <v>10</v>
      </c>
      <c r="E765" s="8">
        <v>2.75</v>
      </c>
      <c r="F765" s="8" t="s">
        <v>90</v>
      </c>
      <c r="G765" s="85">
        <f>+'[2]Dự thầu'!$G302</f>
        <v>33301</v>
      </c>
      <c r="H765" s="86">
        <f t="shared" si="26"/>
        <v>91578</v>
      </c>
    </row>
    <row r="766" spans="1:8" ht="15.75" customHeight="1" x14ac:dyDescent="0.25">
      <c r="A766" s="4" t="s">
        <v>1114</v>
      </c>
      <c r="B766" s="8">
        <v>761</v>
      </c>
      <c r="C766" s="8" t="s">
        <v>284</v>
      </c>
      <c r="D766" s="8" t="s">
        <v>10</v>
      </c>
      <c r="E766" s="8">
        <v>0.28000000000000003</v>
      </c>
      <c r="F766" s="8" t="s">
        <v>274</v>
      </c>
      <c r="G766" s="85">
        <f>+'[2]Dự thầu'!$G303</f>
        <v>32162</v>
      </c>
      <c r="H766" s="86">
        <f t="shared" si="26"/>
        <v>9005</v>
      </c>
    </row>
    <row r="767" spans="1:8" ht="15.75" customHeight="1" x14ac:dyDescent="0.25">
      <c r="A767" s="4" t="s">
        <v>1115</v>
      </c>
      <c r="B767" s="8">
        <v>762</v>
      </c>
      <c r="C767" s="8" t="s">
        <v>310</v>
      </c>
      <c r="D767" s="8" t="s">
        <v>10</v>
      </c>
      <c r="E767" s="8">
        <v>100</v>
      </c>
      <c r="F767" s="8" t="s">
        <v>250</v>
      </c>
      <c r="G767" s="85">
        <f>+'[2]Dự thầu'!$G304</f>
        <v>9700</v>
      </c>
      <c r="H767" s="86">
        <f t="shared" si="26"/>
        <v>970000</v>
      </c>
    </row>
    <row r="768" spans="1:8" ht="15.75" customHeight="1" x14ac:dyDescent="0.25">
      <c r="A768" s="4" t="s">
        <v>1116</v>
      </c>
      <c r="B768" s="8">
        <v>763</v>
      </c>
      <c r="C768" s="8" t="s">
        <v>125</v>
      </c>
      <c r="D768" s="8" t="s">
        <v>10</v>
      </c>
      <c r="E768" s="8">
        <v>7.0000000000000007E-2</v>
      </c>
      <c r="F768" s="8" t="s">
        <v>126</v>
      </c>
      <c r="G768" s="85">
        <f>+'[2]Dự thầu'!$G305</f>
        <v>10479792</v>
      </c>
      <c r="H768" s="86">
        <f t="shared" si="26"/>
        <v>733585</v>
      </c>
    </row>
    <row r="769" spans="1:8" ht="15.75" customHeight="1" x14ac:dyDescent="0.25">
      <c r="A769" s="4" t="s">
        <v>1117</v>
      </c>
      <c r="B769" s="8">
        <v>764</v>
      </c>
      <c r="C769" s="8" t="s">
        <v>1118</v>
      </c>
      <c r="D769" s="8" t="s">
        <v>10</v>
      </c>
      <c r="E769" s="8">
        <v>1.6</v>
      </c>
      <c r="F769" s="8" t="s">
        <v>16</v>
      </c>
      <c r="G769" s="85">
        <f>+'[2]Dự thầu'!$G306</f>
        <v>1649892</v>
      </c>
      <c r="H769" s="86">
        <f t="shared" si="26"/>
        <v>2639827</v>
      </c>
    </row>
    <row r="770" spans="1:8" ht="15.75" customHeight="1" x14ac:dyDescent="0.25">
      <c r="A770" s="4" t="s">
        <v>1119</v>
      </c>
      <c r="B770" s="8">
        <v>765</v>
      </c>
      <c r="C770" s="8" t="s">
        <v>240</v>
      </c>
      <c r="D770" s="8" t="s">
        <v>10</v>
      </c>
      <c r="E770" s="8">
        <v>6.9</v>
      </c>
      <c r="F770" s="8" t="s">
        <v>16</v>
      </c>
      <c r="G770" s="85">
        <f>+'[2]Dự thầu'!$G307</f>
        <v>851305</v>
      </c>
      <c r="H770" s="86">
        <f t="shared" si="26"/>
        <v>5874005</v>
      </c>
    </row>
    <row r="771" spans="1:8" ht="15.75" customHeight="1" x14ac:dyDescent="0.25">
      <c r="A771" s="4" t="s">
        <v>1120</v>
      </c>
      <c r="B771" s="8">
        <v>766</v>
      </c>
      <c r="C771" s="8" t="s">
        <v>1121</v>
      </c>
      <c r="D771" s="8" t="s">
        <v>10</v>
      </c>
      <c r="E771" s="8">
        <v>0.1</v>
      </c>
      <c r="F771" s="8" t="s">
        <v>90</v>
      </c>
      <c r="G771" s="85">
        <f>+'[2]Dự thầu'!$G308</f>
        <v>24850511</v>
      </c>
      <c r="H771" s="86">
        <f t="shared" si="26"/>
        <v>2485051</v>
      </c>
    </row>
    <row r="772" spans="1:8" ht="15.75" customHeight="1" x14ac:dyDescent="0.25">
      <c r="A772" s="4" t="s">
        <v>1122</v>
      </c>
      <c r="B772" s="8">
        <v>767</v>
      </c>
      <c r="C772" s="8" t="s">
        <v>1123</v>
      </c>
      <c r="D772" s="8" t="s">
        <v>10</v>
      </c>
      <c r="E772" s="8">
        <v>0.2</v>
      </c>
      <c r="F772" s="8" t="s">
        <v>90</v>
      </c>
      <c r="G772" s="85">
        <f>+'[2]Dự thầu'!$G309</f>
        <v>24510303</v>
      </c>
      <c r="H772" s="86">
        <f t="shared" si="26"/>
        <v>4902061</v>
      </c>
    </row>
    <row r="773" spans="1:8" ht="15.75" customHeight="1" x14ac:dyDescent="0.25">
      <c r="A773" s="4" t="s">
        <v>1124</v>
      </c>
      <c r="B773" s="8">
        <v>768</v>
      </c>
      <c r="C773" s="8" t="s">
        <v>312</v>
      </c>
      <c r="D773" s="8" t="s">
        <v>10</v>
      </c>
      <c r="E773" s="8">
        <v>21.8</v>
      </c>
      <c r="F773" s="8" t="s">
        <v>16</v>
      </c>
      <c r="G773" s="85">
        <f>+'[2]Dự thầu'!$G310</f>
        <v>1568156</v>
      </c>
      <c r="H773" s="86">
        <f t="shared" si="26"/>
        <v>34185801</v>
      </c>
    </row>
    <row r="774" spans="1:8" ht="15.75" customHeight="1" x14ac:dyDescent="0.25">
      <c r="A774" s="4" t="s">
        <v>1125</v>
      </c>
      <c r="B774" s="8">
        <v>769</v>
      </c>
      <c r="C774" s="8" t="s">
        <v>240</v>
      </c>
      <c r="D774" s="8" t="s">
        <v>10</v>
      </c>
      <c r="E774" s="8">
        <v>16.3</v>
      </c>
      <c r="F774" s="8" t="s">
        <v>16</v>
      </c>
      <c r="G774" s="85">
        <f>+'[2]Dự thầu'!$G311</f>
        <v>851305</v>
      </c>
      <c r="H774" s="86">
        <f t="shared" si="26"/>
        <v>13876272</v>
      </c>
    </row>
    <row r="775" spans="1:8" ht="15.75" customHeight="1" x14ac:dyDescent="0.25">
      <c r="A775" s="4" t="s">
        <v>1126</v>
      </c>
      <c r="B775" s="8">
        <v>770</v>
      </c>
      <c r="C775" s="8" t="s">
        <v>315</v>
      </c>
      <c r="D775" s="8" t="s">
        <v>10</v>
      </c>
      <c r="E775" s="8">
        <v>1449.24</v>
      </c>
      <c r="F775" s="8" t="s">
        <v>16</v>
      </c>
      <c r="G775" s="85">
        <f>+'[2]Dự thầu'!$G312</f>
        <v>23993</v>
      </c>
      <c r="H775" s="86">
        <f t="shared" si="26"/>
        <v>34771615</v>
      </c>
    </row>
    <row r="776" spans="1:8" ht="15.75" customHeight="1" x14ac:dyDescent="0.25">
      <c r="A776" s="4" t="s">
        <v>1127</v>
      </c>
      <c r="B776" s="8">
        <v>771</v>
      </c>
      <c r="C776" s="8" t="s">
        <v>317</v>
      </c>
      <c r="D776" s="8" t="s">
        <v>10</v>
      </c>
      <c r="E776" s="8">
        <v>4959.1099999999997</v>
      </c>
      <c r="F776" s="8" t="s">
        <v>16</v>
      </c>
      <c r="G776" s="85">
        <f>+'[2]Dự thầu'!$G313</f>
        <v>32141</v>
      </c>
      <c r="H776" s="86">
        <f t="shared" si="26"/>
        <v>159390755</v>
      </c>
    </row>
    <row r="777" spans="1:8" ht="15.75" customHeight="1" x14ac:dyDescent="0.25">
      <c r="A777" s="4" t="s">
        <v>1128</v>
      </c>
      <c r="B777" s="8">
        <v>772</v>
      </c>
      <c r="C777" s="8" t="s">
        <v>1129</v>
      </c>
      <c r="D777" s="8" t="s">
        <v>10</v>
      </c>
      <c r="E777" s="8">
        <v>4.7</v>
      </c>
      <c r="F777" s="8" t="s">
        <v>16</v>
      </c>
      <c r="G777" s="85">
        <f>+'[2]Dự thầu'!$G314</f>
        <v>1915334</v>
      </c>
      <c r="H777" s="86">
        <f t="shared" si="26"/>
        <v>9002070</v>
      </c>
    </row>
    <row r="778" spans="1:8" ht="15.75" customHeight="1" x14ac:dyDescent="0.25">
      <c r="A778" s="4" t="s">
        <v>1130</v>
      </c>
      <c r="B778" s="8">
        <v>773</v>
      </c>
      <c r="C778" s="8" t="s">
        <v>319</v>
      </c>
      <c r="D778" s="8" t="s">
        <v>10</v>
      </c>
      <c r="E778" s="8">
        <v>96.2</v>
      </c>
      <c r="F778" s="8" t="s">
        <v>16</v>
      </c>
      <c r="G778" s="85">
        <f>+'[2]Dự thầu'!$G315</f>
        <v>1568156</v>
      </c>
      <c r="H778" s="86">
        <f t="shared" si="26"/>
        <v>150856607</v>
      </c>
    </row>
    <row r="779" spans="1:8" ht="15.75" customHeight="1" x14ac:dyDescent="0.25">
      <c r="A779" s="4" t="s">
        <v>1131</v>
      </c>
      <c r="B779" s="8">
        <v>774</v>
      </c>
      <c r="C779" s="8" t="s">
        <v>1132</v>
      </c>
      <c r="D779" s="8" t="s">
        <v>10</v>
      </c>
      <c r="E779" s="8">
        <v>0.8</v>
      </c>
      <c r="F779" s="8" t="s">
        <v>90</v>
      </c>
      <c r="G779" s="85">
        <f>+'[2]Dự thầu'!$G316</f>
        <v>25286847</v>
      </c>
      <c r="H779" s="86">
        <f t="shared" si="26"/>
        <v>20229478</v>
      </c>
    </row>
    <row r="780" spans="1:8" ht="15.75" customHeight="1" x14ac:dyDescent="0.25">
      <c r="A780" s="4" t="s">
        <v>1133</v>
      </c>
      <c r="B780" s="8">
        <v>775</v>
      </c>
      <c r="C780" s="8" t="s">
        <v>125</v>
      </c>
      <c r="D780" s="8" t="s">
        <v>10</v>
      </c>
      <c r="E780" s="8">
        <v>181.3</v>
      </c>
      <c r="F780" s="8" t="s">
        <v>13</v>
      </c>
      <c r="G780" s="85">
        <f>+'[2]Dự thầu'!$G317</f>
        <v>104798</v>
      </c>
      <c r="H780" s="86">
        <f t="shared" si="26"/>
        <v>18999877</v>
      </c>
    </row>
    <row r="781" spans="1:8" ht="15.75" customHeight="1" x14ac:dyDescent="0.25">
      <c r="A781" s="4" t="s">
        <v>1134</v>
      </c>
      <c r="B781" s="8">
        <v>776</v>
      </c>
      <c r="C781" s="8" t="s">
        <v>240</v>
      </c>
      <c r="D781" s="8" t="s">
        <v>10</v>
      </c>
      <c r="E781" s="8">
        <v>44.8</v>
      </c>
      <c r="F781" s="8" t="s">
        <v>16</v>
      </c>
      <c r="G781" s="85">
        <f>+'[2]Dự thầu'!$G318</f>
        <v>851305</v>
      </c>
      <c r="H781" s="86">
        <f t="shared" si="26"/>
        <v>38138464</v>
      </c>
    </row>
    <row r="782" spans="1:8" ht="15.75" customHeight="1" x14ac:dyDescent="0.25">
      <c r="A782" s="4" t="s">
        <v>1135</v>
      </c>
      <c r="B782" s="8">
        <v>777</v>
      </c>
      <c r="C782" s="8" t="s">
        <v>323</v>
      </c>
      <c r="D782" s="8" t="s">
        <v>10</v>
      </c>
      <c r="E782" s="8">
        <v>96.4</v>
      </c>
      <c r="F782" s="8" t="s">
        <v>16</v>
      </c>
      <c r="G782" s="85">
        <f>+'[2]Dự thầu'!$G319</f>
        <v>1850255</v>
      </c>
      <c r="H782" s="86">
        <f t="shared" si="26"/>
        <v>178364582</v>
      </c>
    </row>
    <row r="783" spans="1:8" ht="15.75" customHeight="1" x14ac:dyDescent="0.25">
      <c r="A783" s="4" t="s">
        <v>1136</v>
      </c>
      <c r="B783" s="8">
        <v>778</v>
      </c>
      <c r="C783" s="8" t="s">
        <v>325</v>
      </c>
      <c r="D783" s="8" t="s">
        <v>10</v>
      </c>
      <c r="E783" s="8">
        <v>1014.4</v>
      </c>
      <c r="F783" s="8" t="s">
        <v>13</v>
      </c>
      <c r="G783" s="85">
        <f>+'[2]Dự thầu'!$G320</f>
        <v>96763</v>
      </c>
      <c r="H783" s="86">
        <f t="shared" si="26"/>
        <v>98156387</v>
      </c>
    </row>
    <row r="784" spans="1:8" ht="15.75" customHeight="1" x14ac:dyDescent="0.25">
      <c r="A784" s="4" t="s">
        <v>1137</v>
      </c>
      <c r="B784" s="8">
        <v>779</v>
      </c>
      <c r="C784" s="8" t="s">
        <v>1025</v>
      </c>
      <c r="D784" s="8" t="s">
        <v>10</v>
      </c>
      <c r="E784" s="8">
        <v>161</v>
      </c>
      <c r="F784" s="8" t="s">
        <v>75</v>
      </c>
      <c r="G784" s="85">
        <f>+'[2]Dự thầu'!$G321</f>
        <v>10831</v>
      </c>
      <c r="H784" s="86">
        <f t="shared" si="26"/>
        <v>1743791</v>
      </c>
    </row>
    <row r="785" spans="1:9" ht="15.75" customHeight="1" x14ac:dyDescent="0.25">
      <c r="A785" s="4" t="s">
        <v>1138</v>
      </c>
      <c r="B785" s="8">
        <v>780</v>
      </c>
      <c r="C785" s="8" t="s">
        <v>329</v>
      </c>
      <c r="D785" s="8" t="s">
        <v>10</v>
      </c>
      <c r="E785" s="8">
        <v>1.58</v>
      </c>
      <c r="F785" s="8" t="s">
        <v>16</v>
      </c>
      <c r="G785" s="85">
        <f>+'[2]Dự thầu'!$G322</f>
        <v>2087940</v>
      </c>
      <c r="H785" s="86">
        <f t="shared" si="26"/>
        <v>3298945</v>
      </c>
    </row>
    <row r="786" spans="1:9" ht="15.75" customHeight="1" x14ac:dyDescent="0.25">
      <c r="A786" s="4" t="s">
        <v>1139</v>
      </c>
      <c r="B786" s="8">
        <v>781</v>
      </c>
      <c r="C786" s="8" t="s">
        <v>125</v>
      </c>
      <c r="D786" s="8" t="s">
        <v>10</v>
      </c>
      <c r="E786" s="8">
        <v>13.39</v>
      </c>
      <c r="F786" s="8" t="s">
        <v>13</v>
      </c>
      <c r="G786" s="85">
        <f>+'[2]Dự thầu'!$G323</f>
        <v>104798</v>
      </c>
      <c r="H786" s="86">
        <f t="shared" si="26"/>
        <v>1403245</v>
      </c>
    </row>
    <row r="787" spans="1:9" ht="15.75" customHeight="1" x14ac:dyDescent="0.25">
      <c r="A787" s="4" t="s">
        <v>1140</v>
      </c>
      <c r="B787" s="8">
        <v>782</v>
      </c>
      <c r="C787" s="8" t="s">
        <v>332</v>
      </c>
      <c r="D787" s="8" t="s">
        <v>10</v>
      </c>
      <c r="E787" s="8">
        <v>0.16</v>
      </c>
      <c r="F787" s="8" t="s">
        <v>90</v>
      </c>
      <c r="G787" s="85">
        <f>+'[2]Dự thầu'!$G324</f>
        <v>26211154</v>
      </c>
      <c r="H787" s="86">
        <f t="shared" si="26"/>
        <v>4193785</v>
      </c>
    </row>
    <row r="788" spans="1:9" ht="15.75" customHeight="1" x14ac:dyDescent="0.25">
      <c r="A788" s="4">
        <v>12</v>
      </c>
      <c r="B788" s="8">
        <v>783</v>
      </c>
      <c r="C788" s="8" t="s">
        <v>1141</v>
      </c>
      <c r="D788" s="8" t="s">
        <v>10</v>
      </c>
      <c r="E788" s="8"/>
      <c r="F788" s="8"/>
      <c r="G788" s="85"/>
      <c r="I788" s="86"/>
    </row>
    <row r="789" spans="1:9" ht="15.75" customHeight="1" x14ac:dyDescent="0.25">
      <c r="A789" s="4" t="s">
        <v>1142</v>
      </c>
      <c r="B789" s="8">
        <v>784</v>
      </c>
      <c r="C789" s="8" t="s">
        <v>510</v>
      </c>
      <c r="D789" s="8" t="s">
        <v>10</v>
      </c>
      <c r="E789" s="8">
        <v>2599</v>
      </c>
      <c r="F789" s="8" t="s">
        <v>13</v>
      </c>
      <c r="G789" s="85">
        <f>+'[2]Dự thầu'!$G488</f>
        <v>519576</v>
      </c>
      <c r="H789" s="86">
        <f t="shared" ref="H789:H809" si="27">+ROUND(G789*E789,0)</f>
        <v>1350378024</v>
      </c>
    </row>
    <row r="790" spans="1:9" ht="15.75" customHeight="1" x14ac:dyDescent="0.25">
      <c r="A790" s="4" t="s">
        <v>1143</v>
      </c>
      <c r="B790" s="8">
        <v>785</v>
      </c>
      <c r="C790" s="8" t="s">
        <v>512</v>
      </c>
      <c r="D790" s="8" t="s">
        <v>10</v>
      </c>
      <c r="E790" s="8">
        <v>136.82</v>
      </c>
      <c r="F790" s="8" t="s">
        <v>13</v>
      </c>
      <c r="G790" s="85">
        <f>+'[2]Dự thầu'!$G489</f>
        <v>1113651</v>
      </c>
      <c r="H790" s="86">
        <f t="shared" si="27"/>
        <v>152369730</v>
      </c>
    </row>
    <row r="791" spans="1:9" ht="15.75" customHeight="1" x14ac:dyDescent="0.25">
      <c r="A791" s="4" t="s">
        <v>1144</v>
      </c>
      <c r="B791" s="8">
        <v>786</v>
      </c>
      <c r="C791" s="8" t="s">
        <v>514</v>
      </c>
      <c r="D791" s="8" t="s">
        <v>10</v>
      </c>
      <c r="E791" s="8">
        <v>94</v>
      </c>
      <c r="F791" s="8" t="s">
        <v>515</v>
      </c>
      <c r="G791" s="85">
        <f>+'[2]Dự thầu'!$G490</f>
        <v>56885</v>
      </c>
      <c r="H791" s="86">
        <f t="shared" si="27"/>
        <v>5347190</v>
      </c>
    </row>
    <row r="792" spans="1:9" ht="15.75" customHeight="1" x14ac:dyDescent="0.25">
      <c r="A792" s="4" t="s">
        <v>1145</v>
      </c>
      <c r="B792" s="8">
        <v>787</v>
      </c>
      <c r="C792" s="8" t="s">
        <v>517</v>
      </c>
      <c r="D792" s="8" t="s">
        <v>10</v>
      </c>
      <c r="E792" s="8">
        <v>44</v>
      </c>
      <c r="F792" s="8" t="s">
        <v>258</v>
      </c>
      <c r="G792" s="85">
        <f>+'[2]Dự thầu'!$G491</f>
        <v>305237</v>
      </c>
      <c r="H792" s="86">
        <f t="shared" si="27"/>
        <v>13430428</v>
      </c>
    </row>
    <row r="793" spans="1:9" ht="15.75" customHeight="1" x14ac:dyDescent="0.25">
      <c r="A793" s="4" t="s">
        <v>1146</v>
      </c>
      <c r="B793" s="8">
        <v>788</v>
      </c>
      <c r="C793" s="8" t="s">
        <v>519</v>
      </c>
      <c r="D793" s="8" t="s">
        <v>10</v>
      </c>
      <c r="E793" s="8">
        <v>33</v>
      </c>
      <c r="F793" s="8" t="s">
        <v>258</v>
      </c>
      <c r="G793" s="85">
        <f>+'[2]Dự thầu'!$G492</f>
        <v>320389</v>
      </c>
      <c r="H793" s="86">
        <f t="shared" si="27"/>
        <v>10572837</v>
      </c>
    </row>
    <row r="794" spans="1:9" ht="15.75" customHeight="1" x14ac:dyDescent="0.25">
      <c r="A794" s="4" t="s">
        <v>1147</v>
      </c>
      <c r="B794" s="8">
        <v>789</v>
      </c>
      <c r="C794" s="8" t="s">
        <v>521</v>
      </c>
      <c r="D794" s="8" t="s">
        <v>10</v>
      </c>
      <c r="E794" s="8">
        <v>10</v>
      </c>
      <c r="F794" s="8" t="s">
        <v>258</v>
      </c>
      <c r="G794" s="85">
        <f>+'[2]Dự thầu'!$G493</f>
        <v>314327</v>
      </c>
      <c r="H794" s="86">
        <f t="shared" si="27"/>
        <v>3143270</v>
      </c>
    </row>
    <row r="795" spans="1:9" ht="15.75" customHeight="1" x14ac:dyDescent="0.25">
      <c r="A795" s="4" t="s">
        <v>1148</v>
      </c>
      <c r="B795" s="8">
        <v>790</v>
      </c>
      <c r="C795" s="8" t="s">
        <v>1149</v>
      </c>
      <c r="D795" s="8" t="s">
        <v>10</v>
      </c>
      <c r="E795" s="8">
        <v>1</v>
      </c>
      <c r="F795" s="8" t="s">
        <v>258</v>
      </c>
      <c r="G795" s="85">
        <f>+'[2]Dự thầu'!$G494</f>
        <v>314327</v>
      </c>
      <c r="H795" s="86">
        <f t="shared" si="27"/>
        <v>314327</v>
      </c>
    </row>
    <row r="796" spans="1:9" ht="15.75" customHeight="1" x14ac:dyDescent="0.25">
      <c r="A796" s="4" t="s">
        <v>1150</v>
      </c>
      <c r="B796" s="8">
        <v>791</v>
      </c>
      <c r="C796" s="8" t="s">
        <v>523</v>
      </c>
      <c r="D796" s="8" t="s">
        <v>10</v>
      </c>
      <c r="E796" s="8">
        <v>3</v>
      </c>
      <c r="F796" s="8" t="s">
        <v>258</v>
      </c>
      <c r="G796" s="85">
        <f>+'[2]Dự thầu'!$G495</f>
        <v>314327</v>
      </c>
      <c r="H796" s="86">
        <f t="shared" si="27"/>
        <v>942981</v>
      </c>
    </row>
    <row r="797" spans="1:9" ht="15.75" customHeight="1" x14ac:dyDescent="0.25">
      <c r="A797" s="4" t="s">
        <v>1151</v>
      </c>
      <c r="B797" s="8">
        <v>792</v>
      </c>
      <c r="C797" s="8" t="s">
        <v>527</v>
      </c>
      <c r="D797" s="8" t="s">
        <v>10</v>
      </c>
      <c r="E797" s="8">
        <v>44</v>
      </c>
      <c r="F797" s="8" t="s">
        <v>258</v>
      </c>
      <c r="G797" s="85">
        <f>+'[2]Dự thầu'!$G496</f>
        <v>492731</v>
      </c>
      <c r="H797" s="86">
        <f t="shared" si="27"/>
        <v>21680164</v>
      </c>
    </row>
    <row r="798" spans="1:9" ht="15.75" customHeight="1" x14ac:dyDescent="0.25">
      <c r="A798" s="4" t="s">
        <v>1152</v>
      </c>
      <c r="B798" s="8">
        <v>793</v>
      </c>
      <c r="C798" s="8" t="s">
        <v>529</v>
      </c>
      <c r="D798" s="8" t="s">
        <v>10</v>
      </c>
      <c r="E798" s="8">
        <v>33</v>
      </c>
      <c r="F798" s="8" t="s">
        <v>258</v>
      </c>
      <c r="G798" s="85">
        <f>+'[2]Dự thầu'!$G497</f>
        <v>1021897</v>
      </c>
      <c r="H798" s="86">
        <f t="shared" si="27"/>
        <v>33722601</v>
      </c>
    </row>
    <row r="799" spans="1:9" ht="15.75" customHeight="1" x14ac:dyDescent="0.25">
      <c r="A799" s="4" t="s">
        <v>1153</v>
      </c>
      <c r="B799" s="8">
        <v>794</v>
      </c>
      <c r="C799" s="8" t="s">
        <v>531</v>
      </c>
      <c r="D799" s="8" t="s">
        <v>10</v>
      </c>
      <c r="E799" s="8">
        <v>10</v>
      </c>
      <c r="F799" s="8" t="s">
        <v>258</v>
      </c>
      <c r="G799" s="85">
        <f>+'[2]Dự thầu'!$G498</f>
        <v>1021897</v>
      </c>
      <c r="H799" s="86">
        <f t="shared" si="27"/>
        <v>10218970</v>
      </c>
    </row>
    <row r="800" spans="1:9" ht="15.75" customHeight="1" x14ac:dyDescent="0.25">
      <c r="A800" s="4" t="s">
        <v>1154</v>
      </c>
      <c r="B800" s="8">
        <v>795</v>
      </c>
      <c r="C800" s="8" t="s">
        <v>1155</v>
      </c>
      <c r="D800" s="8" t="s">
        <v>10</v>
      </c>
      <c r="E800" s="8">
        <v>1</v>
      </c>
      <c r="F800" s="8" t="s">
        <v>258</v>
      </c>
      <c r="G800" s="85">
        <f>+'[2]Dự thầu'!$G499</f>
        <v>1021897</v>
      </c>
      <c r="H800" s="86">
        <f t="shared" si="27"/>
        <v>1021897</v>
      </c>
    </row>
    <row r="801" spans="1:9" ht="15.75" customHeight="1" x14ac:dyDescent="0.25">
      <c r="A801" s="4" t="s">
        <v>1156</v>
      </c>
      <c r="B801" s="8">
        <v>796</v>
      </c>
      <c r="C801" s="8" t="s">
        <v>535</v>
      </c>
      <c r="D801" s="8" t="s">
        <v>10</v>
      </c>
      <c r="E801" s="8">
        <v>3</v>
      </c>
      <c r="F801" s="8" t="s">
        <v>258</v>
      </c>
      <c r="G801" s="85">
        <f>+'[2]Dự thầu'!$G500</f>
        <v>804708</v>
      </c>
      <c r="H801" s="86">
        <f t="shared" si="27"/>
        <v>2414124</v>
      </c>
    </row>
    <row r="802" spans="1:9" ht="15.75" customHeight="1" x14ac:dyDescent="0.25">
      <c r="A802" s="4" t="s">
        <v>1157</v>
      </c>
      <c r="B802" s="8">
        <v>797</v>
      </c>
      <c r="C802" s="8" t="s">
        <v>537</v>
      </c>
      <c r="D802" s="8" t="s">
        <v>10</v>
      </c>
      <c r="E802" s="8">
        <v>275</v>
      </c>
      <c r="F802" s="8" t="s">
        <v>75</v>
      </c>
      <c r="G802" s="85">
        <f>+'[2]Dự thầu'!$G501</f>
        <v>171892</v>
      </c>
      <c r="H802" s="86">
        <f t="shared" si="27"/>
        <v>47270300</v>
      </c>
    </row>
    <row r="803" spans="1:9" ht="15.75" customHeight="1" x14ac:dyDescent="0.25">
      <c r="A803" s="4" t="s">
        <v>1158</v>
      </c>
      <c r="B803" s="8">
        <v>798</v>
      </c>
      <c r="C803" s="8" t="s">
        <v>1159</v>
      </c>
      <c r="D803" s="8" t="s">
        <v>10</v>
      </c>
      <c r="E803" s="8">
        <v>4.3499999999999996</v>
      </c>
      <c r="F803" s="8" t="s">
        <v>1160</v>
      </c>
      <c r="G803" s="85">
        <f>+'[2]Dự thầu'!$G502</f>
        <v>9382399</v>
      </c>
      <c r="H803" s="86">
        <f t="shared" si="27"/>
        <v>40813436</v>
      </c>
    </row>
    <row r="804" spans="1:9" ht="15.75" customHeight="1" x14ac:dyDescent="0.25">
      <c r="A804" s="4" t="s">
        <v>1161</v>
      </c>
      <c r="B804" s="8">
        <v>799</v>
      </c>
      <c r="C804" s="8" t="s">
        <v>1162</v>
      </c>
      <c r="D804" s="8" t="s">
        <v>10</v>
      </c>
      <c r="E804" s="8">
        <v>435</v>
      </c>
      <c r="F804" s="8" t="s">
        <v>75</v>
      </c>
      <c r="G804" s="85">
        <f>+'[2]Dự thầu'!$G503</f>
        <v>856508</v>
      </c>
      <c r="H804" s="86">
        <f t="shared" si="27"/>
        <v>372580980</v>
      </c>
    </row>
    <row r="805" spans="1:9" ht="15.75" customHeight="1" x14ac:dyDescent="0.25">
      <c r="A805" s="4" t="s">
        <v>1163</v>
      </c>
      <c r="B805" s="8">
        <v>800</v>
      </c>
      <c r="C805" s="8" t="s">
        <v>539</v>
      </c>
      <c r="D805" s="8" t="s">
        <v>10</v>
      </c>
      <c r="E805" s="8">
        <v>2</v>
      </c>
      <c r="F805" s="8" t="s">
        <v>258</v>
      </c>
      <c r="G805" s="85">
        <f>+'[2]Dự thầu'!$G504</f>
        <v>383011</v>
      </c>
      <c r="H805" s="86">
        <f t="shared" si="27"/>
        <v>766022</v>
      </c>
    </row>
    <row r="806" spans="1:9" ht="15.75" customHeight="1" x14ac:dyDescent="0.25">
      <c r="A806" s="4" t="s">
        <v>1164</v>
      </c>
      <c r="B806" s="8">
        <v>801</v>
      </c>
      <c r="C806" s="8" t="s">
        <v>541</v>
      </c>
      <c r="D806" s="8" t="s">
        <v>10</v>
      </c>
      <c r="E806" s="8">
        <v>21</v>
      </c>
      <c r="F806" s="8" t="s">
        <v>258</v>
      </c>
      <c r="G806" s="85">
        <f>+'[2]Dự thầu'!$G505</f>
        <v>308087</v>
      </c>
      <c r="H806" s="86">
        <f t="shared" si="27"/>
        <v>6469827</v>
      </c>
    </row>
    <row r="807" spans="1:9" ht="15.75" customHeight="1" x14ac:dyDescent="0.25">
      <c r="A807" s="4" t="s">
        <v>1165</v>
      </c>
      <c r="B807" s="8">
        <v>802</v>
      </c>
      <c r="C807" s="8" t="s">
        <v>1166</v>
      </c>
      <c r="D807" s="8" t="s">
        <v>10</v>
      </c>
      <c r="E807" s="8">
        <v>1</v>
      </c>
      <c r="F807" s="8" t="s">
        <v>515</v>
      </c>
      <c r="G807" s="85">
        <f>+'[2]Dự thầu'!$G506</f>
        <v>40152</v>
      </c>
      <c r="H807" s="86">
        <f t="shared" si="27"/>
        <v>40152</v>
      </c>
    </row>
    <row r="808" spans="1:9" ht="15.75" customHeight="1" x14ac:dyDescent="0.25">
      <c r="A808" s="4" t="s">
        <v>1167</v>
      </c>
      <c r="B808" s="8">
        <v>803</v>
      </c>
      <c r="C808" s="8" t="s">
        <v>543</v>
      </c>
      <c r="D808" s="8" t="s">
        <v>10</v>
      </c>
      <c r="E808" s="8">
        <v>359</v>
      </c>
      <c r="F808" s="8" t="s">
        <v>258</v>
      </c>
      <c r="G808" s="85">
        <f>+'[2]Dự thầu'!$G507</f>
        <v>266456</v>
      </c>
      <c r="H808" s="86">
        <f t="shared" si="27"/>
        <v>95657704</v>
      </c>
    </row>
    <row r="809" spans="1:9" ht="15.75" customHeight="1" x14ac:dyDescent="0.25">
      <c r="A809" s="4" t="s">
        <v>1168</v>
      </c>
      <c r="B809" s="8">
        <v>804</v>
      </c>
      <c r="C809" s="8" t="s">
        <v>545</v>
      </c>
      <c r="D809" s="8" t="s">
        <v>10</v>
      </c>
      <c r="E809" s="8">
        <v>89</v>
      </c>
      <c r="F809" s="8" t="s">
        <v>258</v>
      </c>
      <c r="G809" s="85">
        <f>+'[2]Dự thầu'!$G508</f>
        <v>50931</v>
      </c>
      <c r="H809" s="86">
        <f t="shared" si="27"/>
        <v>4532859</v>
      </c>
    </row>
    <row r="810" spans="1:9" ht="15.75" customHeight="1" x14ac:dyDescent="0.25">
      <c r="A810" s="4">
        <v>13</v>
      </c>
      <c r="B810" s="8">
        <v>805</v>
      </c>
      <c r="C810" s="8" t="s">
        <v>1169</v>
      </c>
      <c r="D810" s="8" t="s">
        <v>10</v>
      </c>
      <c r="E810" s="8"/>
      <c r="F810" s="8"/>
      <c r="G810" s="85"/>
      <c r="I810" s="86"/>
    </row>
    <row r="811" spans="1:9" ht="15.75" customHeight="1" x14ac:dyDescent="0.25">
      <c r="A811" s="4" t="s">
        <v>1170</v>
      </c>
      <c r="B811" s="8">
        <v>806</v>
      </c>
      <c r="C811" s="8" t="s">
        <v>554</v>
      </c>
      <c r="D811" s="8" t="s">
        <v>10</v>
      </c>
      <c r="E811" s="8">
        <v>1.03</v>
      </c>
      <c r="F811" s="8" t="s">
        <v>90</v>
      </c>
      <c r="G811" s="85">
        <f>+'[2]Dự thầu'!$G912</f>
        <v>28771832</v>
      </c>
      <c r="H811" s="86">
        <f t="shared" ref="H811:H842" si="28">+ROUND(G811*E811,0)</f>
        <v>29634987</v>
      </c>
    </row>
    <row r="812" spans="1:9" ht="15.75" customHeight="1" x14ac:dyDescent="0.25">
      <c r="A812" s="4" t="s">
        <v>1171</v>
      </c>
      <c r="B812" s="8">
        <v>807</v>
      </c>
      <c r="C812" s="8" t="s">
        <v>556</v>
      </c>
      <c r="D812" s="8" t="s">
        <v>10</v>
      </c>
      <c r="E812" s="8">
        <v>11.03</v>
      </c>
      <c r="F812" s="8" t="s">
        <v>90</v>
      </c>
      <c r="G812" s="85">
        <f>+'[2]Dự thầu'!$G913</f>
        <v>27010601</v>
      </c>
      <c r="H812" s="86">
        <f t="shared" si="28"/>
        <v>297926929</v>
      </c>
    </row>
    <row r="813" spans="1:9" ht="15.75" customHeight="1" x14ac:dyDescent="0.25">
      <c r="A813" s="4" t="s">
        <v>1172</v>
      </c>
      <c r="B813" s="8">
        <v>808</v>
      </c>
      <c r="C813" s="8" t="s">
        <v>1173</v>
      </c>
      <c r="D813" s="8" t="s">
        <v>10</v>
      </c>
      <c r="E813" s="8">
        <v>0.19</v>
      </c>
      <c r="F813" s="8" t="s">
        <v>90</v>
      </c>
      <c r="G813" s="85">
        <f>+'[2]Dự thầu'!$G914</f>
        <v>27010601</v>
      </c>
      <c r="H813" s="86">
        <f t="shared" si="28"/>
        <v>5132014</v>
      </c>
    </row>
    <row r="814" spans="1:9" ht="15.75" customHeight="1" x14ac:dyDescent="0.25">
      <c r="A814" s="4" t="s">
        <v>1174</v>
      </c>
      <c r="B814" s="8">
        <v>809</v>
      </c>
      <c r="C814" s="8" t="s">
        <v>558</v>
      </c>
      <c r="D814" s="8" t="s">
        <v>10</v>
      </c>
      <c r="E814" s="8">
        <v>85.68</v>
      </c>
      <c r="F814" s="8" t="s">
        <v>16</v>
      </c>
      <c r="G814" s="85">
        <f>+'[2]Dự thầu'!$G915</f>
        <v>1877466</v>
      </c>
      <c r="H814" s="86">
        <f t="shared" si="28"/>
        <v>160861287</v>
      </c>
    </row>
    <row r="815" spans="1:9" ht="15.75" customHeight="1" x14ac:dyDescent="0.25">
      <c r="A815" s="4" t="s">
        <v>1175</v>
      </c>
      <c r="B815" s="8">
        <v>810</v>
      </c>
      <c r="C815" s="8" t="s">
        <v>641</v>
      </c>
      <c r="D815" s="8" t="s">
        <v>10</v>
      </c>
      <c r="E815" s="8">
        <v>620.16</v>
      </c>
      <c r="F815" s="8" t="s">
        <v>13</v>
      </c>
      <c r="G815" s="85">
        <f>+'[2]Dự thầu'!$G916</f>
        <v>115728</v>
      </c>
      <c r="H815" s="86">
        <f t="shared" si="28"/>
        <v>71769876</v>
      </c>
    </row>
    <row r="816" spans="1:9" ht="15.75" customHeight="1" x14ac:dyDescent="0.25">
      <c r="A816" s="4" t="s">
        <v>1176</v>
      </c>
      <c r="B816" s="8">
        <v>811</v>
      </c>
      <c r="C816" s="8" t="s">
        <v>643</v>
      </c>
      <c r="D816" s="8" t="s">
        <v>10</v>
      </c>
      <c r="E816" s="8">
        <v>34</v>
      </c>
      <c r="F816" s="8" t="s">
        <v>567</v>
      </c>
      <c r="G816" s="85">
        <f>+'[2]Dự thầu'!$G917</f>
        <v>561271</v>
      </c>
      <c r="H816" s="86">
        <f t="shared" si="28"/>
        <v>19083214</v>
      </c>
    </row>
    <row r="817" spans="1:8" ht="15.75" customHeight="1" x14ac:dyDescent="0.25">
      <c r="A817" s="4" t="s">
        <v>1177</v>
      </c>
      <c r="B817" s="8">
        <v>812</v>
      </c>
      <c r="C817" s="8" t="s">
        <v>569</v>
      </c>
      <c r="D817" s="8" t="s">
        <v>10</v>
      </c>
      <c r="E817" s="8">
        <v>34</v>
      </c>
      <c r="F817" s="8" t="s">
        <v>250</v>
      </c>
      <c r="G817" s="85">
        <f>+'[2]Dự thầu'!$G918</f>
        <v>129899</v>
      </c>
      <c r="H817" s="86">
        <f t="shared" si="28"/>
        <v>4416566</v>
      </c>
    </row>
    <row r="818" spans="1:8" ht="15.75" customHeight="1" x14ac:dyDescent="0.25">
      <c r="A818" s="4" t="s">
        <v>1178</v>
      </c>
      <c r="B818" s="8">
        <v>813</v>
      </c>
      <c r="C818" s="8" t="s">
        <v>571</v>
      </c>
      <c r="D818" s="8" t="s">
        <v>10</v>
      </c>
      <c r="E818" s="8">
        <v>34</v>
      </c>
      <c r="F818" s="8" t="s">
        <v>250</v>
      </c>
      <c r="G818" s="85">
        <f>+'[2]Dự thầu'!$G919</f>
        <v>91827</v>
      </c>
      <c r="H818" s="86">
        <f t="shared" si="28"/>
        <v>3122118</v>
      </c>
    </row>
    <row r="819" spans="1:8" ht="15.75" customHeight="1" x14ac:dyDescent="0.25">
      <c r="A819" s="4" t="s">
        <v>1179</v>
      </c>
      <c r="B819" s="8">
        <v>814</v>
      </c>
      <c r="C819" s="8" t="s">
        <v>647</v>
      </c>
      <c r="D819" s="8" t="s">
        <v>10</v>
      </c>
      <c r="E819" s="8">
        <v>21.42</v>
      </c>
      <c r="F819" s="8" t="s">
        <v>253</v>
      </c>
      <c r="G819" s="85">
        <f>+'[2]Dự thầu'!$G920</f>
        <v>36181</v>
      </c>
      <c r="H819" s="86">
        <f t="shared" si="28"/>
        <v>774997</v>
      </c>
    </row>
    <row r="820" spans="1:8" ht="15.75" customHeight="1" x14ac:dyDescent="0.25">
      <c r="A820" s="4" t="s">
        <v>1180</v>
      </c>
      <c r="B820" s="8">
        <v>815</v>
      </c>
      <c r="C820" s="8" t="s">
        <v>576</v>
      </c>
      <c r="D820" s="8" t="s">
        <v>10</v>
      </c>
      <c r="E820" s="8">
        <v>18.27</v>
      </c>
      <c r="F820" s="8" t="s">
        <v>16</v>
      </c>
      <c r="G820" s="85">
        <f>+'[2]Dự thầu'!$G921</f>
        <v>1731173</v>
      </c>
      <c r="H820" s="86">
        <f t="shared" si="28"/>
        <v>31628531</v>
      </c>
    </row>
    <row r="821" spans="1:8" ht="15.75" customHeight="1" x14ac:dyDescent="0.25">
      <c r="A821" s="4" t="s">
        <v>1181</v>
      </c>
      <c r="B821" s="8">
        <v>816</v>
      </c>
      <c r="C821" s="8" t="s">
        <v>578</v>
      </c>
      <c r="D821" s="8" t="s">
        <v>10</v>
      </c>
      <c r="E821" s="8">
        <v>1.08</v>
      </c>
      <c r="F821" s="8" t="s">
        <v>90</v>
      </c>
      <c r="G821" s="85">
        <f>+'[2]Dự thầu'!$G922</f>
        <v>28103452</v>
      </c>
      <c r="H821" s="86">
        <f t="shared" si="28"/>
        <v>30351728</v>
      </c>
    </row>
    <row r="822" spans="1:8" ht="15.75" customHeight="1" x14ac:dyDescent="0.25">
      <c r="A822" s="4" t="s">
        <v>1182</v>
      </c>
      <c r="B822" s="8">
        <v>817</v>
      </c>
      <c r="C822" s="8" t="s">
        <v>651</v>
      </c>
      <c r="D822" s="8" t="s">
        <v>10</v>
      </c>
      <c r="E822" s="8">
        <v>36.96</v>
      </c>
      <c r="F822" s="8" t="s">
        <v>13</v>
      </c>
      <c r="G822" s="85">
        <f>+'[2]Dự thầu'!$G923</f>
        <v>86606</v>
      </c>
      <c r="H822" s="86">
        <f t="shared" si="28"/>
        <v>3200958</v>
      </c>
    </row>
    <row r="823" spans="1:8" ht="15.75" customHeight="1" x14ac:dyDescent="0.25">
      <c r="A823" s="4" t="s">
        <v>1183</v>
      </c>
      <c r="B823" s="8">
        <v>818</v>
      </c>
      <c r="C823" s="8" t="s">
        <v>653</v>
      </c>
      <c r="D823" s="8" t="s">
        <v>10</v>
      </c>
      <c r="E823" s="8">
        <v>21</v>
      </c>
      <c r="F823" s="8" t="s">
        <v>258</v>
      </c>
      <c r="G823" s="85">
        <f>+'[2]Dự thầu'!$G924</f>
        <v>231535</v>
      </c>
      <c r="H823" s="86">
        <f t="shared" si="28"/>
        <v>4862235</v>
      </c>
    </row>
    <row r="824" spans="1:8" ht="15.75" customHeight="1" x14ac:dyDescent="0.25">
      <c r="A824" s="4" t="s">
        <v>1184</v>
      </c>
      <c r="B824" s="8">
        <v>819</v>
      </c>
      <c r="C824" s="8" t="s">
        <v>569</v>
      </c>
      <c r="D824" s="8" t="s">
        <v>10</v>
      </c>
      <c r="E824" s="8">
        <v>21</v>
      </c>
      <c r="F824" s="8" t="s">
        <v>250</v>
      </c>
      <c r="G824" s="85">
        <f>+'[2]Dự thầu'!$G925</f>
        <v>113802</v>
      </c>
      <c r="H824" s="86">
        <f t="shared" si="28"/>
        <v>2389842</v>
      </c>
    </row>
    <row r="825" spans="1:8" ht="15.75" customHeight="1" x14ac:dyDescent="0.25">
      <c r="A825" s="4" t="s">
        <v>1185</v>
      </c>
      <c r="B825" s="8">
        <v>820</v>
      </c>
      <c r="C825" s="8" t="s">
        <v>571</v>
      </c>
      <c r="D825" s="8" t="s">
        <v>10</v>
      </c>
      <c r="E825" s="8">
        <v>21</v>
      </c>
      <c r="F825" s="8" t="s">
        <v>250</v>
      </c>
      <c r="G825" s="85">
        <f>+'[2]Dự thầu'!$G926</f>
        <v>91827</v>
      </c>
      <c r="H825" s="86">
        <f t="shared" si="28"/>
        <v>1928367</v>
      </c>
    </row>
    <row r="826" spans="1:8" ht="15.75" customHeight="1" x14ac:dyDescent="0.25">
      <c r="A826" s="4" t="s">
        <v>1186</v>
      </c>
      <c r="B826" s="8">
        <v>821</v>
      </c>
      <c r="C826" s="8" t="s">
        <v>573</v>
      </c>
      <c r="D826" s="8" t="s">
        <v>10</v>
      </c>
      <c r="E826" s="8">
        <v>4.57</v>
      </c>
      <c r="F826" s="8" t="s">
        <v>253</v>
      </c>
      <c r="G826" s="85">
        <f>+'[2]Dự thầu'!$G927</f>
        <v>36181</v>
      </c>
      <c r="H826" s="86">
        <f t="shared" si="28"/>
        <v>165347</v>
      </c>
    </row>
    <row r="827" spans="1:8" ht="15.75" customHeight="1" x14ac:dyDescent="0.25">
      <c r="A827" s="4" t="s">
        <v>1187</v>
      </c>
      <c r="B827" s="8">
        <v>822</v>
      </c>
      <c r="C827" s="8" t="s">
        <v>587</v>
      </c>
      <c r="D827" s="8" t="s">
        <v>10</v>
      </c>
      <c r="E827" s="8">
        <v>11.28</v>
      </c>
      <c r="F827" s="8" t="s">
        <v>16</v>
      </c>
      <c r="G827" s="85">
        <f>+'[2]Dự thầu'!$G928</f>
        <v>851305</v>
      </c>
      <c r="H827" s="86">
        <f t="shared" si="28"/>
        <v>9602720</v>
      </c>
    </row>
    <row r="828" spans="1:8" ht="15.75" customHeight="1" x14ac:dyDescent="0.25">
      <c r="A828" s="4" t="s">
        <v>1188</v>
      </c>
      <c r="B828" s="8">
        <v>823</v>
      </c>
      <c r="C828" s="8" t="s">
        <v>744</v>
      </c>
      <c r="D828" s="8" t="s">
        <v>10</v>
      </c>
      <c r="E828" s="8">
        <v>20.79</v>
      </c>
      <c r="F828" s="8" t="s">
        <v>16</v>
      </c>
      <c r="G828" s="85">
        <f>+'[2]Dự thầu'!$G929</f>
        <v>1713814</v>
      </c>
      <c r="H828" s="86">
        <f t="shared" si="28"/>
        <v>35630193</v>
      </c>
    </row>
    <row r="829" spans="1:8" ht="15.75" customHeight="1" x14ac:dyDescent="0.25">
      <c r="A829" s="4" t="s">
        <v>1189</v>
      </c>
      <c r="B829" s="8">
        <v>824</v>
      </c>
      <c r="C829" s="8" t="s">
        <v>746</v>
      </c>
      <c r="D829" s="8" t="s">
        <v>10</v>
      </c>
      <c r="E829" s="8">
        <v>0.59</v>
      </c>
      <c r="F829" s="8" t="s">
        <v>90</v>
      </c>
      <c r="G829" s="85">
        <f>+'[2]Dự thầu'!$G930</f>
        <v>28103452</v>
      </c>
      <c r="H829" s="86">
        <f t="shared" si="28"/>
        <v>16581037</v>
      </c>
    </row>
    <row r="830" spans="1:8" ht="15.75" customHeight="1" x14ac:dyDescent="0.25">
      <c r="A830" s="4" t="s">
        <v>1190</v>
      </c>
      <c r="B830" s="8">
        <v>825</v>
      </c>
      <c r="C830" s="8" t="s">
        <v>748</v>
      </c>
      <c r="D830" s="8" t="s">
        <v>10</v>
      </c>
      <c r="E830" s="8">
        <v>2.57</v>
      </c>
      <c r="F830" s="8" t="s">
        <v>90</v>
      </c>
      <c r="G830" s="85">
        <f>+'[2]Dự thầu'!$G931</f>
        <v>26818404</v>
      </c>
      <c r="H830" s="86">
        <f t="shared" si="28"/>
        <v>68923298</v>
      </c>
    </row>
    <row r="831" spans="1:8" ht="15.75" customHeight="1" x14ac:dyDescent="0.25">
      <c r="A831" s="4" t="s">
        <v>1191</v>
      </c>
      <c r="B831" s="8">
        <v>826</v>
      </c>
      <c r="C831" s="8" t="s">
        <v>752</v>
      </c>
      <c r="D831" s="8" t="s">
        <v>10</v>
      </c>
      <c r="E831" s="8">
        <v>62.79</v>
      </c>
      <c r="F831" s="8" t="s">
        <v>13</v>
      </c>
      <c r="G831" s="85">
        <f>+'[2]Dự thầu'!$G932</f>
        <v>86606</v>
      </c>
      <c r="H831" s="86">
        <f t="shared" si="28"/>
        <v>5437991</v>
      </c>
    </row>
    <row r="832" spans="1:8" ht="15.75" customHeight="1" x14ac:dyDescent="0.25">
      <c r="A832" s="4" t="s">
        <v>1192</v>
      </c>
      <c r="B832" s="8">
        <v>827</v>
      </c>
      <c r="C832" s="8" t="s">
        <v>581</v>
      </c>
      <c r="D832" s="8" t="s">
        <v>10</v>
      </c>
      <c r="E832" s="8">
        <v>42</v>
      </c>
      <c r="F832" s="8" t="s">
        <v>297</v>
      </c>
      <c r="G832" s="85">
        <f>+'[2]Dự thầu'!$G933</f>
        <v>36395</v>
      </c>
      <c r="H832" s="86">
        <f t="shared" si="28"/>
        <v>1528590</v>
      </c>
    </row>
    <row r="833" spans="1:8" ht="15.75" customHeight="1" x14ac:dyDescent="0.25">
      <c r="A833" s="4" t="s">
        <v>1193</v>
      </c>
      <c r="B833" s="8">
        <v>828</v>
      </c>
      <c r="C833" s="8" t="s">
        <v>349</v>
      </c>
      <c r="D833" s="8" t="s">
        <v>10</v>
      </c>
      <c r="E833" s="8">
        <v>42</v>
      </c>
      <c r="F833" s="8" t="s">
        <v>250</v>
      </c>
      <c r="G833" s="85">
        <f>+'[2]Dự thầu'!$G934</f>
        <v>79217</v>
      </c>
      <c r="H833" s="86">
        <f t="shared" si="28"/>
        <v>3327114</v>
      </c>
    </row>
    <row r="834" spans="1:8" ht="15.75" customHeight="1" x14ac:dyDescent="0.25">
      <c r="A834" s="4" t="s">
        <v>1194</v>
      </c>
      <c r="B834" s="8">
        <v>829</v>
      </c>
      <c r="C834" s="8" t="s">
        <v>351</v>
      </c>
      <c r="D834" s="8" t="s">
        <v>10</v>
      </c>
      <c r="E834" s="8">
        <v>42</v>
      </c>
      <c r="F834" s="8" t="s">
        <v>250</v>
      </c>
      <c r="G834" s="85">
        <f>+'[2]Dự thầu'!$G935</f>
        <v>65424</v>
      </c>
      <c r="H834" s="86">
        <f t="shared" si="28"/>
        <v>2747808</v>
      </c>
    </row>
    <row r="835" spans="1:8" ht="15.75" customHeight="1" x14ac:dyDescent="0.25">
      <c r="A835" s="4" t="s">
        <v>1195</v>
      </c>
      <c r="B835" s="8">
        <v>830</v>
      </c>
      <c r="C835" s="8" t="s">
        <v>647</v>
      </c>
      <c r="D835" s="8" t="s">
        <v>10</v>
      </c>
      <c r="E835" s="8">
        <v>5.2</v>
      </c>
      <c r="F835" s="8" t="s">
        <v>253</v>
      </c>
      <c r="G835" s="85">
        <f>+'[2]Dự thầu'!$G936</f>
        <v>36181</v>
      </c>
      <c r="H835" s="86">
        <f t="shared" si="28"/>
        <v>188141</v>
      </c>
    </row>
    <row r="836" spans="1:8" ht="15.75" customHeight="1" x14ac:dyDescent="0.25">
      <c r="A836" s="4" t="s">
        <v>1196</v>
      </c>
      <c r="B836" s="8">
        <v>831</v>
      </c>
      <c r="C836" s="8" t="s">
        <v>661</v>
      </c>
      <c r="D836" s="8" t="s">
        <v>10</v>
      </c>
      <c r="E836" s="8">
        <v>1.0900000000000001</v>
      </c>
      <c r="F836" s="8" t="s">
        <v>13</v>
      </c>
      <c r="G836" s="85">
        <f>+'[2]Dự thầu'!$G937</f>
        <v>43066</v>
      </c>
      <c r="H836" s="86">
        <f t="shared" si="28"/>
        <v>46942</v>
      </c>
    </row>
    <row r="837" spans="1:8" ht="15.75" customHeight="1" x14ac:dyDescent="0.25">
      <c r="A837" s="4" t="s">
        <v>1197</v>
      </c>
      <c r="B837" s="8">
        <v>832</v>
      </c>
      <c r="C837" s="8" t="s">
        <v>591</v>
      </c>
      <c r="D837" s="8" t="s">
        <v>10</v>
      </c>
      <c r="E837" s="8">
        <v>255</v>
      </c>
      <c r="F837" s="8" t="s">
        <v>13</v>
      </c>
      <c r="G837" s="85">
        <f>+'[2]Dự thầu'!$G938</f>
        <v>76805</v>
      </c>
      <c r="H837" s="86">
        <f t="shared" si="28"/>
        <v>19585275</v>
      </c>
    </row>
    <row r="838" spans="1:8" ht="15.75" customHeight="1" x14ac:dyDescent="0.25">
      <c r="A838" s="4" t="s">
        <v>1198</v>
      </c>
      <c r="B838" s="8">
        <v>833</v>
      </c>
      <c r="C838" s="8" t="s">
        <v>664</v>
      </c>
      <c r="D838" s="8" t="s">
        <v>10</v>
      </c>
      <c r="E838" s="8">
        <v>14.96</v>
      </c>
      <c r="F838" s="8" t="s">
        <v>16</v>
      </c>
      <c r="G838" s="85">
        <f>+'[2]Dự thầu'!$G939</f>
        <v>1830356</v>
      </c>
      <c r="H838" s="86">
        <f t="shared" si="28"/>
        <v>27382126</v>
      </c>
    </row>
    <row r="839" spans="1:8" ht="15.75" customHeight="1" x14ac:dyDescent="0.25">
      <c r="A839" s="4" t="s">
        <v>1199</v>
      </c>
      <c r="B839" s="8">
        <v>834</v>
      </c>
      <c r="C839" s="8" t="s">
        <v>595</v>
      </c>
      <c r="D839" s="8" t="s">
        <v>10</v>
      </c>
      <c r="E839" s="8">
        <v>36.130000000000003</v>
      </c>
      <c r="F839" s="8" t="s">
        <v>16</v>
      </c>
      <c r="G839" s="85">
        <f>+'[2]Dự thầu'!$G940</f>
        <v>1152109</v>
      </c>
      <c r="H839" s="86">
        <f t="shared" si="28"/>
        <v>41625698</v>
      </c>
    </row>
    <row r="840" spans="1:8" ht="15.75" customHeight="1" x14ac:dyDescent="0.25">
      <c r="A840" s="4" t="s">
        <v>1200</v>
      </c>
      <c r="B840" s="8">
        <v>835</v>
      </c>
      <c r="C840" s="8" t="s">
        <v>597</v>
      </c>
      <c r="D840" s="8" t="s">
        <v>10</v>
      </c>
      <c r="E840" s="8">
        <v>55.52</v>
      </c>
      <c r="F840" s="8" t="s">
        <v>13</v>
      </c>
      <c r="G840" s="85">
        <f>+'[2]Dự thầu'!$G941</f>
        <v>103945</v>
      </c>
      <c r="H840" s="86">
        <f t="shared" si="28"/>
        <v>5771026</v>
      </c>
    </row>
    <row r="841" spans="1:8" ht="15.75" customHeight="1" x14ac:dyDescent="0.25">
      <c r="A841" s="4" t="s">
        <v>1201</v>
      </c>
      <c r="B841" s="8">
        <v>836</v>
      </c>
      <c r="C841" s="8" t="s">
        <v>599</v>
      </c>
      <c r="D841" s="8" t="s">
        <v>10</v>
      </c>
      <c r="E841" s="8">
        <v>84.33</v>
      </c>
      <c r="F841" s="8" t="s">
        <v>13</v>
      </c>
      <c r="G841" s="85">
        <f>+'[2]Dự thầu'!$G942</f>
        <v>141724</v>
      </c>
      <c r="H841" s="86">
        <f t="shared" si="28"/>
        <v>11951585</v>
      </c>
    </row>
    <row r="842" spans="1:8" ht="15.75" customHeight="1" x14ac:dyDescent="0.25">
      <c r="A842" s="4" t="s">
        <v>1202</v>
      </c>
      <c r="B842" s="8">
        <v>837</v>
      </c>
      <c r="C842" s="8" t="s">
        <v>587</v>
      </c>
      <c r="D842" s="8" t="s">
        <v>10</v>
      </c>
      <c r="E842" s="8">
        <v>4.0199999999999996</v>
      </c>
      <c r="F842" s="8" t="s">
        <v>16</v>
      </c>
      <c r="G842" s="85">
        <f>+'[2]Dự thầu'!$G943</f>
        <v>851305</v>
      </c>
      <c r="H842" s="86">
        <f t="shared" si="28"/>
        <v>3422246</v>
      </c>
    </row>
    <row r="843" spans="1:8" ht="15.75" customHeight="1" x14ac:dyDescent="0.25">
      <c r="A843" s="4" t="s">
        <v>1203</v>
      </c>
      <c r="B843" s="8">
        <v>838</v>
      </c>
      <c r="C843" s="8" t="s">
        <v>670</v>
      </c>
      <c r="D843" s="8" t="s">
        <v>10</v>
      </c>
      <c r="E843" s="8">
        <v>46.43</v>
      </c>
      <c r="F843" s="8" t="s">
        <v>16</v>
      </c>
      <c r="G843" s="85">
        <f>+'[2]Dự thầu'!$G944</f>
        <v>1252250</v>
      </c>
      <c r="H843" s="86">
        <f t="shared" ref="H843:H874" si="29">+ROUND(G843*E843,0)</f>
        <v>58141968</v>
      </c>
    </row>
    <row r="844" spans="1:8" ht="15.75" customHeight="1" x14ac:dyDescent="0.25">
      <c r="A844" s="4" t="s">
        <v>1204</v>
      </c>
      <c r="B844" s="8">
        <v>839</v>
      </c>
      <c r="C844" s="8" t="s">
        <v>587</v>
      </c>
      <c r="D844" s="8" t="s">
        <v>10</v>
      </c>
      <c r="E844" s="8">
        <v>18.57</v>
      </c>
      <c r="F844" s="8" t="s">
        <v>16</v>
      </c>
      <c r="G844" s="85">
        <f>+'[2]Dự thầu'!$G945</f>
        <v>851305</v>
      </c>
      <c r="H844" s="86">
        <f t="shared" si="29"/>
        <v>15808734</v>
      </c>
    </row>
    <row r="845" spans="1:8" ht="15.75" customHeight="1" x14ac:dyDescent="0.25">
      <c r="A845" s="4" t="s">
        <v>1205</v>
      </c>
      <c r="B845" s="8">
        <v>840</v>
      </c>
      <c r="C845" s="8" t="s">
        <v>670</v>
      </c>
      <c r="D845" s="8" t="s">
        <v>10</v>
      </c>
      <c r="E845" s="8">
        <v>9.3000000000000007</v>
      </c>
      <c r="F845" s="8" t="s">
        <v>16</v>
      </c>
      <c r="G845" s="85">
        <f>+'[2]Dự thầu'!$G946</f>
        <v>1252250</v>
      </c>
      <c r="H845" s="86">
        <f t="shared" si="29"/>
        <v>11645925</v>
      </c>
    </row>
    <row r="846" spans="1:8" ht="15.75" customHeight="1" x14ac:dyDescent="0.25">
      <c r="A846" s="4" t="s">
        <v>1206</v>
      </c>
      <c r="B846" s="8">
        <v>841</v>
      </c>
      <c r="C846" s="8" t="s">
        <v>587</v>
      </c>
      <c r="D846" s="8" t="s">
        <v>10</v>
      </c>
      <c r="E846" s="8">
        <v>3.72</v>
      </c>
      <c r="F846" s="8" t="s">
        <v>16</v>
      </c>
      <c r="G846" s="85">
        <f>+'[2]Dự thầu'!$G947</f>
        <v>851305</v>
      </c>
      <c r="H846" s="86">
        <f t="shared" si="29"/>
        <v>3166855</v>
      </c>
    </row>
    <row r="847" spans="1:8" ht="15.75" customHeight="1" x14ac:dyDescent="0.25">
      <c r="A847" s="4" t="s">
        <v>1207</v>
      </c>
      <c r="B847" s="8">
        <v>842</v>
      </c>
      <c r="C847" s="8" t="s">
        <v>608</v>
      </c>
      <c r="D847" s="8" t="s">
        <v>10</v>
      </c>
      <c r="E847" s="8">
        <v>848.75</v>
      </c>
      <c r="F847" s="8" t="s">
        <v>16</v>
      </c>
      <c r="G847" s="85">
        <f>+'[2]Dự thầu'!$G948</f>
        <v>20867</v>
      </c>
      <c r="H847" s="86">
        <f t="shared" si="29"/>
        <v>17710866</v>
      </c>
    </row>
    <row r="848" spans="1:8" ht="15.75" customHeight="1" x14ac:dyDescent="0.25">
      <c r="A848" s="4" t="s">
        <v>1208</v>
      </c>
      <c r="B848" s="8">
        <v>843</v>
      </c>
      <c r="C848" s="8" t="s">
        <v>610</v>
      </c>
      <c r="D848" s="8" t="s">
        <v>10</v>
      </c>
      <c r="E848" s="8">
        <v>462.36</v>
      </c>
      <c r="F848" s="8" t="s">
        <v>16</v>
      </c>
      <c r="G848" s="85">
        <f>+'[2]Dự thầu'!$G949</f>
        <v>12936</v>
      </c>
      <c r="H848" s="86">
        <f t="shared" si="29"/>
        <v>5981089</v>
      </c>
    </row>
    <row r="849" spans="1:8" ht="15.75" customHeight="1" x14ac:dyDescent="0.25">
      <c r="A849" s="4" t="s">
        <v>1209</v>
      </c>
      <c r="B849" s="8">
        <v>844</v>
      </c>
      <c r="C849" s="8" t="s">
        <v>32</v>
      </c>
      <c r="D849" s="8" t="s">
        <v>10</v>
      </c>
      <c r="E849" s="8">
        <v>632.17999999999995</v>
      </c>
      <c r="F849" s="8" t="s">
        <v>16</v>
      </c>
      <c r="G849" s="85">
        <f>+'[2]Dự thầu'!$G950</f>
        <v>50585</v>
      </c>
      <c r="H849" s="86">
        <f t="shared" si="29"/>
        <v>31978825</v>
      </c>
    </row>
    <row r="850" spans="1:8" ht="15.75" customHeight="1" x14ac:dyDescent="0.25">
      <c r="A850" s="4" t="s">
        <v>1210</v>
      </c>
      <c r="B850" s="8">
        <v>845</v>
      </c>
      <c r="C850" s="8" t="s">
        <v>36</v>
      </c>
      <c r="D850" s="8" t="s">
        <v>10</v>
      </c>
      <c r="E850" s="8">
        <v>63.22</v>
      </c>
      <c r="F850" s="8" t="s">
        <v>37</v>
      </c>
      <c r="G850" s="85">
        <f>+'[2]Dự thầu'!$G951</f>
        <v>1032698</v>
      </c>
      <c r="H850" s="86">
        <f t="shared" si="29"/>
        <v>65287168</v>
      </c>
    </row>
    <row r="851" spans="1:8" ht="15.75" customHeight="1" x14ac:dyDescent="0.25">
      <c r="A851" s="4" t="s">
        <v>1211</v>
      </c>
      <c r="B851" s="8">
        <v>846</v>
      </c>
      <c r="C851" s="8" t="s">
        <v>624</v>
      </c>
      <c r="D851" s="8" t="s">
        <v>10</v>
      </c>
      <c r="E851" s="8">
        <v>349.88</v>
      </c>
      <c r="F851" s="8" t="s">
        <v>16</v>
      </c>
      <c r="G851" s="85">
        <f>+'[2]Dự thầu'!$G955</f>
        <v>271833</v>
      </c>
      <c r="H851" s="86">
        <f t="shared" si="29"/>
        <v>95108930</v>
      </c>
    </row>
    <row r="852" spans="1:8" ht="15.75" customHeight="1" x14ac:dyDescent="0.25">
      <c r="A852" s="4" t="s">
        <v>1212</v>
      </c>
      <c r="B852" s="8">
        <v>847</v>
      </c>
      <c r="C852" s="8" t="s">
        <v>618</v>
      </c>
      <c r="D852" s="8" t="s">
        <v>10</v>
      </c>
      <c r="E852" s="8">
        <v>75.319999999999993</v>
      </c>
      <c r="F852" s="8" t="s">
        <v>16</v>
      </c>
      <c r="G852" s="85">
        <f>+'[2]Dự thầu'!$G956</f>
        <v>281325</v>
      </c>
      <c r="H852" s="86">
        <f t="shared" si="29"/>
        <v>21189399</v>
      </c>
    </row>
    <row r="853" spans="1:8" ht="15.75" customHeight="1" x14ac:dyDescent="0.25">
      <c r="A853" s="4" t="s">
        <v>1213</v>
      </c>
      <c r="B853" s="8">
        <v>848</v>
      </c>
      <c r="C853" s="8" t="s">
        <v>620</v>
      </c>
      <c r="D853" s="8" t="s">
        <v>10</v>
      </c>
      <c r="E853" s="8">
        <v>18829.13</v>
      </c>
      <c r="F853" s="8" t="s">
        <v>75</v>
      </c>
      <c r="G853" s="85">
        <f>+'[2]Dự thầu'!$G957</f>
        <v>11223</v>
      </c>
      <c r="H853" s="86">
        <f t="shared" si="29"/>
        <v>211319326</v>
      </c>
    </row>
    <row r="854" spans="1:8" ht="15.75" customHeight="1" x14ac:dyDescent="0.25">
      <c r="A854" s="4" t="s">
        <v>1214</v>
      </c>
      <c r="B854" s="8">
        <v>849</v>
      </c>
      <c r="C854" s="8" t="s">
        <v>622</v>
      </c>
      <c r="D854" s="8" t="s">
        <v>10</v>
      </c>
      <c r="E854" s="8">
        <v>376.88</v>
      </c>
      <c r="F854" s="8" t="s">
        <v>13</v>
      </c>
      <c r="G854" s="85">
        <f>+'[2]Dự thầu'!$G958</f>
        <v>19714</v>
      </c>
      <c r="H854" s="86">
        <f t="shared" si="29"/>
        <v>7429812</v>
      </c>
    </row>
    <row r="855" spans="1:8" ht="15.75" customHeight="1" x14ac:dyDescent="0.25">
      <c r="A855" s="4" t="s">
        <v>1215</v>
      </c>
      <c r="B855" s="8">
        <v>850</v>
      </c>
      <c r="C855" s="8" t="s">
        <v>626</v>
      </c>
      <c r="D855" s="8" t="s">
        <v>10</v>
      </c>
      <c r="E855" s="8">
        <v>848.75</v>
      </c>
      <c r="F855" s="8" t="s">
        <v>16</v>
      </c>
      <c r="G855" s="85">
        <f>+'[2]Dự thầu'!$G959</f>
        <v>45382</v>
      </c>
      <c r="H855" s="86">
        <f t="shared" si="29"/>
        <v>38517973</v>
      </c>
    </row>
    <row r="856" spans="1:8" ht="15.75" customHeight="1" x14ac:dyDescent="0.25">
      <c r="A856" s="4" t="s">
        <v>1216</v>
      </c>
      <c r="B856" s="8">
        <v>851</v>
      </c>
      <c r="C856" s="8" t="s">
        <v>692</v>
      </c>
      <c r="D856" s="8" t="s">
        <v>10</v>
      </c>
      <c r="E856" s="8">
        <v>57.9</v>
      </c>
      <c r="F856" s="8" t="s">
        <v>16</v>
      </c>
      <c r="G856" s="85">
        <f>+'[2]Dự thầu'!$G$1034</f>
        <v>2101184</v>
      </c>
      <c r="H856" s="86">
        <f t="shared" si="29"/>
        <v>121658554</v>
      </c>
    </row>
    <row r="857" spans="1:8" ht="15.75" customHeight="1" x14ac:dyDescent="0.25">
      <c r="A857" s="4" t="s">
        <v>1217</v>
      </c>
      <c r="B857" s="8">
        <v>852</v>
      </c>
      <c r="C857" s="8" t="s">
        <v>560</v>
      </c>
      <c r="D857" s="8" t="s">
        <v>10</v>
      </c>
      <c r="E857" s="8">
        <v>59.34</v>
      </c>
      <c r="F857" s="8" t="s">
        <v>16</v>
      </c>
      <c r="G857" s="85">
        <f>+'[2]Dự thầu'!$G$1035</f>
        <v>57102</v>
      </c>
      <c r="H857" s="86">
        <f t="shared" si="29"/>
        <v>3388433</v>
      </c>
    </row>
    <row r="858" spans="1:8" ht="15.75" customHeight="1" x14ac:dyDescent="0.25">
      <c r="A858" s="4" t="s">
        <v>1218</v>
      </c>
      <c r="B858" s="8">
        <v>853</v>
      </c>
      <c r="C858" s="8" t="s">
        <v>562</v>
      </c>
      <c r="D858" s="8" t="s">
        <v>10</v>
      </c>
      <c r="E858" s="8">
        <v>59.34</v>
      </c>
      <c r="F858" s="8" t="s">
        <v>16</v>
      </c>
      <c r="G858" s="85">
        <f>+'[2]Dự thầu'!$G$1036+'[2]Dự thầu'!$G$1037</f>
        <v>266680</v>
      </c>
      <c r="H858" s="86">
        <f t="shared" si="29"/>
        <v>15824791</v>
      </c>
    </row>
    <row r="859" spans="1:8" ht="15.75" customHeight="1" x14ac:dyDescent="0.25">
      <c r="A859" s="4" t="s">
        <v>1219</v>
      </c>
      <c r="B859" s="8">
        <v>854</v>
      </c>
      <c r="C859" s="8" t="s">
        <v>696</v>
      </c>
      <c r="D859" s="8" t="s">
        <v>10</v>
      </c>
      <c r="E859" s="8">
        <v>0.17</v>
      </c>
      <c r="F859" s="8" t="s">
        <v>90</v>
      </c>
      <c r="G859" s="85">
        <f>+'[2]Dự thầu'!$G1038</f>
        <v>25850539</v>
      </c>
      <c r="H859" s="86">
        <f t="shared" si="29"/>
        <v>4394592</v>
      </c>
    </row>
    <row r="860" spans="1:8" ht="15.75" customHeight="1" x14ac:dyDescent="0.25">
      <c r="A860" s="4" t="s">
        <v>1220</v>
      </c>
      <c r="B860" s="8">
        <v>855</v>
      </c>
      <c r="C860" s="8" t="s">
        <v>698</v>
      </c>
      <c r="D860" s="8" t="s">
        <v>10</v>
      </c>
      <c r="E860" s="8">
        <v>2.66</v>
      </c>
      <c r="F860" s="8" t="s">
        <v>90</v>
      </c>
      <c r="G860" s="85">
        <f>+'[2]Dự thầu'!$G1039</f>
        <v>25593806</v>
      </c>
      <c r="H860" s="86">
        <f t="shared" si="29"/>
        <v>68079524</v>
      </c>
    </row>
    <row r="861" spans="1:8" ht="15.75" customHeight="1" x14ac:dyDescent="0.25">
      <c r="A861" s="4" t="s">
        <v>1221</v>
      </c>
      <c r="B861" s="8">
        <v>856</v>
      </c>
      <c r="C861" s="8" t="s">
        <v>1222</v>
      </c>
      <c r="D861" s="8" t="s">
        <v>10</v>
      </c>
      <c r="E861" s="8">
        <v>5.74</v>
      </c>
      <c r="F861" s="8" t="s">
        <v>90</v>
      </c>
      <c r="G861" s="85">
        <f>+'[2]Dự thầu'!$G1040</f>
        <v>24899152</v>
      </c>
      <c r="H861" s="86">
        <f t="shared" si="29"/>
        <v>142921132</v>
      </c>
    </row>
    <row r="862" spans="1:8" ht="15.75" customHeight="1" x14ac:dyDescent="0.25">
      <c r="A862" s="4" t="s">
        <v>1223</v>
      </c>
      <c r="B862" s="8">
        <v>857</v>
      </c>
      <c r="C862" s="8" t="s">
        <v>700</v>
      </c>
      <c r="D862" s="8" t="s">
        <v>10</v>
      </c>
      <c r="E862" s="8">
        <v>34.56</v>
      </c>
      <c r="F862" s="8" t="s">
        <v>16</v>
      </c>
      <c r="G862" s="85">
        <f>+'[2]Dự thầu'!$G1041</f>
        <v>1147575</v>
      </c>
      <c r="H862" s="86">
        <f t="shared" si="29"/>
        <v>39660192</v>
      </c>
    </row>
    <row r="863" spans="1:8" ht="15.75" customHeight="1" x14ac:dyDescent="0.25">
      <c r="A863" s="4" t="s">
        <v>1224</v>
      </c>
      <c r="B863" s="8">
        <v>858</v>
      </c>
      <c r="C863" s="8" t="s">
        <v>702</v>
      </c>
      <c r="D863" s="8" t="s">
        <v>10</v>
      </c>
      <c r="E863" s="8">
        <v>266.81</v>
      </c>
      <c r="F863" s="8" t="s">
        <v>13</v>
      </c>
      <c r="G863" s="85">
        <f>+'[2]Dự thầu'!$G1042</f>
        <v>141724</v>
      </c>
      <c r="H863" s="86">
        <f t="shared" si="29"/>
        <v>37813380</v>
      </c>
    </row>
    <row r="864" spans="1:8" ht="15.75" customHeight="1" x14ac:dyDescent="0.25">
      <c r="A864" s="4" t="s">
        <v>1225</v>
      </c>
      <c r="B864" s="8">
        <v>859</v>
      </c>
      <c r="C864" s="8" t="s">
        <v>704</v>
      </c>
      <c r="D864" s="8" t="s">
        <v>10</v>
      </c>
      <c r="E864" s="8">
        <v>568.73</v>
      </c>
      <c r="F864" s="8" t="s">
        <v>13</v>
      </c>
      <c r="G864" s="85">
        <f>+'[2]Dự thầu'!$G1043</f>
        <v>76805</v>
      </c>
      <c r="H864" s="86">
        <f t="shared" si="29"/>
        <v>43681308</v>
      </c>
    </row>
    <row r="865" spans="1:8" ht="15.75" customHeight="1" x14ac:dyDescent="0.25">
      <c r="A865" s="4" t="s">
        <v>1226</v>
      </c>
      <c r="B865" s="8">
        <v>860</v>
      </c>
      <c r="C865" s="8" t="s">
        <v>587</v>
      </c>
      <c r="D865" s="8" t="s">
        <v>10</v>
      </c>
      <c r="E865" s="8">
        <v>45.32</v>
      </c>
      <c r="F865" s="8" t="s">
        <v>16</v>
      </c>
      <c r="G865" s="85">
        <f>+'[2]Dự thầu'!$G1044</f>
        <v>851305</v>
      </c>
      <c r="H865" s="86">
        <f t="shared" si="29"/>
        <v>38581143</v>
      </c>
    </row>
    <row r="866" spans="1:8" ht="15.75" customHeight="1" x14ac:dyDescent="0.25">
      <c r="A866" s="4" t="s">
        <v>1227</v>
      </c>
      <c r="B866" s="8">
        <v>861</v>
      </c>
      <c r="C866" s="8" t="s">
        <v>707</v>
      </c>
      <c r="D866" s="8" t="s">
        <v>10</v>
      </c>
      <c r="E866" s="8">
        <v>0.02</v>
      </c>
      <c r="F866" s="8" t="s">
        <v>90</v>
      </c>
      <c r="G866" s="85">
        <f>+'[2]Dự thầu'!$G1045</f>
        <v>25850539</v>
      </c>
      <c r="H866" s="86">
        <f t="shared" si="29"/>
        <v>517011</v>
      </c>
    </row>
    <row r="867" spans="1:8" ht="15.75" customHeight="1" x14ac:dyDescent="0.25">
      <c r="A867" s="4" t="s">
        <v>1228</v>
      </c>
      <c r="B867" s="8">
        <v>862</v>
      </c>
      <c r="C867" s="8" t="s">
        <v>709</v>
      </c>
      <c r="D867" s="8" t="s">
        <v>10</v>
      </c>
      <c r="E867" s="8">
        <v>0.22</v>
      </c>
      <c r="F867" s="8" t="s">
        <v>90</v>
      </c>
      <c r="G867" s="85">
        <f>+'[2]Dự thầu'!$G1046</f>
        <v>24899152</v>
      </c>
      <c r="H867" s="86">
        <f t="shared" si="29"/>
        <v>5477813</v>
      </c>
    </row>
    <row r="868" spans="1:8" ht="15.75" customHeight="1" x14ac:dyDescent="0.25">
      <c r="A868" s="4" t="s">
        <v>1229</v>
      </c>
      <c r="B868" s="8">
        <v>863</v>
      </c>
      <c r="C868" s="8" t="s">
        <v>1230</v>
      </c>
      <c r="D868" s="8" t="s">
        <v>10</v>
      </c>
      <c r="E868" s="8">
        <v>0.22</v>
      </c>
      <c r="F868" s="8" t="s">
        <v>90</v>
      </c>
      <c r="G868" s="85">
        <f>+'[2]Dự thầu'!$G1047</f>
        <v>9028655</v>
      </c>
      <c r="H868" s="86">
        <f t="shared" si="29"/>
        <v>1986304</v>
      </c>
    </row>
    <row r="869" spans="1:8" ht="15.75" customHeight="1" x14ac:dyDescent="0.25">
      <c r="A869" s="4" t="s">
        <v>1231</v>
      </c>
      <c r="B869" s="8">
        <v>864</v>
      </c>
      <c r="C869" s="8" t="s">
        <v>711</v>
      </c>
      <c r="D869" s="8" t="s">
        <v>10</v>
      </c>
      <c r="E869" s="8">
        <v>29.12</v>
      </c>
      <c r="F869" s="8" t="s">
        <v>75</v>
      </c>
      <c r="G869" s="85">
        <f>+'[2]Dự thầu'!$G1048</f>
        <v>23353</v>
      </c>
      <c r="H869" s="86">
        <f t="shared" si="29"/>
        <v>680039</v>
      </c>
    </row>
    <row r="870" spans="1:8" ht="15.75" customHeight="1" x14ac:dyDescent="0.25">
      <c r="A870" s="4" t="s">
        <v>1232</v>
      </c>
      <c r="B870" s="8">
        <v>865</v>
      </c>
      <c r="C870" s="8" t="s">
        <v>713</v>
      </c>
      <c r="D870" s="8" t="s">
        <v>10</v>
      </c>
      <c r="E870" s="8">
        <v>0.75</v>
      </c>
      <c r="F870" s="8" t="s">
        <v>13</v>
      </c>
      <c r="G870" s="85">
        <f>+'[2]Dự thầu'!$G1049</f>
        <v>370346</v>
      </c>
      <c r="H870" s="86">
        <f t="shared" si="29"/>
        <v>277760</v>
      </c>
    </row>
    <row r="871" spans="1:8" ht="15.75" customHeight="1" x14ac:dyDescent="0.25">
      <c r="A871" s="4" t="s">
        <v>1233</v>
      </c>
      <c r="B871" s="8">
        <v>866</v>
      </c>
      <c r="C871" s="8" t="s">
        <v>715</v>
      </c>
      <c r="D871" s="8" t="s">
        <v>10</v>
      </c>
      <c r="E871" s="8">
        <v>27.2</v>
      </c>
      <c r="F871" s="8" t="s">
        <v>75</v>
      </c>
      <c r="G871" s="85">
        <f>+'[2]Dự thầu'!$G1050</f>
        <v>126388</v>
      </c>
      <c r="H871" s="86">
        <f t="shared" si="29"/>
        <v>3437754</v>
      </c>
    </row>
    <row r="872" spans="1:8" ht="15.75" customHeight="1" x14ac:dyDescent="0.25">
      <c r="A872" s="4" t="s">
        <v>1234</v>
      </c>
      <c r="B872" s="8">
        <v>867</v>
      </c>
      <c r="C872" s="8" t="s">
        <v>717</v>
      </c>
      <c r="D872" s="8" t="s">
        <v>10</v>
      </c>
      <c r="E872" s="8">
        <v>75.97</v>
      </c>
      <c r="F872" s="8" t="s">
        <v>16</v>
      </c>
      <c r="G872" s="85">
        <f>+'[2]Dự thầu'!$G1051</f>
        <v>1724716</v>
      </c>
      <c r="H872" s="86">
        <f t="shared" si="29"/>
        <v>131026675</v>
      </c>
    </row>
    <row r="873" spans="1:8" ht="15.75" customHeight="1" x14ac:dyDescent="0.25">
      <c r="A873" s="4" t="s">
        <v>1235</v>
      </c>
      <c r="B873" s="8">
        <v>868</v>
      </c>
      <c r="C873" s="8" t="s">
        <v>560</v>
      </c>
      <c r="D873" s="8" t="s">
        <v>10</v>
      </c>
      <c r="E873" s="8">
        <v>77.11</v>
      </c>
      <c r="F873" s="8" t="s">
        <v>16</v>
      </c>
      <c r="G873" s="85">
        <f>+'[2]Dự thầu'!$G1052</f>
        <v>57102</v>
      </c>
      <c r="H873" s="86">
        <f t="shared" si="29"/>
        <v>4403135</v>
      </c>
    </row>
    <row r="874" spans="1:8" ht="15.75" customHeight="1" x14ac:dyDescent="0.25">
      <c r="A874" s="4" t="s">
        <v>1236</v>
      </c>
      <c r="B874" s="8">
        <v>869</v>
      </c>
      <c r="C874" s="8" t="s">
        <v>562</v>
      </c>
      <c r="D874" s="8" t="s">
        <v>10</v>
      </c>
      <c r="E874" s="8">
        <v>77.11</v>
      </c>
      <c r="F874" s="8" t="s">
        <v>16</v>
      </c>
      <c r="G874" s="85">
        <f>+'[2]Dự thầu'!$G$1053+'[2]Dự thầu'!$G$1054</f>
        <v>266680</v>
      </c>
      <c r="H874" s="86">
        <f t="shared" si="29"/>
        <v>20563695</v>
      </c>
    </row>
    <row r="875" spans="1:8" ht="15.75" customHeight="1" x14ac:dyDescent="0.25">
      <c r="A875" s="4" t="s">
        <v>1237</v>
      </c>
      <c r="B875" s="8">
        <v>870</v>
      </c>
      <c r="C875" s="8" t="s">
        <v>721</v>
      </c>
      <c r="D875" s="8" t="s">
        <v>10</v>
      </c>
      <c r="E875" s="8">
        <v>0.19</v>
      </c>
      <c r="F875" s="8" t="s">
        <v>90</v>
      </c>
      <c r="G875" s="85">
        <f>+'[2]Dự thầu'!$G1055</f>
        <v>25183853</v>
      </c>
      <c r="H875" s="86">
        <f t="shared" ref="H875:H906" si="30">+ROUND(G875*E875,0)</f>
        <v>4784932</v>
      </c>
    </row>
    <row r="876" spans="1:8" ht="15.75" customHeight="1" x14ac:dyDescent="0.25">
      <c r="A876" s="4" t="s">
        <v>1238</v>
      </c>
      <c r="B876" s="8">
        <v>871</v>
      </c>
      <c r="C876" s="8" t="s">
        <v>723</v>
      </c>
      <c r="D876" s="8" t="s">
        <v>10</v>
      </c>
      <c r="E876" s="8">
        <v>2.4700000000000002</v>
      </c>
      <c r="F876" s="8" t="s">
        <v>90</v>
      </c>
      <c r="G876" s="85">
        <f>+'[2]Dự thầu'!$G1056</f>
        <v>24802876</v>
      </c>
      <c r="H876" s="86">
        <f t="shared" si="30"/>
        <v>61263104</v>
      </c>
    </row>
    <row r="877" spans="1:8" ht="15.75" customHeight="1" x14ac:dyDescent="0.25">
      <c r="A877" s="4" t="s">
        <v>1239</v>
      </c>
      <c r="B877" s="8">
        <v>872</v>
      </c>
      <c r="C877" s="8" t="s">
        <v>1240</v>
      </c>
      <c r="D877" s="8" t="s">
        <v>10</v>
      </c>
      <c r="E877" s="8">
        <v>5.46</v>
      </c>
      <c r="F877" s="8" t="s">
        <v>90</v>
      </c>
      <c r="G877" s="85">
        <f>+'[2]Dự thầu'!$G1057</f>
        <v>24165799</v>
      </c>
      <c r="H877" s="86">
        <f t="shared" si="30"/>
        <v>131945263</v>
      </c>
    </row>
    <row r="878" spans="1:8" ht="15.75" customHeight="1" x14ac:dyDescent="0.25">
      <c r="A878" s="4" t="s">
        <v>1241</v>
      </c>
      <c r="B878" s="8">
        <v>873</v>
      </c>
      <c r="C878" s="8" t="s">
        <v>651</v>
      </c>
      <c r="D878" s="8" t="s">
        <v>10</v>
      </c>
      <c r="E878" s="8">
        <v>64.63</v>
      </c>
      <c r="F878" s="8" t="s">
        <v>13</v>
      </c>
      <c r="G878" s="85">
        <f>+'[2]Dự thầu'!$G1058</f>
        <v>103945</v>
      </c>
      <c r="H878" s="86">
        <f t="shared" si="30"/>
        <v>6717965</v>
      </c>
    </row>
    <row r="879" spans="1:8" ht="15.75" customHeight="1" x14ac:dyDescent="0.25">
      <c r="A879" s="4" t="s">
        <v>1242</v>
      </c>
      <c r="B879" s="8">
        <v>874</v>
      </c>
      <c r="C879" s="8" t="s">
        <v>725</v>
      </c>
      <c r="D879" s="8" t="s">
        <v>10</v>
      </c>
      <c r="E879" s="8">
        <v>66.5</v>
      </c>
      <c r="F879" s="8" t="s">
        <v>16</v>
      </c>
      <c r="G879" s="85">
        <f>+'[2]Dự thầu'!$G1059</f>
        <v>2045945</v>
      </c>
      <c r="H879" s="86">
        <f t="shared" si="30"/>
        <v>136055343</v>
      </c>
    </row>
    <row r="880" spans="1:8" ht="15.75" customHeight="1" x14ac:dyDescent="0.25">
      <c r="A880" s="4" t="s">
        <v>1243</v>
      </c>
      <c r="B880" s="8">
        <v>875</v>
      </c>
      <c r="C880" s="8" t="s">
        <v>560</v>
      </c>
      <c r="D880" s="8" t="s">
        <v>10</v>
      </c>
      <c r="E880" s="8">
        <v>67.5</v>
      </c>
      <c r="F880" s="8" t="s">
        <v>16</v>
      </c>
      <c r="G880" s="85">
        <f>+'[2]Dự thầu'!$G1060</f>
        <v>57102</v>
      </c>
      <c r="H880" s="86">
        <f t="shared" si="30"/>
        <v>3854385</v>
      </c>
    </row>
    <row r="881" spans="1:8" ht="15.75" customHeight="1" x14ac:dyDescent="0.25">
      <c r="A881" s="4" t="s">
        <v>1244</v>
      </c>
      <c r="B881" s="8">
        <v>876</v>
      </c>
      <c r="C881" s="8" t="s">
        <v>562</v>
      </c>
      <c r="D881" s="8" t="s">
        <v>10</v>
      </c>
      <c r="E881" s="8">
        <v>67.5</v>
      </c>
      <c r="F881" s="8" t="s">
        <v>16</v>
      </c>
      <c r="G881" s="85">
        <f>+'[2]Dự thầu'!$G$1061+'[2]Dự thầu'!$G$1062</f>
        <v>266680</v>
      </c>
      <c r="H881" s="86">
        <f t="shared" si="30"/>
        <v>18000900</v>
      </c>
    </row>
    <row r="882" spans="1:8" ht="15.75" customHeight="1" x14ac:dyDescent="0.25">
      <c r="A882" s="4" t="s">
        <v>1245</v>
      </c>
      <c r="B882" s="8">
        <v>877</v>
      </c>
      <c r="C882" s="8" t="s">
        <v>729</v>
      </c>
      <c r="D882" s="8" t="s">
        <v>10</v>
      </c>
      <c r="E882" s="8">
        <v>0.17</v>
      </c>
      <c r="F882" s="8" t="s">
        <v>90</v>
      </c>
      <c r="G882" s="85">
        <f>+'[2]Dự thầu'!$G1063</f>
        <v>26208453</v>
      </c>
      <c r="H882" s="86">
        <f t="shared" si="30"/>
        <v>4455437</v>
      </c>
    </row>
    <row r="883" spans="1:8" ht="15.75" customHeight="1" x14ac:dyDescent="0.25">
      <c r="A883" s="4" t="s">
        <v>1246</v>
      </c>
      <c r="B883" s="8">
        <v>878</v>
      </c>
      <c r="C883" s="8" t="s">
        <v>731</v>
      </c>
      <c r="D883" s="8" t="s">
        <v>10</v>
      </c>
      <c r="E883" s="8">
        <v>7.23</v>
      </c>
      <c r="F883" s="8" t="s">
        <v>90</v>
      </c>
      <c r="G883" s="85">
        <f>+'[2]Dự thầu'!$G1064</f>
        <v>25594083</v>
      </c>
      <c r="H883" s="86">
        <f t="shared" si="30"/>
        <v>185045220</v>
      </c>
    </row>
    <row r="884" spans="1:8" ht="15.75" customHeight="1" x14ac:dyDescent="0.25">
      <c r="A884" s="4" t="s">
        <v>1247</v>
      </c>
      <c r="B884" s="8">
        <v>879</v>
      </c>
      <c r="C884" s="8" t="s">
        <v>733</v>
      </c>
      <c r="D884" s="8" t="s">
        <v>10</v>
      </c>
      <c r="E884" s="8">
        <v>159.80000000000001</v>
      </c>
      <c r="F884" s="8" t="s">
        <v>13</v>
      </c>
      <c r="G884" s="85">
        <f>+'[2]Dự thầu'!$G1065</f>
        <v>111276</v>
      </c>
      <c r="H884" s="86">
        <f t="shared" si="30"/>
        <v>17781905</v>
      </c>
    </row>
    <row r="885" spans="1:8" ht="15.75" customHeight="1" x14ac:dyDescent="0.25">
      <c r="A885" s="4" t="s">
        <v>1248</v>
      </c>
      <c r="B885" s="8">
        <v>880</v>
      </c>
      <c r="C885" s="8" t="s">
        <v>735</v>
      </c>
      <c r="D885" s="8" t="s">
        <v>10</v>
      </c>
      <c r="E885" s="8">
        <v>4.9400000000000004</v>
      </c>
      <c r="F885" s="8" t="s">
        <v>16</v>
      </c>
      <c r="G885" s="85">
        <f>+'[2]Dự thầu'!$G1066</f>
        <v>1884040</v>
      </c>
      <c r="H885" s="86">
        <f t="shared" si="30"/>
        <v>9307158</v>
      </c>
    </row>
    <row r="886" spans="1:8" ht="15.75" customHeight="1" x14ac:dyDescent="0.25">
      <c r="A886" s="4" t="s">
        <v>1249</v>
      </c>
      <c r="B886" s="8">
        <v>881</v>
      </c>
      <c r="C886" s="8" t="s">
        <v>560</v>
      </c>
      <c r="D886" s="8" t="s">
        <v>10</v>
      </c>
      <c r="E886" s="8">
        <v>20.59</v>
      </c>
      <c r="F886" s="8" t="s">
        <v>16</v>
      </c>
      <c r="G886" s="85">
        <f>+'[2]Dự thầu'!$G1067</f>
        <v>57102</v>
      </c>
      <c r="H886" s="86">
        <f t="shared" si="30"/>
        <v>1175730</v>
      </c>
    </row>
    <row r="887" spans="1:8" ht="15.75" customHeight="1" x14ac:dyDescent="0.25">
      <c r="A887" s="4" t="s">
        <v>1250</v>
      </c>
      <c r="B887" s="8">
        <v>882</v>
      </c>
      <c r="C887" s="8" t="s">
        <v>562</v>
      </c>
      <c r="D887" s="8" t="s">
        <v>10</v>
      </c>
      <c r="E887" s="8">
        <v>20.59</v>
      </c>
      <c r="F887" s="8" t="s">
        <v>16</v>
      </c>
      <c r="G887" s="85">
        <f>+'[2]Dự thầu'!$G$1068+'[2]Dự thầu'!$G$1069</f>
        <v>266680</v>
      </c>
      <c r="H887" s="86">
        <f t="shared" si="30"/>
        <v>5490941</v>
      </c>
    </row>
    <row r="888" spans="1:8" ht="15.75" customHeight="1" x14ac:dyDescent="0.25">
      <c r="A888" s="4" t="s">
        <v>1251</v>
      </c>
      <c r="B888" s="8">
        <v>883</v>
      </c>
      <c r="C888" s="8" t="s">
        <v>1252</v>
      </c>
      <c r="D888" s="8" t="s">
        <v>10</v>
      </c>
      <c r="E888" s="8">
        <v>0.02</v>
      </c>
      <c r="F888" s="8" t="s">
        <v>90</v>
      </c>
      <c r="G888" s="85">
        <f>+'[2]Dự thầu'!$G1070</f>
        <v>25850539</v>
      </c>
      <c r="H888" s="86">
        <f t="shared" si="30"/>
        <v>517011</v>
      </c>
    </row>
    <row r="889" spans="1:8" ht="15.75" customHeight="1" x14ac:dyDescent="0.25">
      <c r="A889" s="4" t="s">
        <v>1253</v>
      </c>
      <c r="B889" s="8">
        <v>884</v>
      </c>
      <c r="C889" s="8" t="s">
        <v>740</v>
      </c>
      <c r="D889" s="8" t="s">
        <v>10</v>
      </c>
      <c r="E889" s="8">
        <v>0.56000000000000005</v>
      </c>
      <c r="F889" s="8" t="s">
        <v>90</v>
      </c>
      <c r="G889" s="85">
        <f>+'[2]Dự thầu'!$G1071</f>
        <v>25593806</v>
      </c>
      <c r="H889" s="86">
        <f t="shared" si="30"/>
        <v>14332531</v>
      </c>
    </row>
    <row r="890" spans="1:8" ht="15.75" customHeight="1" x14ac:dyDescent="0.25">
      <c r="A890" s="4" t="s">
        <v>1254</v>
      </c>
      <c r="B890" s="8">
        <v>885</v>
      </c>
      <c r="C890" s="8" t="s">
        <v>1255</v>
      </c>
      <c r="D890" s="8" t="s">
        <v>10</v>
      </c>
      <c r="E890" s="8">
        <v>15.34</v>
      </c>
      <c r="F890" s="8" t="s">
        <v>16</v>
      </c>
      <c r="G890" s="85">
        <f>+'[2]Dự thầu'!$G1072</f>
        <v>1649986</v>
      </c>
      <c r="H890" s="86">
        <f t="shared" si="30"/>
        <v>25310785</v>
      </c>
    </row>
    <row r="891" spans="1:8" ht="15.75" customHeight="1" x14ac:dyDescent="0.25">
      <c r="A891" s="4" t="s">
        <v>1256</v>
      </c>
      <c r="B891" s="8">
        <v>886</v>
      </c>
      <c r="C891" s="8" t="s">
        <v>723</v>
      </c>
      <c r="D891" s="8" t="s">
        <v>10</v>
      </c>
      <c r="E891" s="8">
        <v>1.1399999999999999</v>
      </c>
      <c r="F891" s="8" t="s">
        <v>90</v>
      </c>
      <c r="G891" s="85">
        <f>+'[2]Dự thầu'!$G1073</f>
        <v>24802876</v>
      </c>
      <c r="H891" s="86">
        <f t="shared" si="30"/>
        <v>28275279</v>
      </c>
    </row>
    <row r="892" spans="1:8" ht="15.75" customHeight="1" x14ac:dyDescent="0.25">
      <c r="A892" s="4" t="s">
        <v>1257</v>
      </c>
      <c r="B892" s="8">
        <v>887</v>
      </c>
      <c r="C892" s="8" t="s">
        <v>1258</v>
      </c>
      <c r="D892" s="8" t="s">
        <v>10</v>
      </c>
      <c r="E892" s="8">
        <v>15.7</v>
      </c>
      <c r="F892" s="8" t="s">
        <v>13</v>
      </c>
      <c r="G892" s="85">
        <f>+'[2]Dự thầu'!$G1074</f>
        <v>103945</v>
      </c>
      <c r="H892" s="86">
        <f t="shared" si="30"/>
        <v>1631937</v>
      </c>
    </row>
    <row r="893" spans="1:8" ht="15.75" customHeight="1" x14ac:dyDescent="0.25">
      <c r="A893" s="4" t="s">
        <v>1259</v>
      </c>
      <c r="B893" s="8">
        <v>888</v>
      </c>
      <c r="C893" s="8" t="s">
        <v>742</v>
      </c>
      <c r="D893" s="8" t="s">
        <v>10</v>
      </c>
      <c r="E893" s="8">
        <v>40.14</v>
      </c>
      <c r="F893" s="8" t="s">
        <v>13</v>
      </c>
      <c r="G893" s="85">
        <f>+'[2]Dự thầu'!$G1075</f>
        <v>141724</v>
      </c>
      <c r="H893" s="86">
        <f t="shared" si="30"/>
        <v>5688801</v>
      </c>
    </row>
    <row r="894" spans="1:8" ht="15.75" customHeight="1" x14ac:dyDescent="0.25">
      <c r="A894" s="4" t="s">
        <v>1260</v>
      </c>
      <c r="B894" s="8">
        <v>889</v>
      </c>
      <c r="C894" s="8" t="s">
        <v>744</v>
      </c>
      <c r="D894" s="8" t="s">
        <v>10</v>
      </c>
      <c r="E894" s="8">
        <v>41.58</v>
      </c>
      <c r="F894" s="8" t="s">
        <v>16</v>
      </c>
      <c r="G894" s="85">
        <f>+'[2]Dự thầu'!$G1076</f>
        <v>1725529</v>
      </c>
      <c r="H894" s="86">
        <f t="shared" si="30"/>
        <v>71747496</v>
      </c>
    </row>
    <row r="895" spans="1:8" ht="15.75" customHeight="1" x14ac:dyDescent="0.25">
      <c r="A895" s="4" t="s">
        <v>1261</v>
      </c>
      <c r="B895" s="8">
        <v>890</v>
      </c>
      <c r="C895" s="8" t="s">
        <v>746</v>
      </c>
      <c r="D895" s="8" t="s">
        <v>10</v>
      </c>
      <c r="E895" s="8">
        <v>0.03</v>
      </c>
      <c r="F895" s="8" t="s">
        <v>90</v>
      </c>
      <c r="G895" s="85">
        <f>+'[2]Dự thầu'!$G1077</f>
        <v>28103452</v>
      </c>
      <c r="H895" s="86">
        <f t="shared" si="30"/>
        <v>843104</v>
      </c>
    </row>
    <row r="896" spans="1:8" ht="15.75" customHeight="1" x14ac:dyDescent="0.25">
      <c r="A896" s="4" t="s">
        <v>1262</v>
      </c>
      <c r="B896" s="8">
        <v>891</v>
      </c>
      <c r="C896" s="8" t="s">
        <v>748</v>
      </c>
      <c r="D896" s="8" t="s">
        <v>10</v>
      </c>
      <c r="E896" s="8">
        <v>5.14</v>
      </c>
      <c r="F896" s="8" t="s">
        <v>90</v>
      </c>
      <c r="G896" s="85">
        <f>+'[2]Dự thầu'!$G1078</f>
        <v>25312818</v>
      </c>
      <c r="H896" s="86">
        <f t="shared" si="30"/>
        <v>130107885</v>
      </c>
    </row>
    <row r="897" spans="1:8" ht="15.75" customHeight="1" x14ac:dyDescent="0.25">
      <c r="A897" s="4" t="s">
        <v>1263</v>
      </c>
      <c r="B897" s="8">
        <v>892</v>
      </c>
      <c r="C897" s="8" t="s">
        <v>750</v>
      </c>
      <c r="D897" s="8" t="s">
        <v>10</v>
      </c>
      <c r="E897" s="8">
        <v>0.12</v>
      </c>
      <c r="F897" s="8" t="s">
        <v>90</v>
      </c>
      <c r="G897" s="85">
        <f>+'[2]Dự thầu'!$G1079</f>
        <v>24559750</v>
      </c>
      <c r="H897" s="86">
        <f t="shared" si="30"/>
        <v>2947170</v>
      </c>
    </row>
    <row r="898" spans="1:8" ht="15.75" customHeight="1" x14ac:dyDescent="0.25">
      <c r="A898" s="4" t="s">
        <v>1264</v>
      </c>
      <c r="B898" s="8">
        <v>893</v>
      </c>
      <c r="C898" s="8" t="s">
        <v>752</v>
      </c>
      <c r="D898" s="8" t="s">
        <v>10</v>
      </c>
      <c r="E898" s="8">
        <v>28.92</v>
      </c>
      <c r="F898" s="8" t="s">
        <v>13</v>
      </c>
      <c r="G898" s="85">
        <f>+'[2]Dự thầu'!$G1080</f>
        <v>103945</v>
      </c>
      <c r="H898" s="86">
        <f t="shared" si="30"/>
        <v>3006089</v>
      </c>
    </row>
    <row r="899" spans="1:8" ht="15.75" customHeight="1" x14ac:dyDescent="0.25">
      <c r="A899" s="4" t="s">
        <v>1265</v>
      </c>
      <c r="B899" s="8">
        <v>894</v>
      </c>
      <c r="C899" s="8" t="s">
        <v>670</v>
      </c>
      <c r="D899" s="8" t="s">
        <v>10</v>
      </c>
      <c r="E899" s="8">
        <v>28.93</v>
      </c>
      <c r="F899" s="8" t="s">
        <v>16</v>
      </c>
      <c r="G899" s="85">
        <f>+'[2]Dự thầu'!$G1081</f>
        <v>1252250</v>
      </c>
      <c r="H899" s="86">
        <f t="shared" si="30"/>
        <v>36227593</v>
      </c>
    </row>
    <row r="900" spans="1:8" ht="15.75" customHeight="1" x14ac:dyDescent="0.25">
      <c r="A900" s="4" t="s">
        <v>1266</v>
      </c>
      <c r="B900" s="8">
        <v>895</v>
      </c>
      <c r="C900" s="8" t="s">
        <v>754</v>
      </c>
      <c r="D900" s="8" t="s">
        <v>10</v>
      </c>
      <c r="E900" s="8">
        <v>1279.8599999999999</v>
      </c>
      <c r="F900" s="8" t="s">
        <v>16</v>
      </c>
      <c r="G900" s="85">
        <f>+'[2]Dự thầu'!$G1082</f>
        <v>20867</v>
      </c>
      <c r="H900" s="86">
        <f t="shared" si="30"/>
        <v>26706839</v>
      </c>
    </row>
    <row r="901" spans="1:8" ht="15.75" customHeight="1" x14ac:dyDescent="0.25">
      <c r="A901" s="4" t="s">
        <v>1267</v>
      </c>
      <c r="B901" s="8">
        <v>896</v>
      </c>
      <c r="C901" s="8" t="s">
        <v>610</v>
      </c>
      <c r="D901" s="8" t="s">
        <v>10</v>
      </c>
      <c r="E901" s="8">
        <v>42.22</v>
      </c>
      <c r="F901" s="8" t="s">
        <v>16</v>
      </c>
      <c r="G901" s="85">
        <f>+'[2]Dự thầu'!$G1083</f>
        <v>12936</v>
      </c>
      <c r="H901" s="86">
        <f t="shared" si="30"/>
        <v>546158</v>
      </c>
    </row>
    <row r="902" spans="1:8" ht="15.75" customHeight="1" x14ac:dyDescent="0.25">
      <c r="A902" s="4" t="s">
        <v>1268</v>
      </c>
      <c r="B902" s="8">
        <v>897</v>
      </c>
      <c r="C902" s="8" t="s">
        <v>32</v>
      </c>
      <c r="D902" s="8" t="s">
        <v>10</v>
      </c>
      <c r="E902" s="8">
        <v>57.73</v>
      </c>
      <c r="F902" s="8" t="s">
        <v>16</v>
      </c>
      <c r="G902" s="85">
        <f>+'[2]Dự thầu'!$G1084</f>
        <v>50585</v>
      </c>
      <c r="H902" s="86">
        <f t="shared" si="30"/>
        <v>2920272</v>
      </c>
    </row>
    <row r="903" spans="1:8" ht="15.75" customHeight="1" x14ac:dyDescent="0.25">
      <c r="A903" s="4" t="s">
        <v>1269</v>
      </c>
      <c r="B903" s="8">
        <v>898</v>
      </c>
      <c r="C903" s="8" t="s">
        <v>36</v>
      </c>
      <c r="D903" s="8" t="s">
        <v>10</v>
      </c>
      <c r="E903" s="8">
        <v>5.77</v>
      </c>
      <c r="F903" s="8" t="s">
        <v>37</v>
      </c>
      <c r="G903" s="85">
        <f>+'[2]Dự thầu'!$G$1085+'[2]Dự thầu'!$G$1086+'[2]Dự thầu'!$G$1087</f>
        <v>1032698</v>
      </c>
      <c r="H903" s="86">
        <f t="shared" si="30"/>
        <v>5958667</v>
      </c>
    </row>
    <row r="904" spans="1:8" ht="15.75" customHeight="1" x14ac:dyDescent="0.25">
      <c r="A904" s="4" t="s">
        <v>1270</v>
      </c>
      <c r="B904" s="8">
        <v>899</v>
      </c>
      <c r="C904" s="8" t="s">
        <v>624</v>
      </c>
      <c r="D904" s="8" t="s">
        <v>10</v>
      </c>
      <c r="E904" s="8">
        <v>387.89</v>
      </c>
      <c r="F904" s="8" t="s">
        <v>16</v>
      </c>
      <c r="G904" s="85">
        <f>+'[2]Dự thầu'!$G1088</f>
        <v>271833</v>
      </c>
      <c r="H904" s="86">
        <f t="shared" si="30"/>
        <v>105441302</v>
      </c>
    </row>
    <row r="905" spans="1:8" ht="15.75" customHeight="1" x14ac:dyDescent="0.25">
      <c r="A905" s="4" t="s">
        <v>1271</v>
      </c>
      <c r="B905" s="8">
        <v>900</v>
      </c>
      <c r="C905" s="8" t="s">
        <v>620</v>
      </c>
      <c r="D905" s="8" t="s">
        <v>10</v>
      </c>
      <c r="E905" s="8">
        <v>16303.22</v>
      </c>
      <c r="F905" s="8" t="s">
        <v>75</v>
      </c>
      <c r="G905" s="85">
        <f>+'[2]Dự thầu'!$G1089</f>
        <v>11223</v>
      </c>
      <c r="H905" s="86">
        <f t="shared" si="30"/>
        <v>182971038</v>
      </c>
    </row>
    <row r="906" spans="1:8" ht="15.75" customHeight="1" x14ac:dyDescent="0.25">
      <c r="A906" s="4" t="s">
        <v>1272</v>
      </c>
      <c r="B906" s="8">
        <v>901</v>
      </c>
      <c r="C906" s="8" t="s">
        <v>622</v>
      </c>
      <c r="D906" s="8" t="s">
        <v>10</v>
      </c>
      <c r="E906" s="8">
        <v>1361.95</v>
      </c>
      <c r="F906" s="8" t="s">
        <v>13</v>
      </c>
      <c r="G906" s="85">
        <f>+'[2]Dự thầu'!$G1090</f>
        <v>19714</v>
      </c>
      <c r="H906" s="86">
        <f t="shared" si="30"/>
        <v>26849482</v>
      </c>
    </row>
    <row r="907" spans="1:8" ht="15.75" customHeight="1" x14ac:dyDescent="0.25">
      <c r="A907" s="4" t="s">
        <v>1273</v>
      </c>
      <c r="B907" s="8">
        <v>902</v>
      </c>
      <c r="C907" s="8" t="s">
        <v>626</v>
      </c>
      <c r="D907" s="8" t="s">
        <v>10</v>
      </c>
      <c r="E907" s="8">
        <v>1232.1600000000001</v>
      </c>
      <c r="F907" s="8" t="s">
        <v>16</v>
      </c>
      <c r="G907" s="85">
        <f>+'[2]Dự thầu'!$G1091</f>
        <v>45382</v>
      </c>
      <c r="H907" s="86">
        <f t="shared" ref="H907:H913" si="31">+ROUND(G907*E907,0)</f>
        <v>55917885</v>
      </c>
    </row>
    <row r="908" spans="1:8" ht="15.75" customHeight="1" x14ac:dyDescent="0.25">
      <c r="A908" s="4" t="s">
        <v>1274</v>
      </c>
      <c r="B908" s="8">
        <v>903</v>
      </c>
      <c r="C908" s="8" t="s">
        <v>770</v>
      </c>
      <c r="D908" s="8" t="s">
        <v>10</v>
      </c>
      <c r="E908" s="8">
        <v>4.6214000000000004</v>
      </c>
      <c r="F908" s="8" t="s">
        <v>90</v>
      </c>
      <c r="G908" s="85">
        <f>+'[2]Dự thầu'!$G1095</f>
        <v>10406267</v>
      </c>
      <c r="H908" s="86">
        <f t="shared" si="31"/>
        <v>48091522</v>
      </c>
    </row>
    <row r="909" spans="1:8" ht="15.75" customHeight="1" x14ac:dyDescent="0.25">
      <c r="A909" s="4" t="s">
        <v>1275</v>
      </c>
      <c r="B909" s="8">
        <v>904</v>
      </c>
      <c r="C909" s="8" t="s">
        <v>772</v>
      </c>
      <c r="D909" s="8" t="s">
        <v>10</v>
      </c>
      <c r="E909" s="8">
        <v>4.6214000000000004</v>
      </c>
      <c r="F909" s="8" t="s">
        <v>90</v>
      </c>
      <c r="G909" s="85">
        <f>+'[2]Dự thầu'!$G1096</f>
        <v>2675122</v>
      </c>
      <c r="H909" s="86">
        <f t="shared" si="31"/>
        <v>12362809</v>
      </c>
    </row>
    <row r="910" spans="1:8" ht="15.75" customHeight="1" x14ac:dyDescent="0.25">
      <c r="A910" s="4" t="s">
        <v>1276</v>
      </c>
      <c r="B910" s="8">
        <v>905</v>
      </c>
      <c r="C910" s="8" t="s">
        <v>628</v>
      </c>
      <c r="D910" s="8" t="s">
        <v>10</v>
      </c>
      <c r="E910" s="8">
        <v>426</v>
      </c>
      <c r="F910" s="8" t="s">
        <v>16</v>
      </c>
      <c r="G910" s="85">
        <f>+'[2]Dự thầu'!$G1097</f>
        <v>23993</v>
      </c>
      <c r="H910" s="86">
        <f t="shared" si="31"/>
        <v>10221018</v>
      </c>
    </row>
    <row r="911" spans="1:8" ht="15.75" customHeight="1" x14ac:dyDescent="0.25">
      <c r="A911" s="4" t="s">
        <v>1277</v>
      </c>
      <c r="B911" s="8">
        <v>906</v>
      </c>
      <c r="C911" s="8" t="s">
        <v>630</v>
      </c>
      <c r="D911" s="8" t="s">
        <v>10</v>
      </c>
      <c r="E911" s="8">
        <v>72.8</v>
      </c>
      <c r="F911" s="8" t="s">
        <v>16</v>
      </c>
      <c r="G911" s="85">
        <f>+'[2]Dự thầu'!$G1098</f>
        <v>7229</v>
      </c>
      <c r="H911" s="86">
        <f t="shared" si="31"/>
        <v>526271</v>
      </c>
    </row>
    <row r="912" spans="1:8" ht="15.75" customHeight="1" x14ac:dyDescent="0.25">
      <c r="A912" s="4" t="s">
        <v>1278</v>
      </c>
      <c r="B912" s="8">
        <v>907</v>
      </c>
      <c r="C912" s="8" t="s">
        <v>632</v>
      </c>
      <c r="D912" s="8" t="s">
        <v>10</v>
      </c>
      <c r="E912" s="8">
        <v>426</v>
      </c>
      <c r="F912" s="8" t="s">
        <v>16</v>
      </c>
      <c r="G912" s="85">
        <f>+'[2]Dự thầu'!$G1099</f>
        <v>19746</v>
      </c>
      <c r="H912" s="86">
        <f t="shared" si="31"/>
        <v>8411796</v>
      </c>
    </row>
    <row r="913" spans="1:9" ht="15.75" customHeight="1" x14ac:dyDescent="0.25">
      <c r="A913" s="4" t="s">
        <v>1279</v>
      </c>
      <c r="B913" s="8">
        <v>908</v>
      </c>
      <c r="C913" s="8" t="s">
        <v>685</v>
      </c>
      <c r="D913" s="8" t="s">
        <v>10</v>
      </c>
      <c r="E913" s="8">
        <v>426</v>
      </c>
      <c r="F913" s="8" t="s">
        <v>16</v>
      </c>
      <c r="G913" s="85">
        <f>+'[2]Dự thầu'!$G1100</f>
        <v>45382</v>
      </c>
      <c r="H913" s="86">
        <f t="shared" si="31"/>
        <v>19332732</v>
      </c>
    </row>
    <row r="914" spans="1:9" ht="15.75" customHeight="1" x14ac:dyDescent="0.25">
      <c r="A914" s="4">
        <v>14</v>
      </c>
      <c r="B914" s="8">
        <v>909</v>
      </c>
      <c r="C914" s="8" t="s">
        <v>1280</v>
      </c>
      <c r="D914" s="8" t="s">
        <v>10</v>
      </c>
      <c r="E914" s="8"/>
      <c r="F914" s="8"/>
      <c r="G914" s="85"/>
      <c r="I914" s="86"/>
    </row>
    <row r="915" spans="1:9" ht="15.75" customHeight="1" x14ac:dyDescent="0.25">
      <c r="A915" s="4" t="s">
        <v>1281</v>
      </c>
      <c r="B915" s="8">
        <v>910</v>
      </c>
      <c r="C915" s="8" t="s">
        <v>831</v>
      </c>
      <c r="D915" s="8" t="s">
        <v>10</v>
      </c>
      <c r="E915" s="8">
        <v>29.25</v>
      </c>
      <c r="F915" s="8" t="s">
        <v>16</v>
      </c>
      <c r="G915" s="85">
        <f>+'[2]Dự thầu'!$G1190</f>
        <v>1688075</v>
      </c>
      <c r="H915" s="86">
        <f t="shared" ref="H915:H946" si="32">+ROUND(G915*E915,0)</f>
        <v>49376194</v>
      </c>
    </row>
    <row r="916" spans="1:9" ht="15.75" customHeight="1" x14ac:dyDescent="0.25">
      <c r="A916" s="4" t="s">
        <v>1282</v>
      </c>
      <c r="B916" s="8">
        <v>911</v>
      </c>
      <c r="C916" s="8" t="s">
        <v>833</v>
      </c>
      <c r="D916" s="8" t="s">
        <v>10</v>
      </c>
      <c r="E916" s="8">
        <v>0.19</v>
      </c>
      <c r="F916" s="8" t="s">
        <v>90</v>
      </c>
      <c r="G916" s="85">
        <f>+'[2]Dự thầu'!$G1191</f>
        <v>28771832</v>
      </c>
      <c r="H916" s="86">
        <f t="shared" si="32"/>
        <v>5466648</v>
      </c>
    </row>
    <row r="917" spans="1:9" ht="15.75" customHeight="1" x14ac:dyDescent="0.25">
      <c r="A917" s="4" t="s">
        <v>1283</v>
      </c>
      <c r="B917" s="8">
        <v>912</v>
      </c>
      <c r="C917" s="8" t="s">
        <v>835</v>
      </c>
      <c r="D917" s="8" t="s">
        <v>10</v>
      </c>
      <c r="E917" s="8">
        <v>4.5599999999999996</v>
      </c>
      <c r="F917" s="8" t="s">
        <v>90</v>
      </c>
      <c r="G917" s="85">
        <f>+'[2]Dự thầu'!$G1192</f>
        <v>27010601</v>
      </c>
      <c r="H917" s="86">
        <f t="shared" si="32"/>
        <v>123168341</v>
      </c>
    </row>
    <row r="918" spans="1:9" ht="15.75" customHeight="1" x14ac:dyDescent="0.25">
      <c r="A918" s="4" t="s">
        <v>1284</v>
      </c>
      <c r="B918" s="8">
        <v>913</v>
      </c>
      <c r="C918" s="8" t="s">
        <v>336</v>
      </c>
      <c r="D918" s="8" t="s">
        <v>10</v>
      </c>
      <c r="E918" s="8">
        <v>259.39999999999998</v>
      </c>
      <c r="F918" s="8" t="s">
        <v>13</v>
      </c>
      <c r="G918" s="85">
        <f>+'[2]Dự thầu'!$G1193</f>
        <v>102621</v>
      </c>
      <c r="H918" s="86">
        <f t="shared" si="32"/>
        <v>26619887</v>
      </c>
    </row>
    <row r="919" spans="1:9" ht="15.75" customHeight="1" x14ac:dyDescent="0.25">
      <c r="A919" s="4" t="s">
        <v>1285</v>
      </c>
      <c r="B919" s="8">
        <v>914</v>
      </c>
      <c r="C919" s="8" t="s">
        <v>838</v>
      </c>
      <c r="D919" s="8" t="s">
        <v>10</v>
      </c>
      <c r="E919" s="8">
        <v>22</v>
      </c>
      <c r="F919" s="8" t="s">
        <v>250</v>
      </c>
      <c r="G919" s="85">
        <f>+'[2]Dự thầu'!$G1194</f>
        <v>113802</v>
      </c>
      <c r="H919" s="86">
        <f t="shared" si="32"/>
        <v>2503644</v>
      </c>
    </row>
    <row r="920" spans="1:9" ht="15.75" customHeight="1" x14ac:dyDescent="0.25">
      <c r="A920" s="4" t="s">
        <v>1286</v>
      </c>
      <c r="B920" s="8">
        <v>915</v>
      </c>
      <c r="C920" s="8" t="s">
        <v>571</v>
      </c>
      <c r="D920" s="8" t="s">
        <v>10</v>
      </c>
      <c r="E920" s="8">
        <v>22</v>
      </c>
      <c r="F920" s="8" t="s">
        <v>250</v>
      </c>
      <c r="G920" s="85">
        <f>+'[2]Dự thầu'!$G1195</f>
        <v>91827</v>
      </c>
      <c r="H920" s="86">
        <f t="shared" si="32"/>
        <v>2020194</v>
      </c>
    </row>
    <row r="921" spans="1:9" ht="15.75" customHeight="1" x14ac:dyDescent="0.25">
      <c r="A921" s="4" t="s">
        <v>1287</v>
      </c>
      <c r="B921" s="8">
        <v>916</v>
      </c>
      <c r="C921" s="8" t="s">
        <v>647</v>
      </c>
      <c r="D921" s="8" t="s">
        <v>10</v>
      </c>
      <c r="E921" s="8">
        <v>7.31</v>
      </c>
      <c r="F921" s="8" t="s">
        <v>253</v>
      </c>
      <c r="G921" s="85">
        <f>+'[2]Dự thầu'!$G1196</f>
        <v>36181</v>
      </c>
      <c r="H921" s="86">
        <f t="shared" si="32"/>
        <v>264483</v>
      </c>
    </row>
    <row r="922" spans="1:9" ht="15.75" customHeight="1" x14ac:dyDescent="0.25">
      <c r="A922" s="4" t="s">
        <v>1288</v>
      </c>
      <c r="B922" s="8">
        <v>917</v>
      </c>
      <c r="C922" s="8" t="s">
        <v>859</v>
      </c>
      <c r="D922" s="8" t="s">
        <v>10</v>
      </c>
      <c r="E922" s="8">
        <v>22</v>
      </c>
      <c r="F922" s="8" t="s">
        <v>567</v>
      </c>
      <c r="G922" s="85">
        <f>+'[2]Dự thầu'!$G1197</f>
        <v>319273</v>
      </c>
      <c r="H922" s="86">
        <f t="shared" si="32"/>
        <v>7024006</v>
      </c>
    </row>
    <row r="923" spans="1:9" ht="15.75" customHeight="1" x14ac:dyDescent="0.25">
      <c r="A923" s="4" t="s">
        <v>1289</v>
      </c>
      <c r="B923" s="8">
        <v>918</v>
      </c>
      <c r="C923" s="8" t="s">
        <v>831</v>
      </c>
      <c r="D923" s="8" t="s">
        <v>10</v>
      </c>
      <c r="E923" s="8">
        <v>332.6</v>
      </c>
      <c r="F923" s="8" t="s">
        <v>16</v>
      </c>
      <c r="G923" s="85">
        <f>+'[2]Dự thầu'!$G1199</f>
        <v>1688075</v>
      </c>
      <c r="H923" s="86">
        <f t="shared" si="32"/>
        <v>561453745</v>
      </c>
    </row>
    <row r="924" spans="1:9" ht="15.75" customHeight="1" x14ac:dyDescent="0.25">
      <c r="A924" s="4" t="s">
        <v>1290</v>
      </c>
      <c r="B924" s="8">
        <v>919</v>
      </c>
      <c r="C924" s="8" t="s">
        <v>833</v>
      </c>
      <c r="D924" s="8" t="s">
        <v>10</v>
      </c>
      <c r="E924" s="8">
        <v>2.6</v>
      </c>
      <c r="F924" s="8" t="s">
        <v>90</v>
      </c>
      <c r="G924" s="85">
        <f>+'[2]Dự thầu'!$G1200</f>
        <v>28771832</v>
      </c>
      <c r="H924" s="86">
        <f t="shared" si="32"/>
        <v>74806763</v>
      </c>
    </row>
    <row r="925" spans="1:9" ht="15.75" customHeight="1" x14ac:dyDescent="0.25">
      <c r="A925" s="4" t="s">
        <v>1291</v>
      </c>
      <c r="B925" s="8">
        <v>920</v>
      </c>
      <c r="C925" s="8" t="s">
        <v>835</v>
      </c>
      <c r="D925" s="8" t="s">
        <v>10</v>
      </c>
      <c r="E925" s="8">
        <v>50.55</v>
      </c>
      <c r="F925" s="8" t="s">
        <v>90</v>
      </c>
      <c r="G925" s="85">
        <f>+'[2]Dự thầu'!$G1201</f>
        <v>27010601</v>
      </c>
      <c r="H925" s="86">
        <f t="shared" si="32"/>
        <v>1365385881</v>
      </c>
    </row>
    <row r="926" spans="1:9" ht="15.75" customHeight="1" x14ac:dyDescent="0.25">
      <c r="A926" s="4" t="s">
        <v>1292</v>
      </c>
      <c r="B926" s="8">
        <v>921</v>
      </c>
      <c r="C926" s="8" t="s">
        <v>336</v>
      </c>
      <c r="D926" s="8" t="s">
        <v>10</v>
      </c>
      <c r="E926" s="8">
        <v>3094</v>
      </c>
      <c r="F926" s="8" t="s">
        <v>13</v>
      </c>
      <c r="G926" s="85">
        <f>+'[2]Dự thầu'!$G1202</f>
        <v>102621</v>
      </c>
      <c r="H926" s="86">
        <f t="shared" si="32"/>
        <v>317509374</v>
      </c>
    </row>
    <row r="927" spans="1:9" ht="15.75" customHeight="1" x14ac:dyDescent="0.25">
      <c r="A927" s="4" t="s">
        <v>1293</v>
      </c>
      <c r="B927" s="8">
        <v>922</v>
      </c>
      <c r="C927" s="8" t="s">
        <v>838</v>
      </c>
      <c r="D927" s="8" t="s">
        <v>10</v>
      </c>
      <c r="E927" s="8">
        <v>275</v>
      </c>
      <c r="F927" s="8" t="s">
        <v>250</v>
      </c>
      <c r="G927" s="85">
        <f>+'[2]Dự thầu'!$G1203</f>
        <v>113802</v>
      </c>
      <c r="H927" s="86">
        <f t="shared" si="32"/>
        <v>31295550</v>
      </c>
    </row>
    <row r="928" spans="1:9" ht="15.75" customHeight="1" x14ac:dyDescent="0.25">
      <c r="A928" s="4" t="s">
        <v>1294</v>
      </c>
      <c r="B928" s="8">
        <v>923</v>
      </c>
      <c r="C928" s="8" t="s">
        <v>571</v>
      </c>
      <c r="D928" s="8" t="s">
        <v>10</v>
      </c>
      <c r="E928" s="8">
        <v>275</v>
      </c>
      <c r="F928" s="8" t="s">
        <v>250</v>
      </c>
      <c r="G928" s="85">
        <f>+'[2]Dự thầu'!$G1204</f>
        <v>91827</v>
      </c>
      <c r="H928" s="86">
        <f t="shared" si="32"/>
        <v>25252425</v>
      </c>
    </row>
    <row r="929" spans="1:8" ht="15.75" customHeight="1" x14ac:dyDescent="0.25">
      <c r="A929" s="4" t="s">
        <v>1295</v>
      </c>
      <c r="B929" s="8">
        <v>924</v>
      </c>
      <c r="C929" s="8" t="s">
        <v>647</v>
      </c>
      <c r="D929" s="8" t="s">
        <v>10</v>
      </c>
      <c r="E929" s="8">
        <v>83.15</v>
      </c>
      <c r="F929" s="8" t="s">
        <v>253</v>
      </c>
      <c r="G929" s="85">
        <f>+'[2]Dự thầu'!$G1205</f>
        <v>36181</v>
      </c>
      <c r="H929" s="86">
        <f t="shared" si="32"/>
        <v>3008450</v>
      </c>
    </row>
    <row r="930" spans="1:8" ht="15.75" customHeight="1" x14ac:dyDescent="0.25">
      <c r="A930" s="4" t="s">
        <v>1296</v>
      </c>
      <c r="B930" s="8">
        <v>925</v>
      </c>
      <c r="C930" s="8" t="s">
        <v>859</v>
      </c>
      <c r="D930" s="8" t="s">
        <v>10</v>
      </c>
      <c r="E930" s="8">
        <v>275</v>
      </c>
      <c r="F930" s="8" t="s">
        <v>567</v>
      </c>
      <c r="G930" s="85">
        <f>+'[2]Dự thầu'!$G1206</f>
        <v>319273</v>
      </c>
      <c r="H930" s="86">
        <f t="shared" si="32"/>
        <v>87800075</v>
      </c>
    </row>
    <row r="931" spans="1:8" ht="15.75" customHeight="1" x14ac:dyDescent="0.25">
      <c r="A931" s="4" t="s">
        <v>1297</v>
      </c>
      <c r="B931" s="8">
        <v>926</v>
      </c>
      <c r="C931" s="8" t="s">
        <v>334</v>
      </c>
      <c r="D931" s="8" t="s">
        <v>10</v>
      </c>
      <c r="E931" s="8">
        <v>3.31</v>
      </c>
      <c r="F931" s="8" t="s">
        <v>16</v>
      </c>
      <c r="G931" s="85">
        <f>+'[2]Dự thầu'!$G1225</f>
        <v>1637840</v>
      </c>
      <c r="H931" s="86">
        <f t="shared" si="32"/>
        <v>5421250</v>
      </c>
    </row>
    <row r="932" spans="1:8" ht="15.75" customHeight="1" x14ac:dyDescent="0.25">
      <c r="A932" s="4" t="s">
        <v>1298</v>
      </c>
      <c r="B932" s="8">
        <v>927</v>
      </c>
      <c r="C932" s="8" t="s">
        <v>246</v>
      </c>
      <c r="D932" s="8" t="s">
        <v>10</v>
      </c>
      <c r="E932" s="8">
        <v>0.16</v>
      </c>
      <c r="F932" s="8" t="s">
        <v>90</v>
      </c>
      <c r="G932" s="85">
        <f>+'[2]Dự thầu'!$G1226</f>
        <v>27102732</v>
      </c>
      <c r="H932" s="86">
        <f t="shared" si="32"/>
        <v>4336437</v>
      </c>
    </row>
    <row r="933" spans="1:8" ht="15.75" customHeight="1" x14ac:dyDescent="0.25">
      <c r="A933" s="4" t="s">
        <v>1299</v>
      </c>
      <c r="B933" s="8">
        <v>928</v>
      </c>
      <c r="C933" s="8" t="s">
        <v>871</v>
      </c>
      <c r="D933" s="8" t="s">
        <v>10</v>
      </c>
      <c r="E933" s="8">
        <v>9.84</v>
      </c>
      <c r="F933" s="8" t="s">
        <v>13</v>
      </c>
      <c r="G933" s="85">
        <f>+'[2]Dự thầu'!$G1227</f>
        <v>86606</v>
      </c>
      <c r="H933" s="86">
        <f t="shared" si="32"/>
        <v>852203</v>
      </c>
    </row>
    <row r="934" spans="1:8" ht="15.75" customHeight="1" x14ac:dyDescent="0.25">
      <c r="A934" s="4" t="s">
        <v>1300</v>
      </c>
      <c r="B934" s="8">
        <v>929</v>
      </c>
      <c r="C934" s="8" t="s">
        <v>349</v>
      </c>
      <c r="D934" s="8" t="s">
        <v>10</v>
      </c>
      <c r="E934" s="8">
        <v>8</v>
      </c>
      <c r="F934" s="8" t="s">
        <v>250</v>
      </c>
      <c r="G934" s="85">
        <f>+'[2]Dự thầu'!$G1228</f>
        <v>79217</v>
      </c>
      <c r="H934" s="86">
        <f t="shared" si="32"/>
        <v>633736</v>
      </c>
    </row>
    <row r="935" spans="1:8" ht="15.75" customHeight="1" x14ac:dyDescent="0.25">
      <c r="A935" s="4" t="s">
        <v>1301</v>
      </c>
      <c r="B935" s="8">
        <v>930</v>
      </c>
      <c r="C935" s="8" t="s">
        <v>351</v>
      </c>
      <c r="D935" s="8" t="s">
        <v>10</v>
      </c>
      <c r="E935" s="8">
        <v>8</v>
      </c>
      <c r="F935" s="8" t="s">
        <v>250</v>
      </c>
      <c r="G935" s="85">
        <f>+'[2]Dự thầu'!$G1229</f>
        <v>65424</v>
      </c>
      <c r="H935" s="86">
        <f t="shared" si="32"/>
        <v>523392</v>
      </c>
    </row>
    <row r="936" spans="1:8" ht="15.75" customHeight="1" x14ac:dyDescent="0.25">
      <c r="A936" s="4" t="s">
        <v>1302</v>
      </c>
      <c r="B936" s="8">
        <v>931</v>
      </c>
      <c r="C936" s="8" t="s">
        <v>284</v>
      </c>
      <c r="D936" s="8" t="s">
        <v>10</v>
      </c>
      <c r="E936" s="8">
        <v>0.83</v>
      </c>
      <c r="F936" s="8" t="s">
        <v>274</v>
      </c>
      <c r="G936" s="85">
        <f>+'[2]Dự thầu'!$G1230</f>
        <v>32162</v>
      </c>
      <c r="H936" s="86">
        <f t="shared" si="32"/>
        <v>26694</v>
      </c>
    </row>
    <row r="937" spans="1:8" ht="15.75" customHeight="1" x14ac:dyDescent="0.25">
      <c r="A937" s="4" t="s">
        <v>1303</v>
      </c>
      <c r="B937" s="8">
        <v>932</v>
      </c>
      <c r="C937" s="8" t="s">
        <v>355</v>
      </c>
      <c r="D937" s="8" t="s">
        <v>10</v>
      </c>
      <c r="E937" s="8">
        <v>8</v>
      </c>
      <c r="F937" s="8" t="s">
        <v>258</v>
      </c>
      <c r="G937" s="85">
        <f>+'[2]Dự thầu'!$G1231</f>
        <v>120701</v>
      </c>
      <c r="H937" s="86">
        <f t="shared" si="32"/>
        <v>965608</v>
      </c>
    </row>
    <row r="938" spans="1:8" ht="15.75" customHeight="1" x14ac:dyDescent="0.25">
      <c r="A938" s="4" t="s">
        <v>1304</v>
      </c>
      <c r="B938" s="8">
        <v>933</v>
      </c>
      <c r="C938" s="8" t="s">
        <v>334</v>
      </c>
      <c r="D938" s="8" t="s">
        <v>10</v>
      </c>
      <c r="E938" s="8">
        <v>114.11</v>
      </c>
      <c r="F938" s="8" t="s">
        <v>16</v>
      </c>
      <c r="G938" s="85">
        <f>+'[2]Dự thầu'!$G1233</f>
        <v>1637840</v>
      </c>
      <c r="H938" s="86">
        <f t="shared" si="32"/>
        <v>186893922</v>
      </c>
    </row>
    <row r="939" spans="1:8" ht="15.75" customHeight="1" x14ac:dyDescent="0.25">
      <c r="A939" s="4" t="s">
        <v>1305</v>
      </c>
      <c r="B939" s="8">
        <v>934</v>
      </c>
      <c r="C939" s="8" t="s">
        <v>246</v>
      </c>
      <c r="D939" s="8" t="s">
        <v>10</v>
      </c>
      <c r="E939" s="8">
        <v>5.42</v>
      </c>
      <c r="F939" s="8" t="s">
        <v>90</v>
      </c>
      <c r="G939" s="85">
        <f>+'[2]Dự thầu'!$G1234</f>
        <v>27102732</v>
      </c>
      <c r="H939" s="86">
        <f t="shared" si="32"/>
        <v>146896807</v>
      </c>
    </row>
    <row r="940" spans="1:8" ht="15.75" customHeight="1" x14ac:dyDescent="0.25">
      <c r="A940" s="4" t="s">
        <v>1306</v>
      </c>
      <c r="B940" s="8">
        <v>935</v>
      </c>
      <c r="C940" s="8" t="s">
        <v>871</v>
      </c>
      <c r="D940" s="8" t="s">
        <v>10</v>
      </c>
      <c r="E940" s="8">
        <v>261.33999999999997</v>
      </c>
      <c r="F940" s="8" t="s">
        <v>13</v>
      </c>
      <c r="G940" s="85">
        <f>+'[2]Dự thầu'!$G1235</f>
        <v>86606</v>
      </c>
      <c r="H940" s="86">
        <f t="shared" si="32"/>
        <v>22633612</v>
      </c>
    </row>
    <row r="941" spans="1:8" ht="15.75" customHeight="1" x14ac:dyDescent="0.25">
      <c r="A941" s="4" t="s">
        <v>1307</v>
      </c>
      <c r="B941" s="8">
        <v>936</v>
      </c>
      <c r="C941" s="8" t="s">
        <v>351</v>
      </c>
      <c r="D941" s="8" t="s">
        <v>10</v>
      </c>
      <c r="E941" s="8">
        <v>182</v>
      </c>
      <c r="F941" s="8" t="s">
        <v>250</v>
      </c>
      <c r="G941" s="85">
        <f>+'[2]Dự thầu'!$G1236</f>
        <v>65424</v>
      </c>
      <c r="H941" s="86">
        <f t="shared" si="32"/>
        <v>11907168</v>
      </c>
    </row>
    <row r="942" spans="1:8" ht="15.75" customHeight="1" x14ac:dyDescent="0.25">
      <c r="A942" s="4" t="s">
        <v>1308</v>
      </c>
      <c r="B942" s="8">
        <v>937</v>
      </c>
      <c r="C942" s="8" t="s">
        <v>351</v>
      </c>
      <c r="D942" s="8" t="s">
        <v>10</v>
      </c>
      <c r="E942" s="8">
        <v>182</v>
      </c>
      <c r="F942" s="8" t="s">
        <v>250</v>
      </c>
      <c r="G942" s="85">
        <f>+'[2]Dự thầu'!$G1237</f>
        <v>65424</v>
      </c>
      <c r="H942" s="86">
        <f t="shared" si="32"/>
        <v>11907168</v>
      </c>
    </row>
    <row r="943" spans="1:8" ht="15.75" customHeight="1" x14ac:dyDescent="0.25">
      <c r="A943" s="4" t="s">
        <v>1309</v>
      </c>
      <c r="B943" s="8">
        <v>938</v>
      </c>
      <c r="C943" s="8" t="s">
        <v>284</v>
      </c>
      <c r="D943" s="8" t="s">
        <v>10</v>
      </c>
      <c r="E943" s="8">
        <v>28.53</v>
      </c>
      <c r="F943" s="8" t="s">
        <v>253</v>
      </c>
      <c r="G943" s="85">
        <f>+'[2]Dự thầu'!$G1238</f>
        <v>32162</v>
      </c>
      <c r="H943" s="86">
        <f t="shared" si="32"/>
        <v>917582</v>
      </c>
    </row>
    <row r="944" spans="1:8" ht="15.75" customHeight="1" x14ac:dyDescent="0.25">
      <c r="A944" s="4" t="s">
        <v>1310</v>
      </c>
      <c r="B944" s="8">
        <v>939</v>
      </c>
      <c r="C944" s="8" t="s">
        <v>355</v>
      </c>
      <c r="D944" s="8" t="s">
        <v>10</v>
      </c>
      <c r="E944" s="8">
        <v>182</v>
      </c>
      <c r="F944" s="8" t="s">
        <v>258</v>
      </c>
      <c r="G944" s="85">
        <f>+'[2]Dự thầu'!$G1239</f>
        <v>120701</v>
      </c>
      <c r="H944" s="86">
        <f t="shared" si="32"/>
        <v>21967582</v>
      </c>
    </row>
    <row r="945" spans="1:8" ht="15.75" customHeight="1" x14ac:dyDescent="0.25">
      <c r="A945" s="4" t="s">
        <v>1311</v>
      </c>
      <c r="B945" s="8">
        <v>940</v>
      </c>
      <c r="C945" s="8" t="s">
        <v>240</v>
      </c>
      <c r="D945" s="8" t="s">
        <v>10</v>
      </c>
      <c r="E945" s="8">
        <v>71.62</v>
      </c>
      <c r="F945" s="8" t="s">
        <v>16</v>
      </c>
      <c r="G945" s="85">
        <f>+'[2]Dự thầu'!$G1243</f>
        <v>851305</v>
      </c>
      <c r="H945" s="86">
        <f t="shared" si="32"/>
        <v>60970464</v>
      </c>
    </row>
    <row r="946" spans="1:8" ht="15.75" customHeight="1" x14ac:dyDescent="0.25">
      <c r="A946" s="4" t="s">
        <v>1312</v>
      </c>
      <c r="B946" s="8">
        <v>941</v>
      </c>
      <c r="C946" s="8" t="s">
        <v>905</v>
      </c>
      <c r="D946" s="8" t="s">
        <v>10</v>
      </c>
      <c r="E946" s="8">
        <v>14.19</v>
      </c>
      <c r="F946" s="8" t="s">
        <v>16</v>
      </c>
      <c r="G946" s="85">
        <f>+'[2]Dự thầu'!$G1244</f>
        <v>1637840</v>
      </c>
      <c r="H946" s="86">
        <f t="shared" si="32"/>
        <v>23240950</v>
      </c>
    </row>
    <row r="947" spans="1:8" ht="15.75" customHeight="1" x14ac:dyDescent="0.25">
      <c r="A947" s="4" t="s">
        <v>1313</v>
      </c>
      <c r="B947" s="8">
        <v>942</v>
      </c>
      <c r="C947" s="8" t="s">
        <v>871</v>
      </c>
      <c r="D947" s="8" t="s">
        <v>10</v>
      </c>
      <c r="E947" s="8">
        <v>205.1</v>
      </c>
      <c r="F947" s="8" t="s">
        <v>13</v>
      </c>
      <c r="G947" s="85">
        <f>+'[2]Dự thầu'!$G1245</f>
        <v>250782</v>
      </c>
      <c r="H947" s="86">
        <f t="shared" ref="H947:H978" si="33">+ROUND(G947*E947,0)</f>
        <v>51435388</v>
      </c>
    </row>
    <row r="948" spans="1:8" ht="15.75" customHeight="1" x14ac:dyDescent="0.25">
      <c r="A948" s="4" t="s">
        <v>1314</v>
      </c>
      <c r="B948" s="8">
        <v>943</v>
      </c>
      <c r="C948" s="8" t="s">
        <v>246</v>
      </c>
      <c r="D948" s="8" t="s">
        <v>10</v>
      </c>
      <c r="E948" s="8">
        <v>1.9</v>
      </c>
      <c r="F948" s="8" t="s">
        <v>90</v>
      </c>
      <c r="G948" s="85">
        <f>+'[2]Dự thầu'!$G1246</f>
        <v>27102732</v>
      </c>
      <c r="H948" s="86">
        <f t="shared" si="33"/>
        <v>51495191</v>
      </c>
    </row>
    <row r="949" spans="1:8" ht="15.75" customHeight="1" x14ac:dyDescent="0.25">
      <c r="A949" s="4" t="s">
        <v>1315</v>
      </c>
      <c r="B949" s="8">
        <v>944</v>
      </c>
      <c r="C949" s="8" t="s">
        <v>246</v>
      </c>
      <c r="D949" s="8" t="s">
        <v>10</v>
      </c>
      <c r="E949" s="8">
        <v>1.5</v>
      </c>
      <c r="F949" s="8" t="s">
        <v>90</v>
      </c>
      <c r="G949" s="85">
        <f>+'[2]Dự thầu'!$G1247</f>
        <v>27102732</v>
      </c>
      <c r="H949" s="86">
        <f t="shared" si="33"/>
        <v>40654098</v>
      </c>
    </row>
    <row r="950" spans="1:8" ht="15.75" customHeight="1" x14ac:dyDescent="0.25">
      <c r="A950" s="4" t="s">
        <v>1316</v>
      </c>
      <c r="B950" s="8">
        <v>945</v>
      </c>
      <c r="C950" s="8" t="s">
        <v>910</v>
      </c>
      <c r="D950" s="8" t="s">
        <v>10</v>
      </c>
      <c r="E950" s="8">
        <v>43</v>
      </c>
      <c r="F950" s="8" t="s">
        <v>250</v>
      </c>
      <c r="G950" s="85">
        <f>+'[2]Dự thầu'!$G1248</f>
        <v>69167</v>
      </c>
      <c r="H950" s="86">
        <f t="shared" si="33"/>
        <v>2974181</v>
      </c>
    </row>
    <row r="951" spans="1:8" ht="15.75" customHeight="1" x14ac:dyDescent="0.25">
      <c r="A951" s="4" t="s">
        <v>1317</v>
      </c>
      <c r="B951" s="8">
        <v>946</v>
      </c>
      <c r="C951" s="8" t="s">
        <v>876</v>
      </c>
      <c r="D951" s="8" t="s">
        <v>10</v>
      </c>
      <c r="E951" s="8">
        <v>43</v>
      </c>
      <c r="F951" s="8" t="s">
        <v>250</v>
      </c>
      <c r="G951" s="85">
        <f>+'[2]Dự thầu'!$G1249</f>
        <v>52812</v>
      </c>
      <c r="H951" s="86">
        <f t="shared" si="33"/>
        <v>2270916</v>
      </c>
    </row>
    <row r="952" spans="1:8" ht="15.75" customHeight="1" x14ac:dyDescent="0.25">
      <c r="A952" s="4" t="s">
        <v>1318</v>
      </c>
      <c r="B952" s="8">
        <v>947</v>
      </c>
      <c r="C952" s="8" t="s">
        <v>284</v>
      </c>
      <c r="D952" s="8" t="s">
        <v>10</v>
      </c>
      <c r="E952" s="8">
        <v>3.55</v>
      </c>
      <c r="F952" s="8" t="s">
        <v>253</v>
      </c>
      <c r="G952" s="85">
        <f>+'[2]Dự thầu'!$G1250</f>
        <v>32162</v>
      </c>
      <c r="H952" s="86">
        <f t="shared" si="33"/>
        <v>114175</v>
      </c>
    </row>
    <row r="953" spans="1:8" ht="15.75" customHeight="1" x14ac:dyDescent="0.25">
      <c r="A953" s="4" t="s">
        <v>1319</v>
      </c>
      <c r="B953" s="8">
        <v>948</v>
      </c>
      <c r="C953" s="8" t="s">
        <v>257</v>
      </c>
      <c r="D953" s="8" t="s">
        <v>10</v>
      </c>
      <c r="E953" s="8">
        <v>43</v>
      </c>
      <c r="F953" s="8" t="s">
        <v>258</v>
      </c>
      <c r="G953" s="85">
        <f>+'[2]Dự thầu'!$G1251</f>
        <v>142868</v>
      </c>
      <c r="H953" s="86">
        <f t="shared" si="33"/>
        <v>6143324</v>
      </c>
    </row>
    <row r="954" spans="1:8" ht="15.75" customHeight="1" x14ac:dyDescent="0.25">
      <c r="A954" s="4" t="s">
        <v>1320</v>
      </c>
      <c r="B954" s="8">
        <v>949</v>
      </c>
      <c r="C954" s="8" t="s">
        <v>364</v>
      </c>
      <c r="D954" s="8" t="s">
        <v>10</v>
      </c>
      <c r="E954" s="8">
        <v>47.9</v>
      </c>
      <c r="F954" s="8" t="s">
        <v>13</v>
      </c>
      <c r="G954" s="85">
        <f>+'[2]Dự thầu'!$G1252</f>
        <v>96763</v>
      </c>
      <c r="H954" s="86">
        <f t="shared" si="33"/>
        <v>4634948</v>
      </c>
    </row>
    <row r="955" spans="1:8" ht="15.75" customHeight="1" x14ac:dyDescent="0.25">
      <c r="A955" s="4" t="s">
        <v>1321</v>
      </c>
      <c r="B955" s="8">
        <v>950</v>
      </c>
      <c r="C955" s="8" t="s">
        <v>917</v>
      </c>
      <c r="D955" s="8" t="s">
        <v>10</v>
      </c>
      <c r="E955" s="8">
        <v>3.2</v>
      </c>
      <c r="F955" s="8" t="s">
        <v>16</v>
      </c>
      <c r="G955" s="85">
        <f>+'[2]Dự thầu'!$G1253</f>
        <v>610299</v>
      </c>
      <c r="H955" s="86">
        <f t="shared" si="33"/>
        <v>1952957</v>
      </c>
    </row>
    <row r="956" spans="1:8" ht="15.75" customHeight="1" x14ac:dyDescent="0.25">
      <c r="A956" s="4" t="s">
        <v>1322</v>
      </c>
      <c r="B956" s="8">
        <v>951</v>
      </c>
      <c r="C956" s="8" t="s">
        <v>919</v>
      </c>
      <c r="D956" s="8" t="s">
        <v>10</v>
      </c>
      <c r="E956" s="8">
        <v>1054.32</v>
      </c>
      <c r="F956" s="8" t="s">
        <v>13</v>
      </c>
      <c r="G956" s="85">
        <f>+'[2]Dự thầu'!$G1254</f>
        <v>242779</v>
      </c>
      <c r="H956" s="86">
        <f t="shared" si="33"/>
        <v>255966755</v>
      </c>
    </row>
    <row r="957" spans="1:8" ht="15.75" customHeight="1" x14ac:dyDescent="0.25">
      <c r="A957" s="4" t="s">
        <v>1323</v>
      </c>
      <c r="B957" s="8">
        <v>952</v>
      </c>
      <c r="C957" s="8" t="s">
        <v>366</v>
      </c>
      <c r="D957" s="8" t="s">
        <v>10</v>
      </c>
      <c r="E957" s="8">
        <v>3643.24</v>
      </c>
      <c r="F957" s="8" t="s">
        <v>13</v>
      </c>
      <c r="G957" s="85">
        <f>+'[2]Dự thầu'!$G1255</f>
        <v>76805</v>
      </c>
      <c r="H957" s="86">
        <f t="shared" si="33"/>
        <v>279819048</v>
      </c>
    </row>
    <row r="958" spans="1:8" ht="15.75" customHeight="1" x14ac:dyDescent="0.25">
      <c r="A958" s="4" t="s">
        <v>1324</v>
      </c>
      <c r="B958" s="8">
        <v>953</v>
      </c>
      <c r="C958" s="8" t="s">
        <v>368</v>
      </c>
      <c r="D958" s="8" t="s">
        <v>10</v>
      </c>
      <c r="E958" s="8">
        <v>30.54</v>
      </c>
      <c r="F958" s="8" t="s">
        <v>16</v>
      </c>
      <c r="G958" s="85">
        <f>+'[2]Dự thầu'!$G1256</f>
        <v>1887933</v>
      </c>
      <c r="H958" s="86">
        <f t="shared" si="33"/>
        <v>57657474</v>
      </c>
    </row>
    <row r="959" spans="1:8" ht="15.75" customHeight="1" x14ac:dyDescent="0.25">
      <c r="A959" s="4" t="s">
        <v>1325</v>
      </c>
      <c r="B959" s="8">
        <v>954</v>
      </c>
      <c r="C959" s="8" t="s">
        <v>125</v>
      </c>
      <c r="D959" s="8" t="s">
        <v>10</v>
      </c>
      <c r="E959" s="8">
        <v>149.19999999999999</v>
      </c>
      <c r="F959" s="8" t="s">
        <v>13</v>
      </c>
      <c r="G959" s="85">
        <f>+'[2]Dự thầu'!$G1257</f>
        <v>103945</v>
      </c>
      <c r="H959" s="86">
        <f t="shared" si="33"/>
        <v>15508594</v>
      </c>
    </row>
    <row r="960" spans="1:8" ht="15.75" customHeight="1" x14ac:dyDescent="0.25">
      <c r="A960" s="4" t="s">
        <v>1326</v>
      </c>
      <c r="B960" s="8">
        <v>955</v>
      </c>
      <c r="C960" s="8" t="s">
        <v>368</v>
      </c>
      <c r="D960" s="8" t="s">
        <v>10</v>
      </c>
      <c r="E960" s="8">
        <v>35</v>
      </c>
      <c r="F960" s="8" t="s">
        <v>16</v>
      </c>
      <c r="G960" s="85">
        <f>+'[2]Dự thầu'!$G1258</f>
        <v>1887933</v>
      </c>
      <c r="H960" s="86">
        <f t="shared" si="33"/>
        <v>66077655</v>
      </c>
    </row>
    <row r="961" spans="1:8" ht="15.75" customHeight="1" x14ac:dyDescent="0.25">
      <c r="A961" s="4" t="s">
        <v>1327</v>
      </c>
      <c r="B961" s="8">
        <v>956</v>
      </c>
      <c r="C961" s="8" t="s">
        <v>125</v>
      </c>
      <c r="D961" s="8" t="s">
        <v>10</v>
      </c>
      <c r="E961" s="8">
        <v>124.74</v>
      </c>
      <c r="F961" s="8" t="s">
        <v>13</v>
      </c>
      <c r="G961" s="85">
        <f>+'[2]Dự thầu'!$G1259</f>
        <v>103945</v>
      </c>
      <c r="H961" s="86">
        <f t="shared" si="33"/>
        <v>12966099</v>
      </c>
    </row>
    <row r="962" spans="1:8" ht="15.75" customHeight="1" x14ac:dyDescent="0.25">
      <c r="A962" s="4" t="s">
        <v>1328</v>
      </c>
      <c r="B962" s="8">
        <v>957</v>
      </c>
      <c r="C962" s="8" t="s">
        <v>926</v>
      </c>
      <c r="D962" s="8" t="s">
        <v>10</v>
      </c>
      <c r="E962" s="8">
        <v>84.9</v>
      </c>
      <c r="F962" s="8" t="s">
        <v>16</v>
      </c>
      <c r="G962" s="85">
        <f>+'[2]Dự thầu'!$G1260</f>
        <v>1405969</v>
      </c>
      <c r="H962" s="86">
        <f t="shared" si="33"/>
        <v>119366768</v>
      </c>
    </row>
    <row r="963" spans="1:8" ht="15.75" customHeight="1" x14ac:dyDescent="0.25">
      <c r="A963" s="4" t="s">
        <v>1329</v>
      </c>
      <c r="B963" s="8">
        <v>958</v>
      </c>
      <c r="C963" s="8" t="s">
        <v>240</v>
      </c>
      <c r="D963" s="8" t="s">
        <v>10</v>
      </c>
      <c r="E963" s="8">
        <v>6.4</v>
      </c>
      <c r="F963" s="8" t="s">
        <v>16</v>
      </c>
      <c r="G963" s="85">
        <f>+'[2]Dự thầu'!$G1261</f>
        <v>851305</v>
      </c>
      <c r="H963" s="86">
        <f t="shared" si="33"/>
        <v>5448352</v>
      </c>
    </row>
    <row r="964" spans="1:8" ht="15.75" customHeight="1" x14ac:dyDescent="0.25">
      <c r="A964" s="4" t="s">
        <v>1330</v>
      </c>
      <c r="B964" s="8">
        <v>959</v>
      </c>
      <c r="C964" s="8" t="s">
        <v>125</v>
      </c>
      <c r="D964" s="8" t="s">
        <v>10</v>
      </c>
      <c r="E964" s="8">
        <v>188.12</v>
      </c>
      <c r="F964" s="8" t="s">
        <v>13</v>
      </c>
      <c r="G964" s="85">
        <f>+'[2]Dự thầu'!$G1262</f>
        <v>103945</v>
      </c>
      <c r="H964" s="86">
        <f t="shared" si="33"/>
        <v>19554133</v>
      </c>
    </row>
    <row r="965" spans="1:8" ht="15.75" customHeight="1" x14ac:dyDescent="0.25">
      <c r="A965" s="4" t="s">
        <v>1331</v>
      </c>
      <c r="B965" s="8">
        <v>960</v>
      </c>
      <c r="C965" s="8" t="s">
        <v>926</v>
      </c>
      <c r="D965" s="8" t="s">
        <v>10</v>
      </c>
      <c r="E965" s="8">
        <v>73.33</v>
      </c>
      <c r="F965" s="8" t="s">
        <v>16</v>
      </c>
      <c r="G965" s="85">
        <f>+'[2]Dự thầu'!$G1263</f>
        <v>1405969</v>
      </c>
      <c r="H965" s="86">
        <f t="shared" si="33"/>
        <v>103099707</v>
      </c>
    </row>
    <row r="966" spans="1:8" ht="15.75" customHeight="1" x14ac:dyDescent="0.25">
      <c r="A966" s="4" t="s">
        <v>1332</v>
      </c>
      <c r="B966" s="8">
        <v>961</v>
      </c>
      <c r="C966" s="8" t="s">
        <v>240</v>
      </c>
      <c r="D966" s="8" t="s">
        <v>10</v>
      </c>
      <c r="E966" s="8">
        <v>10.92</v>
      </c>
      <c r="F966" s="8" t="s">
        <v>16</v>
      </c>
      <c r="G966" s="85">
        <f>+'[2]Dự thầu'!$G1264</f>
        <v>851305</v>
      </c>
      <c r="H966" s="86">
        <f t="shared" si="33"/>
        <v>9296251</v>
      </c>
    </row>
    <row r="967" spans="1:8" ht="15.75" customHeight="1" x14ac:dyDescent="0.25">
      <c r="A967" s="4" t="s">
        <v>1333</v>
      </c>
      <c r="B967" s="8">
        <v>962</v>
      </c>
      <c r="C967" s="8" t="s">
        <v>125</v>
      </c>
      <c r="D967" s="8" t="s">
        <v>10</v>
      </c>
      <c r="E967" s="8">
        <v>199.74</v>
      </c>
      <c r="F967" s="8" t="s">
        <v>13</v>
      </c>
      <c r="G967" s="85">
        <f>+'[2]Dự thầu'!$G1265</f>
        <v>103945</v>
      </c>
      <c r="H967" s="86">
        <f t="shared" si="33"/>
        <v>20761974</v>
      </c>
    </row>
    <row r="968" spans="1:8" ht="15.75" customHeight="1" x14ac:dyDescent="0.25">
      <c r="A968" s="4" t="s">
        <v>1334</v>
      </c>
      <c r="B968" s="8">
        <v>963</v>
      </c>
      <c r="C968" s="8" t="s">
        <v>933</v>
      </c>
      <c r="D968" s="8" t="s">
        <v>10</v>
      </c>
      <c r="E968" s="8">
        <v>51</v>
      </c>
      <c r="F968" s="8" t="s">
        <v>16</v>
      </c>
      <c r="G968" s="85">
        <f>+'[2]Dự thầu'!$G1266</f>
        <v>1339251</v>
      </c>
      <c r="H968" s="86">
        <f t="shared" si="33"/>
        <v>68301801</v>
      </c>
    </row>
    <row r="969" spans="1:8" ht="15.75" customHeight="1" x14ac:dyDescent="0.25">
      <c r="A969" s="4" t="s">
        <v>1335</v>
      </c>
      <c r="B969" s="8">
        <v>964</v>
      </c>
      <c r="C969" s="8" t="s">
        <v>240</v>
      </c>
      <c r="D969" s="8" t="s">
        <v>10</v>
      </c>
      <c r="E969" s="8">
        <v>20.399999999999999</v>
      </c>
      <c r="F969" s="8" t="s">
        <v>16</v>
      </c>
      <c r="G969" s="85">
        <f>+'[2]Dự thầu'!$G1267</f>
        <v>851305</v>
      </c>
      <c r="H969" s="86">
        <f t="shared" si="33"/>
        <v>17366622</v>
      </c>
    </row>
    <row r="970" spans="1:8" ht="15.75" customHeight="1" x14ac:dyDescent="0.25">
      <c r="A970" s="4" t="s">
        <v>1336</v>
      </c>
      <c r="B970" s="8">
        <v>965</v>
      </c>
      <c r="C970" s="8" t="s">
        <v>933</v>
      </c>
      <c r="D970" s="8" t="s">
        <v>10</v>
      </c>
      <c r="E970" s="8">
        <v>83.7</v>
      </c>
      <c r="F970" s="8" t="s">
        <v>16</v>
      </c>
      <c r="G970" s="85">
        <f>+'[2]Dự thầu'!$G1268</f>
        <v>1305918</v>
      </c>
      <c r="H970" s="86">
        <f t="shared" si="33"/>
        <v>109305337</v>
      </c>
    </row>
    <row r="971" spans="1:8" ht="15.75" customHeight="1" x14ac:dyDescent="0.25">
      <c r="A971" s="4" t="s">
        <v>1337</v>
      </c>
      <c r="B971" s="8">
        <v>966</v>
      </c>
      <c r="C971" s="8" t="s">
        <v>937</v>
      </c>
      <c r="D971" s="8" t="s">
        <v>10</v>
      </c>
      <c r="E971" s="8">
        <v>42.9</v>
      </c>
      <c r="F971" s="8" t="s">
        <v>16</v>
      </c>
      <c r="G971" s="85">
        <f>+'[2]Dự thầu'!$G1269</f>
        <v>672112</v>
      </c>
      <c r="H971" s="86">
        <f t="shared" si="33"/>
        <v>28833605</v>
      </c>
    </row>
    <row r="972" spans="1:8" ht="15.75" customHeight="1" x14ac:dyDescent="0.25">
      <c r="A972" s="4" t="s">
        <v>1338</v>
      </c>
      <c r="B972" s="8">
        <v>967</v>
      </c>
      <c r="C972" s="8" t="s">
        <v>240</v>
      </c>
      <c r="D972" s="8" t="s">
        <v>10</v>
      </c>
      <c r="E972" s="8">
        <v>27.3</v>
      </c>
      <c r="F972" s="8" t="s">
        <v>16</v>
      </c>
      <c r="G972" s="85">
        <f>+'[2]Dự thầu'!$G1270</f>
        <v>851305</v>
      </c>
      <c r="H972" s="86">
        <f t="shared" si="33"/>
        <v>23240627</v>
      </c>
    </row>
    <row r="973" spans="1:8" ht="15.75" customHeight="1" x14ac:dyDescent="0.25">
      <c r="A973" s="4" t="s">
        <v>1339</v>
      </c>
      <c r="B973" s="8">
        <v>968</v>
      </c>
      <c r="C973" s="8" t="s">
        <v>319</v>
      </c>
      <c r="D973" s="8" t="s">
        <v>10</v>
      </c>
      <c r="E973" s="8">
        <v>11.09</v>
      </c>
      <c r="F973" s="8" t="s">
        <v>16</v>
      </c>
      <c r="G973" s="85">
        <f>+'[2]Dự thầu'!$G1309</f>
        <v>1568156</v>
      </c>
      <c r="H973" s="86">
        <f t="shared" si="33"/>
        <v>17390850</v>
      </c>
    </row>
    <row r="974" spans="1:8" ht="15.75" customHeight="1" x14ac:dyDescent="0.25">
      <c r="A974" s="4" t="s">
        <v>1340</v>
      </c>
      <c r="B974" s="8">
        <v>969</v>
      </c>
      <c r="C974" s="8" t="s">
        <v>125</v>
      </c>
      <c r="D974" s="8" t="s">
        <v>10</v>
      </c>
      <c r="E974" s="8">
        <v>18.920000000000002</v>
      </c>
      <c r="F974" s="8" t="s">
        <v>13</v>
      </c>
      <c r="G974" s="85">
        <f>+'[2]Dự thầu'!$G1310</f>
        <v>103945</v>
      </c>
      <c r="H974" s="86">
        <f t="shared" si="33"/>
        <v>1966639</v>
      </c>
    </row>
    <row r="975" spans="1:8" ht="15.75" customHeight="1" x14ac:dyDescent="0.25">
      <c r="A975" s="4" t="s">
        <v>1341</v>
      </c>
      <c r="B975" s="8">
        <v>970</v>
      </c>
      <c r="C975" s="8" t="s">
        <v>240</v>
      </c>
      <c r="D975" s="8" t="s">
        <v>10</v>
      </c>
      <c r="E975" s="8">
        <v>5.49</v>
      </c>
      <c r="F975" s="8" t="s">
        <v>16</v>
      </c>
      <c r="G975" s="85">
        <f>+'[2]Dự thầu'!$G1311</f>
        <v>851305</v>
      </c>
      <c r="H975" s="86">
        <f t="shared" si="33"/>
        <v>4673664</v>
      </c>
    </row>
    <row r="976" spans="1:8" ht="15.75" customHeight="1" x14ac:dyDescent="0.25">
      <c r="A976" s="4" t="s">
        <v>1342</v>
      </c>
      <c r="B976" s="8">
        <v>971</v>
      </c>
      <c r="C976" s="8" t="s">
        <v>122</v>
      </c>
      <c r="D976" s="8" t="s">
        <v>10</v>
      </c>
      <c r="E976" s="8">
        <v>6.28</v>
      </c>
      <c r="F976" s="8" t="s">
        <v>16</v>
      </c>
      <c r="G976" s="85">
        <f>+'[2]Dự thầu'!$G1312</f>
        <v>1868221</v>
      </c>
      <c r="H976" s="86">
        <f t="shared" si="33"/>
        <v>11732428</v>
      </c>
    </row>
    <row r="977" spans="1:9" ht="15.75" customHeight="1" x14ac:dyDescent="0.25">
      <c r="A977" s="4" t="s">
        <v>1343</v>
      </c>
      <c r="B977" s="8">
        <v>972</v>
      </c>
      <c r="C977" s="8" t="s">
        <v>947</v>
      </c>
      <c r="D977" s="8" t="s">
        <v>10</v>
      </c>
      <c r="E977" s="8">
        <v>60.7</v>
      </c>
      <c r="F977" s="8" t="s">
        <v>13</v>
      </c>
      <c r="G977" s="85">
        <f>+'[2]Dự thầu'!$G1313</f>
        <v>96763</v>
      </c>
      <c r="H977" s="86">
        <f t="shared" si="33"/>
        <v>5873514</v>
      </c>
    </row>
    <row r="978" spans="1:9" ht="15.75" customHeight="1" x14ac:dyDescent="0.25">
      <c r="A978" s="4" t="s">
        <v>1344</v>
      </c>
      <c r="B978" s="8">
        <v>973</v>
      </c>
      <c r="C978" s="8" t="s">
        <v>987</v>
      </c>
      <c r="D978" s="8" t="s">
        <v>10</v>
      </c>
      <c r="E978" s="8">
        <v>0.13</v>
      </c>
      <c r="F978" s="8" t="s">
        <v>16</v>
      </c>
      <c r="G978" s="85">
        <f>+'[2]Dự thầu'!$G1314</f>
        <v>2087940</v>
      </c>
      <c r="H978" s="86">
        <f t="shared" si="33"/>
        <v>271432</v>
      </c>
    </row>
    <row r="979" spans="1:9" ht="15.75" customHeight="1" x14ac:dyDescent="0.25">
      <c r="A979" s="4" t="s">
        <v>1345</v>
      </c>
      <c r="B979" s="8">
        <v>974</v>
      </c>
      <c r="C979" s="8" t="s">
        <v>125</v>
      </c>
      <c r="D979" s="8" t="s">
        <v>10</v>
      </c>
      <c r="E979" s="8">
        <v>1.1499999999999999</v>
      </c>
      <c r="F979" s="8" t="s">
        <v>13</v>
      </c>
      <c r="G979" s="85">
        <f>+'[2]Dự thầu'!$G1315</f>
        <v>103945</v>
      </c>
      <c r="H979" s="86">
        <f t="shared" ref="H979:H983" si="34">+ROUND(G979*E979,0)</f>
        <v>119537</v>
      </c>
    </row>
    <row r="980" spans="1:9" ht="15.75" customHeight="1" x14ac:dyDescent="0.25">
      <c r="A980" s="4" t="s">
        <v>1346</v>
      </c>
      <c r="B980" s="8">
        <v>975</v>
      </c>
      <c r="C980" s="8" t="s">
        <v>332</v>
      </c>
      <c r="D980" s="8" t="s">
        <v>10</v>
      </c>
      <c r="E980" s="8">
        <v>0.04</v>
      </c>
      <c r="F980" s="8" t="s">
        <v>90</v>
      </c>
      <c r="G980" s="85">
        <f>+'[2]Dự thầu'!$G1316</f>
        <v>26211154</v>
      </c>
      <c r="H980" s="86">
        <f t="shared" si="34"/>
        <v>1048446</v>
      </c>
    </row>
    <row r="981" spans="1:9" ht="15.75" customHeight="1" x14ac:dyDescent="0.25">
      <c r="A981" s="4" t="s">
        <v>1347</v>
      </c>
      <c r="B981" s="8">
        <v>976</v>
      </c>
      <c r="C981" s="8" t="s">
        <v>991</v>
      </c>
      <c r="D981" s="8" t="s">
        <v>10</v>
      </c>
      <c r="E981" s="8">
        <v>86.1</v>
      </c>
      <c r="F981" s="8" t="s">
        <v>16</v>
      </c>
      <c r="G981" s="85">
        <f>+'[2]Dự thầu'!$G1317</f>
        <v>167496</v>
      </c>
      <c r="H981" s="86">
        <f t="shared" si="34"/>
        <v>14421406</v>
      </c>
    </row>
    <row r="982" spans="1:9" ht="15.75" customHeight="1" x14ac:dyDescent="0.25">
      <c r="A982" s="4" t="s">
        <v>1348</v>
      </c>
      <c r="B982" s="8">
        <v>977</v>
      </c>
      <c r="C982" s="8" t="s">
        <v>993</v>
      </c>
      <c r="D982" s="8" t="s">
        <v>10</v>
      </c>
      <c r="E982" s="8">
        <v>86.1</v>
      </c>
      <c r="F982" s="8" t="s">
        <v>16</v>
      </c>
      <c r="G982" s="85">
        <f>+'[2]Dự thầu'!$G$1318</f>
        <v>56948</v>
      </c>
      <c r="H982" s="86">
        <f t="shared" si="34"/>
        <v>4903223</v>
      </c>
    </row>
    <row r="983" spans="1:9" ht="15.75" customHeight="1" x14ac:dyDescent="0.25">
      <c r="A983" s="4" t="s">
        <v>1349</v>
      </c>
      <c r="B983" s="8">
        <v>978</v>
      </c>
      <c r="C983" s="8" t="s">
        <v>47</v>
      </c>
      <c r="D983" s="8" t="s">
        <v>10</v>
      </c>
      <c r="E983" s="8">
        <v>86.1</v>
      </c>
      <c r="F983" s="8" t="s">
        <v>16</v>
      </c>
      <c r="G983" s="85">
        <f>+'[2]Dự thầu'!$G$1322</f>
        <v>2096</v>
      </c>
      <c r="H983" s="86">
        <f t="shared" si="34"/>
        <v>180466</v>
      </c>
    </row>
    <row r="984" spans="1:9" ht="15.75" customHeight="1" x14ac:dyDescent="0.25">
      <c r="A984" s="4">
        <v>15</v>
      </c>
      <c r="B984" s="8">
        <v>979</v>
      </c>
      <c r="C984" s="8" t="s">
        <v>1350</v>
      </c>
      <c r="D984" s="8" t="s">
        <v>10</v>
      </c>
      <c r="E984" s="8"/>
      <c r="F984" s="8"/>
      <c r="G984" s="85"/>
      <c r="I984" s="86"/>
    </row>
    <row r="985" spans="1:9" ht="15.75" customHeight="1" x14ac:dyDescent="0.25">
      <c r="A985" s="4" t="s">
        <v>1351</v>
      </c>
      <c r="B985" s="8">
        <v>980</v>
      </c>
      <c r="C985" s="8" t="s">
        <v>12</v>
      </c>
      <c r="D985" s="8" t="s">
        <v>10</v>
      </c>
      <c r="E985" s="8">
        <v>2314</v>
      </c>
      <c r="F985" s="8" t="s">
        <v>13</v>
      </c>
      <c r="G985" s="85">
        <f>+'[3]Dự thầu'!$G6</f>
        <v>646</v>
      </c>
      <c r="H985" s="86">
        <f t="shared" ref="H985:H1029" si="35">+ROUND(G985*E985,0)</f>
        <v>1494844</v>
      </c>
    </row>
    <row r="986" spans="1:9" ht="15.75" customHeight="1" x14ac:dyDescent="0.25">
      <c r="A986" s="4" t="s">
        <v>1352</v>
      </c>
      <c r="B986" s="8">
        <v>981</v>
      </c>
      <c r="C986" s="8" t="s">
        <v>18</v>
      </c>
      <c r="D986" s="8" t="s">
        <v>10</v>
      </c>
      <c r="E986" s="8">
        <v>35.799999999999997</v>
      </c>
      <c r="F986" s="8" t="s">
        <v>16</v>
      </c>
      <c r="G986" s="85">
        <f>+'[3]Dự thầu'!$G7</f>
        <v>30610</v>
      </c>
      <c r="H986" s="86">
        <f t="shared" si="35"/>
        <v>1095838</v>
      </c>
    </row>
    <row r="987" spans="1:9" ht="15.75" customHeight="1" x14ac:dyDescent="0.25">
      <c r="A987" s="4" t="s">
        <v>1353</v>
      </c>
      <c r="B987" s="8">
        <v>982</v>
      </c>
      <c r="C987" s="8" t="s">
        <v>26</v>
      </c>
      <c r="D987" s="8" t="s">
        <v>10</v>
      </c>
      <c r="E987" s="8">
        <v>6794.84</v>
      </c>
      <c r="F987" s="8" t="s">
        <v>16</v>
      </c>
      <c r="G987" s="85">
        <f>+'[3]Dự thầu'!$G8</f>
        <v>12936</v>
      </c>
      <c r="H987" s="86">
        <f t="shared" si="35"/>
        <v>87898050</v>
      </c>
    </row>
    <row r="988" spans="1:9" ht="15.75" customHeight="1" x14ac:dyDescent="0.25">
      <c r="A988" s="4" t="s">
        <v>1354</v>
      </c>
      <c r="B988" s="8">
        <v>983</v>
      </c>
      <c r="C988" s="8" t="s">
        <v>28</v>
      </c>
      <c r="D988" s="8" t="s">
        <v>10</v>
      </c>
      <c r="E988" s="8">
        <v>1228</v>
      </c>
      <c r="F988" s="8" t="s">
        <v>16</v>
      </c>
      <c r="G988" s="85">
        <f>+'[3]Dự thầu'!$G9</f>
        <v>12936</v>
      </c>
      <c r="H988" s="86">
        <f t="shared" si="35"/>
        <v>15885408</v>
      </c>
    </row>
    <row r="989" spans="1:9" ht="15.75" customHeight="1" x14ac:dyDescent="0.25">
      <c r="A989" s="4" t="s">
        <v>1355</v>
      </c>
      <c r="B989" s="8">
        <v>984</v>
      </c>
      <c r="C989" s="8" t="s">
        <v>30</v>
      </c>
      <c r="D989" s="8" t="s">
        <v>10</v>
      </c>
      <c r="E989" s="8">
        <v>321.39999999999998</v>
      </c>
      <c r="F989" s="8" t="s">
        <v>16</v>
      </c>
      <c r="G989" s="85">
        <f>+'[3]Dự thầu'!$G10</f>
        <v>15775</v>
      </c>
      <c r="H989" s="86">
        <f t="shared" si="35"/>
        <v>5070085</v>
      </c>
    </row>
    <row r="990" spans="1:9" ht="15.75" customHeight="1" x14ac:dyDescent="0.25">
      <c r="A990" s="4" t="s">
        <v>1356</v>
      </c>
      <c r="B990" s="8">
        <v>985</v>
      </c>
      <c r="C990" s="8" t="s">
        <v>32</v>
      </c>
      <c r="D990" s="8" t="s">
        <v>10</v>
      </c>
      <c r="E990" s="8">
        <v>16016.47</v>
      </c>
      <c r="F990" s="8" t="s">
        <v>16</v>
      </c>
      <c r="G990" s="85">
        <f>+'[3]Dự thầu'!$G11</f>
        <v>50585</v>
      </c>
      <c r="H990" s="86">
        <f t="shared" si="35"/>
        <v>810193135</v>
      </c>
    </row>
    <row r="991" spans="1:9" ht="15.75" customHeight="1" x14ac:dyDescent="0.25">
      <c r="A991" s="4" t="s">
        <v>1357</v>
      </c>
      <c r="B991" s="8">
        <v>986</v>
      </c>
      <c r="C991" s="8" t="s">
        <v>34</v>
      </c>
      <c r="D991" s="8" t="s">
        <v>10</v>
      </c>
      <c r="E991" s="8">
        <v>451.12</v>
      </c>
      <c r="F991" s="8" t="s">
        <v>16</v>
      </c>
      <c r="G991" s="85">
        <f>+'[3]Dự thầu'!$G12</f>
        <v>54405</v>
      </c>
      <c r="H991" s="86">
        <f t="shared" si="35"/>
        <v>24543184</v>
      </c>
    </row>
    <row r="992" spans="1:9" ht="15.75" customHeight="1" x14ac:dyDescent="0.25">
      <c r="A992" s="4" t="s">
        <v>1358</v>
      </c>
      <c r="B992" s="8">
        <v>987</v>
      </c>
      <c r="C992" s="8" t="s">
        <v>36</v>
      </c>
      <c r="D992" s="8" t="s">
        <v>10</v>
      </c>
      <c r="E992" s="8">
        <v>1646.76</v>
      </c>
      <c r="F992" s="8" t="s">
        <v>37</v>
      </c>
      <c r="G992" s="85">
        <f>+'[3]Dự thầu'!$G13</f>
        <v>1064000</v>
      </c>
      <c r="H992" s="86">
        <f t="shared" si="35"/>
        <v>1752152640</v>
      </c>
    </row>
    <row r="993" spans="1:8" ht="15.75" customHeight="1" x14ac:dyDescent="0.25">
      <c r="A993" s="4" t="s">
        <v>1359</v>
      </c>
      <c r="B993" s="8">
        <v>988</v>
      </c>
      <c r="C993" s="8" t="s">
        <v>41</v>
      </c>
      <c r="D993" s="8" t="s">
        <v>10</v>
      </c>
      <c r="E993" s="8">
        <v>4123.3500000000004</v>
      </c>
      <c r="F993" s="8" t="s">
        <v>16</v>
      </c>
      <c r="G993" s="85">
        <f>+'[3]Dự thầu'!$G$21</f>
        <v>40424</v>
      </c>
      <c r="H993" s="86">
        <f t="shared" si="35"/>
        <v>166682300</v>
      </c>
    </row>
    <row r="994" spans="1:8" ht="15.75" customHeight="1" x14ac:dyDescent="0.25">
      <c r="A994" s="4" t="s">
        <v>1360</v>
      </c>
      <c r="B994" s="8">
        <v>989</v>
      </c>
      <c r="C994" s="8" t="s">
        <v>43</v>
      </c>
      <c r="D994" s="8" t="s">
        <v>10</v>
      </c>
      <c r="E994" s="8">
        <v>198.4</v>
      </c>
      <c r="F994" s="8" t="s">
        <v>16</v>
      </c>
      <c r="G994" s="85">
        <f>+'[3]Dự thầu'!$G$25</f>
        <v>45382</v>
      </c>
      <c r="H994" s="86">
        <f t="shared" si="35"/>
        <v>9003789</v>
      </c>
    </row>
    <row r="995" spans="1:8" ht="15.75" customHeight="1" x14ac:dyDescent="0.25">
      <c r="A995" s="4" t="s">
        <v>1361</v>
      </c>
      <c r="B995" s="8">
        <v>990</v>
      </c>
      <c r="C995" s="8" t="s">
        <v>1362</v>
      </c>
      <c r="D995" s="8" t="s">
        <v>10</v>
      </c>
      <c r="E995" s="8">
        <v>49.6</v>
      </c>
      <c r="F995" s="8" t="s">
        <v>16</v>
      </c>
      <c r="G995" s="85">
        <f>+'[3]Dự thầu'!$G$29</f>
        <v>56948</v>
      </c>
      <c r="H995" s="86">
        <f t="shared" si="35"/>
        <v>2824621</v>
      </c>
    </row>
    <row r="996" spans="1:8" ht="15.75" customHeight="1" x14ac:dyDescent="0.25">
      <c r="A996" s="4" t="s">
        <v>1363</v>
      </c>
      <c r="B996" s="8">
        <v>991</v>
      </c>
      <c r="C996" s="8" t="s">
        <v>47</v>
      </c>
      <c r="D996" s="8" t="s">
        <v>10</v>
      </c>
      <c r="E996" s="8">
        <v>2185.6799999999998</v>
      </c>
      <c r="F996" s="8" t="s">
        <v>16</v>
      </c>
      <c r="G996" s="85">
        <f>+'[3]Dự thầu'!$G33</f>
        <v>2096</v>
      </c>
      <c r="H996" s="86">
        <f t="shared" si="35"/>
        <v>4581185</v>
      </c>
    </row>
    <row r="997" spans="1:8" ht="15.75" customHeight="1" x14ac:dyDescent="0.25">
      <c r="A997" s="4" t="s">
        <v>1364</v>
      </c>
      <c r="B997" s="8">
        <v>992</v>
      </c>
      <c r="C997" s="8" t="s">
        <v>49</v>
      </c>
      <c r="D997" s="8" t="s">
        <v>10</v>
      </c>
      <c r="E997" s="8">
        <v>3557.6</v>
      </c>
      <c r="F997" s="8" t="s">
        <v>16</v>
      </c>
      <c r="G997" s="85">
        <f>+'[3]Dự thầu'!$G34</f>
        <v>8251</v>
      </c>
      <c r="H997" s="86">
        <f t="shared" si="35"/>
        <v>29353758</v>
      </c>
    </row>
    <row r="998" spans="1:8" ht="15.75" customHeight="1" x14ac:dyDescent="0.25">
      <c r="A998" s="4" t="s">
        <v>1365</v>
      </c>
      <c r="B998" s="8">
        <v>993</v>
      </c>
      <c r="C998" s="8" t="s">
        <v>51</v>
      </c>
      <c r="D998" s="8" t="s">
        <v>10</v>
      </c>
      <c r="E998" s="8">
        <v>2869.5</v>
      </c>
      <c r="F998" s="8" t="s">
        <v>13</v>
      </c>
      <c r="G998" s="85">
        <f>+'[3]Dự thầu'!$G35</f>
        <v>20017</v>
      </c>
      <c r="H998" s="86">
        <f t="shared" si="35"/>
        <v>57438782</v>
      </c>
    </row>
    <row r="999" spans="1:8" ht="15.75" customHeight="1" x14ac:dyDescent="0.25">
      <c r="A999" s="4" t="s">
        <v>1366</v>
      </c>
      <c r="B999" s="8">
        <v>994</v>
      </c>
      <c r="C999" s="8" t="s">
        <v>1023</v>
      </c>
      <c r="D999" s="8" t="s">
        <v>10</v>
      </c>
      <c r="E999" s="8">
        <v>6405.1</v>
      </c>
      <c r="F999" s="8" t="s">
        <v>13</v>
      </c>
      <c r="G999" s="85">
        <f>+'[3]Dự thầu'!$G36</f>
        <v>224210</v>
      </c>
      <c r="H999" s="86">
        <f t="shared" si="35"/>
        <v>1436087471</v>
      </c>
    </row>
    <row r="1000" spans="1:8" ht="15.75" customHeight="1" x14ac:dyDescent="0.25">
      <c r="A1000" s="4" t="s">
        <v>1367</v>
      </c>
      <c r="B1000" s="8">
        <v>995</v>
      </c>
      <c r="C1000" s="8" t="s">
        <v>55</v>
      </c>
      <c r="D1000" s="8" t="s">
        <v>10</v>
      </c>
      <c r="E1000" s="8">
        <v>4919.1000000000004</v>
      </c>
      <c r="F1000" s="8" t="s">
        <v>16</v>
      </c>
      <c r="G1000" s="85">
        <f>+'[3]Dự thầu'!$G37</f>
        <v>12936</v>
      </c>
      <c r="H1000" s="86">
        <f t="shared" si="35"/>
        <v>63633478</v>
      </c>
    </row>
    <row r="1001" spans="1:8" ht="15.75" customHeight="1" x14ac:dyDescent="0.25">
      <c r="A1001" s="4" t="s">
        <v>1368</v>
      </c>
      <c r="B1001" s="8">
        <v>996</v>
      </c>
      <c r="C1001" s="8" t="s">
        <v>64</v>
      </c>
      <c r="D1001" s="8" t="s">
        <v>10</v>
      </c>
      <c r="E1001" s="8">
        <v>1914.6</v>
      </c>
      <c r="F1001" s="8" t="s">
        <v>16</v>
      </c>
      <c r="G1001" s="85">
        <f>+'[3]Dự thầu'!$G38</f>
        <v>12936</v>
      </c>
      <c r="H1001" s="86">
        <f t="shared" si="35"/>
        <v>24767266</v>
      </c>
    </row>
    <row r="1002" spans="1:8" ht="15.75" customHeight="1" x14ac:dyDescent="0.25">
      <c r="A1002" s="4" t="s">
        <v>1369</v>
      </c>
      <c r="B1002" s="8">
        <v>997</v>
      </c>
      <c r="C1002" s="8" t="s">
        <v>59</v>
      </c>
      <c r="D1002" s="8" t="s">
        <v>10</v>
      </c>
      <c r="E1002" s="8">
        <v>1914.6</v>
      </c>
      <c r="F1002" s="8" t="s">
        <v>16</v>
      </c>
      <c r="G1002" s="85">
        <f>+'[3]Dự thầu'!$G39</f>
        <v>12342</v>
      </c>
      <c r="H1002" s="86">
        <f t="shared" si="35"/>
        <v>23629993</v>
      </c>
    </row>
    <row r="1003" spans="1:8" ht="15.75" customHeight="1" x14ac:dyDescent="0.25">
      <c r="A1003" s="4" t="s">
        <v>1370</v>
      </c>
      <c r="B1003" s="8">
        <v>998</v>
      </c>
      <c r="C1003" s="8" t="s">
        <v>61</v>
      </c>
      <c r="D1003" s="8" t="s">
        <v>10</v>
      </c>
      <c r="E1003" s="8">
        <v>2163.5</v>
      </c>
      <c r="F1003" s="8" t="s">
        <v>62</v>
      </c>
      <c r="G1003" s="85">
        <f>+'[3]Dự thầu'!$G40</f>
        <v>6611</v>
      </c>
      <c r="H1003" s="86">
        <f t="shared" si="35"/>
        <v>14302899</v>
      </c>
    </row>
    <row r="1004" spans="1:8" ht="15.75" customHeight="1" x14ac:dyDescent="0.25">
      <c r="A1004" s="4" t="s">
        <v>1371</v>
      </c>
      <c r="B1004" s="8">
        <v>999</v>
      </c>
      <c r="C1004" s="8" t="s">
        <v>68</v>
      </c>
      <c r="D1004" s="8" t="s">
        <v>10</v>
      </c>
      <c r="E1004" s="8">
        <v>130.19999999999999</v>
      </c>
      <c r="F1004" s="8" t="s">
        <v>16</v>
      </c>
      <c r="G1004" s="85">
        <f>+'[3]Dự thầu'!$G41</f>
        <v>882587</v>
      </c>
      <c r="H1004" s="86">
        <f t="shared" si="35"/>
        <v>114912827</v>
      </c>
    </row>
    <row r="1005" spans="1:8" ht="15.75" customHeight="1" x14ac:dyDescent="0.25">
      <c r="A1005" s="4" t="s">
        <v>1372</v>
      </c>
      <c r="B1005" s="8">
        <v>1000</v>
      </c>
      <c r="C1005" s="8" t="s">
        <v>70</v>
      </c>
      <c r="D1005" s="8" t="s">
        <v>10</v>
      </c>
      <c r="E1005" s="8">
        <v>204.9</v>
      </c>
      <c r="F1005" s="8" t="s">
        <v>13</v>
      </c>
      <c r="G1005" s="85">
        <f>+'[3]Dự thầu'!$G42</f>
        <v>26716</v>
      </c>
      <c r="H1005" s="86">
        <f t="shared" si="35"/>
        <v>5474108</v>
      </c>
    </row>
    <row r="1006" spans="1:8" ht="15.75" customHeight="1" x14ac:dyDescent="0.25">
      <c r="A1006" s="4" t="s">
        <v>1373</v>
      </c>
      <c r="B1006" s="8">
        <v>1001</v>
      </c>
      <c r="C1006" s="8" t="s">
        <v>72</v>
      </c>
      <c r="D1006" s="8" t="s">
        <v>10</v>
      </c>
      <c r="E1006" s="8">
        <v>44.8</v>
      </c>
      <c r="F1006" s="8" t="s">
        <v>16</v>
      </c>
      <c r="G1006" s="85">
        <f>+'[3]Dự thầu'!$G43</f>
        <v>32141</v>
      </c>
      <c r="H1006" s="86">
        <f t="shared" si="35"/>
        <v>1439917</v>
      </c>
    </row>
    <row r="1007" spans="1:8" ht="15.75" customHeight="1" x14ac:dyDescent="0.25">
      <c r="A1007" s="4" t="s">
        <v>1374</v>
      </c>
      <c r="B1007" s="8">
        <v>1002</v>
      </c>
      <c r="C1007" s="8" t="s">
        <v>1035</v>
      </c>
      <c r="D1007" s="8" t="s">
        <v>10</v>
      </c>
      <c r="E1007" s="8">
        <v>15536</v>
      </c>
      <c r="F1007" s="8" t="s">
        <v>75</v>
      </c>
      <c r="G1007" s="85">
        <f>+'[3]Dự thầu'!$G44</f>
        <v>70225</v>
      </c>
      <c r="H1007" s="86">
        <f t="shared" si="35"/>
        <v>1091015600</v>
      </c>
    </row>
    <row r="1008" spans="1:8" ht="15.75" customHeight="1" x14ac:dyDescent="0.25">
      <c r="A1008" s="4" t="s">
        <v>1375</v>
      </c>
      <c r="B1008" s="8">
        <v>1003</v>
      </c>
      <c r="C1008" s="8" t="s">
        <v>77</v>
      </c>
      <c r="D1008" s="8" t="s">
        <v>10</v>
      </c>
      <c r="E1008" s="8">
        <v>1550.4</v>
      </c>
      <c r="F1008" s="8" t="s">
        <v>16</v>
      </c>
      <c r="G1008" s="85">
        <f>+'[3]Dự thầu'!$G45</f>
        <v>274941</v>
      </c>
      <c r="H1008" s="86">
        <f t="shared" si="35"/>
        <v>426268526</v>
      </c>
    </row>
    <row r="1009" spans="1:8" ht="15.75" customHeight="1" x14ac:dyDescent="0.25">
      <c r="A1009" s="4" t="s">
        <v>1376</v>
      </c>
      <c r="B1009" s="8">
        <v>1004</v>
      </c>
      <c r="C1009" s="8" t="s">
        <v>1038</v>
      </c>
      <c r="D1009" s="8" t="s">
        <v>10</v>
      </c>
      <c r="E1009" s="8">
        <v>2525.4</v>
      </c>
      <c r="F1009" s="8" t="s">
        <v>16</v>
      </c>
      <c r="G1009" s="85">
        <f>+'[3]Dự thầu'!$G46</f>
        <v>274941</v>
      </c>
      <c r="H1009" s="86">
        <f t="shared" si="35"/>
        <v>694336001</v>
      </c>
    </row>
    <row r="1010" spans="1:8" ht="15.75" customHeight="1" x14ac:dyDescent="0.25">
      <c r="A1010" s="4" t="s">
        <v>1377</v>
      </c>
      <c r="B1010" s="8">
        <v>1005</v>
      </c>
      <c r="C1010" s="8" t="s">
        <v>79</v>
      </c>
      <c r="D1010" s="8" t="s">
        <v>10</v>
      </c>
      <c r="E1010" s="8">
        <v>200.2</v>
      </c>
      <c r="F1010" s="8" t="s">
        <v>16</v>
      </c>
      <c r="G1010" s="85">
        <f>+'[3]Dự thầu'!$G47</f>
        <v>20867</v>
      </c>
      <c r="H1010" s="86">
        <f t="shared" si="35"/>
        <v>4177573</v>
      </c>
    </row>
    <row r="1011" spans="1:8" ht="15.75" customHeight="1" x14ac:dyDescent="0.25">
      <c r="A1011" s="4" t="s">
        <v>1378</v>
      </c>
      <c r="B1011" s="8">
        <v>1006</v>
      </c>
      <c r="C1011" s="8" t="s">
        <v>81</v>
      </c>
      <c r="D1011" s="8" t="s">
        <v>10</v>
      </c>
      <c r="E1011" s="8">
        <v>200.2</v>
      </c>
      <c r="F1011" s="8" t="s">
        <v>16</v>
      </c>
      <c r="G1011" s="85">
        <f>+'[3]Dự thầu'!$G48</f>
        <v>12936</v>
      </c>
      <c r="H1011" s="86">
        <f t="shared" si="35"/>
        <v>2589787</v>
      </c>
    </row>
    <row r="1012" spans="1:8" ht="15.75" customHeight="1" x14ac:dyDescent="0.25">
      <c r="A1012" s="4" t="s">
        <v>1379</v>
      </c>
      <c r="B1012" s="8">
        <v>1007</v>
      </c>
      <c r="C1012" s="8" t="s">
        <v>83</v>
      </c>
      <c r="D1012" s="8" t="s">
        <v>10</v>
      </c>
      <c r="E1012" s="8">
        <v>22.4</v>
      </c>
      <c r="F1012" s="8" t="s">
        <v>75</v>
      </c>
      <c r="G1012" s="85">
        <f>+'[3]Dự thầu'!$G49</f>
        <v>301142</v>
      </c>
      <c r="H1012" s="86">
        <f t="shared" si="35"/>
        <v>6745581</v>
      </c>
    </row>
    <row r="1013" spans="1:8" ht="15.75" customHeight="1" x14ac:dyDescent="0.25">
      <c r="A1013" s="4" t="s">
        <v>1380</v>
      </c>
      <c r="B1013" s="8">
        <v>1008</v>
      </c>
      <c r="C1013" s="8" t="s">
        <v>85</v>
      </c>
      <c r="D1013" s="8" t="s">
        <v>10</v>
      </c>
      <c r="E1013" s="8">
        <v>50</v>
      </c>
      <c r="F1013" s="8" t="s">
        <v>75</v>
      </c>
      <c r="G1013" s="85">
        <f>+'[3]Dự thầu'!$G50</f>
        <v>191443</v>
      </c>
      <c r="H1013" s="86">
        <f t="shared" si="35"/>
        <v>9572150</v>
      </c>
    </row>
    <row r="1014" spans="1:8" ht="15.75" customHeight="1" x14ac:dyDescent="0.25">
      <c r="A1014" s="4" t="s">
        <v>1381</v>
      </c>
      <c r="B1014" s="8">
        <v>1009</v>
      </c>
      <c r="C1014" s="8" t="s">
        <v>87</v>
      </c>
      <c r="D1014" s="8" t="s">
        <v>10</v>
      </c>
      <c r="E1014" s="8">
        <v>50</v>
      </c>
      <c r="F1014" s="8" t="s">
        <v>75</v>
      </c>
      <c r="G1014" s="85">
        <f>+'[3]Dự thầu'!$G51</f>
        <v>184138</v>
      </c>
      <c r="H1014" s="86">
        <f t="shared" si="35"/>
        <v>9206900</v>
      </c>
    </row>
    <row r="1015" spans="1:8" ht="15.75" customHeight="1" x14ac:dyDescent="0.25">
      <c r="A1015" s="4" t="s">
        <v>1382</v>
      </c>
      <c r="B1015" s="8">
        <v>1010</v>
      </c>
      <c r="C1015" s="8" t="s">
        <v>89</v>
      </c>
      <c r="D1015" s="8" t="s">
        <v>10</v>
      </c>
      <c r="E1015" s="8">
        <v>0.47</v>
      </c>
      <c r="F1015" s="8" t="s">
        <v>90</v>
      </c>
      <c r="G1015" s="85">
        <f>+'[3]Dự thầu'!$G52</f>
        <v>33697650</v>
      </c>
      <c r="H1015" s="86">
        <f t="shared" si="35"/>
        <v>15837896</v>
      </c>
    </row>
    <row r="1016" spans="1:8" ht="15.75" customHeight="1" x14ac:dyDescent="0.25">
      <c r="A1016" s="4" t="s">
        <v>1383</v>
      </c>
      <c r="B1016" s="8">
        <v>1011</v>
      </c>
      <c r="C1016" s="8" t="s">
        <v>92</v>
      </c>
      <c r="D1016" s="8" t="s">
        <v>10</v>
      </c>
      <c r="E1016" s="8">
        <v>36</v>
      </c>
      <c r="F1016" s="8" t="s">
        <v>75</v>
      </c>
      <c r="G1016" s="85">
        <f>+'[3]Dự thầu'!$G53</f>
        <v>17859</v>
      </c>
      <c r="H1016" s="86">
        <f t="shared" si="35"/>
        <v>642924</v>
      </c>
    </row>
    <row r="1017" spans="1:8" ht="15.75" customHeight="1" x14ac:dyDescent="0.25">
      <c r="A1017" s="4" t="s">
        <v>1384</v>
      </c>
      <c r="B1017" s="8">
        <v>1012</v>
      </c>
      <c r="C1017" s="8" t="s">
        <v>94</v>
      </c>
      <c r="D1017" s="8" t="s">
        <v>10</v>
      </c>
      <c r="E1017" s="8">
        <v>1035.5</v>
      </c>
      <c r="F1017" s="8" t="s">
        <v>13</v>
      </c>
      <c r="G1017" s="85">
        <f>+'[3]Dự thầu'!$G54</f>
        <v>11015</v>
      </c>
      <c r="H1017" s="86">
        <f t="shared" si="35"/>
        <v>11406033</v>
      </c>
    </row>
    <row r="1018" spans="1:8" ht="15.75" customHeight="1" x14ac:dyDescent="0.25">
      <c r="A1018" s="4" t="s">
        <v>1385</v>
      </c>
      <c r="B1018" s="8">
        <v>1013</v>
      </c>
      <c r="C1018" s="8" t="s">
        <v>96</v>
      </c>
      <c r="D1018" s="8" t="s">
        <v>10</v>
      </c>
      <c r="E1018" s="8">
        <v>147.46</v>
      </c>
      <c r="F1018" s="8" t="s">
        <v>90</v>
      </c>
      <c r="G1018" s="85">
        <v>1646788</v>
      </c>
      <c r="H1018" s="86">
        <f t="shared" si="35"/>
        <v>242835358</v>
      </c>
    </row>
    <row r="1019" spans="1:8" ht="15.75" customHeight="1" x14ac:dyDescent="0.25">
      <c r="A1019" s="4" t="s">
        <v>1386</v>
      </c>
      <c r="B1019" s="8">
        <v>1014</v>
      </c>
      <c r="C1019" s="8" t="s">
        <v>98</v>
      </c>
      <c r="D1019" s="8" t="s">
        <v>10</v>
      </c>
      <c r="E1019" s="8">
        <v>1.47</v>
      </c>
      <c r="F1019" s="8" t="s">
        <v>99</v>
      </c>
      <c r="G1019" s="85">
        <f>+'[3]Dự thầu'!$G$56+'[3]Dự thầu'!$G$57</f>
        <v>11384261</v>
      </c>
      <c r="H1019" s="86">
        <f t="shared" si="35"/>
        <v>16734864</v>
      </c>
    </row>
    <row r="1020" spans="1:8" ht="15.75" customHeight="1" x14ac:dyDescent="0.25">
      <c r="A1020" s="4" t="s">
        <v>1387</v>
      </c>
      <c r="B1020" s="8">
        <v>1015</v>
      </c>
      <c r="C1020" s="8" t="s">
        <v>101</v>
      </c>
      <c r="D1020" s="8" t="s">
        <v>10</v>
      </c>
      <c r="E1020" s="8">
        <v>1035.5</v>
      </c>
      <c r="F1020" s="8" t="s">
        <v>13</v>
      </c>
      <c r="G1020" s="85">
        <f>+'[3]Dự thầu'!$G58</f>
        <v>26753</v>
      </c>
      <c r="H1020" s="86">
        <f t="shared" si="35"/>
        <v>27702732</v>
      </c>
    </row>
    <row r="1021" spans="1:8" ht="15.75" customHeight="1" x14ac:dyDescent="0.25">
      <c r="A1021" s="4" t="s">
        <v>1388</v>
      </c>
      <c r="B1021" s="8">
        <v>1016</v>
      </c>
      <c r="C1021" s="8" t="s">
        <v>103</v>
      </c>
      <c r="D1021" s="8" t="s">
        <v>10</v>
      </c>
      <c r="E1021" s="8">
        <v>250.7</v>
      </c>
      <c r="F1021" s="8" t="s">
        <v>16</v>
      </c>
      <c r="G1021" s="85">
        <f>+'[3]Dự thầu'!$G59</f>
        <v>364704</v>
      </c>
      <c r="H1021" s="86">
        <f t="shared" si="35"/>
        <v>91431293</v>
      </c>
    </row>
    <row r="1022" spans="1:8" ht="15.75" customHeight="1" x14ac:dyDescent="0.25">
      <c r="A1022" s="4" t="s">
        <v>1389</v>
      </c>
      <c r="B1022" s="8">
        <v>1017</v>
      </c>
      <c r="C1022" s="8" t="s">
        <v>105</v>
      </c>
      <c r="D1022" s="8" t="s">
        <v>10</v>
      </c>
      <c r="E1022" s="8">
        <v>362.7</v>
      </c>
      <c r="F1022" s="8" t="s">
        <v>16</v>
      </c>
      <c r="G1022" s="85">
        <f>+'[3]Dự thầu'!$G60</f>
        <v>344284</v>
      </c>
      <c r="H1022" s="86">
        <f t="shared" si="35"/>
        <v>124871807</v>
      </c>
    </row>
    <row r="1023" spans="1:8" ht="15.75" customHeight="1" x14ac:dyDescent="0.25">
      <c r="A1023" s="4" t="s">
        <v>1390</v>
      </c>
      <c r="B1023" s="8">
        <v>1018</v>
      </c>
      <c r="C1023" s="8" t="s">
        <v>125</v>
      </c>
      <c r="D1023" s="8" t="s">
        <v>10</v>
      </c>
      <c r="E1023" s="8">
        <v>0.27</v>
      </c>
      <c r="F1023" s="8" t="s">
        <v>126</v>
      </c>
      <c r="G1023" s="85">
        <f>+'[3]Dự thầu'!$G82</f>
        <v>10394299</v>
      </c>
      <c r="H1023" s="86">
        <f t="shared" si="35"/>
        <v>2806461</v>
      </c>
    </row>
    <row r="1024" spans="1:8" ht="15.75" customHeight="1" x14ac:dyDescent="0.25">
      <c r="A1024" s="4" t="s">
        <v>1391</v>
      </c>
      <c r="B1024" s="8">
        <v>1019</v>
      </c>
      <c r="C1024" s="8" t="s">
        <v>120</v>
      </c>
      <c r="D1024" s="8" t="s">
        <v>10</v>
      </c>
      <c r="E1024" s="8">
        <v>13.1</v>
      </c>
      <c r="F1024" s="8" t="s">
        <v>16</v>
      </c>
      <c r="G1024" s="85">
        <f>+'[3]Dự thầu'!$G83</f>
        <v>1202607</v>
      </c>
      <c r="H1024" s="86">
        <f t="shared" si="35"/>
        <v>15754152</v>
      </c>
    </row>
    <row r="1025" spans="1:9" ht="15.75" customHeight="1" x14ac:dyDescent="0.25">
      <c r="A1025" s="4" t="s">
        <v>1392</v>
      </c>
      <c r="B1025" s="8">
        <v>1020</v>
      </c>
      <c r="C1025" s="8" t="s">
        <v>137</v>
      </c>
      <c r="D1025" s="8" t="s">
        <v>10</v>
      </c>
      <c r="E1025" s="8">
        <v>106.8</v>
      </c>
      <c r="F1025" s="8" t="s">
        <v>75</v>
      </c>
      <c r="G1025" s="85">
        <f>+'[3]Dự thầu'!$G84</f>
        <v>388691</v>
      </c>
      <c r="H1025" s="86">
        <f t="shared" si="35"/>
        <v>41512199</v>
      </c>
    </row>
    <row r="1026" spans="1:9" ht="15.75" customHeight="1" x14ac:dyDescent="0.25">
      <c r="A1026" s="4" t="s">
        <v>1393</v>
      </c>
      <c r="B1026" s="8">
        <v>1021</v>
      </c>
      <c r="C1026" s="8" t="s">
        <v>143</v>
      </c>
      <c r="D1026" s="8" t="s">
        <v>10</v>
      </c>
      <c r="E1026" s="8">
        <v>1.53</v>
      </c>
      <c r="F1026" s="8" t="s">
        <v>37</v>
      </c>
      <c r="G1026" s="85">
        <f>+'[3]Dự thầu'!$G89</f>
        <v>669649</v>
      </c>
      <c r="H1026" s="86">
        <f t="shared" si="35"/>
        <v>1024563</v>
      </c>
    </row>
    <row r="1027" spans="1:9" ht="15.75" customHeight="1" x14ac:dyDescent="0.25">
      <c r="A1027" s="4" t="s">
        <v>1394</v>
      </c>
      <c r="B1027" s="8">
        <v>1022</v>
      </c>
      <c r="C1027" s="8" t="s">
        <v>145</v>
      </c>
      <c r="D1027" s="8" t="s">
        <v>10</v>
      </c>
      <c r="E1027" s="8">
        <v>3</v>
      </c>
      <c r="F1027" s="8" t="s">
        <v>146</v>
      </c>
      <c r="G1027" s="85">
        <f>+'[3]Dự thầu'!$G93</f>
        <v>1909908</v>
      </c>
      <c r="H1027" s="86">
        <f t="shared" si="35"/>
        <v>5729724</v>
      </c>
    </row>
    <row r="1028" spans="1:9" ht="15.75" customHeight="1" x14ac:dyDescent="0.25">
      <c r="A1028" s="4" t="s">
        <v>1395</v>
      </c>
      <c r="B1028" s="8">
        <v>1023</v>
      </c>
      <c r="C1028" s="8" t="s">
        <v>47</v>
      </c>
      <c r="D1028" s="8" t="s">
        <v>10</v>
      </c>
      <c r="E1028" s="8">
        <v>26.4</v>
      </c>
      <c r="F1028" s="8" t="s">
        <v>16</v>
      </c>
      <c r="G1028" s="85">
        <f>+'[3]Dự thầu'!$G94</f>
        <v>2096</v>
      </c>
      <c r="H1028" s="86">
        <f t="shared" si="35"/>
        <v>55334</v>
      </c>
    </row>
    <row r="1029" spans="1:9" ht="15.75" customHeight="1" x14ac:dyDescent="0.25">
      <c r="A1029" s="4" t="s">
        <v>1396</v>
      </c>
      <c r="B1029" s="8">
        <v>1024</v>
      </c>
      <c r="C1029" s="8" t="s">
        <v>1397</v>
      </c>
      <c r="D1029" s="8" t="s">
        <v>10</v>
      </c>
      <c r="E1029" s="8">
        <v>0.38</v>
      </c>
      <c r="F1029" s="8" t="s">
        <v>150</v>
      </c>
      <c r="G1029" s="85">
        <f>+'[3]Dự thầu'!$G95</f>
        <v>963779</v>
      </c>
      <c r="H1029" s="86">
        <f t="shared" si="35"/>
        <v>366236</v>
      </c>
    </row>
    <row r="1030" spans="1:9" ht="15.75" customHeight="1" x14ac:dyDescent="0.25">
      <c r="A1030" s="4">
        <v>16</v>
      </c>
      <c r="B1030" s="8">
        <v>1025</v>
      </c>
      <c r="C1030" s="8" t="s">
        <v>1398</v>
      </c>
      <c r="D1030" s="8" t="s">
        <v>10</v>
      </c>
      <c r="E1030" s="8"/>
      <c r="F1030" s="8"/>
      <c r="G1030" s="85"/>
      <c r="I1030" s="86"/>
    </row>
    <row r="1031" spans="1:9" ht="15.75" customHeight="1" x14ac:dyDescent="0.25">
      <c r="A1031" s="4" t="s">
        <v>1399</v>
      </c>
      <c r="B1031" s="8">
        <v>1026</v>
      </c>
      <c r="C1031" s="8" t="s">
        <v>185</v>
      </c>
      <c r="D1031" s="8" t="s">
        <v>10</v>
      </c>
      <c r="E1031" s="8">
        <v>2.6</v>
      </c>
      <c r="F1031" s="8" t="s">
        <v>16</v>
      </c>
      <c r="G1031" s="85">
        <f>+'[3]Dự thầu'!$G115</f>
        <v>23801</v>
      </c>
      <c r="H1031" s="86">
        <f t="shared" ref="H1031:H1051" si="36">+ROUND(G1031*E1031,0)</f>
        <v>61883</v>
      </c>
    </row>
    <row r="1032" spans="1:9" ht="15.75" customHeight="1" x14ac:dyDescent="0.25">
      <c r="A1032" s="4" t="s">
        <v>1400</v>
      </c>
      <c r="B1032" s="8">
        <v>1027</v>
      </c>
      <c r="C1032" s="8" t="s">
        <v>155</v>
      </c>
      <c r="D1032" s="8" t="s">
        <v>10</v>
      </c>
      <c r="E1032" s="8">
        <v>13.8</v>
      </c>
      <c r="F1032" s="8" t="s">
        <v>16</v>
      </c>
      <c r="G1032" s="85">
        <f>+'[3]Dự thầu'!$G116</f>
        <v>30610</v>
      </c>
      <c r="H1032" s="86">
        <f t="shared" si="36"/>
        <v>422418</v>
      </c>
    </row>
    <row r="1033" spans="1:9" ht="15.75" customHeight="1" x14ac:dyDescent="0.25">
      <c r="A1033" s="4" t="s">
        <v>1401</v>
      </c>
      <c r="B1033" s="8">
        <v>1028</v>
      </c>
      <c r="C1033" s="8" t="s">
        <v>24</v>
      </c>
      <c r="D1033" s="8" t="s">
        <v>10</v>
      </c>
      <c r="E1033" s="8">
        <v>1213</v>
      </c>
      <c r="F1033" s="8" t="s">
        <v>16</v>
      </c>
      <c r="G1033" s="85">
        <f>+'[3]Dự thầu'!$G117</f>
        <v>8251</v>
      </c>
      <c r="H1033" s="86">
        <f t="shared" si="36"/>
        <v>10008463</v>
      </c>
    </row>
    <row r="1034" spans="1:9" ht="15.75" customHeight="1" x14ac:dyDescent="0.25">
      <c r="A1034" s="4" t="s">
        <v>1402</v>
      </c>
      <c r="B1034" s="8">
        <v>1029</v>
      </c>
      <c r="C1034" s="8" t="s">
        <v>160</v>
      </c>
      <c r="D1034" s="8" t="s">
        <v>10</v>
      </c>
      <c r="E1034" s="8">
        <v>5849.5</v>
      </c>
      <c r="F1034" s="8" t="s">
        <v>16</v>
      </c>
      <c r="G1034" s="85">
        <f>+'[3]Dự thầu'!$G118</f>
        <v>12936</v>
      </c>
      <c r="H1034" s="86">
        <f t="shared" si="36"/>
        <v>75669132</v>
      </c>
    </row>
    <row r="1035" spans="1:9" ht="15.75" customHeight="1" x14ac:dyDescent="0.25">
      <c r="A1035" s="4" t="s">
        <v>1403</v>
      </c>
      <c r="B1035" s="8">
        <v>1030</v>
      </c>
      <c r="C1035" s="8" t="s">
        <v>162</v>
      </c>
      <c r="D1035" s="8" t="s">
        <v>10</v>
      </c>
      <c r="E1035" s="8">
        <v>570</v>
      </c>
      <c r="F1035" s="8" t="s">
        <v>16</v>
      </c>
      <c r="G1035" s="85">
        <f>+'[3]Dự thầu'!$G119</f>
        <v>15775</v>
      </c>
      <c r="H1035" s="86">
        <f t="shared" si="36"/>
        <v>8991750</v>
      </c>
    </row>
    <row r="1036" spans="1:9" ht="15.75" customHeight="1" x14ac:dyDescent="0.25">
      <c r="A1036" s="4" t="s">
        <v>1404</v>
      </c>
      <c r="B1036" s="8">
        <v>1031</v>
      </c>
      <c r="C1036" s="8" t="s">
        <v>32</v>
      </c>
      <c r="D1036" s="8" t="s">
        <v>10</v>
      </c>
      <c r="E1036" s="8">
        <v>7998.02</v>
      </c>
      <c r="F1036" s="8" t="s">
        <v>16</v>
      </c>
      <c r="G1036" s="85">
        <f>+'[3]Dự thầu'!$G120</f>
        <v>50585</v>
      </c>
      <c r="H1036" s="86">
        <f t="shared" si="36"/>
        <v>404579842</v>
      </c>
    </row>
    <row r="1037" spans="1:9" ht="15.75" customHeight="1" x14ac:dyDescent="0.25">
      <c r="A1037" s="4" t="s">
        <v>1405</v>
      </c>
      <c r="B1037" s="8">
        <v>1032</v>
      </c>
      <c r="C1037" s="8" t="s">
        <v>34</v>
      </c>
      <c r="D1037" s="8" t="s">
        <v>10</v>
      </c>
      <c r="E1037" s="8">
        <v>800.05</v>
      </c>
      <c r="F1037" s="8" t="s">
        <v>16</v>
      </c>
      <c r="G1037" s="85">
        <f>+'[3]Dự thầu'!$G121</f>
        <v>54405</v>
      </c>
      <c r="H1037" s="86">
        <f t="shared" si="36"/>
        <v>43526720</v>
      </c>
    </row>
    <row r="1038" spans="1:9" ht="15.75" customHeight="1" x14ac:dyDescent="0.25">
      <c r="A1038" s="4" t="s">
        <v>1406</v>
      </c>
      <c r="B1038" s="8">
        <v>1033</v>
      </c>
      <c r="C1038" s="8" t="s">
        <v>36</v>
      </c>
      <c r="D1038" s="8" t="s">
        <v>10</v>
      </c>
      <c r="E1038" s="8">
        <v>879.81</v>
      </c>
      <c r="F1038" s="8" t="s">
        <v>37</v>
      </c>
      <c r="G1038" s="85">
        <f>+'[3]Dự thầu'!$G$122+'[3]Dự thầu'!$G$123+'[3]Dự thầu'!$G$124</f>
        <v>1064000</v>
      </c>
      <c r="H1038" s="86">
        <f t="shared" si="36"/>
        <v>936117840</v>
      </c>
    </row>
    <row r="1039" spans="1:9" ht="15.75" customHeight="1" x14ac:dyDescent="0.25">
      <c r="A1039" s="4" t="s">
        <v>1407</v>
      </c>
      <c r="B1039" s="8">
        <v>1034</v>
      </c>
      <c r="C1039" s="8" t="s">
        <v>190</v>
      </c>
      <c r="D1039" s="8" t="s">
        <v>10</v>
      </c>
      <c r="E1039" s="8">
        <v>464.5</v>
      </c>
      <c r="F1039" s="8" t="s">
        <v>16</v>
      </c>
      <c r="G1039" s="85">
        <f>+'[3]Dự thầu'!$G125</f>
        <v>8251</v>
      </c>
      <c r="H1039" s="86">
        <f t="shared" si="36"/>
        <v>3832590</v>
      </c>
    </row>
    <row r="1040" spans="1:9" ht="15.75" customHeight="1" x14ac:dyDescent="0.25">
      <c r="A1040" s="4" t="s">
        <v>1408</v>
      </c>
      <c r="B1040" s="8">
        <v>1035</v>
      </c>
      <c r="C1040" s="8" t="s">
        <v>1409</v>
      </c>
      <c r="D1040" s="8" t="s">
        <v>10</v>
      </c>
      <c r="E1040" s="8">
        <v>560</v>
      </c>
      <c r="F1040" s="8" t="s">
        <v>16</v>
      </c>
      <c r="G1040" s="85">
        <f>+'[3]Dự thầu'!$G126</f>
        <v>274941</v>
      </c>
      <c r="H1040" s="86">
        <f t="shared" si="36"/>
        <v>153966960</v>
      </c>
    </row>
    <row r="1041" spans="1:9" ht="15.75" customHeight="1" x14ac:dyDescent="0.25">
      <c r="A1041" s="4" t="s">
        <v>1410</v>
      </c>
      <c r="B1041" s="8">
        <v>1036</v>
      </c>
      <c r="C1041" s="8" t="s">
        <v>1038</v>
      </c>
      <c r="D1041" s="8" t="s">
        <v>10</v>
      </c>
      <c r="E1041" s="8">
        <v>242.4</v>
      </c>
      <c r="F1041" s="8" t="s">
        <v>16</v>
      </c>
      <c r="G1041" s="85">
        <f>+'[3]Dự thầu'!$G127</f>
        <v>274941</v>
      </c>
      <c r="H1041" s="86">
        <f t="shared" si="36"/>
        <v>66645698</v>
      </c>
    </row>
    <row r="1042" spans="1:9" ht="15.75" customHeight="1" x14ac:dyDescent="0.25">
      <c r="A1042" s="4" t="s">
        <v>1411</v>
      </c>
      <c r="B1042" s="8">
        <v>1037</v>
      </c>
      <c r="C1042" s="8" t="s">
        <v>51</v>
      </c>
      <c r="D1042" s="8" t="s">
        <v>10</v>
      </c>
      <c r="E1042" s="8">
        <v>975.7</v>
      </c>
      <c r="F1042" s="8" t="s">
        <v>13</v>
      </c>
      <c r="G1042" s="85">
        <f>+'[3]Dự thầu'!$G128</f>
        <v>20017</v>
      </c>
      <c r="H1042" s="86">
        <f t="shared" si="36"/>
        <v>19530587</v>
      </c>
    </row>
    <row r="1043" spans="1:9" ht="15.75" customHeight="1" x14ac:dyDescent="0.25">
      <c r="A1043" s="4" t="s">
        <v>1412</v>
      </c>
      <c r="B1043" s="8">
        <v>1038</v>
      </c>
      <c r="C1043" s="8" t="s">
        <v>53</v>
      </c>
      <c r="D1043" s="8" t="s">
        <v>10</v>
      </c>
      <c r="E1043" s="8">
        <v>859.6</v>
      </c>
      <c r="F1043" s="8" t="s">
        <v>13</v>
      </c>
      <c r="G1043" s="85">
        <f>+'[3]Dự thầu'!$G129</f>
        <v>36456</v>
      </c>
      <c r="H1043" s="86">
        <f t="shared" si="36"/>
        <v>31337578</v>
      </c>
    </row>
    <row r="1044" spans="1:9" ht="15.75" customHeight="1" x14ac:dyDescent="0.25">
      <c r="A1044" s="4" t="s">
        <v>1413</v>
      </c>
      <c r="B1044" s="8">
        <v>1039</v>
      </c>
      <c r="C1044" s="8" t="s">
        <v>79</v>
      </c>
      <c r="D1044" s="8" t="s">
        <v>10</v>
      </c>
      <c r="E1044" s="8">
        <v>10.4</v>
      </c>
      <c r="F1044" s="8" t="s">
        <v>16</v>
      </c>
      <c r="G1044" s="85">
        <f>+'[3]Dự thầu'!$G130</f>
        <v>20867</v>
      </c>
      <c r="H1044" s="86">
        <f t="shared" si="36"/>
        <v>217017</v>
      </c>
    </row>
    <row r="1045" spans="1:9" ht="15.75" customHeight="1" x14ac:dyDescent="0.25">
      <c r="A1045" s="4" t="s">
        <v>1414</v>
      </c>
      <c r="B1045" s="8">
        <v>1040</v>
      </c>
      <c r="C1045" s="8" t="s">
        <v>81</v>
      </c>
      <c r="D1045" s="8" t="s">
        <v>10</v>
      </c>
      <c r="E1045" s="8">
        <v>10.4</v>
      </c>
      <c r="F1045" s="8" t="s">
        <v>16</v>
      </c>
      <c r="G1045" s="85">
        <f>+'[3]Dự thầu'!$G131</f>
        <v>12936</v>
      </c>
      <c r="H1045" s="86">
        <f t="shared" si="36"/>
        <v>134534</v>
      </c>
    </row>
    <row r="1046" spans="1:9" ht="15.75" customHeight="1" x14ac:dyDescent="0.25">
      <c r="A1046" s="4" t="s">
        <v>1415</v>
      </c>
      <c r="B1046" s="8">
        <v>1041</v>
      </c>
      <c r="C1046" s="8" t="s">
        <v>94</v>
      </c>
      <c r="D1046" s="8" t="s">
        <v>10</v>
      </c>
      <c r="E1046" s="8">
        <v>1986.6</v>
      </c>
      <c r="F1046" s="8" t="s">
        <v>13</v>
      </c>
      <c r="G1046" s="85">
        <f>+'[3]Dự thầu'!$G132</f>
        <v>11015</v>
      </c>
      <c r="H1046" s="86">
        <f t="shared" si="36"/>
        <v>21882399</v>
      </c>
    </row>
    <row r="1047" spans="1:9" ht="15.75" customHeight="1" x14ac:dyDescent="0.25">
      <c r="A1047" s="4" t="s">
        <v>1416</v>
      </c>
      <c r="B1047" s="8">
        <v>1042</v>
      </c>
      <c r="C1047" s="8" t="s">
        <v>96</v>
      </c>
      <c r="D1047" s="8" t="s">
        <v>10</v>
      </c>
      <c r="E1047" s="8">
        <v>282.89</v>
      </c>
      <c r="F1047" s="8" t="s">
        <v>90</v>
      </c>
      <c r="G1047" s="85">
        <v>1646788</v>
      </c>
      <c r="H1047" s="86">
        <f t="shared" si="36"/>
        <v>465859857</v>
      </c>
    </row>
    <row r="1048" spans="1:9" ht="15.75" customHeight="1" x14ac:dyDescent="0.25">
      <c r="A1048" s="4" t="s">
        <v>1417</v>
      </c>
      <c r="B1048" s="8">
        <v>1043</v>
      </c>
      <c r="C1048" s="8" t="s">
        <v>98</v>
      </c>
      <c r="D1048" s="8" t="s">
        <v>10</v>
      </c>
      <c r="E1048" s="8">
        <v>2.83</v>
      </c>
      <c r="F1048" s="8" t="s">
        <v>99</v>
      </c>
      <c r="G1048" s="85">
        <f>+'[3]Dự thầu'!$G$134+'[3]Dự thầu'!$G$135</f>
        <v>11384261</v>
      </c>
      <c r="H1048" s="86">
        <f t="shared" si="36"/>
        <v>32217459</v>
      </c>
    </row>
    <row r="1049" spans="1:9" ht="15.75" customHeight="1" x14ac:dyDescent="0.25">
      <c r="A1049" s="4" t="s">
        <v>1418</v>
      </c>
      <c r="B1049" s="8">
        <v>1044</v>
      </c>
      <c r="C1049" s="8" t="s">
        <v>110</v>
      </c>
      <c r="D1049" s="8" t="s">
        <v>10</v>
      </c>
      <c r="E1049" s="8">
        <v>1986.6</v>
      </c>
      <c r="F1049" s="8" t="s">
        <v>13</v>
      </c>
      <c r="G1049" s="85">
        <f>+'[3]Dự thầu'!$G$136</f>
        <v>15319</v>
      </c>
      <c r="H1049" s="86">
        <f t="shared" si="36"/>
        <v>30432725</v>
      </c>
    </row>
    <row r="1050" spans="1:9" ht="15.75" customHeight="1" x14ac:dyDescent="0.25">
      <c r="A1050" s="4" t="s">
        <v>1419</v>
      </c>
      <c r="B1050" s="8">
        <v>1045</v>
      </c>
      <c r="C1050" s="8" t="s">
        <v>210</v>
      </c>
      <c r="D1050" s="8" t="s">
        <v>10</v>
      </c>
      <c r="E1050" s="8">
        <v>476.8</v>
      </c>
      <c r="F1050" s="8" t="s">
        <v>16</v>
      </c>
      <c r="G1050" s="85">
        <f>+'[3]Dự thầu'!$G$143</f>
        <v>364704</v>
      </c>
      <c r="H1050" s="86">
        <f t="shared" si="36"/>
        <v>173890867</v>
      </c>
    </row>
    <row r="1051" spans="1:9" ht="15.75" customHeight="1" x14ac:dyDescent="0.25">
      <c r="A1051" s="4" t="s">
        <v>1420</v>
      </c>
      <c r="B1051" s="8">
        <v>1046</v>
      </c>
      <c r="C1051" s="8" t="s">
        <v>1421</v>
      </c>
      <c r="D1051" s="8" t="s">
        <v>10</v>
      </c>
      <c r="E1051" s="8">
        <v>675.5</v>
      </c>
      <c r="F1051" s="8" t="s">
        <v>16</v>
      </c>
      <c r="G1051" s="85">
        <f>+'[3]Dự thầu'!$G$144</f>
        <v>344284</v>
      </c>
      <c r="H1051" s="86">
        <f t="shared" si="36"/>
        <v>232563842</v>
      </c>
    </row>
    <row r="1052" spans="1:9" ht="15.75" customHeight="1" x14ac:dyDescent="0.25">
      <c r="A1052" s="4">
        <v>17</v>
      </c>
      <c r="B1052" s="8">
        <v>1047</v>
      </c>
      <c r="C1052" s="8" t="s">
        <v>1422</v>
      </c>
      <c r="D1052" s="8" t="s">
        <v>10</v>
      </c>
      <c r="E1052" s="8"/>
      <c r="F1052" s="8"/>
      <c r="G1052" s="85"/>
      <c r="I1052" s="86"/>
    </row>
    <row r="1053" spans="1:9" ht="15.75" customHeight="1" x14ac:dyDescent="0.25">
      <c r="A1053" s="4" t="s">
        <v>1423</v>
      </c>
      <c r="B1053" s="8">
        <v>1048</v>
      </c>
      <c r="C1053" s="8" t="s">
        <v>1072</v>
      </c>
      <c r="D1053" s="8" t="s">
        <v>10</v>
      </c>
      <c r="E1053" s="8">
        <v>3.83</v>
      </c>
      <c r="F1053" s="8" t="s">
        <v>16</v>
      </c>
      <c r="G1053" s="85">
        <f>+'[3]Dự thầu'!$G173</f>
        <v>20072</v>
      </c>
      <c r="H1053" s="86">
        <f t="shared" ref="H1053:H1073" si="37">+ROUND(G1053*E1053,0)</f>
        <v>76876</v>
      </c>
    </row>
    <row r="1054" spans="1:9" ht="15.75" customHeight="1" x14ac:dyDescent="0.25">
      <c r="A1054" s="4" t="s">
        <v>1424</v>
      </c>
      <c r="B1054" s="8">
        <v>1049</v>
      </c>
      <c r="C1054" s="8" t="s">
        <v>183</v>
      </c>
      <c r="D1054" s="8" t="s">
        <v>10</v>
      </c>
      <c r="E1054" s="8">
        <v>0.56999999999999995</v>
      </c>
      <c r="F1054" s="8" t="s">
        <v>16</v>
      </c>
      <c r="G1054" s="85">
        <f>+'[3]Dự thầu'!$G174</f>
        <v>23801</v>
      </c>
      <c r="H1054" s="86">
        <f t="shared" si="37"/>
        <v>13567</v>
      </c>
    </row>
    <row r="1055" spans="1:9" ht="15.75" customHeight="1" x14ac:dyDescent="0.25">
      <c r="A1055" s="4" t="s">
        <v>1425</v>
      </c>
      <c r="B1055" s="8">
        <v>1050</v>
      </c>
      <c r="C1055" s="8" t="s">
        <v>185</v>
      </c>
      <c r="D1055" s="8" t="s">
        <v>10</v>
      </c>
      <c r="E1055" s="8">
        <v>191.4</v>
      </c>
      <c r="F1055" s="8" t="s">
        <v>16</v>
      </c>
      <c r="G1055" s="85">
        <f>+'[3]Dự thầu'!$G175</f>
        <v>23801</v>
      </c>
      <c r="H1055" s="86">
        <f t="shared" si="37"/>
        <v>4555511</v>
      </c>
    </row>
    <row r="1056" spans="1:9" ht="15.75" customHeight="1" x14ac:dyDescent="0.25">
      <c r="A1056" s="4" t="s">
        <v>1426</v>
      </c>
      <c r="B1056" s="8">
        <v>1051</v>
      </c>
      <c r="C1056" s="8" t="s">
        <v>20</v>
      </c>
      <c r="D1056" s="8" t="s">
        <v>10</v>
      </c>
      <c r="E1056" s="8">
        <v>2.5</v>
      </c>
      <c r="F1056" s="8" t="s">
        <v>16</v>
      </c>
      <c r="G1056" s="85">
        <f>+'[3]Dự thầu'!$G176</f>
        <v>12342</v>
      </c>
      <c r="H1056" s="86">
        <f t="shared" si="37"/>
        <v>30855</v>
      </c>
    </row>
    <row r="1057" spans="1:8" ht="15.75" customHeight="1" x14ac:dyDescent="0.25">
      <c r="A1057" s="4" t="s">
        <v>1427</v>
      </c>
      <c r="B1057" s="8">
        <v>1052</v>
      </c>
      <c r="C1057" s="8" t="s">
        <v>158</v>
      </c>
      <c r="D1057" s="8" t="s">
        <v>10</v>
      </c>
      <c r="E1057" s="8">
        <v>2.5</v>
      </c>
      <c r="F1057" s="8" t="s">
        <v>16</v>
      </c>
      <c r="G1057" s="85">
        <f>+'[3]Dự thầu'!$G177</f>
        <v>12936</v>
      </c>
      <c r="H1057" s="86">
        <f t="shared" si="37"/>
        <v>32340</v>
      </c>
    </row>
    <row r="1058" spans="1:8" ht="15.75" customHeight="1" x14ac:dyDescent="0.25">
      <c r="A1058" s="4" t="s">
        <v>1428</v>
      </c>
      <c r="B1058" s="8">
        <v>1053</v>
      </c>
      <c r="C1058" s="8" t="s">
        <v>190</v>
      </c>
      <c r="D1058" s="8" t="s">
        <v>10</v>
      </c>
      <c r="E1058" s="8">
        <v>340.2</v>
      </c>
      <c r="F1058" s="8" t="s">
        <v>16</v>
      </c>
      <c r="G1058" s="85">
        <f>+'[3]Dự thầu'!$G178</f>
        <v>8251</v>
      </c>
      <c r="H1058" s="86">
        <f t="shared" si="37"/>
        <v>2806990</v>
      </c>
    </row>
    <row r="1059" spans="1:8" ht="15.75" customHeight="1" x14ac:dyDescent="0.25">
      <c r="A1059" s="4" t="s">
        <v>1429</v>
      </c>
      <c r="B1059" s="8">
        <v>1054</v>
      </c>
      <c r="C1059" s="8" t="s">
        <v>192</v>
      </c>
      <c r="D1059" s="8" t="s">
        <v>10</v>
      </c>
      <c r="E1059" s="8">
        <v>2229.9</v>
      </c>
      <c r="F1059" s="8" t="s">
        <v>16</v>
      </c>
      <c r="G1059" s="85">
        <f>+'[3]Dự thầu'!$G179</f>
        <v>32141</v>
      </c>
      <c r="H1059" s="86">
        <f t="shared" si="37"/>
        <v>71671216</v>
      </c>
    </row>
    <row r="1060" spans="1:8" ht="15.75" customHeight="1" x14ac:dyDescent="0.25">
      <c r="A1060" s="4" t="s">
        <v>1430</v>
      </c>
      <c r="B1060" s="8">
        <v>1055</v>
      </c>
      <c r="C1060" s="8" t="s">
        <v>160</v>
      </c>
      <c r="D1060" s="8" t="s">
        <v>10</v>
      </c>
      <c r="E1060" s="8">
        <v>127</v>
      </c>
      <c r="F1060" s="8" t="s">
        <v>16</v>
      </c>
      <c r="G1060" s="85">
        <f>+'[3]Dự thầu'!$G180</f>
        <v>12936</v>
      </c>
      <c r="H1060" s="86">
        <f t="shared" si="37"/>
        <v>1642872</v>
      </c>
    </row>
    <row r="1061" spans="1:8" ht="15.75" customHeight="1" x14ac:dyDescent="0.25">
      <c r="A1061" s="4" t="s">
        <v>1431</v>
      </c>
      <c r="B1061" s="8">
        <v>1056</v>
      </c>
      <c r="C1061" s="8" t="s">
        <v>195</v>
      </c>
      <c r="D1061" s="8" t="s">
        <v>10</v>
      </c>
      <c r="E1061" s="8">
        <v>2968</v>
      </c>
      <c r="F1061" s="8" t="s">
        <v>16</v>
      </c>
      <c r="G1061" s="85">
        <f>+'[3]Dự thầu'!$G181</f>
        <v>50585</v>
      </c>
      <c r="H1061" s="86">
        <f t="shared" si="37"/>
        <v>150136280</v>
      </c>
    </row>
    <row r="1062" spans="1:8" ht="15.75" customHeight="1" x14ac:dyDescent="0.25">
      <c r="A1062" s="4" t="s">
        <v>1432</v>
      </c>
      <c r="B1062" s="8">
        <v>1057</v>
      </c>
      <c r="C1062" s="8" t="s">
        <v>32</v>
      </c>
      <c r="D1062" s="8" t="s">
        <v>10</v>
      </c>
      <c r="E1062" s="8">
        <v>173.65</v>
      </c>
      <c r="F1062" s="8" t="s">
        <v>16</v>
      </c>
      <c r="G1062" s="85">
        <f>+'[3]Dự thầu'!$G182</f>
        <v>54405</v>
      </c>
      <c r="H1062" s="86">
        <f t="shared" si="37"/>
        <v>9447428</v>
      </c>
    </row>
    <row r="1063" spans="1:8" ht="15.75" customHeight="1" x14ac:dyDescent="0.25">
      <c r="A1063" s="4" t="s">
        <v>1433</v>
      </c>
      <c r="B1063" s="8">
        <v>1058</v>
      </c>
      <c r="C1063" s="8" t="s">
        <v>36</v>
      </c>
      <c r="D1063" s="8" t="s">
        <v>10</v>
      </c>
      <c r="E1063" s="8">
        <v>314.16000000000003</v>
      </c>
      <c r="F1063" s="8" t="s">
        <v>37</v>
      </c>
      <c r="G1063" s="85">
        <f>+'[3]Dự thầu'!$G$183+'[3]Dự thầu'!$G$184+'[3]Dự thầu'!$G$185</f>
        <v>1064000</v>
      </c>
      <c r="H1063" s="86">
        <f t="shared" si="37"/>
        <v>334266240</v>
      </c>
    </row>
    <row r="1064" spans="1:8" ht="15.75" customHeight="1" x14ac:dyDescent="0.25">
      <c r="A1064" s="4" t="s">
        <v>1434</v>
      </c>
      <c r="B1064" s="8">
        <v>1059</v>
      </c>
      <c r="C1064" s="8" t="s">
        <v>94</v>
      </c>
      <c r="D1064" s="8" t="s">
        <v>10</v>
      </c>
      <c r="E1064" s="8">
        <v>42.4</v>
      </c>
      <c r="F1064" s="8" t="s">
        <v>13</v>
      </c>
      <c r="G1064" s="85">
        <f>+'[3]Dự thầu'!$G$192</f>
        <v>11015</v>
      </c>
      <c r="H1064" s="86">
        <f t="shared" si="37"/>
        <v>467036</v>
      </c>
    </row>
    <row r="1065" spans="1:8" ht="15.75" customHeight="1" x14ac:dyDescent="0.25">
      <c r="A1065" s="4" t="s">
        <v>1435</v>
      </c>
      <c r="B1065" s="8">
        <v>1060</v>
      </c>
      <c r="C1065" s="8" t="s">
        <v>96</v>
      </c>
      <c r="D1065" s="8" t="s">
        <v>10</v>
      </c>
      <c r="E1065" s="8">
        <v>6.04</v>
      </c>
      <c r="F1065" s="8" t="s">
        <v>90</v>
      </c>
      <c r="G1065" s="85">
        <v>1646788</v>
      </c>
      <c r="H1065" s="86">
        <f t="shared" si="37"/>
        <v>9946600</v>
      </c>
    </row>
    <row r="1066" spans="1:8" ht="15.75" customHeight="1" x14ac:dyDescent="0.25">
      <c r="A1066" s="4" t="s">
        <v>1436</v>
      </c>
      <c r="B1066" s="8">
        <v>1061</v>
      </c>
      <c r="C1066" s="8" t="s">
        <v>98</v>
      </c>
      <c r="D1066" s="8" t="s">
        <v>10</v>
      </c>
      <c r="E1066" s="8">
        <v>0.06</v>
      </c>
      <c r="F1066" s="8" t="s">
        <v>99</v>
      </c>
      <c r="G1066" s="85">
        <f>+'[3]Dự thầu'!$G$194+'[3]Dự thầu'!$G$195</f>
        <v>11384261</v>
      </c>
      <c r="H1066" s="86">
        <f t="shared" si="37"/>
        <v>683056</v>
      </c>
    </row>
    <row r="1067" spans="1:8" ht="15.75" customHeight="1" x14ac:dyDescent="0.25">
      <c r="A1067" s="4" t="s">
        <v>1437</v>
      </c>
      <c r="B1067" s="8">
        <v>1062</v>
      </c>
      <c r="C1067" s="8" t="s">
        <v>208</v>
      </c>
      <c r="D1067" s="8" t="s">
        <v>10</v>
      </c>
      <c r="E1067" s="8">
        <v>42</v>
      </c>
      <c r="F1067" s="8" t="s">
        <v>13</v>
      </c>
      <c r="G1067" s="85">
        <f>+'[3]Dự thầu'!$G$196</f>
        <v>26753</v>
      </c>
      <c r="H1067" s="86">
        <f t="shared" si="37"/>
        <v>1123626</v>
      </c>
    </row>
    <row r="1068" spans="1:8" ht="15.75" customHeight="1" x14ac:dyDescent="0.25">
      <c r="A1068" s="4" t="s">
        <v>1438</v>
      </c>
      <c r="B1068" s="8">
        <v>1063</v>
      </c>
      <c r="C1068" s="8" t="s">
        <v>210</v>
      </c>
      <c r="D1068" s="8" t="s">
        <v>10</v>
      </c>
      <c r="E1068" s="8">
        <v>2.2999999999999998</v>
      </c>
      <c r="F1068" s="8" t="s">
        <v>16</v>
      </c>
      <c r="G1068" s="85">
        <f>+'[3]Dự thầu'!$G$197</f>
        <v>364704</v>
      </c>
      <c r="H1068" s="86">
        <f t="shared" si="37"/>
        <v>838819</v>
      </c>
    </row>
    <row r="1069" spans="1:8" ht="15.75" customHeight="1" x14ac:dyDescent="0.25">
      <c r="A1069" s="4" t="s">
        <v>1439</v>
      </c>
      <c r="B1069" s="8">
        <v>1064</v>
      </c>
      <c r="C1069" s="8" t="s">
        <v>94</v>
      </c>
      <c r="D1069" s="8" t="s">
        <v>10</v>
      </c>
      <c r="E1069" s="8">
        <v>482</v>
      </c>
      <c r="F1069" s="8" t="s">
        <v>13</v>
      </c>
      <c r="G1069" s="85">
        <f>+'[3]Dự thầu'!$G$198</f>
        <v>11015</v>
      </c>
      <c r="H1069" s="86">
        <f t="shared" si="37"/>
        <v>5309230</v>
      </c>
    </row>
    <row r="1070" spans="1:8" ht="15.75" customHeight="1" x14ac:dyDescent="0.25">
      <c r="A1070" s="4" t="s">
        <v>1440</v>
      </c>
      <c r="B1070" s="8">
        <v>1065</v>
      </c>
      <c r="C1070" s="8" t="s">
        <v>96</v>
      </c>
      <c r="D1070" s="8" t="s">
        <v>10</v>
      </c>
      <c r="E1070" s="8">
        <v>68.64</v>
      </c>
      <c r="F1070" s="8" t="s">
        <v>90</v>
      </c>
      <c r="G1070" s="85">
        <v>1646788</v>
      </c>
      <c r="H1070" s="86">
        <f t="shared" si="37"/>
        <v>113035528</v>
      </c>
    </row>
    <row r="1071" spans="1:8" ht="15.75" customHeight="1" x14ac:dyDescent="0.25">
      <c r="A1071" s="4" t="s">
        <v>1441</v>
      </c>
      <c r="B1071" s="8">
        <v>1066</v>
      </c>
      <c r="C1071" s="8" t="s">
        <v>98</v>
      </c>
      <c r="D1071" s="8" t="s">
        <v>10</v>
      </c>
      <c r="E1071" s="8">
        <v>0.69</v>
      </c>
      <c r="F1071" s="8" t="s">
        <v>99</v>
      </c>
      <c r="G1071" s="85">
        <f>+'[3]Dự thầu'!$G$200+'[3]Dự thầu'!$G$201</f>
        <v>11384261</v>
      </c>
      <c r="H1071" s="86">
        <f t="shared" si="37"/>
        <v>7855140</v>
      </c>
    </row>
    <row r="1072" spans="1:8" ht="15.75" customHeight="1" x14ac:dyDescent="0.25">
      <c r="A1072" s="4" t="s">
        <v>1442</v>
      </c>
      <c r="B1072" s="8">
        <v>1067</v>
      </c>
      <c r="C1072" s="8" t="s">
        <v>208</v>
      </c>
      <c r="D1072" s="8" t="s">
        <v>10</v>
      </c>
      <c r="E1072" s="8">
        <v>482</v>
      </c>
      <c r="F1072" s="8" t="s">
        <v>13</v>
      </c>
      <c r="G1072" s="85">
        <f>+'[3]Dự thầu'!$G$202</f>
        <v>26753</v>
      </c>
      <c r="H1072" s="86">
        <f t="shared" si="37"/>
        <v>12894946</v>
      </c>
    </row>
    <row r="1073" spans="1:9" ht="15.75" customHeight="1" x14ac:dyDescent="0.25">
      <c r="A1073" s="4" t="s">
        <v>1443</v>
      </c>
      <c r="B1073" s="8">
        <v>1068</v>
      </c>
      <c r="C1073" s="8" t="s">
        <v>210</v>
      </c>
      <c r="D1073" s="8" t="s">
        <v>10</v>
      </c>
      <c r="E1073" s="8">
        <v>73.2</v>
      </c>
      <c r="F1073" s="8" t="s">
        <v>16</v>
      </c>
      <c r="G1073" s="85">
        <f>+'[3]Dự thầu'!$G$203</f>
        <v>364704</v>
      </c>
      <c r="H1073" s="86">
        <f t="shared" si="37"/>
        <v>26696333</v>
      </c>
    </row>
    <row r="1074" spans="1:9" ht="15.75" customHeight="1" x14ac:dyDescent="0.25">
      <c r="A1074" s="4">
        <v>18</v>
      </c>
      <c r="B1074" s="8">
        <v>1069</v>
      </c>
      <c r="C1074" s="8" t="s">
        <v>1444</v>
      </c>
      <c r="D1074" s="8" t="s">
        <v>10</v>
      </c>
      <c r="E1074" s="8"/>
      <c r="F1074" s="8"/>
      <c r="G1074" s="85"/>
      <c r="I1074" s="86"/>
    </row>
    <row r="1075" spans="1:9" ht="15.75" customHeight="1" x14ac:dyDescent="0.25">
      <c r="A1075" s="4" t="s">
        <v>1445</v>
      </c>
      <c r="B1075" s="8">
        <v>1070</v>
      </c>
      <c r="C1075" s="8" t="s">
        <v>510</v>
      </c>
      <c r="D1075" s="8" t="s">
        <v>10</v>
      </c>
      <c r="E1075" s="8">
        <v>220</v>
      </c>
      <c r="F1075" s="8" t="s">
        <v>13</v>
      </c>
      <c r="G1075" s="85">
        <f>+'[3]Dự thầu'!$G475</f>
        <v>519576</v>
      </c>
      <c r="H1075" s="86">
        <f t="shared" ref="H1075:H1093" si="38">+ROUND(G1075*E1075,0)</f>
        <v>114306720</v>
      </c>
    </row>
    <row r="1076" spans="1:9" ht="15.75" customHeight="1" x14ac:dyDescent="0.25">
      <c r="A1076" s="4" t="s">
        <v>1446</v>
      </c>
      <c r="B1076" s="8">
        <v>1071</v>
      </c>
      <c r="C1076" s="8" t="s">
        <v>512</v>
      </c>
      <c r="D1076" s="8" t="s">
        <v>10</v>
      </c>
      <c r="E1076" s="8">
        <v>6.61</v>
      </c>
      <c r="F1076" s="8" t="s">
        <v>13</v>
      </c>
      <c r="G1076" s="85">
        <f>+'[3]Dự thầu'!$G476</f>
        <v>1113651</v>
      </c>
      <c r="H1076" s="86">
        <f t="shared" si="38"/>
        <v>7361233</v>
      </c>
    </row>
    <row r="1077" spans="1:9" ht="15.75" customHeight="1" x14ac:dyDescent="0.25">
      <c r="A1077" s="4" t="s">
        <v>1447</v>
      </c>
      <c r="B1077" s="8">
        <v>1072</v>
      </c>
      <c r="C1077" s="8" t="s">
        <v>514</v>
      </c>
      <c r="D1077" s="8" t="s">
        <v>10</v>
      </c>
      <c r="E1077" s="8">
        <v>93</v>
      </c>
      <c r="F1077" s="8" t="s">
        <v>515</v>
      </c>
      <c r="G1077" s="85">
        <f>+'[3]Dự thầu'!$G477</f>
        <v>56885</v>
      </c>
      <c r="H1077" s="86">
        <f t="shared" si="38"/>
        <v>5290305</v>
      </c>
    </row>
    <row r="1078" spans="1:9" ht="15.75" customHeight="1" x14ac:dyDescent="0.25">
      <c r="A1078" s="4" t="s">
        <v>1448</v>
      </c>
      <c r="B1078" s="8">
        <v>1073</v>
      </c>
      <c r="C1078" s="8" t="s">
        <v>517</v>
      </c>
      <c r="D1078" s="8" t="s">
        <v>10</v>
      </c>
      <c r="E1078" s="8">
        <v>5</v>
      </c>
      <c r="F1078" s="8" t="s">
        <v>258</v>
      </c>
      <c r="G1078" s="85">
        <f>+'[3]Dự thầu'!$G478</f>
        <v>305773</v>
      </c>
      <c r="H1078" s="86">
        <f t="shared" si="38"/>
        <v>1528865</v>
      </c>
    </row>
    <row r="1079" spans="1:9" ht="15.75" customHeight="1" x14ac:dyDescent="0.25">
      <c r="A1079" s="4" t="s">
        <v>1449</v>
      </c>
      <c r="B1079" s="8">
        <v>1074</v>
      </c>
      <c r="C1079" s="8" t="s">
        <v>519</v>
      </c>
      <c r="D1079" s="8" t="s">
        <v>10</v>
      </c>
      <c r="E1079" s="8">
        <v>4</v>
      </c>
      <c r="F1079" s="8" t="s">
        <v>258</v>
      </c>
      <c r="G1079" s="85">
        <f>+'[3]Dự thầu'!$G479</f>
        <v>320924</v>
      </c>
      <c r="H1079" s="86">
        <f t="shared" si="38"/>
        <v>1283696</v>
      </c>
    </row>
    <row r="1080" spans="1:9" ht="15.75" customHeight="1" x14ac:dyDescent="0.25">
      <c r="A1080" s="4" t="s">
        <v>1450</v>
      </c>
      <c r="B1080" s="8">
        <v>1075</v>
      </c>
      <c r="C1080" s="8" t="s">
        <v>1149</v>
      </c>
      <c r="D1080" s="8" t="s">
        <v>10</v>
      </c>
      <c r="E1080" s="8">
        <v>1</v>
      </c>
      <c r="F1080" s="8" t="s">
        <v>258</v>
      </c>
      <c r="G1080" s="85">
        <f>+'[3]Dự thầu'!$G480</f>
        <v>314863</v>
      </c>
      <c r="H1080" s="86">
        <f t="shared" si="38"/>
        <v>314863</v>
      </c>
    </row>
    <row r="1081" spans="1:9" ht="15.75" customHeight="1" x14ac:dyDescent="0.25">
      <c r="A1081" s="4" t="s">
        <v>1451</v>
      </c>
      <c r="B1081" s="8">
        <v>1076</v>
      </c>
      <c r="C1081" s="8" t="s">
        <v>523</v>
      </c>
      <c r="D1081" s="8" t="s">
        <v>10</v>
      </c>
      <c r="E1081" s="8">
        <v>1</v>
      </c>
      <c r="F1081" s="8" t="s">
        <v>258</v>
      </c>
      <c r="G1081" s="85">
        <f>+'[3]Dự thầu'!$G481</f>
        <v>314863</v>
      </c>
      <c r="H1081" s="86">
        <f t="shared" si="38"/>
        <v>314863</v>
      </c>
    </row>
    <row r="1082" spans="1:9" ht="15.75" customHeight="1" x14ac:dyDescent="0.25">
      <c r="A1082" s="4" t="s">
        <v>1452</v>
      </c>
      <c r="B1082" s="8">
        <v>1077</v>
      </c>
      <c r="C1082" s="8" t="s">
        <v>525</v>
      </c>
      <c r="D1082" s="8" t="s">
        <v>10</v>
      </c>
      <c r="E1082" s="8">
        <v>1</v>
      </c>
      <c r="F1082" s="8" t="s">
        <v>258</v>
      </c>
      <c r="G1082" s="85">
        <f>+'[3]Dự thầu'!$G482</f>
        <v>314863</v>
      </c>
      <c r="H1082" s="86">
        <f t="shared" si="38"/>
        <v>314863</v>
      </c>
    </row>
    <row r="1083" spans="1:9" ht="15.75" customHeight="1" x14ac:dyDescent="0.25">
      <c r="A1083" s="4" t="s">
        <v>1453</v>
      </c>
      <c r="B1083" s="8">
        <v>1078</v>
      </c>
      <c r="C1083" s="8" t="s">
        <v>527</v>
      </c>
      <c r="D1083" s="8" t="s">
        <v>10</v>
      </c>
      <c r="E1083" s="8">
        <v>5</v>
      </c>
      <c r="F1083" s="8" t="s">
        <v>258</v>
      </c>
      <c r="G1083" s="85">
        <f>+'[3]Dự thầu'!$G483</f>
        <v>492731</v>
      </c>
      <c r="H1083" s="86">
        <f t="shared" si="38"/>
        <v>2463655</v>
      </c>
    </row>
    <row r="1084" spans="1:9" ht="15.75" customHeight="1" x14ac:dyDescent="0.25">
      <c r="A1084" s="4" t="s">
        <v>1454</v>
      </c>
      <c r="B1084" s="8">
        <v>1079</v>
      </c>
      <c r="C1084" s="8" t="s">
        <v>529</v>
      </c>
      <c r="D1084" s="8" t="s">
        <v>10</v>
      </c>
      <c r="E1084" s="8">
        <v>4</v>
      </c>
      <c r="F1084" s="8" t="s">
        <v>258</v>
      </c>
      <c r="G1084" s="85">
        <f>+'[3]Dự thầu'!$G484</f>
        <v>1021897</v>
      </c>
      <c r="H1084" s="86">
        <f t="shared" si="38"/>
        <v>4087588</v>
      </c>
    </row>
    <row r="1085" spans="1:9" ht="15.75" customHeight="1" x14ac:dyDescent="0.25">
      <c r="A1085" s="4" t="s">
        <v>1455</v>
      </c>
      <c r="B1085" s="8">
        <v>1080</v>
      </c>
      <c r="C1085" s="8" t="s">
        <v>1155</v>
      </c>
      <c r="D1085" s="8" t="s">
        <v>10</v>
      </c>
      <c r="E1085" s="8">
        <v>1</v>
      </c>
      <c r="F1085" s="8" t="s">
        <v>258</v>
      </c>
      <c r="G1085" s="85">
        <f>+'[3]Dự thầu'!$G485</f>
        <v>1021897</v>
      </c>
      <c r="H1085" s="86">
        <f t="shared" si="38"/>
        <v>1021897</v>
      </c>
    </row>
    <row r="1086" spans="1:9" ht="15.75" customHeight="1" x14ac:dyDescent="0.25">
      <c r="A1086" s="4" t="s">
        <v>1456</v>
      </c>
      <c r="B1086" s="8">
        <v>1081</v>
      </c>
      <c r="C1086" s="8" t="s">
        <v>533</v>
      </c>
      <c r="D1086" s="8" t="s">
        <v>10</v>
      </c>
      <c r="E1086" s="8">
        <v>1</v>
      </c>
      <c r="F1086" s="8" t="s">
        <v>258</v>
      </c>
      <c r="G1086" s="85">
        <f>+'[3]Dự thầu'!$G486</f>
        <v>1755842</v>
      </c>
      <c r="H1086" s="86">
        <f t="shared" si="38"/>
        <v>1755842</v>
      </c>
    </row>
    <row r="1087" spans="1:9" ht="15.75" customHeight="1" x14ac:dyDescent="0.25">
      <c r="A1087" s="4" t="s">
        <v>1457</v>
      </c>
      <c r="B1087" s="8">
        <v>1082</v>
      </c>
      <c r="C1087" s="8" t="s">
        <v>535</v>
      </c>
      <c r="D1087" s="8" t="s">
        <v>10</v>
      </c>
      <c r="E1087" s="8">
        <v>1</v>
      </c>
      <c r="F1087" s="8" t="s">
        <v>258</v>
      </c>
      <c r="G1087" s="85">
        <f>+'[3]Dự thầu'!$G487</f>
        <v>804708</v>
      </c>
      <c r="H1087" s="86">
        <f t="shared" si="38"/>
        <v>804708</v>
      </c>
    </row>
    <row r="1088" spans="1:9" ht="15.75" customHeight="1" x14ac:dyDescent="0.25">
      <c r="A1088" s="4" t="s">
        <v>1458</v>
      </c>
      <c r="B1088" s="8">
        <v>1083</v>
      </c>
      <c r="C1088" s="8" t="s">
        <v>537</v>
      </c>
      <c r="D1088" s="8" t="s">
        <v>10</v>
      </c>
      <c r="E1088" s="8">
        <v>39.799999999999997</v>
      </c>
      <c r="F1088" s="8" t="s">
        <v>75</v>
      </c>
      <c r="G1088" s="85">
        <f>+'[3]Dự thầu'!$G488</f>
        <v>171892</v>
      </c>
      <c r="H1088" s="86">
        <f t="shared" si="38"/>
        <v>6841302</v>
      </c>
    </row>
    <row r="1089" spans="1:9" ht="15.75" customHeight="1" x14ac:dyDescent="0.25">
      <c r="A1089" s="4" t="s">
        <v>1459</v>
      </c>
      <c r="B1089" s="8">
        <v>1084</v>
      </c>
      <c r="C1089" s="8" t="s">
        <v>1159</v>
      </c>
      <c r="D1089" s="8" t="s">
        <v>10</v>
      </c>
      <c r="E1089" s="8">
        <v>1.94</v>
      </c>
      <c r="F1089" s="8" t="s">
        <v>1160</v>
      </c>
      <c r="G1089" s="85">
        <f>+'[3]Dự thầu'!$G489</f>
        <v>9382399</v>
      </c>
      <c r="H1089" s="86">
        <f t="shared" si="38"/>
        <v>18201854</v>
      </c>
    </row>
    <row r="1090" spans="1:9" ht="15.75" customHeight="1" x14ac:dyDescent="0.25">
      <c r="A1090" s="4" t="s">
        <v>1460</v>
      </c>
      <c r="B1090" s="8">
        <v>1085</v>
      </c>
      <c r="C1090" s="8" t="s">
        <v>1162</v>
      </c>
      <c r="D1090" s="8" t="s">
        <v>10</v>
      </c>
      <c r="E1090" s="8">
        <v>194</v>
      </c>
      <c r="F1090" s="8" t="s">
        <v>75</v>
      </c>
      <c r="G1090" s="85">
        <f>+'[3]Dự thầu'!$G490</f>
        <v>856508</v>
      </c>
      <c r="H1090" s="86">
        <f t="shared" si="38"/>
        <v>166162552</v>
      </c>
    </row>
    <row r="1091" spans="1:9" ht="15.75" customHeight="1" x14ac:dyDescent="0.25">
      <c r="A1091" s="4" t="s">
        <v>1461</v>
      </c>
      <c r="B1091" s="8">
        <v>1086</v>
      </c>
      <c r="C1091" s="8" t="s">
        <v>541</v>
      </c>
      <c r="D1091" s="8" t="s">
        <v>10</v>
      </c>
      <c r="E1091" s="8">
        <v>1</v>
      </c>
      <c r="F1091" s="8" t="s">
        <v>258</v>
      </c>
      <c r="G1091" s="85">
        <f>+'[3]Dự thầu'!$G491</f>
        <v>308087</v>
      </c>
      <c r="H1091" s="86">
        <f t="shared" si="38"/>
        <v>308087</v>
      </c>
    </row>
    <row r="1092" spans="1:9" ht="15.75" customHeight="1" x14ac:dyDescent="0.25">
      <c r="A1092" s="4" t="s">
        <v>1462</v>
      </c>
      <c r="B1092" s="8">
        <v>1087</v>
      </c>
      <c r="C1092" s="8" t="s">
        <v>1463</v>
      </c>
      <c r="D1092" s="8" t="s">
        <v>10</v>
      </c>
      <c r="E1092" s="8">
        <v>1</v>
      </c>
      <c r="F1092" s="8" t="s">
        <v>515</v>
      </c>
      <c r="G1092" s="85">
        <f>+'[3]Dự thầu'!$G492</f>
        <v>40152</v>
      </c>
      <c r="H1092" s="86">
        <f t="shared" si="38"/>
        <v>40152</v>
      </c>
    </row>
    <row r="1093" spans="1:9" ht="15.75" customHeight="1" x14ac:dyDescent="0.25">
      <c r="A1093" s="4" t="s">
        <v>1464</v>
      </c>
      <c r="B1093" s="8">
        <v>1088</v>
      </c>
      <c r="C1093" s="8" t="s">
        <v>545</v>
      </c>
      <c r="D1093" s="8" t="s">
        <v>10</v>
      </c>
      <c r="E1093" s="8">
        <v>54</v>
      </c>
      <c r="F1093" s="8" t="s">
        <v>258</v>
      </c>
      <c r="G1093" s="85">
        <f>+'[3]Dự thầu'!$G493</f>
        <v>50931</v>
      </c>
      <c r="H1093" s="86">
        <f t="shared" si="38"/>
        <v>2750274</v>
      </c>
    </row>
    <row r="1094" spans="1:9" ht="15.75" customHeight="1" x14ac:dyDescent="0.25">
      <c r="A1094" s="4">
        <v>19</v>
      </c>
      <c r="B1094" s="8">
        <v>1089</v>
      </c>
      <c r="C1094" s="8" t="s">
        <v>1465</v>
      </c>
      <c r="D1094" s="8" t="s">
        <v>10</v>
      </c>
      <c r="E1094" s="8"/>
      <c r="F1094" s="8"/>
      <c r="G1094" s="85"/>
      <c r="I1094" s="86"/>
    </row>
    <row r="1095" spans="1:9" ht="15.75" customHeight="1" x14ac:dyDescent="0.25">
      <c r="A1095" s="4" t="s">
        <v>1466</v>
      </c>
      <c r="B1095" s="8">
        <v>1090</v>
      </c>
      <c r="C1095" s="8" t="s">
        <v>1467</v>
      </c>
      <c r="D1095" s="8" t="s">
        <v>10</v>
      </c>
      <c r="E1095" s="8">
        <v>12.1738</v>
      </c>
      <c r="F1095" s="8" t="s">
        <v>90</v>
      </c>
      <c r="G1095" s="85">
        <f>+'[3]Dự thầu'!$G531</f>
        <v>61004533</v>
      </c>
      <c r="H1095" s="86">
        <f t="shared" ref="H1095:H1158" si="39">+ROUND(G1095*E1095,0)</f>
        <v>742656984</v>
      </c>
    </row>
    <row r="1096" spans="1:9" ht="15.75" customHeight="1" x14ac:dyDescent="0.25">
      <c r="A1096" s="4" t="s">
        <v>1468</v>
      </c>
      <c r="B1096" s="8">
        <v>1091</v>
      </c>
      <c r="C1096" s="8" t="s">
        <v>1469</v>
      </c>
      <c r="D1096" s="8" t="s">
        <v>10</v>
      </c>
      <c r="E1096" s="8">
        <v>38.422400000000003</v>
      </c>
      <c r="F1096" s="8" t="s">
        <v>90</v>
      </c>
      <c r="G1096" s="85">
        <f>+'[3]Dự thầu'!$G532</f>
        <v>24716117</v>
      </c>
      <c r="H1096" s="86">
        <f t="shared" si="39"/>
        <v>949652534</v>
      </c>
    </row>
    <row r="1097" spans="1:9" ht="15.75" customHeight="1" x14ac:dyDescent="0.25">
      <c r="A1097" s="4" t="s">
        <v>1470</v>
      </c>
      <c r="B1097" s="8">
        <v>1092</v>
      </c>
      <c r="C1097" s="8" t="s">
        <v>1471</v>
      </c>
      <c r="D1097" s="8" t="s">
        <v>10</v>
      </c>
      <c r="E1097" s="8">
        <v>1.8906000000000001</v>
      </c>
      <c r="F1097" s="8" t="s">
        <v>90</v>
      </c>
      <c r="G1097" s="85">
        <f>+'[3]Dự thầu'!$G533</f>
        <v>23857393</v>
      </c>
      <c r="H1097" s="86">
        <f t="shared" si="39"/>
        <v>45104787</v>
      </c>
    </row>
    <row r="1098" spans="1:9" ht="15.75" customHeight="1" x14ac:dyDescent="0.25">
      <c r="A1098" s="4" t="s">
        <v>1472</v>
      </c>
      <c r="B1098" s="8">
        <v>1093</v>
      </c>
      <c r="C1098" s="8" t="s">
        <v>1473</v>
      </c>
      <c r="D1098" s="8" t="s">
        <v>10</v>
      </c>
      <c r="E1098" s="8">
        <v>280.43680000000001</v>
      </c>
      <c r="F1098" s="8" t="s">
        <v>16</v>
      </c>
      <c r="G1098" s="85">
        <f>+'[3]Dự thầu'!$G534</f>
        <v>2500986</v>
      </c>
      <c r="H1098" s="86">
        <f t="shared" si="39"/>
        <v>701368511</v>
      </c>
    </row>
    <row r="1099" spans="1:9" ht="15.75" customHeight="1" x14ac:dyDescent="0.25">
      <c r="A1099" s="4" t="s">
        <v>1474</v>
      </c>
      <c r="B1099" s="8">
        <v>1094</v>
      </c>
      <c r="C1099" s="8" t="s">
        <v>1475</v>
      </c>
      <c r="D1099" s="8" t="s">
        <v>10</v>
      </c>
      <c r="E1099" s="8">
        <v>1436.4</v>
      </c>
      <c r="F1099" s="8" t="s">
        <v>13</v>
      </c>
      <c r="G1099" s="85">
        <f>+'[3]Dự thầu'!$G535</f>
        <v>276887</v>
      </c>
      <c r="H1099" s="86">
        <f t="shared" si="39"/>
        <v>397720487</v>
      </c>
    </row>
    <row r="1100" spans="1:9" ht="15.75" customHeight="1" x14ac:dyDescent="0.25">
      <c r="A1100" s="4" t="s">
        <v>1476</v>
      </c>
      <c r="B1100" s="8">
        <v>1095</v>
      </c>
      <c r="C1100" s="8" t="s">
        <v>1477</v>
      </c>
      <c r="D1100" s="8" t="s">
        <v>10</v>
      </c>
      <c r="E1100" s="8">
        <v>284.64339999999999</v>
      </c>
      <c r="F1100" s="8" t="s">
        <v>16</v>
      </c>
      <c r="G1100" s="85">
        <f>+'[3]Dự thầu'!$G536</f>
        <v>57102</v>
      </c>
      <c r="H1100" s="86">
        <f t="shared" si="39"/>
        <v>16253707</v>
      </c>
    </row>
    <row r="1101" spans="1:9" ht="15.75" customHeight="1" x14ac:dyDescent="0.25">
      <c r="A1101" s="4" t="s">
        <v>1478</v>
      </c>
      <c r="B1101" s="8">
        <v>1096</v>
      </c>
      <c r="C1101" s="8" t="s">
        <v>562</v>
      </c>
      <c r="D1101" s="8" t="s">
        <v>10</v>
      </c>
      <c r="E1101" s="8">
        <v>284.64339999999999</v>
      </c>
      <c r="F1101" s="8" t="s">
        <v>16</v>
      </c>
      <c r="G1101" s="85">
        <f>+'[3]Dự thầu'!$G$537+'[3]Dự thầu'!$G$538</f>
        <v>285443</v>
      </c>
      <c r="H1101" s="86">
        <f t="shared" si="39"/>
        <v>81249466</v>
      </c>
    </row>
    <row r="1102" spans="1:9" ht="15.75" customHeight="1" x14ac:dyDescent="0.25">
      <c r="A1102" s="4" t="s">
        <v>1479</v>
      </c>
      <c r="B1102" s="8">
        <v>1097</v>
      </c>
      <c r="C1102" s="8" t="s">
        <v>1480</v>
      </c>
      <c r="D1102" s="8" t="s">
        <v>10</v>
      </c>
      <c r="E1102" s="8">
        <v>1964.0262</v>
      </c>
      <c r="F1102" s="8" t="s">
        <v>75</v>
      </c>
      <c r="G1102" s="85">
        <f>+'[3]Dự thầu'!$G539</f>
        <v>193720</v>
      </c>
      <c r="H1102" s="86">
        <f t="shared" si="39"/>
        <v>380471155</v>
      </c>
    </row>
    <row r="1103" spans="1:9" ht="15.75" customHeight="1" x14ac:dyDescent="0.25">
      <c r="A1103" s="4" t="s">
        <v>1481</v>
      </c>
      <c r="B1103" s="8">
        <v>1098</v>
      </c>
      <c r="C1103" s="8" t="s">
        <v>1482</v>
      </c>
      <c r="D1103" s="8" t="s">
        <v>10</v>
      </c>
      <c r="E1103" s="8">
        <v>4.1962000000000002</v>
      </c>
      <c r="F1103" s="8" t="s">
        <v>16</v>
      </c>
      <c r="G1103" s="85">
        <f>+'[3]Dự thầu'!$G540</f>
        <v>17104447</v>
      </c>
      <c r="H1103" s="86">
        <f t="shared" si="39"/>
        <v>71773681</v>
      </c>
    </row>
    <row r="1104" spans="1:9" ht="15.75" customHeight="1" x14ac:dyDescent="0.25">
      <c r="A1104" s="4" t="s">
        <v>1483</v>
      </c>
      <c r="B1104" s="8">
        <v>1099</v>
      </c>
      <c r="C1104" s="8" t="s">
        <v>1484</v>
      </c>
      <c r="D1104" s="8" t="s">
        <v>10</v>
      </c>
      <c r="E1104" s="8">
        <v>224</v>
      </c>
      <c r="F1104" s="8" t="s">
        <v>1485</v>
      </c>
      <c r="G1104" s="85">
        <f>+'[3]Dự thầu'!$G541</f>
        <v>746213</v>
      </c>
      <c r="H1104" s="86">
        <f t="shared" si="39"/>
        <v>167151712</v>
      </c>
    </row>
    <row r="1105" spans="1:8" ht="15.75" customHeight="1" x14ac:dyDescent="0.25">
      <c r="A1105" s="4" t="s">
        <v>1486</v>
      </c>
      <c r="B1105" s="8">
        <v>1100</v>
      </c>
      <c r="C1105" s="8" t="s">
        <v>1487</v>
      </c>
      <c r="D1105" s="8" t="s">
        <v>10</v>
      </c>
      <c r="E1105" s="8">
        <v>1.7584</v>
      </c>
      <c r="F1105" s="8" t="s">
        <v>90</v>
      </c>
      <c r="G1105" s="85">
        <f>+'[3]Dự thầu'!$G542</f>
        <v>31912360</v>
      </c>
      <c r="H1105" s="86">
        <f t="shared" si="39"/>
        <v>56114694</v>
      </c>
    </row>
    <row r="1106" spans="1:8" ht="15.75" customHeight="1" x14ac:dyDescent="0.25">
      <c r="A1106" s="4" t="s">
        <v>1488</v>
      </c>
      <c r="B1106" s="8">
        <v>1101</v>
      </c>
      <c r="C1106" s="8" t="s">
        <v>1489</v>
      </c>
      <c r="D1106" s="8" t="s">
        <v>10</v>
      </c>
      <c r="E1106" s="8">
        <v>1.7584</v>
      </c>
      <c r="F1106" s="8" t="s">
        <v>90</v>
      </c>
      <c r="G1106" s="85">
        <f>+'[3]Dự thầu'!$G543</f>
        <v>5329201</v>
      </c>
      <c r="H1106" s="86">
        <f t="shared" si="39"/>
        <v>9370867</v>
      </c>
    </row>
    <row r="1107" spans="1:8" ht="15.75" customHeight="1" x14ac:dyDescent="0.25">
      <c r="A1107" s="4" t="s">
        <v>1490</v>
      </c>
      <c r="B1107" s="8">
        <v>1102</v>
      </c>
      <c r="C1107" s="8" t="s">
        <v>1467</v>
      </c>
      <c r="D1107" s="8" t="s">
        <v>10</v>
      </c>
      <c r="E1107" s="8">
        <v>22.616299999999999</v>
      </c>
      <c r="F1107" s="8" t="s">
        <v>90</v>
      </c>
      <c r="G1107" s="85">
        <f>+'[3]Dự thầu'!$G544</f>
        <v>61004533</v>
      </c>
      <c r="H1107" s="86">
        <f t="shared" si="39"/>
        <v>1379696820</v>
      </c>
    </row>
    <row r="1108" spans="1:8" ht="15.75" customHeight="1" x14ac:dyDescent="0.25">
      <c r="A1108" s="4" t="s">
        <v>1491</v>
      </c>
      <c r="B1108" s="8">
        <v>1103</v>
      </c>
      <c r="C1108" s="8" t="s">
        <v>1469</v>
      </c>
      <c r="D1108" s="8" t="s">
        <v>10</v>
      </c>
      <c r="E1108" s="8">
        <v>52.357999999999997</v>
      </c>
      <c r="F1108" s="8" t="s">
        <v>90</v>
      </c>
      <c r="G1108" s="85">
        <f>+'[3]Dự thầu'!$G545</f>
        <v>24716117</v>
      </c>
      <c r="H1108" s="86">
        <f t="shared" si="39"/>
        <v>1294086454</v>
      </c>
    </row>
    <row r="1109" spans="1:8" ht="15.75" customHeight="1" x14ac:dyDescent="0.25">
      <c r="A1109" s="4" t="s">
        <v>1492</v>
      </c>
      <c r="B1109" s="8">
        <v>1104</v>
      </c>
      <c r="C1109" s="8" t="s">
        <v>1471</v>
      </c>
      <c r="D1109" s="8" t="s">
        <v>10</v>
      </c>
      <c r="E1109" s="8">
        <v>1.2211000000000001</v>
      </c>
      <c r="F1109" s="8" t="s">
        <v>90</v>
      </c>
      <c r="G1109" s="85">
        <f>+'[3]Dự thầu'!$G546</f>
        <v>23857393</v>
      </c>
      <c r="H1109" s="86">
        <f t="shared" si="39"/>
        <v>29132263</v>
      </c>
    </row>
    <row r="1110" spans="1:8" ht="15.75" customHeight="1" x14ac:dyDescent="0.25">
      <c r="A1110" s="4" t="s">
        <v>1493</v>
      </c>
      <c r="B1110" s="8">
        <v>1105</v>
      </c>
      <c r="C1110" s="8" t="s">
        <v>1473</v>
      </c>
      <c r="D1110" s="8" t="s">
        <v>10</v>
      </c>
      <c r="E1110" s="8">
        <v>345.8</v>
      </c>
      <c r="F1110" s="8" t="s">
        <v>16</v>
      </c>
      <c r="G1110" s="85">
        <f>+'[3]Dự thầu'!$G547</f>
        <v>2500986</v>
      </c>
      <c r="H1110" s="86">
        <f t="shared" si="39"/>
        <v>864840959</v>
      </c>
    </row>
    <row r="1111" spans="1:8" ht="15.75" customHeight="1" x14ac:dyDescent="0.25">
      <c r="A1111" s="4" t="s">
        <v>1494</v>
      </c>
      <c r="B1111" s="8">
        <v>1106</v>
      </c>
      <c r="C1111" s="8" t="s">
        <v>1475</v>
      </c>
      <c r="D1111" s="8" t="s">
        <v>10</v>
      </c>
      <c r="E1111" s="8">
        <v>1888.6438000000001</v>
      </c>
      <c r="F1111" s="8" t="s">
        <v>13</v>
      </c>
      <c r="G1111" s="85">
        <f>+'[3]Dự thầu'!$G548</f>
        <v>276887</v>
      </c>
      <c r="H1111" s="86">
        <f t="shared" si="39"/>
        <v>522940916</v>
      </c>
    </row>
    <row r="1112" spans="1:8" ht="15.75" customHeight="1" x14ac:dyDescent="0.25">
      <c r="A1112" s="4" t="s">
        <v>1495</v>
      </c>
      <c r="B1112" s="8">
        <v>1107</v>
      </c>
      <c r="C1112" s="8" t="s">
        <v>1477</v>
      </c>
      <c r="D1112" s="8" t="s">
        <v>10</v>
      </c>
      <c r="E1112" s="8">
        <v>350.98700000000002</v>
      </c>
      <c r="F1112" s="8" t="s">
        <v>16</v>
      </c>
      <c r="G1112" s="85">
        <f>+'[3]Dự thầu'!$G549</f>
        <v>57102</v>
      </c>
      <c r="H1112" s="86">
        <f t="shared" si="39"/>
        <v>20042060</v>
      </c>
    </row>
    <row r="1113" spans="1:8" ht="15.75" customHeight="1" x14ac:dyDescent="0.25">
      <c r="A1113" s="4" t="s">
        <v>1496</v>
      </c>
      <c r="B1113" s="8">
        <v>1108</v>
      </c>
      <c r="C1113" s="8" t="s">
        <v>562</v>
      </c>
      <c r="D1113" s="8" t="s">
        <v>10</v>
      </c>
      <c r="E1113" s="8">
        <v>350.99</v>
      </c>
      <c r="F1113" s="8" t="s">
        <v>16</v>
      </c>
      <c r="G1113" s="85">
        <f>+'[3]Dự thầu'!$G$550+'[3]Dự thầu'!$G$551</f>
        <v>285443</v>
      </c>
      <c r="H1113" s="86">
        <f t="shared" si="39"/>
        <v>100187639</v>
      </c>
    </row>
    <row r="1114" spans="1:8" ht="15.75" customHeight="1" x14ac:dyDescent="0.25">
      <c r="A1114" s="4" t="s">
        <v>1497</v>
      </c>
      <c r="B1114" s="8">
        <v>1109</v>
      </c>
      <c r="C1114" s="8" t="s">
        <v>1498</v>
      </c>
      <c r="D1114" s="8" t="s">
        <v>10</v>
      </c>
      <c r="E1114" s="8">
        <v>2291.8560000000002</v>
      </c>
      <c r="F1114" s="8" t="s">
        <v>75</v>
      </c>
      <c r="G1114" s="85">
        <f>+'[3]Dự thầu'!$G552</f>
        <v>193720</v>
      </c>
      <c r="H1114" s="86">
        <f t="shared" si="39"/>
        <v>443978344</v>
      </c>
    </row>
    <row r="1115" spans="1:8" ht="15.75" customHeight="1" x14ac:dyDescent="0.25">
      <c r="A1115" s="4" t="s">
        <v>1499</v>
      </c>
      <c r="B1115" s="8">
        <v>1110</v>
      </c>
      <c r="C1115" s="8" t="s">
        <v>1482</v>
      </c>
      <c r="D1115" s="8" t="s">
        <v>10</v>
      </c>
      <c r="E1115" s="8">
        <v>10.122</v>
      </c>
      <c r="F1115" s="8" t="s">
        <v>16</v>
      </c>
      <c r="G1115" s="85">
        <f>+'[3]Dự thầu'!$G553</f>
        <v>17104447</v>
      </c>
      <c r="H1115" s="86">
        <f t="shared" si="39"/>
        <v>173131213</v>
      </c>
    </row>
    <row r="1116" spans="1:8" ht="15.75" customHeight="1" x14ac:dyDescent="0.25">
      <c r="A1116" s="4" t="s">
        <v>1500</v>
      </c>
      <c r="B1116" s="8">
        <v>1111</v>
      </c>
      <c r="C1116" s="8" t="s">
        <v>1501</v>
      </c>
      <c r="D1116" s="8" t="s">
        <v>10</v>
      </c>
      <c r="E1116" s="8">
        <v>140</v>
      </c>
      <c r="F1116" s="8" t="s">
        <v>1485</v>
      </c>
      <c r="G1116" s="85">
        <f>+'[3]Dự thầu'!$G554</f>
        <v>1265707</v>
      </c>
      <c r="H1116" s="86">
        <f t="shared" si="39"/>
        <v>177198980</v>
      </c>
    </row>
    <row r="1117" spans="1:8" ht="15.75" customHeight="1" x14ac:dyDescent="0.25">
      <c r="A1117" s="4" t="s">
        <v>1502</v>
      </c>
      <c r="B1117" s="8">
        <v>1112</v>
      </c>
      <c r="C1117" s="8" t="s">
        <v>1487</v>
      </c>
      <c r="D1117" s="8" t="s">
        <v>10</v>
      </c>
      <c r="E1117" s="8">
        <v>1.8133999999999999</v>
      </c>
      <c r="F1117" s="8" t="s">
        <v>90</v>
      </c>
      <c r="G1117" s="85">
        <f>+'[3]Dự thầu'!$G555</f>
        <v>31912360</v>
      </c>
      <c r="H1117" s="86">
        <f t="shared" si="39"/>
        <v>57869874</v>
      </c>
    </row>
    <row r="1118" spans="1:8" ht="15.75" customHeight="1" x14ac:dyDescent="0.25">
      <c r="A1118" s="4" t="s">
        <v>1503</v>
      </c>
      <c r="B1118" s="8">
        <v>1113</v>
      </c>
      <c r="C1118" s="8" t="s">
        <v>1489</v>
      </c>
      <c r="D1118" s="8" t="s">
        <v>10</v>
      </c>
      <c r="E1118" s="8">
        <v>1.8133999999999999</v>
      </c>
      <c r="F1118" s="8" t="s">
        <v>90</v>
      </c>
      <c r="G1118" s="85">
        <f>+'[3]Dự thầu'!$G556</f>
        <v>5329201</v>
      </c>
      <c r="H1118" s="86">
        <f t="shared" si="39"/>
        <v>9663973</v>
      </c>
    </row>
    <row r="1119" spans="1:8" ht="15.75" customHeight="1" x14ac:dyDescent="0.25">
      <c r="A1119" s="4" t="s">
        <v>1504</v>
      </c>
      <c r="B1119" s="8">
        <v>1114</v>
      </c>
      <c r="C1119" s="8" t="s">
        <v>1505</v>
      </c>
      <c r="D1119" s="8" t="s">
        <v>10</v>
      </c>
      <c r="E1119" s="8">
        <v>71.193600000000004</v>
      </c>
      <c r="F1119" s="8" t="s">
        <v>16</v>
      </c>
      <c r="G1119" s="85">
        <f>+'[3]Dự thầu'!$G557</f>
        <v>2021360</v>
      </c>
      <c r="H1119" s="86">
        <f t="shared" si="39"/>
        <v>143907895</v>
      </c>
    </row>
    <row r="1120" spans="1:8" ht="15.75" customHeight="1" x14ac:dyDescent="0.25">
      <c r="A1120" s="4" t="s">
        <v>1506</v>
      </c>
      <c r="B1120" s="8">
        <v>1115</v>
      </c>
      <c r="C1120" s="8" t="s">
        <v>1477</v>
      </c>
      <c r="D1120" s="8" t="s">
        <v>10</v>
      </c>
      <c r="E1120" s="8">
        <v>72.261499999999998</v>
      </c>
      <c r="F1120" s="8" t="s">
        <v>16</v>
      </c>
      <c r="G1120" s="85">
        <f>+'[3]Dự thầu'!$G558</f>
        <v>57102</v>
      </c>
      <c r="H1120" s="86">
        <f t="shared" si="39"/>
        <v>4126276</v>
      </c>
    </row>
    <row r="1121" spans="1:8" ht="15.75" customHeight="1" x14ac:dyDescent="0.25">
      <c r="A1121" s="4" t="s">
        <v>1507</v>
      </c>
      <c r="B1121" s="8">
        <v>1116</v>
      </c>
      <c r="C1121" s="8" t="s">
        <v>562</v>
      </c>
      <c r="D1121" s="8" t="s">
        <v>10</v>
      </c>
      <c r="E1121" s="8">
        <v>72.261499999999998</v>
      </c>
      <c r="F1121" s="8" t="s">
        <v>16</v>
      </c>
      <c r="G1121" s="85">
        <f>+'[3]Dự thầu'!$G559+'[3]Dự thầu'!$G$560</f>
        <v>285443</v>
      </c>
      <c r="H1121" s="86">
        <f t="shared" si="39"/>
        <v>20626539</v>
      </c>
    </row>
    <row r="1122" spans="1:8" ht="15.75" customHeight="1" x14ac:dyDescent="0.25">
      <c r="A1122" s="4" t="s">
        <v>1508</v>
      </c>
      <c r="B1122" s="8">
        <v>1117</v>
      </c>
      <c r="C1122" s="8" t="s">
        <v>1509</v>
      </c>
      <c r="D1122" s="8" t="s">
        <v>10</v>
      </c>
      <c r="E1122" s="8">
        <v>96.896000000000001</v>
      </c>
      <c r="F1122" s="8" t="s">
        <v>13</v>
      </c>
      <c r="G1122" s="85">
        <f>+'[3]Dự thầu'!$G561</f>
        <v>65242</v>
      </c>
      <c r="H1122" s="86">
        <f t="shared" si="39"/>
        <v>6321689</v>
      </c>
    </row>
    <row r="1123" spans="1:8" ht="15.75" customHeight="1" x14ac:dyDescent="0.25">
      <c r="A1123" s="4" t="s">
        <v>1510</v>
      </c>
      <c r="B1123" s="8">
        <v>1118</v>
      </c>
      <c r="C1123" s="8" t="s">
        <v>1511</v>
      </c>
      <c r="D1123" s="8" t="s">
        <v>10</v>
      </c>
      <c r="E1123" s="8">
        <v>9.2763000000000009</v>
      </c>
      <c r="F1123" s="8" t="s">
        <v>90</v>
      </c>
      <c r="G1123" s="85">
        <f>+'[3]Dự thầu'!$G562</f>
        <v>25285548</v>
      </c>
      <c r="H1123" s="86">
        <f t="shared" si="39"/>
        <v>234556329</v>
      </c>
    </row>
    <row r="1124" spans="1:8" ht="15.75" customHeight="1" x14ac:dyDescent="0.25">
      <c r="A1124" s="4" t="s">
        <v>1512</v>
      </c>
      <c r="B1124" s="8">
        <v>1119</v>
      </c>
      <c r="C1124" s="8" t="s">
        <v>1513</v>
      </c>
      <c r="D1124" s="8" t="s">
        <v>10</v>
      </c>
      <c r="E1124" s="8">
        <v>3.1655000000000002</v>
      </c>
      <c r="F1124" s="8" t="s">
        <v>90</v>
      </c>
      <c r="G1124" s="85">
        <f>+'[3]Dự thầu'!$G563</f>
        <v>25011283</v>
      </c>
      <c r="H1124" s="86">
        <f t="shared" si="39"/>
        <v>79173216</v>
      </c>
    </row>
    <row r="1125" spans="1:8" ht="15.75" customHeight="1" x14ac:dyDescent="0.25">
      <c r="A1125" s="4" t="s">
        <v>1514</v>
      </c>
      <c r="B1125" s="8">
        <v>1120</v>
      </c>
      <c r="C1125" s="8" t="s">
        <v>1515</v>
      </c>
      <c r="D1125" s="8" t="s">
        <v>10</v>
      </c>
      <c r="E1125" s="8">
        <v>97.241900000000001</v>
      </c>
      <c r="F1125" s="8" t="s">
        <v>16</v>
      </c>
      <c r="G1125" s="85">
        <f>+'[3]Dự thầu'!$G564</f>
        <v>1719728</v>
      </c>
      <c r="H1125" s="86">
        <f t="shared" si="39"/>
        <v>167229618</v>
      </c>
    </row>
    <row r="1126" spans="1:8" ht="15.75" customHeight="1" x14ac:dyDescent="0.25">
      <c r="A1126" s="4" t="s">
        <v>1516</v>
      </c>
      <c r="B1126" s="8">
        <v>1121</v>
      </c>
      <c r="C1126" s="8" t="s">
        <v>1517</v>
      </c>
      <c r="D1126" s="8" t="s">
        <v>10</v>
      </c>
      <c r="E1126" s="8">
        <v>15.8626</v>
      </c>
      <c r="F1126" s="8" t="s">
        <v>90</v>
      </c>
      <c r="G1126" s="85">
        <f>+'[3]Dự thầu'!$G565</f>
        <v>27101433</v>
      </c>
      <c r="H1126" s="86">
        <f t="shared" si="39"/>
        <v>429899191</v>
      </c>
    </row>
    <row r="1127" spans="1:8" ht="15.75" customHeight="1" x14ac:dyDescent="0.25">
      <c r="A1127" s="4" t="s">
        <v>1518</v>
      </c>
      <c r="B1127" s="8">
        <v>1122</v>
      </c>
      <c r="C1127" s="8" t="s">
        <v>1519</v>
      </c>
      <c r="D1127" s="8" t="s">
        <v>10</v>
      </c>
      <c r="E1127" s="8">
        <v>519.3048</v>
      </c>
      <c r="F1127" s="8" t="s">
        <v>13</v>
      </c>
      <c r="G1127" s="85">
        <f>+'[3]Dự thầu'!$G566</f>
        <v>86606</v>
      </c>
      <c r="H1127" s="86">
        <f t="shared" si="39"/>
        <v>44974912</v>
      </c>
    </row>
    <row r="1128" spans="1:8" ht="15.75" customHeight="1" x14ac:dyDescent="0.25">
      <c r="A1128" s="4" t="s">
        <v>1520</v>
      </c>
      <c r="B1128" s="8">
        <v>1123</v>
      </c>
      <c r="C1128" s="8" t="s">
        <v>1521</v>
      </c>
      <c r="D1128" s="8" t="s">
        <v>10</v>
      </c>
      <c r="E1128" s="8">
        <v>1584</v>
      </c>
      <c r="F1128" s="8" t="s">
        <v>297</v>
      </c>
      <c r="G1128" s="85">
        <f>+'[3]Dự thầu'!$G567</f>
        <v>36395</v>
      </c>
      <c r="H1128" s="86">
        <f t="shared" si="39"/>
        <v>57649680</v>
      </c>
    </row>
    <row r="1129" spans="1:8" ht="15.75" customHeight="1" x14ac:dyDescent="0.25">
      <c r="A1129" s="4" t="s">
        <v>1522</v>
      </c>
      <c r="B1129" s="8">
        <v>1124</v>
      </c>
      <c r="C1129" s="8" t="s">
        <v>249</v>
      </c>
      <c r="D1129" s="8" t="s">
        <v>10</v>
      </c>
      <c r="E1129" s="8">
        <v>1584</v>
      </c>
      <c r="F1129" s="8" t="s">
        <v>250</v>
      </c>
      <c r="G1129" s="85">
        <f>+'[3]Dự thầu'!$G568</f>
        <v>52812</v>
      </c>
      <c r="H1129" s="86">
        <f t="shared" si="39"/>
        <v>83654208</v>
      </c>
    </row>
    <row r="1130" spans="1:8" ht="15.75" customHeight="1" x14ac:dyDescent="0.25">
      <c r="A1130" s="4" t="s">
        <v>1523</v>
      </c>
      <c r="B1130" s="8">
        <v>1125</v>
      </c>
      <c r="C1130" s="8" t="s">
        <v>255</v>
      </c>
      <c r="D1130" s="8" t="s">
        <v>10</v>
      </c>
      <c r="E1130" s="8">
        <v>1584</v>
      </c>
      <c r="F1130" s="8" t="s">
        <v>250</v>
      </c>
      <c r="G1130" s="85">
        <f>+'[3]Dự thầu'!$G569</f>
        <v>42761</v>
      </c>
      <c r="H1130" s="86">
        <f t="shared" si="39"/>
        <v>67733424</v>
      </c>
    </row>
    <row r="1131" spans="1:8" ht="15.75" customHeight="1" x14ac:dyDescent="0.25">
      <c r="A1131" s="4" t="s">
        <v>1524</v>
      </c>
      <c r="B1131" s="8">
        <v>1126</v>
      </c>
      <c r="C1131" s="8" t="s">
        <v>284</v>
      </c>
      <c r="D1131" s="8" t="s">
        <v>10</v>
      </c>
      <c r="E1131" s="8">
        <v>24.310500000000001</v>
      </c>
      <c r="F1131" s="8" t="s">
        <v>253</v>
      </c>
      <c r="G1131" s="85">
        <f>+'[3]Dự thầu'!$G570</f>
        <v>36271</v>
      </c>
      <c r="H1131" s="86">
        <f t="shared" si="39"/>
        <v>881766</v>
      </c>
    </row>
    <row r="1132" spans="1:8" ht="15.75" customHeight="1" x14ac:dyDescent="0.25">
      <c r="A1132" s="4" t="s">
        <v>1525</v>
      </c>
      <c r="B1132" s="8">
        <v>1127</v>
      </c>
      <c r="C1132" s="8" t="s">
        <v>1526</v>
      </c>
      <c r="D1132" s="8" t="s">
        <v>10</v>
      </c>
      <c r="E1132" s="8">
        <v>438.16590000000002</v>
      </c>
      <c r="F1132" s="8" t="s">
        <v>16</v>
      </c>
      <c r="G1132" s="85">
        <f>+'[3]Dự thầu'!$G571</f>
        <v>1785388</v>
      </c>
      <c r="H1132" s="86">
        <f t="shared" si="39"/>
        <v>782296140</v>
      </c>
    </row>
    <row r="1133" spans="1:8" ht="15.75" customHeight="1" x14ac:dyDescent="0.25">
      <c r="A1133" s="4" t="s">
        <v>1527</v>
      </c>
      <c r="B1133" s="8">
        <v>1128</v>
      </c>
      <c r="C1133" s="8" t="s">
        <v>1477</v>
      </c>
      <c r="D1133" s="8" t="s">
        <v>10</v>
      </c>
      <c r="E1133" s="8">
        <v>444.73840000000001</v>
      </c>
      <c r="F1133" s="8" t="s">
        <v>16</v>
      </c>
      <c r="G1133" s="85">
        <f>+'[3]Dự thầu'!$G572</f>
        <v>57102</v>
      </c>
      <c r="H1133" s="86">
        <f t="shared" si="39"/>
        <v>25395452</v>
      </c>
    </row>
    <row r="1134" spans="1:8" ht="15.75" customHeight="1" x14ac:dyDescent="0.25">
      <c r="A1134" s="4" t="s">
        <v>1528</v>
      </c>
      <c r="B1134" s="8">
        <v>1129</v>
      </c>
      <c r="C1134" s="8" t="s">
        <v>562</v>
      </c>
      <c r="D1134" s="8" t="s">
        <v>10</v>
      </c>
      <c r="E1134" s="8">
        <v>444.73840000000001</v>
      </c>
      <c r="F1134" s="8" t="s">
        <v>16</v>
      </c>
      <c r="G1134" s="85">
        <f>+'[3]Dự thầu'!$G$573+'[3]Dự thầu'!$G$574</f>
        <v>285443</v>
      </c>
      <c r="H1134" s="86">
        <f t="shared" si="39"/>
        <v>126947463</v>
      </c>
    </row>
    <row r="1135" spans="1:8" ht="15.75" customHeight="1" x14ac:dyDescent="0.25">
      <c r="A1135" s="4" t="s">
        <v>1529</v>
      </c>
      <c r="B1135" s="8">
        <v>1130</v>
      </c>
      <c r="C1135" s="8" t="s">
        <v>1530</v>
      </c>
      <c r="D1135" s="8" t="s">
        <v>10</v>
      </c>
      <c r="E1135" s="8">
        <v>0.97</v>
      </c>
      <c r="F1135" s="8" t="s">
        <v>90</v>
      </c>
      <c r="G1135" s="85">
        <f>+'[3]Dự thầu'!$G575</f>
        <v>25032847</v>
      </c>
      <c r="H1135" s="86">
        <f t="shared" si="39"/>
        <v>24281862</v>
      </c>
    </row>
    <row r="1136" spans="1:8" ht="15.75" customHeight="1" x14ac:dyDescent="0.25">
      <c r="A1136" s="4" t="s">
        <v>1531</v>
      </c>
      <c r="B1136" s="8">
        <v>1131</v>
      </c>
      <c r="C1136" s="8" t="s">
        <v>1532</v>
      </c>
      <c r="D1136" s="8" t="s">
        <v>10</v>
      </c>
      <c r="E1136" s="8">
        <v>92.544399999999996</v>
      </c>
      <c r="F1136" s="8" t="s">
        <v>90</v>
      </c>
      <c r="G1136" s="85">
        <f>+'[3]Dự thầu'!$G576</f>
        <v>25032847</v>
      </c>
      <c r="H1136" s="86">
        <f t="shared" si="39"/>
        <v>2316649806</v>
      </c>
    </row>
    <row r="1137" spans="1:8" ht="15.75" customHeight="1" x14ac:dyDescent="0.25">
      <c r="A1137" s="4" t="s">
        <v>1533</v>
      </c>
      <c r="B1137" s="8">
        <v>1132</v>
      </c>
      <c r="C1137" s="8" t="s">
        <v>1534</v>
      </c>
      <c r="D1137" s="8" t="s">
        <v>10</v>
      </c>
      <c r="E1137" s="8">
        <v>9.2481000000000009</v>
      </c>
      <c r="F1137" s="8" t="s">
        <v>90</v>
      </c>
      <c r="G1137" s="85">
        <f>+'[3]Dự thầu'!$G577</f>
        <v>24337233</v>
      </c>
      <c r="H1137" s="86">
        <f t="shared" si="39"/>
        <v>225073165</v>
      </c>
    </row>
    <row r="1138" spans="1:8" ht="15.75" customHeight="1" x14ac:dyDescent="0.25">
      <c r="A1138" s="4" t="s">
        <v>1535</v>
      </c>
      <c r="B1138" s="8">
        <v>1133</v>
      </c>
      <c r="C1138" s="8" t="s">
        <v>1536</v>
      </c>
      <c r="D1138" s="8" t="s">
        <v>10</v>
      </c>
      <c r="E1138" s="8">
        <v>557.02480000000003</v>
      </c>
      <c r="F1138" s="8" t="s">
        <v>13</v>
      </c>
      <c r="G1138" s="85">
        <f>+'[3]Dự thầu'!$G578</f>
        <v>65242</v>
      </c>
      <c r="H1138" s="86">
        <f t="shared" si="39"/>
        <v>36341412</v>
      </c>
    </row>
    <row r="1139" spans="1:8" ht="15.75" customHeight="1" x14ac:dyDescent="0.25">
      <c r="A1139" s="4" t="s">
        <v>1537</v>
      </c>
      <c r="B1139" s="8">
        <v>1134</v>
      </c>
      <c r="C1139" s="8" t="s">
        <v>1538</v>
      </c>
      <c r="D1139" s="8" t="s">
        <v>10</v>
      </c>
      <c r="E1139" s="8">
        <v>168</v>
      </c>
      <c r="F1139" s="8" t="s">
        <v>13</v>
      </c>
      <c r="G1139" s="85">
        <f>+'[3]Dự thầu'!$G579</f>
        <v>103984</v>
      </c>
      <c r="H1139" s="86">
        <f t="shared" si="39"/>
        <v>17469312</v>
      </c>
    </row>
    <row r="1140" spans="1:8" ht="15.75" customHeight="1" x14ac:dyDescent="0.25">
      <c r="A1140" s="4" t="s">
        <v>1539</v>
      </c>
      <c r="B1140" s="8">
        <v>1135</v>
      </c>
      <c r="C1140" s="8" t="s">
        <v>1540</v>
      </c>
      <c r="D1140" s="8" t="s">
        <v>10</v>
      </c>
      <c r="E1140" s="8">
        <v>1453.62</v>
      </c>
      <c r="F1140" s="8" t="s">
        <v>13</v>
      </c>
      <c r="G1140" s="85">
        <f>+'[3]Dự thầu'!$G580</f>
        <v>178258</v>
      </c>
      <c r="H1140" s="86">
        <f t="shared" si="39"/>
        <v>259119394</v>
      </c>
    </row>
    <row r="1141" spans="1:8" ht="15.75" customHeight="1" x14ac:dyDescent="0.25">
      <c r="A1141" s="4" t="s">
        <v>1541</v>
      </c>
      <c r="B1141" s="8">
        <v>1136</v>
      </c>
      <c r="C1141" s="8" t="s">
        <v>1542</v>
      </c>
      <c r="D1141" s="8" t="s">
        <v>10</v>
      </c>
      <c r="E1141" s="8">
        <v>1453.62</v>
      </c>
      <c r="F1141" s="8" t="s">
        <v>13</v>
      </c>
      <c r="G1141" s="85">
        <f>+'[3]Dự thầu'!$G581</f>
        <v>15319</v>
      </c>
      <c r="H1141" s="86">
        <f t="shared" si="39"/>
        <v>22268005</v>
      </c>
    </row>
    <row r="1142" spans="1:8" ht="15.75" customHeight="1" x14ac:dyDescent="0.25">
      <c r="A1142" s="4" t="s">
        <v>1543</v>
      </c>
      <c r="B1142" s="8">
        <v>1137</v>
      </c>
      <c r="C1142" s="8" t="s">
        <v>1544</v>
      </c>
      <c r="D1142" s="8" t="s">
        <v>10</v>
      </c>
      <c r="E1142" s="8">
        <v>1453.62</v>
      </c>
      <c r="F1142" s="8" t="s">
        <v>13</v>
      </c>
      <c r="G1142" s="85">
        <f>+'[3]Dự thầu'!$G582</f>
        <v>12540</v>
      </c>
      <c r="H1142" s="86">
        <f t="shared" si="39"/>
        <v>18228395</v>
      </c>
    </row>
    <row r="1143" spans="1:8" ht="15.75" customHeight="1" x14ac:dyDescent="0.25">
      <c r="A1143" s="4" t="s">
        <v>1545</v>
      </c>
      <c r="B1143" s="8">
        <v>1138</v>
      </c>
      <c r="C1143" s="8" t="s">
        <v>96</v>
      </c>
      <c r="D1143" s="8" t="s">
        <v>10</v>
      </c>
      <c r="E1143" s="8">
        <v>2.4159000000000002</v>
      </c>
      <c r="F1143" s="8" t="s">
        <v>99</v>
      </c>
      <c r="G1143" s="85">
        <f>100*1646788</f>
        <v>164678800</v>
      </c>
      <c r="H1143" s="86">
        <f t="shared" si="39"/>
        <v>397847513</v>
      </c>
    </row>
    <row r="1144" spans="1:8" ht="15.75" customHeight="1" x14ac:dyDescent="0.25">
      <c r="A1144" s="4" t="s">
        <v>1546</v>
      </c>
      <c r="B1144" s="8">
        <v>1139</v>
      </c>
      <c r="C1144" s="8" t="s">
        <v>1547</v>
      </c>
      <c r="D1144" s="8" t="s">
        <v>10</v>
      </c>
      <c r="E1144" s="8">
        <v>241.59</v>
      </c>
      <c r="F1144" s="8" t="s">
        <v>90</v>
      </c>
      <c r="G1144" s="85">
        <f>+'[3]Dự thầu'!$G$584+'[3]Dự thầu'!$G$585</f>
        <v>113841</v>
      </c>
      <c r="H1144" s="86">
        <f t="shared" si="39"/>
        <v>27502847</v>
      </c>
    </row>
    <row r="1145" spans="1:8" ht="15.75" customHeight="1" x14ac:dyDescent="0.25">
      <c r="A1145" s="4" t="s">
        <v>1548</v>
      </c>
      <c r="B1145" s="8">
        <v>1140</v>
      </c>
      <c r="C1145" s="8" t="s">
        <v>1549</v>
      </c>
      <c r="D1145" s="8" t="s">
        <v>10</v>
      </c>
      <c r="E1145" s="8">
        <v>28</v>
      </c>
      <c r="F1145" s="8" t="s">
        <v>258</v>
      </c>
      <c r="G1145" s="85">
        <f>+'[3]Dự thầu'!$G586</f>
        <v>5175851</v>
      </c>
      <c r="H1145" s="86">
        <f t="shared" si="39"/>
        <v>144923828</v>
      </c>
    </row>
    <row r="1146" spans="1:8" ht="15.75" customHeight="1" x14ac:dyDescent="0.25">
      <c r="A1146" s="4" t="s">
        <v>1550</v>
      </c>
      <c r="B1146" s="8">
        <v>1141</v>
      </c>
      <c r="C1146" s="8" t="s">
        <v>1551</v>
      </c>
      <c r="D1146" s="8" t="s">
        <v>10</v>
      </c>
      <c r="E1146" s="8">
        <v>28</v>
      </c>
      <c r="F1146" s="8" t="s">
        <v>258</v>
      </c>
      <c r="G1146" s="85">
        <f>+'[3]Dự thầu'!$G587</f>
        <v>6590456</v>
      </c>
      <c r="H1146" s="86">
        <f t="shared" si="39"/>
        <v>184532768</v>
      </c>
    </row>
    <row r="1147" spans="1:8" ht="15.75" customHeight="1" x14ac:dyDescent="0.25">
      <c r="A1147" s="4" t="s">
        <v>1552</v>
      </c>
      <c r="B1147" s="8">
        <v>1142</v>
      </c>
      <c r="C1147" s="8" t="s">
        <v>1553</v>
      </c>
      <c r="D1147" s="8" t="s">
        <v>10</v>
      </c>
      <c r="E1147" s="8">
        <v>14</v>
      </c>
      <c r="F1147" s="8" t="s">
        <v>258</v>
      </c>
      <c r="G1147" s="85">
        <f>+'[3]Dự thầu'!$G588</f>
        <v>11477274</v>
      </c>
      <c r="H1147" s="86">
        <f t="shared" si="39"/>
        <v>160681836</v>
      </c>
    </row>
    <row r="1148" spans="1:8" ht="15.75" customHeight="1" x14ac:dyDescent="0.25">
      <c r="A1148" s="4" t="s">
        <v>1554</v>
      </c>
      <c r="B1148" s="8">
        <v>1143</v>
      </c>
      <c r="C1148" s="8" t="s">
        <v>1555</v>
      </c>
      <c r="D1148" s="8" t="s">
        <v>10</v>
      </c>
      <c r="E1148" s="8">
        <v>14</v>
      </c>
      <c r="F1148" s="8" t="s">
        <v>258</v>
      </c>
      <c r="G1148" s="85">
        <f>+'[3]Dự thầu'!$G589</f>
        <v>13779223</v>
      </c>
      <c r="H1148" s="86">
        <f t="shared" si="39"/>
        <v>192909122</v>
      </c>
    </row>
    <row r="1149" spans="1:8" ht="15.75" customHeight="1" x14ac:dyDescent="0.25">
      <c r="A1149" s="4" t="s">
        <v>1556</v>
      </c>
      <c r="B1149" s="8">
        <v>1144</v>
      </c>
      <c r="C1149" s="8" t="s">
        <v>1557</v>
      </c>
      <c r="D1149" s="8" t="s">
        <v>10</v>
      </c>
      <c r="E1149" s="8">
        <v>4.4509999999999996</v>
      </c>
      <c r="F1149" s="8" t="s">
        <v>90</v>
      </c>
      <c r="G1149" s="85">
        <f>+'[3]Dự thầu'!$G590</f>
        <v>31922068</v>
      </c>
      <c r="H1149" s="86">
        <f t="shared" si="39"/>
        <v>142085125</v>
      </c>
    </row>
    <row r="1150" spans="1:8" ht="15.75" customHeight="1" x14ac:dyDescent="0.25">
      <c r="A1150" s="4" t="s">
        <v>1558</v>
      </c>
      <c r="B1150" s="8">
        <v>1145</v>
      </c>
      <c r="C1150" s="8" t="s">
        <v>1559</v>
      </c>
      <c r="D1150" s="8" t="s">
        <v>10</v>
      </c>
      <c r="E1150" s="8">
        <v>4.4509999999999996</v>
      </c>
      <c r="F1150" s="8" t="s">
        <v>90</v>
      </c>
      <c r="G1150" s="85">
        <f>+'[3]Dự thầu'!$G591</f>
        <v>5329201</v>
      </c>
      <c r="H1150" s="86">
        <f t="shared" si="39"/>
        <v>23720274</v>
      </c>
    </row>
    <row r="1151" spans="1:8" ht="15.75" customHeight="1" x14ac:dyDescent="0.25">
      <c r="A1151" s="4" t="s">
        <v>1560</v>
      </c>
      <c r="B1151" s="8">
        <v>1146</v>
      </c>
      <c r="C1151" s="8" t="s">
        <v>1561</v>
      </c>
      <c r="D1151" s="8" t="s">
        <v>10</v>
      </c>
      <c r="E1151" s="8">
        <v>29.4</v>
      </c>
      <c r="F1151" s="8" t="s">
        <v>1562</v>
      </c>
      <c r="G1151" s="85">
        <f>+'[3]Dự thầu'!$G592</f>
        <v>39471</v>
      </c>
      <c r="H1151" s="86">
        <f t="shared" si="39"/>
        <v>1160447</v>
      </c>
    </row>
    <row r="1152" spans="1:8" ht="15.75" customHeight="1" x14ac:dyDescent="0.25">
      <c r="A1152" s="4" t="s">
        <v>1563</v>
      </c>
      <c r="B1152" s="8">
        <v>1147</v>
      </c>
      <c r="C1152" s="8" t="s">
        <v>1564</v>
      </c>
      <c r="D1152" s="8" t="s">
        <v>10</v>
      </c>
      <c r="E1152" s="8">
        <v>42</v>
      </c>
      <c r="F1152" s="8" t="s">
        <v>1565</v>
      </c>
      <c r="G1152" s="85">
        <f>+'[3]Dự thầu'!$G593</f>
        <v>17204605</v>
      </c>
      <c r="H1152" s="86">
        <f t="shared" si="39"/>
        <v>722593410</v>
      </c>
    </row>
    <row r="1153" spans="1:8" ht="15.75" customHeight="1" x14ac:dyDescent="0.25">
      <c r="A1153" s="4" t="s">
        <v>1566</v>
      </c>
      <c r="B1153" s="8">
        <v>1148</v>
      </c>
      <c r="C1153" s="8" t="s">
        <v>1567</v>
      </c>
      <c r="D1153" s="8" t="s">
        <v>10</v>
      </c>
      <c r="E1153" s="8">
        <v>7.9710999999999999</v>
      </c>
      <c r="F1153" s="8" t="s">
        <v>16</v>
      </c>
      <c r="G1153" s="85">
        <f>+'[3]Dự thầu'!$G594</f>
        <v>2080172</v>
      </c>
      <c r="H1153" s="86">
        <f t="shared" si="39"/>
        <v>16581259</v>
      </c>
    </row>
    <row r="1154" spans="1:8" ht="15.75" customHeight="1" x14ac:dyDescent="0.25">
      <c r="A1154" s="4" t="s">
        <v>1568</v>
      </c>
      <c r="B1154" s="8">
        <v>1149</v>
      </c>
      <c r="C1154" s="8" t="s">
        <v>1569</v>
      </c>
      <c r="D1154" s="8" t="s">
        <v>10</v>
      </c>
      <c r="E1154" s="8">
        <v>0.93</v>
      </c>
      <c r="F1154" s="8" t="s">
        <v>90</v>
      </c>
      <c r="G1154" s="85">
        <f>+'[3]Dự thầu'!$G595</f>
        <v>25311519</v>
      </c>
      <c r="H1154" s="86">
        <f t="shared" si="39"/>
        <v>23539713</v>
      </c>
    </row>
    <row r="1155" spans="1:8" ht="15.75" customHeight="1" x14ac:dyDescent="0.25">
      <c r="A1155" s="4" t="s">
        <v>1570</v>
      </c>
      <c r="B1155" s="8">
        <v>1150</v>
      </c>
      <c r="C1155" s="8" t="s">
        <v>497</v>
      </c>
      <c r="D1155" s="8" t="s">
        <v>10</v>
      </c>
      <c r="E1155" s="8">
        <v>8.4</v>
      </c>
      <c r="F1155" s="8" t="s">
        <v>13</v>
      </c>
      <c r="G1155" s="85">
        <f>+'[3]Dự thầu'!$G596</f>
        <v>65242</v>
      </c>
      <c r="H1155" s="86">
        <f t="shared" si="39"/>
        <v>548033</v>
      </c>
    </row>
    <row r="1156" spans="1:8" ht="15.75" customHeight="1" x14ac:dyDescent="0.25">
      <c r="A1156" s="4" t="s">
        <v>1571</v>
      </c>
      <c r="B1156" s="8">
        <v>1151</v>
      </c>
      <c r="C1156" s="8" t="s">
        <v>1572</v>
      </c>
      <c r="D1156" s="8" t="s">
        <v>10</v>
      </c>
      <c r="E1156" s="8">
        <v>392</v>
      </c>
      <c r="F1156" s="8" t="s">
        <v>258</v>
      </c>
      <c r="G1156" s="85">
        <f>+'[3]Dự thầu'!$G597</f>
        <v>6367</v>
      </c>
      <c r="H1156" s="86">
        <f t="shared" si="39"/>
        <v>2495864</v>
      </c>
    </row>
    <row r="1157" spans="1:8" ht="15.75" customHeight="1" x14ac:dyDescent="0.25">
      <c r="A1157" s="4" t="s">
        <v>1573</v>
      </c>
      <c r="B1157" s="8">
        <v>1152</v>
      </c>
      <c r="C1157" s="8" t="s">
        <v>1574</v>
      </c>
      <c r="D1157" s="8" t="s">
        <v>10</v>
      </c>
      <c r="E1157" s="8">
        <v>0.56999999999999995</v>
      </c>
      <c r="F1157" s="8" t="s">
        <v>90</v>
      </c>
      <c r="G1157" s="85">
        <f>+'[3]Dự thầu'!$G598</f>
        <v>31922068</v>
      </c>
      <c r="H1157" s="86">
        <f t="shared" si="39"/>
        <v>18195579</v>
      </c>
    </row>
    <row r="1158" spans="1:8" ht="15.75" customHeight="1" x14ac:dyDescent="0.25">
      <c r="A1158" s="4" t="s">
        <v>1575</v>
      </c>
      <c r="B1158" s="8">
        <v>1153</v>
      </c>
      <c r="C1158" s="8" t="s">
        <v>1576</v>
      </c>
      <c r="D1158" s="8" t="s">
        <v>10</v>
      </c>
      <c r="E1158" s="8">
        <v>0.56999999999999995</v>
      </c>
      <c r="F1158" s="8" t="s">
        <v>90</v>
      </c>
      <c r="G1158" s="85">
        <f>+'[3]Dự thầu'!$G599</f>
        <v>5329201</v>
      </c>
      <c r="H1158" s="86">
        <f t="shared" si="39"/>
        <v>3037645</v>
      </c>
    </row>
    <row r="1159" spans="1:8" ht="15.75" customHeight="1" x14ac:dyDescent="0.25">
      <c r="A1159" s="4" t="s">
        <v>1577</v>
      </c>
      <c r="B1159" s="8">
        <v>1154</v>
      </c>
      <c r="C1159" s="8" t="s">
        <v>1230</v>
      </c>
      <c r="D1159" s="8" t="s">
        <v>10</v>
      </c>
      <c r="E1159" s="8">
        <v>0.56999999999999995</v>
      </c>
      <c r="F1159" s="8" t="s">
        <v>90</v>
      </c>
      <c r="G1159" s="85">
        <f>+'[3]Dự thầu'!$G600</f>
        <v>9028655</v>
      </c>
      <c r="H1159" s="86">
        <f t="shared" ref="H1159:H1222" si="40">+ROUND(G1159*E1159,0)</f>
        <v>5146333</v>
      </c>
    </row>
    <row r="1160" spans="1:8" ht="15.75" customHeight="1" x14ac:dyDescent="0.25">
      <c r="A1160" s="4" t="s">
        <v>1578</v>
      </c>
      <c r="B1160" s="8">
        <v>1155</v>
      </c>
      <c r="C1160" s="8" t="s">
        <v>1579</v>
      </c>
      <c r="D1160" s="8" t="s">
        <v>10</v>
      </c>
      <c r="E1160" s="8">
        <v>73.823599999999999</v>
      </c>
      <c r="F1160" s="8" t="s">
        <v>16</v>
      </c>
      <c r="G1160" s="85">
        <f>+'[3]Dự thầu'!$G601</f>
        <v>1878060</v>
      </c>
      <c r="H1160" s="86">
        <f t="shared" si="40"/>
        <v>138645150</v>
      </c>
    </row>
    <row r="1161" spans="1:8" ht="15.75" customHeight="1" x14ac:dyDescent="0.25">
      <c r="A1161" s="4" t="s">
        <v>1580</v>
      </c>
      <c r="B1161" s="8">
        <v>1156</v>
      </c>
      <c r="C1161" s="8" t="s">
        <v>1581</v>
      </c>
      <c r="D1161" s="8" t="s">
        <v>10</v>
      </c>
      <c r="E1161" s="8">
        <v>448.89499999999998</v>
      </c>
      <c r="F1161" s="8" t="s">
        <v>13</v>
      </c>
      <c r="G1161" s="85">
        <f>+'[3]Dự thầu'!$G602</f>
        <v>65242</v>
      </c>
      <c r="H1161" s="86">
        <f t="shared" si="40"/>
        <v>29286808</v>
      </c>
    </row>
    <row r="1162" spans="1:8" ht="15.75" customHeight="1" x14ac:dyDescent="0.25">
      <c r="A1162" s="4" t="s">
        <v>1582</v>
      </c>
      <c r="B1162" s="8">
        <v>1157</v>
      </c>
      <c r="C1162" s="8" t="s">
        <v>1583</v>
      </c>
      <c r="D1162" s="8" t="s">
        <v>10</v>
      </c>
      <c r="E1162" s="8">
        <v>13.4633</v>
      </c>
      <c r="F1162" s="8" t="s">
        <v>90</v>
      </c>
      <c r="G1162" s="85">
        <f>+'[3]Dự thầu'!$G603</f>
        <v>25032847</v>
      </c>
      <c r="H1162" s="86">
        <f t="shared" si="40"/>
        <v>337024729</v>
      </c>
    </row>
    <row r="1163" spans="1:8" ht="15.75" customHeight="1" x14ac:dyDescent="0.25">
      <c r="A1163" s="4" t="s">
        <v>1584</v>
      </c>
      <c r="B1163" s="8">
        <v>1158</v>
      </c>
      <c r="C1163" s="8" t="s">
        <v>1585</v>
      </c>
      <c r="D1163" s="8" t="s">
        <v>10</v>
      </c>
      <c r="E1163" s="8">
        <v>13.2667</v>
      </c>
      <c r="F1163" s="8" t="s">
        <v>90</v>
      </c>
      <c r="G1163" s="85">
        <f>+'[3]Dự thầu'!$G604</f>
        <v>40797367</v>
      </c>
      <c r="H1163" s="86">
        <f t="shared" si="40"/>
        <v>541246429</v>
      </c>
    </row>
    <row r="1164" spans="1:8" ht="15.75" customHeight="1" x14ac:dyDescent="0.25">
      <c r="A1164" s="4" t="s">
        <v>1586</v>
      </c>
      <c r="B1164" s="8">
        <v>1159</v>
      </c>
      <c r="C1164" s="8" t="s">
        <v>1587</v>
      </c>
      <c r="D1164" s="8" t="s">
        <v>10</v>
      </c>
      <c r="E1164" s="8">
        <v>13.2667</v>
      </c>
      <c r="F1164" s="8" t="s">
        <v>90</v>
      </c>
      <c r="G1164" s="85">
        <f>+'[3]Dự thầu'!$G605</f>
        <v>3788899</v>
      </c>
      <c r="H1164" s="86">
        <f t="shared" si="40"/>
        <v>50266186</v>
      </c>
    </row>
    <row r="1165" spans="1:8" ht="15.75" customHeight="1" x14ac:dyDescent="0.25">
      <c r="A1165" s="4" t="s">
        <v>1588</v>
      </c>
      <c r="B1165" s="8">
        <v>1160</v>
      </c>
      <c r="C1165" s="8" t="s">
        <v>1589</v>
      </c>
      <c r="D1165" s="8" t="s">
        <v>10</v>
      </c>
      <c r="E1165" s="8">
        <v>276.88</v>
      </c>
      <c r="F1165" s="8" t="s">
        <v>75</v>
      </c>
      <c r="G1165" s="85">
        <f>+'[3]Dự thầu'!$G606</f>
        <v>94291</v>
      </c>
      <c r="H1165" s="86">
        <f t="shared" si="40"/>
        <v>26107292</v>
      </c>
    </row>
    <row r="1166" spans="1:8" ht="15.75" customHeight="1" x14ac:dyDescent="0.25">
      <c r="A1166" s="4" t="s">
        <v>1590</v>
      </c>
      <c r="B1166" s="8">
        <v>1161</v>
      </c>
      <c r="C1166" s="8" t="s">
        <v>1591</v>
      </c>
      <c r="D1166" s="8" t="s">
        <v>10</v>
      </c>
      <c r="E1166" s="8">
        <v>12</v>
      </c>
      <c r="F1166" s="8" t="s">
        <v>75</v>
      </c>
      <c r="G1166" s="85">
        <f>+'[3]Dự thầu'!$G607</f>
        <v>57483</v>
      </c>
      <c r="H1166" s="86">
        <f t="shared" si="40"/>
        <v>689796</v>
      </c>
    </row>
    <row r="1167" spans="1:8" ht="15.75" customHeight="1" x14ac:dyDescent="0.25">
      <c r="A1167" s="4" t="s">
        <v>1592</v>
      </c>
      <c r="B1167" s="8">
        <v>1162</v>
      </c>
      <c r="C1167" s="8" t="s">
        <v>1593</v>
      </c>
      <c r="D1167" s="8" t="s">
        <v>10</v>
      </c>
      <c r="E1167" s="8">
        <v>388</v>
      </c>
      <c r="F1167" s="8" t="s">
        <v>258</v>
      </c>
      <c r="G1167" s="85">
        <f>+'[3]Dự thầu'!$G608</f>
        <v>6367</v>
      </c>
      <c r="H1167" s="86">
        <f t="shared" si="40"/>
        <v>2470396</v>
      </c>
    </row>
    <row r="1168" spans="1:8" ht="15.75" customHeight="1" x14ac:dyDescent="0.25">
      <c r="A1168" s="4" t="s">
        <v>1594</v>
      </c>
      <c r="B1168" s="8">
        <v>1163</v>
      </c>
      <c r="C1168" s="8" t="s">
        <v>1595</v>
      </c>
      <c r="D1168" s="8" t="s">
        <v>10</v>
      </c>
      <c r="E1168" s="8">
        <v>60.302700000000002</v>
      </c>
      <c r="F1168" s="8" t="s">
        <v>16</v>
      </c>
      <c r="G1168" s="85">
        <f>+'[3]Dự thầu'!$G609</f>
        <v>1719728</v>
      </c>
      <c r="H1168" s="86">
        <f t="shared" si="40"/>
        <v>103704242</v>
      </c>
    </row>
    <row r="1169" spans="1:8" ht="15.75" customHeight="1" x14ac:dyDescent="0.25">
      <c r="A1169" s="4" t="s">
        <v>1596</v>
      </c>
      <c r="B1169" s="8">
        <v>1164</v>
      </c>
      <c r="C1169" s="8" t="s">
        <v>1597</v>
      </c>
      <c r="D1169" s="8" t="s">
        <v>10</v>
      </c>
      <c r="E1169" s="8">
        <v>18.177900000000001</v>
      </c>
      <c r="F1169" s="8" t="s">
        <v>90</v>
      </c>
      <c r="G1169" s="85">
        <f>+'[3]Dự thầu'!$G610</f>
        <v>27101433</v>
      </c>
      <c r="H1169" s="86">
        <f t="shared" si="40"/>
        <v>492647139</v>
      </c>
    </row>
    <row r="1170" spans="1:8" ht="15.75" customHeight="1" x14ac:dyDescent="0.25">
      <c r="A1170" s="4" t="s">
        <v>1598</v>
      </c>
      <c r="B1170" s="8">
        <v>1165</v>
      </c>
      <c r="C1170" s="8" t="s">
        <v>497</v>
      </c>
      <c r="D1170" s="8" t="s">
        <v>10</v>
      </c>
      <c r="E1170" s="8">
        <v>273.21600000000001</v>
      </c>
      <c r="F1170" s="8" t="s">
        <v>13</v>
      </c>
      <c r="G1170" s="85">
        <f>+'[3]Dự thầu'!$G611</f>
        <v>86606</v>
      </c>
      <c r="H1170" s="86">
        <f t="shared" si="40"/>
        <v>23662145</v>
      </c>
    </row>
    <row r="1171" spans="1:8" ht="15.75" customHeight="1" x14ac:dyDescent="0.25">
      <c r="A1171" s="4" t="s">
        <v>1599</v>
      </c>
      <c r="B1171" s="8">
        <v>1166</v>
      </c>
      <c r="C1171" s="8" t="s">
        <v>1600</v>
      </c>
      <c r="D1171" s="8" t="s">
        <v>10</v>
      </c>
      <c r="E1171" s="8">
        <v>272</v>
      </c>
      <c r="F1171" s="8" t="s">
        <v>297</v>
      </c>
      <c r="G1171" s="85">
        <f>+'[3]Dự thầu'!$G612</f>
        <v>36395</v>
      </c>
      <c r="H1171" s="86">
        <f t="shared" si="40"/>
        <v>9899440</v>
      </c>
    </row>
    <row r="1172" spans="1:8" ht="15.75" customHeight="1" x14ac:dyDescent="0.25">
      <c r="A1172" s="4" t="s">
        <v>1601</v>
      </c>
      <c r="B1172" s="8">
        <v>1167</v>
      </c>
      <c r="C1172" s="8" t="s">
        <v>910</v>
      </c>
      <c r="D1172" s="8" t="s">
        <v>10</v>
      </c>
      <c r="E1172" s="8">
        <v>272</v>
      </c>
      <c r="F1172" s="8" t="s">
        <v>250</v>
      </c>
      <c r="G1172" s="85">
        <f>+'[3]Dự thầu'!$G613</f>
        <v>69167</v>
      </c>
      <c r="H1172" s="86">
        <f t="shared" si="40"/>
        <v>18813424</v>
      </c>
    </row>
    <row r="1173" spans="1:8" ht="15.75" customHeight="1" x14ac:dyDescent="0.25">
      <c r="A1173" s="4" t="s">
        <v>1602</v>
      </c>
      <c r="B1173" s="8">
        <v>1168</v>
      </c>
      <c r="C1173" s="8" t="s">
        <v>876</v>
      </c>
      <c r="D1173" s="8" t="s">
        <v>10</v>
      </c>
      <c r="E1173" s="8">
        <v>272</v>
      </c>
      <c r="F1173" s="8" t="s">
        <v>250</v>
      </c>
      <c r="G1173" s="85">
        <f>+'[3]Dự thầu'!$G614</f>
        <v>52812</v>
      </c>
      <c r="H1173" s="86">
        <f t="shared" si="40"/>
        <v>14364864</v>
      </c>
    </row>
    <row r="1174" spans="1:8" ht="15.75" customHeight="1" x14ac:dyDescent="0.25">
      <c r="A1174" s="4" t="s">
        <v>1603</v>
      </c>
      <c r="B1174" s="8">
        <v>1169</v>
      </c>
      <c r="C1174" s="8" t="s">
        <v>284</v>
      </c>
      <c r="D1174" s="8" t="s">
        <v>10</v>
      </c>
      <c r="E1174" s="8">
        <v>15.075699999999999</v>
      </c>
      <c r="F1174" s="8" t="s">
        <v>253</v>
      </c>
      <c r="G1174" s="85">
        <f>+'[3]Dự thầu'!$G615</f>
        <v>36271</v>
      </c>
      <c r="H1174" s="86">
        <f t="shared" si="40"/>
        <v>546811</v>
      </c>
    </row>
    <row r="1175" spans="1:8" ht="15.75" customHeight="1" x14ac:dyDescent="0.25">
      <c r="A1175" s="4" t="s">
        <v>1604</v>
      </c>
      <c r="B1175" s="8">
        <v>1170</v>
      </c>
      <c r="C1175" s="8" t="s">
        <v>1605</v>
      </c>
      <c r="D1175" s="8" t="s">
        <v>10</v>
      </c>
      <c r="E1175" s="8">
        <v>488.00099999999998</v>
      </c>
      <c r="F1175" s="8" t="s">
        <v>13</v>
      </c>
      <c r="G1175" s="85">
        <f>+'[3]Dự thầu'!$G616</f>
        <v>214840</v>
      </c>
      <c r="H1175" s="86">
        <f t="shared" si="40"/>
        <v>104842135</v>
      </c>
    </row>
    <row r="1176" spans="1:8" ht="15.75" customHeight="1" x14ac:dyDescent="0.25">
      <c r="A1176" s="4" t="s">
        <v>1606</v>
      </c>
      <c r="B1176" s="8">
        <v>1171</v>
      </c>
      <c r="C1176" s="8" t="s">
        <v>661</v>
      </c>
      <c r="D1176" s="8" t="s">
        <v>10</v>
      </c>
      <c r="E1176" s="8">
        <v>9.76</v>
      </c>
      <c r="F1176" s="8" t="s">
        <v>13</v>
      </c>
      <c r="G1176" s="85">
        <f>+'[3]Dự thầu'!$G617</f>
        <v>72975</v>
      </c>
      <c r="H1176" s="86">
        <f t="shared" si="40"/>
        <v>712236</v>
      </c>
    </row>
    <row r="1177" spans="1:8" ht="15.75" customHeight="1" x14ac:dyDescent="0.25">
      <c r="A1177" s="4" t="s">
        <v>1607</v>
      </c>
      <c r="B1177" s="8">
        <v>1172</v>
      </c>
      <c r="C1177" s="8" t="s">
        <v>1608</v>
      </c>
      <c r="D1177" s="8" t="s">
        <v>10</v>
      </c>
      <c r="E1177" s="8">
        <v>123.12</v>
      </c>
      <c r="F1177" s="8" t="s">
        <v>362</v>
      </c>
      <c r="G1177" s="85">
        <f>+'[3]Dự thầu'!$G618</f>
        <v>1351063</v>
      </c>
      <c r="H1177" s="86">
        <f t="shared" si="40"/>
        <v>166342877</v>
      </c>
    </row>
    <row r="1178" spans="1:8" ht="15.75" customHeight="1" x14ac:dyDescent="0.25">
      <c r="A1178" s="4" t="s">
        <v>1609</v>
      </c>
      <c r="B1178" s="8">
        <v>1173</v>
      </c>
      <c r="C1178" s="8" t="s">
        <v>1610</v>
      </c>
      <c r="D1178" s="8" t="s">
        <v>10</v>
      </c>
      <c r="E1178" s="8">
        <v>24</v>
      </c>
      <c r="F1178" s="8" t="s">
        <v>428</v>
      </c>
      <c r="G1178" s="85">
        <f>+'[3]Dự thầu'!$G619</f>
        <v>174876</v>
      </c>
      <c r="H1178" s="86">
        <f t="shared" si="40"/>
        <v>4197024</v>
      </c>
    </row>
    <row r="1179" spans="1:8" ht="15.75" customHeight="1" x14ac:dyDescent="0.25">
      <c r="A1179" s="4" t="s">
        <v>1611</v>
      </c>
      <c r="B1179" s="8">
        <v>1174</v>
      </c>
      <c r="C1179" s="8" t="s">
        <v>1612</v>
      </c>
      <c r="D1179" s="8" t="s">
        <v>10</v>
      </c>
      <c r="E1179" s="8">
        <v>42</v>
      </c>
      <c r="F1179" s="8" t="s">
        <v>1613</v>
      </c>
      <c r="G1179" s="85">
        <f>+'[3]Dự thầu'!$G620</f>
        <v>679609</v>
      </c>
      <c r="H1179" s="86">
        <f t="shared" si="40"/>
        <v>28543578</v>
      </c>
    </row>
    <row r="1180" spans="1:8" ht="15.75" customHeight="1" x14ac:dyDescent="0.25">
      <c r="A1180" s="4" t="s">
        <v>1614</v>
      </c>
      <c r="B1180" s="8">
        <v>1175</v>
      </c>
      <c r="C1180" s="8" t="s">
        <v>1615</v>
      </c>
      <c r="D1180" s="8" t="s">
        <v>10</v>
      </c>
      <c r="E1180" s="8">
        <v>28</v>
      </c>
      <c r="F1180" s="8" t="s">
        <v>1616</v>
      </c>
      <c r="G1180" s="85">
        <f>+'[3]Dự thầu'!$G621</f>
        <v>284010</v>
      </c>
      <c r="H1180" s="86">
        <f t="shared" si="40"/>
        <v>7952280</v>
      </c>
    </row>
    <row r="1181" spans="1:8" ht="15.75" customHeight="1" x14ac:dyDescent="0.25">
      <c r="A1181" s="4" t="s">
        <v>1617</v>
      </c>
      <c r="B1181" s="8">
        <v>1176</v>
      </c>
      <c r="C1181" s="8" t="s">
        <v>1618</v>
      </c>
      <c r="D1181" s="8" t="s">
        <v>10</v>
      </c>
      <c r="E1181" s="8">
        <v>14</v>
      </c>
      <c r="F1181" s="8" t="s">
        <v>1616</v>
      </c>
      <c r="G1181" s="85">
        <f>+'[3]Dự thầu'!$G622</f>
        <v>325457</v>
      </c>
      <c r="H1181" s="86">
        <f t="shared" si="40"/>
        <v>4556398</v>
      </c>
    </row>
    <row r="1182" spans="1:8" ht="15.75" customHeight="1" x14ac:dyDescent="0.25">
      <c r="A1182" s="4" t="s">
        <v>1619</v>
      </c>
      <c r="B1182" s="8">
        <v>1177</v>
      </c>
      <c r="C1182" s="8" t="s">
        <v>1620</v>
      </c>
      <c r="D1182" s="8" t="s">
        <v>10</v>
      </c>
      <c r="E1182" s="8">
        <v>28</v>
      </c>
      <c r="F1182" s="8" t="s">
        <v>1613</v>
      </c>
      <c r="G1182" s="85">
        <f>+'[3]Dự thầu'!$G623</f>
        <v>6759106</v>
      </c>
      <c r="H1182" s="86">
        <f t="shared" si="40"/>
        <v>189254968</v>
      </c>
    </row>
    <row r="1183" spans="1:8" ht="15.75" customHeight="1" x14ac:dyDescent="0.25">
      <c r="A1183" s="4" t="s">
        <v>1621</v>
      </c>
      <c r="B1183" s="8">
        <v>1178</v>
      </c>
      <c r="C1183" s="8" t="s">
        <v>1622</v>
      </c>
      <c r="D1183" s="8" t="s">
        <v>10</v>
      </c>
      <c r="E1183" s="8">
        <v>14</v>
      </c>
      <c r="F1183" s="8" t="s">
        <v>1613</v>
      </c>
      <c r="G1183" s="85">
        <f>+'[3]Dự thầu'!$G624</f>
        <v>8621833</v>
      </c>
      <c r="H1183" s="86">
        <f t="shared" si="40"/>
        <v>120705662</v>
      </c>
    </row>
    <row r="1184" spans="1:8" ht="15.75" customHeight="1" x14ac:dyDescent="0.25">
      <c r="A1184" s="4" t="s">
        <v>1623</v>
      </c>
      <c r="B1184" s="8">
        <v>1179</v>
      </c>
      <c r="C1184" s="8" t="s">
        <v>1624</v>
      </c>
      <c r="D1184" s="8" t="s">
        <v>10</v>
      </c>
      <c r="E1184" s="8">
        <v>17.329899999999999</v>
      </c>
      <c r="F1184" s="8" t="s">
        <v>16</v>
      </c>
      <c r="G1184" s="85">
        <f>+'[3]Dự thầu'!$G625</f>
        <v>856271</v>
      </c>
      <c r="H1184" s="86">
        <f t="shared" si="40"/>
        <v>14839091</v>
      </c>
    </row>
    <row r="1185" spans="1:8" ht="15.75" customHeight="1" x14ac:dyDescent="0.25">
      <c r="A1185" s="4" t="s">
        <v>1625</v>
      </c>
      <c r="B1185" s="8">
        <v>1180</v>
      </c>
      <c r="C1185" s="8" t="s">
        <v>670</v>
      </c>
      <c r="D1185" s="8" t="s">
        <v>10</v>
      </c>
      <c r="E1185" s="8">
        <v>5.46</v>
      </c>
      <c r="F1185" s="8" t="s">
        <v>16</v>
      </c>
      <c r="G1185" s="85">
        <f>+'[3]Dự thầu'!$G626</f>
        <v>1346046</v>
      </c>
      <c r="H1185" s="86">
        <f t="shared" si="40"/>
        <v>7349411</v>
      </c>
    </row>
    <row r="1186" spans="1:8" ht="15.75" customHeight="1" x14ac:dyDescent="0.25">
      <c r="A1186" s="4" t="s">
        <v>1626</v>
      </c>
      <c r="B1186" s="8">
        <v>1181</v>
      </c>
      <c r="C1186" s="8" t="s">
        <v>1627</v>
      </c>
      <c r="D1186" s="8" t="s">
        <v>10</v>
      </c>
      <c r="E1186" s="8">
        <v>16.388999999999999</v>
      </c>
      <c r="F1186" s="8" t="s">
        <v>16</v>
      </c>
      <c r="G1186" s="85">
        <f>+'[3]Dự thầu'!$G627</f>
        <v>1731530</v>
      </c>
      <c r="H1186" s="86">
        <f t="shared" si="40"/>
        <v>28378045</v>
      </c>
    </row>
    <row r="1187" spans="1:8" ht="15.75" customHeight="1" x14ac:dyDescent="0.25">
      <c r="A1187" s="4" t="s">
        <v>1628</v>
      </c>
      <c r="B1187" s="8">
        <v>1182</v>
      </c>
      <c r="C1187" s="8" t="s">
        <v>1629</v>
      </c>
      <c r="D1187" s="8" t="s">
        <v>10</v>
      </c>
      <c r="E1187" s="8">
        <v>1.6393</v>
      </c>
      <c r="F1187" s="8" t="s">
        <v>90</v>
      </c>
      <c r="G1187" s="85">
        <f>+'[3]Dự thầu'!$G628</f>
        <v>24801577</v>
      </c>
      <c r="H1187" s="86">
        <f t="shared" si="40"/>
        <v>40657225</v>
      </c>
    </row>
    <row r="1188" spans="1:8" ht="15.75" customHeight="1" x14ac:dyDescent="0.25">
      <c r="A1188" s="4" t="s">
        <v>1630</v>
      </c>
      <c r="B1188" s="8">
        <v>1183</v>
      </c>
      <c r="C1188" s="8" t="s">
        <v>1631</v>
      </c>
      <c r="D1188" s="8" t="s">
        <v>10</v>
      </c>
      <c r="E1188" s="8">
        <v>71.14</v>
      </c>
      <c r="F1188" s="8" t="s">
        <v>13</v>
      </c>
      <c r="G1188" s="85">
        <f>+'[3]Dự thầu'!$G629</f>
        <v>65242</v>
      </c>
      <c r="H1188" s="86">
        <f t="shared" si="40"/>
        <v>4641316</v>
      </c>
    </row>
    <row r="1189" spans="1:8" ht="15.75" customHeight="1" x14ac:dyDescent="0.25">
      <c r="A1189" s="4" t="s">
        <v>1632</v>
      </c>
      <c r="B1189" s="8">
        <v>1184</v>
      </c>
      <c r="C1189" s="8" t="s">
        <v>1633</v>
      </c>
      <c r="D1189" s="8" t="s">
        <v>10</v>
      </c>
      <c r="E1189" s="8">
        <v>16.388999999999999</v>
      </c>
      <c r="F1189" s="8" t="s">
        <v>16</v>
      </c>
      <c r="G1189" s="85">
        <f>+'[3]Dự thầu'!$G630</f>
        <v>527970</v>
      </c>
      <c r="H1189" s="86">
        <f t="shared" si="40"/>
        <v>8652900</v>
      </c>
    </row>
    <row r="1190" spans="1:8" ht="15.75" customHeight="1" x14ac:dyDescent="0.25">
      <c r="A1190" s="4" t="s">
        <v>1634</v>
      </c>
      <c r="B1190" s="8">
        <v>1185</v>
      </c>
      <c r="C1190" s="8" t="s">
        <v>1635</v>
      </c>
      <c r="D1190" s="8" t="s">
        <v>10</v>
      </c>
      <c r="E1190" s="8">
        <v>5.46</v>
      </c>
      <c r="F1190" s="8" t="s">
        <v>16</v>
      </c>
      <c r="G1190" s="85">
        <f>+'[3]Dự thầu'!$G631</f>
        <v>167496</v>
      </c>
      <c r="H1190" s="86">
        <f t="shared" si="40"/>
        <v>914528</v>
      </c>
    </row>
    <row r="1191" spans="1:8" ht="15.75" customHeight="1" x14ac:dyDescent="0.25">
      <c r="A1191" s="4" t="s">
        <v>1636</v>
      </c>
      <c r="B1191" s="8">
        <v>1186</v>
      </c>
      <c r="C1191" s="8" t="s">
        <v>1635</v>
      </c>
      <c r="D1191" s="8" t="s">
        <v>10</v>
      </c>
      <c r="E1191" s="8">
        <v>17.329899999999999</v>
      </c>
      <c r="F1191" s="8" t="s">
        <v>16</v>
      </c>
      <c r="G1191" s="85">
        <f>+'[3]Dự thầu'!$G632</f>
        <v>11436</v>
      </c>
      <c r="H1191" s="86">
        <f t="shared" si="40"/>
        <v>198185</v>
      </c>
    </row>
    <row r="1192" spans="1:8" ht="15.75" customHeight="1" x14ac:dyDescent="0.25">
      <c r="A1192" s="4" t="s">
        <v>1637</v>
      </c>
      <c r="B1192" s="8">
        <v>1187</v>
      </c>
      <c r="C1192" s="8" t="s">
        <v>36</v>
      </c>
      <c r="D1192" s="8" t="s">
        <v>10</v>
      </c>
      <c r="E1192" s="8">
        <v>39.18</v>
      </c>
      <c r="F1192" s="8" t="s">
        <v>16</v>
      </c>
      <c r="G1192" s="85">
        <f>+('[3]Dự thầu'!$G$633+'[3]Dự thầu'!$G$634)/100</f>
        <v>57318.19</v>
      </c>
      <c r="H1192" s="86">
        <f t="shared" si="40"/>
        <v>2245727</v>
      </c>
    </row>
    <row r="1193" spans="1:8" ht="15.75" customHeight="1" x14ac:dyDescent="0.25">
      <c r="A1193" s="4" t="s">
        <v>1638</v>
      </c>
      <c r="B1193" s="8">
        <v>1188</v>
      </c>
      <c r="C1193" s="8" t="s">
        <v>1639</v>
      </c>
      <c r="D1193" s="8" t="s">
        <v>10</v>
      </c>
      <c r="E1193" s="8">
        <v>3.7563</v>
      </c>
      <c r="F1193" s="8" t="s">
        <v>90</v>
      </c>
      <c r="G1193" s="85">
        <f>+'[3]Dự thầu'!$G635</f>
        <v>10406267</v>
      </c>
      <c r="H1193" s="86">
        <f t="shared" si="40"/>
        <v>39089061</v>
      </c>
    </row>
    <row r="1194" spans="1:8" ht="15.75" customHeight="1" x14ac:dyDescent="0.25">
      <c r="A1194" s="4" t="s">
        <v>1640</v>
      </c>
      <c r="B1194" s="8">
        <v>1189</v>
      </c>
      <c r="C1194" s="8" t="s">
        <v>1641</v>
      </c>
      <c r="D1194" s="8" t="s">
        <v>10</v>
      </c>
      <c r="E1194" s="8">
        <v>3.7563</v>
      </c>
      <c r="F1194" s="8" t="s">
        <v>90</v>
      </c>
      <c r="G1194" s="85">
        <f>+'[3]Dự thầu'!$G636</f>
        <v>9605637</v>
      </c>
      <c r="H1194" s="86">
        <f t="shared" si="40"/>
        <v>36081654</v>
      </c>
    </row>
    <row r="1195" spans="1:8" ht="15.75" customHeight="1" x14ac:dyDescent="0.25">
      <c r="A1195" s="4" t="s">
        <v>1642</v>
      </c>
      <c r="B1195" s="8">
        <v>1190</v>
      </c>
      <c r="C1195" s="8" t="s">
        <v>1643</v>
      </c>
      <c r="D1195" s="8" t="s">
        <v>10</v>
      </c>
      <c r="E1195" s="8">
        <v>1.4723999999999999</v>
      </c>
      <c r="F1195" s="8" t="s">
        <v>90</v>
      </c>
      <c r="G1195" s="85">
        <f>+'[3]Dự thầu'!$G637</f>
        <v>10406267</v>
      </c>
      <c r="H1195" s="86">
        <f t="shared" si="40"/>
        <v>15322188</v>
      </c>
    </row>
    <row r="1196" spans="1:8" ht="15.75" customHeight="1" x14ac:dyDescent="0.25">
      <c r="A1196" s="4" t="s">
        <v>1644</v>
      </c>
      <c r="B1196" s="8">
        <v>1191</v>
      </c>
      <c r="C1196" s="8" t="s">
        <v>1645</v>
      </c>
      <c r="D1196" s="8" t="s">
        <v>10</v>
      </c>
      <c r="E1196" s="8">
        <v>1.4723999999999999</v>
      </c>
      <c r="F1196" s="8" t="s">
        <v>90</v>
      </c>
      <c r="G1196" s="85">
        <f>+'[3]Dự thầu'!$G638</f>
        <v>15392164</v>
      </c>
      <c r="H1196" s="86">
        <f t="shared" si="40"/>
        <v>22663422</v>
      </c>
    </row>
    <row r="1197" spans="1:8" ht="15.75" customHeight="1" x14ac:dyDescent="0.25">
      <c r="A1197" s="4" t="s">
        <v>1646</v>
      </c>
      <c r="B1197" s="8">
        <v>1192</v>
      </c>
      <c r="C1197" s="8" t="s">
        <v>1647</v>
      </c>
      <c r="D1197" s="8" t="s">
        <v>10</v>
      </c>
      <c r="E1197" s="8">
        <v>5.2286999999999999</v>
      </c>
      <c r="F1197" s="8" t="s">
        <v>90</v>
      </c>
      <c r="G1197" s="85">
        <f>+'[3]Dự thầu'!$G639</f>
        <v>5687244</v>
      </c>
      <c r="H1197" s="86">
        <f t="shared" si="40"/>
        <v>29736893</v>
      </c>
    </row>
    <row r="1198" spans="1:8" ht="15.75" customHeight="1" x14ac:dyDescent="0.25">
      <c r="A1198" s="4" t="s">
        <v>1648</v>
      </c>
      <c r="B1198" s="8">
        <v>1193</v>
      </c>
      <c r="C1198" s="8" t="s">
        <v>1649</v>
      </c>
      <c r="D1198" s="8" t="s">
        <v>10</v>
      </c>
      <c r="E1198" s="8">
        <v>5.2286999999999999</v>
      </c>
      <c r="F1198" s="8" t="s">
        <v>90</v>
      </c>
      <c r="G1198" s="85">
        <f>+'[3]Dự thầu'!$G640</f>
        <v>2343426</v>
      </c>
      <c r="H1198" s="86">
        <f t="shared" si="40"/>
        <v>12253072</v>
      </c>
    </row>
    <row r="1199" spans="1:8" ht="15.75" customHeight="1" x14ac:dyDescent="0.25">
      <c r="A1199" s="4" t="s">
        <v>1650</v>
      </c>
      <c r="B1199" s="8">
        <v>1194</v>
      </c>
      <c r="C1199" s="8" t="s">
        <v>1651</v>
      </c>
      <c r="D1199" s="8" t="s">
        <v>10</v>
      </c>
      <c r="E1199" s="8">
        <v>1.2</v>
      </c>
      <c r="F1199" s="8" t="s">
        <v>16</v>
      </c>
      <c r="G1199" s="85">
        <f>+'[3]Dự thầu'!$G641</f>
        <v>1719728</v>
      </c>
      <c r="H1199" s="86">
        <f t="shared" si="40"/>
        <v>2063674</v>
      </c>
    </row>
    <row r="1200" spans="1:8" ht="15.75" customHeight="1" x14ac:dyDescent="0.25">
      <c r="A1200" s="4" t="s">
        <v>1652</v>
      </c>
      <c r="B1200" s="8">
        <v>1195</v>
      </c>
      <c r="C1200" s="8" t="s">
        <v>1653</v>
      </c>
      <c r="D1200" s="8" t="s">
        <v>10</v>
      </c>
      <c r="E1200" s="8">
        <v>48</v>
      </c>
      <c r="F1200" s="8" t="s">
        <v>428</v>
      </c>
      <c r="G1200" s="85">
        <f>+'[3]Dự thầu'!$G642</f>
        <v>23565</v>
      </c>
      <c r="H1200" s="86">
        <f t="shared" si="40"/>
        <v>1131120</v>
      </c>
    </row>
    <row r="1201" spans="1:8" ht="15.75" customHeight="1" x14ac:dyDescent="0.25">
      <c r="A1201" s="4" t="s">
        <v>1654</v>
      </c>
      <c r="B1201" s="8">
        <v>1196</v>
      </c>
      <c r="C1201" s="8" t="s">
        <v>1655</v>
      </c>
      <c r="D1201" s="8" t="s">
        <v>10</v>
      </c>
      <c r="E1201" s="8">
        <v>48</v>
      </c>
      <c r="F1201" s="8" t="s">
        <v>428</v>
      </c>
      <c r="G1201" s="85">
        <f>+'[3]Dự thầu'!$G643</f>
        <v>21010</v>
      </c>
      <c r="H1201" s="86">
        <f t="shared" si="40"/>
        <v>1008480</v>
      </c>
    </row>
    <row r="1202" spans="1:8" ht="15.75" customHeight="1" x14ac:dyDescent="0.25">
      <c r="A1202" s="4" t="s">
        <v>1656</v>
      </c>
      <c r="B1202" s="8">
        <v>1197</v>
      </c>
      <c r="C1202" s="8" t="s">
        <v>1657</v>
      </c>
      <c r="D1202" s="8" t="s">
        <v>10</v>
      </c>
      <c r="E1202" s="8">
        <v>67.2</v>
      </c>
      <c r="F1202" s="8" t="s">
        <v>428</v>
      </c>
      <c r="G1202" s="85">
        <f>+'[3]Dự thầu'!$G644</f>
        <v>2229</v>
      </c>
      <c r="H1202" s="86">
        <f t="shared" si="40"/>
        <v>149789</v>
      </c>
    </row>
    <row r="1203" spans="1:8" ht="15.75" customHeight="1" x14ac:dyDescent="0.25">
      <c r="A1203" s="4" t="s">
        <v>1658</v>
      </c>
      <c r="B1203" s="8">
        <v>1198</v>
      </c>
      <c r="C1203" s="8" t="s">
        <v>1659</v>
      </c>
      <c r="D1203" s="8" t="s">
        <v>10</v>
      </c>
      <c r="E1203" s="8">
        <v>0.04</v>
      </c>
      <c r="F1203" s="8" t="s">
        <v>90</v>
      </c>
      <c r="G1203" s="85">
        <f>+'[3]Dự thầu'!$G645</f>
        <v>25182574</v>
      </c>
      <c r="H1203" s="86">
        <f t="shared" si="40"/>
        <v>1007303</v>
      </c>
    </row>
    <row r="1204" spans="1:8" ht="15.75" customHeight="1" x14ac:dyDescent="0.25">
      <c r="A1204" s="4" t="s">
        <v>1660</v>
      </c>
      <c r="B1204" s="8">
        <v>1199</v>
      </c>
      <c r="C1204" s="8" t="s">
        <v>1661</v>
      </c>
      <c r="D1204" s="8" t="s">
        <v>10</v>
      </c>
      <c r="E1204" s="8">
        <v>7.0266999999999999</v>
      </c>
      <c r="F1204" s="8" t="s">
        <v>90</v>
      </c>
      <c r="G1204" s="85">
        <f>+'[3]Dự thầu'!$G646</f>
        <v>24801577</v>
      </c>
      <c r="H1204" s="86">
        <f t="shared" si="40"/>
        <v>174273241</v>
      </c>
    </row>
    <row r="1205" spans="1:8" ht="15.75" customHeight="1" x14ac:dyDescent="0.25">
      <c r="A1205" s="4" t="s">
        <v>1662</v>
      </c>
      <c r="B1205" s="8">
        <v>1200</v>
      </c>
      <c r="C1205" s="8" t="s">
        <v>750</v>
      </c>
      <c r="D1205" s="8" t="s">
        <v>10</v>
      </c>
      <c r="E1205" s="8">
        <v>7.9298000000000002</v>
      </c>
      <c r="F1205" s="8" t="s">
        <v>90</v>
      </c>
      <c r="G1205" s="85">
        <f>+'[3]Dự thầu'!$G647</f>
        <v>24164499</v>
      </c>
      <c r="H1205" s="86">
        <f t="shared" si="40"/>
        <v>191619644</v>
      </c>
    </row>
    <row r="1206" spans="1:8" ht="15.75" customHeight="1" x14ac:dyDescent="0.25">
      <c r="A1206" s="4" t="s">
        <v>1663</v>
      </c>
      <c r="B1206" s="8">
        <v>1201</v>
      </c>
      <c r="C1206" s="8" t="s">
        <v>1664</v>
      </c>
      <c r="D1206" s="8" t="s">
        <v>10</v>
      </c>
      <c r="E1206" s="8">
        <v>81.48</v>
      </c>
      <c r="F1206" s="8" t="s">
        <v>16</v>
      </c>
      <c r="G1206" s="85">
        <f>+'[3]Dự thầu'!$G648</f>
        <v>1559273</v>
      </c>
      <c r="H1206" s="86">
        <f t="shared" si="40"/>
        <v>127049564</v>
      </c>
    </row>
    <row r="1207" spans="1:8" ht="15.75" customHeight="1" x14ac:dyDescent="0.25">
      <c r="A1207" s="4" t="s">
        <v>1665</v>
      </c>
      <c r="B1207" s="8">
        <v>1202</v>
      </c>
      <c r="C1207" s="8" t="s">
        <v>1666</v>
      </c>
      <c r="D1207" s="8" t="s">
        <v>10</v>
      </c>
      <c r="E1207" s="8">
        <v>25.2</v>
      </c>
      <c r="F1207" s="8" t="s">
        <v>16</v>
      </c>
      <c r="G1207" s="85">
        <f>+'[3]Dự thầu'!$G649</f>
        <v>1331296</v>
      </c>
      <c r="H1207" s="86">
        <f t="shared" si="40"/>
        <v>33548659</v>
      </c>
    </row>
    <row r="1208" spans="1:8" ht="15.75" customHeight="1" x14ac:dyDescent="0.25">
      <c r="A1208" s="4" t="s">
        <v>1667</v>
      </c>
      <c r="B1208" s="8">
        <v>1203</v>
      </c>
      <c r="C1208" s="8" t="s">
        <v>752</v>
      </c>
      <c r="D1208" s="8" t="s">
        <v>10</v>
      </c>
      <c r="E1208" s="8">
        <v>40.72</v>
      </c>
      <c r="F1208" s="8" t="s">
        <v>13</v>
      </c>
      <c r="G1208" s="85">
        <f>+'[3]Dự thầu'!$G650</f>
        <v>65242</v>
      </c>
      <c r="H1208" s="86">
        <f t="shared" si="40"/>
        <v>2656654</v>
      </c>
    </row>
    <row r="1209" spans="1:8" ht="15.75" customHeight="1" x14ac:dyDescent="0.25">
      <c r="A1209" s="4" t="s">
        <v>1668</v>
      </c>
      <c r="B1209" s="8">
        <v>1204</v>
      </c>
      <c r="C1209" s="8" t="s">
        <v>1669</v>
      </c>
      <c r="D1209" s="8" t="s">
        <v>10</v>
      </c>
      <c r="E1209" s="8">
        <v>2431.7629999999999</v>
      </c>
      <c r="F1209" s="8" t="s">
        <v>16</v>
      </c>
      <c r="G1209" s="85">
        <f>+'[3]Dự thầu'!$G651</f>
        <v>2045500</v>
      </c>
      <c r="H1209" s="86">
        <f t="shared" si="40"/>
        <v>4974171217</v>
      </c>
    </row>
    <row r="1210" spans="1:8" ht="15.75" customHeight="1" x14ac:dyDescent="0.25">
      <c r="A1210" s="4" t="s">
        <v>1670</v>
      </c>
      <c r="B1210" s="8">
        <v>1205</v>
      </c>
      <c r="C1210" s="8" t="s">
        <v>1671</v>
      </c>
      <c r="D1210" s="8" t="s">
        <v>10</v>
      </c>
      <c r="E1210" s="8">
        <v>56.671199999999999</v>
      </c>
      <c r="F1210" s="8" t="s">
        <v>16</v>
      </c>
      <c r="G1210" s="85">
        <f>+'[3]Dự thầu'!$G652</f>
        <v>1437305</v>
      </c>
      <c r="H1210" s="86">
        <f t="shared" si="40"/>
        <v>81453799</v>
      </c>
    </row>
    <row r="1211" spans="1:8" ht="15.75" customHeight="1" x14ac:dyDescent="0.25">
      <c r="A1211" s="4" t="s">
        <v>1672</v>
      </c>
      <c r="B1211" s="8">
        <v>1206</v>
      </c>
      <c r="C1211" s="8" t="s">
        <v>1673</v>
      </c>
      <c r="D1211" s="8" t="s">
        <v>10</v>
      </c>
      <c r="E1211" s="8">
        <v>2468.2399999999998</v>
      </c>
      <c r="F1211" s="8" t="s">
        <v>16</v>
      </c>
      <c r="G1211" s="85">
        <f>+'[3]Dự thầu'!$G653</f>
        <v>57102</v>
      </c>
      <c r="H1211" s="86">
        <f t="shared" si="40"/>
        <v>140941440</v>
      </c>
    </row>
    <row r="1212" spans="1:8" ht="15.75" customHeight="1" x14ac:dyDescent="0.25">
      <c r="A1212" s="4" t="s">
        <v>1674</v>
      </c>
      <c r="B1212" s="8">
        <v>1207</v>
      </c>
      <c r="C1212" s="8" t="s">
        <v>562</v>
      </c>
      <c r="D1212" s="8" t="s">
        <v>10</v>
      </c>
      <c r="E1212" s="8">
        <v>2468.2399999999998</v>
      </c>
      <c r="F1212" s="8" t="s">
        <v>16</v>
      </c>
      <c r="G1212" s="85">
        <f>+'[3]Dự thầu'!$G654+'[3]Dự thầu'!$G$655</f>
        <v>285443</v>
      </c>
      <c r="H1212" s="86">
        <f t="shared" si="40"/>
        <v>704541830</v>
      </c>
    </row>
    <row r="1213" spans="1:8" ht="15.75" customHeight="1" x14ac:dyDescent="0.25">
      <c r="A1213" s="4" t="s">
        <v>1675</v>
      </c>
      <c r="B1213" s="8">
        <v>1208</v>
      </c>
      <c r="C1213" s="8" t="s">
        <v>1676</v>
      </c>
      <c r="D1213" s="8" t="s">
        <v>10</v>
      </c>
      <c r="E1213" s="8">
        <v>0.23</v>
      </c>
      <c r="F1213" s="8" t="s">
        <v>90</v>
      </c>
      <c r="G1213" s="85">
        <f>+'[3]Dự thầu'!$G656</f>
        <v>27013071</v>
      </c>
      <c r="H1213" s="86">
        <f t="shared" si="40"/>
        <v>6213006</v>
      </c>
    </row>
    <row r="1214" spans="1:8" ht="15.75" customHeight="1" x14ac:dyDescent="0.25">
      <c r="A1214" s="4" t="s">
        <v>1677</v>
      </c>
      <c r="B1214" s="8">
        <v>1209</v>
      </c>
      <c r="C1214" s="8" t="s">
        <v>1678</v>
      </c>
      <c r="D1214" s="8" t="s">
        <v>10</v>
      </c>
      <c r="E1214" s="8">
        <v>75.554400000000001</v>
      </c>
      <c r="F1214" s="8" t="s">
        <v>90</v>
      </c>
      <c r="G1214" s="85">
        <f>+'[3]Dự thầu'!$G657</f>
        <v>26226135</v>
      </c>
      <c r="H1214" s="86">
        <f t="shared" si="40"/>
        <v>1981499894</v>
      </c>
    </row>
    <row r="1215" spans="1:8" ht="15.75" customHeight="1" x14ac:dyDescent="0.25">
      <c r="A1215" s="4" t="s">
        <v>1679</v>
      </c>
      <c r="B1215" s="8">
        <v>1210</v>
      </c>
      <c r="C1215" s="8" t="s">
        <v>1680</v>
      </c>
      <c r="D1215" s="8" t="s">
        <v>10</v>
      </c>
      <c r="E1215" s="8">
        <v>136.19970000000001</v>
      </c>
      <c r="F1215" s="8" t="s">
        <v>90</v>
      </c>
      <c r="G1215" s="85">
        <f>+'[3]Dự thầu'!$G658</f>
        <v>25632494</v>
      </c>
      <c r="H1215" s="86">
        <f t="shared" si="40"/>
        <v>3491137993</v>
      </c>
    </row>
    <row r="1216" spans="1:8" ht="15.75" customHeight="1" x14ac:dyDescent="0.25">
      <c r="A1216" s="4" t="s">
        <v>1681</v>
      </c>
      <c r="B1216" s="8">
        <v>1211</v>
      </c>
      <c r="C1216" s="8" t="s">
        <v>1682</v>
      </c>
      <c r="D1216" s="8" t="s">
        <v>10</v>
      </c>
      <c r="E1216" s="8">
        <v>3243.1804000000002</v>
      </c>
      <c r="F1216" s="8" t="s">
        <v>13</v>
      </c>
      <c r="G1216" s="85">
        <f>+'[3]Dự thầu'!$G659</f>
        <v>181766</v>
      </c>
      <c r="H1216" s="86">
        <f t="shared" si="40"/>
        <v>589499929</v>
      </c>
    </row>
    <row r="1217" spans="1:8" ht="15.75" customHeight="1" x14ac:dyDescent="0.25">
      <c r="A1217" s="4" t="s">
        <v>1683</v>
      </c>
      <c r="B1217" s="8">
        <v>1212</v>
      </c>
      <c r="C1217" s="8" t="s">
        <v>1684</v>
      </c>
      <c r="D1217" s="8" t="s">
        <v>10</v>
      </c>
      <c r="E1217" s="8">
        <v>0.3</v>
      </c>
      <c r="F1217" s="8" t="s">
        <v>90</v>
      </c>
      <c r="G1217" s="85">
        <f>+'[3]Dự thầu'!$G660</f>
        <v>25632494</v>
      </c>
      <c r="H1217" s="86">
        <f t="shared" si="40"/>
        <v>7689748</v>
      </c>
    </row>
    <row r="1218" spans="1:8" ht="15.75" customHeight="1" x14ac:dyDescent="0.25">
      <c r="A1218" s="4" t="s">
        <v>1685</v>
      </c>
      <c r="B1218" s="8">
        <v>1213</v>
      </c>
      <c r="C1218" s="8" t="s">
        <v>1230</v>
      </c>
      <c r="D1218" s="8" t="s">
        <v>10</v>
      </c>
      <c r="E1218" s="8">
        <v>0.3</v>
      </c>
      <c r="F1218" s="8" t="s">
        <v>90</v>
      </c>
      <c r="G1218" s="85">
        <f>+'[3]Dự thầu'!$G661</f>
        <v>9028655</v>
      </c>
      <c r="H1218" s="86">
        <f t="shared" si="40"/>
        <v>2708597</v>
      </c>
    </row>
    <row r="1219" spans="1:8" ht="15.75" customHeight="1" x14ac:dyDescent="0.25">
      <c r="A1219" s="4" t="s">
        <v>1686</v>
      </c>
      <c r="B1219" s="8">
        <v>1214</v>
      </c>
      <c r="C1219" s="8" t="s">
        <v>1687</v>
      </c>
      <c r="D1219" s="8" t="s">
        <v>10</v>
      </c>
      <c r="E1219" s="8">
        <v>0.1</v>
      </c>
      <c r="F1219" s="8" t="s">
        <v>90</v>
      </c>
      <c r="G1219" s="85">
        <f>+'[3]Dự thầu'!$G662</f>
        <v>31912360</v>
      </c>
      <c r="H1219" s="86">
        <f t="shared" si="40"/>
        <v>3191236</v>
      </c>
    </row>
    <row r="1220" spans="1:8" ht="15.75" customHeight="1" x14ac:dyDescent="0.25">
      <c r="A1220" s="4" t="s">
        <v>1688</v>
      </c>
      <c r="B1220" s="8">
        <v>1215</v>
      </c>
      <c r="C1220" s="8" t="s">
        <v>1689</v>
      </c>
      <c r="D1220" s="8" t="s">
        <v>10</v>
      </c>
      <c r="E1220" s="8">
        <v>0.1</v>
      </c>
      <c r="F1220" s="8" t="s">
        <v>90</v>
      </c>
      <c r="G1220" s="85">
        <f>+'[3]Dự thầu'!$G663</f>
        <v>5329201</v>
      </c>
      <c r="H1220" s="86">
        <f t="shared" si="40"/>
        <v>532920</v>
      </c>
    </row>
    <row r="1221" spans="1:8" ht="15.75" customHeight="1" x14ac:dyDescent="0.25">
      <c r="A1221" s="4" t="s">
        <v>1690</v>
      </c>
      <c r="B1221" s="8">
        <v>1216</v>
      </c>
      <c r="C1221" s="8" t="s">
        <v>1691</v>
      </c>
      <c r="D1221" s="8" t="s">
        <v>10</v>
      </c>
      <c r="E1221" s="8">
        <v>1.7588999999999999</v>
      </c>
      <c r="F1221" s="8" t="s">
        <v>16</v>
      </c>
      <c r="G1221" s="85">
        <f>+'[3]Dự thầu'!$G664</f>
        <v>15641024</v>
      </c>
      <c r="H1221" s="86">
        <f t="shared" si="40"/>
        <v>27510997</v>
      </c>
    </row>
    <row r="1222" spans="1:8" ht="15.75" customHeight="1" x14ac:dyDescent="0.25">
      <c r="A1222" s="4" t="s">
        <v>1692</v>
      </c>
      <c r="B1222" s="8">
        <v>1217</v>
      </c>
      <c r="C1222" s="8" t="s">
        <v>1693</v>
      </c>
      <c r="D1222" s="8" t="s">
        <v>10</v>
      </c>
      <c r="E1222" s="8">
        <v>19.399999999999999</v>
      </c>
      <c r="F1222" s="8" t="s">
        <v>75</v>
      </c>
      <c r="G1222" s="85">
        <f>+'[3]Dự thầu'!$G665</f>
        <v>126388</v>
      </c>
      <c r="H1222" s="86">
        <f t="shared" si="40"/>
        <v>2451927</v>
      </c>
    </row>
    <row r="1223" spans="1:8" ht="15.75" customHeight="1" x14ac:dyDescent="0.25">
      <c r="A1223" s="4" t="s">
        <v>1694</v>
      </c>
      <c r="B1223" s="8">
        <v>1218</v>
      </c>
      <c r="C1223" s="8" t="s">
        <v>1695</v>
      </c>
      <c r="D1223" s="8" t="s">
        <v>10</v>
      </c>
      <c r="E1223" s="8">
        <v>26</v>
      </c>
      <c r="F1223" s="8" t="s">
        <v>75</v>
      </c>
      <c r="G1223" s="85">
        <f>+'[3]Dự thầu'!$G666</f>
        <v>94291</v>
      </c>
      <c r="H1223" s="86">
        <f t="shared" ref="H1223:H1286" si="41">+ROUND(G1223*E1223,0)</f>
        <v>2451566</v>
      </c>
    </row>
    <row r="1224" spans="1:8" ht="15.75" customHeight="1" x14ac:dyDescent="0.25">
      <c r="A1224" s="4" t="s">
        <v>1696</v>
      </c>
      <c r="B1224" s="8">
        <v>1219</v>
      </c>
      <c r="C1224" s="8" t="s">
        <v>1697</v>
      </c>
      <c r="D1224" s="8" t="s">
        <v>10</v>
      </c>
      <c r="E1224" s="8">
        <v>0.51</v>
      </c>
      <c r="F1224" s="8" t="s">
        <v>16</v>
      </c>
      <c r="G1224" s="85">
        <f>+'[3]Dự thầu'!$G667</f>
        <v>23670194</v>
      </c>
      <c r="H1224" s="86">
        <f t="shared" si="41"/>
        <v>12071799</v>
      </c>
    </row>
    <row r="1225" spans="1:8" ht="15.75" customHeight="1" x14ac:dyDescent="0.25">
      <c r="A1225" s="4" t="s">
        <v>1698</v>
      </c>
      <c r="B1225" s="8">
        <v>1220</v>
      </c>
      <c r="C1225" s="8" t="s">
        <v>1699</v>
      </c>
      <c r="D1225" s="8" t="s">
        <v>10</v>
      </c>
      <c r="E1225" s="8">
        <v>1808.04</v>
      </c>
      <c r="F1225" s="8" t="s">
        <v>13</v>
      </c>
      <c r="G1225" s="85">
        <f>+'[3]Dự thầu'!$G668</f>
        <v>144654</v>
      </c>
      <c r="H1225" s="86">
        <f t="shared" si="41"/>
        <v>261540218</v>
      </c>
    </row>
    <row r="1226" spans="1:8" ht="15.75" customHeight="1" x14ac:dyDescent="0.25">
      <c r="A1226" s="4" t="s">
        <v>1700</v>
      </c>
      <c r="B1226" s="8">
        <v>1221</v>
      </c>
      <c r="C1226" s="8" t="s">
        <v>1701</v>
      </c>
      <c r="D1226" s="8" t="s">
        <v>10</v>
      </c>
      <c r="E1226" s="8">
        <v>2097.4234999999999</v>
      </c>
      <c r="F1226" s="8" t="s">
        <v>16</v>
      </c>
      <c r="G1226" s="85">
        <f>+'[3]Dự thầu'!$G671</f>
        <v>2198139</v>
      </c>
      <c r="H1226" s="86">
        <f t="shared" si="41"/>
        <v>4610428395</v>
      </c>
    </row>
    <row r="1227" spans="1:8" ht="15.75" customHeight="1" x14ac:dyDescent="0.25">
      <c r="A1227" s="4" t="s">
        <v>1702</v>
      </c>
      <c r="B1227" s="8">
        <v>1222</v>
      </c>
      <c r="C1227" s="8" t="s">
        <v>1673</v>
      </c>
      <c r="D1227" s="8" t="s">
        <v>10</v>
      </c>
      <c r="E1227" s="8">
        <v>2307.17</v>
      </c>
      <c r="F1227" s="8" t="s">
        <v>16</v>
      </c>
      <c r="G1227" s="85">
        <f>+'[3]Dự thầu'!$G672</f>
        <v>57102</v>
      </c>
      <c r="H1227" s="86">
        <f t="shared" si="41"/>
        <v>131744021</v>
      </c>
    </row>
    <row r="1228" spans="1:8" ht="15.75" customHeight="1" x14ac:dyDescent="0.25">
      <c r="A1228" s="4" t="s">
        <v>1703</v>
      </c>
      <c r="B1228" s="8">
        <v>1223</v>
      </c>
      <c r="C1228" s="8" t="s">
        <v>562</v>
      </c>
      <c r="D1228" s="8" t="s">
        <v>10</v>
      </c>
      <c r="E1228" s="8">
        <v>2307.17</v>
      </c>
      <c r="F1228" s="8" t="s">
        <v>16</v>
      </c>
      <c r="G1228" s="85">
        <f>+'[3]Dự thầu'!$G$673+'[3]Dự thầu'!$G$674</f>
        <v>285443</v>
      </c>
      <c r="H1228" s="86">
        <f t="shared" si="41"/>
        <v>658565526</v>
      </c>
    </row>
    <row r="1229" spans="1:8" ht="15.75" customHeight="1" x14ac:dyDescent="0.25">
      <c r="A1229" s="4" t="s">
        <v>1704</v>
      </c>
      <c r="B1229" s="8">
        <v>1224</v>
      </c>
      <c r="C1229" s="8" t="s">
        <v>1705</v>
      </c>
      <c r="D1229" s="8" t="s">
        <v>10</v>
      </c>
      <c r="E1229" s="8">
        <v>26.3095</v>
      </c>
      <c r="F1229" s="8" t="s">
        <v>90</v>
      </c>
      <c r="G1229" s="85">
        <f>+'[3]Dự thầu'!$G675</f>
        <v>27573930</v>
      </c>
      <c r="H1229" s="86">
        <f t="shared" si="41"/>
        <v>725456311</v>
      </c>
    </row>
    <row r="1230" spans="1:8" ht="15.75" customHeight="1" x14ac:dyDescent="0.25">
      <c r="A1230" s="4" t="s">
        <v>1706</v>
      </c>
      <c r="B1230" s="8">
        <v>1225</v>
      </c>
      <c r="C1230" s="8" t="s">
        <v>1707</v>
      </c>
      <c r="D1230" s="8" t="s">
        <v>10</v>
      </c>
      <c r="E1230" s="8">
        <v>264.63310000000001</v>
      </c>
      <c r="F1230" s="8" t="s">
        <v>90</v>
      </c>
      <c r="G1230" s="85">
        <f>+'[3]Dự thầu'!$G676</f>
        <v>27141473</v>
      </c>
      <c r="H1230" s="86">
        <f t="shared" si="41"/>
        <v>7182532139</v>
      </c>
    </row>
    <row r="1231" spans="1:8" ht="15.75" customHeight="1" x14ac:dyDescent="0.25">
      <c r="A1231" s="4" t="s">
        <v>1708</v>
      </c>
      <c r="B1231" s="8">
        <v>1226</v>
      </c>
      <c r="C1231" s="8" t="s">
        <v>1709</v>
      </c>
      <c r="D1231" s="8" t="s">
        <v>10</v>
      </c>
      <c r="E1231" s="8">
        <v>8.5090000000000003</v>
      </c>
      <c r="F1231" s="8" t="s">
        <v>90</v>
      </c>
      <c r="G1231" s="85">
        <f>+'[3]Dự thầu'!$G677</f>
        <v>31912360</v>
      </c>
      <c r="H1231" s="86">
        <f t="shared" si="41"/>
        <v>271542271</v>
      </c>
    </row>
    <row r="1232" spans="1:8" ht="15.75" customHeight="1" x14ac:dyDescent="0.25">
      <c r="A1232" s="4" t="s">
        <v>1710</v>
      </c>
      <c r="B1232" s="8">
        <v>1227</v>
      </c>
      <c r="C1232" s="8" t="s">
        <v>1711</v>
      </c>
      <c r="D1232" s="8" t="s">
        <v>10</v>
      </c>
      <c r="E1232" s="8">
        <v>8.5090000000000003</v>
      </c>
      <c r="F1232" s="8" t="s">
        <v>90</v>
      </c>
      <c r="G1232" s="85">
        <f>+'[3]Dự thầu'!$G678</f>
        <v>5329201</v>
      </c>
      <c r="H1232" s="86">
        <f t="shared" si="41"/>
        <v>45346171</v>
      </c>
    </row>
    <row r="1233" spans="1:8" ht="15.75" customHeight="1" x14ac:dyDescent="0.25">
      <c r="A1233" s="4" t="s">
        <v>1712</v>
      </c>
      <c r="B1233" s="8">
        <v>1228</v>
      </c>
      <c r="C1233" s="8" t="s">
        <v>1713</v>
      </c>
      <c r="D1233" s="8" t="s">
        <v>10</v>
      </c>
      <c r="E1233" s="8">
        <v>98.6</v>
      </c>
      <c r="F1233" s="8" t="s">
        <v>75</v>
      </c>
      <c r="G1233" s="85">
        <f>+'[3]Dự thầu'!$G679</f>
        <v>980795</v>
      </c>
      <c r="H1233" s="86">
        <f t="shared" si="41"/>
        <v>96706387</v>
      </c>
    </row>
    <row r="1234" spans="1:8" ht="15.75" customHeight="1" x14ac:dyDescent="0.25">
      <c r="A1234" s="4" t="s">
        <v>1714</v>
      </c>
      <c r="B1234" s="8">
        <v>1229</v>
      </c>
      <c r="C1234" s="8" t="s">
        <v>1715</v>
      </c>
      <c r="D1234" s="8" t="s">
        <v>10</v>
      </c>
      <c r="E1234" s="8">
        <v>2421.4</v>
      </c>
      <c r="F1234" s="8" t="s">
        <v>75</v>
      </c>
      <c r="G1234" s="85">
        <f>+'[3]Dự thầu'!$G680</f>
        <v>1171576</v>
      </c>
      <c r="H1234" s="86">
        <f t="shared" si="41"/>
        <v>2836854126</v>
      </c>
    </row>
    <row r="1235" spans="1:8" ht="15.75" customHeight="1" x14ac:dyDescent="0.25">
      <c r="A1235" s="4" t="s">
        <v>1716</v>
      </c>
      <c r="B1235" s="8">
        <v>1230</v>
      </c>
      <c r="C1235" s="8" t="s">
        <v>1717</v>
      </c>
      <c r="D1235" s="8" t="s">
        <v>10</v>
      </c>
      <c r="E1235" s="8">
        <v>218.5</v>
      </c>
      <c r="F1235" s="8" t="s">
        <v>75</v>
      </c>
      <c r="G1235" s="85">
        <f>+'[3]Dự thầu'!$G681</f>
        <v>1188748</v>
      </c>
      <c r="H1235" s="86">
        <f t="shared" si="41"/>
        <v>259741438</v>
      </c>
    </row>
    <row r="1236" spans="1:8" ht="15.75" customHeight="1" x14ac:dyDescent="0.25">
      <c r="A1236" s="4" t="s">
        <v>1718</v>
      </c>
      <c r="B1236" s="8">
        <v>1231</v>
      </c>
      <c r="C1236" s="8" t="s">
        <v>1719</v>
      </c>
      <c r="D1236" s="8" t="s">
        <v>10</v>
      </c>
      <c r="E1236" s="8">
        <v>206.65199999999999</v>
      </c>
      <c r="F1236" s="8" t="s">
        <v>75</v>
      </c>
      <c r="G1236" s="85">
        <f>+'[3]Dự thầu'!$G682</f>
        <v>3021362</v>
      </c>
      <c r="H1236" s="86">
        <f t="shared" si="41"/>
        <v>624370500</v>
      </c>
    </row>
    <row r="1237" spans="1:8" ht="15.75" customHeight="1" x14ac:dyDescent="0.25">
      <c r="A1237" s="4" t="s">
        <v>1720</v>
      </c>
      <c r="B1237" s="8">
        <v>1232</v>
      </c>
      <c r="C1237" s="8" t="s">
        <v>1721</v>
      </c>
      <c r="D1237" s="8" t="s">
        <v>10</v>
      </c>
      <c r="E1237" s="8">
        <v>2313.2112000000002</v>
      </c>
      <c r="F1237" s="8" t="s">
        <v>16</v>
      </c>
      <c r="G1237" s="85">
        <v>479919</v>
      </c>
      <c r="H1237" s="86">
        <f t="shared" si="41"/>
        <v>1110154006</v>
      </c>
    </row>
    <row r="1238" spans="1:8" ht="15.75" customHeight="1" x14ac:dyDescent="0.25">
      <c r="A1238" s="4" t="s">
        <v>1722</v>
      </c>
      <c r="B1238" s="8">
        <v>1233</v>
      </c>
      <c r="C1238" s="8" t="s">
        <v>1723</v>
      </c>
      <c r="D1238" s="8" t="s">
        <v>10</v>
      </c>
      <c r="E1238" s="8">
        <v>38.011299999999999</v>
      </c>
      <c r="F1238" s="8" t="s">
        <v>16</v>
      </c>
      <c r="G1238" s="85">
        <f>+'[3]Dự thầu'!$G684</f>
        <v>2296256</v>
      </c>
      <c r="H1238" s="86">
        <f t="shared" si="41"/>
        <v>87283676</v>
      </c>
    </row>
    <row r="1239" spans="1:8" ht="15.75" customHeight="1" x14ac:dyDescent="0.25">
      <c r="A1239" s="4" t="s">
        <v>1724</v>
      </c>
      <c r="B1239" s="8">
        <v>1234</v>
      </c>
      <c r="C1239" s="8" t="s">
        <v>1725</v>
      </c>
      <c r="D1239" s="8" t="s">
        <v>10</v>
      </c>
      <c r="E1239" s="8">
        <v>6126</v>
      </c>
      <c r="F1239" s="8" t="s">
        <v>75</v>
      </c>
      <c r="G1239" s="85">
        <f>+'[3]Dự thầu'!$G685</f>
        <v>174511</v>
      </c>
      <c r="H1239" s="86">
        <f t="shared" si="41"/>
        <v>1069054386</v>
      </c>
    </row>
    <row r="1240" spans="1:8" ht="15.75" customHeight="1" x14ac:dyDescent="0.25">
      <c r="A1240" s="4" t="s">
        <v>1726</v>
      </c>
      <c r="B1240" s="8">
        <v>1235</v>
      </c>
      <c r="C1240" s="8" t="s">
        <v>1727</v>
      </c>
      <c r="D1240" s="8" t="s">
        <v>10</v>
      </c>
      <c r="E1240" s="8">
        <v>2987.4</v>
      </c>
      <c r="F1240" s="8" t="s">
        <v>75</v>
      </c>
      <c r="G1240" s="85">
        <f>+'[3]Dự thầu'!$G686</f>
        <v>214046</v>
      </c>
      <c r="H1240" s="86">
        <f t="shared" si="41"/>
        <v>639441020</v>
      </c>
    </row>
    <row r="1241" spans="1:8" ht="15.75" customHeight="1" x14ac:dyDescent="0.25">
      <c r="A1241" s="4" t="s">
        <v>1728</v>
      </c>
      <c r="B1241" s="8">
        <v>1236</v>
      </c>
      <c r="C1241" s="8" t="s">
        <v>1729</v>
      </c>
      <c r="D1241" s="8" t="s">
        <v>10</v>
      </c>
      <c r="E1241" s="8">
        <v>504</v>
      </c>
      <c r="F1241" s="8" t="s">
        <v>428</v>
      </c>
      <c r="G1241" s="85">
        <f>+'[3]Dự thầu'!$G687</f>
        <v>4688</v>
      </c>
      <c r="H1241" s="86">
        <f t="shared" si="41"/>
        <v>2362752</v>
      </c>
    </row>
    <row r="1242" spans="1:8" ht="15.75" customHeight="1" x14ac:dyDescent="0.25">
      <c r="A1242" s="4" t="s">
        <v>1730</v>
      </c>
      <c r="B1242" s="8">
        <v>1237</v>
      </c>
      <c r="C1242" s="8" t="s">
        <v>1731</v>
      </c>
      <c r="D1242" s="8" t="s">
        <v>10</v>
      </c>
      <c r="E1242" s="8">
        <v>168</v>
      </c>
      <c r="F1242" s="8" t="s">
        <v>428</v>
      </c>
      <c r="G1242" s="85">
        <f>+'[3]Dự thầu'!$G688</f>
        <v>11770</v>
      </c>
      <c r="H1242" s="86">
        <f t="shared" si="41"/>
        <v>1977360</v>
      </c>
    </row>
    <row r="1243" spans="1:8" ht="15.75" customHeight="1" x14ac:dyDescent="0.25">
      <c r="A1243" s="4" t="s">
        <v>1732</v>
      </c>
      <c r="B1243" s="8">
        <v>1238</v>
      </c>
      <c r="C1243" s="8" t="s">
        <v>1733</v>
      </c>
      <c r="D1243" s="8" t="s">
        <v>10</v>
      </c>
      <c r="E1243" s="8">
        <v>1052</v>
      </c>
      <c r="F1243" s="8" t="s">
        <v>428</v>
      </c>
      <c r="G1243" s="85">
        <f>+'[3]Dự thầu'!$G689</f>
        <v>16259</v>
      </c>
      <c r="H1243" s="86">
        <f t="shared" si="41"/>
        <v>17104468</v>
      </c>
    </row>
    <row r="1244" spans="1:8" ht="15.75" customHeight="1" x14ac:dyDescent="0.25">
      <c r="A1244" s="4" t="s">
        <v>1734</v>
      </c>
      <c r="B1244" s="8">
        <v>1239</v>
      </c>
      <c r="C1244" s="8" t="s">
        <v>1735</v>
      </c>
      <c r="D1244" s="8" t="s">
        <v>10</v>
      </c>
      <c r="E1244" s="8">
        <v>526</v>
      </c>
      <c r="F1244" s="8" t="s">
        <v>428</v>
      </c>
      <c r="G1244" s="85">
        <f>+'[3]Dự thầu'!$G690</f>
        <v>97184</v>
      </c>
      <c r="H1244" s="86">
        <f t="shared" si="41"/>
        <v>51118784</v>
      </c>
    </row>
    <row r="1245" spans="1:8" ht="15.75" customHeight="1" x14ac:dyDescent="0.25">
      <c r="A1245" s="4" t="s">
        <v>1736</v>
      </c>
      <c r="B1245" s="8">
        <v>1240</v>
      </c>
      <c r="C1245" s="8" t="s">
        <v>1737</v>
      </c>
      <c r="D1245" s="8" t="s">
        <v>10</v>
      </c>
      <c r="E1245" s="8">
        <v>18709.8</v>
      </c>
      <c r="F1245" s="8" t="s">
        <v>428</v>
      </c>
      <c r="G1245" s="85">
        <f>+'[3]Dự thầu'!$G691</f>
        <v>44564</v>
      </c>
      <c r="H1245" s="86">
        <f t="shared" si="41"/>
        <v>833783527</v>
      </c>
    </row>
    <row r="1246" spans="1:8" ht="15.75" customHeight="1" x14ac:dyDescent="0.25">
      <c r="A1246" s="4" t="s">
        <v>1738</v>
      </c>
      <c r="B1246" s="8">
        <v>1241</v>
      </c>
      <c r="C1246" s="8" t="s">
        <v>1739</v>
      </c>
      <c r="D1246" s="8" t="s">
        <v>10</v>
      </c>
      <c r="E1246" s="8">
        <v>3.984</v>
      </c>
      <c r="F1246" s="8" t="s">
        <v>90</v>
      </c>
      <c r="G1246" s="85">
        <f>+'[3]Dự thầu'!$G692</f>
        <v>7612923</v>
      </c>
      <c r="H1246" s="86">
        <f t="shared" si="41"/>
        <v>30329885</v>
      </c>
    </row>
    <row r="1247" spans="1:8" ht="15.75" customHeight="1" x14ac:dyDescent="0.25">
      <c r="A1247" s="4" t="s">
        <v>1740</v>
      </c>
      <c r="B1247" s="8">
        <v>1242</v>
      </c>
      <c r="C1247" s="8" t="s">
        <v>1741</v>
      </c>
      <c r="D1247" s="8" t="s">
        <v>10</v>
      </c>
      <c r="E1247" s="8">
        <v>3.984</v>
      </c>
      <c r="F1247" s="8" t="s">
        <v>90</v>
      </c>
      <c r="G1247" s="85">
        <f>+'[3]Dự thầu'!$G693</f>
        <v>9422453</v>
      </c>
      <c r="H1247" s="86">
        <f t="shared" si="41"/>
        <v>37539053</v>
      </c>
    </row>
    <row r="1248" spans="1:8" ht="15.75" customHeight="1" x14ac:dyDescent="0.25">
      <c r="A1248" s="4" t="s">
        <v>1742</v>
      </c>
      <c r="B1248" s="8">
        <v>1243</v>
      </c>
      <c r="C1248" s="8" t="s">
        <v>1743</v>
      </c>
      <c r="D1248" s="8" t="s">
        <v>10</v>
      </c>
      <c r="E1248" s="8">
        <v>3.984</v>
      </c>
      <c r="F1248" s="8" t="s">
        <v>90</v>
      </c>
      <c r="G1248" s="85">
        <f>+'[3]Dự thầu'!$G694</f>
        <v>9422453</v>
      </c>
      <c r="H1248" s="86">
        <f t="shared" si="41"/>
        <v>37539053</v>
      </c>
    </row>
    <row r="1249" spans="1:8" ht="15.75" customHeight="1" x14ac:dyDescent="0.25">
      <c r="A1249" s="4" t="s">
        <v>1744</v>
      </c>
      <c r="B1249" s="8">
        <v>1244</v>
      </c>
      <c r="C1249" s="8" t="s">
        <v>1745</v>
      </c>
      <c r="D1249" s="8" t="s">
        <v>10</v>
      </c>
      <c r="E1249" s="8">
        <v>3.984</v>
      </c>
      <c r="F1249" s="8" t="s">
        <v>90</v>
      </c>
      <c r="G1249" s="85">
        <f>+'[3]Dự thầu'!$G695</f>
        <v>8614945</v>
      </c>
      <c r="H1249" s="86">
        <f t="shared" si="41"/>
        <v>34321941</v>
      </c>
    </row>
    <row r="1250" spans="1:8" ht="15.75" customHeight="1" x14ac:dyDescent="0.25">
      <c r="A1250" s="4" t="s">
        <v>1746</v>
      </c>
      <c r="B1250" s="8">
        <v>1245</v>
      </c>
      <c r="C1250" s="8" t="s">
        <v>1747</v>
      </c>
      <c r="D1250" s="8" t="s">
        <v>10</v>
      </c>
      <c r="E1250" s="8">
        <v>3.984</v>
      </c>
      <c r="F1250" s="8" t="s">
        <v>90</v>
      </c>
      <c r="G1250" s="85">
        <f>+'[3]Dự thầu'!$G696</f>
        <v>8614945</v>
      </c>
      <c r="H1250" s="86">
        <f t="shared" si="41"/>
        <v>34321941</v>
      </c>
    </row>
    <row r="1251" spans="1:8" ht="15.75" customHeight="1" x14ac:dyDescent="0.25">
      <c r="A1251" s="4" t="s">
        <v>1748</v>
      </c>
      <c r="B1251" s="8">
        <v>1246</v>
      </c>
      <c r="C1251" s="8" t="s">
        <v>1749</v>
      </c>
      <c r="D1251" s="8" t="s">
        <v>10</v>
      </c>
      <c r="E1251" s="8">
        <v>75.649600000000007</v>
      </c>
      <c r="F1251" s="8" t="s">
        <v>16</v>
      </c>
      <c r="G1251" s="85">
        <f>+'[3]Dự thầu'!$G697</f>
        <v>840810</v>
      </c>
      <c r="H1251" s="86">
        <f t="shared" si="41"/>
        <v>63606940</v>
      </c>
    </row>
    <row r="1252" spans="1:8" ht="15.75" customHeight="1" x14ac:dyDescent="0.25">
      <c r="A1252" s="4" t="s">
        <v>1750</v>
      </c>
      <c r="B1252" s="8">
        <v>1247</v>
      </c>
      <c r="C1252" s="8" t="s">
        <v>1751</v>
      </c>
      <c r="D1252" s="8" t="s">
        <v>10</v>
      </c>
      <c r="E1252" s="8">
        <v>2311.94</v>
      </c>
      <c r="F1252" s="8" t="s">
        <v>493</v>
      </c>
      <c r="G1252" s="85">
        <f>+'[3]Dự thầu'!$G698</f>
        <v>15707</v>
      </c>
      <c r="H1252" s="86">
        <f t="shared" si="41"/>
        <v>36313642</v>
      </c>
    </row>
    <row r="1253" spans="1:8" ht="15.75" customHeight="1" x14ac:dyDescent="0.25">
      <c r="A1253" s="4" t="s">
        <v>1752</v>
      </c>
      <c r="B1253" s="8">
        <v>1248</v>
      </c>
      <c r="C1253" s="8" t="s">
        <v>1753</v>
      </c>
      <c r="D1253" s="8" t="s">
        <v>10</v>
      </c>
      <c r="E1253" s="8">
        <v>2311.94</v>
      </c>
      <c r="F1253" s="8" t="s">
        <v>16</v>
      </c>
      <c r="G1253" s="85">
        <f>+'[3]Dự thầu'!$G699</f>
        <v>56948</v>
      </c>
      <c r="H1253" s="86">
        <f t="shared" si="41"/>
        <v>131660359</v>
      </c>
    </row>
    <row r="1254" spans="1:8" ht="15.75" customHeight="1" x14ac:dyDescent="0.25">
      <c r="A1254" s="4" t="s">
        <v>1754</v>
      </c>
      <c r="B1254" s="8">
        <v>1249</v>
      </c>
      <c r="C1254" s="8" t="s">
        <v>1755</v>
      </c>
      <c r="D1254" s="8" t="s">
        <v>10</v>
      </c>
      <c r="E1254" s="8">
        <v>75.649600000000007</v>
      </c>
      <c r="F1254" s="8" t="s">
        <v>16</v>
      </c>
      <c r="G1254" s="85">
        <f>+'[3]Dự thầu'!$G$703</f>
        <v>72655</v>
      </c>
      <c r="H1254" s="86">
        <f t="shared" si="41"/>
        <v>5496322</v>
      </c>
    </row>
    <row r="1255" spans="1:8" ht="15.75" customHeight="1" x14ac:dyDescent="0.25">
      <c r="A1255" s="4" t="s">
        <v>1756</v>
      </c>
      <c r="B1255" s="8">
        <v>1250</v>
      </c>
      <c r="C1255" s="8" t="s">
        <v>1757</v>
      </c>
      <c r="D1255" s="8" t="s">
        <v>10</v>
      </c>
      <c r="E1255" s="8">
        <v>252</v>
      </c>
      <c r="F1255" s="8" t="s">
        <v>1758</v>
      </c>
      <c r="G1255" s="85">
        <f>+'[3]Dự thầu'!$G$708</f>
        <v>753290</v>
      </c>
      <c r="H1255" s="86">
        <f t="shared" si="41"/>
        <v>189829080</v>
      </c>
    </row>
    <row r="1256" spans="1:8" ht="15.75" customHeight="1" x14ac:dyDescent="0.25">
      <c r="A1256" s="4" t="s">
        <v>1759</v>
      </c>
      <c r="B1256" s="8">
        <v>1251</v>
      </c>
      <c r="C1256" s="8" t="s">
        <v>1760</v>
      </c>
      <c r="D1256" s="8" t="s">
        <v>10</v>
      </c>
      <c r="E1256" s="8">
        <v>4</v>
      </c>
      <c r="F1256" s="8" t="s">
        <v>1761</v>
      </c>
      <c r="G1256" s="85">
        <f>+'[3]Dự thầu'!$G709</f>
        <v>5121205</v>
      </c>
      <c r="H1256" s="86">
        <f t="shared" si="41"/>
        <v>20484820</v>
      </c>
    </row>
    <row r="1257" spans="1:8" ht="15.75" customHeight="1" x14ac:dyDescent="0.25">
      <c r="A1257" s="4" t="s">
        <v>1762</v>
      </c>
      <c r="B1257" s="8">
        <v>1252</v>
      </c>
      <c r="C1257" s="8" t="s">
        <v>1763</v>
      </c>
      <c r="D1257" s="8" t="s">
        <v>10</v>
      </c>
      <c r="E1257" s="8">
        <v>4</v>
      </c>
      <c r="F1257" s="8" t="s">
        <v>1764</v>
      </c>
      <c r="G1257" s="85">
        <f>+'[3]Dự thầu'!$G710</f>
        <v>22607396</v>
      </c>
      <c r="H1257" s="86">
        <f t="shared" si="41"/>
        <v>90429584</v>
      </c>
    </row>
    <row r="1258" spans="1:8" ht="15.75" customHeight="1" x14ac:dyDescent="0.25">
      <c r="A1258" s="4" t="s">
        <v>1765</v>
      </c>
      <c r="B1258" s="8">
        <v>1253</v>
      </c>
      <c r="C1258" s="8" t="s">
        <v>1766</v>
      </c>
      <c r="D1258" s="8" t="s">
        <v>10</v>
      </c>
      <c r="E1258" s="8">
        <v>13.351800000000001</v>
      </c>
      <c r="F1258" s="8" t="s">
        <v>16</v>
      </c>
      <c r="G1258" s="85">
        <f>+'[3]Dự thầu'!$G711</f>
        <v>2198139</v>
      </c>
      <c r="H1258" s="86">
        <f t="shared" si="41"/>
        <v>29349112</v>
      </c>
    </row>
    <row r="1259" spans="1:8" ht="15.75" customHeight="1" x14ac:dyDescent="0.25">
      <c r="A1259" s="4" t="s">
        <v>1767</v>
      </c>
      <c r="B1259" s="8">
        <v>1254</v>
      </c>
      <c r="C1259" s="8" t="s">
        <v>1477</v>
      </c>
      <c r="D1259" s="8" t="s">
        <v>10</v>
      </c>
      <c r="E1259" s="8">
        <v>14.686999999999999</v>
      </c>
      <c r="F1259" s="8" t="s">
        <v>16</v>
      </c>
      <c r="G1259" s="85">
        <f>+'[3]Dự thầu'!$G712</f>
        <v>57102</v>
      </c>
      <c r="H1259" s="86">
        <f t="shared" si="41"/>
        <v>838657</v>
      </c>
    </row>
    <row r="1260" spans="1:8" ht="15.75" customHeight="1" x14ac:dyDescent="0.25">
      <c r="A1260" s="4" t="s">
        <v>1768</v>
      </c>
      <c r="B1260" s="8">
        <v>1255</v>
      </c>
      <c r="C1260" s="8" t="s">
        <v>562</v>
      </c>
      <c r="D1260" s="8" t="s">
        <v>10</v>
      </c>
      <c r="E1260" s="8">
        <v>14.686999999999999</v>
      </c>
      <c r="F1260" s="8" t="s">
        <v>16</v>
      </c>
      <c r="G1260" s="85">
        <f>+'[3]Dự thầu'!$G713</f>
        <v>132072</v>
      </c>
      <c r="H1260" s="86">
        <f t="shared" si="41"/>
        <v>1939741</v>
      </c>
    </row>
    <row r="1261" spans="1:8" ht="15.75" customHeight="1" x14ac:dyDescent="0.25">
      <c r="A1261" s="4" t="s">
        <v>1769</v>
      </c>
      <c r="B1261" s="8">
        <v>1256</v>
      </c>
      <c r="C1261" s="8" t="s">
        <v>1705</v>
      </c>
      <c r="D1261" s="8" t="s">
        <v>10</v>
      </c>
      <c r="E1261" s="8">
        <v>0.2</v>
      </c>
      <c r="F1261" s="8" t="s">
        <v>90</v>
      </c>
      <c r="G1261" s="85">
        <f>+'[3]Dự thầu'!$G714</f>
        <v>27573930</v>
      </c>
      <c r="H1261" s="86">
        <f t="shared" si="41"/>
        <v>5514786</v>
      </c>
    </row>
    <row r="1262" spans="1:8" ht="15.75" customHeight="1" x14ac:dyDescent="0.25">
      <c r="A1262" s="4" t="s">
        <v>1770</v>
      </c>
      <c r="B1262" s="8">
        <v>1257</v>
      </c>
      <c r="C1262" s="8" t="s">
        <v>1707</v>
      </c>
      <c r="D1262" s="8" t="s">
        <v>10</v>
      </c>
      <c r="E1262" s="8">
        <v>0.09</v>
      </c>
      <c r="F1262" s="8" t="s">
        <v>90</v>
      </c>
      <c r="G1262" s="85">
        <f>+'[3]Dự thầu'!$G715</f>
        <v>27141473</v>
      </c>
      <c r="H1262" s="86">
        <f t="shared" si="41"/>
        <v>2442733</v>
      </c>
    </row>
    <row r="1263" spans="1:8" ht="15.75" customHeight="1" x14ac:dyDescent="0.25">
      <c r="A1263" s="4" t="s">
        <v>1771</v>
      </c>
      <c r="B1263" s="8">
        <v>1258</v>
      </c>
      <c r="C1263" s="8" t="s">
        <v>1709</v>
      </c>
      <c r="D1263" s="8" t="s">
        <v>10</v>
      </c>
      <c r="E1263" s="8">
        <v>0.06</v>
      </c>
      <c r="F1263" s="8" t="s">
        <v>90</v>
      </c>
      <c r="G1263" s="85">
        <f>+'[3]Dự thầu'!$G716</f>
        <v>31912360</v>
      </c>
      <c r="H1263" s="86">
        <f t="shared" si="41"/>
        <v>1914742</v>
      </c>
    </row>
    <row r="1264" spans="1:8" ht="15.75" customHeight="1" x14ac:dyDescent="0.25">
      <c r="A1264" s="4" t="s">
        <v>1772</v>
      </c>
      <c r="B1264" s="8">
        <v>1259</v>
      </c>
      <c r="C1264" s="8" t="s">
        <v>1711</v>
      </c>
      <c r="D1264" s="8" t="s">
        <v>10</v>
      </c>
      <c r="E1264" s="8">
        <v>0.06</v>
      </c>
      <c r="F1264" s="8" t="s">
        <v>90</v>
      </c>
      <c r="G1264" s="85">
        <f>+'[3]Dự thầu'!$G717</f>
        <v>5329201</v>
      </c>
      <c r="H1264" s="86">
        <f t="shared" si="41"/>
        <v>319752</v>
      </c>
    </row>
    <row r="1265" spans="1:8" ht="15.75" customHeight="1" x14ac:dyDescent="0.25">
      <c r="A1265" s="4" t="s">
        <v>1773</v>
      </c>
      <c r="B1265" s="8">
        <v>1260</v>
      </c>
      <c r="C1265" s="8" t="s">
        <v>1723</v>
      </c>
      <c r="D1265" s="8" t="s">
        <v>10</v>
      </c>
      <c r="E1265" s="8">
        <v>0.24</v>
      </c>
      <c r="F1265" s="8" t="s">
        <v>16</v>
      </c>
      <c r="G1265" s="85">
        <f>+'[3]Dự thầu'!$G718</f>
        <v>2296256</v>
      </c>
      <c r="H1265" s="86">
        <f t="shared" si="41"/>
        <v>551101</v>
      </c>
    </row>
    <row r="1266" spans="1:8" ht="15.75" customHeight="1" x14ac:dyDescent="0.25">
      <c r="A1266" s="4" t="s">
        <v>1774</v>
      </c>
      <c r="B1266" s="8">
        <v>1261</v>
      </c>
      <c r="C1266" s="8" t="s">
        <v>1725</v>
      </c>
      <c r="D1266" s="8" t="s">
        <v>10</v>
      </c>
      <c r="E1266" s="8">
        <v>34</v>
      </c>
      <c r="F1266" s="8" t="s">
        <v>75</v>
      </c>
      <c r="G1266" s="85">
        <f>+'[3]Dự thầu'!$G719</f>
        <v>174511</v>
      </c>
      <c r="H1266" s="86">
        <f t="shared" si="41"/>
        <v>5933374</v>
      </c>
    </row>
    <row r="1267" spans="1:8" ht="15.75" customHeight="1" x14ac:dyDescent="0.25">
      <c r="A1267" s="4" t="s">
        <v>1775</v>
      </c>
      <c r="B1267" s="8">
        <v>1262</v>
      </c>
      <c r="C1267" s="8" t="s">
        <v>1727</v>
      </c>
      <c r="D1267" s="8" t="s">
        <v>10</v>
      </c>
      <c r="E1267" s="8">
        <v>17</v>
      </c>
      <c r="F1267" s="8" t="s">
        <v>75</v>
      </c>
      <c r="G1267" s="85">
        <f>+'[3]Dự thầu'!$G720</f>
        <v>214046</v>
      </c>
      <c r="H1267" s="86">
        <f t="shared" si="41"/>
        <v>3638782</v>
      </c>
    </row>
    <row r="1268" spans="1:8" ht="15.75" customHeight="1" x14ac:dyDescent="0.25">
      <c r="A1268" s="4" t="s">
        <v>1776</v>
      </c>
      <c r="B1268" s="8">
        <v>1263</v>
      </c>
      <c r="C1268" s="8" t="s">
        <v>1749</v>
      </c>
      <c r="D1268" s="8" t="s">
        <v>10</v>
      </c>
      <c r="E1268" s="8">
        <v>13.351800000000001</v>
      </c>
      <c r="F1268" s="8" t="s">
        <v>16</v>
      </c>
      <c r="G1268" s="85">
        <f>+'[3]Dự thầu'!$G721</f>
        <v>840810</v>
      </c>
      <c r="H1268" s="86">
        <f t="shared" si="41"/>
        <v>11226327</v>
      </c>
    </row>
    <row r="1269" spans="1:8" ht="15.75" customHeight="1" x14ac:dyDescent="0.25">
      <c r="A1269" s="4" t="s">
        <v>1777</v>
      </c>
      <c r="B1269" s="8">
        <v>1264</v>
      </c>
      <c r="C1269" s="8" t="s">
        <v>1778</v>
      </c>
      <c r="D1269" s="8" t="s">
        <v>10</v>
      </c>
      <c r="E1269" s="8">
        <v>13.35</v>
      </c>
      <c r="F1269" s="8" t="s">
        <v>16</v>
      </c>
      <c r="G1269" s="85">
        <f>+('[3]Dự thầu'!$G$722+'[3]Dự thầu'!$G$723)/100</f>
        <v>57318.19</v>
      </c>
      <c r="H1269" s="86">
        <f t="shared" si="41"/>
        <v>765198</v>
      </c>
    </row>
    <row r="1270" spans="1:8" ht="15.75" customHeight="1" x14ac:dyDescent="0.25">
      <c r="A1270" s="4" t="s">
        <v>1779</v>
      </c>
      <c r="B1270" s="8">
        <v>1265</v>
      </c>
      <c r="C1270" s="8" t="s">
        <v>1739</v>
      </c>
      <c r="D1270" s="8" t="s">
        <v>10</v>
      </c>
      <c r="E1270" s="8">
        <v>0.3</v>
      </c>
      <c r="F1270" s="8" t="s">
        <v>90</v>
      </c>
      <c r="G1270" s="85">
        <f>+'[3]Dự thầu'!$G724</f>
        <v>30799905</v>
      </c>
      <c r="H1270" s="86">
        <f t="shared" si="41"/>
        <v>9239972</v>
      </c>
    </row>
    <row r="1271" spans="1:8" ht="15.75" customHeight="1" x14ac:dyDescent="0.25">
      <c r="A1271" s="4" t="s">
        <v>1780</v>
      </c>
      <c r="B1271" s="8">
        <v>1266</v>
      </c>
      <c r="C1271" s="8" t="s">
        <v>1781</v>
      </c>
      <c r="D1271" s="8" t="s">
        <v>10</v>
      </c>
      <c r="E1271" s="8">
        <v>0.3</v>
      </c>
      <c r="F1271" s="8" t="s">
        <v>90</v>
      </c>
      <c r="G1271" s="85">
        <f>+'[3]Dự thầu'!$G725</f>
        <v>10743587</v>
      </c>
      <c r="H1271" s="86">
        <f t="shared" si="41"/>
        <v>3223076</v>
      </c>
    </row>
    <row r="1272" spans="1:8" ht="15.75" customHeight="1" x14ac:dyDescent="0.25">
      <c r="A1272" s="4" t="s">
        <v>1782</v>
      </c>
      <c r="B1272" s="8">
        <v>1267</v>
      </c>
      <c r="C1272" s="8" t="s">
        <v>1783</v>
      </c>
      <c r="D1272" s="8" t="s">
        <v>10</v>
      </c>
      <c r="E1272" s="8">
        <v>49.127299999999998</v>
      </c>
      <c r="F1272" s="8" t="s">
        <v>90</v>
      </c>
      <c r="G1272" s="85">
        <f>+'[3]Dự thầu'!$G726</f>
        <v>10406267</v>
      </c>
      <c r="H1272" s="86">
        <f t="shared" si="41"/>
        <v>511231801</v>
      </c>
    </row>
    <row r="1273" spans="1:8" ht="15.75" customHeight="1" x14ac:dyDescent="0.25">
      <c r="A1273" s="4" t="s">
        <v>1784</v>
      </c>
      <c r="B1273" s="8">
        <v>1268</v>
      </c>
      <c r="C1273" s="8" t="s">
        <v>1785</v>
      </c>
      <c r="D1273" s="8" t="s">
        <v>10</v>
      </c>
      <c r="E1273" s="8">
        <v>49.13</v>
      </c>
      <c r="F1273" s="8" t="s">
        <v>90</v>
      </c>
      <c r="G1273" s="85">
        <f>+'[3]Dự thầu'!$G727</f>
        <v>1512019</v>
      </c>
      <c r="H1273" s="86">
        <f t="shared" si="41"/>
        <v>74285493</v>
      </c>
    </row>
    <row r="1274" spans="1:8" ht="15.75" customHeight="1" x14ac:dyDescent="0.25">
      <c r="A1274" s="4" t="s">
        <v>1786</v>
      </c>
      <c r="B1274" s="8">
        <v>1269</v>
      </c>
      <c r="C1274" s="8" t="s">
        <v>1787</v>
      </c>
      <c r="D1274" s="8" t="s">
        <v>10</v>
      </c>
      <c r="E1274" s="8">
        <v>49.13</v>
      </c>
      <c r="F1274" s="8" t="s">
        <v>90</v>
      </c>
      <c r="G1274" s="85">
        <f>+'[3]Dự thầu'!$G728</f>
        <v>1512019</v>
      </c>
      <c r="H1274" s="86">
        <f t="shared" si="41"/>
        <v>74285493</v>
      </c>
    </row>
    <row r="1275" spans="1:8" ht="15.75" customHeight="1" x14ac:dyDescent="0.25">
      <c r="A1275" s="4" t="s">
        <v>1788</v>
      </c>
      <c r="B1275" s="8">
        <v>1270</v>
      </c>
      <c r="C1275" s="8" t="s">
        <v>1789</v>
      </c>
      <c r="D1275" s="8" t="s">
        <v>10</v>
      </c>
      <c r="E1275" s="8">
        <v>49.13</v>
      </c>
      <c r="F1275" s="8" t="s">
        <v>90</v>
      </c>
      <c r="G1275" s="85">
        <f>+'[3]Dự thầu'!$G729</f>
        <v>1512019</v>
      </c>
      <c r="H1275" s="86">
        <f t="shared" si="41"/>
        <v>74285493</v>
      </c>
    </row>
    <row r="1276" spans="1:8" ht="15.75" customHeight="1" x14ac:dyDescent="0.25">
      <c r="A1276" s="4" t="s">
        <v>1790</v>
      </c>
      <c r="B1276" s="8">
        <v>1271</v>
      </c>
      <c r="C1276" s="8" t="s">
        <v>1791</v>
      </c>
      <c r="D1276" s="8" t="s">
        <v>10</v>
      </c>
      <c r="E1276" s="8">
        <v>49.13</v>
      </c>
      <c r="F1276" s="8" t="s">
        <v>90</v>
      </c>
      <c r="G1276" s="85">
        <f>+'[3]Dự thầu'!$G730</f>
        <v>1512019</v>
      </c>
      <c r="H1276" s="86">
        <f t="shared" si="41"/>
        <v>74285493</v>
      </c>
    </row>
    <row r="1277" spans="1:8" ht="15.75" customHeight="1" x14ac:dyDescent="0.25">
      <c r="A1277" s="4" t="s">
        <v>1792</v>
      </c>
      <c r="B1277" s="8">
        <v>1272</v>
      </c>
      <c r="C1277" s="8" t="s">
        <v>1793</v>
      </c>
      <c r="D1277" s="8" t="s">
        <v>10</v>
      </c>
      <c r="E1277" s="8">
        <v>40.64</v>
      </c>
      <c r="F1277" s="8" t="s">
        <v>90</v>
      </c>
      <c r="G1277" s="85">
        <f>+'[3]Dự thầu'!$G731</f>
        <v>1512019</v>
      </c>
      <c r="H1277" s="86">
        <f t="shared" si="41"/>
        <v>61448452</v>
      </c>
    </row>
    <row r="1278" spans="1:8" ht="15.75" customHeight="1" x14ac:dyDescent="0.25">
      <c r="A1278" s="4" t="s">
        <v>1794</v>
      </c>
      <c r="B1278" s="8">
        <v>1273</v>
      </c>
      <c r="C1278" s="8" t="s">
        <v>1795</v>
      </c>
      <c r="D1278" s="8" t="s">
        <v>10</v>
      </c>
      <c r="E1278" s="8">
        <v>40.64</v>
      </c>
      <c r="F1278" s="8" t="s">
        <v>90</v>
      </c>
      <c r="G1278" s="85">
        <f>+'[3]Dự thầu'!$G732</f>
        <v>1565192</v>
      </c>
      <c r="H1278" s="86">
        <f t="shared" si="41"/>
        <v>63609403</v>
      </c>
    </row>
    <row r="1279" spans="1:8" ht="15.75" customHeight="1" x14ac:dyDescent="0.25">
      <c r="A1279" s="4" t="s">
        <v>1796</v>
      </c>
      <c r="B1279" s="8">
        <v>1274</v>
      </c>
      <c r="C1279" s="8" t="s">
        <v>1797</v>
      </c>
      <c r="D1279" s="8" t="s">
        <v>10</v>
      </c>
      <c r="E1279" s="8">
        <v>40.64</v>
      </c>
      <c r="F1279" s="8" t="s">
        <v>90</v>
      </c>
      <c r="G1279" s="85">
        <f>+'[3]Dự thầu'!$G733</f>
        <v>1512019</v>
      </c>
      <c r="H1279" s="86">
        <f t="shared" si="41"/>
        <v>61448452</v>
      </c>
    </row>
    <row r="1280" spans="1:8" ht="15.75" customHeight="1" x14ac:dyDescent="0.25">
      <c r="A1280" s="4" t="s">
        <v>1798</v>
      </c>
      <c r="B1280" s="8">
        <v>1275</v>
      </c>
      <c r="C1280" s="8" t="s">
        <v>1799</v>
      </c>
      <c r="D1280" s="8" t="s">
        <v>10</v>
      </c>
      <c r="E1280" s="8">
        <v>40.64</v>
      </c>
      <c r="F1280" s="8" t="s">
        <v>90</v>
      </c>
      <c r="G1280" s="85">
        <f>+'[3]Dự thầu'!$G734</f>
        <v>1512019</v>
      </c>
      <c r="H1280" s="86">
        <f t="shared" si="41"/>
        <v>61448452</v>
      </c>
    </row>
    <row r="1281" spans="1:8" ht="15.75" customHeight="1" x14ac:dyDescent="0.25">
      <c r="A1281" s="4" t="s">
        <v>1800</v>
      </c>
      <c r="B1281" s="8">
        <v>1276</v>
      </c>
      <c r="C1281" s="8" t="s">
        <v>1801</v>
      </c>
      <c r="D1281" s="8" t="s">
        <v>10</v>
      </c>
      <c r="E1281" s="8">
        <v>359.06</v>
      </c>
      <c r="F1281" s="8" t="s">
        <v>90</v>
      </c>
      <c r="G1281" s="85">
        <f>+'[3]Dự thầu'!$G735</f>
        <v>5687244</v>
      </c>
      <c r="H1281" s="86">
        <f t="shared" si="41"/>
        <v>2042061831</v>
      </c>
    </row>
    <row r="1282" spans="1:8" ht="15.75" customHeight="1" x14ac:dyDescent="0.25">
      <c r="A1282" s="4" t="s">
        <v>1802</v>
      </c>
      <c r="B1282" s="8">
        <v>1277</v>
      </c>
      <c r="C1282" s="8" t="s">
        <v>1803</v>
      </c>
      <c r="D1282" s="8" t="s">
        <v>10</v>
      </c>
      <c r="E1282" s="8">
        <v>359.06</v>
      </c>
      <c r="F1282" s="8" t="s">
        <v>90</v>
      </c>
      <c r="G1282" s="85">
        <f>+'[3]Dự thầu'!$G736</f>
        <v>2343426</v>
      </c>
      <c r="H1282" s="86">
        <f t="shared" si="41"/>
        <v>841430540</v>
      </c>
    </row>
    <row r="1283" spans="1:8" ht="15.75" customHeight="1" x14ac:dyDescent="0.25">
      <c r="A1283" s="4" t="s">
        <v>1804</v>
      </c>
      <c r="B1283" s="8">
        <v>1278</v>
      </c>
      <c r="C1283" s="8" t="s">
        <v>1805</v>
      </c>
      <c r="D1283" s="8" t="s">
        <v>10</v>
      </c>
      <c r="E1283" s="8">
        <v>113.24</v>
      </c>
      <c r="F1283" s="8" t="s">
        <v>90</v>
      </c>
      <c r="G1283" s="85">
        <f>+'[3]Dự thầu'!$G737</f>
        <v>2165664</v>
      </c>
      <c r="H1283" s="86">
        <f t="shared" si="41"/>
        <v>245239791</v>
      </c>
    </row>
    <row r="1284" spans="1:8" ht="15.75" customHeight="1" x14ac:dyDescent="0.25">
      <c r="A1284" s="4" t="s">
        <v>1806</v>
      </c>
      <c r="B1284" s="8">
        <v>1279</v>
      </c>
      <c r="C1284" s="8" t="s">
        <v>1807</v>
      </c>
      <c r="D1284" s="8" t="s">
        <v>10</v>
      </c>
      <c r="E1284" s="8">
        <v>113.24</v>
      </c>
      <c r="F1284" s="8" t="s">
        <v>90</v>
      </c>
      <c r="G1284" s="85">
        <f>+'[3]Dự thầu'!$G738</f>
        <v>2165664</v>
      </c>
      <c r="H1284" s="86">
        <f t="shared" si="41"/>
        <v>245239791</v>
      </c>
    </row>
    <row r="1285" spans="1:8" ht="15.75" customHeight="1" x14ac:dyDescent="0.25">
      <c r="A1285" s="4" t="s">
        <v>1808</v>
      </c>
      <c r="B1285" s="8">
        <v>1280</v>
      </c>
      <c r="C1285" s="8" t="s">
        <v>1809</v>
      </c>
      <c r="D1285" s="8" t="s">
        <v>10</v>
      </c>
      <c r="E1285" s="8">
        <v>5704</v>
      </c>
      <c r="F1285" s="8" t="s">
        <v>75</v>
      </c>
      <c r="G1285" s="85">
        <f>+'[3]Dự thầu'!$G739</f>
        <v>67386</v>
      </c>
      <c r="H1285" s="86">
        <f t="shared" si="41"/>
        <v>384369744</v>
      </c>
    </row>
    <row r="1286" spans="1:8" ht="15.75" customHeight="1" x14ac:dyDescent="0.25">
      <c r="A1286" s="4" t="s">
        <v>1810</v>
      </c>
      <c r="B1286" s="8">
        <v>1281</v>
      </c>
      <c r="C1286" s="8" t="s">
        <v>1811</v>
      </c>
      <c r="D1286" s="8" t="s">
        <v>10</v>
      </c>
      <c r="E1286" s="8">
        <v>248</v>
      </c>
      <c r="F1286" s="8" t="s">
        <v>75</v>
      </c>
      <c r="G1286" s="85">
        <f>+'[3]Dự thầu'!$G740</f>
        <v>67386</v>
      </c>
      <c r="H1286" s="86">
        <f t="shared" si="41"/>
        <v>16711728</v>
      </c>
    </row>
    <row r="1287" spans="1:8" ht="15.75" customHeight="1" x14ac:dyDescent="0.25">
      <c r="A1287" s="4" t="s">
        <v>1812</v>
      </c>
      <c r="B1287" s="8">
        <v>1282</v>
      </c>
      <c r="C1287" s="8" t="s">
        <v>1813</v>
      </c>
      <c r="D1287" s="8" t="s">
        <v>10</v>
      </c>
      <c r="E1287" s="8">
        <v>5704</v>
      </c>
      <c r="F1287" s="8" t="s">
        <v>75</v>
      </c>
      <c r="G1287" s="85">
        <f>+'[3]Dự thầu'!$G741</f>
        <v>52562</v>
      </c>
      <c r="H1287" s="86">
        <f t="shared" ref="H1287:H1349" si="42">+ROUND(G1287*E1287,0)</f>
        <v>299813648</v>
      </c>
    </row>
    <row r="1288" spans="1:8" ht="15.75" customHeight="1" x14ac:dyDescent="0.25">
      <c r="A1288" s="4" t="s">
        <v>1814</v>
      </c>
      <c r="B1288" s="8">
        <v>1283</v>
      </c>
      <c r="C1288" s="8" t="s">
        <v>1815</v>
      </c>
      <c r="D1288" s="8" t="s">
        <v>10</v>
      </c>
      <c r="E1288" s="8">
        <v>5522.2103999999999</v>
      </c>
      <c r="F1288" s="8" t="s">
        <v>16</v>
      </c>
      <c r="G1288" s="85">
        <f>+'[3]Dự thầu'!$G742</f>
        <v>21361</v>
      </c>
      <c r="H1288" s="86">
        <f t="shared" si="42"/>
        <v>117959936</v>
      </c>
    </row>
    <row r="1289" spans="1:8" ht="15.75" customHeight="1" x14ac:dyDescent="0.25">
      <c r="A1289" s="4" t="s">
        <v>1816</v>
      </c>
      <c r="B1289" s="8">
        <v>1284</v>
      </c>
      <c r="C1289" s="8" t="s">
        <v>1817</v>
      </c>
      <c r="D1289" s="8" t="s">
        <v>10</v>
      </c>
      <c r="E1289" s="8">
        <v>2881.1</v>
      </c>
      <c r="F1289" s="8" t="s">
        <v>16</v>
      </c>
      <c r="G1289" s="85">
        <f>+'[3]Dự thầu'!$G743</f>
        <v>19560</v>
      </c>
      <c r="H1289" s="86">
        <f t="shared" si="42"/>
        <v>56354316</v>
      </c>
    </row>
    <row r="1290" spans="1:8" ht="15.75" customHeight="1" x14ac:dyDescent="0.25">
      <c r="A1290" s="4" t="s">
        <v>1818</v>
      </c>
      <c r="B1290" s="8">
        <v>1285</v>
      </c>
      <c r="C1290" s="8" t="s">
        <v>1819</v>
      </c>
      <c r="D1290" s="8" t="s">
        <v>10</v>
      </c>
      <c r="E1290" s="8">
        <v>994.42079999999999</v>
      </c>
      <c r="F1290" s="8" t="s">
        <v>16</v>
      </c>
      <c r="G1290" s="85">
        <f>+'[3]Dự thầu'!$G744</f>
        <v>12936</v>
      </c>
      <c r="H1290" s="86">
        <f t="shared" si="42"/>
        <v>12863827</v>
      </c>
    </row>
    <row r="1291" spans="1:8" ht="15.75" customHeight="1" x14ac:dyDescent="0.25">
      <c r="A1291" s="4" t="s">
        <v>1820</v>
      </c>
      <c r="B1291" s="8">
        <v>1286</v>
      </c>
      <c r="C1291" s="8" t="s">
        <v>1821</v>
      </c>
      <c r="D1291" s="8" t="s">
        <v>10</v>
      </c>
      <c r="E1291" s="8">
        <v>48.6</v>
      </c>
      <c r="F1291" s="8" t="s">
        <v>16</v>
      </c>
      <c r="G1291" s="85">
        <f>+'[3]Dự thầu'!$G745</f>
        <v>1570800</v>
      </c>
      <c r="H1291" s="86">
        <f t="shared" si="42"/>
        <v>76340880</v>
      </c>
    </row>
    <row r="1292" spans="1:8" ht="15.75" customHeight="1" x14ac:dyDescent="0.25">
      <c r="A1292" s="4" t="s">
        <v>1822</v>
      </c>
      <c r="B1292" s="8">
        <v>1287</v>
      </c>
      <c r="C1292" s="8" t="s">
        <v>1823</v>
      </c>
      <c r="D1292" s="8" t="s">
        <v>10</v>
      </c>
      <c r="E1292" s="8">
        <v>573.76</v>
      </c>
      <c r="F1292" s="8" t="s">
        <v>16</v>
      </c>
      <c r="G1292" s="85">
        <f>+'[3]Dự thầu'!$G746</f>
        <v>1602004</v>
      </c>
      <c r="H1292" s="86">
        <f t="shared" si="42"/>
        <v>919165815</v>
      </c>
    </row>
    <row r="1293" spans="1:8" ht="15.75" customHeight="1" x14ac:dyDescent="0.25">
      <c r="A1293" s="4" t="s">
        <v>1824</v>
      </c>
      <c r="B1293" s="8">
        <v>1288</v>
      </c>
      <c r="C1293" s="8" t="s">
        <v>1753</v>
      </c>
      <c r="D1293" s="8" t="s">
        <v>10</v>
      </c>
      <c r="E1293" s="8">
        <v>4398.51</v>
      </c>
      <c r="F1293" s="8" t="s">
        <v>16</v>
      </c>
      <c r="G1293" s="85">
        <f>+'[3]Dự thầu'!$G747</f>
        <v>42711</v>
      </c>
      <c r="H1293" s="86">
        <f t="shared" si="42"/>
        <v>187864761</v>
      </c>
    </row>
    <row r="1294" spans="1:8" ht="15.75" customHeight="1" x14ac:dyDescent="0.25">
      <c r="A1294" s="4" t="s">
        <v>1825</v>
      </c>
      <c r="B1294" s="8">
        <v>1289</v>
      </c>
      <c r="C1294" s="8" t="s">
        <v>1477</v>
      </c>
      <c r="D1294" s="8" t="s">
        <v>10</v>
      </c>
      <c r="E1294" s="8">
        <v>585.23519999999996</v>
      </c>
      <c r="F1294" s="8" t="s">
        <v>16</v>
      </c>
      <c r="G1294" s="85">
        <f>+'[3]Dự thầu'!$G$751</f>
        <v>57102</v>
      </c>
      <c r="H1294" s="86">
        <f t="shared" si="42"/>
        <v>33418100</v>
      </c>
    </row>
    <row r="1295" spans="1:8" ht="15.75" customHeight="1" x14ac:dyDescent="0.25">
      <c r="A1295" s="4" t="s">
        <v>1826</v>
      </c>
      <c r="B1295" s="8">
        <v>1290</v>
      </c>
      <c r="C1295" s="8" t="s">
        <v>562</v>
      </c>
      <c r="D1295" s="8" t="s">
        <v>10</v>
      </c>
      <c r="E1295" s="8">
        <v>585.24</v>
      </c>
      <c r="F1295" s="8" t="s">
        <v>16</v>
      </c>
      <c r="G1295" s="85">
        <f>+'[3]Dự thầu'!$G$752+'[3]Dự thầu'!$G$753</f>
        <v>285443</v>
      </c>
      <c r="H1295" s="86">
        <f t="shared" si="42"/>
        <v>167052661</v>
      </c>
    </row>
    <row r="1296" spans="1:8" ht="15.75" customHeight="1" x14ac:dyDescent="0.25">
      <c r="A1296" s="4" t="s">
        <v>1827</v>
      </c>
      <c r="B1296" s="8">
        <v>1291</v>
      </c>
      <c r="C1296" s="8" t="s">
        <v>1828</v>
      </c>
      <c r="D1296" s="8" t="s">
        <v>10</v>
      </c>
      <c r="E1296" s="8">
        <v>6951.9075999999995</v>
      </c>
      <c r="F1296" s="8" t="s">
        <v>16</v>
      </c>
      <c r="G1296" s="85">
        <f>+'[3]Dự thầu'!$G755</f>
        <v>292922</v>
      </c>
      <c r="H1296" s="86">
        <f t="shared" si="42"/>
        <v>2036366678</v>
      </c>
    </row>
    <row r="1297" spans="1:8" ht="15.75" customHeight="1" x14ac:dyDescent="0.25">
      <c r="A1297" s="4" t="s">
        <v>1829</v>
      </c>
      <c r="B1297" s="8">
        <v>1292</v>
      </c>
      <c r="C1297" s="8" t="s">
        <v>1830</v>
      </c>
      <c r="D1297" s="8" t="s">
        <v>10</v>
      </c>
      <c r="E1297" s="8">
        <v>3402.2836000000002</v>
      </c>
      <c r="F1297" s="8" t="s">
        <v>16</v>
      </c>
      <c r="G1297" s="85">
        <f>+'[3]Dự thầu'!$G756</f>
        <v>12936</v>
      </c>
      <c r="H1297" s="86">
        <f t="shared" si="42"/>
        <v>44011941</v>
      </c>
    </row>
    <row r="1298" spans="1:8" ht="15.75" customHeight="1" x14ac:dyDescent="0.25">
      <c r="A1298" s="4" t="s">
        <v>1831</v>
      </c>
      <c r="B1298" s="8">
        <v>1293</v>
      </c>
      <c r="C1298" s="8" t="s">
        <v>1832</v>
      </c>
      <c r="D1298" s="8" t="s">
        <v>10</v>
      </c>
      <c r="E1298" s="8">
        <v>274.85919999999999</v>
      </c>
      <c r="F1298" s="8" t="s">
        <v>16</v>
      </c>
      <c r="G1298" s="85">
        <f>+'[3]Dự thầu'!$G757</f>
        <v>20072</v>
      </c>
      <c r="H1298" s="86">
        <f t="shared" si="42"/>
        <v>5516974</v>
      </c>
    </row>
    <row r="1299" spans="1:8" ht="15.75" customHeight="1" x14ac:dyDescent="0.25">
      <c r="A1299" s="4" t="s">
        <v>1833</v>
      </c>
      <c r="B1299" s="8">
        <v>1294</v>
      </c>
      <c r="C1299" s="8" t="s">
        <v>1834</v>
      </c>
      <c r="D1299" s="8" t="s">
        <v>10</v>
      </c>
      <c r="E1299" s="8">
        <v>9165.0097000000005</v>
      </c>
      <c r="F1299" s="8" t="s">
        <v>16</v>
      </c>
      <c r="G1299" s="85">
        <f>+'[3]Dự thầu'!$G758</f>
        <v>15760</v>
      </c>
      <c r="H1299" s="86">
        <f t="shared" si="42"/>
        <v>144440553</v>
      </c>
    </row>
    <row r="1300" spans="1:8" ht="15.75" customHeight="1" x14ac:dyDescent="0.25">
      <c r="A1300" s="4" t="s">
        <v>1835</v>
      </c>
      <c r="B1300" s="8">
        <v>1295</v>
      </c>
      <c r="C1300" s="8" t="s">
        <v>1753</v>
      </c>
      <c r="D1300" s="8" t="s">
        <v>10</v>
      </c>
      <c r="E1300" s="8">
        <v>5361.43</v>
      </c>
      <c r="F1300" s="8" t="s">
        <v>16</v>
      </c>
      <c r="G1300" s="85">
        <f>+'[3]Dự thầu'!$G759</f>
        <v>40424</v>
      </c>
      <c r="H1300" s="86">
        <f t="shared" si="42"/>
        <v>216730446</v>
      </c>
    </row>
    <row r="1301" spans="1:8" ht="15.75" customHeight="1" x14ac:dyDescent="0.25">
      <c r="A1301" s="4" t="s">
        <v>1836</v>
      </c>
      <c r="B1301" s="8">
        <v>1296</v>
      </c>
      <c r="C1301" s="8" t="s">
        <v>1837</v>
      </c>
      <c r="D1301" s="8" t="s">
        <v>10</v>
      </c>
      <c r="E1301" s="8">
        <v>99.285600000000002</v>
      </c>
      <c r="F1301" s="8" t="s">
        <v>16</v>
      </c>
      <c r="G1301" s="85">
        <f>+'[3]Dự thầu'!$G763</f>
        <v>1817922</v>
      </c>
      <c r="H1301" s="86">
        <f t="shared" si="42"/>
        <v>180493477</v>
      </c>
    </row>
    <row r="1302" spans="1:8" ht="15.75" customHeight="1" x14ac:dyDescent="0.25">
      <c r="A1302" s="4" t="s">
        <v>1838</v>
      </c>
      <c r="B1302" s="8">
        <v>1297</v>
      </c>
      <c r="C1302" s="8" t="s">
        <v>1597</v>
      </c>
      <c r="D1302" s="8" t="s">
        <v>10</v>
      </c>
      <c r="E1302" s="8">
        <v>1.7562</v>
      </c>
      <c r="F1302" s="8" t="s">
        <v>90</v>
      </c>
      <c r="G1302" s="85">
        <f>+'[3]Dự thầu'!$G764</f>
        <v>24801577</v>
      </c>
      <c r="H1302" s="86">
        <f t="shared" si="42"/>
        <v>43556530</v>
      </c>
    </row>
    <row r="1303" spans="1:8" ht="15.75" customHeight="1" x14ac:dyDescent="0.25">
      <c r="A1303" s="4" t="s">
        <v>1839</v>
      </c>
      <c r="B1303" s="8">
        <v>1298</v>
      </c>
      <c r="C1303" s="8" t="s">
        <v>622</v>
      </c>
      <c r="D1303" s="8" t="s">
        <v>10</v>
      </c>
      <c r="E1303" s="8">
        <v>884.23929999999996</v>
      </c>
      <c r="F1303" s="8" t="s">
        <v>13</v>
      </c>
      <c r="G1303" s="85">
        <f>+'[3]Dự thầu'!$G765</f>
        <v>20017</v>
      </c>
      <c r="H1303" s="86">
        <f t="shared" si="42"/>
        <v>17699818</v>
      </c>
    </row>
    <row r="1304" spans="1:8" ht="15.75" customHeight="1" x14ac:dyDescent="0.25">
      <c r="A1304" s="4" t="s">
        <v>1840</v>
      </c>
      <c r="B1304" s="8">
        <v>1299</v>
      </c>
      <c r="C1304" s="8" t="s">
        <v>1605</v>
      </c>
      <c r="D1304" s="8" t="s">
        <v>10</v>
      </c>
      <c r="E1304" s="8">
        <v>224.41139999999999</v>
      </c>
      <c r="F1304" s="8" t="s">
        <v>13</v>
      </c>
      <c r="G1304" s="85">
        <f>+'[3]Dự thầu'!$G766</f>
        <v>214840</v>
      </c>
      <c r="H1304" s="86">
        <f t="shared" si="42"/>
        <v>48212545</v>
      </c>
    </row>
    <row r="1305" spans="1:8" ht="15.75" customHeight="1" x14ac:dyDescent="0.25">
      <c r="A1305" s="4" t="s">
        <v>1841</v>
      </c>
      <c r="B1305" s="8">
        <v>1300</v>
      </c>
      <c r="C1305" s="8" t="s">
        <v>1842</v>
      </c>
      <c r="D1305" s="8" t="s">
        <v>10</v>
      </c>
      <c r="E1305" s="8">
        <v>4.4882</v>
      </c>
      <c r="F1305" s="8" t="s">
        <v>16</v>
      </c>
      <c r="G1305" s="85">
        <f>+'[3]Dự thầu'!$G767</f>
        <v>1152723</v>
      </c>
      <c r="H1305" s="86">
        <f t="shared" si="42"/>
        <v>5173651</v>
      </c>
    </row>
    <row r="1306" spans="1:8" ht="15.75" customHeight="1" x14ac:dyDescent="0.25">
      <c r="A1306" s="4" t="s">
        <v>1843</v>
      </c>
      <c r="B1306" s="8">
        <v>1301</v>
      </c>
      <c r="C1306" s="8" t="s">
        <v>1844</v>
      </c>
      <c r="D1306" s="8" t="s">
        <v>10</v>
      </c>
      <c r="E1306" s="8">
        <v>9165</v>
      </c>
      <c r="F1306" s="8" t="s">
        <v>16</v>
      </c>
      <c r="G1306" s="85">
        <f>+'[3]Dự thầu'!$G768</f>
        <v>20072</v>
      </c>
      <c r="H1306" s="86">
        <f t="shared" si="42"/>
        <v>183959880</v>
      </c>
    </row>
    <row r="1307" spans="1:8" ht="15.75" customHeight="1" x14ac:dyDescent="0.25">
      <c r="A1307" s="4" t="s">
        <v>1845</v>
      </c>
      <c r="B1307" s="8">
        <v>1302</v>
      </c>
      <c r="C1307" s="8" t="s">
        <v>1846</v>
      </c>
      <c r="D1307" s="8" t="s">
        <v>10</v>
      </c>
      <c r="E1307" s="8">
        <v>4230.09</v>
      </c>
      <c r="F1307" s="8" t="s">
        <v>16</v>
      </c>
      <c r="G1307" s="85">
        <f>+'[3]Dự thầu'!$G769</f>
        <v>9946</v>
      </c>
      <c r="H1307" s="86">
        <f t="shared" si="42"/>
        <v>42072475</v>
      </c>
    </row>
    <row r="1308" spans="1:8" ht="15.75" customHeight="1" x14ac:dyDescent="0.25">
      <c r="A1308" s="4" t="s">
        <v>1847</v>
      </c>
      <c r="B1308" s="8">
        <v>1303</v>
      </c>
      <c r="C1308" s="8" t="s">
        <v>1848</v>
      </c>
      <c r="D1308" s="8" t="s">
        <v>10</v>
      </c>
      <c r="E1308" s="8">
        <v>229.90219999999999</v>
      </c>
      <c r="F1308" s="8" t="s">
        <v>16</v>
      </c>
      <c r="G1308" s="85">
        <f>+'[3]Dự thầu'!$G770</f>
        <v>1563454</v>
      </c>
      <c r="H1308" s="86">
        <f t="shared" si="42"/>
        <v>359441514</v>
      </c>
    </row>
    <row r="1309" spans="1:8" ht="15.75" customHeight="1" x14ac:dyDescent="0.25">
      <c r="A1309" s="4" t="s">
        <v>1849</v>
      </c>
      <c r="B1309" s="8">
        <v>1304</v>
      </c>
      <c r="C1309" s="8" t="s">
        <v>1597</v>
      </c>
      <c r="D1309" s="8" t="s">
        <v>10</v>
      </c>
      <c r="E1309" s="8">
        <v>0.79</v>
      </c>
      <c r="F1309" s="8" t="s">
        <v>90</v>
      </c>
      <c r="G1309" s="85">
        <f>+'[3]Dự thầu'!$G771</f>
        <v>27101433</v>
      </c>
      <c r="H1309" s="86">
        <f t="shared" si="42"/>
        <v>21410132</v>
      </c>
    </row>
    <row r="1310" spans="1:8" ht="15.75" customHeight="1" x14ac:dyDescent="0.25">
      <c r="A1310" s="4" t="s">
        <v>1850</v>
      </c>
      <c r="B1310" s="8">
        <v>1305</v>
      </c>
      <c r="C1310" s="8" t="s">
        <v>497</v>
      </c>
      <c r="D1310" s="8" t="s">
        <v>10</v>
      </c>
      <c r="E1310" s="8">
        <v>2643.8755000000001</v>
      </c>
      <c r="F1310" s="8" t="s">
        <v>13</v>
      </c>
      <c r="G1310" s="85">
        <f>+'[3]Dự thầu'!$G772</f>
        <v>86606</v>
      </c>
      <c r="H1310" s="86">
        <f t="shared" si="42"/>
        <v>228975482</v>
      </c>
    </row>
    <row r="1311" spans="1:8" ht="15.75" customHeight="1" x14ac:dyDescent="0.25">
      <c r="A1311" s="4" t="s">
        <v>1851</v>
      </c>
      <c r="B1311" s="8">
        <v>1306</v>
      </c>
      <c r="C1311" s="8" t="s">
        <v>1852</v>
      </c>
      <c r="D1311" s="8" t="s">
        <v>10</v>
      </c>
      <c r="E1311" s="8">
        <v>7184.4443000000001</v>
      </c>
      <c r="F1311" s="8" t="s">
        <v>297</v>
      </c>
      <c r="G1311" s="85">
        <f>+'[3]Dự thầu'!$G773</f>
        <v>36395</v>
      </c>
      <c r="H1311" s="86">
        <f t="shared" si="42"/>
        <v>261477850</v>
      </c>
    </row>
    <row r="1312" spans="1:8" ht="15.75" customHeight="1" x14ac:dyDescent="0.25">
      <c r="A1312" s="4" t="s">
        <v>1853</v>
      </c>
      <c r="B1312" s="8">
        <v>1307</v>
      </c>
      <c r="C1312" s="8" t="s">
        <v>1854</v>
      </c>
      <c r="D1312" s="8" t="s">
        <v>10</v>
      </c>
      <c r="E1312" s="8">
        <v>7184.4443000000001</v>
      </c>
      <c r="F1312" s="8" t="s">
        <v>250</v>
      </c>
      <c r="G1312" s="85">
        <f>+'[3]Dự thầu'!$G774</f>
        <v>33894</v>
      </c>
      <c r="H1312" s="86">
        <f t="shared" si="42"/>
        <v>243509555</v>
      </c>
    </row>
    <row r="1313" spans="1:8" ht="15.75" customHeight="1" x14ac:dyDescent="0.25">
      <c r="A1313" s="4" t="s">
        <v>1855</v>
      </c>
      <c r="B1313" s="8">
        <v>1308</v>
      </c>
      <c r="C1313" s="8" t="s">
        <v>1856</v>
      </c>
      <c r="D1313" s="8" t="s">
        <v>10</v>
      </c>
      <c r="E1313" s="8">
        <v>7184.4443000000001</v>
      </c>
      <c r="F1313" s="8" t="s">
        <v>250</v>
      </c>
      <c r="G1313" s="85">
        <f>+'[3]Dự thầu'!$G775</f>
        <v>26228</v>
      </c>
      <c r="H1313" s="86">
        <f t="shared" si="42"/>
        <v>188433605</v>
      </c>
    </row>
    <row r="1314" spans="1:8" ht="15.75" customHeight="1" x14ac:dyDescent="0.25">
      <c r="A1314" s="4" t="s">
        <v>1857</v>
      </c>
      <c r="B1314" s="8">
        <v>1309</v>
      </c>
      <c r="C1314" s="8" t="s">
        <v>284</v>
      </c>
      <c r="D1314" s="8" t="s">
        <v>10</v>
      </c>
      <c r="E1314" s="8">
        <v>57.4756</v>
      </c>
      <c r="F1314" s="8" t="s">
        <v>253</v>
      </c>
      <c r="G1314" s="85">
        <f>+'[3]Dự thầu'!$G776</f>
        <v>36271</v>
      </c>
      <c r="H1314" s="86">
        <f t="shared" si="42"/>
        <v>2084697</v>
      </c>
    </row>
    <row r="1315" spans="1:8" ht="15.75" customHeight="1" x14ac:dyDescent="0.25">
      <c r="A1315" s="4" t="s">
        <v>1858</v>
      </c>
      <c r="B1315" s="8">
        <v>1310</v>
      </c>
      <c r="C1315" s="8" t="s">
        <v>1859</v>
      </c>
      <c r="D1315" s="8" t="s">
        <v>10</v>
      </c>
      <c r="E1315" s="8">
        <v>2.48</v>
      </c>
      <c r="F1315" s="8" t="s">
        <v>16</v>
      </c>
      <c r="G1315" s="85">
        <f>+'[3]Dự thầu'!$G777</f>
        <v>1654556</v>
      </c>
      <c r="H1315" s="86">
        <f t="shared" si="42"/>
        <v>4103299</v>
      </c>
    </row>
    <row r="1316" spans="1:8" ht="15.75" customHeight="1" x14ac:dyDescent="0.25">
      <c r="A1316" s="4" t="s">
        <v>1860</v>
      </c>
      <c r="B1316" s="8">
        <v>1311</v>
      </c>
      <c r="C1316" s="8" t="s">
        <v>1861</v>
      </c>
      <c r="D1316" s="8" t="s">
        <v>10</v>
      </c>
      <c r="E1316" s="8">
        <v>1.5349999999999999</v>
      </c>
      <c r="F1316" s="8" t="s">
        <v>16</v>
      </c>
      <c r="G1316" s="85">
        <f>+'[3]Dự thầu'!$G778</f>
        <v>1152723</v>
      </c>
      <c r="H1316" s="86">
        <f t="shared" si="42"/>
        <v>1769430</v>
      </c>
    </row>
    <row r="1317" spans="1:8" ht="15.75" customHeight="1" x14ac:dyDescent="0.25">
      <c r="A1317" s="4" t="s">
        <v>1862</v>
      </c>
      <c r="B1317" s="8">
        <v>1312</v>
      </c>
      <c r="C1317" s="8" t="s">
        <v>497</v>
      </c>
      <c r="D1317" s="8" t="s">
        <v>10</v>
      </c>
      <c r="E1317" s="8">
        <v>44.92</v>
      </c>
      <c r="F1317" s="8" t="s">
        <v>13</v>
      </c>
      <c r="G1317" s="85">
        <f>+'[3]Dự thầu'!$G779</f>
        <v>65242</v>
      </c>
      <c r="H1317" s="86">
        <f t="shared" si="42"/>
        <v>2930671</v>
      </c>
    </row>
    <row r="1318" spans="1:8" ht="15.75" customHeight="1" x14ac:dyDescent="0.25">
      <c r="A1318" s="4" t="s">
        <v>1863</v>
      </c>
      <c r="B1318" s="8">
        <v>1313</v>
      </c>
      <c r="C1318" s="8" t="s">
        <v>1864</v>
      </c>
      <c r="D1318" s="8" t="s">
        <v>10</v>
      </c>
      <c r="E1318" s="8">
        <v>0.45</v>
      </c>
      <c r="F1318" s="8" t="s">
        <v>16</v>
      </c>
      <c r="G1318" s="85">
        <f>+'[3]Dự thầu'!$G780</f>
        <v>1532161</v>
      </c>
      <c r="H1318" s="86">
        <f t="shared" si="42"/>
        <v>689472</v>
      </c>
    </row>
    <row r="1319" spans="1:8" ht="15.75" customHeight="1" x14ac:dyDescent="0.25">
      <c r="A1319" s="4" t="s">
        <v>1865</v>
      </c>
      <c r="B1319" s="8">
        <v>1314</v>
      </c>
      <c r="C1319" s="8" t="s">
        <v>1866</v>
      </c>
      <c r="D1319" s="8" t="s">
        <v>10</v>
      </c>
      <c r="E1319" s="8">
        <v>81.19</v>
      </c>
      <c r="F1319" s="8" t="s">
        <v>16</v>
      </c>
      <c r="G1319" s="85">
        <f>+'[3]Dự thầu'!$G781</f>
        <v>1521411</v>
      </c>
      <c r="H1319" s="86">
        <f t="shared" si="42"/>
        <v>123523359</v>
      </c>
    </row>
    <row r="1320" spans="1:8" ht="15.75" customHeight="1" x14ac:dyDescent="0.25">
      <c r="A1320" s="4" t="s">
        <v>1867</v>
      </c>
      <c r="B1320" s="8">
        <v>1315</v>
      </c>
      <c r="C1320" s="8" t="s">
        <v>1868</v>
      </c>
      <c r="D1320" s="8" t="s">
        <v>10</v>
      </c>
      <c r="E1320" s="8">
        <v>2.2231999999999998</v>
      </c>
      <c r="F1320" s="8" t="s">
        <v>126</v>
      </c>
      <c r="G1320" s="85">
        <f>+'[3]Dự thầu'!$G782</f>
        <v>10479792</v>
      </c>
      <c r="H1320" s="86">
        <f t="shared" si="42"/>
        <v>23298674</v>
      </c>
    </row>
    <row r="1321" spans="1:8" ht="15.75" customHeight="1" x14ac:dyDescent="0.25">
      <c r="A1321" s="4" t="s">
        <v>1869</v>
      </c>
      <c r="B1321" s="8">
        <v>1316</v>
      </c>
      <c r="C1321" s="8" t="s">
        <v>1671</v>
      </c>
      <c r="D1321" s="8" t="s">
        <v>10</v>
      </c>
      <c r="E1321" s="8">
        <v>13.0518</v>
      </c>
      <c r="F1321" s="8" t="s">
        <v>16</v>
      </c>
      <c r="G1321" s="85">
        <f>+'[3]Dự thầu'!$G783</f>
        <v>1331296</v>
      </c>
      <c r="H1321" s="86">
        <f t="shared" si="42"/>
        <v>17375809</v>
      </c>
    </row>
    <row r="1322" spans="1:8" ht="15.75" customHeight="1" x14ac:dyDescent="0.25">
      <c r="A1322" s="4" t="s">
        <v>1870</v>
      </c>
      <c r="B1322" s="8">
        <v>1317</v>
      </c>
      <c r="C1322" s="8" t="s">
        <v>1871</v>
      </c>
      <c r="D1322" s="8" t="s">
        <v>10</v>
      </c>
      <c r="E1322" s="8">
        <v>11</v>
      </c>
      <c r="F1322" s="8" t="s">
        <v>13</v>
      </c>
      <c r="G1322" s="85">
        <f>+'[3]Dự thầu'!$G784/100</f>
        <v>104797.92</v>
      </c>
      <c r="H1322" s="86">
        <f t="shared" si="42"/>
        <v>1152777</v>
      </c>
    </row>
    <row r="1323" spans="1:8" ht="15.75" customHeight="1" x14ac:dyDescent="0.25">
      <c r="A1323" s="4" t="s">
        <v>1872</v>
      </c>
      <c r="B1323" s="8">
        <v>1318</v>
      </c>
      <c r="C1323" s="8" t="s">
        <v>1873</v>
      </c>
      <c r="D1323" s="8" t="s">
        <v>10</v>
      </c>
      <c r="E1323" s="8">
        <v>28.996200000000002</v>
      </c>
      <c r="F1323" s="8" t="s">
        <v>16</v>
      </c>
      <c r="G1323" s="85">
        <f>+'[3]Dự thầu'!$G785</f>
        <v>1521411</v>
      </c>
      <c r="H1323" s="86">
        <f t="shared" si="42"/>
        <v>44115138</v>
      </c>
    </row>
    <row r="1324" spans="1:8" ht="15.75" customHeight="1" x14ac:dyDescent="0.25">
      <c r="A1324" s="4" t="s">
        <v>1874</v>
      </c>
      <c r="B1324" s="8">
        <v>1319</v>
      </c>
      <c r="C1324" s="8" t="s">
        <v>1875</v>
      </c>
      <c r="D1324" s="8" t="s">
        <v>10</v>
      </c>
      <c r="E1324" s="8">
        <v>51.348700000000001</v>
      </c>
      <c r="F1324" s="8" t="s">
        <v>13</v>
      </c>
      <c r="G1324" s="85">
        <f>+'[3]Dự thầu'!$G786</f>
        <v>20017</v>
      </c>
      <c r="H1324" s="86">
        <f t="shared" si="42"/>
        <v>1027847</v>
      </c>
    </row>
    <row r="1325" spans="1:8" ht="15.75" customHeight="1" x14ac:dyDescent="0.25">
      <c r="A1325" s="4" t="s">
        <v>1876</v>
      </c>
      <c r="B1325" s="8">
        <v>1320</v>
      </c>
      <c r="C1325" s="8" t="s">
        <v>1877</v>
      </c>
      <c r="D1325" s="8" t="s">
        <v>10</v>
      </c>
      <c r="E1325" s="8">
        <v>9788.85</v>
      </c>
      <c r="F1325" s="8" t="s">
        <v>75</v>
      </c>
      <c r="G1325" s="85">
        <f>+'[3]Dự thầu'!$G787</f>
        <v>11223</v>
      </c>
      <c r="H1325" s="86">
        <f t="shared" si="42"/>
        <v>109860264</v>
      </c>
    </row>
    <row r="1326" spans="1:8" ht="15.75" customHeight="1" x14ac:dyDescent="0.25">
      <c r="A1326" s="4" t="s">
        <v>1878</v>
      </c>
      <c r="B1326" s="8">
        <v>1321</v>
      </c>
      <c r="C1326" s="8" t="s">
        <v>94</v>
      </c>
      <c r="D1326" s="8" t="s">
        <v>10</v>
      </c>
      <c r="E1326" s="8">
        <v>672</v>
      </c>
      <c r="F1326" s="8" t="s">
        <v>13</v>
      </c>
      <c r="G1326" s="85">
        <f>+'[3]Dự thầu'!$G788</f>
        <v>11015</v>
      </c>
      <c r="H1326" s="86">
        <f t="shared" si="42"/>
        <v>7402080</v>
      </c>
    </row>
    <row r="1327" spans="1:8" ht="15.75" customHeight="1" x14ac:dyDescent="0.25">
      <c r="A1327" s="4" t="s">
        <v>1879</v>
      </c>
      <c r="B1327" s="8">
        <v>1322</v>
      </c>
      <c r="C1327" s="8" t="s">
        <v>96</v>
      </c>
      <c r="D1327" s="8" t="s">
        <v>10</v>
      </c>
      <c r="E1327" s="8">
        <v>95.692800000000005</v>
      </c>
      <c r="F1327" s="8" t="s">
        <v>90</v>
      </c>
      <c r="G1327" s="85">
        <v>1646788</v>
      </c>
      <c r="H1327" s="86">
        <f t="shared" si="42"/>
        <v>157585755</v>
      </c>
    </row>
    <row r="1328" spans="1:8" ht="15.75" customHeight="1" x14ac:dyDescent="0.25">
      <c r="A1328" s="4" t="s">
        <v>1880</v>
      </c>
      <c r="B1328" s="8">
        <v>1323</v>
      </c>
      <c r="C1328" s="8" t="s">
        <v>98</v>
      </c>
      <c r="D1328" s="8" t="s">
        <v>10</v>
      </c>
      <c r="E1328" s="8">
        <v>95.69</v>
      </c>
      <c r="F1328" s="8" t="s">
        <v>90</v>
      </c>
      <c r="G1328" s="85">
        <f>+('[3]Dự thầu'!$G$790+'[3]Dự thầu'!$G$791)/100</f>
        <v>113842.61</v>
      </c>
      <c r="H1328" s="86">
        <f t="shared" si="42"/>
        <v>10893599</v>
      </c>
    </row>
    <row r="1329" spans="1:8" ht="15.75" customHeight="1" x14ac:dyDescent="0.25">
      <c r="A1329" s="4" t="s">
        <v>1881</v>
      </c>
      <c r="B1329" s="8">
        <v>1324</v>
      </c>
      <c r="C1329" s="8" t="s">
        <v>1882</v>
      </c>
      <c r="D1329" s="8" t="s">
        <v>10</v>
      </c>
      <c r="E1329" s="8">
        <v>672</v>
      </c>
      <c r="F1329" s="8" t="s">
        <v>13</v>
      </c>
      <c r="G1329" s="85">
        <f>+'[3]Dự thầu'!$G792</f>
        <v>32529</v>
      </c>
      <c r="H1329" s="86">
        <f t="shared" si="42"/>
        <v>21859488</v>
      </c>
    </row>
    <row r="1330" spans="1:8" ht="15.75" customHeight="1" x14ac:dyDescent="0.25">
      <c r="A1330" s="4" t="s">
        <v>1883</v>
      </c>
      <c r="B1330" s="8">
        <v>1325</v>
      </c>
      <c r="C1330" s="8" t="s">
        <v>1884</v>
      </c>
      <c r="D1330" s="8" t="s">
        <v>10</v>
      </c>
      <c r="E1330" s="8">
        <v>201.6</v>
      </c>
      <c r="F1330" s="8" t="s">
        <v>16</v>
      </c>
      <c r="G1330" s="85">
        <f>+'[3]Dự thầu'!$G793</f>
        <v>16751</v>
      </c>
      <c r="H1330" s="86">
        <f t="shared" si="42"/>
        <v>3377002</v>
      </c>
    </row>
    <row r="1331" spans="1:8" ht="15.75" customHeight="1" x14ac:dyDescent="0.25">
      <c r="A1331" s="4" t="s">
        <v>1885</v>
      </c>
      <c r="B1331" s="8">
        <v>1326</v>
      </c>
      <c r="C1331" s="8" t="s">
        <v>1886</v>
      </c>
      <c r="D1331" s="8" t="s">
        <v>10</v>
      </c>
      <c r="E1331" s="8">
        <v>161.28</v>
      </c>
      <c r="F1331" s="8" t="s">
        <v>16</v>
      </c>
      <c r="G1331" s="85">
        <f>+'[3]Dự thầu'!$G794</f>
        <v>364704</v>
      </c>
      <c r="H1331" s="86">
        <f t="shared" si="42"/>
        <v>58819461</v>
      </c>
    </row>
    <row r="1332" spans="1:8" ht="15.75" customHeight="1" x14ac:dyDescent="0.25">
      <c r="A1332" s="4" t="s">
        <v>1887</v>
      </c>
      <c r="B1332" s="8">
        <v>1327</v>
      </c>
      <c r="C1332" s="8" t="s">
        <v>1888</v>
      </c>
      <c r="D1332" s="8" t="s">
        <v>10</v>
      </c>
      <c r="E1332" s="8">
        <v>228.48</v>
      </c>
      <c r="F1332" s="8" t="s">
        <v>16</v>
      </c>
      <c r="G1332" s="85">
        <f>+'[3]Dự thầu'!$G795</f>
        <v>363053</v>
      </c>
      <c r="H1332" s="86">
        <f t="shared" si="42"/>
        <v>82950349</v>
      </c>
    </row>
    <row r="1333" spans="1:8" ht="15.75" customHeight="1" x14ac:dyDescent="0.25">
      <c r="A1333" s="4" t="s">
        <v>1889</v>
      </c>
      <c r="B1333" s="8">
        <v>1328</v>
      </c>
      <c r="C1333" s="8" t="s">
        <v>1890</v>
      </c>
      <c r="D1333" s="8" t="s">
        <v>10</v>
      </c>
      <c r="E1333" s="8">
        <v>41.4</v>
      </c>
      <c r="F1333" s="8" t="s">
        <v>16</v>
      </c>
      <c r="G1333" s="85">
        <f>+'[3]Dự thầu'!$G796</f>
        <v>1719728</v>
      </c>
      <c r="H1333" s="86">
        <f t="shared" si="42"/>
        <v>71196739</v>
      </c>
    </row>
    <row r="1334" spans="1:8" ht="15.75" customHeight="1" x14ac:dyDescent="0.25">
      <c r="A1334" s="4" t="s">
        <v>1891</v>
      </c>
      <c r="B1334" s="8">
        <v>1329</v>
      </c>
      <c r="C1334" s="8" t="s">
        <v>1597</v>
      </c>
      <c r="D1334" s="8" t="s">
        <v>10</v>
      </c>
      <c r="E1334" s="8">
        <v>1.7538</v>
      </c>
      <c r="F1334" s="8" t="s">
        <v>90</v>
      </c>
      <c r="G1334" s="85">
        <f>+'[3]Dự thầu'!$G797</f>
        <v>27101433</v>
      </c>
      <c r="H1334" s="86">
        <f t="shared" si="42"/>
        <v>47530493</v>
      </c>
    </row>
    <row r="1335" spans="1:8" ht="15.75" customHeight="1" x14ac:dyDescent="0.25">
      <c r="A1335" s="4" t="s">
        <v>1892</v>
      </c>
      <c r="B1335" s="8">
        <v>1330</v>
      </c>
      <c r="C1335" s="8" t="s">
        <v>1893</v>
      </c>
      <c r="D1335" s="8" t="s">
        <v>10</v>
      </c>
      <c r="E1335" s="8">
        <v>1720</v>
      </c>
      <c r="F1335" s="8" t="s">
        <v>1894</v>
      </c>
      <c r="G1335" s="85">
        <f>+'[3]Dự thầu'!$G798</f>
        <v>20372</v>
      </c>
      <c r="H1335" s="86">
        <f t="shared" si="42"/>
        <v>35039840</v>
      </c>
    </row>
    <row r="1336" spans="1:8" ht="15.75" customHeight="1" x14ac:dyDescent="0.25">
      <c r="A1336" s="4" t="s">
        <v>1895</v>
      </c>
      <c r="B1336" s="8">
        <v>1331</v>
      </c>
      <c r="C1336" s="8" t="s">
        <v>1896</v>
      </c>
      <c r="D1336" s="8" t="s">
        <v>10</v>
      </c>
      <c r="E1336" s="8">
        <v>135</v>
      </c>
      <c r="F1336" s="8" t="s">
        <v>16</v>
      </c>
      <c r="G1336" s="85">
        <f>+'[3]Dự thầu'!$G799</f>
        <v>363053</v>
      </c>
      <c r="H1336" s="86">
        <f t="shared" si="42"/>
        <v>49012155</v>
      </c>
    </row>
    <row r="1337" spans="1:8" ht="15.75" customHeight="1" x14ac:dyDescent="0.25">
      <c r="A1337" s="4" t="s">
        <v>1897</v>
      </c>
      <c r="B1337" s="8">
        <v>1332</v>
      </c>
      <c r="C1337" s="8" t="s">
        <v>1898</v>
      </c>
      <c r="D1337" s="8" t="s">
        <v>10</v>
      </c>
      <c r="E1337" s="8">
        <v>1260</v>
      </c>
      <c r="F1337" s="8" t="s">
        <v>16</v>
      </c>
      <c r="G1337" s="85">
        <f>+'[3]Dự thầu'!$G800</f>
        <v>6875</v>
      </c>
      <c r="H1337" s="86">
        <f t="shared" si="42"/>
        <v>8662500</v>
      </c>
    </row>
    <row r="1338" spans="1:8" ht="15.75" customHeight="1" x14ac:dyDescent="0.25">
      <c r="A1338" s="4" t="s">
        <v>1899</v>
      </c>
      <c r="B1338" s="8">
        <v>1333</v>
      </c>
      <c r="C1338" s="8" t="s">
        <v>195</v>
      </c>
      <c r="D1338" s="8" t="s">
        <v>10</v>
      </c>
      <c r="E1338" s="8">
        <v>1692.306</v>
      </c>
      <c r="F1338" s="8" t="s">
        <v>16</v>
      </c>
      <c r="G1338" s="85">
        <f>+'[3]Dự thầu'!$G801</f>
        <v>50585</v>
      </c>
      <c r="H1338" s="86">
        <f t="shared" si="42"/>
        <v>85605299</v>
      </c>
    </row>
    <row r="1339" spans="1:8" ht="15.75" customHeight="1" x14ac:dyDescent="0.25">
      <c r="A1339" s="4" t="s">
        <v>1900</v>
      </c>
      <c r="B1339" s="8">
        <v>1334</v>
      </c>
      <c r="C1339" s="8" t="s">
        <v>36</v>
      </c>
      <c r="D1339" s="8" t="s">
        <v>10</v>
      </c>
      <c r="E1339" s="8">
        <v>169.23060000000001</v>
      </c>
      <c r="F1339" s="8" t="s">
        <v>37</v>
      </c>
      <c r="G1339" s="85">
        <f>+'[3]Dự thầu'!$G$802+'[3]Dự thầu'!$G$803+'[3]Dự thầu'!$G$804</f>
        <v>1064000</v>
      </c>
      <c r="H1339" s="86">
        <f t="shared" si="42"/>
        <v>180061358</v>
      </c>
    </row>
    <row r="1340" spans="1:8" ht="15.75" customHeight="1" x14ac:dyDescent="0.25">
      <c r="A1340" s="4" t="s">
        <v>1901</v>
      </c>
      <c r="B1340" s="8">
        <v>1335</v>
      </c>
      <c r="C1340" s="8" t="s">
        <v>1421</v>
      </c>
      <c r="D1340" s="8" t="s">
        <v>10</v>
      </c>
      <c r="E1340" s="8">
        <v>15</v>
      </c>
      <c r="F1340" s="8" t="s">
        <v>16</v>
      </c>
      <c r="G1340" s="85">
        <f>+'[3]Dự thầu'!$G805</f>
        <v>363053</v>
      </c>
      <c r="H1340" s="86">
        <f t="shared" si="42"/>
        <v>5445795</v>
      </c>
    </row>
    <row r="1341" spans="1:8" ht="15.75" customHeight="1" x14ac:dyDescent="0.25">
      <c r="A1341" s="4" t="s">
        <v>1902</v>
      </c>
      <c r="B1341" s="8">
        <v>1336</v>
      </c>
      <c r="C1341" s="8" t="s">
        <v>1898</v>
      </c>
      <c r="D1341" s="8" t="s">
        <v>10</v>
      </c>
      <c r="E1341" s="8">
        <v>140</v>
      </c>
      <c r="F1341" s="8" t="s">
        <v>16</v>
      </c>
      <c r="G1341" s="85">
        <f>+'[3]Dự thầu'!$G806</f>
        <v>6875</v>
      </c>
      <c r="H1341" s="86">
        <f t="shared" si="42"/>
        <v>962500</v>
      </c>
    </row>
    <row r="1342" spans="1:8" ht="15.75" customHeight="1" x14ac:dyDescent="0.25">
      <c r="A1342" s="4" t="s">
        <v>1903</v>
      </c>
      <c r="B1342" s="8">
        <v>1337</v>
      </c>
      <c r="C1342" s="8" t="s">
        <v>195</v>
      </c>
      <c r="D1342" s="8" t="s">
        <v>10</v>
      </c>
      <c r="E1342" s="8">
        <v>188.03399999999999</v>
      </c>
      <c r="F1342" s="8" t="s">
        <v>16</v>
      </c>
      <c r="G1342" s="85">
        <f>+'[3]Dự thầu'!$G807</f>
        <v>50585</v>
      </c>
      <c r="H1342" s="86">
        <f t="shared" si="42"/>
        <v>9511700</v>
      </c>
    </row>
    <row r="1343" spans="1:8" ht="15.75" customHeight="1" x14ac:dyDescent="0.25">
      <c r="A1343" s="4" t="s">
        <v>1904</v>
      </c>
      <c r="B1343" s="8">
        <v>1338</v>
      </c>
      <c r="C1343" s="8" t="s">
        <v>36</v>
      </c>
      <c r="D1343" s="8" t="s">
        <v>10</v>
      </c>
      <c r="E1343" s="8">
        <v>18.8034</v>
      </c>
      <c r="F1343" s="8" t="s">
        <v>37</v>
      </c>
      <c r="G1343" s="85">
        <f>+'[3]Dự thầu'!$G$808+'[3]Dự thầu'!$G$809+'[3]Dự thầu'!$G$810</f>
        <v>1064000</v>
      </c>
      <c r="H1343" s="86">
        <f t="shared" si="42"/>
        <v>20006818</v>
      </c>
    </row>
    <row r="1344" spans="1:8" ht="15.75" customHeight="1" x14ac:dyDescent="0.25">
      <c r="A1344" s="4" t="s">
        <v>1905</v>
      </c>
      <c r="B1344" s="8">
        <v>1339</v>
      </c>
      <c r="C1344" s="8" t="s">
        <v>1896</v>
      </c>
      <c r="D1344" s="8" t="s">
        <v>10</v>
      </c>
      <c r="E1344" s="8">
        <v>11.25</v>
      </c>
      <c r="F1344" s="8" t="s">
        <v>16</v>
      </c>
      <c r="G1344" s="85">
        <f>+'[3]Dự thầu'!$G811</f>
        <v>363053</v>
      </c>
      <c r="H1344" s="86">
        <f t="shared" si="42"/>
        <v>4084346</v>
      </c>
    </row>
    <row r="1345" spans="1:8" ht="15.75" customHeight="1" x14ac:dyDescent="0.25">
      <c r="A1345" s="4" t="s">
        <v>1906</v>
      </c>
      <c r="B1345" s="8">
        <v>1340</v>
      </c>
      <c r="C1345" s="8" t="s">
        <v>1898</v>
      </c>
      <c r="D1345" s="8" t="s">
        <v>10</v>
      </c>
      <c r="E1345" s="8">
        <v>105</v>
      </c>
      <c r="F1345" s="8" t="s">
        <v>16</v>
      </c>
      <c r="G1345" s="85">
        <f>+'[3]Dự thầu'!$G812</f>
        <v>6875</v>
      </c>
      <c r="H1345" s="86">
        <f t="shared" si="42"/>
        <v>721875</v>
      </c>
    </row>
    <row r="1346" spans="1:8" ht="15.75" customHeight="1" x14ac:dyDescent="0.25">
      <c r="A1346" s="4" t="s">
        <v>1907</v>
      </c>
      <c r="B1346" s="8">
        <v>1341</v>
      </c>
      <c r="C1346" s="8" t="s">
        <v>195</v>
      </c>
      <c r="D1346" s="8" t="s">
        <v>10</v>
      </c>
      <c r="E1346" s="8">
        <v>141.02549999999999</v>
      </c>
      <c r="F1346" s="8" t="s">
        <v>16</v>
      </c>
      <c r="G1346" s="85">
        <f>+'[3]Dự thầu'!$G813</f>
        <v>50585</v>
      </c>
      <c r="H1346" s="86">
        <f t="shared" si="42"/>
        <v>7133775</v>
      </c>
    </row>
    <row r="1347" spans="1:8" ht="15.75" customHeight="1" x14ac:dyDescent="0.25">
      <c r="A1347" s="4" t="s">
        <v>1908</v>
      </c>
      <c r="B1347" s="8">
        <v>1342</v>
      </c>
      <c r="C1347" s="8" t="s">
        <v>36</v>
      </c>
      <c r="D1347" s="8" t="s">
        <v>10</v>
      </c>
      <c r="E1347" s="8">
        <v>14.102600000000001</v>
      </c>
      <c r="F1347" s="8" t="s">
        <v>37</v>
      </c>
      <c r="G1347" s="85">
        <f>+'[3]Dự thầu'!$G$814+'[3]Dự thầu'!$G$815+'[3]Dự thầu'!$G$816</f>
        <v>1064000</v>
      </c>
      <c r="H1347" s="86">
        <f t="shared" si="42"/>
        <v>15005166</v>
      </c>
    </row>
    <row r="1348" spans="1:8" ht="15.75" customHeight="1" x14ac:dyDescent="0.25">
      <c r="A1348" s="4" t="s">
        <v>1909</v>
      </c>
      <c r="B1348" s="8">
        <v>1343</v>
      </c>
      <c r="C1348" s="8" t="s">
        <v>1910</v>
      </c>
      <c r="D1348" s="8" t="s">
        <v>10</v>
      </c>
      <c r="E1348" s="8">
        <v>1537.1</v>
      </c>
      <c r="F1348" s="8" t="s">
        <v>16</v>
      </c>
      <c r="G1348" s="85">
        <f>+'[3]Dự thầu'!$G$817</f>
        <v>9946</v>
      </c>
      <c r="H1348" s="86">
        <f t="shared" si="42"/>
        <v>15287997</v>
      </c>
    </row>
    <row r="1349" spans="1:8" ht="15.75" customHeight="1" x14ac:dyDescent="0.25">
      <c r="A1349" s="4" t="s">
        <v>1911</v>
      </c>
      <c r="B1349" s="8">
        <v>1344</v>
      </c>
      <c r="C1349" s="8" t="s">
        <v>41</v>
      </c>
      <c r="D1349" s="8" t="s">
        <v>10</v>
      </c>
      <c r="E1349" s="8">
        <v>1537.1</v>
      </c>
      <c r="F1349" s="8" t="s">
        <v>16</v>
      </c>
      <c r="G1349" s="85">
        <f>+'[3]Dự thầu'!$G$818</f>
        <v>40424</v>
      </c>
      <c r="H1349" s="86">
        <f t="shared" si="42"/>
        <v>62135730</v>
      </c>
    </row>
    <row r="1350" spans="1:8" ht="15.75" customHeight="1" x14ac:dyDescent="0.25">
      <c r="A1350" s="4">
        <v>20</v>
      </c>
      <c r="B1350" s="8">
        <v>1345</v>
      </c>
      <c r="C1350" s="8" t="s">
        <v>1912</v>
      </c>
      <c r="D1350" s="8" t="s">
        <v>10</v>
      </c>
      <c r="E1350" s="8"/>
      <c r="F1350" s="8"/>
      <c r="G1350" s="85"/>
      <c r="H1350" s="86"/>
    </row>
    <row r="1351" spans="1:8" ht="15.75" customHeight="1" x14ac:dyDescent="0.25">
      <c r="A1351" s="4" t="s">
        <v>1913</v>
      </c>
      <c r="B1351" s="8">
        <v>1346</v>
      </c>
      <c r="C1351" s="8" t="s">
        <v>1914</v>
      </c>
      <c r="D1351" s="8" t="s">
        <v>10</v>
      </c>
      <c r="E1351" s="8">
        <v>6</v>
      </c>
      <c r="F1351" s="8" t="s">
        <v>258</v>
      </c>
      <c r="G1351" s="85">
        <v>366870</v>
      </c>
      <c r="H1351" s="86">
        <f t="shared" ref="H1351:H1365" si="43">+ROUND(G1351*E1351,0)</f>
        <v>2201220</v>
      </c>
    </row>
    <row r="1352" spans="1:8" ht="15.75" customHeight="1" x14ac:dyDescent="0.25">
      <c r="A1352" s="4" t="s">
        <v>1915</v>
      </c>
      <c r="B1352" s="8">
        <v>1347</v>
      </c>
      <c r="C1352" s="8" t="s">
        <v>1916</v>
      </c>
      <c r="D1352" s="8" t="s">
        <v>10</v>
      </c>
      <c r="E1352" s="8">
        <v>2</v>
      </c>
      <c r="F1352" s="8" t="s">
        <v>258</v>
      </c>
      <c r="G1352" s="85">
        <v>1775137</v>
      </c>
      <c r="H1352" s="86">
        <f t="shared" si="43"/>
        <v>3550274</v>
      </c>
    </row>
    <row r="1353" spans="1:8" ht="15.75" customHeight="1" x14ac:dyDescent="0.25">
      <c r="A1353" s="4" t="s">
        <v>1917</v>
      </c>
      <c r="B1353" s="8">
        <v>1348</v>
      </c>
      <c r="C1353" s="8" t="s">
        <v>1918</v>
      </c>
      <c r="D1353" s="8" t="s">
        <v>10</v>
      </c>
      <c r="E1353" s="8">
        <v>2</v>
      </c>
      <c r="F1353" s="8" t="s">
        <v>258</v>
      </c>
      <c r="G1353" s="85">
        <v>1775137</v>
      </c>
      <c r="H1353" s="86">
        <f t="shared" si="43"/>
        <v>3550274</v>
      </c>
    </row>
    <row r="1354" spans="1:8" ht="15.75" customHeight="1" x14ac:dyDescent="0.25">
      <c r="A1354" s="4" t="s">
        <v>1919</v>
      </c>
      <c r="B1354" s="8">
        <v>1349</v>
      </c>
      <c r="C1354" s="8" t="s">
        <v>1920</v>
      </c>
      <c r="D1354" s="8" t="s">
        <v>10</v>
      </c>
      <c r="E1354" s="8">
        <v>2</v>
      </c>
      <c r="F1354" s="8" t="s">
        <v>258</v>
      </c>
      <c r="G1354" s="85">
        <v>1775137</v>
      </c>
      <c r="H1354" s="86">
        <f t="shared" si="43"/>
        <v>3550274</v>
      </c>
    </row>
    <row r="1355" spans="1:8" ht="15.75" customHeight="1" x14ac:dyDescent="0.25">
      <c r="A1355" s="4" t="s">
        <v>1921</v>
      </c>
      <c r="B1355" s="8">
        <v>1350</v>
      </c>
      <c r="C1355" s="8" t="s">
        <v>1922</v>
      </c>
      <c r="D1355" s="8" t="s">
        <v>10</v>
      </c>
      <c r="E1355" s="8">
        <v>2</v>
      </c>
      <c r="F1355" s="8" t="s">
        <v>258</v>
      </c>
      <c r="G1355" s="85">
        <v>901085</v>
      </c>
      <c r="H1355" s="86">
        <f t="shared" si="43"/>
        <v>1802170</v>
      </c>
    </row>
    <row r="1356" spans="1:8" ht="15.75" customHeight="1" x14ac:dyDescent="0.25">
      <c r="A1356" s="4" t="s">
        <v>1923</v>
      </c>
      <c r="B1356" s="8">
        <v>1351</v>
      </c>
      <c r="C1356" s="8" t="s">
        <v>1924</v>
      </c>
      <c r="D1356" s="8" t="s">
        <v>10</v>
      </c>
      <c r="E1356" s="8">
        <v>146</v>
      </c>
      <c r="F1356" s="8" t="s">
        <v>75</v>
      </c>
      <c r="G1356" s="85">
        <v>57340</v>
      </c>
      <c r="H1356" s="86">
        <f t="shared" si="43"/>
        <v>8371640</v>
      </c>
    </row>
    <row r="1357" spans="1:8" ht="15.75" customHeight="1" x14ac:dyDescent="0.25">
      <c r="A1357" s="4" t="s">
        <v>1925</v>
      </c>
      <c r="B1357" s="8">
        <v>1352</v>
      </c>
      <c r="C1357" s="8" t="s">
        <v>1926</v>
      </c>
      <c r="D1357" s="8" t="s">
        <v>10</v>
      </c>
      <c r="E1357" s="8">
        <v>580</v>
      </c>
      <c r="F1357" s="8" t="s">
        <v>75</v>
      </c>
      <c r="G1357" s="85">
        <v>12872</v>
      </c>
      <c r="H1357" s="86">
        <f t="shared" si="43"/>
        <v>7465760</v>
      </c>
    </row>
    <row r="1358" spans="1:8" ht="15.75" customHeight="1" x14ac:dyDescent="0.25">
      <c r="A1358" s="4" t="s">
        <v>1927</v>
      </c>
      <c r="B1358" s="8">
        <v>1353</v>
      </c>
      <c r="C1358" s="8" t="s">
        <v>1928</v>
      </c>
      <c r="D1358" s="8" t="s">
        <v>10</v>
      </c>
      <c r="E1358" s="8">
        <v>2</v>
      </c>
      <c r="F1358" s="8" t="s">
        <v>16</v>
      </c>
      <c r="G1358" s="85">
        <v>1487782</v>
      </c>
      <c r="H1358" s="86">
        <f t="shared" si="43"/>
        <v>2975564</v>
      </c>
    </row>
    <row r="1359" spans="1:8" ht="15.75" customHeight="1" x14ac:dyDescent="0.25">
      <c r="A1359" s="4" t="s">
        <v>1929</v>
      </c>
      <c r="B1359" s="8">
        <v>1354</v>
      </c>
      <c r="C1359" s="8" t="s">
        <v>1930</v>
      </c>
      <c r="D1359" s="8" t="s">
        <v>10</v>
      </c>
      <c r="E1359" s="8">
        <v>50</v>
      </c>
      <c r="F1359" s="8" t="s">
        <v>1931</v>
      </c>
      <c r="G1359" s="85">
        <v>280167</v>
      </c>
      <c r="H1359" s="86">
        <f t="shared" si="43"/>
        <v>14008350</v>
      </c>
    </row>
    <row r="1360" spans="1:8" ht="15.75" customHeight="1" x14ac:dyDescent="0.25">
      <c r="A1360" s="4" t="s">
        <v>1932</v>
      </c>
      <c r="B1360" s="8">
        <v>1355</v>
      </c>
      <c r="C1360" s="8" t="s">
        <v>1933</v>
      </c>
      <c r="D1360" s="8" t="s">
        <v>10</v>
      </c>
      <c r="E1360" s="8">
        <v>2</v>
      </c>
      <c r="F1360" s="8" t="s">
        <v>258</v>
      </c>
      <c r="G1360" s="85">
        <v>482724</v>
      </c>
      <c r="H1360" s="86">
        <f t="shared" si="43"/>
        <v>965448</v>
      </c>
    </row>
    <row r="1361" spans="1:8" ht="15.75" customHeight="1" x14ac:dyDescent="0.25">
      <c r="A1361" s="4" t="s">
        <v>1934</v>
      </c>
      <c r="B1361" s="8">
        <v>1356</v>
      </c>
      <c r="C1361" s="8" t="s">
        <v>1935</v>
      </c>
      <c r="D1361" s="8" t="s">
        <v>10</v>
      </c>
      <c r="E1361" s="8">
        <v>2</v>
      </c>
      <c r="F1361" s="8" t="s">
        <v>258</v>
      </c>
      <c r="G1361" s="85">
        <v>81332</v>
      </c>
      <c r="H1361" s="86">
        <f t="shared" si="43"/>
        <v>162664</v>
      </c>
    </row>
    <row r="1362" spans="1:8" ht="15.75" customHeight="1" x14ac:dyDescent="0.25">
      <c r="A1362" s="4" t="s">
        <v>1936</v>
      </c>
      <c r="B1362" s="8">
        <v>1357</v>
      </c>
      <c r="C1362" s="8" t="s">
        <v>1937</v>
      </c>
      <c r="D1362" s="8" t="s">
        <v>10</v>
      </c>
      <c r="E1362" s="8">
        <v>2</v>
      </c>
      <c r="F1362" s="8" t="s">
        <v>258</v>
      </c>
      <c r="G1362" s="85">
        <v>99471</v>
      </c>
      <c r="H1362" s="86">
        <f t="shared" si="43"/>
        <v>198942</v>
      </c>
    </row>
    <row r="1363" spans="1:8" ht="15.75" customHeight="1" x14ac:dyDescent="0.25">
      <c r="A1363" s="4" t="s">
        <v>1938</v>
      </c>
      <c r="B1363" s="8">
        <v>1358</v>
      </c>
      <c r="C1363" s="8" t="s">
        <v>1939</v>
      </c>
      <c r="D1363" s="8" t="s">
        <v>10</v>
      </c>
      <c r="E1363" s="8">
        <v>2</v>
      </c>
      <c r="F1363" s="8" t="s">
        <v>258</v>
      </c>
      <c r="G1363" s="85">
        <v>128726</v>
      </c>
      <c r="H1363" s="86">
        <f t="shared" si="43"/>
        <v>257452</v>
      </c>
    </row>
    <row r="1364" spans="1:8" ht="15.75" customHeight="1" x14ac:dyDescent="0.25">
      <c r="A1364" s="4" t="s">
        <v>1940</v>
      </c>
      <c r="B1364" s="8">
        <v>1359</v>
      </c>
      <c r="C1364" s="8" t="s">
        <v>1941</v>
      </c>
      <c r="D1364" s="8" t="s">
        <v>10</v>
      </c>
      <c r="E1364" s="8">
        <v>2</v>
      </c>
      <c r="F1364" s="8" t="s">
        <v>258</v>
      </c>
      <c r="G1364" s="85">
        <v>57927</v>
      </c>
      <c r="H1364" s="86">
        <f t="shared" si="43"/>
        <v>115854</v>
      </c>
    </row>
    <row r="1365" spans="1:8" ht="15.75" customHeight="1" x14ac:dyDescent="0.25">
      <c r="A1365" s="4" t="s">
        <v>1942</v>
      </c>
      <c r="B1365" s="8">
        <v>1360</v>
      </c>
      <c r="C1365" s="8" t="s">
        <v>1943</v>
      </c>
      <c r="D1365" s="8" t="s">
        <v>10</v>
      </c>
      <c r="E1365" s="8">
        <v>2</v>
      </c>
      <c r="F1365" s="8" t="s">
        <v>258</v>
      </c>
      <c r="G1365" s="85">
        <v>57927</v>
      </c>
      <c r="H1365" s="86">
        <f t="shared" si="43"/>
        <v>115854</v>
      </c>
    </row>
    <row r="1366" spans="1:8" ht="15.75" customHeight="1" x14ac:dyDescent="0.25">
      <c r="A1366" s="4">
        <v>21</v>
      </c>
      <c r="B1366" s="8">
        <v>1361</v>
      </c>
      <c r="C1366" s="8" t="s">
        <v>1944</v>
      </c>
      <c r="D1366" s="8" t="s">
        <v>10</v>
      </c>
      <c r="E1366" s="8"/>
      <c r="F1366" s="8"/>
      <c r="G1366" s="85"/>
      <c r="H1366" s="86"/>
    </row>
    <row r="1367" spans="1:8" ht="15.75" customHeight="1" x14ac:dyDescent="0.25">
      <c r="A1367" s="4" t="s">
        <v>1945</v>
      </c>
      <c r="B1367" s="8">
        <v>1362</v>
      </c>
      <c r="C1367" s="8" t="s">
        <v>1946</v>
      </c>
      <c r="D1367" s="8" t="s">
        <v>10</v>
      </c>
      <c r="E1367" s="8">
        <v>8</v>
      </c>
      <c r="F1367" s="8" t="s">
        <v>258</v>
      </c>
      <c r="G1367" s="85">
        <v>2548876</v>
      </c>
      <c r="H1367" s="86">
        <f t="shared" ref="H1367:H1379" si="44">+ROUND(G1367*E1367,0)</f>
        <v>20391008</v>
      </c>
    </row>
    <row r="1368" spans="1:8" ht="15.75" customHeight="1" x14ac:dyDescent="0.25">
      <c r="A1368" s="4" t="s">
        <v>1947</v>
      </c>
      <c r="B1368" s="8">
        <v>1363</v>
      </c>
      <c r="C1368" s="8" t="s">
        <v>1948</v>
      </c>
      <c r="D1368" s="8" t="s">
        <v>10</v>
      </c>
      <c r="E1368" s="8">
        <v>8</v>
      </c>
      <c r="F1368" s="8" t="s">
        <v>258</v>
      </c>
      <c r="G1368" s="85">
        <v>281193</v>
      </c>
      <c r="H1368" s="86">
        <f t="shared" si="44"/>
        <v>2249544</v>
      </c>
    </row>
    <row r="1369" spans="1:8" ht="15.75" customHeight="1" x14ac:dyDescent="0.25">
      <c r="A1369" s="4" t="s">
        <v>1949</v>
      </c>
      <c r="B1369" s="8">
        <v>1364</v>
      </c>
      <c r="C1369" s="8" t="s">
        <v>1950</v>
      </c>
      <c r="D1369" s="8" t="s">
        <v>10</v>
      </c>
      <c r="E1369" s="8">
        <v>6</v>
      </c>
      <c r="F1369" s="8" t="s">
        <v>258</v>
      </c>
      <c r="G1369" s="85">
        <v>1757450</v>
      </c>
      <c r="H1369" s="86">
        <f t="shared" si="44"/>
        <v>10544700</v>
      </c>
    </row>
    <row r="1370" spans="1:8" ht="15.75" customHeight="1" x14ac:dyDescent="0.25">
      <c r="A1370" s="4" t="s">
        <v>1951</v>
      </c>
      <c r="B1370" s="8">
        <v>1365</v>
      </c>
      <c r="C1370" s="8" t="s">
        <v>1952</v>
      </c>
      <c r="D1370" s="8" t="s">
        <v>10</v>
      </c>
      <c r="E1370" s="8">
        <v>14</v>
      </c>
      <c r="F1370" s="8" t="s">
        <v>258</v>
      </c>
      <c r="G1370" s="85">
        <v>703288</v>
      </c>
      <c r="H1370" s="86">
        <f t="shared" si="44"/>
        <v>9846032</v>
      </c>
    </row>
    <row r="1371" spans="1:8" ht="15.75" customHeight="1" x14ac:dyDescent="0.25">
      <c r="A1371" s="4" t="s">
        <v>1953</v>
      </c>
      <c r="B1371" s="8">
        <v>1366</v>
      </c>
      <c r="C1371" s="8" t="s">
        <v>1954</v>
      </c>
      <c r="D1371" s="8" t="s">
        <v>10</v>
      </c>
      <c r="E1371" s="8">
        <v>20</v>
      </c>
      <c r="F1371" s="8" t="s">
        <v>13</v>
      </c>
      <c r="G1371" s="85">
        <v>55074</v>
      </c>
      <c r="H1371" s="86">
        <f t="shared" si="44"/>
        <v>1101480</v>
      </c>
    </row>
    <row r="1372" spans="1:8" ht="15.75" customHeight="1" x14ac:dyDescent="0.25">
      <c r="A1372" s="4" t="s">
        <v>1955</v>
      </c>
      <c r="B1372" s="8">
        <v>1367</v>
      </c>
      <c r="C1372" s="8" t="s">
        <v>1956</v>
      </c>
      <c r="D1372" s="8" t="s">
        <v>10</v>
      </c>
      <c r="E1372" s="8">
        <v>4</v>
      </c>
      <c r="F1372" s="8" t="s">
        <v>258</v>
      </c>
      <c r="G1372" s="85">
        <v>6372190</v>
      </c>
      <c r="H1372" s="86">
        <f t="shared" si="44"/>
        <v>25488760</v>
      </c>
    </row>
    <row r="1373" spans="1:8" ht="15.75" customHeight="1" x14ac:dyDescent="0.25">
      <c r="A1373" s="4" t="s">
        <v>1957</v>
      </c>
      <c r="B1373" s="8">
        <v>1368</v>
      </c>
      <c r="C1373" s="8" t="s">
        <v>1958</v>
      </c>
      <c r="D1373" s="8" t="s">
        <v>10</v>
      </c>
      <c r="E1373" s="8">
        <v>4</v>
      </c>
      <c r="F1373" s="8" t="s">
        <v>258</v>
      </c>
      <c r="G1373" s="85">
        <v>375632</v>
      </c>
      <c r="H1373" s="86">
        <f t="shared" si="44"/>
        <v>1502528</v>
      </c>
    </row>
    <row r="1374" spans="1:8" ht="15.75" customHeight="1" x14ac:dyDescent="0.25">
      <c r="A1374" s="4" t="s">
        <v>1959</v>
      </c>
      <c r="B1374" s="8">
        <v>1369</v>
      </c>
      <c r="C1374" s="8" t="s">
        <v>1960</v>
      </c>
      <c r="D1374" s="8" t="s">
        <v>10</v>
      </c>
      <c r="E1374" s="8">
        <v>4</v>
      </c>
      <c r="F1374" s="8" t="s">
        <v>258</v>
      </c>
      <c r="G1374" s="85">
        <v>375632</v>
      </c>
      <c r="H1374" s="86">
        <f t="shared" si="44"/>
        <v>1502528</v>
      </c>
    </row>
    <row r="1375" spans="1:8" ht="15.75" customHeight="1" x14ac:dyDescent="0.25">
      <c r="A1375" s="4" t="s">
        <v>1961</v>
      </c>
      <c r="B1375" s="8">
        <v>1370</v>
      </c>
      <c r="C1375" s="8" t="s">
        <v>1950</v>
      </c>
      <c r="D1375" s="8" t="s">
        <v>10</v>
      </c>
      <c r="E1375" s="8">
        <v>2</v>
      </c>
      <c r="F1375" s="8" t="s">
        <v>258</v>
      </c>
      <c r="G1375" s="85">
        <v>1012290</v>
      </c>
      <c r="H1375" s="86">
        <f t="shared" si="44"/>
        <v>2024580</v>
      </c>
    </row>
    <row r="1376" spans="1:8" ht="15.75" customHeight="1" x14ac:dyDescent="0.25">
      <c r="A1376" s="4" t="s">
        <v>1962</v>
      </c>
      <c r="B1376" s="8">
        <v>1371</v>
      </c>
      <c r="C1376" s="8" t="s">
        <v>1963</v>
      </c>
      <c r="D1376" s="8" t="s">
        <v>10</v>
      </c>
      <c r="E1376" s="8">
        <v>12</v>
      </c>
      <c r="F1376" s="8" t="s">
        <v>258</v>
      </c>
      <c r="G1376" s="85">
        <v>1434079</v>
      </c>
      <c r="H1376" s="86">
        <f t="shared" si="44"/>
        <v>17208948</v>
      </c>
    </row>
    <row r="1377" spans="1:9" ht="15.75" customHeight="1" x14ac:dyDescent="0.25">
      <c r="A1377" s="4" t="s">
        <v>1964</v>
      </c>
      <c r="B1377" s="8">
        <v>1372</v>
      </c>
      <c r="C1377" s="8" t="s">
        <v>1952</v>
      </c>
      <c r="D1377" s="8" t="s">
        <v>10</v>
      </c>
      <c r="E1377" s="8">
        <v>14</v>
      </c>
      <c r="F1377" s="8" t="s">
        <v>258</v>
      </c>
      <c r="G1377" s="85">
        <v>703288</v>
      </c>
      <c r="H1377" s="86">
        <f t="shared" si="44"/>
        <v>9846032</v>
      </c>
    </row>
    <row r="1378" spans="1:9" ht="15.75" customHeight="1" x14ac:dyDescent="0.25">
      <c r="A1378" s="4" t="s">
        <v>1965</v>
      </c>
      <c r="B1378" s="8">
        <v>1373</v>
      </c>
      <c r="C1378" s="8" t="s">
        <v>1966</v>
      </c>
      <c r="D1378" s="8" t="s">
        <v>10</v>
      </c>
      <c r="E1378" s="8">
        <v>8</v>
      </c>
      <c r="F1378" s="8" t="s">
        <v>258</v>
      </c>
      <c r="G1378" s="85">
        <v>378508</v>
      </c>
      <c r="H1378" s="86">
        <f t="shared" si="44"/>
        <v>3028064</v>
      </c>
    </row>
    <row r="1379" spans="1:9" ht="15.75" customHeight="1" x14ac:dyDescent="0.25">
      <c r="A1379" s="4" t="s">
        <v>1967</v>
      </c>
      <c r="B1379" s="8">
        <v>1374</v>
      </c>
      <c r="C1379" s="8" t="s">
        <v>1968</v>
      </c>
      <c r="D1379" s="8" t="s">
        <v>10</v>
      </c>
      <c r="E1379" s="8">
        <v>8</v>
      </c>
      <c r="F1379" s="8" t="s">
        <v>258</v>
      </c>
      <c r="G1379" s="85">
        <v>2479194</v>
      </c>
      <c r="H1379" s="86">
        <f t="shared" si="44"/>
        <v>19833552</v>
      </c>
    </row>
    <row r="1380" spans="1:9" ht="15.75" customHeight="1" x14ac:dyDescent="0.25">
      <c r="A1380" s="4">
        <v>22</v>
      </c>
      <c r="B1380" s="8">
        <v>1375</v>
      </c>
      <c r="C1380" s="8" t="s">
        <v>1969</v>
      </c>
      <c r="D1380" s="8" t="s">
        <v>10</v>
      </c>
      <c r="E1380" s="8"/>
      <c r="F1380" s="8"/>
      <c r="G1380" s="85">
        <v>0</v>
      </c>
      <c r="H1380" s="86"/>
    </row>
    <row r="1381" spans="1:9" ht="15.75" customHeight="1" x14ac:dyDescent="0.25">
      <c r="A1381" s="4" t="s">
        <v>1970</v>
      </c>
      <c r="B1381" s="8">
        <v>1376</v>
      </c>
      <c r="C1381" s="8" t="s">
        <v>1971</v>
      </c>
      <c r="D1381" s="8" t="s">
        <v>10</v>
      </c>
      <c r="E1381" s="8">
        <v>1</v>
      </c>
      <c r="F1381" s="8" t="s">
        <v>1972</v>
      </c>
      <c r="G1381" s="85">
        <v>474623503</v>
      </c>
      <c r="H1381" s="86">
        <f>+ROUND(G1381*E1381,0)</f>
        <v>474623503</v>
      </c>
    </row>
    <row r="1382" spans="1:9" ht="15.75" customHeight="1" x14ac:dyDescent="0.25">
      <c r="A1382" s="4" t="s">
        <v>1973</v>
      </c>
      <c r="B1382" s="8">
        <v>1377</v>
      </c>
      <c r="C1382" s="8" t="s">
        <v>1974</v>
      </c>
      <c r="D1382" s="8" t="s">
        <v>10</v>
      </c>
      <c r="E1382" s="8">
        <v>1</v>
      </c>
      <c r="F1382" s="8" t="s">
        <v>1972</v>
      </c>
      <c r="G1382" s="85">
        <v>295964821</v>
      </c>
      <c r="H1382" s="86">
        <f>+ROUND(G1382*E1382,0)</f>
        <v>295964821</v>
      </c>
      <c r="I1382" s="89">
        <v>324304704000</v>
      </c>
    </row>
    <row r="1383" spans="1:9" ht="15.75" customHeight="1" x14ac:dyDescent="0.25">
      <c r="A1383" s="6">
        <v>23</v>
      </c>
      <c r="B1383" s="7"/>
      <c r="C1383" s="8" t="s">
        <v>1975</v>
      </c>
      <c r="D1383" s="7"/>
      <c r="E1383" s="8">
        <v>1</v>
      </c>
      <c r="F1383" s="8" t="s">
        <v>1972</v>
      </c>
      <c r="G1383" s="90">
        <f>6.67%*303996652562</f>
        <v>20276576725.885399</v>
      </c>
      <c r="H1383" s="91">
        <f>+G1383</f>
        <v>20276576725.885399</v>
      </c>
      <c r="I1383" s="89">
        <v>303996652562</v>
      </c>
    </row>
    <row r="1384" spans="1:9" x14ac:dyDescent="0.2">
      <c r="A1384" s="7"/>
      <c r="B1384" s="7"/>
      <c r="C1384" s="7"/>
      <c r="D1384" s="7"/>
      <c r="E1384" s="7"/>
      <c r="F1384" s="7"/>
      <c r="G1384" s="90"/>
      <c r="H1384" s="92">
        <f>ROUNDDOWN(SUM(H7:H1383),-3)</f>
        <v>324273229000</v>
      </c>
      <c r="I1384" s="89">
        <v>304026159589</v>
      </c>
    </row>
    <row r="1385" spans="1:9" x14ac:dyDescent="0.2">
      <c r="H1385" s="89"/>
    </row>
    <row r="1386" spans="1:9" x14ac:dyDescent="0.2">
      <c r="H1386" s="89"/>
      <c r="I1386" s="93">
        <f>+I1384-H1384</f>
        <v>-20247069411</v>
      </c>
    </row>
    <row r="1387" spans="1:9" ht="15" customHeight="1" x14ac:dyDescent="0.25">
      <c r="H1387" s="94"/>
    </row>
    <row r="1388" spans="1:9" ht="15" customHeight="1" x14ac:dyDescent="0.25">
      <c r="H1388" s="94">
        <f>+I1382-H1384</f>
        <v>31475000</v>
      </c>
    </row>
    <row r="1389" spans="1:9" ht="15" customHeight="1" x14ac:dyDescent="0.25">
      <c r="H1389" s="94"/>
      <c r="I1389" s="5">
        <f>+I1384*6.67%</f>
        <v>20278544844.5863</v>
      </c>
    </row>
    <row r="1390" spans="1:9" ht="15" customHeight="1" x14ac:dyDescent="0.25">
      <c r="H1390" s="94"/>
      <c r="I1390" s="5">
        <v>20278544843.7981</v>
      </c>
    </row>
    <row r="1391" spans="1:9" ht="15" customHeight="1" x14ac:dyDescent="0.25">
      <c r="H1391" s="94"/>
    </row>
  </sheetData>
  <autoFilter ref="A5:I1382"/>
  <mergeCells count="1">
    <mergeCell ref="A1:H3"/>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O1411"/>
  <sheetViews>
    <sheetView view="pageBreakPreview" zoomScale="85" zoomScaleNormal="85" zoomScaleSheetLayoutView="85" workbookViewId="0">
      <pane xSplit="5" ySplit="5" topLeftCell="F1362" activePane="bottomRight" state="frozen"/>
      <selection pane="topRight" activeCell="F1" sqref="F1"/>
      <selection pane="bottomLeft" activeCell="A6" sqref="A6"/>
      <selection pane="bottomRight" activeCell="M1391" sqref="M1391"/>
    </sheetView>
  </sheetViews>
  <sheetFormatPr defaultRowHeight="14.25" x14ac:dyDescent="0.2"/>
  <cols>
    <col min="1" max="1" width="9" style="52" customWidth="1"/>
    <col min="2" max="2" width="6.75" style="18" bestFit="1" customWidth="1"/>
    <col min="3" max="3" width="30" style="18" hidden="1" customWidth="1"/>
    <col min="4" max="4" width="34" style="40" customWidth="1"/>
    <col min="5" max="5" width="30" style="18" hidden="1" customWidth="1"/>
    <col min="6" max="8" width="13.25" style="18" customWidth="1"/>
    <col min="9" max="9" width="8.75" style="26" customWidth="1"/>
    <col min="10" max="10" width="15.625" style="95" customWidth="1"/>
    <col min="11" max="11" width="16.5" style="28" customWidth="1"/>
    <col min="12" max="12" width="16.75" style="28" customWidth="1"/>
    <col min="13" max="13" width="18.5" style="28" customWidth="1"/>
    <col min="14" max="14" width="16.5" style="28" customWidth="1"/>
    <col min="15" max="15" width="16.5" style="18" bestFit="1" customWidth="1"/>
    <col min="16" max="16" width="9" style="18" customWidth="1"/>
    <col min="17" max="16384" width="9" style="18"/>
  </cols>
  <sheetData>
    <row r="1" spans="1:14" ht="18.75" customHeight="1" x14ac:dyDescent="0.2">
      <c r="B1" s="160" t="s">
        <v>1976</v>
      </c>
      <c r="C1" s="159"/>
      <c r="D1" s="159"/>
      <c r="E1" s="159"/>
      <c r="F1" s="159"/>
      <c r="G1" s="159"/>
      <c r="H1" s="159"/>
      <c r="I1" s="159"/>
      <c r="J1" s="159"/>
      <c r="K1" s="159"/>
      <c r="L1" s="159"/>
      <c r="M1" s="159"/>
      <c r="N1" s="78"/>
    </row>
    <row r="2" spans="1:14" ht="18.75" customHeight="1" x14ac:dyDescent="0.2">
      <c r="B2" s="159"/>
      <c r="C2" s="159"/>
      <c r="D2" s="159"/>
      <c r="E2" s="159"/>
      <c r="F2" s="159"/>
      <c r="G2" s="159"/>
      <c r="H2" s="159"/>
      <c r="I2" s="159"/>
      <c r="J2" s="159"/>
      <c r="K2" s="159"/>
      <c r="L2" s="159"/>
      <c r="M2" s="159"/>
      <c r="N2" s="78"/>
    </row>
    <row r="3" spans="1:14" ht="43.5" customHeight="1" x14ac:dyDescent="0.2">
      <c r="B3" s="159"/>
      <c r="C3" s="159"/>
      <c r="D3" s="159"/>
      <c r="E3" s="159"/>
      <c r="F3" s="159"/>
      <c r="G3" s="159"/>
      <c r="H3" s="159"/>
      <c r="I3" s="159"/>
      <c r="J3" s="159"/>
      <c r="K3" s="159"/>
      <c r="L3" s="159"/>
      <c r="M3" s="159"/>
      <c r="N3" s="78"/>
    </row>
    <row r="4" spans="1:14" ht="15.75" customHeight="1" x14ac:dyDescent="0.2">
      <c r="B4" s="165" t="s">
        <v>1</v>
      </c>
      <c r="C4" s="12"/>
      <c r="D4" s="165" t="s">
        <v>1977</v>
      </c>
      <c r="E4" s="12"/>
      <c r="F4" s="165" t="s">
        <v>1978</v>
      </c>
      <c r="G4" s="167"/>
      <c r="H4" s="168"/>
      <c r="I4" s="165" t="s">
        <v>6</v>
      </c>
      <c r="J4" s="171" t="s">
        <v>1979</v>
      </c>
      <c r="K4" s="165" t="s">
        <v>1980</v>
      </c>
      <c r="L4" s="167"/>
      <c r="M4" s="168"/>
      <c r="N4" s="19"/>
    </row>
    <row r="5" spans="1:14" ht="47.25" customHeight="1" x14ac:dyDescent="0.2">
      <c r="B5" s="166"/>
      <c r="C5" s="79" t="s">
        <v>2</v>
      </c>
      <c r="D5" s="166"/>
      <c r="E5" s="79" t="s">
        <v>4</v>
      </c>
      <c r="F5" s="79" t="s">
        <v>1981</v>
      </c>
      <c r="G5" s="79" t="s">
        <v>1982</v>
      </c>
      <c r="H5" s="79" t="s">
        <v>1983</v>
      </c>
      <c r="I5" s="166"/>
      <c r="J5" s="172"/>
      <c r="K5" s="79" t="s">
        <v>1981</v>
      </c>
      <c r="L5" s="79" t="s">
        <v>1982</v>
      </c>
      <c r="M5" s="79" t="s">
        <v>1983</v>
      </c>
      <c r="N5" s="20"/>
    </row>
    <row r="6" spans="1:14" s="22" customFormat="1" ht="47.25" customHeight="1" x14ac:dyDescent="0.25">
      <c r="A6" s="50" t="s">
        <v>1984</v>
      </c>
      <c r="B6" s="29">
        <v>1</v>
      </c>
      <c r="C6" s="30">
        <v>1</v>
      </c>
      <c r="D6" s="12" t="s">
        <v>9</v>
      </c>
      <c r="E6" s="30" t="s">
        <v>10</v>
      </c>
      <c r="F6" s="30"/>
      <c r="G6" s="30"/>
      <c r="H6" s="30"/>
      <c r="I6" s="31"/>
      <c r="J6" s="97"/>
      <c r="K6" s="30"/>
      <c r="L6" s="30"/>
      <c r="M6" s="30"/>
      <c r="N6" s="21"/>
    </row>
    <row r="7" spans="1:14" ht="15.75" customHeight="1" x14ac:dyDescent="0.25">
      <c r="A7" s="52" t="str">
        <f t="shared" ref="A7:A70" si="0">A6</f>
        <v>TL</v>
      </c>
      <c r="B7" s="32" t="s">
        <v>11</v>
      </c>
      <c r="C7" s="33">
        <v>2</v>
      </c>
      <c r="D7" s="39" t="s">
        <v>12</v>
      </c>
      <c r="E7" s="33" t="s">
        <v>10</v>
      </c>
      <c r="F7" s="98">
        <v>91424</v>
      </c>
      <c r="G7" s="98">
        <f t="shared" ref="G7:G70" si="1">+F7</f>
        <v>91424</v>
      </c>
      <c r="H7" s="33"/>
      <c r="I7" s="34" t="s">
        <v>13</v>
      </c>
      <c r="J7" s="99">
        <f>+'[1]Dự thầu'!$G$6</f>
        <v>646</v>
      </c>
      <c r="K7" s="98">
        <f t="shared" ref="K7:K38" si="2">+ROUND(J7*F7,0)</f>
        <v>59059904</v>
      </c>
      <c r="L7" s="98">
        <f t="shared" ref="L7:L38" si="3">+ROUND(G7*J7,0)</f>
        <v>59059904</v>
      </c>
      <c r="M7" s="98">
        <f t="shared" ref="M7:M38" si="4">+ROUND(H7*J7,0)</f>
        <v>0</v>
      </c>
      <c r="N7" s="100"/>
    </row>
    <row r="8" spans="1:14" ht="15.75" customHeight="1" x14ac:dyDescent="0.25">
      <c r="A8" s="52" t="str">
        <f t="shared" si="0"/>
        <v>TL</v>
      </c>
      <c r="B8" s="32" t="s">
        <v>14</v>
      </c>
      <c r="C8" s="33">
        <v>3</v>
      </c>
      <c r="D8" s="39" t="s">
        <v>15</v>
      </c>
      <c r="E8" s="33" t="s">
        <v>10</v>
      </c>
      <c r="F8" s="98">
        <v>501</v>
      </c>
      <c r="G8" s="98">
        <f t="shared" si="1"/>
        <v>501</v>
      </c>
      <c r="H8" s="33"/>
      <c r="I8" s="34" t="s">
        <v>16</v>
      </c>
      <c r="J8" s="99">
        <f>+'[1]Dự thầu'!$G$8</f>
        <v>20072</v>
      </c>
      <c r="K8" s="98">
        <f t="shared" si="2"/>
        <v>10056072</v>
      </c>
      <c r="L8" s="98">
        <f t="shared" si="3"/>
        <v>10056072</v>
      </c>
      <c r="M8" s="98">
        <f t="shared" si="4"/>
        <v>0</v>
      </c>
      <c r="N8" s="100"/>
    </row>
    <row r="9" spans="1:14" ht="15.75" customHeight="1" x14ac:dyDescent="0.25">
      <c r="A9" s="52" t="str">
        <f t="shared" si="0"/>
        <v>TL</v>
      </c>
      <c r="B9" s="32" t="s">
        <v>17</v>
      </c>
      <c r="C9" s="33">
        <v>4</v>
      </c>
      <c r="D9" s="39" t="s">
        <v>18</v>
      </c>
      <c r="E9" s="33" t="s">
        <v>10</v>
      </c>
      <c r="F9" s="98">
        <v>264</v>
      </c>
      <c r="G9" s="98">
        <f t="shared" si="1"/>
        <v>264</v>
      </c>
      <c r="H9" s="33"/>
      <c r="I9" s="34" t="s">
        <v>16</v>
      </c>
      <c r="J9" s="99">
        <f>+'[1]Dự thầu'!$G$9</f>
        <v>30610</v>
      </c>
      <c r="K9" s="98">
        <f t="shared" si="2"/>
        <v>8081040</v>
      </c>
      <c r="L9" s="98">
        <f t="shared" si="3"/>
        <v>8081040</v>
      </c>
      <c r="M9" s="98">
        <f t="shared" si="4"/>
        <v>0</v>
      </c>
      <c r="N9" s="100"/>
    </row>
    <row r="10" spans="1:14" ht="15.75" customHeight="1" x14ac:dyDescent="0.25">
      <c r="A10" s="52" t="str">
        <f t="shared" si="0"/>
        <v>TL</v>
      </c>
      <c r="B10" s="32" t="s">
        <v>19</v>
      </c>
      <c r="C10" s="33">
        <v>5</v>
      </c>
      <c r="D10" s="39" t="s">
        <v>20</v>
      </c>
      <c r="E10" s="33" t="s">
        <v>10</v>
      </c>
      <c r="F10" s="98">
        <v>923</v>
      </c>
      <c r="G10" s="98">
        <f t="shared" si="1"/>
        <v>923</v>
      </c>
      <c r="H10" s="33"/>
      <c r="I10" s="34" t="s">
        <v>16</v>
      </c>
      <c r="J10" s="99">
        <f>+'[1]Dự thầu'!$G$10</f>
        <v>12342</v>
      </c>
      <c r="K10" s="98">
        <f t="shared" si="2"/>
        <v>11391666</v>
      </c>
      <c r="L10" s="98">
        <f t="shared" si="3"/>
        <v>11391666</v>
      </c>
      <c r="M10" s="98">
        <f t="shared" si="4"/>
        <v>0</v>
      </c>
      <c r="N10" s="100"/>
    </row>
    <row r="11" spans="1:14" ht="15.75" customHeight="1" x14ac:dyDescent="0.25">
      <c r="A11" s="52" t="str">
        <f t="shared" si="0"/>
        <v>TL</v>
      </c>
      <c r="B11" s="32" t="s">
        <v>21</v>
      </c>
      <c r="C11" s="33">
        <v>6</v>
      </c>
      <c r="D11" s="39" t="s">
        <v>22</v>
      </c>
      <c r="E11" s="33" t="s">
        <v>10</v>
      </c>
      <c r="F11" s="98">
        <v>923</v>
      </c>
      <c r="G11" s="98">
        <f t="shared" si="1"/>
        <v>923</v>
      </c>
      <c r="H11" s="33"/>
      <c r="I11" s="34" t="s">
        <v>16</v>
      </c>
      <c r="J11" s="99">
        <f>+'[1]Dự thầu'!$G$11</f>
        <v>12936</v>
      </c>
      <c r="K11" s="98">
        <f t="shared" si="2"/>
        <v>11939928</v>
      </c>
      <c r="L11" s="98">
        <f t="shared" si="3"/>
        <v>11939928</v>
      </c>
      <c r="M11" s="98">
        <f t="shared" si="4"/>
        <v>0</v>
      </c>
      <c r="N11" s="100"/>
    </row>
    <row r="12" spans="1:14" ht="15.75" customHeight="1" x14ac:dyDescent="0.25">
      <c r="A12" s="52" t="str">
        <f t="shared" si="0"/>
        <v>TL</v>
      </c>
      <c r="B12" s="32" t="s">
        <v>23</v>
      </c>
      <c r="C12" s="33">
        <v>7</v>
      </c>
      <c r="D12" s="39" t="s">
        <v>24</v>
      </c>
      <c r="E12" s="33" t="s">
        <v>10</v>
      </c>
      <c r="F12" s="101">
        <v>5871.7</v>
      </c>
      <c r="G12" s="101">
        <f t="shared" si="1"/>
        <v>5871.7</v>
      </c>
      <c r="H12" s="33"/>
      <c r="I12" s="34" t="s">
        <v>16</v>
      </c>
      <c r="J12" s="99">
        <f>+'[1]Dự thầu'!$G$12</f>
        <v>8251</v>
      </c>
      <c r="K12" s="98">
        <f t="shared" si="2"/>
        <v>48447397</v>
      </c>
      <c r="L12" s="98">
        <f t="shared" si="3"/>
        <v>48447397</v>
      </c>
      <c r="M12" s="98">
        <f t="shared" si="4"/>
        <v>0</v>
      </c>
      <c r="N12" s="100"/>
    </row>
    <row r="13" spans="1:14" ht="47.25" customHeight="1" x14ac:dyDescent="0.25">
      <c r="A13" s="52" t="str">
        <f t="shared" si="0"/>
        <v>TL</v>
      </c>
      <c r="B13" s="32" t="s">
        <v>25</v>
      </c>
      <c r="C13" s="33">
        <v>8</v>
      </c>
      <c r="D13" s="39" t="s">
        <v>26</v>
      </c>
      <c r="E13" s="33" t="s">
        <v>10</v>
      </c>
      <c r="F13" s="98">
        <v>170279</v>
      </c>
      <c r="G13" s="98">
        <f t="shared" si="1"/>
        <v>170279</v>
      </c>
      <c r="H13" s="33"/>
      <c r="I13" s="34" t="s">
        <v>16</v>
      </c>
      <c r="J13" s="99">
        <f>+'[1]Dự thầu'!$G$13</f>
        <v>12936</v>
      </c>
      <c r="K13" s="98">
        <f t="shared" si="2"/>
        <v>2202729144</v>
      </c>
      <c r="L13" s="98">
        <f t="shared" si="3"/>
        <v>2202729144</v>
      </c>
      <c r="M13" s="98">
        <f t="shared" si="4"/>
        <v>0</v>
      </c>
      <c r="N13" s="100"/>
    </row>
    <row r="14" spans="1:14" ht="31.5" customHeight="1" x14ac:dyDescent="0.25">
      <c r="A14" s="52" t="str">
        <f t="shared" si="0"/>
        <v>TL</v>
      </c>
      <c r="B14" s="32" t="s">
        <v>27</v>
      </c>
      <c r="C14" s="33">
        <v>9</v>
      </c>
      <c r="D14" s="39" t="s">
        <v>28</v>
      </c>
      <c r="E14" s="33" t="s">
        <v>10</v>
      </c>
      <c r="F14" s="98">
        <v>28834</v>
      </c>
      <c r="G14" s="98">
        <f t="shared" si="1"/>
        <v>28834</v>
      </c>
      <c r="H14" s="33"/>
      <c r="I14" s="34" t="s">
        <v>16</v>
      </c>
      <c r="J14" s="99">
        <f>+'[1]Dự thầu'!$G$14</f>
        <v>12936</v>
      </c>
      <c r="K14" s="98">
        <f t="shared" si="2"/>
        <v>372996624</v>
      </c>
      <c r="L14" s="98">
        <f t="shared" si="3"/>
        <v>372996624</v>
      </c>
      <c r="M14" s="98">
        <f t="shared" si="4"/>
        <v>0</v>
      </c>
      <c r="N14" s="100"/>
    </row>
    <row r="15" spans="1:14" ht="47.25" customHeight="1" x14ac:dyDescent="0.25">
      <c r="A15" s="52" t="str">
        <f t="shared" si="0"/>
        <v>TL</v>
      </c>
      <c r="B15" s="32" t="s">
        <v>29</v>
      </c>
      <c r="C15" s="33">
        <v>10</v>
      </c>
      <c r="D15" s="39" t="s">
        <v>30</v>
      </c>
      <c r="E15" s="33" t="s">
        <v>10</v>
      </c>
      <c r="F15" s="98">
        <v>14978</v>
      </c>
      <c r="G15" s="98">
        <f t="shared" si="1"/>
        <v>14978</v>
      </c>
      <c r="H15" s="33"/>
      <c r="I15" s="34" t="s">
        <v>16</v>
      </c>
      <c r="J15" s="99">
        <f>+'[1]Dự thầu'!$G$15</f>
        <v>15775</v>
      </c>
      <c r="K15" s="98">
        <f t="shared" si="2"/>
        <v>236277950</v>
      </c>
      <c r="L15" s="98">
        <f t="shared" si="3"/>
        <v>236277950</v>
      </c>
      <c r="M15" s="98">
        <f t="shared" si="4"/>
        <v>0</v>
      </c>
      <c r="N15" s="100"/>
    </row>
    <row r="16" spans="1:14" ht="15.75" customHeight="1" x14ac:dyDescent="0.25">
      <c r="A16" s="52" t="str">
        <f t="shared" si="0"/>
        <v>TL</v>
      </c>
      <c r="B16" s="32" t="s">
        <v>31</v>
      </c>
      <c r="C16" s="33">
        <v>11</v>
      </c>
      <c r="D16" s="39" t="s">
        <v>32</v>
      </c>
      <c r="E16" s="33" t="s">
        <v>10</v>
      </c>
      <c r="F16" s="102">
        <v>246897.46</v>
      </c>
      <c r="G16" s="102">
        <f t="shared" si="1"/>
        <v>246897.46</v>
      </c>
      <c r="H16" s="33"/>
      <c r="I16" s="34" t="s">
        <v>16</v>
      </c>
      <c r="J16" s="99">
        <f>+'[1]Dự thầu'!$G$16</f>
        <v>50585</v>
      </c>
      <c r="K16" s="98">
        <f t="shared" si="2"/>
        <v>12489308014</v>
      </c>
      <c r="L16" s="98">
        <f t="shared" si="3"/>
        <v>12489308014</v>
      </c>
      <c r="M16" s="98">
        <f t="shared" si="4"/>
        <v>0</v>
      </c>
      <c r="N16" s="100"/>
    </row>
    <row r="17" spans="1:14" ht="15.75" customHeight="1" x14ac:dyDescent="0.25">
      <c r="A17" s="52" t="str">
        <f t="shared" si="0"/>
        <v>TL</v>
      </c>
      <c r="B17" s="32" t="s">
        <v>33</v>
      </c>
      <c r="C17" s="33">
        <v>12</v>
      </c>
      <c r="D17" s="39" t="s">
        <v>34</v>
      </c>
      <c r="E17" s="33" t="s">
        <v>10</v>
      </c>
      <c r="F17" s="102">
        <v>21023.119999999999</v>
      </c>
      <c r="G17" s="102">
        <f t="shared" si="1"/>
        <v>21023.119999999999</v>
      </c>
      <c r="H17" s="33"/>
      <c r="I17" s="34" t="s">
        <v>16</v>
      </c>
      <c r="J17" s="99">
        <f>+'[1]Dự thầu'!$G$17</f>
        <v>54405</v>
      </c>
      <c r="K17" s="98">
        <f t="shared" si="2"/>
        <v>1143762844</v>
      </c>
      <c r="L17" s="98">
        <f t="shared" si="3"/>
        <v>1143762844</v>
      </c>
      <c r="M17" s="98">
        <f t="shared" si="4"/>
        <v>0</v>
      </c>
      <c r="N17" s="100"/>
    </row>
    <row r="18" spans="1:14" ht="15.75" customHeight="1" x14ac:dyDescent="0.25">
      <c r="A18" s="52" t="str">
        <f t="shared" si="0"/>
        <v>TL</v>
      </c>
      <c r="B18" s="32" t="s">
        <v>35</v>
      </c>
      <c r="C18" s="33">
        <v>13</v>
      </c>
      <c r="D18" s="39" t="s">
        <v>36</v>
      </c>
      <c r="E18" s="33" t="s">
        <v>10</v>
      </c>
      <c r="F18" s="102">
        <v>26792.06</v>
      </c>
      <c r="G18" s="102">
        <f t="shared" si="1"/>
        <v>26792.06</v>
      </c>
      <c r="H18" s="33"/>
      <c r="I18" s="34" t="s">
        <v>37</v>
      </c>
      <c r="J18" s="99">
        <f>+'[1]Dự thầu'!$G$18+'[1]Dự thầu'!$G$19+'[1]Dự thầu'!$G$20</f>
        <v>940826</v>
      </c>
      <c r="K18" s="98">
        <f t="shared" si="2"/>
        <v>25206666642</v>
      </c>
      <c r="L18" s="98">
        <f t="shared" si="3"/>
        <v>25206666642</v>
      </c>
      <c r="M18" s="98">
        <f t="shared" si="4"/>
        <v>0</v>
      </c>
      <c r="N18" s="100"/>
    </row>
    <row r="19" spans="1:14" ht="31.5" customHeight="1" x14ac:dyDescent="0.25">
      <c r="A19" s="52" t="str">
        <f t="shared" si="0"/>
        <v>TL</v>
      </c>
      <c r="B19" s="32" t="s">
        <v>38</v>
      </c>
      <c r="C19" s="33">
        <v>14</v>
      </c>
      <c r="D19" s="39" t="s">
        <v>39</v>
      </c>
      <c r="E19" s="33" t="s">
        <v>10</v>
      </c>
      <c r="F19" s="98">
        <v>4230</v>
      </c>
      <c r="G19" s="98">
        <f t="shared" si="1"/>
        <v>4230</v>
      </c>
      <c r="H19" s="33"/>
      <c r="I19" s="34" t="s">
        <v>16</v>
      </c>
      <c r="J19" s="99">
        <f>+'[1]Dự thầu'!$G$21</f>
        <v>39661</v>
      </c>
      <c r="K19" s="98">
        <f t="shared" si="2"/>
        <v>167766030</v>
      </c>
      <c r="L19" s="98">
        <f t="shared" si="3"/>
        <v>167766030</v>
      </c>
      <c r="M19" s="98">
        <f t="shared" si="4"/>
        <v>0</v>
      </c>
      <c r="N19" s="100"/>
    </row>
    <row r="20" spans="1:14" ht="15.75" customHeight="1" x14ac:dyDescent="0.25">
      <c r="A20" s="52" t="str">
        <f t="shared" si="0"/>
        <v>TL</v>
      </c>
      <c r="B20" s="32" t="s">
        <v>40</v>
      </c>
      <c r="C20" s="33">
        <v>15</v>
      </c>
      <c r="D20" s="39" t="s">
        <v>41</v>
      </c>
      <c r="E20" s="33" t="s">
        <v>10</v>
      </c>
      <c r="F20" s="102">
        <v>61617.46</v>
      </c>
      <c r="G20" s="102">
        <f t="shared" si="1"/>
        <v>61617.46</v>
      </c>
      <c r="H20" s="33"/>
      <c r="I20" s="34" t="s">
        <v>16</v>
      </c>
      <c r="J20" s="99">
        <f>+'[1]Dự thầu'!$G$25</f>
        <v>40424</v>
      </c>
      <c r="K20" s="98">
        <f t="shared" si="2"/>
        <v>2490824203</v>
      </c>
      <c r="L20" s="98">
        <f t="shared" si="3"/>
        <v>2490824203</v>
      </c>
      <c r="M20" s="98">
        <f t="shared" si="4"/>
        <v>0</v>
      </c>
      <c r="N20" s="100"/>
    </row>
    <row r="21" spans="1:14" ht="15.75" customHeight="1" x14ac:dyDescent="0.25">
      <c r="A21" s="52" t="str">
        <f t="shared" si="0"/>
        <v>TL</v>
      </c>
      <c r="B21" s="32" t="s">
        <v>42</v>
      </c>
      <c r="C21" s="33">
        <v>16</v>
      </c>
      <c r="D21" s="39" t="s">
        <v>43</v>
      </c>
      <c r="E21" s="33" t="s">
        <v>10</v>
      </c>
      <c r="F21" s="101">
        <v>1686.7</v>
      </c>
      <c r="G21" s="101">
        <f t="shared" si="1"/>
        <v>1686.7</v>
      </c>
      <c r="H21" s="33"/>
      <c r="I21" s="34" t="s">
        <v>16</v>
      </c>
      <c r="J21" s="99">
        <f>+'[1]Dự thầu'!$G$29</f>
        <v>45382</v>
      </c>
      <c r="K21" s="98">
        <f t="shared" si="2"/>
        <v>76545819</v>
      </c>
      <c r="L21" s="98">
        <f t="shared" si="3"/>
        <v>76545819</v>
      </c>
      <c r="M21" s="98">
        <f t="shared" si="4"/>
        <v>0</v>
      </c>
      <c r="N21" s="100"/>
    </row>
    <row r="22" spans="1:14" ht="31.5" customHeight="1" x14ac:dyDescent="0.25">
      <c r="A22" s="52" t="str">
        <f t="shared" si="0"/>
        <v>TL</v>
      </c>
      <c r="B22" s="32" t="s">
        <v>44</v>
      </c>
      <c r="C22" s="33">
        <v>17</v>
      </c>
      <c r="D22" s="39" t="s">
        <v>45</v>
      </c>
      <c r="E22" s="33" t="s">
        <v>10</v>
      </c>
      <c r="F22" s="98">
        <v>858</v>
      </c>
      <c r="G22" s="98">
        <f t="shared" si="1"/>
        <v>858</v>
      </c>
      <c r="H22" s="33"/>
      <c r="I22" s="34" t="s">
        <v>16</v>
      </c>
      <c r="J22" s="99">
        <f>+'[1]Dự thầu'!$G$33</f>
        <v>56948</v>
      </c>
      <c r="K22" s="98">
        <f t="shared" si="2"/>
        <v>48861384</v>
      </c>
      <c r="L22" s="98">
        <f t="shared" si="3"/>
        <v>48861384</v>
      </c>
      <c r="M22" s="98">
        <f t="shared" si="4"/>
        <v>0</v>
      </c>
      <c r="N22" s="100"/>
    </row>
    <row r="23" spans="1:14" ht="15.75" customHeight="1" x14ac:dyDescent="0.25">
      <c r="A23" s="52" t="str">
        <f t="shared" si="0"/>
        <v>TL</v>
      </c>
      <c r="B23" s="32" t="s">
        <v>46</v>
      </c>
      <c r="C23" s="33">
        <v>18</v>
      </c>
      <c r="D23" s="39" t="s">
        <v>47</v>
      </c>
      <c r="E23" s="33" t="s">
        <v>10</v>
      </c>
      <c r="F23" s="102">
        <v>32081.08</v>
      </c>
      <c r="G23" s="102">
        <f t="shared" si="1"/>
        <v>32081.08</v>
      </c>
      <c r="H23" s="33"/>
      <c r="I23" s="34" t="s">
        <v>16</v>
      </c>
      <c r="J23" s="99">
        <f>+'[1]Dự thầu'!$G$37</f>
        <v>2096</v>
      </c>
      <c r="K23" s="98">
        <f t="shared" si="2"/>
        <v>67241944</v>
      </c>
      <c r="L23" s="98">
        <f t="shared" si="3"/>
        <v>67241944</v>
      </c>
      <c r="M23" s="98">
        <f t="shared" si="4"/>
        <v>0</v>
      </c>
      <c r="N23" s="100"/>
    </row>
    <row r="24" spans="1:14" ht="31.5" customHeight="1" x14ac:dyDescent="0.25">
      <c r="A24" s="52" t="str">
        <f t="shared" si="0"/>
        <v>TL</v>
      </c>
      <c r="B24" s="32" t="s">
        <v>48</v>
      </c>
      <c r="C24" s="33">
        <v>19</v>
      </c>
      <c r="D24" s="39" t="s">
        <v>49</v>
      </c>
      <c r="E24" s="33" t="s">
        <v>10</v>
      </c>
      <c r="F24" s="98">
        <v>93677</v>
      </c>
      <c r="G24" s="98">
        <f t="shared" si="1"/>
        <v>93677</v>
      </c>
      <c r="H24" s="33"/>
      <c r="I24" s="34" t="s">
        <v>16</v>
      </c>
      <c r="J24" s="99">
        <f>+'[1]Dự thầu'!$G$38</f>
        <v>8251</v>
      </c>
      <c r="K24" s="98">
        <f t="shared" si="2"/>
        <v>772928927</v>
      </c>
      <c r="L24" s="98">
        <f t="shared" si="3"/>
        <v>772928927</v>
      </c>
      <c r="M24" s="98">
        <f t="shared" si="4"/>
        <v>0</v>
      </c>
      <c r="N24" s="100"/>
    </row>
    <row r="25" spans="1:14" ht="31.5" customHeight="1" x14ac:dyDescent="0.25">
      <c r="A25" s="52" t="str">
        <f t="shared" si="0"/>
        <v>TL</v>
      </c>
      <c r="B25" s="32" t="s">
        <v>50</v>
      </c>
      <c r="C25" s="33">
        <v>20</v>
      </c>
      <c r="D25" s="39" t="s">
        <v>51</v>
      </c>
      <c r="E25" s="33" t="s">
        <v>10</v>
      </c>
      <c r="F25" s="98">
        <v>88349</v>
      </c>
      <c r="G25" s="98">
        <f t="shared" si="1"/>
        <v>88349</v>
      </c>
      <c r="H25" s="33"/>
      <c r="I25" s="34" t="s">
        <v>13</v>
      </c>
      <c r="J25" s="99">
        <f>+'[1]Dự thầu'!$G$40</f>
        <v>20017</v>
      </c>
      <c r="K25" s="98">
        <f t="shared" si="2"/>
        <v>1768481933</v>
      </c>
      <c r="L25" s="98">
        <f t="shared" si="3"/>
        <v>1768481933</v>
      </c>
      <c r="M25" s="98">
        <f t="shared" si="4"/>
        <v>0</v>
      </c>
      <c r="N25" s="100"/>
    </row>
    <row r="26" spans="1:14" ht="31.5" customHeight="1" x14ac:dyDescent="0.25">
      <c r="A26" s="52" t="str">
        <f t="shared" si="0"/>
        <v>TL</v>
      </c>
      <c r="B26" s="32" t="s">
        <v>52</v>
      </c>
      <c r="C26" s="33">
        <v>21</v>
      </c>
      <c r="D26" s="39" t="s">
        <v>53</v>
      </c>
      <c r="E26" s="33" t="s">
        <v>10</v>
      </c>
      <c r="F26" s="101">
        <v>29119.1</v>
      </c>
      <c r="G26" s="101">
        <f t="shared" si="1"/>
        <v>29119.1</v>
      </c>
      <c r="H26" s="33"/>
      <c r="I26" s="34" t="s">
        <v>13</v>
      </c>
      <c r="J26" s="99">
        <f>+'[1]Dự thầu'!$G$41</f>
        <v>36456</v>
      </c>
      <c r="K26" s="98">
        <f t="shared" si="2"/>
        <v>1061565910</v>
      </c>
      <c r="L26" s="98">
        <f t="shared" si="3"/>
        <v>1061565910</v>
      </c>
      <c r="M26" s="98">
        <f t="shared" si="4"/>
        <v>0</v>
      </c>
      <c r="N26" s="100"/>
    </row>
    <row r="27" spans="1:14" ht="15.75" customHeight="1" x14ac:dyDescent="0.25">
      <c r="A27" s="52" t="str">
        <f t="shared" si="0"/>
        <v>TL</v>
      </c>
      <c r="B27" s="32" t="s">
        <v>54</v>
      </c>
      <c r="C27" s="33">
        <v>22</v>
      </c>
      <c r="D27" s="39" t="s">
        <v>55</v>
      </c>
      <c r="E27" s="33" t="s">
        <v>10</v>
      </c>
      <c r="F27" s="98">
        <v>10294</v>
      </c>
      <c r="G27" s="98">
        <f t="shared" si="1"/>
        <v>10294</v>
      </c>
      <c r="H27" s="33"/>
      <c r="I27" s="34" t="s">
        <v>16</v>
      </c>
      <c r="J27" s="99">
        <f>+'[1]Dự thầu'!$G$44</f>
        <v>12936</v>
      </c>
      <c r="K27" s="98">
        <f t="shared" si="2"/>
        <v>133163184</v>
      </c>
      <c r="L27" s="98">
        <f t="shared" si="3"/>
        <v>133163184</v>
      </c>
      <c r="M27" s="98">
        <f t="shared" si="4"/>
        <v>0</v>
      </c>
      <c r="N27" s="100"/>
    </row>
    <row r="28" spans="1:14" ht="15.75" customHeight="1" x14ac:dyDescent="0.25">
      <c r="A28" s="52" t="str">
        <f t="shared" si="0"/>
        <v>TL</v>
      </c>
      <c r="B28" s="32" t="s">
        <v>56</v>
      </c>
      <c r="C28" s="33">
        <v>23</v>
      </c>
      <c r="D28" s="39" t="s">
        <v>57</v>
      </c>
      <c r="E28" s="33" t="s">
        <v>10</v>
      </c>
      <c r="F28" s="101">
        <v>2898.6</v>
      </c>
      <c r="G28" s="101">
        <f t="shared" si="1"/>
        <v>2898.6</v>
      </c>
      <c r="H28" s="33"/>
      <c r="I28" s="34" t="s">
        <v>16</v>
      </c>
      <c r="J28" s="99">
        <f>+'[1]Dự thầu'!$G$45</f>
        <v>12936</v>
      </c>
      <c r="K28" s="98">
        <f t="shared" si="2"/>
        <v>37496290</v>
      </c>
      <c r="L28" s="98">
        <f t="shared" si="3"/>
        <v>37496290</v>
      </c>
      <c r="M28" s="98">
        <f t="shared" si="4"/>
        <v>0</v>
      </c>
      <c r="N28" s="100"/>
    </row>
    <row r="29" spans="1:14" ht="15.75" customHeight="1" x14ac:dyDescent="0.25">
      <c r="A29" s="52" t="str">
        <f t="shared" si="0"/>
        <v>TL</v>
      </c>
      <c r="B29" s="32" t="s">
        <v>58</v>
      </c>
      <c r="C29" s="33">
        <v>24</v>
      </c>
      <c r="D29" s="39" t="s">
        <v>59</v>
      </c>
      <c r="E29" s="33" t="s">
        <v>10</v>
      </c>
      <c r="F29" s="101">
        <v>2898.6</v>
      </c>
      <c r="G29" s="101">
        <f t="shared" si="1"/>
        <v>2898.6</v>
      </c>
      <c r="H29" s="33"/>
      <c r="I29" s="34" t="s">
        <v>16</v>
      </c>
      <c r="J29" s="99">
        <f>+'[1]Dự thầu'!$G$46</f>
        <v>12342</v>
      </c>
      <c r="K29" s="98">
        <f t="shared" si="2"/>
        <v>35774521</v>
      </c>
      <c r="L29" s="98">
        <f t="shared" si="3"/>
        <v>35774521</v>
      </c>
      <c r="M29" s="98">
        <f t="shared" si="4"/>
        <v>0</v>
      </c>
      <c r="N29" s="100"/>
    </row>
    <row r="30" spans="1:14" ht="15.75" customHeight="1" x14ac:dyDescent="0.25">
      <c r="A30" s="52" t="str">
        <f t="shared" si="0"/>
        <v>TL</v>
      </c>
      <c r="B30" s="32" t="s">
        <v>60</v>
      </c>
      <c r="C30" s="33">
        <v>25</v>
      </c>
      <c r="D30" s="39" t="s">
        <v>61</v>
      </c>
      <c r="E30" s="33" t="s">
        <v>10</v>
      </c>
      <c r="F30" s="102">
        <v>3275.42</v>
      </c>
      <c r="G30" s="102">
        <f t="shared" si="1"/>
        <v>3275.42</v>
      </c>
      <c r="H30" s="33"/>
      <c r="I30" s="34" t="s">
        <v>62</v>
      </c>
      <c r="J30" s="99">
        <f>+'[1]Dự thầu'!$G$47</f>
        <v>6611</v>
      </c>
      <c r="K30" s="98">
        <f t="shared" si="2"/>
        <v>21653802</v>
      </c>
      <c r="L30" s="98">
        <f t="shared" si="3"/>
        <v>21653802</v>
      </c>
      <c r="M30" s="98">
        <f t="shared" si="4"/>
        <v>0</v>
      </c>
      <c r="N30" s="100"/>
    </row>
    <row r="31" spans="1:14" ht="31.5" customHeight="1" x14ac:dyDescent="0.25">
      <c r="A31" s="52" t="str">
        <f t="shared" si="0"/>
        <v>TL</v>
      </c>
      <c r="B31" s="32" t="s">
        <v>63</v>
      </c>
      <c r="C31" s="33">
        <v>26</v>
      </c>
      <c r="D31" s="39" t="s">
        <v>64</v>
      </c>
      <c r="E31" s="33" t="s">
        <v>10</v>
      </c>
      <c r="F31" s="102">
        <v>13855.64</v>
      </c>
      <c r="G31" s="102">
        <f t="shared" si="1"/>
        <v>13855.64</v>
      </c>
      <c r="H31" s="33"/>
      <c r="I31" s="34" t="s">
        <v>16</v>
      </c>
      <c r="J31" s="99">
        <f>+'[1]Dự thầu'!$G$48</f>
        <v>12936</v>
      </c>
      <c r="K31" s="98">
        <f t="shared" si="2"/>
        <v>179236559</v>
      </c>
      <c r="L31" s="98">
        <f t="shared" si="3"/>
        <v>179236559</v>
      </c>
      <c r="M31" s="98">
        <f t="shared" si="4"/>
        <v>0</v>
      </c>
      <c r="N31" s="100"/>
    </row>
    <row r="32" spans="1:14" ht="15.75" customHeight="1" x14ac:dyDescent="0.25">
      <c r="A32" s="52" t="str">
        <f t="shared" si="0"/>
        <v>TL</v>
      </c>
      <c r="B32" s="32" t="s">
        <v>65</v>
      </c>
      <c r="C32" s="33">
        <v>27</v>
      </c>
      <c r="D32" s="39" t="s">
        <v>59</v>
      </c>
      <c r="E32" s="33" t="s">
        <v>10</v>
      </c>
      <c r="F32" s="102">
        <v>13855.64</v>
      </c>
      <c r="G32" s="102">
        <f t="shared" si="1"/>
        <v>13855.64</v>
      </c>
      <c r="H32" s="33"/>
      <c r="I32" s="34" t="s">
        <v>16</v>
      </c>
      <c r="J32" s="99">
        <f>+'[1]Dự thầu'!$G$49</f>
        <v>12342</v>
      </c>
      <c r="K32" s="98">
        <f t="shared" si="2"/>
        <v>171006309</v>
      </c>
      <c r="L32" s="98">
        <f t="shared" si="3"/>
        <v>171006309</v>
      </c>
      <c r="M32" s="98">
        <f t="shared" si="4"/>
        <v>0</v>
      </c>
      <c r="N32" s="100"/>
    </row>
    <row r="33" spans="1:14" ht="15.75" customHeight="1" x14ac:dyDescent="0.25">
      <c r="A33" s="52" t="str">
        <f t="shared" si="0"/>
        <v>TL</v>
      </c>
      <c r="B33" s="32" t="s">
        <v>66</v>
      </c>
      <c r="C33" s="33">
        <v>28</v>
      </c>
      <c r="D33" s="39" t="s">
        <v>61</v>
      </c>
      <c r="E33" s="33" t="s">
        <v>10</v>
      </c>
      <c r="F33" s="102">
        <v>15656.87</v>
      </c>
      <c r="G33" s="102">
        <f t="shared" si="1"/>
        <v>15656.87</v>
      </c>
      <c r="H33" s="33"/>
      <c r="I33" s="34" t="s">
        <v>62</v>
      </c>
      <c r="J33" s="99">
        <f>+'[1]Dự thầu'!$G$50</f>
        <v>6611</v>
      </c>
      <c r="K33" s="98">
        <f t="shared" si="2"/>
        <v>103507568</v>
      </c>
      <c r="L33" s="98">
        <f t="shared" si="3"/>
        <v>103507568</v>
      </c>
      <c r="M33" s="98">
        <f t="shared" si="4"/>
        <v>0</v>
      </c>
      <c r="N33" s="100"/>
    </row>
    <row r="34" spans="1:14" ht="15.75" customHeight="1" x14ac:dyDescent="0.25">
      <c r="A34" s="52" t="str">
        <f t="shared" si="0"/>
        <v>TL</v>
      </c>
      <c r="B34" s="32" t="s">
        <v>67</v>
      </c>
      <c r="C34" s="33">
        <v>29</v>
      </c>
      <c r="D34" s="39" t="s">
        <v>68</v>
      </c>
      <c r="E34" s="33" t="s">
        <v>10</v>
      </c>
      <c r="F34" s="33">
        <v>74</v>
      </c>
      <c r="G34" s="33">
        <f t="shared" si="1"/>
        <v>74</v>
      </c>
      <c r="H34" s="33"/>
      <c r="I34" s="34" t="s">
        <v>16</v>
      </c>
      <c r="J34" s="99">
        <f>+'[1]Dự thầu'!$G$51</f>
        <v>868453</v>
      </c>
      <c r="K34" s="98">
        <f t="shared" si="2"/>
        <v>64265522</v>
      </c>
      <c r="L34" s="98">
        <f t="shared" si="3"/>
        <v>64265522</v>
      </c>
      <c r="M34" s="98">
        <f t="shared" si="4"/>
        <v>0</v>
      </c>
      <c r="N34" s="100"/>
    </row>
    <row r="35" spans="1:14" ht="15.75" customHeight="1" x14ac:dyDescent="0.25">
      <c r="A35" s="52" t="str">
        <f t="shared" si="0"/>
        <v>TL</v>
      </c>
      <c r="B35" s="32" t="s">
        <v>69</v>
      </c>
      <c r="C35" s="33">
        <v>30</v>
      </c>
      <c r="D35" s="39" t="s">
        <v>70</v>
      </c>
      <c r="E35" s="33" t="s">
        <v>10</v>
      </c>
      <c r="F35" s="33">
        <v>672</v>
      </c>
      <c r="G35" s="33">
        <f t="shared" si="1"/>
        <v>672</v>
      </c>
      <c r="H35" s="33"/>
      <c r="I35" s="34" t="s">
        <v>13</v>
      </c>
      <c r="J35" s="99">
        <f>+'[1]Dự thầu'!$G$52</f>
        <v>26716</v>
      </c>
      <c r="K35" s="98">
        <f t="shared" si="2"/>
        <v>17953152</v>
      </c>
      <c r="L35" s="98">
        <f t="shared" si="3"/>
        <v>17953152</v>
      </c>
      <c r="M35" s="98">
        <f t="shared" si="4"/>
        <v>0</v>
      </c>
      <c r="N35" s="100"/>
    </row>
    <row r="36" spans="1:14" ht="15.75" customHeight="1" x14ac:dyDescent="0.25">
      <c r="A36" s="52" t="str">
        <f t="shared" si="0"/>
        <v>TL</v>
      </c>
      <c r="B36" s="32" t="s">
        <v>71</v>
      </c>
      <c r="C36" s="33">
        <v>31</v>
      </c>
      <c r="D36" s="39" t="s">
        <v>72</v>
      </c>
      <c r="E36" s="33" t="s">
        <v>10</v>
      </c>
      <c r="F36" s="33">
        <v>247</v>
      </c>
      <c r="G36" s="33">
        <f t="shared" si="1"/>
        <v>247</v>
      </c>
      <c r="H36" s="33"/>
      <c r="I36" s="34" t="s">
        <v>16</v>
      </c>
      <c r="J36" s="99">
        <f>+'[1]Dự thầu'!$G$53</f>
        <v>32141</v>
      </c>
      <c r="K36" s="98">
        <f t="shared" si="2"/>
        <v>7938827</v>
      </c>
      <c r="L36" s="98">
        <f t="shared" si="3"/>
        <v>7938827</v>
      </c>
      <c r="M36" s="98">
        <f t="shared" si="4"/>
        <v>0</v>
      </c>
      <c r="N36" s="100"/>
    </row>
    <row r="37" spans="1:14" ht="15.75" customHeight="1" x14ac:dyDescent="0.25">
      <c r="A37" s="52" t="str">
        <f t="shared" si="0"/>
        <v>TL</v>
      </c>
      <c r="B37" s="32" t="s">
        <v>73</v>
      </c>
      <c r="C37" s="33">
        <v>32</v>
      </c>
      <c r="D37" s="39" t="s">
        <v>74</v>
      </c>
      <c r="E37" s="33" t="s">
        <v>10</v>
      </c>
      <c r="F37" s="101">
        <v>83518.100000000006</v>
      </c>
      <c r="G37" s="101">
        <f t="shared" si="1"/>
        <v>83518.100000000006</v>
      </c>
      <c r="H37" s="33"/>
      <c r="I37" s="34" t="s">
        <v>75</v>
      </c>
      <c r="J37" s="99">
        <f>+'[1]Dự thầu'!$G$54</f>
        <v>7813</v>
      </c>
      <c r="K37" s="98">
        <f t="shared" si="2"/>
        <v>652526915</v>
      </c>
      <c r="L37" s="98">
        <f t="shared" si="3"/>
        <v>652526915</v>
      </c>
      <c r="M37" s="98">
        <f t="shared" si="4"/>
        <v>0</v>
      </c>
      <c r="N37" s="100"/>
    </row>
    <row r="38" spans="1:14" ht="31.5" customHeight="1" x14ac:dyDescent="0.25">
      <c r="A38" s="52" t="str">
        <f t="shared" si="0"/>
        <v>TL</v>
      </c>
      <c r="B38" s="32" t="s">
        <v>76</v>
      </c>
      <c r="C38" s="33">
        <v>33</v>
      </c>
      <c r="D38" s="39" t="s">
        <v>77</v>
      </c>
      <c r="E38" s="33" t="s">
        <v>10</v>
      </c>
      <c r="F38" s="98">
        <v>15182</v>
      </c>
      <c r="G38" s="98">
        <f t="shared" si="1"/>
        <v>15182</v>
      </c>
      <c r="H38" s="33"/>
      <c r="I38" s="34" t="s">
        <v>16</v>
      </c>
      <c r="J38" s="99">
        <f>+'[1]Dự thầu'!$G$56</f>
        <v>267174</v>
      </c>
      <c r="K38" s="98">
        <f t="shared" si="2"/>
        <v>4056235668</v>
      </c>
      <c r="L38" s="98">
        <f t="shared" si="3"/>
        <v>4056235668</v>
      </c>
      <c r="M38" s="98">
        <f t="shared" si="4"/>
        <v>0</v>
      </c>
      <c r="N38" s="100"/>
    </row>
    <row r="39" spans="1:14" ht="15.75" customHeight="1" x14ac:dyDescent="0.25">
      <c r="A39" s="52" t="str">
        <f t="shared" si="0"/>
        <v>TL</v>
      </c>
      <c r="B39" s="32" t="s">
        <v>78</v>
      </c>
      <c r="C39" s="33">
        <v>34</v>
      </c>
      <c r="D39" s="39" t="s">
        <v>79</v>
      </c>
      <c r="E39" s="33" t="s">
        <v>10</v>
      </c>
      <c r="F39" s="98">
        <v>1035</v>
      </c>
      <c r="G39" s="98">
        <f t="shared" si="1"/>
        <v>1035</v>
      </c>
      <c r="H39" s="33"/>
      <c r="I39" s="34" t="s">
        <v>16</v>
      </c>
      <c r="J39" s="99">
        <f>+'[1]Dự thầu'!$G$58</f>
        <v>20867</v>
      </c>
      <c r="K39" s="98">
        <f t="shared" ref="K39:K70" si="5">+ROUND(J39*F39,0)</f>
        <v>21597345</v>
      </c>
      <c r="L39" s="98">
        <f t="shared" ref="L39:L70" si="6">+ROUND(G39*J39,0)</f>
        <v>21597345</v>
      </c>
      <c r="M39" s="98">
        <f t="shared" ref="M39:M70" si="7">+ROUND(H39*J39,0)</f>
        <v>0</v>
      </c>
      <c r="N39" s="100"/>
    </row>
    <row r="40" spans="1:14" ht="15.75" customHeight="1" x14ac:dyDescent="0.25">
      <c r="A40" s="52" t="str">
        <f t="shared" si="0"/>
        <v>TL</v>
      </c>
      <c r="B40" s="32" t="s">
        <v>80</v>
      </c>
      <c r="C40" s="33">
        <v>35</v>
      </c>
      <c r="D40" s="39" t="s">
        <v>81</v>
      </c>
      <c r="E40" s="33" t="s">
        <v>10</v>
      </c>
      <c r="F40" s="98">
        <v>1035</v>
      </c>
      <c r="G40" s="98">
        <f t="shared" si="1"/>
        <v>1035</v>
      </c>
      <c r="H40" s="33"/>
      <c r="I40" s="34" t="s">
        <v>16</v>
      </c>
      <c r="J40" s="99">
        <f>+'[1]Dự thầu'!$G$59</f>
        <v>12936</v>
      </c>
      <c r="K40" s="98">
        <f t="shared" si="5"/>
        <v>13388760</v>
      </c>
      <c r="L40" s="98">
        <f t="shared" si="6"/>
        <v>13388760</v>
      </c>
      <c r="M40" s="98">
        <f t="shared" si="7"/>
        <v>0</v>
      </c>
      <c r="N40" s="100"/>
    </row>
    <row r="41" spans="1:14" ht="15.75" customHeight="1" x14ac:dyDescent="0.25">
      <c r="A41" s="52" t="str">
        <f t="shared" si="0"/>
        <v>TL</v>
      </c>
      <c r="B41" s="32" t="s">
        <v>82</v>
      </c>
      <c r="C41" s="33">
        <v>36</v>
      </c>
      <c r="D41" s="39" t="s">
        <v>83</v>
      </c>
      <c r="E41" s="33" t="s">
        <v>10</v>
      </c>
      <c r="F41" s="98">
        <v>27</v>
      </c>
      <c r="G41" s="98">
        <f t="shared" si="1"/>
        <v>27</v>
      </c>
      <c r="H41" s="33"/>
      <c r="I41" s="34" t="s">
        <v>75</v>
      </c>
      <c r="J41" s="99">
        <f>+'[1]Dự thầu'!$G$60</f>
        <v>301142</v>
      </c>
      <c r="K41" s="98">
        <f t="shared" si="5"/>
        <v>8130834</v>
      </c>
      <c r="L41" s="98">
        <f t="shared" si="6"/>
        <v>8130834</v>
      </c>
      <c r="M41" s="98">
        <f t="shared" si="7"/>
        <v>0</v>
      </c>
      <c r="N41" s="100"/>
    </row>
    <row r="42" spans="1:14" ht="15.75" customHeight="1" x14ac:dyDescent="0.25">
      <c r="A42" s="52" t="str">
        <f t="shared" si="0"/>
        <v>TL</v>
      </c>
      <c r="B42" s="32" t="s">
        <v>84</v>
      </c>
      <c r="C42" s="33">
        <v>37</v>
      </c>
      <c r="D42" s="39" t="s">
        <v>85</v>
      </c>
      <c r="E42" s="33" t="s">
        <v>10</v>
      </c>
      <c r="F42" s="98">
        <v>295</v>
      </c>
      <c r="G42" s="98">
        <f t="shared" si="1"/>
        <v>295</v>
      </c>
      <c r="H42" s="33"/>
      <c r="I42" s="34" t="s">
        <v>75</v>
      </c>
      <c r="J42" s="99">
        <f>+'[1]Dự thầu'!$G$61</f>
        <v>191443</v>
      </c>
      <c r="K42" s="98">
        <f t="shared" si="5"/>
        <v>56475685</v>
      </c>
      <c r="L42" s="98">
        <f t="shared" si="6"/>
        <v>56475685</v>
      </c>
      <c r="M42" s="98">
        <f t="shared" si="7"/>
        <v>0</v>
      </c>
      <c r="N42" s="100"/>
    </row>
    <row r="43" spans="1:14" ht="15.75" customHeight="1" x14ac:dyDescent="0.25">
      <c r="A43" s="52" t="str">
        <f t="shared" si="0"/>
        <v>TL</v>
      </c>
      <c r="B43" s="32" t="s">
        <v>86</v>
      </c>
      <c r="C43" s="33">
        <v>38</v>
      </c>
      <c r="D43" s="39" t="s">
        <v>87</v>
      </c>
      <c r="E43" s="33" t="s">
        <v>10</v>
      </c>
      <c r="F43" s="98">
        <v>295</v>
      </c>
      <c r="G43" s="98">
        <f t="shared" si="1"/>
        <v>295</v>
      </c>
      <c r="H43" s="33"/>
      <c r="I43" s="34" t="s">
        <v>75</v>
      </c>
      <c r="J43" s="99">
        <f>+'[1]Dự thầu'!$G$62</f>
        <v>184138</v>
      </c>
      <c r="K43" s="98">
        <f t="shared" si="5"/>
        <v>54320710</v>
      </c>
      <c r="L43" s="98">
        <f t="shared" si="6"/>
        <v>54320710</v>
      </c>
      <c r="M43" s="98">
        <f t="shared" si="7"/>
        <v>0</v>
      </c>
      <c r="N43" s="100"/>
    </row>
    <row r="44" spans="1:14" ht="15.75" customHeight="1" x14ac:dyDescent="0.25">
      <c r="A44" s="52" t="str">
        <f t="shared" si="0"/>
        <v>TL</v>
      </c>
      <c r="B44" s="32" t="s">
        <v>88</v>
      </c>
      <c r="C44" s="33">
        <v>39</v>
      </c>
      <c r="D44" s="39" t="s">
        <v>89</v>
      </c>
      <c r="E44" s="33" t="s">
        <v>10</v>
      </c>
      <c r="F44" s="98">
        <v>2.96</v>
      </c>
      <c r="G44" s="98">
        <f t="shared" si="1"/>
        <v>2.96</v>
      </c>
      <c r="H44" s="33"/>
      <c r="I44" s="34" t="s">
        <v>90</v>
      </c>
      <c r="J44" s="99">
        <f>+'[1]Dự thầu'!$G$63</f>
        <v>33697650</v>
      </c>
      <c r="K44" s="98">
        <f t="shared" si="5"/>
        <v>99745044</v>
      </c>
      <c r="L44" s="98">
        <f t="shared" si="6"/>
        <v>99745044</v>
      </c>
      <c r="M44" s="98">
        <f t="shared" si="7"/>
        <v>0</v>
      </c>
      <c r="N44" s="100"/>
    </row>
    <row r="45" spans="1:14" ht="15.75" customHeight="1" x14ac:dyDescent="0.25">
      <c r="A45" s="52" t="str">
        <f t="shared" si="0"/>
        <v>TL</v>
      </c>
      <c r="B45" s="32" t="s">
        <v>91</v>
      </c>
      <c r="C45" s="33">
        <v>40</v>
      </c>
      <c r="D45" s="39" t="s">
        <v>92</v>
      </c>
      <c r="E45" s="33" t="s">
        <v>10</v>
      </c>
      <c r="F45" s="98">
        <v>204</v>
      </c>
      <c r="G45" s="98">
        <f t="shared" si="1"/>
        <v>204</v>
      </c>
      <c r="H45" s="33"/>
      <c r="I45" s="34" t="s">
        <v>75</v>
      </c>
      <c r="J45" s="99">
        <f>+'[1]Dự thầu'!$G$64</f>
        <v>17859</v>
      </c>
      <c r="K45" s="98">
        <f t="shared" si="5"/>
        <v>3643236</v>
      </c>
      <c r="L45" s="98">
        <f t="shared" si="6"/>
        <v>3643236</v>
      </c>
      <c r="M45" s="98">
        <f t="shared" si="7"/>
        <v>0</v>
      </c>
      <c r="N45" s="100"/>
    </row>
    <row r="46" spans="1:14" ht="47.25" customHeight="1" x14ac:dyDescent="0.25">
      <c r="A46" s="52" t="str">
        <f t="shared" si="0"/>
        <v>TL</v>
      </c>
      <c r="B46" s="32" t="s">
        <v>93</v>
      </c>
      <c r="C46" s="33">
        <v>41</v>
      </c>
      <c r="D46" s="39" t="s">
        <v>94</v>
      </c>
      <c r="E46" s="33" t="s">
        <v>10</v>
      </c>
      <c r="F46" s="98">
        <v>40997</v>
      </c>
      <c r="G46" s="98">
        <f t="shared" si="1"/>
        <v>40997</v>
      </c>
      <c r="H46" s="33"/>
      <c r="I46" s="34" t="s">
        <v>13</v>
      </c>
      <c r="J46" s="99">
        <f>+'[1]Dự thầu'!$G$65</f>
        <v>11015</v>
      </c>
      <c r="K46" s="98">
        <f t="shared" si="5"/>
        <v>451581955</v>
      </c>
      <c r="L46" s="98">
        <f t="shared" si="6"/>
        <v>451581955</v>
      </c>
      <c r="M46" s="98">
        <f t="shared" si="7"/>
        <v>0</v>
      </c>
      <c r="N46" s="100"/>
    </row>
    <row r="47" spans="1:14" ht="31.5" customHeight="1" x14ac:dyDescent="0.25">
      <c r="A47" s="52" t="str">
        <f t="shared" si="0"/>
        <v>TL</v>
      </c>
      <c r="B47" s="32" t="s">
        <v>95</v>
      </c>
      <c r="C47" s="33">
        <v>42</v>
      </c>
      <c r="D47" s="39" t="s">
        <v>96</v>
      </c>
      <c r="E47" s="33" t="s">
        <v>10</v>
      </c>
      <c r="F47" s="103">
        <v>5837.9727999999996</v>
      </c>
      <c r="G47" s="103">
        <f t="shared" si="1"/>
        <v>5837.9727999999996</v>
      </c>
      <c r="H47" s="33"/>
      <c r="I47" s="34" t="s">
        <v>90</v>
      </c>
      <c r="J47" s="99">
        <f>+'[1]Dự thầu'!$G$66</f>
        <v>1646788</v>
      </c>
      <c r="K47" s="98">
        <f t="shared" si="5"/>
        <v>9613903551</v>
      </c>
      <c r="L47" s="98">
        <f t="shared" si="6"/>
        <v>9613903551</v>
      </c>
      <c r="M47" s="98">
        <f t="shared" si="7"/>
        <v>0</v>
      </c>
      <c r="N47" s="100"/>
    </row>
    <row r="48" spans="1:14" ht="31.5" customHeight="1" x14ac:dyDescent="0.25">
      <c r="A48" s="52" t="str">
        <f t="shared" si="0"/>
        <v>TL</v>
      </c>
      <c r="B48" s="32" t="s">
        <v>97</v>
      </c>
      <c r="C48" s="33">
        <v>43</v>
      </c>
      <c r="D48" s="39" t="s">
        <v>98</v>
      </c>
      <c r="E48" s="33" t="s">
        <v>10</v>
      </c>
      <c r="F48" s="33">
        <v>58.38</v>
      </c>
      <c r="G48" s="33">
        <f t="shared" si="1"/>
        <v>58.38</v>
      </c>
      <c r="H48" s="33"/>
      <c r="I48" s="34" t="s">
        <v>99</v>
      </c>
      <c r="J48" s="99">
        <f>+'[1]Dự thầu'!$G$67+'[1]Dự thầu'!$G$68</f>
        <v>8873277</v>
      </c>
      <c r="K48" s="98">
        <f t="shared" si="5"/>
        <v>518021911</v>
      </c>
      <c r="L48" s="98">
        <f t="shared" si="6"/>
        <v>518021911</v>
      </c>
      <c r="M48" s="98">
        <f t="shared" si="7"/>
        <v>0</v>
      </c>
      <c r="N48" s="100"/>
    </row>
    <row r="49" spans="1:14" ht="31.5" customHeight="1" x14ac:dyDescent="0.25">
      <c r="A49" s="52" t="str">
        <f t="shared" si="0"/>
        <v>TL</v>
      </c>
      <c r="B49" s="32" t="s">
        <v>100</v>
      </c>
      <c r="C49" s="33">
        <v>44</v>
      </c>
      <c r="D49" s="39" t="s">
        <v>101</v>
      </c>
      <c r="E49" s="33" t="s">
        <v>10</v>
      </c>
      <c r="F49" s="98">
        <v>40997</v>
      </c>
      <c r="G49" s="98">
        <f t="shared" si="1"/>
        <v>40997</v>
      </c>
      <c r="H49" s="33"/>
      <c r="I49" s="34" t="s">
        <v>13</v>
      </c>
      <c r="J49" s="99">
        <f>+'[1]Dự thầu'!$G$69</f>
        <v>26753</v>
      </c>
      <c r="K49" s="98">
        <f t="shared" si="5"/>
        <v>1096792741</v>
      </c>
      <c r="L49" s="98">
        <f t="shared" si="6"/>
        <v>1096792741</v>
      </c>
      <c r="M49" s="98">
        <f t="shared" si="7"/>
        <v>0</v>
      </c>
      <c r="N49" s="100"/>
    </row>
    <row r="50" spans="1:14" ht="15.75" customHeight="1" x14ac:dyDescent="0.25">
      <c r="A50" s="52" t="str">
        <f t="shared" si="0"/>
        <v>TL</v>
      </c>
      <c r="B50" s="32" t="s">
        <v>102</v>
      </c>
      <c r="C50" s="33">
        <v>45</v>
      </c>
      <c r="D50" s="39" t="s">
        <v>103</v>
      </c>
      <c r="E50" s="33" t="s">
        <v>10</v>
      </c>
      <c r="F50" s="98">
        <v>10007</v>
      </c>
      <c r="G50" s="98">
        <f t="shared" si="1"/>
        <v>10007</v>
      </c>
      <c r="H50" s="33"/>
      <c r="I50" s="34" t="s">
        <v>16</v>
      </c>
      <c r="J50" s="99">
        <f>+'[1]Dự thầu'!$G$70</f>
        <v>352760</v>
      </c>
      <c r="K50" s="98">
        <f t="shared" si="5"/>
        <v>3530069320</v>
      </c>
      <c r="L50" s="98">
        <f t="shared" si="6"/>
        <v>3530069320</v>
      </c>
      <c r="M50" s="98">
        <f t="shared" si="7"/>
        <v>0</v>
      </c>
      <c r="N50" s="100"/>
    </row>
    <row r="51" spans="1:14" ht="15.75" customHeight="1" x14ac:dyDescent="0.25">
      <c r="A51" s="52" t="str">
        <f t="shared" si="0"/>
        <v>TL</v>
      </c>
      <c r="B51" s="32" t="s">
        <v>104</v>
      </c>
      <c r="C51" s="33">
        <v>46</v>
      </c>
      <c r="D51" s="39" t="s">
        <v>105</v>
      </c>
      <c r="E51" s="33" t="s">
        <v>10</v>
      </c>
      <c r="F51" s="98">
        <v>15316</v>
      </c>
      <c r="G51" s="98">
        <f t="shared" si="1"/>
        <v>15316</v>
      </c>
      <c r="H51" s="33"/>
      <c r="I51" s="34" t="s">
        <v>16</v>
      </c>
      <c r="J51" s="99">
        <f>+'[1]Dự thầu'!$G$71</f>
        <v>334047</v>
      </c>
      <c r="K51" s="98">
        <f t="shared" si="5"/>
        <v>5116263852</v>
      </c>
      <c r="L51" s="98">
        <f t="shared" si="6"/>
        <v>5116263852</v>
      </c>
      <c r="M51" s="98">
        <f t="shared" si="7"/>
        <v>0</v>
      </c>
      <c r="N51" s="100"/>
    </row>
    <row r="52" spans="1:14" ht="47.25" customHeight="1" x14ac:dyDescent="0.25">
      <c r="A52" s="52" t="str">
        <f t="shared" si="0"/>
        <v>TL</v>
      </c>
      <c r="B52" s="32" t="s">
        <v>106</v>
      </c>
      <c r="C52" s="33">
        <v>47</v>
      </c>
      <c r="D52" s="39" t="s">
        <v>94</v>
      </c>
      <c r="E52" s="33" t="s">
        <v>10</v>
      </c>
      <c r="F52" s="98">
        <v>8058</v>
      </c>
      <c r="G52" s="98">
        <f t="shared" si="1"/>
        <v>8058</v>
      </c>
      <c r="H52" s="33"/>
      <c r="I52" s="34" t="s">
        <v>13</v>
      </c>
      <c r="J52" s="99">
        <f>+'[1]Dự thầu'!$G$72</f>
        <v>11015</v>
      </c>
      <c r="K52" s="98">
        <f t="shared" si="5"/>
        <v>88758870</v>
      </c>
      <c r="L52" s="98">
        <f t="shared" si="6"/>
        <v>88758870</v>
      </c>
      <c r="M52" s="98">
        <f t="shared" si="7"/>
        <v>0</v>
      </c>
      <c r="N52" s="100"/>
    </row>
    <row r="53" spans="1:14" ht="31.5" customHeight="1" x14ac:dyDescent="0.25">
      <c r="A53" s="52" t="str">
        <f t="shared" si="0"/>
        <v>TL</v>
      </c>
      <c r="B53" s="32" t="s">
        <v>107</v>
      </c>
      <c r="C53" s="33">
        <v>48</v>
      </c>
      <c r="D53" s="39" t="s">
        <v>96</v>
      </c>
      <c r="E53" s="33" t="s">
        <v>10</v>
      </c>
      <c r="F53" s="102">
        <v>1147.46</v>
      </c>
      <c r="G53" s="102">
        <f t="shared" si="1"/>
        <v>1147.46</v>
      </c>
      <c r="H53" s="33"/>
      <c r="I53" s="34" t="s">
        <v>90</v>
      </c>
      <c r="J53" s="99">
        <f>+'[1]Dự thầu'!$G$73</f>
        <v>1646788</v>
      </c>
      <c r="K53" s="98">
        <f t="shared" si="5"/>
        <v>1889623358</v>
      </c>
      <c r="L53" s="98">
        <f t="shared" si="6"/>
        <v>1889623358</v>
      </c>
      <c r="M53" s="98">
        <f t="shared" si="7"/>
        <v>0</v>
      </c>
      <c r="N53" s="100"/>
    </row>
    <row r="54" spans="1:14" ht="31.5" customHeight="1" x14ac:dyDescent="0.25">
      <c r="A54" s="52" t="str">
        <f t="shared" si="0"/>
        <v>TL</v>
      </c>
      <c r="B54" s="32" t="s">
        <v>108</v>
      </c>
      <c r="C54" s="33">
        <v>49</v>
      </c>
      <c r="D54" s="39" t="s">
        <v>98</v>
      </c>
      <c r="E54" s="33" t="s">
        <v>10</v>
      </c>
      <c r="F54" s="33">
        <v>11.47</v>
      </c>
      <c r="G54" s="33">
        <f t="shared" si="1"/>
        <v>11.47</v>
      </c>
      <c r="H54" s="33"/>
      <c r="I54" s="34" t="s">
        <v>99</v>
      </c>
      <c r="J54" s="99">
        <f>+'[1]Dự thầu'!$G$74+'[1]Dự thầu'!$G$75</f>
        <v>8873277</v>
      </c>
      <c r="K54" s="98">
        <f t="shared" si="5"/>
        <v>101776487</v>
      </c>
      <c r="L54" s="98">
        <f t="shared" si="6"/>
        <v>101776487</v>
      </c>
      <c r="M54" s="98">
        <f t="shared" si="7"/>
        <v>0</v>
      </c>
      <c r="N54" s="100"/>
    </row>
    <row r="55" spans="1:14" ht="31.5" customHeight="1" x14ac:dyDescent="0.25">
      <c r="A55" s="52" t="str">
        <f t="shared" si="0"/>
        <v>TL</v>
      </c>
      <c r="B55" s="32" t="s">
        <v>109</v>
      </c>
      <c r="C55" s="33">
        <v>50</v>
      </c>
      <c r="D55" s="39" t="s">
        <v>110</v>
      </c>
      <c r="E55" s="33" t="s">
        <v>10</v>
      </c>
      <c r="F55" s="98">
        <v>8058</v>
      </c>
      <c r="G55" s="98">
        <f t="shared" si="1"/>
        <v>8058</v>
      </c>
      <c r="H55" s="33"/>
      <c r="I55" s="34" t="s">
        <v>13</v>
      </c>
      <c r="J55" s="99">
        <f>+'[1]Dự thầu'!$G$76</f>
        <v>15319</v>
      </c>
      <c r="K55" s="98">
        <f t="shared" si="5"/>
        <v>123440502</v>
      </c>
      <c r="L55" s="98">
        <f t="shared" si="6"/>
        <v>123440502</v>
      </c>
      <c r="M55" s="98">
        <f t="shared" si="7"/>
        <v>0</v>
      </c>
      <c r="N55" s="100"/>
    </row>
    <row r="56" spans="1:14" ht="47.25" customHeight="1" x14ac:dyDescent="0.25">
      <c r="A56" s="52" t="str">
        <f t="shared" si="0"/>
        <v>TL</v>
      </c>
      <c r="B56" s="32" t="s">
        <v>111</v>
      </c>
      <c r="C56" s="33">
        <v>51</v>
      </c>
      <c r="D56" s="39" t="s">
        <v>112</v>
      </c>
      <c r="E56" s="33" t="s">
        <v>10</v>
      </c>
      <c r="F56" s="98">
        <v>8058</v>
      </c>
      <c r="G56" s="98">
        <f t="shared" si="1"/>
        <v>8058</v>
      </c>
      <c r="H56" s="33"/>
      <c r="I56" s="34" t="s">
        <v>13</v>
      </c>
      <c r="J56" s="99">
        <f>+'[1]Dự thầu'!$G$77</f>
        <v>63114</v>
      </c>
      <c r="K56" s="98">
        <f t="shared" si="5"/>
        <v>508572612</v>
      </c>
      <c r="L56" s="98">
        <f t="shared" si="6"/>
        <v>508572612</v>
      </c>
      <c r="M56" s="98">
        <f t="shared" si="7"/>
        <v>0</v>
      </c>
      <c r="N56" s="100"/>
    </row>
    <row r="57" spans="1:14" ht="15.75" customHeight="1" x14ac:dyDescent="0.25">
      <c r="A57" s="52" t="str">
        <f t="shared" si="0"/>
        <v>TL</v>
      </c>
      <c r="B57" s="32" t="s">
        <v>113</v>
      </c>
      <c r="C57" s="33">
        <v>52</v>
      </c>
      <c r="D57" s="39" t="s">
        <v>114</v>
      </c>
      <c r="E57" s="33" t="s">
        <v>10</v>
      </c>
      <c r="F57" s="101">
        <v>8772.9</v>
      </c>
      <c r="G57" s="101">
        <f t="shared" si="1"/>
        <v>8772.9</v>
      </c>
      <c r="H57" s="33"/>
      <c r="I57" s="34" t="s">
        <v>13</v>
      </c>
      <c r="J57" s="99">
        <f>+'[1]Dự thầu'!$G$78</f>
        <v>213590</v>
      </c>
      <c r="K57" s="98">
        <f t="shared" si="5"/>
        <v>1873803711</v>
      </c>
      <c r="L57" s="98">
        <f t="shared" si="6"/>
        <v>1873803711</v>
      </c>
      <c r="M57" s="98">
        <f t="shared" si="7"/>
        <v>0</v>
      </c>
      <c r="N57" s="100"/>
    </row>
    <row r="58" spans="1:14" ht="15.75" customHeight="1" x14ac:dyDescent="0.25">
      <c r="A58" s="52" t="str">
        <f t="shared" si="0"/>
        <v>TL</v>
      </c>
      <c r="B58" s="32" t="s">
        <v>115</v>
      </c>
      <c r="C58" s="33">
        <v>53</v>
      </c>
      <c r="D58" s="39" t="s">
        <v>116</v>
      </c>
      <c r="E58" s="33" t="s">
        <v>10</v>
      </c>
      <c r="F58" s="101">
        <v>10202.700000000001</v>
      </c>
      <c r="G58" s="101">
        <f t="shared" si="1"/>
        <v>10202.700000000001</v>
      </c>
      <c r="H58" s="33"/>
      <c r="I58" s="34" t="s">
        <v>13</v>
      </c>
      <c r="J58" s="99">
        <f>+'[1]Dự thầu'!$G$82</f>
        <v>173886</v>
      </c>
      <c r="K58" s="98">
        <f t="shared" si="5"/>
        <v>1774106692</v>
      </c>
      <c r="L58" s="98">
        <f t="shared" si="6"/>
        <v>1774106692</v>
      </c>
      <c r="M58" s="98">
        <f t="shared" si="7"/>
        <v>0</v>
      </c>
      <c r="N58" s="100"/>
    </row>
    <row r="59" spans="1:14" ht="15.75" customHeight="1" x14ac:dyDescent="0.25">
      <c r="A59" s="52" t="str">
        <f t="shared" si="0"/>
        <v>TL</v>
      </c>
      <c r="B59" s="32" t="s">
        <v>117</v>
      </c>
      <c r="C59" s="33">
        <v>54</v>
      </c>
      <c r="D59" s="39" t="s">
        <v>118</v>
      </c>
      <c r="E59" s="33" t="s">
        <v>10</v>
      </c>
      <c r="F59" s="98">
        <v>4122</v>
      </c>
      <c r="G59" s="98">
        <f t="shared" si="1"/>
        <v>4122</v>
      </c>
      <c r="H59" s="33"/>
      <c r="I59" s="34" t="s">
        <v>13</v>
      </c>
      <c r="J59" s="99">
        <f>+'[1]Dự thầu'!$G$83</f>
        <v>330238</v>
      </c>
      <c r="K59" s="98">
        <f t="shared" si="5"/>
        <v>1361241036</v>
      </c>
      <c r="L59" s="98">
        <f t="shared" si="6"/>
        <v>1361241036</v>
      </c>
      <c r="M59" s="98">
        <f t="shared" si="7"/>
        <v>0</v>
      </c>
      <c r="N59" s="100"/>
    </row>
    <row r="60" spans="1:14" ht="47.25" customHeight="1" x14ac:dyDescent="0.25">
      <c r="A60" s="52" t="str">
        <f t="shared" si="0"/>
        <v>TL</v>
      </c>
      <c r="B60" s="32" t="s">
        <v>119</v>
      </c>
      <c r="C60" s="33">
        <v>55</v>
      </c>
      <c r="D60" s="39" t="s">
        <v>120</v>
      </c>
      <c r="E60" s="33" t="s">
        <v>10</v>
      </c>
      <c r="F60" s="98">
        <v>330</v>
      </c>
      <c r="G60" s="98">
        <f t="shared" si="1"/>
        <v>330</v>
      </c>
      <c r="H60" s="33"/>
      <c r="I60" s="34" t="s">
        <v>16</v>
      </c>
      <c r="J60" s="99">
        <f>+'[1]Dự thầu'!$G$84</f>
        <v>1191268</v>
      </c>
      <c r="K60" s="98">
        <f t="shared" si="5"/>
        <v>393118440</v>
      </c>
      <c r="L60" s="98">
        <f t="shared" si="6"/>
        <v>393118440</v>
      </c>
      <c r="M60" s="98">
        <f t="shared" si="7"/>
        <v>0</v>
      </c>
      <c r="N60" s="100"/>
    </row>
    <row r="61" spans="1:14" ht="15.75" customHeight="1" x14ac:dyDescent="0.25">
      <c r="A61" s="52" t="str">
        <f t="shared" si="0"/>
        <v>TL</v>
      </c>
      <c r="B61" s="32" t="s">
        <v>121</v>
      </c>
      <c r="C61" s="33">
        <v>56</v>
      </c>
      <c r="D61" s="39" t="s">
        <v>122</v>
      </c>
      <c r="E61" s="33" t="s">
        <v>10</v>
      </c>
      <c r="F61" s="98">
        <v>44</v>
      </c>
      <c r="G61" s="98">
        <f t="shared" si="1"/>
        <v>44</v>
      </c>
      <c r="H61" s="33"/>
      <c r="I61" s="34" t="s">
        <v>16</v>
      </c>
      <c r="J61" s="99">
        <f>+'[1]Dự thầu'!$G$85</f>
        <v>1572721</v>
      </c>
      <c r="K61" s="98">
        <f t="shared" si="5"/>
        <v>69199724</v>
      </c>
      <c r="L61" s="98">
        <f t="shared" si="6"/>
        <v>69199724</v>
      </c>
      <c r="M61" s="98">
        <f t="shared" si="7"/>
        <v>0</v>
      </c>
      <c r="N61" s="100"/>
    </row>
    <row r="62" spans="1:14" ht="47.25" customHeight="1" x14ac:dyDescent="0.25">
      <c r="A62" s="52" t="str">
        <f t="shared" si="0"/>
        <v>TL</v>
      </c>
      <c r="B62" s="32" t="s">
        <v>123</v>
      </c>
      <c r="C62" s="33">
        <v>57</v>
      </c>
      <c r="D62" s="39" t="s">
        <v>120</v>
      </c>
      <c r="E62" s="33" t="s">
        <v>10</v>
      </c>
      <c r="F62" s="98">
        <v>27</v>
      </c>
      <c r="G62" s="98">
        <f t="shared" si="1"/>
        <v>27</v>
      </c>
      <c r="H62" s="33"/>
      <c r="I62" s="34" t="s">
        <v>16</v>
      </c>
      <c r="J62" s="99">
        <f>+'[1]Dự thầu'!$G$86</f>
        <v>1191268</v>
      </c>
      <c r="K62" s="98">
        <f t="shared" si="5"/>
        <v>32164236</v>
      </c>
      <c r="L62" s="98">
        <f t="shared" si="6"/>
        <v>32164236</v>
      </c>
      <c r="M62" s="98">
        <f t="shared" si="7"/>
        <v>0</v>
      </c>
      <c r="N62" s="100"/>
    </row>
    <row r="63" spans="1:14" ht="15.75" customHeight="1" x14ac:dyDescent="0.25">
      <c r="A63" s="52" t="str">
        <f t="shared" si="0"/>
        <v>TL</v>
      </c>
      <c r="B63" s="32" t="s">
        <v>124</v>
      </c>
      <c r="C63" s="33">
        <v>58</v>
      </c>
      <c r="D63" s="39" t="s">
        <v>125</v>
      </c>
      <c r="E63" s="33" t="s">
        <v>10</v>
      </c>
      <c r="F63" s="102">
        <v>1.97</v>
      </c>
      <c r="G63" s="102">
        <f t="shared" si="1"/>
        <v>1.97</v>
      </c>
      <c r="H63" s="33"/>
      <c r="I63" s="34" t="s">
        <v>126</v>
      </c>
      <c r="J63" s="99">
        <f>+'[1]Dự thầu'!$G$87</f>
        <v>10394299</v>
      </c>
      <c r="K63" s="98">
        <f t="shared" si="5"/>
        <v>20476769</v>
      </c>
      <c r="L63" s="98">
        <f t="shared" si="6"/>
        <v>20476769</v>
      </c>
      <c r="M63" s="98">
        <f t="shared" si="7"/>
        <v>0</v>
      </c>
      <c r="N63" s="100"/>
    </row>
    <row r="64" spans="1:14" ht="47.25" customHeight="1" x14ac:dyDescent="0.25">
      <c r="A64" s="52" t="str">
        <f t="shared" si="0"/>
        <v>TL</v>
      </c>
      <c r="B64" s="32" t="s">
        <v>127</v>
      </c>
      <c r="C64" s="33">
        <v>59</v>
      </c>
      <c r="D64" s="39" t="s">
        <v>120</v>
      </c>
      <c r="E64" s="33" t="s">
        <v>10</v>
      </c>
      <c r="F64" s="33">
        <v>11</v>
      </c>
      <c r="G64" s="33">
        <f t="shared" si="1"/>
        <v>11</v>
      </c>
      <c r="H64" s="33"/>
      <c r="I64" s="34" t="s">
        <v>16</v>
      </c>
      <c r="J64" s="99">
        <f>+'[1]Dự thầu'!$G$88</f>
        <v>1191268</v>
      </c>
      <c r="K64" s="98">
        <f t="shared" si="5"/>
        <v>13103948</v>
      </c>
      <c r="L64" s="98">
        <f t="shared" si="6"/>
        <v>13103948</v>
      </c>
      <c r="M64" s="98">
        <f t="shared" si="7"/>
        <v>0</v>
      </c>
      <c r="N64" s="100"/>
    </row>
    <row r="65" spans="1:14" ht="31.5" customHeight="1" x14ac:dyDescent="0.25">
      <c r="A65" s="52" t="str">
        <f t="shared" si="0"/>
        <v>TL</v>
      </c>
      <c r="B65" s="32" t="s">
        <v>128</v>
      </c>
      <c r="C65" s="33">
        <v>60</v>
      </c>
      <c r="D65" s="39" t="s">
        <v>129</v>
      </c>
      <c r="E65" s="33" t="s">
        <v>10</v>
      </c>
      <c r="F65" s="98">
        <v>1118</v>
      </c>
      <c r="G65" s="98">
        <f t="shared" si="1"/>
        <v>1118</v>
      </c>
      <c r="H65" s="33"/>
      <c r="I65" s="34" t="s">
        <v>75</v>
      </c>
      <c r="J65" s="99">
        <f>+'[1]Dự thầu'!$G$89</f>
        <v>320929</v>
      </c>
      <c r="K65" s="98">
        <f t="shared" si="5"/>
        <v>358798622</v>
      </c>
      <c r="L65" s="98">
        <f t="shared" si="6"/>
        <v>358798622</v>
      </c>
      <c r="M65" s="98">
        <f t="shared" si="7"/>
        <v>0</v>
      </c>
      <c r="N65" s="100"/>
    </row>
    <row r="66" spans="1:14" ht="15.75" customHeight="1" x14ac:dyDescent="0.25">
      <c r="A66" s="52" t="str">
        <f t="shared" si="0"/>
        <v>TL</v>
      </c>
      <c r="B66" s="32" t="s">
        <v>130</v>
      </c>
      <c r="C66" s="33">
        <v>61</v>
      </c>
      <c r="D66" s="39" t="s">
        <v>125</v>
      </c>
      <c r="E66" s="33" t="s">
        <v>10</v>
      </c>
      <c r="F66" s="33">
        <v>19.14</v>
      </c>
      <c r="G66" s="33">
        <f t="shared" si="1"/>
        <v>19.14</v>
      </c>
      <c r="H66" s="33"/>
      <c r="I66" s="34" t="s">
        <v>13</v>
      </c>
      <c r="J66" s="99">
        <f>+ROUND('[1]Dự thầu'!$G$90/100,0)</f>
        <v>103943</v>
      </c>
      <c r="K66" s="98">
        <f t="shared" si="5"/>
        <v>1989469</v>
      </c>
      <c r="L66" s="98">
        <f t="shared" si="6"/>
        <v>1989469</v>
      </c>
      <c r="M66" s="98">
        <f t="shared" si="7"/>
        <v>0</v>
      </c>
      <c r="N66" s="100"/>
    </row>
    <row r="67" spans="1:14" ht="47.25" customHeight="1" x14ac:dyDescent="0.25">
      <c r="A67" s="52" t="str">
        <f t="shared" si="0"/>
        <v>TL</v>
      </c>
      <c r="B67" s="32" t="s">
        <v>131</v>
      </c>
      <c r="C67" s="33">
        <v>62</v>
      </c>
      <c r="D67" s="39" t="s">
        <v>120</v>
      </c>
      <c r="E67" s="33" t="s">
        <v>10</v>
      </c>
      <c r="F67" s="103">
        <v>1.0685</v>
      </c>
      <c r="G67" s="103">
        <f t="shared" si="1"/>
        <v>1.0685</v>
      </c>
      <c r="H67" s="33"/>
      <c r="I67" s="34" t="s">
        <v>16</v>
      </c>
      <c r="J67" s="99">
        <f>+'[1]Dự thầu'!$G$91</f>
        <v>1191268</v>
      </c>
      <c r="K67" s="98">
        <f t="shared" si="5"/>
        <v>1272870</v>
      </c>
      <c r="L67" s="98">
        <f t="shared" si="6"/>
        <v>1272870</v>
      </c>
      <c r="M67" s="98">
        <f t="shared" si="7"/>
        <v>0</v>
      </c>
      <c r="N67" s="100"/>
    </row>
    <row r="68" spans="1:14" ht="31.5" customHeight="1" x14ac:dyDescent="0.25">
      <c r="A68" s="52" t="str">
        <f t="shared" si="0"/>
        <v>TL</v>
      </c>
      <c r="B68" s="32" t="s">
        <v>132</v>
      </c>
      <c r="C68" s="33">
        <v>63</v>
      </c>
      <c r="D68" s="39" t="s">
        <v>133</v>
      </c>
      <c r="E68" s="33" t="s">
        <v>10</v>
      </c>
      <c r="F68" s="33">
        <v>108.6</v>
      </c>
      <c r="G68" s="33">
        <f t="shared" si="1"/>
        <v>108.6</v>
      </c>
      <c r="H68" s="33"/>
      <c r="I68" s="34" t="s">
        <v>75</v>
      </c>
      <c r="J68" s="99">
        <f>+'[1]Dự thầu'!$G$92</f>
        <v>355817</v>
      </c>
      <c r="K68" s="98">
        <f t="shared" si="5"/>
        <v>38641726</v>
      </c>
      <c r="L68" s="98">
        <f t="shared" si="6"/>
        <v>38641726</v>
      </c>
      <c r="M68" s="98">
        <f t="shared" si="7"/>
        <v>0</v>
      </c>
      <c r="N68" s="100"/>
    </row>
    <row r="69" spans="1:14" ht="15.75" customHeight="1" x14ac:dyDescent="0.25">
      <c r="A69" s="52" t="str">
        <f t="shared" si="0"/>
        <v>TL</v>
      </c>
      <c r="B69" s="32" t="s">
        <v>134</v>
      </c>
      <c r="C69" s="33">
        <v>64</v>
      </c>
      <c r="D69" s="39" t="s">
        <v>125</v>
      </c>
      <c r="E69" s="33" t="s">
        <v>10</v>
      </c>
      <c r="F69" s="33">
        <v>11.71</v>
      </c>
      <c r="G69" s="33">
        <f t="shared" si="1"/>
        <v>11.71</v>
      </c>
      <c r="H69" s="33"/>
      <c r="I69" s="34" t="s">
        <v>126</v>
      </c>
      <c r="J69" s="99">
        <f>+'[1]Dự thầu'!$G$93</f>
        <v>10394299</v>
      </c>
      <c r="K69" s="98">
        <f t="shared" si="5"/>
        <v>121717241</v>
      </c>
      <c r="L69" s="98">
        <f t="shared" si="6"/>
        <v>121717241</v>
      </c>
      <c r="M69" s="98">
        <f t="shared" si="7"/>
        <v>0</v>
      </c>
      <c r="N69" s="100"/>
    </row>
    <row r="70" spans="1:14" ht="47.25" customHeight="1" x14ac:dyDescent="0.25">
      <c r="A70" s="52" t="str">
        <f t="shared" si="0"/>
        <v>TL</v>
      </c>
      <c r="B70" s="32" t="s">
        <v>135</v>
      </c>
      <c r="C70" s="33">
        <v>65</v>
      </c>
      <c r="D70" s="39" t="s">
        <v>120</v>
      </c>
      <c r="E70" s="33" t="s">
        <v>10</v>
      </c>
      <c r="F70" s="33">
        <v>121.79</v>
      </c>
      <c r="G70" s="33">
        <f t="shared" si="1"/>
        <v>121.79</v>
      </c>
      <c r="H70" s="33"/>
      <c r="I70" s="34" t="s">
        <v>16</v>
      </c>
      <c r="J70" s="99">
        <f>+'[1]Dự thầu'!$G$94</f>
        <v>1191268</v>
      </c>
      <c r="K70" s="98">
        <f t="shared" si="5"/>
        <v>145084530</v>
      </c>
      <c r="L70" s="98">
        <f t="shared" si="6"/>
        <v>145084530</v>
      </c>
      <c r="M70" s="98">
        <f t="shared" si="7"/>
        <v>0</v>
      </c>
      <c r="N70" s="100"/>
    </row>
    <row r="71" spans="1:14" ht="15.75" customHeight="1" x14ac:dyDescent="0.25">
      <c r="A71" s="52" t="str">
        <f t="shared" ref="A71:A134" si="8">A70</f>
        <v>TL</v>
      </c>
      <c r="B71" s="32" t="s">
        <v>136</v>
      </c>
      <c r="C71" s="33">
        <v>66</v>
      </c>
      <c r="D71" s="39" t="s">
        <v>137</v>
      </c>
      <c r="E71" s="33" t="s">
        <v>10</v>
      </c>
      <c r="F71" s="98">
        <v>4684</v>
      </c>
      <c r="G71" s="98">
        <f t="shared" ref="G71:G134" si="9">+F71</f>
        <v>4684</v>
      </c>
      <c r="H71" s="33"/>
      <c r="I71" s="34" t="s">
        <v>75</v>
      </c>
      <c r="J71" s="99">
        <f>+'[1]Dự thầu'!$G$95</f>
        <v>388691</v>
      </c>
      <c r="K71" s="98">
        <f t="shared" ref="K71:K78" si="10">+ROUND(J71*F71,0)</f>
        <v>1820628644</v>
      </c>
      <c r="L71" s="98">
        <f t="shared" ref="L71:L78" si="11">+ROUND(G71*J71,0)</f>
        <v>1820628644</v>
      </c>
      <c r="M71" s="98">
        <f t="shared" ref="M71:M102" si="12">+ROUND(H71*J71,0)</f>
        <v>0</v>
      </c>
      <c r="N71" s="100"/>
    </row>
    <row r="72" spans="1:14" ht="15.75" customHeight="1" x14ac:dyDescent="0.25">
      <c r="A72" s="52" t="str">
        <f t="shared" si="8"/>
        <v>TL</v>
      </c>
      <c r="B72" s="32" t="s">
        <v>138</v>
      </c>
      <c r="C72" s="33">
        <v>67</v>
      </c>
      <c r="D72" s="39" t="s">
        <v>125</v>
      </c>
      <c r="E72" s="33" t="s">
        <v>10</v>
      </c>
      <c r="F72" s="33">
        <v>57</v>
      </c>
      <c r="G72" s="33">
        <f t="shared" si="9"/>
        <v>57</v>
      </c>
      <c r="H72" s="33"/>
      <c r="I72" s="34" t="s">
        <v>13</v>
      </c>
      <c r="J72" s="99">
        <f>+ROUND('[1]Dự thầu'!$G$97/100,0)</f>
        <v>103943</v>
      </c>
      <c r="K72" s="98">
        <f t="shared" si="10"/>
        <v>5924751</v>
      </c>
      <c r="L72" s="98">
        <f t="shared" si="11"/>
        <v>5924751</v>
      </c>
      <c r="M72" s="98">
        <f t="shared" si="12"/>
        <v>0</v>
      </c>
      <c r="N72" s="100"/>
    </row>
    <row r="73" spans="1:14" ht="47.25" customHeight="1" x14ac:dyDescent="0.25">
      <c r="A73" s="52" t="str">
        <f t="shared" si="8"/>
        <v>TL</v>
      </c>
      <c r="B73" s="32" t="s">
        <v>139</v>
      </c>
      <c r="C73" s="33">
        <v>68</v>
      </c>
      <c r="D73" s="39" t="s">
        <v>120</v>
      </c>
      <c r="E73" s="33" t="s">
        <v>10</v>
      </c>
      <c r="F73" s="33">
        <v>0.34</v>
      </c>
      <c r="G73" s="33">
        <f t="shared" si="9"/>
        <v>0.34</v>
      </c>
      <c r="H73" s="33"/>
      <c r="I73" s="34" t="s">
        <v>16</v>
      </c>
      <c r="J73" s="99">
        <f>+'[1]Dự thầu'!$G$98</f>
        <v>1191268</v>
      </c>
      <c r="K73" s="98">
        <f t="shared" si="10"/>
        <v>405031</v>
      </c>
      <c r="L73" s="98">
        <f t="shared" si="11"/>
        <v>405031</v>
      </c>
      <c r="M73" s="98">
        <f t="shared" si="12"/>
        <v>0</v>
      </c>
      <c r="N73" s="100"/>
    </row>
    <row r="74" spans="1:14" ht="15.75" customHeight="1" x14ac:dyDescent="0.25">
      <c r="A74" s="52" t="str">
        <f t="shared" si="8"/>
        <v>TL</v>
      </c>
      <c r="B74" s="32" t="s">
        <v>140</v>
      </c>
      <c r="C74" s="33">
        <v>69</v>
      </c>
      <c r="D74" s="39" t="s">
        <v>141</v>
      </c>
      <c r="E74" s="33" t="s">
        <v>10</v>
      </c>
      <c r="F74" s="33">
        <v>57</v>
      </c>
      <c r="G74" s="33">
        <f t="shared" si="9"/>
        <v>57</v>
      </c>
      <c r="H74" s="33"/>
      <c r="I74" s="34" t="s">
        <v>75</v>
      </c>
      <c r="J74" s="99">
        <f>+'[1]Dự thầu'!$G$99</f>
        <v>169013</v>
      </c>
      <c r="K74" s="98">
        <f t="shared" si="10"/>
        <v>9633741</v>
      </c>
      <c r="L74" s="98">
        <f t="shared" si="11"/>
        <v>9633741</v>
      </c>
      <c r="M74" s="98">
        <f t="shared" si="12"/>
        <v>0</v>
      </c>
      <c r="N74" s="100"/>
    </row>
    <row r="75" spans="1:14" ht="15.75" customHeight="1" x14ac:dyDescent="0.25">
      <c r="A75" s="52" t="str">
        <f t="shared" si="8"/>
        <v>TL</v>
      </c>
      <c r="B75" s="32" t="s">
        <v>142</v>
      </c>
      <c r="C75" s="33">
        <v>70</v>
      </c>
      <c r="D75" s="39" t="s">
        <v>143</v>
      </c>
      <c r="E75" s="33" t="s">
        <v>10</v>
      </c>
      <c r="F75" s="33">
        <v>36.93</v>
      </c>
      <c r="G75" s="33">
        <f t="shared" si="9"/>
        <v>36.93</v>
      </c>
      <c r="H75" s="33"/>
      <c r="I75" s="34" t="s">
        <v>37</v>
      </c>
      <c r="J75" s="99">
        <f>+'[1]Dự thầu'!$G$101+'[1]Dự thầu'!$G$102+'[1]Dự thầu'!$G$103</f>
        <v>611627</v>
      </c>
      <c r="K75" s="98">
        <f t="shared" si="10"/>
        <v>22587385</v>
      </c>
      <c r="L75" s="98">
        <f t="shared" si="11"/>
        <v>22587385</v>
      </c>
      <c r="M75" s="98">
        <f t="shared" si="12"/>
        <v>0</v>
      </c>
      <c r="N75" s="100"/>
    </row>
    <row r="76" spans="1:14" ht="15.75" customHeight="1" x14ac:dyDescent="0.25">
      <c r="A76" s="52" t="str">
        <f t="shared" si="8"/>
        <v>TL</v>
      </c>
      <c r="B76" s="32" t="s">
        <v>144</v>
      </c>
      <c r="C76" s="33">
        <v>71</v>
      </c>
      <c r="D76" s="39" t="s">
        <v>145</v>
      </c>
      <c r="E76" s="33" t="s">
        <v>10</v>
      </c>
      <c r="F76" s="33">
        <v>10</v>
      </c>
      <c r="G76" s="33">
        <f t="shared" si="9"/>
        <v>10</v>
      </c>
      <c r="H76" s="33"/>
      <c r="I76" s="34" t="s">
        <v>146</v>
      </c>
      <c r="J76" s="99">
        <f>+'[1]Dự thầu'!$G$104</f>
        <v>1909908</v>
      </c>
      <c r="K76" s="98">
        <f t="shared" si="10"/>
        <v>19099080</v>
      </c>
      <c r="L76" s="98">
        <f t="shared" si="11"/>
        <v>19099080</v>
      </c>
      <c r="M76" s="98">
        <f t="shared" si="12"/>
        <v>0</v>
      </c>
      <c r="N76" s="100"/>
    </row>
    <row r="77" spans="1:14" ht="15.75" customHeight="1" x14ac:dyDescent="0.25">
      <c r="A77" s="52" t="str">
        <f t="shared" si="8"/>
        <v>TL</v>
      </c>
      <c r="B77" s="32" t="s">
        <v>147</v>
      </c>
      <c r="C77" s="33">
        <v>72</v>
      </c>
      <c r="D77" s="39" t="s">
        <v>47</v>
      </c>
      <c r="E77" s="33" t="s">
        <v>10</v>
      </c>
      <c r="F77" s="98">
        <v>1157</v>
      </c>
      <c r="G77" s="98">
        <f t="shared" si="9"/>
        <v>1157</v>
      </c>
      <c r="H77" s="33"/>
      <c r="I77" s="34" t="s">
        <v>16</v>
      </c>
      <c r="J77" s="99">
        <f>+'[1]Dự thầu'!$G$105</f>
        <v>2096</v>
      </c>
      <c r="K77" s="98">
        <f t="shared" si="10"/>
        <v>2425072</v>
      </c>
      <c r="L77" s="98">
        <f t="shared" si="11"/>
        <v>2425072</v>
      </c>
      <c r="M77" s="98">
        <f t="shared" si="12"/>
        <v>0</v>
      </c>
      <c r="N77" s="100"/>
    </row>
    <row r="78" spans="1:14" ht="15.75" customHeight="1" x14ac:dyDescent="0.25">
      <c r="A78" s="52" t="str">
        <f t="shared" si="8"/>
        <v>TL</v>
      </c>
      <c r="B78" s="32" t="s">
        <v>148</v>
      </c>
      <c r="C78" s="33">
        <v>73</v>
      </c>
      <c r="D78" s="39" t="s">
        <v>149</v>
      </c>
      <c r="E78" s="33" t="s">
        <v>10</v>
      </c>
      <c r="F78" s="33">
        <v>16.440000000000001</v>
      </c>
      <c r="G78" s="33">
        <f t="shared" si="9"/>
        <v>16.440000000000001</v>
      </c>
      <c r="H78" s="33"/>
      <c r="I78" s="34" t="s">
        <v>150</v>
      </c>
      <c r="J78" s="99">
        <f>+'[1]Dự thầu'!$G$106</f>
        <v>963779</v>
      </c>
      <c r="K78" s="98">
        <f t="shared" si="10"/>
        <v>15844527</v>
      </c>
      <c r="L78" s="98">
        <f t="shared" si="11"/>
        <v>15844527</v>
      </c>
      <c r="M78" s="98">
        <f t="shared" si="12"/>
        <v>0</v>
      </c>
      <c r="N78" s="100"/>
    </row>
    <row r="79" spans="1:14" s="22" customFormat="1" ht="31.5" customHeight="1" x14ac:dyDescent="0.25">
      <c r="A79" s="52" t="str">
        <f t="shared" si="8"/>
        <v>TL</v>
      </c>
      <c r="B79" s="29">
        <v>2</v>
      </c>
      <c r="C79" s="30">
        <v>74</v>
      </c>
      <c r="D79" s="12" t="s">
        <v>151</v>
      </c>
      <c r="E79" s="30" t="s">
        <v>10</v>
      </c>
      <c r="F79" s="30"/>
      <c r="G79" s="30">
        <f t="shared" si="9"/>
        <v>0</v>
      </c>
      <c r="H79" s="30"/>
      <c r="I79" s="31"/>
      <c r="J79" s="97"/>
      <c r="K79" s="104"/>
      <c r="L79" s="104"/>
      <c r="M79" s="104">
        <f t="shared" si="12"/>
        <v>0</v>
      </c>
      <c r="N79" s="105"/>
    </row>
    <row r="80" spans="1:14" ht="15.75" customHeight="1" x14ac:dyDescent="0.25">
      <c r="A80" s="52" t="str">
        <f t="shared" si="8"/>
        <v>TL</v>
      </c>
      <c r="B80" s="32" t="s">
        <v>152</v>
      </c>
      <c r="C80" s="33">
        <v>75</v>
      </c>
      <c r="D80" s="39" t="s">
        <v>153</v>
      </c>
      <c r="E80" s="33" t="s">
        <v>10</v>
      </c>
      <c r="F80" s="101">
        <v>1152.7</v>
      </c>
      <c r="G80" s="101">
        <f t="shared" si="9"/>
        <v>1152.7</v>
      </c>
      <c r="H80" s="33"/>
      <c r="I80" s="34" t="s">
        <v>16</v>
      </c>
      <c r="J80" s="99">
        <f>+'[1]Dự thầu'!$G$127</f>
        <v>20072</v>
      </c>
      <c r="K80" s="98">
        <f t="shared" ref="K80:K100" si="13">+ROUND(J80*F80,0)</f>
        <v>23136994</v>
      </c>
      <c r="L80" s="98">
        <f t="shared" ref="L80:L100" si="14">+ROUND(G80*J80,0)</f>
        <v>23136994</v>
      </c>
      <c r="M80" s="98">
        <f t="shared" si="12"/>
        <v>0</v>
      </c>
      <c r="N80" s="100"/>
    </row>
    <row r="81" spans="1:14" ht="15.75" customHeight="1" x14ac:dyDescent="0.25">
      <c r="A81" s="52" t="str">
        <f t="shared" si="8"/>
        <v>TL</v>
      </c>
      <c r="B81" s="32" t="s">
        <v>154</v>
      </c>
      <c r="C81" s="33">
        <v>76</v>
      </c>
      <c r="D81" s="39" t="s">
        <v>155</v>
      </c>
      <c r="E81" s="33" t="s">
        <v>10</v>
      </c>
      <c r="F81" s="98">
        <v>572</v>
      </c>
      <c r="G81" s="98">
        <f t="shared" si="9"/>
        <v>572</v>
      </c>
      <c r="H81" s="33"/>
      <c r="I81" s="34" t="s">
        <v>16</v>
      </c>
      <c r="J81" s="99">
        <f>+'[1]Dự thầu'!$G$128</f>
        <v>30610</v>
      </c>
      <c r="K81" s="98">
        <f t="shared" si="13"/>
        <v>17508920</v>
      </c>
      <c r="L81" s="98">
        <f t="shared" si="14"/>
        <v>17508920</v>
      </c>
      <c r="M81" s="98">
        <f t="shared" si="12"/>
        <v>0</v>
      </c>
      <c r="N81" s="100"/>
    </row>
    <row r="82" spans="1:14" ht="15.75" customHeight="1" x14ac:dyDescent="0.25">
      <c r="A82" s="52" t="str">
        <f t="shared" si="8"/>
        <v>TL</v>
      </c>
      <c r="B82" s="32" t="s">
        <v>156</v>
      </c>
      <c r="C82" s="33">
        <v>77</v>
      </c>
      <c r="D82" s="39" t="s">
        <v>20</v>
      </c>
      <c r="E82" s="33" t="s">
        <v>10</v>
      </c>
      <c r="F82" s="98">
        <v>778</v>
      </c>
      <c r="G82" s="98">
        <f t="shared" si="9"/>
        <v>778</v>
      </c>
      <c r="H82" s="33"/>
      <c r="I82" s="34" t="s">
        <v>16</v>
      </c>
      <c r="J82" s="99">
        <f>+'[1]Dự thầu'!$G$129</f>
        <v>12342</v>
      </c>
      <c r="K82" s="98">
        <f t="shared" si="13"/>
        <v>9602076</v>
      </c>
      <c r="L82" s="98">
        <f t="shared" si="14"/>
        <v>9602076</v>
      </c>
      <c r="M82" s="98">
        <f t="shared" si="12"/>
        <v>0</v>
      </c>
      <c r="N82" s="100"/>
    </row>
    <row r="83" spans="1:14" ht="31.5" customHeight="1" x14ac:dyDescent="0.25">
      <c r="A83" s="52" t="str">
        <f t="shared" si="8"/>
        <v>TL</v>
      </c>
      <c r="B83" s="32" t="s">
        <v>157</v>
      </c>
      <c r="C83" s="33">
        <v>78</v>
      </c>
      <c r="D83" s="39" t="s">
        <v>158</v>
      </c>
      <c r="E83" s="33" t="s">
        <v>10</v>
      </c>
      <c r="F83" s="98">
        <v>778</v>
      </c>
      <c r="G83" s="98">
        <f t="shared" si="9"/>
        <v>778</v>
      </c>
      <c r="H83" s="33"/>
      <c r="I83" s="34" t="s">
        <v>16</v>
      </c>
      <c r="J83" s="99">
        <f>+'[1]Dự thầu'!$G$130</f>
        <v>12936</v>
      </c>
      <c r="K83" s="98">
        <f t="shared" si="13"/>
        <v>10064208</v>
      </c>
      <c r="L83" s="98">
        <f t="shared" si="14"/>
        <v>10064208</v>
      </c>
      <c r="M83" s="98">
        <f t="shared" si="12"/>
        <v>0</v>
      </c>
      <c r="N83" s="100"/>
    </row>
    <row r="84" spans="1:14" ht="31.5" customHeight="1" x14ac:dyDescent="0.25">
      <c r="A84" s="52" t="str">
        <f t="shared" si="8"/>
        <v>TL</v>
      </c>
      <c r="B84" s="32" t="s">
        <v>159</v>
      </c>
      <c r="C84" s="33">
        <v>79</v>
      </c>
      <c r="D84" s="39" t="s">
        <v>160</v>
      </c>
      <c r="E84" s="33" t="s">
        <v>10</v>
      </c>
      <c r="F84" s="98">
        <v>5180</v>
      </c>
      <c r="G84" s="98">
        <f t="shared" si="9"/>
        <v>5180</v>
      </c>
      <c r="H84" s="33"/>
      <c r="I84" s="34" t="s">
        <v>16</v>
      </c>
      <c r="J84" s="99">
        <f>+'[1]Dự thầu'!$G$132</f>
        <v>12936</v>
      </c>
      <c r="K84" s="98">
        <f t="shared" si="13"/>
        <v>67008480</v>
      </c>
      <c r="L84" s="98">
        <f t="shared" si="14"/>
        <v>67008480</v>
      </c>
      <c r="M84" s="98">
        <f t="shared" si="12"/>
        <v>0</v>
      </c>
      <c r="N84" s="100"/>
    </row>
    <row r="85" spans="1:14" ht="31.5" customHeight="1" x14ac:dyDescent="0.25">
      <c r="A85" s="52" t="str">
        <f t="shared" si="8"/>
        <v>TL</v>
      </c>
      <c r="B85" s="32" t="s">
        <v>161</v>
      </c>
      <c r="C85" s="33">
        <v>80</v>
      </c>
      <c r="D85" s="39" t="s">
        <v>162</v>
      </c>
      <c r="E85" s="33" t="s">
        <v>10</v>
      </c>
      <c r="F85" s="98">
        <v>1455</v>
      </c>
      <c r="G85" s="98">
        <f t="shared" si="9"/>
        <v>1455</v>
      </c>
      <c r="H85" s="33"/>
      <c r="I85" s="34" t="s">
        <v>16</v>
      </c>
      <c r="J85" s="99">
        <f>+'[1]Dự thầu'!$G$133</f>
        <v>15775</v>
      </c>
      <c r="K85" s="98">
        <f t="shared" si="13"/>
        <v>22952625</v>
      </c>
      <c r="L85" s="98">
        <f t="shared" si="14"/>
        <v>22952625</v>
      </c>
      <c r="M85" s="98">
        <f t="shared" si="12"/>
        <v>0</v>
      </c>
      <c r="N85" s="100"/>
    </row>
    <row r="86" spans="1:14" ht="15.75" customHeight="1" x14ac:dyDescent="0.25">
      <c r="A86" s="52" t="str">
        <f t="shared" si="8"/>
        <v>TL</v>
      </c>
      <c r="B86" s="32" t="s">
        <v>163</v>
      </c>
      <c r="C86" s="33">
        <v>81</v>
      </c>
      <c r="D86" s="39" t="s">
        <v>32</v>
      </c>
      <c r="E86" s="33" t="s">
        <v>10</v>
      </c>
      <c r="F86" s="102">
        <v>7082.61</v>
      </c>
      <c r="G86" s="102">
        <f t="shared" si="9"/>
        <v>7082.61</v>
      </c>
      <c r="H86" s="33"/>
      <c r="I86" s="34" t="s">
        <v>16</v>
      </c>
      <c r="J86" s="99">
        <f>+'[1]Dự thầu'!$G$134</f>
        <v>50585</v>
      </c>
      <c r="K86" s="98">
        <f t="shared" si="13"/>
        <v>358273827</v>
      </c>
      <c r="L86" s="98">
        <f t="shared" si="14"/>
        <v>358273827</v>
      </c>
      <c r="M86" s="98">
        <f t="shared" si="12"/>
        <v>0</v>
      </c>
      <c r="N86" s="100"/>
    </row>
    <row r="87" spans="1:14" ht="15.75" customHeight="1" x14ac:dyDescent="0.25">
      <c r="A87" s="52" t="str">
        <f t="shared" si="8"/>
        <v>TL</v>
      </c>
      <c r="B87" s="32" t="s">
        <v>164</v>
      </c>
      <c r="C87" s="33">
        <v>82</v>
      </c>
      <c r="D87" s="39" t="s">
        <v>34</v>
      </c>
      <c r="E87" s="33" t="s">
        <v>10</v>
      </c>
      <c r="F87" s="102">
        <v>2042.24</v>
      </c>
      <c r="G87" s="102">
        <f t="shared" si="9"/>
        <v>2042.24</v>
      </c>
      <c r="H87" s="33"/>
      <c r="I87" s="34" t="s">
        <v>16</v>
      </c>
      <c r="J87" s="99">
        <f>+'[1]Dự thầu'!$G$135</f>
        <v>54405</v>
      </c>
      <c r="K87" s="98">
        <f t="shared" si="13"/>
        <v>111108067</v>
      </c>
      <c r="L87" s="98">
        <f t="shared" si="14"/>
        <v>111108067</v>
      </c>
      <c r="M87" s="98">
        <f t="shared" si="12"/>
        <v>0</v>
      </c>
      <c r="N87" s="100"/>
    </row>
    <row r="88" spans="1:14" ht="15.75" customHeight="1" x14ac:dyDescent="0.25">
      <c r="A88" s="52" t="str">
        <f t="shared" si="8"/>
        <v>TL</v>
      </c>
      <c r="B88" s="32" t="s">
        <v>165</v>
      </c>
      <c r="C88" s="33">
        <v>83</v>
      </c>
      <c r="D88" s="39" t="s">
        <v>36</v>
      </c>
      <c r="E88" s="33" t="s">
        <v>10</v>
      </c>
      <c r="F88" s="33">
        <v>912.49</v>
      </c>
      <c r="G88" s="33">
        <f t="shared" si="9"/>
        <v>912.49</v>
      </c>
      <c r="H88" s="33"/>
      <c r="I88" s="34" t="s">
        <v>37</v>
      </c>
      <c r="J88" s="99">
        <f>+'[1]Dự thầu'!$G$136+'[1]Dự thầu'!$G$137+'[1]Dự thầu'!$G$138</f>
        <v>940826</v>
      </c>
      <c r="K88" s="98">
        <f t="shared" si="13"/>
        <v>858494317</v>
      </c>
      <c r="L88" s="98">
        <f t="shared" si="14"/>
        <v>858494317</v>
      </c>
      <c r="M88" s="98">
        <f t="shared" si="12"/>
        <v>0</v>
      </c>
      <c r="N88" s="100"/>
    </row>
    <row r="89" spans="1:14" ht="47.25" customHeight="1" x14ac:dyDescent="0.25">
      <c r="A89" s="52" t="str">
        <f t="shared" si="8"/>
        <v>TL</v>
      </c>
      <c r="B89" s="32" t="s">
        <v>166</v>
      </c>
      <c r="C89" s="33">
        <v>84</v>
      </c>
      <c r="D89" s="39" t="s">
        <v>94</v>
      </c>
      <c r="E89" s="33" t="s">
        <v>10</v>
      </c>
      <c r="F89" s="101">
        <v>4972.3999999999996</v>
      </c>
      <c r="G89" s="101">
        <f t="shared" si="9"/>
        <v>4972.3999999999996</v>
      </c>
      <c r="H89" s="33"/>
      <c r="I89" s="34" t="s">
        <v>13</v>
      </c>
      <c r="J89" s="99">
        <f>+'[1]Dự thầu'!$G$146</f>
        <v>11015</v>
      </c>
      <c r="K89" s="98">
        <f t="shared" si="13"/>
        <v>54770986</v>
      </c>
      <c r="L89" s="98">
        <f t="shared" si="14"/>
        <v>54770986</v>
      </c>
      <c r="M89" s="98">
        <f t="shared" si="12"/>
        <v>0</v>
      </c>
      <c r="N89" s="100"/>
    </row>
    <row r="90" spans="1:14" ht="31.5" customHeight="1" x14ac:dyDescent="0.25">
      <c r="A90" s="52" t="str">
        <f t="shared" si="8"/>
        <v>TL</v>
      </c>
      <c r="B90" s="32" t="s">
        <v>167</v>
      </c>
      <c r="C90" s="33">
        <v>85</v>
      </c>
      <c r="D90" s="39" t="s">
        <v>96</v>
      </c>
      <c r="E90" s="33" t="s">
        <v>10</v>
      </c>
      <c r="F90" s="33">
        <v>708.07</v>
      </c>
      <c r="G90" s="33">
        <f t="shared" si="9"/>
        <v>708.07</v>
      </c>
      <c r="H90" s="33"/>
      <c r="I90" s="34" t="s">
        <v>90</v>
      </c>
      <c r="J90" s="99">
        <f>+'[1]Dự thầu'!$G$147</f>
        <v>1646788</v>
      </c>
      <c r="K90" s="98">
        <f t="shared" si="13"/>
        <v>1166041179</v>
      </c>
      <c r="L90" s="98">
        <f t="shared" si="14"/>
        <v>1166041179</v>
      </c>
      <c r="M90" s="98">
        <f t="shared" si="12"/>
        <v>0</v>
      </c>
      <c r="N90" s="100"/>
    </row>
    <row r="91" spans="1:14" ht="31.5" customHeight="1" x14ac:dyDescent="0.25">
      <c r="A91" s="52" t="str">
        <f t="shared" si="8"/>
        <v>TL</v>
      </c>
      <c r="B91" s="32" t="s">
        <v>168</v>
      </c>
      <c r="C91" s="33">
        <v>86</v>
      </c>
      <c r="D91" s="39" t="s">
        <v>98</v>
      </c>
      <c r="E91" s="33" t="s">
        <v>10</v>
      </c>
      <c r="F91" s="33">
        <v>7.08</v>
      </c>
      <c r="G91" s="33">
        <f t="shared" si="9"/>
        <v>7.08</v>
      </c>
      <c r="H91" s="33"/>
      <c r="I91" s="34" t="s">
        <v>99</v>
      </c>
      <c r="J91" s="99">
        <f>+'[1]Dự thầu'!$G$148+'[1]Dự thầu'!$G$149</f>
        <v>8873277</v>
      </c>
      <c r="K91" s="98">
        <f t="shared" si="13"/>
        <v>62822801</v>
      </c>
      <c r="L91" s="98">
        <f t="shared" si="14"/>
        <v>62822801</v>
      </c>
      <c r="M91" s="98">
        <f t="shared" si="12"/>
        <v>0</v>
      </c>
      <c r="N91" s="100"/>
    </row>
    <row r="92" spans="1:14" ht="31.5" customHeight="1" x14ac:dyDescent="0.25">
      <c r="A92" s="52" t="str">
        <f t="shared" si="8"/>
        <v>TL</v>
      </c>
      <c r="B92" s="32" t="s">
        <v>169</v>
      </c>
      <c r="C92" s="33">
        <v>87</v>
      </c>
      <c r="D92" s="39" t="s">
        <v>110</v>
      </c>
      <c r="E92" s="33" t="s">
        <v>10</v>
      </c>
      <c r="F92" s="102">
        <v>4972.04</v>
      </c>
      <c r="G92" s="102">
        <f t="shared" si="9"/>
        <v>4972.04</v>
      </c>
      <c r="H92" s="33"/>
      <c r="I92" s="34" t="s">
        <v>13</v>
      </c>
      <c r="J92" s="99">
        <f>+'[1]Dự thầu'!$G$150</f>
        <v>15319</v>
      </c>
      <c r="K92" s="98">
        <f t="shared" si="13"/>
        <v>76166681</v>
      </c>
      <c r="L92" s="98">
        <f t="shared" si="14"/>
        <v>76166681</v>
      </c>
      <c r="M92" s="98">
        <f t="shared" si="12"/>
        <v>0</v>
      </c>
      <c r="N92" s="100"/>
    </row>
    <row r="93" spans="1:14" ht="31.5" customHeight="1" x14ac:dyDescent="0.25">
      <c r="A93" s="52" t="str">
        <f t="shared" si="8"/>
        <v>TL</v>
      </c>
      <c r="B93" s="32" t="s">
        <v>170</v>
      </c>
      <c r="C93" s="33">
        <v>88</v>
      </c>
      <c r="D93" s="39" t="s">
        <v>171</v>
      </c>
      <c r="E93" s="33" t="s">
        <v>10</v>
      </c>
      <c r="F93" s="101">
        <v>4972.3999999999996</v>
      </c>
      <c r="G93" s="101">
        <f t="shared" si="9"/>
        <v>4972.3999999999996</v>
      </c>
      <c r="H93" s="33"/>
      <c r="I93" s="34" t="s">
        <v>13</v>
      </c>
      <c r="J93" s="99">
        <f>+'[1]Dự thầu'!$G$151</f>
        <v>63114</v>
      </c>
      <c r="K93" s="98">
        <f t="shared" si="13"/>
        <v>313828054</v>
      </c>
      <c r="L93" s="98">
        <f t="shared" si="14"/>
        <v>313828054</v>
      </c>
      <c r="M93" s="98">
        <f t="shared" si="12"/>
        <v>0</v>
      </c>
      <c r="N93" s="100"/>
    </row>
    <row r="94" spans="1:14" ht="15.75" customHeight="1" x14ac:dyDescent="0.25">
      <c r="A94" s="52" t="str">
        <f t="shared" si="8"/>
        <v>TL</v>
      </c>
      <c r="B94" s="32" t="s">
        <v>172</v>
      </c>
      <c r="C94" s="33">
        <v>89</v>
      </c>
      <c r="D94" s="39" t="s">
        <v>114</v>
      </c>
      <c r="E94" s="33" t="s">
        <v>10</v>
      </c>
      <c r="F94" s="101">
        <v>4972.3999999999996</v>
      </c>
      <c r="G94" s="101">
        <f t="shared" si="9"/>
        <v>4972.3999999999996</v>
      </c>
      <c r="H94" s="33"/>
      <c r="I94" s="34" t="s">
        <v>13</v>
      </c>
      <c r="J94" s="99">
        <f>+'[1]Dự thầu'!$G$152</f>
        <v>213590</v>
      </c>
      <c r="K94" s="98">
        <f t="shared" si="13"/>
        <v>1062054916</v>
      </c>
      <c r="L94" s="98">
        <f t="shared" si="14"/>
        <v>1062054916</v>
      </c>
      <c r="M94" s="98">
        <f t="shared" si="12"/>
        <v>0</v>
      </c>
      <c r="N94" s="100"/>
    </row>
    <row r="95" spans="1:14" ht="31.5" customHeight="1" x14ac:dyDescent="0.25">
      <c r="A95" s="52" t="str">
        <f t="shared" si="8"/>
        <v>TL</v>
      </c>
      <c r="B95" s="32" t="s">
        <v>173</v>
      </c>
      <c r="C95" s="33">
        <v>90</v>
      </c>
      <c r="D95" s="39" t="s">
        <v>174</v>
      </c>
      <c r="E95" s="33" t="s">
        <v>10</v>
      </c>
      <c r="F95" s="101">
        <v>4972.3999999999996</v>
      </c>
      <c r="G95" s="101">
        <f t="shared" si="9"/>
        <v>4972.3999999999996</v>
      </c>
      <c r="H95" s="33"/>
      <c r="I95" s="34" t="s">
        <v>13</v>
      </c>
      <c r="J95" s="99">
        <f>+'[1]Dự thầu'!$G$156</f>
        <v>173886</v>
      </c>
      <c r="K95" s="98">
        <f t="shared" si="13"/>
        <v>864630746</v>
      </c>
      <c r="L95" s="98">
        <f t="shared" si="14"/>
        <v>864630746</v>
      </c>
      <c r="M95" s="98">
        <f t="shared" si="12"/>
        <v>0</v>
      </c>
      <c r="N95" s="100"/>
    </row>
    <row r="96" spans="1:14" ht="47.25" customHeight="1" x14ac:dyDescent="0.25">
      <c r="A96" s="52" t="str">
        <f t="shared" si="8"/>
        <v>TL</v>
      </c>
      <c r="B96" s="32" t="s">
        <v>175</v>
      </c>
      <c r="C96" s="33">
        <v>91</v>
      </c>
      <c r="D96" s="39" t="s">
        <v>94</v>
      </c>
      <c r="E96" s="33" t="s">
        <v>10</v>
      </c>
      <c r="F96" s="101">
        <v>4423.7</v>
      </c>
      <c r="G96" s="101">
        <f t="shared" si="9"/>
        <v>4423.7</v>
      </c>
      <c r="H96" s="33"/>
      <c r="I96" s="34" t="s">
        <v>13</v>
      </c>
      <c r="J96" s="99">
        <f>+'[1]Dự thầu'!$G$159</f>
        <v>11015</v>
      </c>
      <c r="K96" s="98">
        <f t="shared" si="13"/>
        <v>48727056</v>
      </c>
      <c r="L96" s="98">
        <f t="shared" si="14"/>
        <v>48727056</v>
      </c>
      <c r="M96" s="98">
        <f t="shared" si="12"/>
        <v>0</v>
      </c>
      <c r="N96" s="100"/>
    </row>
    <row r="97" spans="1:14" ht="31.5" customHeight="1" x14ac:dyDescent="0.25">
      <c r="A97" s="52" t="str">
        <f t="shared" si="8"/>
        <v>TL</v>
      </c>
      <c r="B97" s="32" t="s">
        <v>176</v>
      </c>
      <c r="C97" s="33">
        <v>92</v>
      </c>
      <c r="D97" s="39" t="s">
        <v>96</v>
      </c>
      <c r="E97" s="33" t="s">
        <v>10</v>
      </c>
      <c r="F97" s="33">
        <v>629.92999999999995</v>
      </c>
      <c r="G97" s="33">
        <f t="shared" si="9"/>
        <v>629.92999999999995</v>
      </c>
      <c r="H97" s="33"/>
      <c r="I97" s="34" t="s">
        <v>90</v>
      </c>
      <c r="J97" s="99">
        <f>+'[1]Dự thầu'!$G$160</f>
        <v>1646788</v>
      </c>
      <c r="K97" s="98">
        <f t="shared" si="13"/>
        <v>1037361165</v>
      </c>
      <c r="L97" s="98">
        <f t="shared" si="14"/>
        <v>1037361165</v>
      </c>
      <c r="M97" s="98">
        <f t="shared" si="12"/>
        <v>0</v>
      </c>
      <c r="N97" s="100"/>
    </row>
    <row r="98" spans="1:14" ht="31.5" customHeight="1" x14ac:dyDescent="0.25">
      <c r="A98" s="52" t="str">
        <f t="shared" si="8"/>
        <v>TL</v>
      </c>
      <c r="B98" s="32" t="s">
        <v>177</v>
      </c>
      <c r="C98" s="33">
        <v>93</v>
      </c>
      <c r="D98" s="39" t="s">
        <v>98</v>
      </c>
      <c r="E98" s="33" t="s">
        <v>10</v>
      </c>
      <c r="F98" s="33">
        <v>6.3</v>
      </c>
      <c r="G98" s="33">
        <f t="shared" si="9"/>
        <v>6.3</v>
      </c>
      <c r="H98" s="33"/>
      <c r="I98" s="34" t="s">
        <v>99</v>
      </c>
      <c r="J98" s="99">
        <f>+'[1]Dự thầu'!$G$161+'[1]Dự thầu'!$G$162</f>
        <v>8873277</v>
      </c>
      <c r="K98" s="98">
        <f t="shared" si="13"/>
        <v>55901645</v>
      </c>
      <c r="L98" s="98">
        <f t="shared" si="14"/>
        <v>55901645</v>
      </c>
      <c r="M98" s="98">
        <f t="shared" si="12"/>
        <v>0</v>
      </c>
      <c r="N98" s="100"/>
    </row>
    <row r="99" spans="1:14" ht="31.5" customHeight="1" x14ac:dyDescent="0.25">
      <c r="A99" s="52" t="str">
        <f t="shared" si="8"/>
        <v>TL</v>
      </c>
      <c r="B99" s="32" t="s">
        <v>178</v>
      </c>
      <c r="C99" s="33">
        <v>94</v>
      </c>
      <c r="D99" s="39" t="s">
        <v>110</v>
      </c>
      <c r="E99" s="33" t="s">
        <v>10</v>
      </c>
      <c r="F99" s="101">
        <v>4423.7</v>
      </c>
      <c r="G99" s="101">
        <f t="shared" si="9"/>
        <v>4423.7</v>
      </c>
      <c r="H99" s="33"/>
      <c r="I99" s="34" t="s">
        <v>13</v>
      </c>
      <c r="J99" s="99">
        <f>+'[1]Dự thầu'!$G$163</f>
        <v>15319</v>
      </c>
      <c r="K99" s="98">
        <f t="shared" si="13"/>
        <v>67766660</v>
      </c>
      <c r="L99" s="98">
        <f t="shared" si="14"/>
        <v>67766660</v>
      </c>
      <c r="M99" s="98">
        <f t="shared" si="12"/>
        <v>0</v>
      </c>
      <c r="N99" s="100"/>
    </row>
    <row r="100" spans="1:14" ht="15.75" customHeight="1" x14ac:dyDescent="0.25">
      <c r="A100" s="52" t="str">
        <f t="shared" si="8"/>
        <v>TL</v>
      </c>
      <c r="B100" s="32" t="s">
        <v>179</v>
      </c>
      <c r="C100" s="33">
        <v>95</v>
      </c>
      <c r="D100" s="39" t="s">
        <v>180</v>
      </c>
      <c r="E100" s="33" t="s">
        <v>10</v>
      </c>
      <c r="F100" s="33">
        <v>91.6</v>
      </c>
      <c r="G100" s="33">
        <f t="shared" si="9"/>
        <v>91.6</v>
      </c>
      <c r="H100" s="33"/>
      <c r="I100" s="34" t="s">
        <v>13</v>
      </c>
      <c r="J100" s="99">
        <f>+'[1]Dự thầu'!$G$164</f>
        <v>213590</v>
      </c>
      <c r="K100" s="98">
        <f t="shared" si="13"/>
        <v>19564844</v>
      </c>
      <c r="L100" s="98">
        <f t="shared" si="14"/>
        <v>19564844</v>
      </c>
      <c r="M100" s="98">
        <f t="shared" si="12"/>
        <v>0</v>
      </c>
      <c r="N100" s="100"/>
    </row>
    <row r="101" spans="1:14" s="22" customFormat="1" ht="31.5" customHeight="1" x14ac:dyDescent="0.25">
      <c r="A101" s="52" t="str">
        <f t="shared" si="8"/>
        <v>TL</v>
      </c>
      <c r="B101" s="29">
        <v>3</v>
      </c>
      <c r="C101" s="30">
        <v>96</v>
      </c>
      <c r="D101" s="12" t="s">
        <v>181</v>
      </c>
      <c r="E101" s="30" t="s">
        <v>10</v>
      </c>
      <c r="F101" s="30"/>
      <c r="G101" s="30">
        <f t="shared" si="9"/>
        <v>0</v>
      </c>
      <c r="H101" s="30"/>
      <c r="I101" s="31"/>
      <c r="J101" s="97"/>
      <c r="K101" s="104"/>
      <c r="L101" s="104"/>
      <c r="M101" s="104">
        <f t="shared" si="12"/>
        <v>0</v>
      </c>
      <c r="N101" s="105"/>
    </row>
    <row r="102" spans="1:14" ht="15.75" customHeight="1" x14ac:dyDescent="0.25">
      <c r="A102" s="52" t="str">
        <f t="shared" si="8"/>
        <v>TL</v>
      </c>
      <c r="B102" s="32" t="s">
        <v>182</v>
      </c>
      <c r="C102" s="33">
        <v>97</v>
      </c>
      <c r="D102" s="39" t="s">
        <v>183</v>
      </c>
      <c r="E102" s="33" t="s">
        <v>10</v>
      </c>
      <c r="F102" s="33">
        <v>12</v>
      </c>
      <c r="G102" s="33">
        <f t="shared" si="9"/>
        <v>12</v>
      </c>
      <c r="H102" s="33"/>
      <c r="I102" s="34" t="s">
        <v>16</v>
      </c>
      <c r="J102" s="99">
        <f>+'[1]Dự thầu'!$G$188</f>
        <v>23801</v>
      </c>
      <c r="K102" s="98">
        <f t="shared" ref="K102:K127" si="15">+ROUND(J102*F102,0)</f>
        <v>285612</v>
      </c>
      <c r="L102" s="98">
        <f t="shared" ref="L102:L127" si="16">+ROUND(G102*J102,0)</f>
        <v>285612</v>
      </c>
      <c r="M102" s="98">
        <f t="shared" si="12"/>
        <v>0</v>
      </c>
      <c r="N102" s="100"/>
    </row>
    <row r="103" spans="1:14" ht="15.75" customHeight="1" x14ac:dyDescent="0.25">
      <c r="A103" s="52" t="str">
        <f t="shared" si="8"/>
        <v>TL</v>
      </c>
      <c r="B103" s="32" t="s">
        <v>184</v>
      </c>
      <c r="C103" s="33">
        <v>98</v>
      </c>
      <c r="D103" s="39" t="s">
        <v>185</v>
      </c>
      <c r="E103" s="33" t="s">
        <v>10</v>
      </c>
      <c r="F103" s="33">
        <v>21</v>
      </c>
      <c r="G103" s="33">
        <f t="shared" si="9"/>
        <v>21</v>
      </c>
      <c r="H103" s="33"/>
      <c r="I103" s="34" t="s">
        <v>16</v>
      </c>
      <c r="J103" s="99">
        <f>+'[1]Dự thầu'!$G$189</f>
        <v>23801</v>
      </c>
      <c r="K103" s="98">
        <f t="shared" si="15"/>
        <v>499821</v>
      </c>
      <c r="L103" s="98">
        <f t="shared" si="16"/>
        <v>499821</v>
      </c>
      <c r="M103" s="98">
        <f t="shared" ref="M103:M127" si="17">+ROUND(H103*J103,0)</f>
        <v>0</v>
      </c>
      <c r="N103" s="100"/>
    </row>
    <row r="104" spans="1:14" ht="15.75" customHeight="1" x14ac:dyDescent="0.25">
      <c r="A104" s="52" t="str">
        <f t="shared" si="8"/>
        <v>TL</v>
      </c>
      <c r="B104" s="32" t="s">
        <v>186</v>
      </c>
      <c r="C104" s="33">
        <v>99</v>
      </c>
      <c r="D104" s="39" t="s">
        <v>155</v>
      </c>
      <c r="E104" s="33" t="s">
        <v>10</v>
      </c>
      <c r="F104" s="33">
        <v>22</v>
      </c>
      <c r="G104" s="33">
        <f t="shared" si="9"/>
        <v>22</v>
      </c>
      <c r="H104" s="33"/>
      <c r="I104" s="34" t="s">
        <v>16</v>
      </c>
      <c r="J104" s="99">
        <f>+'[1]Dự thầu'!$G$190</f>
        <v>30610</v>
      </c>
      <c r="K104" s="98">
        <f t="shared" si="15"/>
        <v>673420</v>
      </c>
      <c r="L104" s="98">
        <f t="shared" si="16"/>
        <v>673420</v>
      </c>
      <c r="M104" s="98">
        <f t="shared" si="17"/>
        <v>0</v>
      </c>
      <c r="N104" s="100"/>
    </row>
    <row r="105" spans="1:14" ht="15.75" customHeight="1" x14ac:dyDescent="0.25">
      <c r="A105" s="52" t="str">
        <f t="shared" si="8"/>
        <v>TL</v>
      </c>
      <c r="B105" s="32" t="s">
        <v>187</v>
      </c>
      <c r="C105" s="33">
        <v>100</v>
      </c>
      <c r="D105" s="39" t="s">
        <v>20</v>
      </c>
      <c r="E105" s="33" t="s">
        <v>10</v>
      </c>
      <c r="F105" s="33">
        <v>8</v>
      </c>
      <c r="G105" s="33">
        <f t="shared" si="9"/>
        <v>8</v>
      </c>
      <c r="H105" s="33"/>
      <c r="I105" s="34" t="s">
        <v>16</v>
      </c>
      <c r="J105" s="99">
        <f>+'[1]Dự thầu'!$G$191</f>
        <v>12342</v>
      </c>
      <c r="K105" s="98">
        <f t="shared" si="15"/>
        <v>98736</v>
      </c>
      <c r="L105" s="98">
        <f t="shared" si="16"/>
        <v>98736</v>
      </c>
      <c r="M105" s="98">
        <f t="shared" si="17"/>
        <v>0</v>
      </c>
      <c r="N105" s="100"/>
    </row>
    <row r="106" spans="1:14" ht="31.5" customHeight="1" x14ac:dyDescent="0.25">
      <c r="A106" s="52" t="str">
        <f t="shared" si="8"/>
        <v>TL</v>
      </c>
      <c r="B106" s="32" t="s">
        <v>188</v>
      </c>
      <c r="C106" s="33">
        <v>101</v>
      </c>
      <c r="D106" s="39" t="s">
        <v>158</v>
      </c>
      <c r="E106" s="33" t="s">
        <v>10</v>
      </c>
      <c r="F106" s="33">
        <v>8</v>
      </c>
      <c r="G106" s="33">
        <f t="shared" si="9"/>
        <v>8</v>
      </c>
      <c r="H106" s="33"/>
      <c r="I106" s="34" t="s">
        <v>16</v>
      </c>
      <c r="J106" s="99">
        <f>+'[1]Dự thầu'!$G$192</f>
        <v>12936</v>
      </c>
      <c r="K106" s="98">
        <f t="shared" si="15"/>
        <v>103488</v>
      </c>
      <c r="L106" s="98">
        <f t="shared" si="16"/>
        <v>103488</v>
      </c>
      <c r="M106" s="98">
        <f t="shared" si="17"/>
        <v>0</v>
      </c>
      <c r="N106" s="100"/>
    </row>
    <row r="107" spans="1:14" ht="15.75" customHeight="1" x14ac:dyDescent="0.25">
      <c r="A107" s="52" t="str">
        <f t="shared" si="8"/>
        <v>TL</v>
      </c>
      <c r="B107" s="32" t="s">
        <v>189</v>
      </c>
      <c r="C107" s="33">
        <v>102</v>
      </c>
      <c r="D107" s="39" t="s">
        <v>190</v>
      </c>
      <c r="E107" s="33" t="s">
        <v>10</v>
      </c>
      <c r="F107" s="33">
        <v>477</v>
      </c>
      <c r="G107" s="33">
        <f t="shared" si="9"/>
        <v>477</v>
      </c>
      <c r="H107" s="33"/>
      <c r="I107" s="34" t="s">
        <v>16</v>
      </c>
      <c r="J107" s="99">
        <f>+'[1]Dự thầu'!$G$193</f>
        <v>8251</v>
      </c>
      <c r="K107" s="98">
        <f t="shared" si="15"/>
        <v>3935727</v>
      </c>
      <c r="L107" s="98">
        <f t="shared" si="16"/>
        <v>3935727</v>
      </c>
      <c r="M107" s="98">
        <f t="shared" si="17"/>
        <v>0</v>
      </c>
      <c r="N107" s="100"/>
    </row>
    <row r="108" spans="1:14" ht="15.75" customHeight="1" x14ac:dyDescent="0.25">
      <c r="A108" s="52" t="str">
        <f t="shared" si="8"/>
        <v>TL</v>
      </c>
      <c r="B108" s="32" t="s">
        <v>191</v>
      </c>
      <c r="C108" s="33">
        <v>103</v>
      </c>
      <c r="D108" s="39" t="s">
        <v>192</v>
      </c>
      <c r="E108" s="33" t="s">
        <v>10</v>
      </c>
      <c r="F108" s="98">
        <v>1773</v>
      </c>
      <c r="G108" s="98">
        <f t="shared" si="9"/>
        <v>1773</v>
      </c>
      <c r="H108" s="33"/>
      <c r="I108" s="34" t="s">
        <v>16</v>
      </c>
      <c r="J108" s="99">
        <f>+'[1]Dự thầu'!$G$194</f>
        <v>32141</v>
      </c>
      <c r="K108" s="98">
        <f t="shared" si="15"/>
        <v>56985993</v>
      </c>
      <c r="L108" s="98">
        <f t="shared" si="16"/>
        <v>56985993</v>
      </c>
      <c r="M108" s="98">
        <f t="shared" si="17"/>
        <v>0</v>
      </c>
      <c r="N108" s="100"/>
    </row>
    <row r="109" spans="1:14" ht="31.5" customHeight="1" x14ac:dyDescent="0.25">
      <c r="A109" s="52" t="str">
        <f t="shared" si="8"/>
        <v>TL</v>
      </c>
      <c r="B109" s="32" t="s">
        <v>193</v>
      </c>
      <c r="C109" s="33">
        <v>104</v>
      </c>
      <c r="D109" s="39" t="s">
        <v>160</v>
      </c>
      <c r="E109" s="33" t="s">
        <v>10</v>
      </c>
      <c r="F109" s="33">
        <v>322</v>
      </c>
      <c r="G109" s="33">
        <f t="shared" si="9"/>
        <v>322</v>
      </c>
      <c r="H109" s="33"/>
      <c r="I109" s="34" t="s">
        <v>16</v>
      </c>
      <c r="J109" s="99">
        <f>+'[1]Dự thầu'!$G$195</f>
        <v>12936</v>
      </c>
      <c r="K109" s="98">
        <f t="shared" si="15"/>
        <v>4165392</v>
      </c>
      <c r="L109" s="98">
        <f t="shared" si="16"/>
        <v>4165392</v>
      </c>
      <c r="M109" s="98">
        <f t="shared" si="17"/>
        <v>0</v>
      </c>
      <c r="N109" s="100"/>
    </row>
    <row r="110" spans="1:14" ht="15.75" customHeight="1" x14ac:dyDescent="0.25">
      <c r="A110" s="52" t="str">
        <f t="shared" si="8"/>
        <v>TL</v>
      </c>
      <c r="B110" s="32" t="s">
        <v>194</v>
      </c>
      <c r="C110" s="33">
        <v>105</v>
      </c>
      <c r="D110" s="39" t="s">
        <v>195</v>
      </c>
      <c r="E110" s="33" t="s">
        <v>10</v>
      </c>
      <c r="F110" s="102">
        <v>2359.86</v>
      </c>
      <c r="G110" s="102">
        <f t="shared" si="9"/>
        <v>2359.86</v>
      </c>
      <c r="H110" s="33"/>
      <c r="I110" s="34" t="s">
        <v>16</v>
      </c>
      <c r="J110" s="99">
        <f>+'[1]Dự thầu'!$G$196</f>
        <v>50585</v>
      </c>
      <c r="K110" s="98">
        <f t="shared" si="15"/>
        <v>119373518</v>
      </c>
      <c r="L110" s="98">
        <f t="shared" si="16"/>
        <v>119373518</v>
      </c>
      <c r="M110" s="98">
        <f t="shared" si="17"/>
        <v>0</v>
      </c>
      <c r="N110" s="100"/>
    </row>
    <row r="111" spans="1:14" ht="15.75" customHeight="1" x14ac:dyDescent="0.25">
      <c r="A111" s="52" t="str">
        <f t="shared" si="8"/>
        <v>TL</v>
      </c>
      <c r="B111" s="32" t="s">
        <v>196</v>
      </c>
      <c r="C111" s="33">
        <v>106</v>
      </c>
      <c r="D111" s="39" t="s">
        <v>32</v>
      </c>
      <c r="E111" s="33" t="s">
        <v>10</v>
      </c>
      <c r="F111" s="33">
        <v>440.27</v>
      </c>
      <c r="G111" s="33">
        <f t="shared" si="9"/>
        <v>440.27</v>
      </c>
      <c r="H111" s="33"/>
      <c r="I111" s="34" t="s">
        <v>16</v>
      </c>
      <c r="J111" s="99">
        <f>+'[1]Dự thầu'!$G$197</f>
        <v>54405</v>
      </c>
      <c r="K111" s="98">
        <f t="shared" si="15"/>
        <v>23952889</v>
      </c>
      <c r="L111" s="98">
        <f t="shared" si="16"/>
        <v>23952889</v>
      </c>
      <c r="M111" s="98">
        <f t="shared" si="17"/>
        <v>0</v>
      </c>
      <c r="N111" s="100"/>
    </row>
    <row r="112" spans="1:14" ht="15.75" customHeight="1" x14ac:dyDescent="0.25">
      <c r="A112" s="52" t="str">
        <f t="shared" si="8"/>
        <v>TL</v>
      </c>
      <c r="B112" s="32" t="s">
        <v>197</v>
      </c>
      <c r="C112" s="33">
        <v>107</v>
      </c>
      <c r="D112" s="39" t="s">
        <v>36</v>
      </c>
      <c r="E112" s="33" t="s">
        <v>10</v>
      </c>
      <c r="F112" s="33">
        <v>280.01</v>
      </c>
      <c r="G112" s="33">
        <f t="shared" si="9"/>
        <v>280.01</v>
      </c>
      <c r="H112" s="33"/>
      <c r="I112" s="34" t="s">
        <v>37</v>
      </c>
      <c r="J112" s="99">
        <f>+'[1]Dự thầu'!$G$198+'[1]Dự thầu'!$G$199+'[1]Dự thầu'!$G$200</f>
        <v>940826</v>
      </c>
      <c r="K112" s="98">
        <f t="shared" si="15"/>
        <v>263440688</v>
      </c>
      <c r="L112" s="98">
        <f t="shared" si="16"/>
        <v>263440688</v>
      </c>
      <c r="M112" s="98">
        <f t="shared" si="17"/>
        <v>0</v>
      </c>
      <c r="N112" s="100"/>
    </row>
    <row r="113" spans="1:14" ht="47.25" customHeight="1" x14ac:dyDescent="0.25">
      <c r="A113" s="52" t="str">
        <f t="shared" si="8"/>
        <v>TL</v>
      </c>
      <c r="B113" s="32" t="s">
        <v>198</v>
      </c>
      <c r="C113" s="33">
        <v>108</v>
      </c>
      <c r="D113" s="39" t="s">
        <v>94</v>
      </c>
      <c r="E113" s="33" t="s">
        <v>10</v>
      </c>
      <c r="F113" s="33">
        <v>229</v>
      </c>
      <c r="G113" s="33">
        <f t="shared" si="9"/>
        <v>229</v>
      </c>
      <c r="H113" s="33"/>
      <c r="I113" s="34" t="s">
        <v>13</v>
      </c>
      <c r="J113" s="99">
        <f>+'[1]Dự thầu'!$G$201</f>
        <v>11015</v>
      </c>
      <c r="K113" s="98">
        <f t="shared" si="15"/>
        <v>2522435</v>
      </c>
      <c r="L113" s="98">
        <f t="shared" si="16"/>
        <v>2522435</v>
      </c>
      <c r="M113" s="98">
        <f t="shared" si="17"/>
        <v>0</v>
      </c>
      <c r="N113" s="100"/>
    </row>
    <row r="114" spans="1:14" ht="47.25" customHeight="1" x14ac:dyDescent="0.25">
      <c r="A114" s="52" t="str">
        <f t="shared" si="8"/>
        <v>TL</v>
      </c>
      <c r="B114" s="32" t="s">
        <v>199</v>
      </c>
      <c r="C114" s="33">
        <v>109</v>
      </c>
      <c r="D114" s="39" t="s">
        <v>200</v>
      </c>
      <c r="E114" s="33" t="s">
        <v>10</v>
      </c>
      <c r="F114" s="33">
        <v>126</v>
      </c>
      <c r="G114" s="33">
        <f t="shared" si="9"/>
        <v>126</v>
      </c>
      <c r="H114" s="33"/>
      <c r="I114" s="34" t="s">
        <v>13</v>
      </c>
      <c r="J114" s="99">
        <f>+'[1]Dự thầu'!$G$202</f>
        <v>9552</v>
      </c>
      <c r="K114" s="98">
        <f t="shared" si="15"/>
        <v>1203552</v>
      </c>
      <c r="L114" s="98">
        <f t="shared" si="16"/>
        <v>1203552</v>
      </c>
      <c r="M114" s="98">
        <f t="shared" si="17"/>
        <v>0</v>
      </c>
      <c r="N114" s="100"/>
    </row>
    <row r="115" spans="1:14" ht="31.5" customHeight="1" x14ac:dyDescent="0.25">
      <c r="A115" s="52" t="str">
        <f t="shared" si="8"/>
        <v>TL</v>
      </c>
      <c r="B115" s="32" t="s">
        <v>201</v>
      </c>
      <c r="C115" s="33">
        <v>110</v>
      </c>
      <c r="D115" s="39" t="s">
        <v>96</v>
      </c>
      <c r="E115" s="33" t="s">
        <v>10</v>
      </c>
      <c r="F115" s="33">
        <v>47.57</v>
      </c>
      <c r="G115" s="33">
        <f t="shared" si="9"/>
        <v>47.57</v>
      </c>
      <c r="H115" s="33"/>
      <c r="I115" s="34" t="s">
        <v>90</v>
      </c>
      <c r="J115" s="99">
        <v>1646788</v>
      </c>
      <c r="K115" s="98">
        <f t="shared" si="15"/>
        <v>78337705</v>
      </c>
      <c r="L115" s="98">
        <f t="shared" si="16"/>
        <v>78337705</v>
      </c>
      <c r="M115" s="98">
        <f t="shared" si="17"/>
        <v>0</v>
      </c>
      <c r="N115" s="100"/>
    </row>
    <row r="116" spans="1:14" ht="31.5" customHeight="1" x14ac:dyDescent="0.25">
      <c r="A116" s="52" t="str">
        <f t="shared" si="8"/>
        <v>TL</v>
      </c>
      <c r="B116" s="32" t="s">
        <v>202</v>
      </c>
      <c r="C116" s="33">
        <v>111</v>
      </c>
      <c r="D116" s="39" t="s">
        <v>98</v>
      </c>
      <c r="E116" s="33" t="s">
        <v>10</v>
      </c>
      <c r="F116" s="33">
        <v>0.48</v>
      </c>
      <c r="G116" s="33">
        <f t="shared" si="9"/>
        <v>0.48</v>
      </c>
      <c r="H116" s="33"/>
      <c r="I116" s="34" t="s">
        <v>99</v>
      </c>
      <c r="J116" s="99">
        <f>+'[1]Dự thầu'!$G$204+'[1]Dự thầu'!$G$205</f>
        <v>8873277</v>
      </c>
      <c r="K116" s="98">
        <f t="shared" si="15"/>
        <v>4259173</v>
      </c>
      <c r="L116" s="98">
        <f t="shared" si="16"/>
        <v>4259173</v>
      </c>
      <c r="M116" s="98">
        <f t="shared" si="17"/>
        <v>0</v>
      </c>
      <c r="N116" s="100"/>
    </row>
    <row r="117" spans="1:14" ht="31.5" customHeight="1" x14ac:dyDescent="0.25">
      <c r="A117" s="52" t="str">
        <f t="shared" si="8"/>
        <v>TL</v>
      </c>
      <c r="B117" s="32" t="s">
        <v>203</v>
      </c>
      <c r="C117" s="33">
        <v>112</v>
      </c>
      <c r="D117" s="39" t="s">
        <v>110</v>
      </c>
      <c r="E117" s="33" t="s">
        <v>10</v>
      </c>
      <c r="F117" s="33">
        <v>229</v>
      </c>
      <c r="G117" s="33">
        <f t="shared" si="9"/>
        <v>229</v>
      </c>
      <c r="H117" s="33"/>
      <c r="I117" s="34" t="s">
        <v>13</v>
      </c>
      <c r="J117" s="99">
        <f>+'[1]Dự thầu'!$G$206</f>
        <v>15319</v>
      </c>
      <c r="K117" s="98">
        <f t="shared" si="15"/>
        <v>3508051</v>
      </c>
      <c r="L117" s="98">
        <f t="shared" si="16"/>
        <v>3508051</v>
      </c>
      <c r="M117" s="98">
        <f t="shared" si="17"/>
        <v>0</v>
      </c>
      <c r="N117" s="100"/>
    </row>
    <row r="118" spans="1:14" ht="47.25" customHeight="1" x14ac:dyDescent="0.25">
      <c r="A118" s="52" t="str">
        <f t="shared" si="8"/>
        <v>TL</v>
      </c>
      <c r="B118" s="32" t="s">
        <v>204</v>
      </c>
      <c r="C118" s="33">
        <v>113</v>
      </c>
      <c r="D118" s="39" t="s">
        <v>94</v>
      </c>
      <c r="E118" s="33" t="s">
        <v>10</v>
      </c>
      <c r="F118" s="33">
        <v>343</v>
      </c>
      <c r="G118" s="33">
        <f t="shared" si="9"/>
        <v>343</v>
      </c>
      <c r="H118" s="33"/>
      <c r="I118" s="34" t="s">
        <v>13</v>
      </c>
      <c r="J118" s="99">
        <f>+'[1]Dự thầu'!$G$207</f>
        <v>11015</v>
      </c>
      <c r="K118" s="98">
        <f t="shared" si="15"/>
        <v>3778145</v>
      </c>
      <c r="L118" s="98">
        <f t="shared" si="16"/>
        <v>3778145</v>
      </c>
      <c r="M118" s="98">
        <f t="shared" si="17"/>
        <v>0</v>
      </c>
      <c r="N118" s="100"/>
    </row>
    <row r="119" spans="1:14" ht="31.5" customHeight="1" x14ac:dyDescent="0.25">
      <c r="A119" s="52" t="str">
        <f t="shared" si="8"/>
        <v>TL</v>
      </c>
      <c r="B119" s="32" t="s">
        <v>205</v>
      </c>
      <c r="C119" s="33">
        <v>114</v>
      </c>
      <c r="D119" s="39" t="s">
        <v>96</v>
      </c>
      <c r="E119" s="33" t="s">
        <v>10</v>
      </c>
      <c r="F119" s="33">
        <v>48.84</v>
      </c>
      <c r="G119" s="33">
        <f t="shared" si="9"/>
        <v>48.84</v>
      </c>
      <c r="H119" s="33"/>
      <c r="I119" s="34" t="s">
        <v>90</v>
      </c>
      <c r="J119" s="99">
        <v>1646788</v>
      </c>
      <c r="K119" s="98">
        <f t="shared" si="15"/>
        <v>80429126</v>
      </c>
      <c r="L119" s="98">
        <f t="shared" si="16"/>
        <v>80429126</v>
      </c>
      <c r="M119" s="98">
        <f t="shared" si="17"/>
        <v>0</v>
      </c>
      <c r="N119" s="100"/>
    </row>
    <row r="120" spans="1:14" ht="31.5" customHeight="1" x14ac:dyDescent="0.25">
      <c r="A120" s="52" t="str">
        <f t="shared" si="8"/>
        <v>TL</v>
      </c>
      <c r="B120" s="32" t="s">
        <v>206</v>
      </c>
      <c r="C120" s="33">
        <v>115</v>
      </c>
      <c r="D120" s="39" t="s">
        <v>98</v>
      </c>
      <c r="E120" s="33" t="s">
        <v>10</v>
      </c>
      <c r="F120" s="33">
        <v>0.49</v>
      </c>
      <c r="G120" s="33">
        <f t="shared" si="9"/>
        <v>0.49</v>
      </c>
      <c r="H120" s="33"/>
      <c r="I120" s="34" t="s">
        <v>99</v>
      </c>
      <c r="J120" s="99">
        <f>+'[1]Dự thầu'!$G$209+'[1]Dự thầu'!$G$210</f>
        <v>8873277</v>
      </c>
      <c r="K120" s="98">
        <f t="shared" si="15"/>
        <v>4347906</v>
      </c>
      <c r="L120" s="98">
        <f t="shared" si="16"/>
        <v>4347906</v>
      </c>
      <c r="M120" s="98">
        <f t="shared" si="17"/>
        <v>0</v>
      </c>
      <c r="N120" s="100"/>
    </row>
    <row r="121" spans="1:14" ht="31.5" customHeight="1" x14ac:dyDescent="0.25">
      <c r="A121" s="52" t="str">
        <f t="shared" si="8"/>
        <v>TL</v>
      </c>
      <c r="B121" s="32" t="s">
        <v>207</v>
      </c>
      <c r="C121" s="33">
        <v>116</v>
      </c>
      <c r="D121" s="39" t="s">
        <v>208</v>
      </c>
      <c r="E121" s="33" t="s">
        <v>10</v>
      </c>
      <c r="F121" s="33">
        <v>343</v>
      </c>
      <c r="G121" s="33">
        <f t="shared" si="9"/>
        <v>343</v>
      </c>
      <c r="H121" s="33"/>
      <c r="I121" s="34" t="s">
        <v>13</v>
      </c>
      <c r="J121" s="99">
        <f>+'[1]Dự thầu'!$G$211</f>
        <v>26753</v>
      </c>
      <c r="K121" s="98">
        <f t="shared" si="15"/>
        <v>9176279</v>
      </c>
      <c r="L121" s="98">
        <f t="shared" si="16"/>
        <v>9176279</v>
      </c>
      <c r="M121" s="98">
        <f t="shared" si="17"/>
        <v>0</v>
      </c>
      <c r="N121" s="100"/>
    </row>
    <row r="122" spans="1:14" ht="15.75" customHeight="1" x14ac:dyDescent="0.25">
      <c r="A122" s="52" t="str">
        <f t="shared" si="8"/>
        <v>TL</v>
      </c>
      <c r="B122" s="32" t="s">
        <v>209</v>
      </c>
      <c r="C122" s="33">
        <v>117</v>
      </c>
      <c r="D122" s="39" t="s">
        <v>210</v>
      </c>
      <c r="E122" s="33" t="s">
        <v>10</v>
      </c>
      <c r="F122" s="33">
        <v>40</v>
      </c>
      <c r="G122" s="33">
        <f t="shared" si="9"/>
        <v>40</v>
      </c>
      <c r="H122" s="33"/>
      <c r="I122" s="34" t="s">
        <v>16</v>
      </c>
      <c r="J122" s="99">
        <f>+'[1]Dự thầu'!$G$212</f>
        <v>352760</v>
      </c>
      <c r="K122" s="98">
        <f t="shared" si="15"/>
        <v>14110400</v>
      </c>
      <c r="L122" s="98">
        <f t="shared" si="16"/>
        <v>14110400</v>
      </c>
      <c r="M122" s="98">
        <f t="shared" si="17"/>
        <v>0</v>
      </c>
      <c r="N122" s="100"/>
    </row>
    <row r="123" spans="1:14" ht="47.25" customHeight="1" x14ac:dyDescent="0.25">
      <c r="A123" s="52" t="str">
        <f t="shared" si="8"/>
        <v>TL</v>
      </c>
      <c r="B123" s="32" t="s">
        <v>211</v>
      </c>
      <c r="C123" s="33">
        <v>118</v>
      </c>
      <c r="D123" s="39" t="s">
        <v>94</v>
      </c>
      <c r="E123" s="33" t="s">
        <v>10</v>
      </c>
      <c r="F123" s="98">
        <v>1364</v>
      </c>
      <c r="G123" s="98">
        <f t="shared" si="9"/>
        <v>1364</v>
      </c>
      <c r="H123" s="33"/>
      <c r="I123" s="34" t="s">
        <v>13</v>
      </c>
      <c r="J123" s="99">
        <f>+'[1]Dự thầu'!$G$213</f>
        <v>11015</v>
      </c>
      <c r="K123" s="98">
        <f t="shared" si="15"/>
        <v>15024460</v>
      </c>
      <c r="L123" s="98">
        <f t="shared" si="16"/>
        <v>15024460</v>
      </c>
      <c r="M123" s="98">
        <f t="shared" si="17"/>
        <v>0</v>
      </c>
      <c r="N123" s="100"/>
    </row>
    <row r="124" spans="1:14" ht="31.5" customHeight="1" x14ac:dyDescent="0.25">
      <c r="A124" s="52" t="str">
        <f t="shared" si="8"/>
        <v>TL</v>
      </c>
      <c r="B124" s="32" t="s">
        <v>212</v>
      </c>
      <c r="C124" s="33">
        <v>119</v>
      </c>
      <c r="D124" s="39" t="s">
        <v>96</v>
      </c>
      <c r="E124" s="33" t="s">
        <v>10</v>
      </c>
      <c r="F124" s="33">
        <v>194.23</v>
      </c>
      <c r="G124" s="33">
        <f t="shared" si="9"/>
        <v>194.23</v>
      </c>
      <c r="H124" s="33"/>
      <c r="I124" s="34" t="s">
        <v>90</v>
      </c>
      <c r="J124" s="99">
        <v>1646788</v>
      </c>
      <c r="K124" s="98">
        <f t="shared" si="15"/>
        <v>319855633</v>
      </c>
      <c r="L124" s="98">
        <f t="shared" si="16"/>
        <v>319855633</v>
      </c>
      <c r="M124" s="98">
        <f t="shared" si="17"/>
        <v>0</v>
      </c>
      <c r="N124" s="100"/>
    </row>
    <row r="125" spans="1:14" ht="31.5" customHeight="1" x14ac:dyDescent="0.25">
      <c r="A125" s="52" t="str">
        <f t="shared" si="8"/>
        <v>TL</v>
      </c>
      <c r="B125" s="32" t="s">
        <v>213</v>
      </c>
      <c r="C125" s="33">
        <v>120</v>
      </c>
      <c r="D125" s="39" t="s">
        <v>98</v>
      </c>
      <c r="E125" s="33" t="s">
        <v>10</v>
      </c>
      <c r="F125" s="33">
        <v>1.94</v>
      </c>
      <c r="G125" s="33">
        <f t="shared" si="9"/>
        <v>1.94</v>
      </c>
      <c r="H125" s="33"/>
      <c r="I125" s="34" t="s">
        <v>99</v>
      </c>
      <c r="J125" s="99">
        <f>+'[1]Dự thầu'!$G$215+'[1]Dự thầu'!$G$216</f>
        <v>8873277</v>
      </c>
      <c r="K125" s="98">
        <f t="shared" si="15"/>
        <v>17214157</v>
      </c>
      <c r="L125" s="98">
        <f t="shared" si="16"/>
        <v>17214157</v>
      </c>
      <c r="M125" s="98">
        <f t="shared" si="17"/>
        <v>0</v>
      </c>
      <c r="N125" s="100"/>
    </row>
    <row r="126" spans="1:14" ht="31.5" customHeight="1" x14ac:dyDescent="0.25">
      <c r="A126" s="52" t="str">
        <f t="shared" si="8"/>
        <v>TL</v>
      </c>
      <c r="B126" s="32" t="s">
        <v>214</v>
      </c>
      <c r="C126" s="33">
        <v>121</v>
      </c>
      <c r="D126" s="39" t="s">
        <v>208</v>
      </c>
      <c r="E126" s="33" t="s">
        <v>10</v>
      </c>
      <c r="F126" s="98">
        <v>1364</v>
      </c>
      <c r="G126" s="98">
        <f t="shared" si="9"/>
        <v>1364</v>
      </c>
      <c r="H126" s="33"/>
      <c r="I126" s="34" t="s">
        <v>13</v>
      </c>
      <c r="J126" s="99">
        <f>+'[1]Dự thầu'!$G$217</f>
        <v>26753</v>
      </c>
      <c r="K126" s="98">
        <f t="shared" si="15"/>
        <v>36491092</v>
      </c>
      <c r="L126" s="98">
        <f t="shared" si="16"/>
        <v>36491092</v>
      </c>
      <c r="M126" s="98">
        <f t="shared" si="17"/>
        <v>0</v>
      </c>
      <c r="N126" s="100"/>
    </row>
    <row r="127" spans="1:14" ht="15.75" customHeight="1" x14ac:dyDescent="0.25">
      <c r="A127" s="52" t="str">
        <f t="shared" si="8"/>
        <v>TL</v>
      </c>
      <c r="B127" s="32" t="s">
        <v>215</v>
      </c>
      <c r="C127" s="33">
        <v>122</v>
      </c>
      <c r="D127" s="39" t="s">
        <v>210</v>
      </c>
      <c r="E127" s="33" t="s">
        <v>10</v>
      </c>
      <c r="F127" s="33">
        <v>204</v>
      </c>
      <c r="G127" s="33">
        <f t="shared" si="9"/>
        <v>204</v>
      </c>
      <c r="H127" s="33"/>
      <c r="I127" s="34" t="s">
        <v>16</v>
      </c>
      <c r="J127" s="99">
        <f>+'[1]Dự thầu'!$G$218</f>
        <v>352760</v>
      </c>
      <c r="K127" s="98">
        <f t="shared" si="15"/>
        <v>71963040</v>
      </c>
      <c r="L127" s="98">
        <f t="shared" si="16"/>
        <v>71963040</v>
      </c>
      <c r="M127" s="98">
        <f t="shared" si="17"/>
        <v>0</v>
      </c>
      <c r="N127" s="100"/>
    </row>
    <row r="128" spans="1:14" s="22" customFormat="1" ht="31.5" customHeight="1" x14ac:dyDescent="0.25">
      <c r="A128" s="52" t="str">
        <f t="shared" si="8"/>
        <v>TL</v>
      </c>
      <c r="B128" s="29">
        <v>4</v>
      </c>
      <c r="C128" s="30">
        <v>123</v>
      </c>
      <c r="D128" s="12" t="s">
        <v>216</v>
      </c>
      <c r="E128" s="30" t="s">
        <v>10</v>
      </c>
      <c r="F128" s="30"/>
      <c r="G128" s="30">
        <f t="shared" si="9"/>
        <v>0</v>
      </c>
      <c r="H128" s="30"/>
      <c r="I128" s="31"/>
      <c r="J128" s="97"/>
      <c r="K128" s="104"/>
      <c r="L128" s="104"/>
      <c r="M128" s="104"/>
      <c r="N128" s="105"/>
    </row>
    <row r="129" spans="1:14" ht="15.75" customHeight="1" x14ac:dyDescent="0.25">
      <c r="A129" s="52" t="str">
        <f t="shared" si="8"/>
        <v>TL</v>
      </c>
      <c r="B129" s="32" t="s">
        <v>217</v>
      </c>
      <c r="C129" s="33">
        <v>124</v>
      </c>
      <c r="D129" s="39" t="s">
        <v>218</v>
      </c>
      <c r="E129" s="33" t="s">
        <v>10</v>
      </c>
      <c r="F129" s="102">
        <v>2537.4499999999998</v>
      </c>
      <c r="G129" s="102">
        <f t="shared" si="9"/>
        <v>2537.4499999999998</v>
      </c>
      <c r="H129" s="33"/>
      <c r="I129" s="34" t="s">
        <v>16</v>
      </c>
      <c r="J129" s="99">
        <f>+'[1]Dự thầu'!$G$238</f>
        <v>17057</v>
      </c>
      <c r="K129" s="98">
        <f t="shared" ref="K129:K160" si="18">+ROUND(J129*F129,0)</f>
        <v>43281285</v>
      </c>
      <c r="L129" s="98">
        <f t="shared" ref="L129:L160" si="19">+ROUND(G129*J129,0)</f>
        <v>43281285</v>
      </c>
      <c r="M129" s="98">
        <f t="shared" ref="M129:M160" si="20">+ROUND(H129*J129,0)</f>
        <v>0</v>
      </c>
      <c r="N129" s="100"/>
    </row>
    <row r="130" spans="1:14" ht="15.75" customHeight="1" x14ac:dyDescent="0.25">
      <c r="A130" s="52" t="str">
        <f t="shared" si="8"/>
        <v>TL</v>
      </c>
      <c r="B130" s="32" t="s">
        <v>219</v>
      </c>
      <c r="C130" s="33">
        <v>125</v>
      </c>
      <c r="D130" s="39" t="s">
        <v>220</v>
      </c>
      <c r="E130" s="33" t="s">
        <v>10</v>
      </c>
      <c r="F130" s="101">
        <v>1504.8</v>
      </c>
      <c r="G130" s="101">
        <f t="shared" si="9"/>
        <v>1504.8</v>
      </c>
      <c r="H130" s="33"/>
      <c r="I130" s="34" t="s">
        <v>16</v>
      </c>
      <c r="J130" s="99">
        <f>+'[1]Dự thầu'!$G$239</f>
        <v>20867</v>
      </c>
      <c r="K130" s="98">
        <f t="shared" si="18"/>
        <v>31400662</v>
      </c>
      <c r="L130" s="98">
        <f t="shared" si="19"/>
        <v>31400662</v>
      </c>
      <c r="M130" s="98">
        <f t="shared" si="20"/>
        <v>0</v>
      </c>
      <c r="N130" s="100"/>
    </row>
    <row r="131" spans="1:14" ht="15.75" customHeight="1" x14ac:dyDescent="0.25">
      <c r="A131" s="52" t="str">
        <f t="shared" si="8"/>
        <v>TL</v>
      </c>
      <c r="B131" s="32" t="s">
        <v>221</v>
      </c>
      <c r="C131" s="33">
        <v>126</v>
      </c>
      <c r="D131" s="39" t="s">
        <v>222</v>
      </c>
      <c r="E131" s="33" t="s">
        <v>10</v>
      </c>
      <c r="F131" s="102">
        <v>284.01</v>
      </c>
      <c r="G131" s="102">
        <f t="shared" si="9"/>
        <v>284.01</v>
      </c>
      <c r="H131" s="33"/>
      <c r="I131" s="34" t="s">
        <v>16</v>
      </c>
      <c r="J131" s="99">
        <f>+'[1]Dự thầu'!$G$240</f>
        <v>7229</v>
      </c>
      <c r="K131" s="98">
        <f t="shared" si="18"/>
        <v>2053108</v>
      </c>
      <c r="L131" s="98">
        <f t="shared" si="19"/>
        <v>2053108</v>
      </c>
      <c r="M131" s="98">
        <f t="shared" si="20"/>
        <v>0</v>
      </c>
      <c r="N131" s="100"/>
    </row>
    <row r="132" spans="1:14" ht="15.75" customHeight="1" x14ac:dyDescent="0.25">
      <c r="A132" s="52" t="str">
        <f t="shared" si="8"/>
        <v>TL</v>
      </c>
      <c r="B132" s="32" t="s">
        <v>223</v>
      </c>
      <c r="C132" s="33">
        <v>127</v>
      </c>
      <c r="D132" s="39" t="s">
        <v>224</v>
      </c>
      <c r="E132" s="33" t="s">
        <v>10</v>
      </c>
      <c r="F132" s="102">
        <v>2537.4499999999998</v>
      </c>
      <c r="G132" s="102">
        <f t="shared" si="9"/>
        <v>2537.4499999999998</v>
      </c>
      <c r="H132" s="33"/>
      <c r="I132" s="34" t="s">
        <v>16</v>
      </c>
      <c r="J132" s="99">
        <f>+'[1]Dự thầu'!$G$241</f>
        <v>40424</v>
      </c>
      <c r="K132" s="98">
        <f t="shared" si="18"/>
        <v>102573879</v>
      </c>
      <c r="L132" s="98">
        <f t="shared" si="19"/>
        <v>102573879</v>
      </c>
      <c r="M132" s="98">
        <f t="shared" si="20"/>
        <v>0</v>
      </c>
      <c r="N132" s="100"/>
    </row>
    <row r="133" spans="1:14" ht="31.5" customHeight="1" x14ac:dyDescent="0.25">
      <c r="A133" s="52" t="str">
        <f t="shared" si="8"/>
        <v>TL</v>
      </c>
      <c r="B133" s="32" t="s">
        <v>225</v>
      </c>
      <c r="C133" s="33">
        <v>128</v>
      </c>
      <c r="D133" s="39" t="s">
        <v>226</v>
      </c>
      <c r="E133" s="33" t="s">
        <v>10</v>
      </c>
      <c r="F133" s="102">
        <v>1068.23</v>
      </c>
      <c r="G133" s="102">
        <f t="shared" si="9"/>
        <v>1068.23</v>
      </c>
      <c r="H133" s="33"/>
      <c r="I133" s="34" t="s">
        <v>16</v>
      </c>
      <c r="J133" s="99">
        <f>+'[1]Dự thầu'!$G$245</f>
        <v>45382</v>
      </c>
      <c r="K133" s="98">
        <f t="shared" si="18"/>
        <v>48478414</v>
      </c>
      <c r="L133" s="98">
        <f t="shared" si="19"/>
        <v>48478414</v>
      </c>
      <c r="M133" s="98">
        <f t="shared" si="20"/>
        <v>0</v>
      </c>
      <c r="N133" s="100"/>
    </row>
    <row r="134" spans="1:14" ht="31.5" customHeight="1" x14ac:dyDescent="0.25">
      <c r="A134" s="52" t="str">
        <f t="shared" si="8"/>
        <v>TL</v>
      </c>
      <c r="B134" s="32" t="s">
        <v>227</v>
      </c>
      <c r="C134" s="33">
        <v>129</v>
      </c>
      <c r="D134" s="39" t="s">
        <v>228</v>
      </c>
      <c r="E134" s="33" t="s">
        <v>10</v>
      </c>
      <c r="F134" s="102">
        <v>3605.68</v>
      </c>
      <c r="G134" s="102">
        <f t="shared" si="9"/>
        <v>3605.68</v>
      </c>
      <c r="H134" s="33"/>
      <c r="I134" s="34" t="s">
        <v>16</v>
      </c>
      <c r="J134" s="99">
        <f>+'[1]Dự thầu'!$G$249</f>
        <v>2096</v>
      </c>
      <c r="K134" s="98">
        <f t="shared" si="18"/>
        <v>7557505</v>
      </c>
      <c r="L134" s="98">
        <f t="shared" si="19"/>
        <v>7557505</v>
      </c>
      <c r="M134" s="98">
        <f t="shared" si="20"/>
        <v>0</v>
      </c>
      <c r="N134" s="100"/>
    </row>
    <row r="135" spans="1:14" ht="31.5" customHeight="1" x14ac:dyDescent="0.25">
      <c r="A135" s="52" t="str">
        <f t="shared" ref="A135:A198" si="21">A134</f>
        <v>TL</v>
      </c>
      <c r="B135" s="32" t="s">
        <v>229</v>
      </c>
      <c r="C135" s="33">
        <v>130</v>
      </c>
      <c r="D135" s="39" t="s">
        <v>230</v>
      </c>
      <c r="E135" s="33" t="s">
        <v>10</v>
      </c>
      <c r="F135" s="33">
        <v>87</v>
      </c>
      <c r="G135" s="33">
        <f t="shared" ref="G135:G198" si="22">+F135</f>
        <v>87</v>
      </c>
      <c r="H135" s="33"/>
      <c r="I135" s="34" t="s">
        <v>16</v>
      </c>
      <c r="J135" s="99">
        <f>+'[1]Dự thầu'!$G$250</f>
        <v>37000</v>
      </c>
      <c r="K135" s="98">
        <f t="shared" si="18"/>
        <v>3219000</v>
      </c>
      <c r="L135" s="98">
        <f t="shared" si="19"/>
        <v>3219000</v>
      </c>
      <c r="M135" s="98">
        <f t="shared" si="20"/>
        <v>0</v>
      </c>
      <c r="N135" s="100"/>
    </row>
    <row r="136" spans="1:14" ht="31.5" customHeight="1" x14ac:dyDescent="0.25">
      <c r="A136" s="52" t="str">
        <f t="shared" si="21"/>
        <v>TL</v>
      </c>
      <c r="B136" s="32" t="s">
        <v>231</v>
      </c>
      <c r="C136" s="33">
        <v>131</v>
      </c>
      <c r="D136" s="39" t="s">
        <v>232</v>
      </c>
      <c r="E136" s="33" t="s">
        <v>10</v>
      </c>
      <c r="F136" s="102">
        <v>1518.07</v>
      </c>
      <c r="G136" s="102">
        <f t="shared" si="22"/>
        <v>1518.07</v>
      </c>
      <c r="H136" s="33"/>
      <c r="I136" s="34" t="s">
        <v>16</v>
      </c>
      <c r="J136" s="99">
        <f>+'[1]Dự thầu'!$G$251</f>
        <v>350264</v>
      </c>
      <c r="K136" s="98">
        <f t="shared" si="18"/>
        <v>531725270</v>
      </c>
      <c r="L136" s="98">
        <f t="shared" si="19"/>
        <v>531725270</v>
      </c>
      <c r="M136" s="98">
        <f t="shared" si="20"/>
        <v>0</v>
      </c>
      <c r="N136" s="100"/>
    </row>
    <row r="137" spans="1:14" ht="31.5" customHeight="1" x14ac:dyDescent="0.25">
      <c r="A137" s="52" t="str">
        <f t="shared" si="21"/>
        <v>TL</v>
      </c>
      <c r="B137" s="32" t="s">
        <v>233</v>
      </c>
      <c r="C137" s="33">
        <v>132</v>
      </c>
      <c r="D137" s="39" t="s">
        <v>160</v>
      </c>
      <c r="E137" s="33" t="s">
        <v>10</v>
      </c>
      <c r="F137" s="102">
        <v>3114.15</v>
      </c>
      <c r="G137" s="102">
        <f t="shared" si="22"/>
        <v>3114.15</v>
      </c>
      <c r="H137" s="33"/>
      <c r="I137" s="34" t="s">
        <v>16</v>
      </c>
      <c r="J137" s="99">
        <f>+'[1]Dự thầu'!$G$252</f>
        <v>12936</v>
      </c>
      <c r="K137" s="98">
        <f t="shared" si="18"/>
        <v>40284644</v>
      </c>
      <c r="L137" s="98">
        <f t="shared" si="19"/>
        <v>40284644</v>
      </c>
      <c r="M137" s="98">
        <f t="shared" si="20"/>
        <v>0</v>
      </c>
      <c r="N137" s="100"/>
    </row>
    <row r="138" spans="1:14" ht="15.75" customHeight="1" x14ac:dyDescent="0.25">
      <c r="A138" s="52" t="str">
        <f t="shared" si="21"/>
        <v>TL</v>
      </c>
      <c r="B138" s="32" t="s">
        <v>234</v>
      </c>
      <c r="C138" s="33">
        <v>133</v>
      </c>
      <c r="D138" s="39" t="s">
        <v>32</v>
      </c>
      <c r="E138" s="33" t="s">
        <v>10</v>
      </c>
      <c r="F138" s="102">
        <v>4257.9799999999996</v>
      </c>
      <c r="G138" s="102">
        <f t="shared" si="22"/>
        <v>4257.9799999999996</v>
      </c>
      <c r="H138" s="33"/>
      <c r="I138" s="34" t="s">
        <v>16</v>
      </c>
      <c r="J138" s="99">
        <f>+'[1]Dự thầu'!$G$253</f>
        <v>50585</v>
      </c>
      <c r="K138" s="98">
        <f t="shared" si="18"/>
        <v>215389918</v>
      </c>
      <c r="L138" s="98">
        <f t="shared" si="19"/>
        <v>215389918</v>
      </c>
      <c r="M138" s="98">
        <f t="shared" si="20"/>
        <v>0</v>
      </c>
      <c r="N138" s="100"/>
    </row>
    <row r="139" spans="1:14" ht="15.75" customHeight="1" x14ac:dyDescent="0.25">
      <c r="A139" s="52" t="str">
        <f t="shared" si="21"/>
        <v>TL</v>
      </c>
      <c r="B139" s="32" t="s">
        <v>235</v>
      </c>
      <c r="C139" s="33">
        <v>134</v>
      </c>
      <c r="D139" s="39" t="s">
        <v>36</v>
      </c>
      <c r="E139" s="33" t="s">
        <v>10</v>
      </c>
      <c r="F139" s="33">
        <v>425.8</v>
      </c>
      <c r="G139" s="33">
        <f t="shared" si="22"/>
        <v>425.8</v>
      </c>
      <c r="H139" s="33"/>
      <c r="I139" s="34" t="s">
        <v>37</v>
      </c>
      <c r="J139" s="99">
        <f>+'[1]Dự thầu'!$G$254+'[1]Dự thầu'!$G$255+'[1]Dự thầu'!$G$256</f>
        <v>940826</v>
      </c>
      <c r="K139" s="98">
        <f t="shared" si="18"/>
        <v>400603711</v>
      </c>
      <c r="L139" s="98">
        <f t="shared" si="19"/>
        <v>400603711</v>
      </c>
      <c r="M139" s="98">
        <f t="shared" si="20"/>
        <v>0</v>
      </c>
      <c r="N139" s="100"/>
    </row>
    <row r="140" spans="1:14" ht="31.5" customHeight="1" x14ac:dyDescent="0.25">
      <c r="A140" s="52" t="str">
        <f t="shared" si="21"/>
        <v>TL</v>
      </c>
      <c r="B140" s="32" t="s">
        <v>236</v>
      </c>
      <c r="C140" s="33">
        <v>135</v>
      </c>
      <c r="D140" s="39" t="s">
        <v>237</v>
      </c>
      <c r="E140" s="33" t="s">
        <v>10</v>
      </c>
      <c r="F140" s="33">
        <v>429.6</v>
      </c>
      <c r="G140" s="33">
        <f t="shared" si="22"/>
        <v>429.6</v>
      </c>
      <c r="H140" s="33"/>
      <c r="I140" s="34" t="s">
        <v>16</v>
      </c>
      <c r="J140" s="99">
        <f>+'[1]Dự thầu'!$G$259</f>
        <v>1561916</v>
      </c>
      <c r="K140" s="98">
        <f t="shared" si="18"/>
        <v>670999114</v>
      </c>
      <c r="L140" s="98">
        <f t="shared" si="19"/>
        <v>670999114</v>
      </c>
      <c r="M140" s="98">
        <f t="shared" si="20"/>
        <v>0</v>
      </c>
      <c r="N140" s="100"/>
    </row>
    <row r="141" spans="1:14" ht="15.75" customHeight="1" x14ac:dyDescent="0.25">
      <c r="A141" s="52" t="str">
        <f t="shared" si="21"/>
        <v>TL</v>
      </c>
      <c r="B141" s="32" t="s">
        <v>238</v>
      </c>
      <c r="C141" s="33">
        <v>136</v>
      </c>
      <c r="D141" s="39" t="s">
        <v>125</v>
      </c>
      <c r="E141" s="33" t="s">
        <v>10</v>
      </c>
      <c r="F141" s="101">
        <v>4060.2</v>
      </c>
      <c r="G141" s="101">
        <f t="shared" si="22"/>
        <v>4060.2</v>
      </c>
      <c r="H141" s="33"/>
      <c r="I141" s="34" t="s">
        <v>13</v>
      </c>
      <c r="J141" s="99">
        <f>+'[1]Dự thầu'!$G$260</f>
        <v>104798</v>
      </c>
      <c r="K141" s="98">
        <f t="shared" si="18"/>
        <v>425500840</v>
      </c>
      <c r="L141" s="98">
        <f t="shared" si="19"/>
        <v>425500840</v>
      </c>
      <c r="M141" s="98">
        <f t="shared" si="20"/>
        <v>0</v>
      </c>
      <c r="N141" s="100"/>
    </row>
    <row r="142" spans="1:14" ht="31.5" customHeight="1" x14ac:dyDescent="0.25">
      <c r="A142" s="52" t="str">
        <f t="shared" si="21"/>
        <v>TL</v>
      </c>
      <c r="B142" s="32" t="s">
        <v>239</v>
      </c>
      <c r="C142" s="33">
        <v>137</v>
      </c>
      <c r="D142" s="39" t="s">
        <v>240</v>
      </c>
      <c r="E142" s="33" t="s">
        <v>10</v>
      </c>
      <c r="F142" s="33">
        <v>101.1</v>
      </c>
      <c r="G142" s="33">
        <f t="shared" si="22"/>
        <v>101.1</v>
      </c>
      <c r="H142" s="33"/>
      <c r="I142" s="34" t="s">
        <v>16</v>
      </c>
      <c r="J142" s="99">
        <f>+'[1]Dự thầu'!$G$261</f>
        <v>842139</v>
      </c>
      <c r="K142" s="98">
        <f t="shared" si="18"/>
        <v>85140253</v>
      </c>
      <c r="L142" s="98">
        <f t="shared" si="19"/>
        <v>85140253</v>
      </c>
      <c r="M142" s="98">
        <f t="shared" si="20"/>
        <v>0</v>
      </c>
      <c r="N142" s="100"/>
    </row>
    <row r="143" spans="1:14" ht="15.75" customHeight="1" x14ac:dyDescent="0.25">
      <c r="A143" s="52" t="str">
        <f t="shared" si="21"/>
        <v>TL</v>
      </c>
      <c r="B143" s="32" t="s">
        <v>241</v>
      </c>
      <c r="C143" s="33">
        <v>138</v>
      </c>
      <c r="D143" s="39" t="s">
        <v>242</v>
      </c>
      <c r="E143" s="33" t="s">
        <v>10</v>
      </c>
      <c r="F143" s="33">
        <v>93.1</v>
      </c>
      <c r="G143" s="33">
        <f t="shared" si="22"/>
        <v>93.1</v>
      </c>
      <c r="H143" s="33"/>
      <c r="I143" s="34" t="s">
        <v>16</v>
      </c>
      <c r="J143" s="99">
        <f>+'[1]Dự thầu'!$G$262</f>
        <v>1631803</v>
      </c>
      <c r="K143" s="98">
        <f t="shared" si="18"/>
        <v>151920859</v>
      </c>
      <c r="L143" s="98">
        <f t="shared" si="19"/>
        <v>151920859</v>
      </c>
      <c r="M143" s="98">
        <f t="shared" si="20"/>
        <v>0</v>
      </c>
      <c r="N143" s="100"/>
    </row>
    <row r="144" spans="1:14" ht="31.5" customHeight="1" x14ac:dyDescent="0.25">
      <c r="A144" s="52" t="str">
        <f t="shared" si="21"/>
        <v>TL</v>
      </c>
      <c r="B144" s="32" t="s">
        <v>243</v>
      </c>
      <c r="C144" s="33">
        <v>139</v>
      </c>
      <c r="D144" s="39" t="s">
        <v>244</v>
      </c>
      <c r="E144" s="33" t="s">
        <v>10</v>
      </c>
      <c r="F144" s="33">
        <v>448.4</v>
      </c>
      <c r="G144" s="33">
        <f t="shared" si="22"/>
        <v>448.4</v>
      </c>
      <c r="H144" s="33"/>
      <c r="I144" s="34" t="s">
        <v>13</v>
      </c>
      <c r="J144" s="99">
        <f>+'[1]Dự thầu'!$G$263</f>
        <v>87361</v>
      </c>
      <c r="K144" s="98">
        <f t="shared" si="18"/>
        <v>39172672</v>
      </c>
      <c r="L144" s="98">
        <f t="shared" si="19"/>
        <v>39172672</v>
      </c>
      <c r="M144" s="98">
        <f t="shared" si="20"/>
        <v>0</v>
      </c>
      <c r="N144" s="100"/>
    </row>
    <row r="145" spans="1:14" ht="31.5" customHeight="1" x14ac:dyDescent="0.25">
      <c r="A145" s="52" t="str">
        <f t="shared" si="21"/>
        <v>TL</v>
      </c>
      <c r="B145" s="32" t="s">
        <v>245</v>
      </c>
      <c r="C145" s="33">
        <v>140</v>
      </c>
      <c r="D145" s="39" t="s">
        <v>246</v>
      </c>
      <c r="E145" s="33" t="s">
        <v>10</v>
      </c>
      <c r="F145" s="33">
        <v>1.8</v>
      </c>
      <c r="G145" s="33">
        <f t="shared" si="22"/>
        <v>1.8</v>
      </c>
      <c r="H145" s="33"/>
      <c r="I145" s="34" t="s">
        <v>90</v>
      </c>
      <c r="J145" s="99">
        <f>+'[1]Dự thầu'!$G$264</f>
        <v>27096238</v>
      </c>
      <c r="K145" s="98">
        <f t="shared" si="18"/>
        <v>48773228</v>
      </c>
      <c r="L145" s="98">
        <f t="shared" si="19"/>
        <v>48773228</v>
      </c>
      <c r="M145" s="98">
        <f t="shared" si="20"/>
        <v>0</v>
      </c>
      <c r="N145" s="100"/>
    </row>
    <row r="146" spans="1:14" ht="31.5" customHeight="1" x14ac:dyDescent="0.25">
      <c r="A146" s="52" t="str">
        <f t="shared" si="21"/>
        <v>TL</v>
      </c>
      <c r="B146" s="32" t="s">
        <v>247</v>
      </c>
      <c r="C146" s="33">
        <v>141</v>
      </c>
      <c r="D146" s="39" t="s">
        <v>246</v>
      </c>
      <c r="E146" s="33" t="s">
        <v>10</v>
      </c>
      <c r="F146" s="33">
        <v>18.2</v>
      </c>
      <c r="G146" s="33">
        <f t="shared" si="22"/>
        <v>18.2</v>
      </c>
      <c r="H146" s="33"/>
      <c r="I146" s="34" t="s">
        <v>90</v>
      </c>
      <c r="J146" s="99">
        <f>+'[1]Dự thầu'!$G$265</f>
        <v>27096238</v>
      </c>
      <c r="K146" s="98">
        <f t="shared" si="18"/>
        <v>493151532</v>
      </c>
      <c r="L146" s="98">
        <f t="shared" si="19"/>
        <v>493151532</v>
      </c>
      <c r="M146" s="98">
        <f t="shared" si="20"/>
        <v>0</v>
      </c>
      <c r="N146" s="100"/>
    </row>
    <row r="147" spans="1:14" ht="47.25" customHeight="1" x14ac:dyDescent="0.25">
      <c r="A147" s="52" t="str">
        <f t="shared" si="21"/>
        <v>TL</v>
      </c>
      <c r="B147" s="32" t="s">
        <v>248</v>
      </c>
      <c r="C147" s="33">
        <v>142</v>
      </c>
      <c r="D147" s="39" t="s">
        <v>249</v>
      </c>
      <c r="E147" s="33" t="s">
        <v>10</v>
      </c>
      <c r="F147" s="33">
        <v>846</v>
      </c>
      <c r="G147" s="33">
        <f t="shared" si="22"/>
        <v>846</v>
      </c>
      <c r="H147" s="33"/>
      <c r="I147" s="34" t="s">
        <v>250</v>
      </c>
      <c r="J147" s="99">
        <f>+'[1]Dự thầu'!$G$266</f>
        <v>52812</v>
      </c>
      <c r="K147" s="98">
        <f t="shared" si="18"/>
        <v>44678952</v>
      </c>
      <c r="L147" s="98">
        <f t="shared" si="19"/>
        <v>44678952</v>
      </c>
      <c r="M147" s="98">
        <f t="shared" si="20"/>
        <v>0</v>
      </c>
      <c r="N147" s="100"/>
    </row>
    <row r="148" spans="1:14" ht="47.25" customHeight="1" x14ac:dyDescent="0.25">
      <c r="A148" s="52" t="str">
        <f t="shared" si="21"/>
        <v>TL</v>
      </c>
      <c r="B148" s="32" t="s">
        <v>251</v>
      </c>
      <c r="C148" s="33">
        <v>143</v>
      </c>
      <c r="D148" s="39" t="s">
        <v>252</v>
      </c>
      <c r="E148" s="33" t="s">
        <v>10</v>
      </c>
      <c r="F148" s="33">
        <v>23.3</v>
      </c>
      <c r="G148" s="33">
        <f t="shared" si="22"/>
        <v>23.3</v>
      </c>
      <c r="H148" s="33"/>
      <c r="I148" s="34" t="s">
        <v>253</v>
      </c>
      <c r="J148" s="99">
        <f>+'[1]Dự thầu'!$G$267</f>
        <v>32162</v>
      </c>
      <c r="K148" s="98">
        <f t="shared" si="18"/>
        <v>749375</v>
      </c>
      <c r="L148" s="98">
        <f t="shared" si="19"/>
        <v>749375</v>
      </c>
      <c r="M148" s="98">
        <f t="shared" si="20"/>
        <v>0</v>
      </c>
      <c r="N148" s="100"/>
    </row>
    <row r="149" spans="1:14" ht="47.25" customHeight="1" x14ac:dyDescent="0.25">
      <c r="A149" s="52" t="str">
        <f t="shared" si="21"/>
        <v>TL</v>
      </c>
      <c r="B149" s="32" t="s">
        <v>254</v>
      </c>
      <c r="C149" s="33">
        <v>144</v>
      </c>
      <c r="D149" s="39" t="s">
        <v>255</v>
      </c>
      <c r="E149" s="33" t="s">
        <v>10</v>
      </c>
      <c r="F149" s="33">
        <v>846</v>
      </c>
      <c r="G149" s="33">
        <f t="shared" si="22"/>
        <v>846</v>
      </c>
      <c r="H149" s="33"/>
      <c r="I149" s="34" t="s">
        <v>250</v>
      </c>
      <c r="J149" s="99">
        <f>+'[1]Dự thầu'!$G$268</f>
        <v>42761</v>
      </c>
      <c r="K149" s="98">
        <f t="shared" si="18"/>
        <v>36175806</v>
      </c>
      <c r="L149" s="98">
        <f t="shared" si="19"/>
        <v>36175806</v>
      </c>
      <c r="M149" s="98">
        <f t="shared" si="20"/>
        <v>0</v>
      </c>
      <c r="N149" s="100"/>
    </row>
    <row r="150" spans="1:14" ht="31.5" customHeight="1" x14ac:dyDescent="0.25">
      <c r="A150" s="52" t="str">
        <f t="shared" si="21"/>
        <v>TL</v>
      </c>
      <c r="B150" s="32" t="s">
        <v>256</v>
      </c>
      <c r="C150" s="33">
        <v>145</v>
      </c>
      <c r="D150" s="39" t="s">
        <v>257</v>
      </c>
      <c r="E150" s="33" t="s">
        <v>10</v>
      </c>
      <c r="F150" s="33">
        <v>846</v>
      </c>
      <c r="G150" s="33">
        <f t="shared" si="22"/>
        <v>846</v>
      </c>
      <c r="H150" s="33"/>
      <c r="I150" s="34" t="s">
        <v>258</v>
      </c>
      <c r="J150" s="99">
        <f>+'[1]Dự thầu'!$G$269</f>
        <v>294187</v>
      </c>
      <c r="K150" s="98">
        <f t="shared" si="18"/>
        <v>248882202</v>
      </c>
      <c r="L150" s="98">
        <f t="shared" si="19"/>
        <v>248882202</v>
      </c>
      <c r="M150" s="98">
        <f t="shared" si="20"/>
        <v>0</v>
      </c>
      <c r="N150" s="100"/>
    </row>
    <row r="151" spans="1:14" ht="47.25" customHeight="1" x14ac:dyDescent="0.25">
      <c r="A151" s="52" t="str">
        <f t="shared" si="21"/>
        <v>TL</v>
      </c>
      <c r="B151" s="32" t="s">
        <v>259</v>
      </c>
      <c r="C151" s="33">
        <v>146</v>
      </c>
      <c r="D151" s="39" t="s">
        <v>120</v>
      </c>
      <c r="E151" s="33" t="s">
        <v>10</v>
      </c>
      <c r="F151" s="33">
        <v>16.8</v>
      </c>
      <c r="G151" s="33">
        <f t="shared" si="22"/>
        <v>16.8</v>
      </c>
      <c r="H151" s="33"/>
      <c r="I151" s="34" t="s">
        <v>16</v>
      </c>
      <c r="J151" s="99">
        <f>+'[1]Dự thầu'!$G$270</f>
        <v>1191268</v>
      </c>
      <c r="K151" s="98">
        <f t="shared" si="18"/>
        <v>20013302</v>
      </c>
      <c r="L151" s="98">
        <f t="shared" si="19"/>
        <v>20013302</v>
      </c>
      <c r="M151" s="98">
        <f t="shared" si="20"/>
        <v>0</v>
      </c>
      <c r="N151" s="100"/>
    </row>
    <row r="152" spans="1:14" ht="47.25" customHeight="1" x14ac:dyDescent="0.25">
      <c r="A152" s="52" t="str">
        <f t="shared" si="21"/>
        <v>TL</v>
      </c>
      <c r="B152" s="32" t="s">
        <v>260</v>
      </c>
      <c r="C152" s="33">
        <v>147</v>
      </c>
      <c r="D152" s="39" t="s">
        <v>261</v>
      </c>
      <c r="E152" s="33" t="s">
        <v>10</v>
      </c>
      <c r="F152" s="33">
        <v>7.23</v>
      </c>
      <c r="G152" s="33">
        <f t="shared" si="22"/>
        <v>7.23</v>
      </c>
      <c r="H152" s="33"/>
      <c r="I152" s="34" t="s">
        <v>16</v>
      </c>
      <c r="J152" s="99">
        <f>+'[1]Dự thầu'!$G$271</f>
        <v>1561916</v>
      </c>
      <c r="K152" s="98">
        <f t="shared" si="18"/>
        <v>11292653</v>
      </c>
      <c r="L152" s="98">
        <f t="shared" si="19"/>
        <v>11292653</v>
      </c>
      <c r="M152" s="98">
        <f t="shared" si="20"/>
        <v>0</v>
      </c>
      <c r="N152" s="100"/>
    </row>
    <row r="153" spans="1:14" ht="15.75" customHeight="1" x14ac:dyDescent="0.25">
      <c r="A153" s="52" t="str">
        <f t="shared" si="21"/>
        <v>TL</v>
      </c>
      <c r="B153" s="32" t="s">
        <v>262</v>
      </c>
      <c r="C153" s="33">
        <v>148</v>
      </c>
      <c r="D153" s="39" t="s">
        <v>125</v>
      </c>
      <c r="E153" s="33" t="s">
        <v>10</v>
      </c>
      <c r="F153" s="33">
        <v>33.450000000000003</v>
      </c>
      <c r="G153" s="33">
        <f t="shared" si="22"/>
        <v>33.450000000000003</v>
      </c>
      <c r="H153" s="33"/>
      <c r="I153" s="34" t="s">
        <v>13</v>
      </c>
      <c r="J153" s="99">
        <f>+'[1]Dự thầu'!$G$272</f>
        <v>104798</v>
      </c>
      <c r="K153" s="98">
        <f t="shared" si="18"/>
        <v>3505493</v>
      </c>
      <c r="L153" s="98">
        <f t="shared" si="19"/>
        <v>3505493</v>
      </c>
      <c r="M153" s="98">
        <f t="shared" si="20"/>
        <v>0</v>
      </c>
      <c r="N153" s="100"/>
    </row>
    <row r="154" spans="1:14" ht="31.5" customHeight="1" x14ac:dyDescent="0.25">
      <c r="A154" s="52" t="str">
        <f t="shared" si="21"/>
        <v>TL</v>
      </c>
      <c r="B154" s="32" t="s">
        <v>263</v>
      </c>
      <c r="C154" s="33">
        <v>149</v>
      </c>
      <c r="D154" s="39" t="s">
        <v>240</v>
      </c>
      <c r="E154" s="33" t="s">
        <v>10</v>
      </c>
      <c r="F154" s="33">
        <v>8.4</v>
      </c>
      <c r="G154" s="33">
        <f t="shared" si="22"/>
        <v>8.4</v>
      </c>
      <c r="H154" s="33"/>
      <c r="I154" s="34" t="s">
        <v>16</v>
      </c>
      <c r="J154" s="99">
        <f>+'[1]Dự thầu'!$G$273</f>
        <v>842139</v>
      </c>
      <c r="K154" s="98">
        <f t="shared" si="18"/>
        <v>7073968</v>
      </c>
      <c r="L154" s="98">
        <f t="shared" si="19"/>
        <v>7073968</v>
      </c>
      <c r="M154" s="98">
        <f t="shared" si="20"/>
        <v>0</v>
      </c>
      <c r="N154" s="100"/>
    </row>
    <row r="155" spans="1:14" ht="15.75" customHeight="1" x14ac:dyDescent="0.25">
      <c r="A155" s="52" t="str">
        <f t="shared" si="21"/>
        <v>TL</v>
      </c>
      <c r="B155" s="32" t="s">
        <v>264</v>
      </c>
      <c r="C155" s="33">
        <v>150</v>
      </c>
      <c r="D155" s="39" t="s">
        <v>122</v>
      </c>
      <c r="E155" s="33" t="s">
        <v>10</v>
      </c>
      <c r="F155" s="33">
        <v>33</v>
      </c>
      <c r="G155" s="33">
        <f t="shared" si="22"/>
        <v>33</v>
      </c>
      <c r="H155" s="33"/>
      <c r="I155" s="34" t="s">
        <v>16</v>
      </c>
      <c r="J155" s="99">
        <f>+'[1]Dự thầu'!$G$274</f>
        <v>1866757</v>
      </c>
      <c r="K155" s="98">
        <f t="shared" si="18"/>
        <v>61602981</v>
      </c>
      <c r="L155" s="98">
        <f t="shared" si="19"/>
        <v>61602981</v>
      </c>
      <c r="M155" s="98">
        <f t="shared" si="20"/>
        <v>0</v>
      </c>
      <c r="N155" s="100"/>
    </row>
    <row r="156" spans="1:14" ht="31.5" customHeight="1" x14ac:dyDescent="0.25">
      <c r="A156" s="52" t="str">
        <f t="shared" si="21"/>
        <v>TL</v>
      </c>
      <c r="B156" s="32" t="s">
        <v>265</v>
      </c>
      <c r="C156" s="33">
        <v>151</v>
      </c>
      <c r="D156" s="39" t="s">
        <v>266</v>
      </c>
      <c r="E156" s="33" t="s">
        <v>10</v>
      </c>
      <c r="F156" s="33">
        <v>207.4</v>
      </c>
      <c r="G156" s="33">
        <f t="shared" si="22"/>
        <v>207.4</v>
      </c>
      <c r="H156" s="33"/>
      <c r="I156" s="34" t="s">
        <v>13</v>
      </c>
      <c r="J156" s="99">
        <f>+'[1]Dự thầu'!$G$275</f>
        <v>96659</v>
      </c>
      <c r="K156" s="98">
        <f t="shared" si="18"/>
        <v>20047077</v>
      </c>
      <c r="L156" s="98">
        <f t="shared" si="19"/>
        <v>20047077</v>
      </c>
      <c r="M156" s="98">
        <f t="shared" si="20"/>
        <v>0</v>
      </c>
      <c r="N156" s="100"/>
    </row>
    <row r="157" spans="1:14" ht="15.75" customHeight="1" x14ac:dyDescent="0.25">
      <c r="A157" s="52" t="str">
        <f t="shared" si="21"/>
        <v>TL</v>
      </c>
      <c r="B157" s="32" t="s">
        <v>267</v>
      </c>
      <c r="C157" s="33">
        <v>152</v>
      </c>
      <c r="D157" s="39" t="s">
        <v>242</v>
      </c>
      <c r="E157" s="33" t="s">
        <v>10</v>
      </c>
      <c r="F157" s="33">
        <v>3.89</v>
      </c>
      <c r="G157" s="33">
        <f t="shared" si="22"/>
        <v>3.89</v>
      </c>
      <c r="H157" s="33"/>
      <c r="I157" s="34" t="s">
        <v>16</v>
      </c>
      <c r="J157" s="99">
        <f>+'[1]Dự thầu'!$G$276</f>
        <v>1631803</v>
      </c>
      <c r="K157" s="98">
        <f t="shared" si="18"/>
        <v>6347714</v>
      </c>
      <c r="L157" s="98">
        <f t="shared" si="19"/>
        <v>6347714</v>
      </c>
      <c r="M157" s="98">
        <f t="shared" si="20"/>
        <v>0</v>
      </c>
      <c r="N157" s="100"/>
    </row>
    <row r="158" spans="1:14" ht="31.5" customHeight="1" x14ac:dyDescent="0.25">
      <c r="A158" s="52" t="str">
        <f t="shared" si="21"/>
        <v>TL</v>
      </c>
      <c r="B158" s="32" t="s">
        <v>268</v>
      </c>
      <c r="C158" s="33">
        <v>153</v>
      </c>
      <c r="D158" s="39" t="s">
        <v>244</v>
      </c>
      <c r="E158" s="33" t="s">
        <v>10</v>
      </c>
      <c r="F158" s="33">
        <v>16.2</v>
      </c>
      <c r="G158" s="33">
        <f t="shared" si="22"/>
        <v>16.2</v>
      </c>
      <c r="H158" s="33"/>
      <c r="I158" s="34" t="s">
        <v>13</v>
      </c>
      <c r="J158" s="99">
        <f>+'[1]Dự thầu'!$G$277</f>
        <v>87361</v>
      </c>
      <c r="K158" s="98">
        <f t="shared" si="18"/>
        <v>1415248</v>
      </c>
      <c r="L158" s="98">
        <f t="shared" si="19"/>
        <v>1415248</v>
      </c>
      <c r="M158" s="98">
        <f t="shared" si="20"/>
        <v>0</v>
      </c>
      <c r="N158" s="100"/>
    </row>
    <row r="159" spans="1:14" ht="31.5" customHeight="1" x14ac:dyDescent="0.25">
      <c r="A159" s="52" t="str">
        <f t="shared" si="21"/>
        <v>TL</v>
      </c>
      <c r="B159" s="32" t="s">
        <v>269</v>
      </c>
      <c r="C159" s="33">
        <v>154</v>
      </c>
      <c r="D159" s="39" t="s">
        <v>246</v>
      </c>
      <c r="E159" s="33" t="s">
        <v>10</v>
      </c>
      <c r="F159" s="33">
        <v>0.04</v>
      </c>
      <c r="G159" s="33">
        <f t="shared" si="22"/>
        <v>0.04</v>
      </c>
      <c r="H159" s="33"/>
      <c r="I159" s="34" t="s">
        <v>90</v>
      </c>
      <c r="J159" s="99">
        <f>+'[1]Dự thầu'!$G$278</f>
        <v>27096238</v>
      </c>
      <c r="K159" s="98">
        <f t="shared" si="18"/>
        <v>1083850</v>
      </c>
      <c r="L159" s="98">
        <f t="shared" si="19"/>
        <v>1083850</v>
      </c>
      <c r="M159" s="98">
        <f t="shared" si="20"/>
        <v>0</v>
      </c>
      <c r="N159" s="100"/>
    </row>
    <row r="160" spans="1:14" ht="31.5" customHeight="1" x14ac:dyDescent="0.25">
      <c r="A160" s="52" t="str">
        <f t="shared" si="21"/>
        <v>TL</v>
      </c>
      <c r="B160" s="32" t="s">
        <v>270</v>
      </c>
      <c r="C160" s="33">
        <v>155</v>
      </c>
      <c r="D160" s="39" t="s">
        <v>246</v>
      </c>
      <c r="E160" s="33" t="s">
        <v>10</v>
      </c>
      <c r="F160" s="33">
        <v>0.62</v>
      </c>
      <c r="G160" s="33">
        <f t="shared" si="22"/>
        <v>0.62</v>
      </c>
      <c r="H160" s="33"/>
      <c r="I160" s="34" t="s">
        <v>90</v>
      </c>
      <c r="J160" s="99">
        <f>+'[1]Dự thầu'!$G$279</f>
        <v>27096238</v>
      </c>
      <c r="K160" s="98">
        <f t="shared" si="18"/>
        <v>16799668</v>
      </c>
      <c r="L160" s="98">
        <f t="shared" si="19"/>
        <v>16799668</v>
      </c>
      <c r="M160" s="98">
        <f t="shared" si="20"/>
        <v>0</v>
      </c>
      <c r="N160" s="100"/>
    </row>
    <row r="161" spans="1:14" ht="47.25" customHeight="1" x14ac:dyDescent="0.25">
      <c r="A161" s="52" t="str">
        <f t="shared" si="21"/>
        <v>TL</v>
      </c>
      <c r="B161" s="32" t="s">
        <v>271</v>
      </c>
      <c r="C161" s="33">
        <v>156</v>
      </c>
      <c r="D161" s="39" t="s">
        <v>272</v>
      </c>
      <c r="E161" s="33" t="s">
        <v>10</v>
      </c>
      <c r="F161" s="33">
        <v>9.73</v>
      </c>
      <c r="G161" s="33">
        <f t="shared" si="22"/>
        <v>9.73</v>
      </c>
      <c r="H161" s="33"/>
      <c r="I161" s="34" t="s">
        <v>90</v>
      </c>
      <c r="J161" s="99">
        <f>+'[1]Dự thầu'!$G$280</f>
        <v>51234</v>
      </c>
      <c r="K161" s="98">
        <f t="shared" ref="K161:K192" si="23">+ROUND(J161*F161,0)</f>
        <v>498507</v>
      </c>
      <c r="L161" s="98">
        <f t="shared" ref="L161:L192" si="24">+ROUND(G161*J161,0)</f>
        <v>498507</v>
      </c>
      <c r="M161" s="98">
        <f t="shared" ref="M161:M192" si="25">+ROUND(H161*J161,0)</f>
        <v>0</v>
      </c>
      <c r="N161" s="100"/>
    </row>
    <row r="162" spans="1:14" ht="47.25" customHeight="1" x14ac:dyDescent="0.25">
      <c r="A162" s="52" t="str">
        <f t="shared" si="21"/>
        <v>TL</v>
      </c>
      <c r="B162" s="32" t="s">
        <v>273</v>
      </c>
      <c r="C162" s="33">
        <v>157</v>
      </c>
      <c r="D162" s="39" t="s">
        <v>252</v>
      </c>
      <c r="E162" s="33" t="s">
        <v>10</v>
      </c>
      <c r="F162" s="33">
        <v>0.97</v>
      </c>
      <c r="G162" s="33">
        <f t="shared" si="22"/>
        <v>0.97</v>
      </c>
      <c r="H162" s="33"/>
      <c r="I162" s="34" t="s">
        <v>274</v>
      </c>
      <c r="J162" s="99">
        <f>+'[1]Dự thầu'!$G$281</f>
        <v>32162</v>
      </c>
      <c r="K162" s="98">
        <f t="shared" si="23"/>
        <v>31197</v>
      </c>
      <c r="L162" s="98">
        <f t="shared" si="24"/>
        <v>31197</v>
      </c>
      <c r="M162" s="98">
        <f t="shared" si="25"/>
        <v>0</v>
      </c>
      <c r="N162" s="100"/>
    </row>
    <row r="163" spans="1:14" ht="31.5" customHeight="1" x14ac:dyDescent="0.25">
      <c r="A163" s="52" t="str">
        <f t="shared" si="21"/>
        <v>TL</v>
      </c>
      <c r="B163" s="32" t="s">
        <v>275</v>
      </c>
      <c r="C163" s="33">
        <v>158</v>
      </c>
      <c r="D163" s="39" t="s">
        <v>257</v>
      </c>
      <c r="E163" s="33" t="s">
        <v>10</v>
      </c>
      <c r="F163" s="33">
        <v>40</v>
      </c>
      <c r="G163" s="33">
        <f t="shared" si="22"/>
        <v>40</v>
      </c>
      <c r="H163" s="33"/>
      <c r="I163" s="34" t="s">
        <v>258</v>
      </c>
      <c r="J163" s="99">
        <f>+'[1]Dự thầu'!$G$282</f>
        <v>294187</v>
      </c>
      <c r="K163" s="98">
        <f t="shared" si="23"/>
        <v>11767480</v>
      </c>
      <c r="L163" s="98">
        <f t="shared" si="24"/>
        <v>11767480</v>
      </c>
      <c r="M163" s="98">
        <f t="shared" si="25"/>
        <v>0</v>
      </c>
      <c r="N163" s="100"/>
    </row>
    <row r="164" spans="1:14" ht="47.25" customHeight="1" x14ac:dyDescent="0.25">
      <c r="A164" s="52" t="str">
        <f t="shared" si="21"/>
        <v>TL</v>
      </c>
      <c r="B164" s="32" t="s">
        <v>276</v>
      </c>
      <c r="C164" s="33">
        <v>159</v>
      </c>
      <c r="D164" s="39" t="s">
        <v>120</v>
      </c>
      <c r="E164" s="33" t="s">
        <v>10</v>
      </c>
      <c r="F164" s="33">
        <v>0.1</v>
      </c>
      <c r="G164" s="33">
        <f t="shared" si="22"/>
        <v>0.1</v>
      </c>
      <c r="H164" s="33"/>
      <c r="I164" s="34" t="s">
        <v>16</v>
      </c>
      <c r="J164" s="99">
        <f>+'[1]Dự thầu'!$G$283</f>
        <v>1191268</v>
      </c>
      <c r="K164" s="98">
        <f t="shared" si="23"/>
        <v>119127</v>
      </c>
      <c r="L164" s="98">
        <f t="shared" si="24"/>
        <v>119127</v>
      </c>
      <c r="M164" s="98">
        <f t="shared" si="25"/>
        <v>0</v>
      </c>
      <c r="N164" s="100"/>
    </row>
    <row r="165" spans="1:14" ht="15.75" customHeight="1" x14ac:dyDescent="0.25">
      <c r="A165" s="52" t="str">
        <f t="shared" si="21"/>
        <v>TL</v>
      </c>
      <c r="B165" s="32" t="s">
        <v>277</v>
      </c>
      <c r="C165" s="33">
        <v>160</v>
      </c>
      <c r="D165" s="39" t="s">
        <v>278</v>
      </c>
      <c r="E165" s="33" t="s">
        <v>10</v>
      </c>
      <c r="F165" s="33">
        <v>0.82</v>
      </c>
      <c r="G165" s="33">
        <f t="shared" si="22"/>
        <v>0.82</v>
      </c>
      <c r="H165" s="33"/>
      <c r="I165" s="34" t="s">
        <v>16</v>
      </c>
      <c r="J165" s="99">
        <f>+'[1]Dự thầu'!$G$284</f>
        <v>1533135</v>
      </c>
      <c r="K165" s="98">
        <f t="shared" si="23"/>
        <v>1257171</v>
      </c>
      <c r="L165" s="98">
        <f t="shared" si="24"/>
        <v>1257171</v>
      </c>
      <c r="M165" s="98">
        <f t="shared" si="25"/>
        <v>0</v>
      </c>
      <c r="N165" s="100"/>
    </row>
    <row r="166" spans="1:14" ht="31.5" customHeight="1" x14ac:dyDescent="0.25">
      <c r="A166" s="52" t="str">
        <f t="shared" si="21"/>
        <v>TL</v>
      </c>
      <c r="B166" s="32" t="s">
        <v>279</v>
      </c>
      <c r="C166" s="33">
        <v>161</v>
      </c>
      <c r="D166" s="39" t="s">
        <v>244</v>
      </c>
      <c r="E166" s="33" t="s">
        <v>10</v>
      </c>
      <c r="F166" s="33">
        <v>3.52</v>
      </c>
      <c r="G166" s="33">
        <f t="shared" si="22"/>
        <v>3.52</v>
      </c>
      <c r="H166" s="33"/>
      <c r="I166" s="34" t="s">
        <v>13</v>
      </c>
      <c r="J166" s="99">
        <f>+'[1]Dự thầu'!$G$285</f>
        <v>87361</v>
      </c>
      <c r="K166" s="98">
        <f t="shared" si="23"/>
        <v>307511</v>
      </c>
      <c r="L166" s="98">
        <f t="shared" si="24"/>
        <v>307511</v>
      </c>
      <c r="M166" s="98">
        <f t="shared" si="25"/>
        <v>0</v>
      </c>
      <c r="N166" s="100"/>
    </row>
    <row r="167" spans="1:14" ht="15.75" customHeight="1" x14ac:dyDescent="0.25">
      <c r="A167" s="52" t="str">
        <f t="shared" si="21"/>
        <v>TL</v>
      </c>
      <c r="B167" s="32" t="s">
        <v>280</v>
      </c>
      <c r="C167" s="33">
        <v>162</v>
      </c>
      <c r="D167" s="39" t="s">
        <v>281</v>
      </c>
      <c r="E167" s="33" t="s">
        <v>10</v>
      </c>
      <c r="F167" s="33">
        <v>20</v>
      </c>
      <c r="G167" s="33">
        <f t="shared" si="22"/>
        <v>20</v>
      </c>
      <c r="H167" s="33"/>
      <c r="I167" s="34" t="s">
        <v>75</v>
      </c>
      <c r="J167" s="99">
        <f>+'[1]Dự thầu'!$G$286</f>
        <v>46054</v>
      </c>
      <c r="K167" s="98">
        <f t="shared" si="23"/>
        <v>921080</v>
      </c>
      <c r="L167" s="98">
        <f t="shared" si="24"/>
        <v>921080</v>
      </c>
      <c r="M167" s="98">
        <f t="shared" si="25"/>
        <v>0</v>
      </c>
      <c r="N167" s="100"/>
    </row>
    <row r="168" spans="1:14" ht="47.25" customHeight="1" x14ac:dyDescent="0.25">
      <c r="A168" s="52" t="str">
        <f t="shared" si="21"/>
        <v>TL</v>
      </c>
      <c r="B168" s="32" t="s">
        <v>282</v>
      </c>
      <c r="C168" s="33">
        <v>163</v>
      </c>
      <c r="D168" s="39" t="s">
        <v>272</v>
      </c>
      <c r="E168" s="33" t="s">
        <v>10</v>
      </c>
      <c r="F168" s="33">
        <v>2.0499999999999998</v>
      </c>
      <c r="G168" s="33">
        <f t="shared" si="22"/>
        <v>2.0499999999999998</v>
      </c>
      <c r="H168" s="33"/>
      <c r="I168" s="34" t="s">
        <v>90</v>
      </c>
      <c r="J168" s="99">
        <f>+'[1]Dự thầu'!$G$287</f>
        <v>51234</v>
      </c>
      <c r="K168" s="98">
        <f t="shared" si="23"/>
        <v>105030</v>
      </c>
      <c r="L168" s="98">
        <f t="shared" si="24"/>
        <v>105030</v>
      </c>
      <c r="M168" s="98">
        <f t="shared" si="25"/>
        <v>0</v>
      </c>
      <c r="N168" s="100"/>
    </row>
    <row r="169" spans="1:14" ht="31.5" customHeight="1" x14ac:dyDescent="0.25">
      <c r="A169" s="52" t="str">
        <f t="shared" si="21"/>
        <v>TL</v>
      </c>
      <c r="B169" s="32" t="s">
        <v>283</v>
      </c>
      <c r="C169" s="33">
        <v>164</v>
      </c>
      <c r="D169" s="39" t="s">
        <v>284</v>
      </c>
      <c r="E169" s="33" t="s">
        <v>10</v>
      </c>
      <c r="F169" s="33">
        <v>0.21</v>
      </c>
      <c r="G169" s="33">
        <f t="shared" si="22"/>
        <v>0.21</v>
      </c>
      <c r="H169" s="33"/>
      <c r="I169" s="34" t="s">
        <v>274</v>
      </c>
      <c r="J169" s="99">
        <f>+'[1]Dự thầu'!$G$288</f>
        <v>32162</v>
      </c>
      <c r="K169" s="98">
        <f t="shared" si="23"/>
        <v>6754</v>
      </c>
      <c r="L169" s="98">
        <f t="shared" si="24"/>
        <v>6754</v>
      </c>
      <c r="M169" s="98">
        <f t="shared" si="25"/>
        <v>0</v>
      </c>
      <c r="N169" s="100"/>
    </row>
    <row r="170" spans="1:14" ht="15.75" customHeight="1" x14ac:dyDescent="0.25">
      <c r="A170" s="52" t="str">
        <f t="shared" si="21"/>
        <v>TL</v>
      </c>
      <c r="B170" s="32" t="s">
        <v>285</v>
      </c>
      <c r="C170" s="33">
        <v>165</v>
      </c>
      <c r="D170" s="39" t="s">
        <v>286</v>
      </c>
      <c r="E170" s="33" t="s">
        <v>10</v>
      </c>
      <c r="F170" s="33">
        <v>0.06</v>
      </c>
      <c r="G170" s="33">
        <f t="shared" si="22"/>
        <v>0.06</v>
      </c>
      <c r="H170" s="33"/>
      <c r="I170" s="34" t="s">
        <v>90</v>
      </c>
      <c r="J170" s="99">
        <f>+'[1]Dự thầu'!$G$292</f>
        <v>27096238</v>
      </c>
      <c r="K170" s="98">
        <f t="shared" si="23"/>
        <v>1625774</v>
      </c>
      <c r="L170" s="98">
        <f t="shared" si="24"/>
        <v>1625774</v>
      </c>
      <c r="M170" s="98">
        <f t="shared" si="25"/>
        <v>0</v>
      </c>
      <c r="N170" s="100"/>
    </row>
    <row r="171" spans="1:14" ht="15.75" customHeight="1" x14ac:dyDescent="0.25">
      <c r="A171" s="52" t="str">
        <f t="shared" si="21"/>
        <v>TL</v>
      </c>
      <c r="B171" s="32" t="s">
        <v>287</v>
      </c>
      <c r="C171" s="33">
        <v>166</v>
      </c>
      <c r="D171" s="39" t="s">
        <v>242</v>
      </c>
      <c r="E171" s="33" t="s">
        <v>10</v>
      </c>
      <c r="F171" s="33">
        <v>1.88</v>
      </c>
      <c r="G171" s="33">
        <f t="shared" si="22"/>
        <v>1.88</v>
      </c>
      <c r="H171" s="33"/>
      <c r="I171" s="34" t="s">
        <v>16</v>
      </c>
      <c r="J171" s="99">
        <f>+'[1]Dự thầu'!$G$290</f>
        <v>1631803</v>
      </c>
      <c r="K171" s="98">
        <f t="shared" si="23"/>
        <v>3067790</v>
      </c>
      <c r="L171" s="98">
        <f t="shared" si="24"/>
        <v>3067790</v>
      </c>
      <c r="M171" s="98">
        <f t="shared" si="25"/>
        <v>0</v>
      </c>
      <c r="N171" s="100"/>
    </row>
    <row r="172" spans="1:14" ht="31.5" customHeight="1" x14ac:dyDescent="0.25">
      <c r="A172" s="52" t="str">
        <f t="shared" si="21"/>
        <v>TL</v>
      </c>
      <c r="B172" s="32" t="s">
        <v>288</v>
      </c>
      <c r="C172" s="33">
        <v>167</v>
      </c>
      <c r="D172" s="39" t="s">
        <v>244</v>
      </c>
      <c r="E172" s="33" t="s">
        <v>10</v>
      </c>
      <c r="F172" s="33">
        <v>37.42</v>
      </c>
      <c r="G172" s="33">
        <f t="shared" si="22"/>
        <v>37.42</v>
      </c>
      <c r="H172" s="33"/>
      <c r="I172" s="34" t="s">
        <v>13</v>
      </c>
      <c r="J172" s="99">
        <f>+'[1]Dự thầu'!$G$291</f>
        <v>87361</v>
      </c>
      <c r="K172" s="98">
        <f t="shared" si="23"/>
        <v>3269049</v>
      </c>
      <c r="L172" s="98">
        <f t="shared" si="24"/>
        <v>3269049</v>
      </c>
      <c r="M172" s="98">
        <f t="shared" si="25"/>
        <v>0</v>
      </c>
      <c r="N172" s="100"/>
    </row>
    <row r="173" spans="1:14" ht="31.5" customHeight="1" x14ac:dyDescent="0.25">
      <c r="A173" s="52" t="str">
        <f t="shared" si="21"/>
        <v>TL</v>
      </c>
      <c r="B173" s="32" t="s">
        <v>289</v>
      </c>
      <c r="C173" s="33">
        <v>168</v>
      </c>
      <c r="D173" s="39" t="s">
        <v>246</v>
      </c>
      <c r="E173" s="33" t="s">
        <v>10</v>
      </c>
      <c r="F173" s="33">
        <v>0.05</v>
      </c>
      <c r="G173" s="33">
        <f t="shared" si="22"/>
        <v>0.05</v>
      </c>
      <c r="H173" s="33"/>
      <c r="I173" s="34" t="s">
        <v>90</v>
      </c>
      <c r="J173" s="99">
        <f>+'[1]Dự thầu'!$G$292</f>
        <v>27096238</v>
      </c>
      <c r="K173" s="98">
        <f t="shared" si="23"/>
        <v>1354812</v>
      </c>
      <c r="L173" s="98">
        <f t="shared" si="24"/>
        <v>1354812</v>
      </c>
      <c r="M173" s="98">
        <f t="shared" si="25"/>
        <v>0</v>
      </c>
      <c r="N173" s="100"/>
    </row>
    <row r="174" spans="1:14" ht="31.5" customHeight="1" x14ac:dyDescent="0.25">
      <c r="A174" s="52" t="str">
        <f t="shared" si="21"/>
        <v>TL</v>
      </c>
      <c r="B174" s="32" t="s">
        <v>290</v>
      </c>
      <c r="C174" s="33">
        <v>169</v>
      </c>
      <c r="D174" s="39" t="s">
        <v>246</v>
      </c>
      <c r="E174" s="33" t="s">
        <v>10</v>
      </c>
      <c r="F174" s="33">
        <v>0.16</v>
      </c>
      <c r="G174" s="33">
        <f t="shared" si="22"/>
        <v>0.16</v>
      </c>
      <c r="H174" s="33"/>
      <c r="I174" s="34" t="s">
        <v>90</v>
      </c>
      <c r="J174" s="99">
        <f>+'[1]Dự thầu'!$G$293</f>
        <v>27096238</v>
      </c>
      <c r="K174" s="98">
        <f t="shared" si="23"/>
        <v>4335398</v>
      </c>
      <c r="L174" s="98">
        <f t="shared" si="24"/>
        <v>4335398</v>
      </c>
      <c r="M174" s="98">
        <f t="shared" si="25"/>
        <v>0</v>
      </c>
      <c r="N174" s="100"/>
    </row>
    <row r="175" spans="1:14" ht="47.25" customHeight="1" x14ac:dyDescent="0.25">
      <c r="A175" s="52" t="str">
        <f t="shared" si="21"/>
        <v>TL</v>
      </c>
      <c r="B175" s="32" t="s">
        <v>291</v>
      </c>
      <c r="C175" s="33">
        <v>170</v>
      </c>
      <c r="D175" s="39" t="s">
        <v>272</v>
      </c>
      <c r="E175" s="33" t="s">
        <v>10</v>
      </c>
      <c r="F175" s="33">
        <v>4.7</v>
      </c>
      <c r="G175" s="33">
        <f t="shared" si="22"/>
        <v>4.7</v>
      </c>
      <c r="H175" s="33"/>
      <c r="I175" s="34" t="s">
        <v>90</v>
      </c>
      <c r="J175" s="99">
        <f>+'[1]Dự thầu'!$G$294</f>
        <v>51234</v>
      </c>
      <c r="K175" s="98">
        <f t="shared" si="23"/>
        <v>240800</v>
      </c>
      <c r="L175" s="98">
        <f t="shared" si="24"/>
        <v>240800</v>
      </c>
      <c r="M175" s="98">
        <f t="shared" si="25"/>
        <v>0</v>
      </c>
      <c r="N175" s="100"/>
    </row>
    <row r="176" spans="1:14" ht="47.25" customHeight="1" x14ac:dyDescent="0.25">
      <c r="A176" s="52" t="str">
        <f t="shared" si="21"/>
        <v>TL</v>
      </c>
      <c r="B176" s="32" t="s">
        <v>292</v>
      </c>
      <c r="C176" s="33">
        <v>171</v>
      </c>
      <c r="D176" s="39" t="s">
        <v>293</v>
      </c>
      <c r="E176" s="33" t="s">
        <v>10</v>
      </c>
      <c r="F176" s="33">
        <v>4.7</v>
      </c>
      <c r="G176" s="33">
        <f t="shared" si="22"/>
        <v>4.7</v>
      </c>
      <c r="H176" s="33"/>
      <c r="I176" s="34" t="s">
        <v>90</v>
      </c>
      <c r="J176" s="99">
        <f>+'[1]Dự thầu'!$G$295</f>
        <v>33301</v>
      </c>
      <c r="K176" s="98">
        <f t="shared" si="23"/>
        <v>156515</v>
      </c>
      <c r="L176" s="98">
        <f t="shared" si="24"/>
        <v>156515</v>
      </c>
      <c r="M176" s="98">
        <f t="shared" si="25"/>
        <v>0</v>
      </c>
      <c r="N176" s="100"/>
    </row>
    <row r="177" spans="1:14" ht="47.25" customHeight="1" x14ac:dyDescent="0.25">
      <c r="A177" s="52" t="str">
        <f t="shared" si="21"/>
        <v>TL</v>
      </c>
      <c r="B177" s="32" t="s">
        <v>294</v>
      </c>
      <c r="C177" s="33">
        <v>172</v>
      </c>
      <c r="D177" s="39" t="s">
        <v>252</v>
      </c>
      <c r="E177" s="33" t="s">
        <v>10</v>
      </c>
      <c r="F177" s="33">
        <v>0.47</v>
      </c>
      <c r="G177" s="33">
        <f t="shared" si="22"/>
        <v>0.47</v>
      </c>
      <c r="H177" s="33"/>
      <c r="I177" s="34" t="s">
        <v>274</v>
      </c>
      <c r="J177" s="99">
        <f>+'[1]Dự thầu'!$G$296</f>
        <v>32162</v>
      </c>
      <c r="K177" s="98">
        <f t="shared" si="23"/>
        <v>15116</v>
      </c>
      <c r="L177" s="98">
        <f t="shared" si="24"/>
        <v>15116</v>
      </c>
      <c r="M177" s="98">
        <f t="shared" si="25"/>
        <v>0</v>
      </c>
      <c r="N177" s="100"/>
    </row>
    <row r="178" spans="1:14" ht="15.75" customHeight="1" x14ac:dyDescent="0.25">
      <c r="A178" s="52" t="str">
        <f t="shared" si="21"/>
        <v>TL</v>
      </c>
      <c r="B178" s="32" t="s">
        <v>295</v>
      </c>
      <c r="C178" s="33">
        <v>173</v>
      </c>
      <c r="D178" s="39" t="s">
        <v>296</v>
      </c>
      <c r="E178" s="33" t="s">
        <v>10</v>
      </c>
      <c r="F178" s="33">
        <v>20</v>
      </c>
      <c r="G178" s="33">
        <f t="shared" si="22"/>
        <v>20</v>
      </c>
      <c r="H178" s="33"/>
      <c r="I178" s="34" t="s">
        <v>297</v>
      </c>
      <c r="J178" s="99">
        <f>+'[1]Dự thầu'!$G$297</f>
        <v>36395</v>
      </c>
      <c r="K178" s="98">
        <f t="shared" si="23"/>
        <v>727900</v>
      </c>
      <c r="L178" s="98">
        <f t="shared" si="24"/>
        <v>727900</v>
      </c>
      <c r="M178" s="98">
        <f t="shared" si="25"/>
        <v>0</v>
      </c>
      <c r="N178" s="100"/>
    </row>
    <row r="179" spans="1:14" ht="15.75" customHeight="1" x14ac:dyDescent="0.25">
      <c r="A179" s="52" t="str">
        <f t="shared" si="21"/>
        <v>TL</v>
      </c>
      <c r="B179" s="32" t="s">
        <v>298</v>
      </c>
      <c r="C179" s="33">
        <v>174</v>
      </c>
      <c r="D179" s="39" t="s">
        <v>299</v>
      </c>
      <c r="E179" s="33" t="s">
        <v>10</v>
      </c>
      <c r="F179" s="33">
        <v>20</v>
      </c>
      <c r="G179" s="33">
        <f t="shared" si="22"/>
        <v>20</v>
      </c>
      <c r="H179" s="33"/>
      <c r="I179" s="34" t="s">
        <v>258</v>
      </c>
      <c r="J179" s="99">
        <f>+'[1]Dự thầu'!$G$298</f>
        <v>787114</v>
      </c>
      <c r="K179" s="98">
        <f t="shared" si="23"/>
        <v>15742280</v>
      </c>
      <c r="L179" s="98">
        <f t="shared" si="24"/>
        <v>15742280</v>
      </c>
      <c r="M179" s="98">
        <f t="shared" si="25"/>
        <v>0</v>
      </c>
      <c r="N179" s="100"/>
    </row>
    <row r="180" spans="1:14" ht="15.75" customHeight="1" x14ac:dyDescent="0.25">
      <c r="A180" s="52" t="str">
        <f t="shared" si="21"/>
        <v>TL</v>
      </c>
      <c r="B180" s="32" t="s">
        <v>300</v>
      </c>
      <c r="C180" s="33">
        <v>175</v>
      </c>
      <c r="D180" s="39" t="s">
        <v>301</v>
      </c>
      <c r="E180" s="33" t="s">
        <v>10</v>
      </c>
      <c r="F180" s="33">
        <v>8</v>
      </c>
      <c r="G180" s="33">
        <f t="shared" si="22"/>
        <v>8</v>
      </c>
      <c r="H180" s="33"/>
      <c r="I180" s="34" t="s">
        <v>16</v>
      </c>
      <c r="J180" s="99">
        <f>+'[1]Dự thầu'!$G$299</f>
        <v>1551168</v>
      </c>
      <c r="K180" s="98">
        <f t="shared" si="23"/>
        <v>12409344</v>
      </c>
      <c r="L180" s="98">
        <f t="shared" si="24"/>
        <v>12409344</v>
      </c>
      <c r="M180" s="98">
        <f t="shared" si="25"/>
        <v>0</v>
      </c>
      <c r="N180" s="100"/>
    </row>
    <row r="181" spans="1:14" ht="47.25" customHeight="1" x14ac:dyDescent="0.25">
      <c r="A181" s="52" t="str">
        <f t="shared" si="21"/>
        <v>TL</v>
      </c>
      <c r="B181" s="32" t="s">
        <v>302</v>
      </c>
      <c r="C181" s="33">
        <v>176</v>
      </c>
      <c r="D181" s="39" t="s">
        <v>120</v>
      </c>
      <c r="E181" s="33" t="s">
        <v>10</v>
      </c>
      <c r="F181" s="33">
        <v>47</v>
      </c>
      <c r="G181" s="33">
        <f t="shared" si="22"/>
        <v>47</v>
      </c>
      <c r="H181" s="33"/>
      <c r="I181" s="34" t="s">
        <v>16</v>
      </c>
      <c r="J181" s="99">
        <f>+'[1]Dự thầu'!$G$300</f>
        <v>1191268</v>
      </c>
      <c r="K181" s="98">
        <f t="shared" si="23"/>
        <v>55989596</v>
      </c>
      <c r="L181" s="98">
        <f t="shared" si="24"/>
        <v>55989596</v>
      </c>
      <c r="M181" s="98">
        <f t="shared" si="25"/>
        <v>0</v>
      </c>
      <c r="N181" s="100"/>
    </row>
    <row r="182" spans="1:14" ht="15.75" customHeight="1" x14ac:dyDescent="0.25">
      <c r="A182" s="52" t="str">
        <f t="shared" si="21"/>
        <v>TL</v>
      </c>
      <c r="B182" s="32" t="s">
        <v>303</v>
      </c>
      <c r="C182" s="33">
        <v>177</v>
      </c>
      <c r="D182" s="39" t="s">
        <v>125</v>
      </c>
      <c r="E182" s="33" t="s">
        <v>10</v>
      </c>
      <c r="F182" s="33">
        <v>4.84</v>
      </c>
      <c r="G182" s="33">
        <f t="shared" si="22"/>
        <v>4.84</v>
      </c>
      <c r="H182" s="33"/>
      <c r="I182" s="34" t="s">
        <v>126</v>
      </c>
      <c r="J182" s="99">
        <f>+'[1]Dự thầu'!$G$301</f>
        <v>10479792</v>
      </c>
      <c r="K182" s="98">
        <f t="shared" si="23"/>
        <v>50722193</v>
      </c>
      <c r="L182" s="98">
        <f t="shared" si="24"/>
        <v>50722193</v>
      </c>
      <c r="M182" s="98">
        <f t="shared" si="25"/>
        <v>0</v>
      </c>
      <c r="N182" s="100"/>
    </row>
    <row r="183" spans="1:14" ht="15.75" customHeight="1" x14ac:dyDescent="0.25">
      <c r="A183" s="52" t="str">
        <f t="shared" si="21"/>
        <v>TL</v>
      </c>
      <c r="B183" s="32" t="s">
        <v>304</v>
      </c>
      <c r="C183" s="33">
        <v>178</v>
      </c>
      <c r="D183" s="39" t="s">
        <v>305</v>
      </c>
      <c r="E183" s="33" t="s">
        <v>10</v>
      </c>
      <c r="F183" s="33">
        <v>291</v>
      </c>
      <c r="G183" s="33">
        <f t="shared" si="22"/>
        <v>291</v>
      </c>
      <c r="H183" s="33"/>
      <c r="I183" s="34" t="s">
        <v>13</v>
      </c>
      <c r="J183" s="99">
        <f>+'[1]Dự thầu'!$G$302</f>
        <v>42922</v>
      </c>
      <c r="K183" s="98">
        <f t="shared" si="23"/>
        <v>12490302</v>
      </c>
      <c r="L183" s="98">
        <f t="shared" si="24"/>
        <v>12490302</v>
      </c>
      <c r="M183" s="98">
        <f t="shared" si="25"/>
        <v>0</v>
      </c>
      <c r="N183" s="100"/>
    </row>
    <row r="184" spans="1:14" ht="47.25" customHeight="1" x14ac:dyDescent="0.25">
      <c r="A184" s="52" t="str">
        <f t="shared" si="21"/>
        <v>TL</v>
      </c>
      <c r="B184" s="32" t="s">
        <v>306</v>
      </c>
      <c r="C184" s="33">
        <v>179</v>
      </c>
      <c r="D184" s="39" t="s">
        <v>272</v>
      </c>
      <c r="E184" s="33" t="s">
        <v>10</v>
      </c>
      <c r="F184" s="33">
        <v>20</v>
      </c>
      <c r="G184" s="33">
        <f t="shared" si="22"/>
        <v>20</v>
      </c>
      <c r="H184" s="33"/>
      <c r="I184" s="34" t="s">
        <v>90</v>
      </c>
      <c r="J184" s="99">
        <f>+'[1]Dự thầu'!$G$303</f>
        <v>51234</v>
      </c>
      <c r="K184" s="98">
        <f t="shared" si="23"/>
        <v>1024680</v>
      </c>
      <c r="L184" s="98">
        <f t="shared" si="24"/>
        <v>1024680</v>
      </c>
      <c r="M184" s="98">
        <f t="shared" si="25"/>
        <v>0</v>
      </c>
      <c r="N184" s="100"/>
    </row>
    <row r="185" spans="1:14" ht="47.25" customHeight="1" x14ac:dyDescent="0.25">
      <c r="A185" s="52" t="str">
        <f t="shared" si="21"/>
        <v>TL</v>
      </c>
      <c r="B185" s="32" t="s">
        <v>307</v>
      </c>
      <c r="C185" s="33">
        <v>180</v>
      </c>
      <c r="D185" s="39" t="s">
        <v>293</v>
      </c>
      <c r="E185" s="33" t="s">
        <v>10</v>
      </c>
      <c r="F185" s="33">
        <v>20</v>
      </c>
      <c r="G185" s="33">
        <f t="shared" si="22"/>
        <v>20</v>
      </c>
      <c r="H185" s="33"/>
      <c r="I185" s="34" t="s">
        <v>90</v>
      </c>
      <c r="J185" s="99">
        <f>+'[1]Dự thầu'!$G$304</f>
        <v>33301</v>
      </c>
      <c r="K185" s="98">
        <f t="shared" si="23"/>
        <v>666020</v>
      </c>
      <c r="L185" s="98">
        <f t="shared" si="24"/>
        <v>666020</v>
      </c>
      <c r="M185" s="98">
        <f t="shared" si="25"/>
        <v>0</v>
      </c>
      <c r="N185" s="100"/>
    </row>
    <row r="186" spans="1:14" ht="47.25" customHeight="1" x14ac:dyDescent="0.25">
      <c r="A186" s="52" t="str">
        <f t="shared" si="21"/>
        <v>TL</v>
      </c>
      <c r="B186" s="32" t="s">
        <v>308</v>
      </c>
      <c r="C186" s="33">
        <v>181</v>
      </c>
      <c r="D186" s="39" t="s">
        <v>252</v>
      </c>
      <c r="E186" s="33" t="s">
        <v>10</v>
      </c>
      <c r="F186" s="33">
        <v>2</v>
      </c>
      <c r="G186" s="33">
        <f t="shared" si="22"/>
        <v>2</v>
      </c>
      <c r="H186" s="33"/>
      <c r="I186" s="34" t="s">
        <v>253</v>
      </c>
      <c r="J186" s="99">
        <f>+'[1]Dự thầu'!$G$305</f>
        <v>32162</v>
      </c>
      <c r="K186" s="98">
        <f t="shared" si="23"/>
        <v>64324</v>
      </c>
      <c r="L186" s="98">
        <f t="shared" si="24"/>
        <v>64324</v>
      </c>
      <c r="M186" s="98">
        <f t="shared" si="25"/>
        <v>0</v>
      </c>
      <c r="N186" s="100"/>
    </row>
    <row r="187" spans="1:14" ht="31.5" customHeight="1" x14ac:dyDescent="0.25">
      <c r="A187" s="52" t="str">
        <f t="shared" si="21"/>
        <v>TL</v>
      </c>
      <c r="B187" s="32" t="s">
        <v>309</v>
      </c>
      <c r="C187" s="33">
        <v>182</v>
      </c>
      <c r="D187" s="39" t="s">
        <v>310</v>
      </c>
      <c r="E187" s="33" t="s">
        <v>10</v>
      </c>
      <c r="F187" s="98">
        <v>1118</v>
      </c>
      <c r="G187" s="98">
        <f t="shared" si="22"/>
        <v>1118</v>
      </c>
      <c r="H187" s="33"/>
      <c r="I187" s="34" t="s">
        <v>250</v>
      </c>
      <c r="J187" s="99">
        <f>+'[1]Dự thầu'!$G$306</f>
        <v>9700</v>
      </c>
      <c r="K187" s="98">
        <f t="shared" si="23"/>
        <v>10844600</v>
      </c>
      <c r="L187" s="98">
        <f t="shared" si="24"/>
        <v>10844600</v>
      </c>
      <c r="M187" s="98">
        <f t="shared" si="25"/>
        <v>0</v>
      </c>
      <c r="N187" s="100"/>
    </row>
    <row r="188" spans="1:14" ht="31.5" customHeight="1" x14ac:dyDescent="0.25">
      <c r="A188" s="52" t="str">
        <f t="shared" si="21"/>
        <v>TL</v>
      </c>
      <c r="B188" s="32" t="s">
        <v>311</v>
      </c>
      <c r="C188" s="33">
        <v>183</v>
      </c>
      <c r="D188" s="39" t="s">
        <v>312</v>
      </c>
      <c r="E188" s="33" t="s">
        <v>10</v>
      </c>
      <c r="F188" s="33">
        <v>10.8</v>
      </c>
      <c r="G188" s="33">
        <f t="shared" si="22"/>
        <v>10.8</v>
      </c>
      <c r="H188" s="33"/>
      <c r="I188" s="34" t="s">
        <v>16</v>
      </c>
      <c r="J188" s="99">
        <f>+'[1]Dự thầu'!$G$312</f>
        <v>1561916</v>
      </c>
      <c r="K188" s="98">
        <f t="shared" si="23"/>
        <v>16868693</v>
      </c>
      <c r="L188" s="98">
        <f t="shared" si="24"/>
        <v>16868693</v>
      </c>
      <c r="M188" s="98">
        <f t="shared" si="25"/>
        <v>0</v>
      </c>
      <c r="N188" s="100"/>
    </row>
    <row r="189" spans="1:14" ht="31.5" customHeight="1" x14ac:dyDescent="0.25">
      <c r="A189" s="52" t="str">
        <f t="shared" si="21"/>
        <v>TL</v>
      </c>
      <c r="B189" s="32" t="s">
        <v>313</v>
      </c>
      <c r="C189" s="33">
        <v>184</v>
      </c>
      <c r="D189" s="39" t="s">
        <v>240</v>
      </c>
      <c r="E189" s="33" t="s">
        <v>10</v>
      </c>
      <c r="F189" s="33">
        <v>8.1</v>
      </c>
      <c r="G189" s="33">
        <f t="shared" si="22"/>
        <v>8.1</v>
      </c>
      <c r="H189" s="33"/>
      <c r="I189" s="34" t="s">
        <v>16</v>
      </c>
      <c r="J189" s="99">
        <f>+'[1]Dự thầu'!$G$313</f>
        <v>842139</v>
      </c>
      <c r="K189" s="98">
        <f t="shared" si="23"/>
        <v>6821326</v>
      </c>
      <c r="L189" s="98">
        <f t="shared" si="24"/>
        <v>6821326</v>
      </c>
      <c r="M189" s="98">
        <f t="shared" si="25"/>
        <v>0</v>
      </c>
      <c r="N189" s="100"/>
    </row>
    <row r="190" spans="1:14" ht="31.5" customHeight="1" x14ac:dyDescent="0.25">
      <c r="A190" s="52" t="str">
        <f t="shared" si="21"/>
        <v>TL</v>
      </c>
      <c r="B190" s="32" t="s">
        <v>314</v>
      </c>
      <c r="C190" s="33">
        <v>185</v>
      </c>
      <c r="D190" s="39" t="s">
        <v>315</v>
      </c>
      <c r="E190" s="33" t="s">
        <v>10</v>
      </c>
      <c r="F190" s="33">
        <v>781.35</v>
      </c>
      <c r="G190" s="33">
        <f t="shared" si="22"/>
        <v>781.35</v>
      </c>
      <c r="H190" s="33"/>
      <c r="I190" s="34" t="s">
        <v>16</v>
      </c>
      <c r="J190" s="99">
        <f>+'[1]Dự thầu'!$G$314</f>
        <v>23993</v>
      </c>
      <c r="K190" s="98">
        <f t="shared" si="23"/>
        <v>18746931</v>
      </c>
      <c r="L190" s="98">
        <f t="shared" si="24"/>
        <v>18746931</v>
      </c>
      <c r="M190" s="98">
        <f t="shared" si="25"/>
        <v>0</v>
      </c>
      <c r="N190" s="100"/>
    </row>
    <row r="191" spans="1:14" ht="31.5" customHeight="1" x14ac:dyDescent="0.25">
      <c r="A191" s="52" t="str">
        <f t="shared" si="21"/>
        <v>TL</v>
      </c>
      <c r="B191" s="32" t="s">
        <v>316</v>
      </c>
      <c r="C191" s="33">
        <v>186</v>
      </c>
      <c r="D191" s="39" t="s">
        <v>317</v>
      </c>
      <c r="E191" s="33" t="s">
        <v>10</v>
      </c>
      <c r="F191" s="102">
        <v>7305.62</v>
      </c>
      <c r="G191" s="102">
        <f t="shared" si="22"/>
        <v>7305.62</v>
      </c>
      <c r="H191" s="33"/>
      <c r="I191" s="34" t="s">
        <v>16</v>
      </c>
      <c r="J191" s="99">
        <f>+'[1]Dự thầu'!$G$315</f>
        <v>32141</v>
      </c>
      <c r="K191" s="98">
        <f t="shared" si="23"/>
        <v>234809932</v>
      </c>
      <c r="L191" s="98">
        <f t="shared" si="24"/>
        <v>234809932</v>
      </c>
      <c r="M191" s="98">
        <f t="shared" si="25"/>
        <v>0</v>
      </c>
      <c r="N191" s="100"/>
    </row>
    <row r="192" spans="1:14" ht="15.75" customHeight="1" x14ac:dyDescent="0.25">
      <c r="A192" s="52" t="str">
        <f t="shared" si="21"/>
        <v>TL</v>
      </c>
      <c r="B192" s="32" t="s">
        <v>318</v>
      </c>
      <c r="C192" s="33">
        <v>187</v>
      </c>
      <c r="D192" s="39" t="s">
        <v>319</v>
      </c>
      <c r="E192" s="33" t="s">
        <v>10</v>
      </c>
      <c r="F192" s="33">
        <v>31.93</v>
      </c>
      <c r="G192" s="33">
        <f t="shared" si="22"/>
        <v>31.93</v>
      </c>
      <c r="H192" s="33"/>
      <c r="I192" s="34" t="s">
        <v>16</v>
      </c>
      <c r="J192" s="99">
        <f>+'[1]Dự thầu'!$G$317</f>
        <v>1561916</v>
      </c>
      <c r="K192" s="98">
        <f t="shared" si="23"/>
        <v>49871978</v>
      </c>
      <c r="L192" s="98">
        <f t="shared" si="24"/>
        <v>49871978</v>
      </c>
      <c r="M192" s="98">
        <f t="shared" si="25"/>
        <v>0</v>
      </c>
      <c r="N192" s="100"/>
    </row>
    <row r="193" spans="1:14" ht="15.75" customHeight="1" x14ac:dyDescent="0.25">
      <c r="A193" s="52" t="str">
        <f t="shared" si="21"/>
        <v>TL</v>
      </c>
      <c r="B193" s="32" t="s">
        <v>320</v>
      </c>
      <c r="C193" s="33">
        <v>188</v>
      </c>
      <c r="D193" s="39" t="s">
        <v>125</v>
      </c>
      <c r="E193" s="33" t="s">
        <v>10</v>
      </c>
      <c r="F193" s="33">
        <v>48.19</v>
      </c>
      <c r="G193" s="33">
        <f t="shared" si="22"/>
        <v>48.19</v>
      </c>
      <c r="H193" s="33"/>
      <c r="I193" s="34" t="s">
        <v>13</v>
      </c>
      <c r="J193" s="99">
        <f>+'[1]Dự thầu'!$G$319</f>
        <v>174514</v>
      </c>
      <c r="K193" s="98">
        <f t="shared" ref="K193:K224" si="26">+ROUND(J193*F193,0)</f>
        <v>8409830</v>
      </c>
      <c r="L193" s="98">
        <f t="shared" ref="L193:L224" si="27">+ROUND(G193*J193,0)</f>
        <v>8409830</v>
      </c>
      <c r="M193" s="98">
        <f t="shared" ref="M193:M224" si="28">+ROUND(H193*J193,0)</f>
        <v>0</v>
      </c>
      <c r="N193" s="100"/>
    </row>
    <row r="194" spans="1:14" ht="31.5" customHeight="1" x14ac:dyDescent="0.25">
      <c r="A194" s="52" t="str">
        <f t="shared" si="21"/>
        <v>TL</v>
      </c>
      <c r="B194" s="32" t="s">
        <v>321</v>
      </c>
      <c r="C194" s="33">
        <v>189</v>
      </c>
      <c r="D194" s="39" t="s">
        <v>240</v>
      </c>
      <c r="E194" s="33" t="s">
        <v>10</v>
      </c>
      <c r="F194" s="33">
        <v>241.22</v>
      </c>
      <c r="G194" s="33">
        <f t="shared" si="22"/>
        <v>241.22</v>
      </c>
      <c r="H194" s="33"/>
      <c r="I194" s="34" t="s">
        <v>16</v>
      </c>
      <c r="J194" s="99">
        <f>+'[1]Dự thầu'!$G$320</f>
        <v>842139</v>
      </c>
      <c r="K194" s="98">
        <f t="shared" si="26"/>
        <v>203140770</v>
      </c>
      <c r="L194" s="98">
        <f t="shared" si="27"/>
        <v>203140770</v>
      </c>
      <c r="M194" s="98">
        <f t="shared" si="28"/>
        <v>0</v>
      </c>
      <c r="N194" s="100"/>
    </row>
    <row r="195" spans="1:14" ht="15.75" customHeight="1" x14ac:dyDescent="0.25">
      <c r="A195" s="52" t="str">
        <f t="shared" si="21"/>
        <v>TL</v>
      </c>
      <c r="B195" s="32" t="s">
        <v>322</v>
      </c>
      <c r="C195" s="33">
        <v>190</v>
      </c>
      <c r="D195" s="39" t="s">
        <v>323</v>
      </c>
      <c r="E195" s="33" t="s">
        <v>10</v>
      </c>
      <c r="F195" s="33">
        <v>36.69</v>
      </c>
      <c r="G195" s="33">
        <f t="shared" si="22"/>
        <v>36.69</v>
      </c>
      <c r="H195" s="33"/>
      <c r="I195" s="34" t="s">
        <v>16</v>
      </c>
      <c r="J195" s="99">
        <f>+'[1]Dự thầu'!$G$321</f>
        <v>1833267</v>
      </c>
      <c r="K195" s="98">
        <f t="shared" si="26"/>
        <v>67262566</v>
      </c>
      <c r="L195" s="98">
        <f t="shared" si="27"/>
        <v>67262566</v>
      </c>
      <c r="M195" s="98">
        <f t="shared" si="28"/>
        <v>0</v>
      </c>
      <c r="N195" s="100"/>
    </row>
    <row r="196" spans="1:14" ht="31.5" customHeight="1" x14ac:dyDescent="0.25">
      <c r="A196" s="52" t="str">
        <f t="shared" si="21"/>
        <v>TL</v>
      </c>
      <c r="B196" s="32" t="s">
        <v>324</v>
      </c>
      <c r="C196" s="33">
        <v>191</v>
      </c>
      <c r="D196" s="39" t="s">
        <v>325</v>
      </c>
      <c r="E196" s="33" t="s">
        <v>10</v>
      </c>
      <c r="F196" s="33">
        <v>385.98</v>
      </c>
      <c r="G196" s="33">
        <f t="shared" si="22"/>
        <v>385.98</v>
      </c>
      <c r="H196" s="33"/>
      <c r="I196" s="34" t="s">
        <v>13</v>
      </c>
      <c r="J196" s="99">
        <f>+'[1]Dự thầu'!$G$322</f>
        <v>96659</v>
      </c>
      <c r="K196" s="98">
        <f t="shared" si="26"/>
        <v>37308441</v>
      </c>
      <c r="L196" s="98">
        <f t="shared" si="27"/>
        <v>37308441</v>
      </c>
      <c r="M196" s="98">
        <f t="shared" si="28"/>
        <v>0</v>
      </c>
      <c r="N196" s="100"/>
    </row>
    <row r="197" spans="1:14" ht="31.5" customHeight="1" x14ac:dyDescent="0.25">
      <c r="A197" s="52" t="str">
        <f t="shared" si="21"/>
        <v>TL</v>
      </c>
      <c r="B197" s="32" t="s">
        <v>326</v>
      </c>
      <c r="C197" s="33">
        <v>192</v>
      </c>
      <c r="D197" s="39" t="s">
        <v>327</v>
      </c>
      <c r="E197" s="33" t="s">
        <v>10</v>
      </c>
      <c r="F197" s="33">
        <v>490.8</v>
      </c>
      <c r="G197" s="33">
        <f t="shared" si="22"/>
        <v>490.8</v>
      </c>
      <c r="H197" s="33"/>
      <c r="I197" s="34" t="s">
        <v>16</v>
      </c>
      <c r="J197" s="99">
        <f>+'[1]Dự thầu'!$G$323</f>
        <v>1388494</v>
      </c>
      <c r="K197" s="98">
        <f t="shared" si="26"/>
        <v>681472855</v>
      </c>
      <c r="L197" s="98">
        <f t="shared" si="27"/>
        <v>681472855</v>
      </c>
      <c r="M197" s="98">
        <f t="shared" si="28"/>
        <v>0</v>
      </c>
      <c r="N197" s="100"/>
    </row>
    <row r="198" spans="1:14" ht="15.75" customHeight="1" x14ac:dyDescent="0.25">
      <c r="A198" s="52" t="str">
        <f t="shared" si="21"/>
        <v>TL</v>
      </c>
      <c r="B198" s="32" t="s">
        <v>328</v>
      </c>
      <c r="C198" s="33">
        <v>193</v>
      </c>
      <c r="D198" s="39" t="s">
        <v>329</v>
      </c>
      <c r="E198" s="33" t="s">
        <v>10</v>
      </c>
      <c r="F198" s="33">
        <v>0.52</v>
      </c>
      <c r="G198" s="33">
        <f t="shared" si="22"/>
        <v>0.52</v>
      </c>
      <c r="H198" s="33"/>
      <c r="I198" s="34" t="s">
        <v>16</v>
      </c>
      <c r="J198" s="99">
        <f>+'[1]Dự thầu'!$G$325</f>
        <v>2081456</v>
      </c>
      <c r="K198" s="98">
        <f t="shared" si="26"/>
        <v>1082357</v>
      </c>
      <c r="L198" s="98">
        <f t="shared" si="27"/>
        <v>1082357</v>
      </c>
      <c r="M198" s="98">
        <f t="shared" si="28"/>
        <v>0</v>
      </c>
      <c r="N198" s="100"/>
    </row>
    <row r="199" spans="1:14" ht="15.75" customHeight="1" x14ac:dyDescent="0.25">
      <c r="A199" s="52" t="str">
        <f t="shared" ref="A199:A262" si="29">A198</f>
        <v>TL</v>
      </c>
      <c r="B199" s="32" t="s">
        <v>330</v>
      </c>
      <c r="C199" s="33">
        <v>194</v>
      </c>
      <c r="D199" s="39" t="s">
        <v>125</v>
      </c>
      <c r="E199" s="33" t="s">
        <v>10</v>
      </c>
      <c r="F199" s="33">
        <v>4.6100000000000003</v>
      </c>
      <c r="G199" s="33">
        <f t="shared" ref="G199:G262" si="30">+F199</f>
        <v>4.6100000000000003</v>
      </c>
      <c r="H199" s="33"/>
      <c r="I199" s="34" t="s">
        <v>13</v>
      </c>
      <c r="J199" s="99">
        <f>+'[1]Dự thầu'!$G$326</f>
        <v>104798</v>
      </c>
      <c r="K199" s="98">
        <f t="shared" si="26"/>
        <v>483119</v>
      </c>
      <c r="L199" s="98">
        <f t="shared" si="27"/>
        <v>483119</v>
      </c>
      <c r="M199" s="98">
        <f t="shared" si="28"/>
        <v>0</v>
      </c>
      <c r="N199" s="100"/>
    </row>
    <row r="200" spans="1:14" ht="31.5" customHeight="1" x14ac:dyDescent="0.25">
      <c r="A200" s="52" t="str">
        <f t="shared" si="29"/>
        <v>TL</v>
      </c>
      <c r="B200" s="32" t="s">
        <v>331</v>
      </c>
      <c r="C200" s="33">
        <v>195</v>
      </c>
      <c r="D200" s="39" t="s">
        <v>332</v>
      </c>
      <c r="E200" s="33" t="s">
        <v>10</v>
      </c>
      <c r="F200" s="33">
        <v>0.06</v>
      </c>
      <c r="G200" s="33">
        <f t="shared" si="30"/>
        <v>0.06</v>
      </c>
      <c r="H200" s="33"/>
      <c r="I200" s="34" t="s">
        <v>90</v>
      </c>
      <c r="J200" s="99">
        <f>+'[1]Dự thầu'!$G$327</f>
        <v>26204757</v>
      </c>
      <c r="K200" s="98">
        <f t="shared" si="26"/>
        <v>1572285</v>
      </c>
      <c r="L200" s="98">
        <f t="shared" si="27"/>
        <v>1572285</v>
      </c>
      <c r="M200" s="98">
        <f t="shared" si="28"/>
        <v>0</v>
      </c>
      <c r="N200" s="100"/>
    </row>
    <row r="201" spans="1:14" ht="15.75" customHeight="1" x14ac:dyDescent="0.25">
      <c r="A201" s="52" t="str">
        <f t="shared" si="29"/>
        <v>TL</v>
      </c>
      <c r="B201" s="32" t="s">
        <v>333</v>
      </c>
      <c r="C201" s="33">
        <v>196</v>
      </c>
      <c r="D201" s="39" t="s">
        <v>334</v>
      </c>
      <c r="E201" s="33" t="s">
        <v>10</v>
      </c>
      <c r="F201" s="33">
        <v>0.56000000000000005</v>
      </c>
      <c r="G201" s="33">
        <f t="shared" si="30"/>
        <v>0.56000000000000005</v>
      </c>
      <c r="H201" s="33"/>
      <c r="I201" s="34" t="s">
        <v>16</v>
      </c>
      <c r="J201" s="99">
        <f>+'[1]Dự thầu'!$G$329</f>
        <v>1631803</v>
      </c>
      <c r="K201" s="98">
        <f t="shared" si="26"/>
        <v>913810</v>
      </c>
      <c r="L201" s="98">
        <f t="shared" si="27"/>
        <v>913810</v>
      </c>
      <c r="M201" s="98">
        <f t="shared" si="28"/>
        <v>0</v>
      </c>
      <c r="N201" s="100"/>
    </row>
    <row r="202" spans="1:14" ht="31.5" customHeight="1" x14ac:dyDescent="0.25">
      <c r="A202" s="52" t="str">
        <f t="shared" si="29"/>
        <v>TL</v>
      </c>
      <c r="B202" s="32" t="s">
        <v>335</v>
      </c>
      <c r="C202" s="33">
        <v>197</v>
      </c>
      <c r="D202" s="39" t="s">
        <v>336</v>
      </c>
      <c r="E202" s="33" t="s">
        <v>10</v>
      </c>
      <c r="F202" s="33">
        <v>2.88</v>
      </c>
      <c r="G202" s="33">
        <f t="shared" si="30"/>
        <v>2.88</v>
      </c>
      <c r="H202" s="33"/>
      <c r="I202" s="34" t="s">
        <v>13</v>
      </c>
      <c r="J202" s="99">
        <f>+'[1]Dự thầu'!$G$330</f>
        <v>102621</v>
      </c>
      <c r="K202" s="98">
        <f t="shared" si="26"/>
        <v>295548</v>
      </c>
      <c r="L202" s="98">
        <f t="shared" si="27"/>
        <v>295548</v>
      </c>
      <c r="M202" s="98">
        <f t="shared" si="28"/>
        <v>0</v>
      </c>
      <c r="N202" s="100"/>
    </row>
    <row r="203" spans="1:14" ht="31.5" customHeight="1" x14ac:dyDescent="0.25">
      <c r="A203" s="52" t="str">
        <f t="shared" si="29"/>
        <v>TL</v>
      </c>
      <c r="B203" s="32" t="s">
        <v>337</v>
      </c>
      <c r="C203" s="33">
        <v>198</v>
      </c>
      <c r="D203" s="39" t="s">
        <v>246</v>
      </c>
      <c r="E203" s="33" t="s">
        <v>10</v>
      </c>
      <c r="F203" s="33">
        <v>0.02</v>
      </c>
      <c r="G203" s="33">
        <f t="shared" si="30"/>
        <v>0.02</v>
      </c>
      <c r="H203" s="33"/>
      <c r="I203" s="34" t="s">
        <v>90</v>
      </c>
      <c r="J203" s="99">
        <f>+'[1]Dự thầu'!$G$331</f>
        <v>27096238</v>
      </c>
      <c r="K203" s="98">
        <f t="shared" si="26"/>
        <v>541925</v>
      </c>
      <c r="L203" s="98">
        <f t="shared" si="27"/>
        <v>541925</v>
      </c>
      <c r="M203" s="98">
        <f t="shared" si="28"/>
        <v>0</v>
      </c>
      <c r="N203" s="100"/>
    </row>
    <row r="204" spans="1:14" ht="31.5" customHeight="1" x14ac:dyDescent="0.25">
      <c r="A204" s="52" t="str">
        <f t="shared" si="29"/>
        <v>TL</v>
      </c>
      <c r="B204" s="32" t="s">
        <v>338</v>
      </c>
      <c r="C204" s="33">
        <v>199</v>
      </c>
      <c r="D204" s="39" t="s">
        <v>246</v>
      </c>
      <c r="E204" s="33" t="s">
        <v>10</v>
      </c>
      <c r="F204" s="33">
        <v>0.01</v>
      </c>
      <c r="G204" s="33">
        <f t="shared" si="30"/>
        <v>0.01</v>
      </c>
      <c r="H204" s="33"/>
      <c r="I204" s="34" t="s">
        <v>90</v>
      </c>
      <c r="J204" s="99">
        <f>+'[1]Dự thầu'!$G$332</f>
        <v>27096238</v>
      </c>
      <c r="K204" s="98">
        <f t="shared" si="26"/>
        <v>270962</v>
      </c>
      <c r="L204" s="98">
        <f t="shared" si="27"/>
        <v>270962</v>
      </c>
      <c r="M204" s="98">
        <f t="shared" si="28"/>
        <v>0</v>
      </c>
      <c r="N204" s="100"/>
    </row>
    <row r="205" spans="1:14" ht="47.25" customHeight="1" x14ac:dyDescent="0.25">
      <c r="A205" s="52" t="str">
        <f t="shared" si="29"/>
        <v>TL</v>
      </c>
      <c r="B205" s="32" t="s">
        <v>339</v>
      </c>
      <c r="C205" s="33">
        <v>200</v>
      </c>
      <c r="D205" s="39" t="s">
        <v>249</v>
      </c>
      <c r="E205" s="33" t="s">
        <v>10</v>
      </c>
      <c r="F205" s="33">
        <v>2</v>
      </c>
      <c r="G205" s="33">
        <f t="shared" si="30"/>
        <v>2</v>
      </c>
      <c r="H205" s="33"/>
      <c r="I205" s="34" t="s">
        <v>250</v>
      </c>
      <c r="J205" s="99">
        <f>+'[1]Dự thầu'!$G$333</f>
        <v>52812</v>
      </c>
      <c r="K205" s="98">
        <f t="shared" si="26"/>
        <v>105624</v>
      </c>
      <c r="L205" s="98">
        <f t="shared" si="27"/>
        <v>105624</v>
      </c>
      <c r="M205" s="98">
        <f t="shared" si="28"/>
        <v>0</v>
      </c>
      <c r="N205" s="100"/>
    </row>
    <row r="206" spans="1:14" ht="47.25" customHeight="1" x14ac:dyDescent="0.25">
      <c r="A206" s="52" t="str">
        <f t="shared" si="29"/>
        <v>TL</v>
      </c>
      <c r="B206" s="32" t="s">
        <v>340</v>
      </c>
      <c r="C206" s="33">
        <v>201</v>
      </c>
      <c r="D206" s="39" t="s">
        <v>252</v>
      </c>
      <c r="E206" s="33" t="s">
        <v>10</v>
      </c>
      <c r="F206" s="33">
        <v>0.14000000000000001</v>
      </c>
      <c r="G206" s="33">
        <f t="shared" si="30"/>
        <v>0.14000000000000001</v>
      </c>
      <c r="H206" s="33"/>
      <c r="I206" s="34" t="s">
        <v>274</v>
      </c>
      <c r="J206" s="99">
        <f>+'[1]Dự thầu'!$G$334</f>
        <v>32162</v>
      </c>
      <c r="K206" s="98">
        <f t="shared" si="26"/>
        <v>4503</v>
      </c>
      <c r="L206" s="98">
        <f t="shared" si="27"/>
        <v>4503</v>
      </c>
      <c r="M206" s="98">
        <f t="shared" si="28"/>
        <v>0</v>
      </c>
      <c r="N206" s="100"/>
    </row>
    <row r="207" spans="1:14" ht="47.25" customHeight="1" x14ac:dyDescent="0.25">
      <c r="A207" s="52" t="str">
        <f t="shared" si="29"/>
        <v>TL</v>
      </c>
      <c r="B207" s="32" t="s">
        <v>341</v>
      </c>
      <c r="C207" s="33">
        <v>202</v>
      </c>
      <c r="D207" s="39" t="s">
        <v>255</v>
      </c>
      <c r="E207" s="33" t="s">
        <v>10</v>
      </c>
      <c r="F207" s="33">
        <v>2</v>
      </c>
      <c r="G207" s="33">
        <f t="shared" si="30"/>
        <v>2</v>
      </c>
      <c r="H207" s="33"/>
      <c r="I207" s="34" t="s">
        <v>250</v>
      </c>
      <c r="J207" s="99">
        <f>+'[1]Dự thầu'!$G$335</f>
        <v>42761</v>
      </c>
      <c r="K207" s="98">
        <f t="shared" si="26"/>
        <v>85522</v>
      </c>
      <c r="L207" s="98">
        <f t="shared" si="27"/>
        <v>85522</v>
      </c>
      <c r="M207" s="98">
        <f t="shared" si="28"/>
        <v>0</v>
      </c>
      <c r="N207" s="100"/>
    </row>
    <row r="208" spans="1:14" ht="31.5" customHeight="1" x14ac:dyDescent="0.25">
      <c r="A208" s="52" t="str">
        <f t="shared" si="29"/>
        <v>TL</v>
      </c>
      <c r="B208" s="32" t="s">
        <v>342</v>
      </c>
      <c r="C208" s="33">
        <v>203</v>
      </c>
      <c r="D208" s="39" t="s">
        <v>343</v>
      </c>
      <c r="E208" s="33" t="s">
        <v>10</v>
      </c>
      <c r="F208" s="33">
        <v>2</v>
      </c>
      <c r="G208" s="33">
        <f t="shared" si="30"/>
        <v>2</v>
      </c>
      <c r="H208" s="33"/>
      <c r="I208" s="34" t="s">
        <v>297</v>
      </c>
      <c r="J208" s="99">
        <f>+'[1]Dự thầu'!$G$336</f>
        <v>36395</v>
      </c>
      <c r="K208" s="98">
        <f t="shared" si="26"/>
        <v>72790</v>
      </c>
      <c r="L208" s="98">
        <f t="shared" si="27"/>
        <v>72790</v>
      </c>
      <c r="M208" s="98">
        <f t="shared" si="28"/>
        <v>0</v>
      </c>
      <c r="N208" s="100"/>
    </row>
    <row r="209" spans="1:14" ht="15.75" customHeight="1" x14ac:dyDescent="0.25">
      <c r="A209" s="52" t="str">
        <f t="shared" si="29"/>
        <v>TL</v>
      </c>
      <c r="B209" s="32" t="s">
        <v>344</v>
      </c>
      <c r="C209" s="33">
        <v>204</v>
      </c>
      <c r="D209" s="39" t="s">
        <v>334</v>
      </c>
      <c r="E209" s="33" t="s">
        <v>10</v>
      </c>
      <c r="F209" s="33">
        <v>5.04</v>
      </c>
      <c r="G209" s="33">
        <f t="shared" si="30"/>
        <v>5.04</v>
      </c>
      <c r="H209" s="33"/>
      <c r="I209" s="34" t="s">
        <v>16</v>
      </c>
      <c r="J209" s="99">
        <f>+'[1]Dự thầu'!$G$338</f>
        <v>1631803</v>
      </c>
      <c r="K209" s="98">
        <f t="shared" si="26"/>
        <v>8224287</v>
      </c>
      <c r="L209" s="98">
        <f t="shared" si="27"/>
        <v>8224287</v>
      </c>
      <c r="M209" s="98">
        <f t="shared" si="28"/>
        <v>0</v>
      </c>
      <c r="N209" s="100"/>
    </row>
    <row r="210" spans="1:14" ht="31.5" customHeight="1" x14ac:dyDescent="0.25">
      <c r="A210" s="52" t="str">
        <f t="shared" si="29"/>
        <v>TL</v>
      </c>
      <c r="B210" s="32" t="s">
        <v>345</v>
      </c>
      <c r="C210" s="33">
        <v>205</v>
      </c>
      <c r="D210" s="39" t="s">
        <v>336</v>
      </c>
      <c r="E210" s="33" t="s">
        <v>10</v>
      </c>
      <c r="F210" s="33">
        <v>22.68</v>
      </c>
      <c r="G210" s="33">
        <f t="shared" si="30"/>
        <v>22.68</v>
      </c>
      <c r="H210" s="33"/>
      <c r="I210" s="34" t="s">
        <v>13</v>
      </c>
      <c r="J210" s="99">
        <f>+'[1]Dự thầu'!$G$339</f>
        <v>102621</v>
      </c>
      <c r="K210" s="98">
        <f t="shared" si="26"/>
        <v>2327444</v>
      </c>
      <c r="L210" s="98">
        <f t="shared" si="27"/>
        <v>2327444</v>
      </c>
      <c r="M210" s="98">
        <f t="shared" si="28"/>
        <v>0</v>
      </c>
      <c r="N210" s="100"/>
    </row>
    <row r="211" spans="1:14" ht="31.5" customHeight="1" x14ac:dyDescent="0.25">
      <c r="A211" s="52" t="str">
        <f t="shared" si="29"/>
        <v>TL</v>
      </c>
      <c r="B211" s="32" t="s">
        <v>346</v>
      </c>
      <c r="C211" s="33">
        <v>206</v>
      </c>
      <c r="D211" s="39" t="s">
        <v>246</v>
      </c>
      <c r="E211" s="33" t="s">
        <v>10</v>
      </c>
      <c r="F211" s="33">
        <v>0.13</v>
      </c>
      <c r="G211" s="33">
        <f t="shared" si="30"/>
        <v>0.13</v>
      </c>
      <c r="H211" s="33"/>
      <c r="I211" s="34" t="s">
        <v>90</v>
      </c>
      <c r="J211" s="99">
        <f>+'[1]Dự thầu'!$G$340</f>
        <v>27096238</v>
      </c>
      <c r="K211" s="98">
        <f t="shared" si="26"/>
        <v>3522511</v>
      </c>
      <c r="L211" s="98">
        <f t="shared" si="27"/>
        <v>3522511</v>
      </c>
      <c r="M211" s="98">
        <f t="shared" si="28"/>
        <v>0</v>
      </c>
      <c r="N211" s="100"/>
    </row>
    <row r="212" spans="1:14" ht="31.5" customHeight="1" x14ac:dyDescent="0.25">
      <c r="A212" s="52" t="str">
        <f t="shared" si="29"/>
        <v>TL</v>
      </c>
      <c r="B212" s="32" t="s">
        <v>347</v>
      </c>
      <c r="C212" s="33">
        <v>207</v>
      </c>
      <c r="D212" s="39" t="s">
        <v>246</v>
      </c>
      <c r="E212" s="33" t="s">
        <v>10</v>
      </c>
      <c r="F212" s="33">
        <v>0.08</v>
      </c>
      <c r="G212" s="33">
        <f t="shared" si="30"/>
        <v>0.08</v>
      </c>
      <c r="H212" s="33"/>
      <c r="I212" s="34" t="s">
        <v>90</v>
      </c>
      <c r="J212" s="99">
        <f>+'[1]Dự thầu'!$G$341</f>
        <v>27096238</v>
      </c>
      <c r="K212" s="98">
        <f t="shared" si="26"/>
        <v>2167699</v>
      </c>
      <c r="L212" s="98">
        <f t="shared" si="27"/>
        <v>2167699</v>
      </c>
      <c r="M212" s="98">
        <f t="shared" si="28"/>
        <v>0</v>
      </c>
      <c r="N212" s="100"/>
    </row>
    <row r="213" spans="1:14" ht="47.25" customHeight="1" x14ac:dyDescent="0.25">
      <c r="A213" s="52" t="str">
        <f t="shared" si="29"/>
        <v>TL</v>
      </c>
      <c r="B213" s="32" t="s">
        <v>348</v>
      </c>
      <c r="C213" s="33">
        <v>208</v>
      </c>
      <c r="D213" s="39" t="s">
        <v>349</v>
      </c>
      <c r="E213" s="33" t="s">
        <v>10</v>
      </c>
      <c r="F213" s="33">
        <v>12</v>
      </c>
      <c r="G213" s="33">
        <f t="shared" si="30"/>
        <v>12</v>
      </c>
      <c r="H213" s="33"/>
      <c r="I213" s="34" t="s">
        <v>250</v>
      </c>
      <c r="J213" s="99">
        <f>+'[1]Dự thầu'!$G$342</f>
        <v>79217</v>
      </c>
      <c r="K213" s="98">
        <f t="shared" si="26"/>
        <v>950604</v>
      </c>
      <c r="L213" s="98">
        <f t="shared" si="27"/>
        <v>950604</v>
      </c>
      <c r="M213" s="98">
        <f t="shared" si="28"/>
        <v>0</v>
      </c>
      <c r="N213" s="100"/>
    </row>
    <row r="214" spans="1:14" ht="47.25" customHeight="1" x14ac:dyDescent="0.25">
      <c r="A214" s="52" t="str">
        <f t="shared" si="29"/>
        <v>TL</v>
      </c>
      <c r="B214" s="32" t="s">
        <v>350</v>
      </c>
      <c r="C214" s="33">
        <v>209</v>
      </c>
      <c r="D214" s="39" t="s">
        <v>351</v>
      </c>
      <c r="E214" s="33" t="s">
        <v>10</v>
      </c>
      <c r="F214" s="33">
        <v>12</v>
      </c>
      <c r="G214" s="33">
        <f t="shared" si="30"/>
        <v>12</v>
      </c>
      <c r="H214" s="33"/>
      <c r="I214" s="34" t="s">
        <v>250</v>
      </c>
      <c r="J214" s="99">
        <f>+'[1]Dự thầu'!$G$343</f>
        <v>65424</v>
      </c>
      <c r="K214" s="98">
        <f t="shared" si="26"/>
        <v>785088</v>
      </c>
      <c r="L214" s="98">
        <f t="shared" si="27"/>
        <v>785088</v>
      </c>
      <c r="M214" s="98">
        <f t="shared" si="28"/>
        <v>0</v>
      </c>
      <c r="N214" s="100"/>
    </row>
    <row r="215" spans="1:14" ht="47.25" customHeight="1" x14ac:dyDescent="0.25">
      <c r="A215" s="52" t="str">
        <f t="shared" si="29"/>
        <v>TL</v>
      </c>
      <c r="B215" s="32" t="s">
        <v>352</v>
      </c>
      <c r="C215" s="33">
        <v>210</v>
      </c>
      <c r="D215" s="39" t="s">
        <v>252</v>
      </c>
      <c r="E215" s="33" t="s">
        <v>10</v>
      </c>
      <c r="F215" s="33">
        <v>1.26</v>
      </c>
      <c r="G215" s="33">
        <f t="shared" si="30"/>
        <v>1.26</v>
      </c>
      <c r="H215" s="33"/>
      <c r="I215" s="34" t="s">
        <v>253</v>
      </c>
      <c r="J215" s="99">
        <f>+'[1]Dự thầu'!$G$344</f>
        <v>32162</v>
      </c>
      <c r="K215" s="98">
        <f t="shared" si="26"/>
        <v>40524</v>
      </c>
      <c r="L215" s="98">
        <f t="shared" si="27"/>
        <v>40524</v>
      </c>
      <c r="M215" s="98">
        <f t="shared" si="28"/>
        <v>0</v>
      </c>
      <c r="N215" s="100"/>
    </row>
    <row r="216" spans="1:14" ht="47.25" customHeight="1" x14ac:dyDescent="0.25">
      <c r="A216" s="52" t="str">
        <f t="shared" si="29"/>
        <v>TL</v>
      </c>
      <c r="B216" s="32" t="s">
        <v>353</v>
      </c>
      <c r="C216" s="33">
        <v>211</v>
      </c>
      <c r="D216" s="39" t="s">
        <v>255</v>
      </c>
      <c r="E216" s="33" t="s">
        <v>10</v>
      </c>
      <c r="F216" s="33">
        <v>12</v>
      </c>
      <c r="G216" s="33">
        <f t="shared" si="30"/>
        <v>12</v>
      </c>
      <c r="H216" s="33"/>
      <c r="I216" s="34" t="s">
        <v>250</v>
      </c>
      <c r="J216" s="99">
        <f>+'[1]Dự thầu'!$G$345</f>
        <v>42761</v>
      </c>
      <c r="K216" s="98">
        <f t="shared" si="26"/>
        <v>513132</v>
      </c>
      <c r="L216" s="98">
        <f t="shared" si="27"/>
        <v>513132</v>
      </c>
      <c r="M216" s="98">
        <f t="shared" si="28"/>
        <v>0</v>
      </c>
      <c r="N216" s="100"/>
    </row>
    <row r="217" spans="1:14" ht="31.5" customHeight="1" x14ac:dyDescent="0.25">
      <c r="A217" s="52" t="str">
        <f t="shared" si="29"/>
        <v>TL</v>
      </c>
      <c r="B217" s="32" t="s">
        <v>354</v>
      </c>
      <c r="C217" s="33">
        <v>212</v>
      </c>
      <c r="D217" s="39" t="s">
        <v>355</v>
      </c>
      <c r="E217" s="33" t="s">
        <v>10</v>
      </c>
      <c r="F217" s="33">
        <v>12</v>
      </c>
      <c r="G217" s="33">
        <f t="shared" si="30"/>
        <v>12</v>
      </c>
      <c r="H217" s="33"/>
      <c r="I217" s="34" t="s">
        <v>258</v>
      </c>
      <c r="J217" s="99">
        <f>+'[1]Dự thầu'!$G$346</f>
        <v>452947</v>
      </c>
      <c r="K217" s="98">
        <f t="shared" si="26"/>
        <v>5435364</v>
      </c>
      <c r="L217" s="98">
        <f t="shared" si="27"/>
        <v>5435364</v>
      </c>
      <c r="M217" s="98">
        <f t="shared" si="28"/>
        <v>0</v>
      </c>
      <c r="N217" s="100"/>
    </row>
    <row r="218" spans="1:14" ht="31.5" customHeight="1" x14ac:dyDescent="0.25">
      <c r="A218" s="52" t="str">
        <f t="shared" si="29"/>
        <v>TL</v>
      </c>
      <c r="B218" s="32" t="s">
        <v>356</v>
      </c>
      <c r="C218" s="33">
        <v>213</v>
      </c>
      <c r="D218" s="39" t="s">
        <v>357</v>
      </c>
      <c r="E218" s="33" t="s">
        <v>10</v>
      </c>
      <c r="F218" s="33">
        <v>1.25</v>
      </c>
      <c r="G218" s="33">
        <f t="shared" si="30"/>
        <v>1.25</v>
      </c>
      <c r="H218" s="33"/>
      <c r="I218" s="34" t="s">
        <v>16</v>
      </c>
      <c r="J218" s="99">
        <f>+'[1]Dự thầu'!$G$347</f>
        <v>1399730</v>
      </c>
      <c r="K218" s="98">
        <f t="shared" si="26"/>
        <v>1749663</v>
      </c>
      <c r="L218" s="98">
        <f t="shared" si="27"/>
        <v>1749663</v>
      </c>
      <c r="M218" s="98">
        <f t="shared" si="28"/>
        <v>0</v>
      </c>
      <c r="N218" s="100"/>
    </row>
    <row r="219" spans="1:14" ht="15.75" customHeight="1" x14ac:dyDescent="0.25">
      <c r="A219" s="52" t="str">
        <f t="shared" si="29"/>
        <v>TL</v>
      </c>
      <c r="B219" s="32" t="s">
        <v>358</v>
      </c>
      <c r="C219" s="33">
        <v>214</v>
      </c>
      <c r="D219" s="39" t="s">
        <v>125</v>
      </c>
      <c r="E219" s="33" t="s">
        <v>10</v>
      </c>
      <c r="F219" s="33">
        <v>3.63</v>
      </c>
      <c r="G219" s="33">
        <f t="shared" si="30"/>
        <v>3.63</v>
      </c>
      <c r="H219" s="33"/>
      <c r="I219" s="34" t="s">
        <v>13</v>
      </c>
      <c r="J219" s="99">
        <f>+'[1]Dự thầu'!$G$348</f>
        <v>104798</v>
      </c>
      <c r="K219" s="98">
        <f t="shared" si="26"/>
        <v>380417</v>
      </c>
      <c r="L219" s="98">
        <f t="shared" si="27"/>
        <v>380417</v>
      </c>
      <c r="M219" s="98">
        <f t="shared" si="28"/>
        <v>0</v>
      </c>
      <c r="N219" s="100"/>
    </row>
    <row r="220" spans="1:14" ht="31.5" customHeight="1" x14ac:dyDescent="0.25">
      <c r="A220" s="52" t="str">
        <f t="shared" si="29"/>
        <v>TL</v>
      </c>
      <c r="B220" s="32" t="s">
        <v>359</v>
      </c>
      <c r="C220" s="33">
        <v>215</v>
      </c>
      <c r="D220" s="39" t="s">
        <v>240</v>
      </c>
      <c r="E220" s="33" t="s">
        <v>10</v>
      </c>
      <c r="F220" s="33">
        <v>5.93</v>
      </c>
      <c r="G220" s="33">
        <f t="shared" si="30"/>
        <v>5.93</v>
      </c>
      <c r="H220" s="33"/>
      <c r="I220" s="34" t="s">
        <v>16</v>
      </c>
      <c r="J220" s="99">
        <f>+'[1]Dự thầu'!$G$349</f>
        <v>842139</v>
      </c>
      <c r="K220" s="98">
        <f t="shared" si="26"/>
        <v>4993884</v>
      </c>
      <c r="L220" s="98">
        <f t="shared" si="27"/>
        <v>4993884</v>
      </c>
      <c r="M220" s="98">
        <f t="shared" si="28"/>
        <v>0</v>
      </c>
      <c r="N220" s="100"/>
    </row>
    <row r="221" spans="1:14" ht="31.5" customHeight="1" x14ac:dyDescent="0.25">
      <c r="A221" s="52" t="str">
        <f t="shared" si="29"/>
        <v>TL</v>
      </c>
      <c r="B221" s="32" t="s">
        <v>360</v>
      </c>
      <c r="C221" s="33">
        <v>216</v>
      </c>
      <c r="D221" s="39" t="s">
        <v>361</v>
      </c>
      <c r="E221" s="33" t="s">
        <v>10</v>
      </c>
      <c r="F221" s="33">
        <v>29</v>
      </c>
      <c r="G221" s="33">
        <f t="shared" si="30"/>
        <v>29</v>
      </c>
      <c r="H221" s="33"/>
      <c r="I221" s="34" t="s">
        <v>362</v>
      </c>
      <c r="J221" s="99">
        <f>+'[1]Dự thầu'!$G$351</f>
        <v>854417</v>
      </c>
      <c r="K221" s="98">
        <f t="shared" si="26"/>
        <v>24778093</v>
      </c>
      <c r="L221" s="98">
        <f t="shared" si="27"/>
        <v>24778093</v>
      </c>
      <c r="M221" s="98">
        <f t="shared" si="28"/>
        <v>0</v>
      </c>
      <c r="N221" s="100"/>
    </row>
    <row r="222" spans="1:14" ht="15.75" customHeight="1" x14ac:dyDescent="0.25">
      <c r="A222" s="52" t="str">
        <f t="shared" si="29"/>
        <v>TL</v>
      </c>
      <c r="B222" s="32" t="s">
        <v>363</v>
      </c>
      <c r="C222" s="33">
        <v>217</v>
      </c>
      <c r="D222" s="39" t="s">
        <v>364</v>
      </c>
      <c r="E222" s="33" t="s">
        <v>10</v>
      </c>
      <c r="F222" s="33">
        <v>1.72</v>
      </c>
      <c r="G222" s="33">
        <f t="shared" si="30"/>
        <v>1.72</v>
      </c>
      <c r="H222" s="33"/>
      <c r="I222" s="34" t="s">
        <v>13</v>
      </c>
      <c r="J222" s="99">
        <f>+'[1]Dự thầu'!$G$352</f>
        <v>96659</v>
      </c>
      <c r="K222" s="98">
        <f t="shared" si="26"/>
        <v>166253</v>
      </c>
      <c r="L222" s="98">
        <f t="shared" si="27"/>
        <v>166253</v>
      </c>
      <c r="M222" s="98">
        <f t="shared" si="28"/>
        <v>0</v>
      </c>
      <c r="N222" s="100"/>
    </row>
    <row r="223" spans="1:14" ht="15.75" customHeight="1" x14ac:dyDescent="0.25">
      <c r="A223" s="52" t="str">
        <f t="shared" si="29"/>
        <v>TL</v>
      </c>
      <c r="B223" s="32" t="s">
        <v>365</v>
      </c>
      <c r="C223" s="33">
        <v>218</v>
      </c>
      <c r="D223" s="39" t="s">
        <v>366</v>
      </c>
      <c r="E223" s="33" t="s">
        <v>10</v>
      </c>
      <c r="F223" s="33">
        <v>63.52</v>
      </c>
      <c r="G223" s="33">
        <f t="shared" si="30"/>
        <v>63.52</v>
      </c>
      <c r="H223" s="33"/>
      <c r="I223" s="34" t="s">
        <v>13</v>
      </c>
      <c r="J223" s="99">
        <f>+'[1]Dự thầu'!$G$353</f>
        <v>72328</v>
      </c>
      <c r="K223" s="98">
        <f t="shared" si="26"/>
        <v>4594275</v>
      </c>
      <c r="L223" s="98">
        <f t="shared" si="27"/>
        <v>4594275</v>
      </c>
      <c r="M223" s="98">
        <f t="shared" si="28"/>
        <v>0</v>
      </c>
      <c r="N223" s="100"/>
    </row>
    <row r="224" spans="1:14" ht="31.5" customHeight="1" x14ac:dyDescent="0.25">
      <c r="A224" s="52" t="str">
        <f t="shared" si="29"/>
        <v>TL</v>
      </c>
      <c r="B224" s="32" t="s">
        <v>367</v>
      </c>
      <c r="C224" s="33">
        <v>219</v>
      </c>
      <c r="D224" s="39" t="s">
        <v>368</v>
      </c>
      <c r="E224" s="33" t="s">
        <v>10</v>
      </c>
      <c r="F224" s="33">
        <v>2.59</v>
      </c>
      <c r="G224" s="33">
        <f t="shared" si="30"/>
        <v>2.59</v>
      </c>
      <c r="H224" s="33"/>
      <c r="I224" s="34" t="s">
        <v>16</v>
      </c>
      <c r="J224" s="99">
        <f>+'[1]Dự thầu'!$G$354</f>
        <v>1881449</v>
      </c>
      <c r="K224" s="98">
        <f t="shared" si="26"/>
        <v>4872953</v>
      </c>
      <c r="L224" s="98">
        <f t="shared" si="27"/>
        <v>4872953</v>
      </c>
      <c r="M224" s="98">
        <f t="shared" si="28"/>
        <v>0</v>
      </c>
      <c r="N224" s="100"/>
    </row>
    <row r="225" spans="1:14" ht="15.75" customHeight="1" x14ac:dyDescent="0.25">
      <c r="A225" s="52" t="str">
        <f t="shared" si="29"/>
        <v>TL</v>
      </c>
      <c r="B225" s="32" t="s">
        <v>369</v>
      </c>
      <c r="C225" s="33">
        <v>220</v>
      </c>
      <c r="D225" s="39" t="s">
        <v>125</v>
      </c>
      <c r="E225" s="33" t="s">
        <v>10</v>
      </c>
      <c r="F225" s="33">
        <v>9.4</v>
      </c>
      <c r="G225" s="33">
        <f t="shared" si="30"/>
        <v>9.4</v>
      </c>
      <c r="H225" s="33"/>
      <c r="I225" s="34" t="s">
        <v>13</v>
      </c>
      <c r="J225" s="99">
        <f>+'[1]Dự thầu'!$G$355</f>
        <v>104798</v>
      </c>
      <c r="K225" s="98">
        <f t="shared" ref="K225:K256" si="31">+ROUND(J225*F225,0)</f>
        <v>985101</v>
      </c>
      <c r="L225" s="98">
        <f t="shared" ref="L225:L256" si="32">+ROUND(G225*J225,0)</f>
        <v>985101</v>
      </c>
      <c r="M225" s="98">
        <f t="shared" ref="M225:M256" si="33">+ROUND(H225*J225,0)</f>
        <v>0</v>
      </c>
      <c r="N225" s="100"/>
    </row>
    <row r="226" spans="1:14" ht="31.5" customHeight="1" x14ac:dyDescent="0.25">
      <c r="A226" s="52" t="str">
        <f t="shared" si="29"/>
        <v>TL</v>
      </c>
      <c r="B226" s="32" t="s">
        <v>370</v>
      </c>
      <c r="C226" s="33">
        <v>221</v>
      </c>
      <c r="D226" s="39" t="s">
        <v>368</v>
      </c>
      <c r="E226" s="33" t="s">
        <v>10</v>
      </c>
      <c r="F226" s="33">
        <v>0.98</v>
      </c>
      <c r="G226" s="33">
        <f t="shared" si="30"/>
        <v>0.98</v>
      </c>
      <c r="H226" s="33"/>
      <c r="I226" s="34" t="s">
        <v>16</v>
      </c>
      <c r="J226" s="99">
        <f>+'[1]Dự thầu'!$G$356</f>
        <v>1881449</v>
      </c>
      <c r="K226" s="98">
        <f t="shared" si="31"/>
        <v>1843820</v>
      </c>
      <c r="L226" s="98">
        <f t="shared" si="32"/>
        <v>1843820</v>
      </c>
      <c r="M226" s="98">
        <f t="shared" si="33"/>
        <v>0</v>
      </c>
      <c r="N226" s="100"/>
    </row>
    <row r="227" spans="1:14" ht="15.75" customHeight="1" x14ac:dyDescent="0.25">
      <c r="A227" s="52" t="str">
        <f t="shared" si="29"/>
        <v>TL</v>
      </c>
      <c r="B227" s="32" t="s">
        <v>371</v>
      </c>
      <c r="C227" s="33">
        <v>222</v>
      </c>
      <c r="D227" s="39" t="s">
        <v>125</v>
      </c>
      <c r="E227" s="33" t="s">
        <v>10</v>
      </c>
      <c r="F227" s="33">
        <v>4.05</v>
      </c>
      <c r="G227" s="33">
        <f t="shared" si="30"/>
        <v>4.05</v>
      </c>
      <c r="H227" s="33"/>
      <c r="I227" s="34" t="s">
        <v>13</v>
      </c>
      <c r="J227" s="99">
        <f>+'[1]Dự thầu'!$G$357</f>
        <v>104798</v>
      </c>
      <c r="K227" s="98">
        <f t="shared" si="31"/>
        <v>424432</v>
      </c>
      <c r="L227" s="98">
        <f t="shared" si="32"/>
        <v>424432</v>
      </c>
      <c r="M227" s="98">
        <f t="shared" si="33"/>
        <v>0</v>
      </c>
      <c r="N227" s="100"/>
    </row>
    <row r="228" spans="1:14" ht="31.5" customHeight="1" x14ac:dyDescent="0.25">
      <c r="A228" s="52" t="str">
        <f t="shared" si="29"/>
        <v>TL</v>
      </c>
      <c r="B228" s="32" t="s">
        <v>372</v>
      </c>
      <c r="C228" s="33">
        <v>223</v>
      </c>
      <c r="D228" s="39" t="s">
        <v>357</v>
      </c>
      <c r="E228" s="33" t="s">
        <v>10</v>
      </c>
      <c r="F228" s="33">
        <v>9.5</v>
      </c>
      <c r="G228" s="33">
        <f t="shared" si="30"/>
        <v>9.5</v>
      </c>
      <c r="H228" s="33"/>
      <c r="I228" s="34" t="s">
        <v>16</v>
      </c>
      <c r="J228" s="99">
        <f>+'[1]Dự thầu'!$G$358</f>
        <v>1399730</v>
      </c>
      <c r="K228" s="98">
        <f t="shared" si="31"/>
        <v>13297435</v>
      </c>
      <c r="L228" s="98">
        <f t="shared" si="32"/>
        <v>13297435</v>
      </c>
      <c r="M228" s="98">
        <f t="shared" si="33"/>
        <v>0</v>
      </c>
      <c r="N228" s="100"/>
    </row>
    <row r="229" spans="1:14" ht="31.5" customHeight="1" x14ac:dyDescent="0.25">
      <c r="A229" s="52" t="str">
        <f t="shared" si="29"/>
        <v>TL</v>
      </c>
      <c r="B229" s="32" t="s">
        <v>373</v>
      </c>
      <c r="C229" s="33">
        <v>224</v>
      </c>
      <c r="D229" s="39" t="s">
        <v>240</v>
      </c>
      <c r="E229" s="33" t="s">
        <v>10</v>
      </c>
      <c r="F229" s="33">
        <v>0.68</v>
      </c>
      <c r="G229" s="33">
        <f t="shared" si="30"/>
        <v>0.68</v>
      </c>
      <c r="H229" s="33"/>
      <c r="I229" s="34" t="s">
        <v>16</v>
      </c>
      <c r="J229" s="99">
        <f>+'[1]Dự thầu'!$G$359</f>
        <v>842139</v>
      </c>
      <c r="K229" s="98">
        <f t="shared" si="31"/>
        <v>572655</v>
      </c>
      <c r="L229" s="98">
        <f t="shared" si="32"/>
        <v>572655</v>
      </c>
      <c r="M229" s="98">
        <f t="shared" si="33"/>
        <v>0</v>
      </c>
      <c r="N229" s="100"/>
    </row>
    <row r="230" spans="1:14" ht="15.75" customHeight="1" x14ac:dyDescent="0.25">
      <c r="A230" s="52" t="str">
        <f t="shared" si="29"/>
        <v>TL</v>
      </c>
      <c r="B230" s="32" t="s">
        <v>374</v>
      </c>
      <c r="C230" s="33">
        <v>225</v>
      </c>
      <c r="D230" s="39" t="s">
        <v>125</v>
      </c>
      <c r="E230" s="33" t="s">
        <v>10</v>
      </c>
      <c r="F230" s="33">
        <v>21.9</v>
      </c>
      <c r="G230" s="33">
        <f t="shared" si="30"/>
        <v>21.9</v>
      </c>
      <c r="H230" s="33"/>
      <c r="I230" s="34" t="s">
        <v>13</v>
      </c>
      <c r="J230" s="99">
        <f>+'[1]Dự thầu'!$G$360</f>
        <v>104798</v>
      </c>
      <c r="K230" s="98">
        <f t="shared" si="31"/>
        <v>2295076</v>
      </c>
      <c r="L230" s="98">
        <f t="shared" si="32"/>
        <v>2295076</v>
      </c>
      <c r="M230" s="98">
        <f t="shared" si="33"/>
        <v>0</v>
      </c>
      <c r="N230" s="100"/>
    </row>
    <row r="231" spans="1:14" ht="31.5" customHeight="1" x14ac:dyDescent="0.25">
      <c r="A231" s="52" t="str">
        <f t="shared" si="29"/>
        <v>TL</v>
      </c>
      <c r="B231" s="32" t="s">
        <v>375</v>
      </c>
      <c r="C231" s="33">
        <v>226</v>
      </c>
      <c r="D231" s="39" t="s">
        <v>376</v>
      </c>
      <c r="E231" s="33" t="s">
        <v>10</v>
      </c>
      <c r="F231" s="33">
        <v>2.5499999999999998</v>
      </c>
      <c r="G231" s="33">
        <f t="shared" si="30"/>
        <v>2.5499999999999998</v>
      </c>
      <c r="H231" s="33"/>
      <c r="I231" s="34" t="s">
        <v>16</v>
      </c>
      <c r="J231" s="99">
        <f>+'[1]Dự thầu'!$G$361</f>
        <v>1399730</v>
      </c>
      <c r="K231" s="98">
        <f t="shared" si="31"/>
        <v>3569312</v>
      </c>
      <c r="L231" s="98">
        <f t="shared" si="32"/>
        <v>3569312</v>
      </c>
      <c r="M231" s="98">
        <f t="shared" si="33"/>
        <v>0</v>
      </c>
      <c r="N231" s="100"/>
    </row>
    <row r="232" spans="1:14" ht="31.5" customHeight="1" x14ac:dyDescent="0.25">
      <c r="A232" s="52" t="str">
        <f t="shared" si="29"/>
        <v>TL</v>
      </c>
      <c r="B232" s="32" t="s">
        <v>377</v>
      </c>
      <c r="C232" s="33">
        <v>227</v>
      </c>
      <c r="D232" s="39" t="s">
        <v>240</v>
      </c>
      <c r="E232" s="33" t="s">
        <v>10</v>
      </c>
      <c r="F232" s="33">
        <v>0.53</v>
      </c>
      <c r="G232" s="33">
        <f t="shared" si="30"/>
        <v>0.53</v>
      </c>
      <c r="H232" s="33"/>
      <c r="I232" s="34" t="s">
        <v>16</v>
      </c>
      <c r="J232" s="99">
        <f>+'[1]Dự thầu'!$G$362</f>
        <v>842139</v>
      </c>
      <c r="K232" s="98">
        <f t="shared" si="31"/>
        <v>446334</v>
      </c>
      <c r="L232" s="98">
        <f t="shared" si="32"/>
        <v>446334</v>
      </c>
      <c r="M232" s="98">
        <f t="shared" si="33"/>
        <v>0</v>
      </c>
      <c r="N232" s="100"/>
    </row>
    <row r="233" spans="1:14" ht="15.75" customHeight="1" x14ac:dyDescent="0.25">
      <c r="A233" s="52" t="str">
        <f t="shared" si="29"/>
        <v>TL</v>
      </c>
      <c r="B233" s="32" t="s">
        <v>378</v>
      </c>
      <c r="C233" s="33">
        <v>228</v>
      </c>
      <c r="D233" s="39" t="s">
        <v>125</v>
      </c>
      <c r="E233" s="33" t="s">
        <v>10</v>
      </c>
      <c r="F233" s="33">
        <v>15.52</v>
      </c>
      <c r="G233" s="33">
        <f t="shared" si="30"/>
        <v>15.52</v>
      </c>
      <c r="H233" s="33"/>
      <c r="I233" s="34" t="s">
        <v>13</v>
      </c>
      <c r="J233" s="99">
        <f>+'[1]Dự thầu'!$G$363</f>
        <v>104798</v>
      </c>
      <c r="K233" s="98">
        <f t="shared" si="31"/>
        <v>1626465</v>
      </c>
      <c r="L233" s="98">
        <f t="shared" si="32"/>
        <v>1626465</v>
      </c>
      <c r="M233" s="98">
        <f t="shared" si="33"/>
        <v>0</v>
      </c>
      <c r="N233" s="100"/>
    </row>
    <row r="234" spans="1:14" ht="31.5" customHeight="1" x14ac:dyDescent="0.25">
      <c r="A234" s="52" t="str">
        <f t="shared" si="29"/>
        <v>TL</v>
      </c>
      <c r="B234" s="32" t="s">
        <v>379</v>
      </c>
      <c r="C234" s="33">
        <v>229</v>
      </c>
      <c r="D234" s="39" t="s">
        <v>380</v>
      </c>
      <c r="E234" s="33" t="s">
        <v>10</v>
      </c>
      <c r="F234" s="33">
        <v>3.28</v>
      </c>
      <c r="G234" s="33">
        <f t="shared" si="30"/>
        <v>3.28</v>
      </c>
      <c r="H234" s="33"/>
      <c r="I234" s="34" t="s">
        <v>16</v>
      </c>
      <c r="J234" s="99">
        <f>+'[1]Dự thầu'!$G$364</f>
        <v>1388494</v>
      </c>
      <c r="K234" s="98">
        <f t="shared" si="31"/>
        <v>4554260</v>
      </c>
      <c r="L234" s="98">
        <f t="shared" si="32"/>
        <v>4554260</v>
      </c>
      <c r="M234" s="98">
        <f t="shared" si="33"/>
        <v>0</v>
      </c>
      <c r="N234" s="100"/>
    </row>
    <row r="235" spans="1:14" ht="31.5" customHeight="1" x14ac:dyDescent="0.25">
      <c r="A235" s="52" t="str">
        <f t="shared" si="29"/>
        <v>TL</v>
      </c>
      <c r="B235" s="32" t="s">
        <v>381</v>
      </c>
      <c r="C235" s="33">
        <v>230</v>
      </c>
      <c r="D235" s="39" t="s">
        <v>240</v>
      </c>
      <c r="E235" s="33" t="s">
        <v>10</v>
      </c>
      <c r="F235" s="33">
        <v>1.31</v>
      </c>
      <c r="G235" s="33">
        <f t="shared" si="30"/>
        <v>1.31</v>
      </c>
      <c r="H235" s="33"/>
      <c r="I235" s="34" t="s">
        <v>16</v>
      </c>
      <c r="J235" s="99">
        <f>+'[1]Dự thầu'!$G$365</f>
        <v>842139</v>
      </c>
      <c r="K235" s="98">
        <f t="shared" si="31"/>
        <v>1103202</v>
      </c>
      <c r="L235" s="98">
        <f t="shared" si="32"/>
        <v>1103202</v>
      </c>
      <c r="M235" s="98">
        <f t="shared" si="33"/>
        <v>0</v>
      </c>
      <c r="N235" s="100"/>
    </row>
    <row r="236" spans="1:14" ht="31.5" customHeight="1" x14ac:dyDescent="0.25">
      <c r="A236" s="52" t="str">
        <f t="shared" si="29"/>
        <v>TL</v>
      </c>
      <c r="B236" s="32" t="s">
        <v>382</v>
      </c>
      <c r="C236" s="33">
        <v>231</v>
      </c>
      <c r="D236" s="39" t="s">
        <v>380</v>
      </c>
      <c r="E236" s="33" t="s">
        <v>10</v>
      </c>
      <c r="F236" s="33">
        <v>1.1000000000000001</v>
      </c>
      <c r="G236" s="33">
        <f t="shared" si="30"/>
        <v>1.1000000000000001</v>
      </c>
      <c r="H236" s="33"/>
      <c r="I236" s="34" t="s">
        <v>16</v>
      </c>
      <c r="J236" s="99">
        <f>+'[1]Dự thầu'!$G$366</f>
        <v>1332575</v>
      </c>
      <c r="K236" s="98">
        <f t="shared" si="31"/>
        <v>1465833</v>
      </c>
      <c r="L236" s="98">
        <f t="shared" si="32"/>
        <v>1465833</v>
      </c>
      <c r="M236" s="98">
        <f t="shared" si="33"/>
        <v>0</v>
      </c>
      <c r="N236" s="100"/>
    </row>
    <row r="237" spans="1:14" ht="31.5" customHeight="1" x14ac:dyDescent="0.25">
      <c r="A237" s="52" t="str">
        <f t="shared" si="29"/>
        <v>TL</v>
      </c>
      <c r="B237" s="32" t="s">
        <v>383</v>
      </c>
      <c r="C237" s="33">
        <v>232</v>
      </c>
      <c r="D237" s="39" t="s">
        <v>240</v>
      </c>
      <c r="E237" s="33" t="s">
        <v>10</v>
      </c>
      <c r="F237" s="33">
        <v>0.22</v>
      </c>
      <c r="G237" s="33">
        <f t="shared" si="30"/>
        <v>0.22</v>
      </c>
      <c r="H237" s="33"/>
      <c r="I237" s="34" t="s">
        <v>16</v>
      </c>
      <c r="J237" s="99">
        <f>+'[1]Dự thầu'!$G$367</f>
        <v>842139</v>
      </c>
      <c r="K237" s="98">
        <f t="shared" si="31"/>
        <v>185271</v>
      </c>
      <c r="L237" s="98">
        <f t="shared" si="32"/>
        <v>185271</v>
      </c>
      <c r="M237" s="98">
        <f t="shared" si="33"/>
        <v>0</v>
      </c>
      <c r="N237" s="100"/>
    </row>
    <row r="238" spans="1:14" ht="31.5" customHeight="1" x14ac:dyDescent="0.25">
      <c r="A238" s="52" t="str">
        <f t="shared" si="29"/>
        <v>TL</v>
      </c>
      <c r="B238" s="32" t="s">
        <v>384</v>
      </c>
      <c r="C238" s="33">
        <v>233</v>
      </c>
      <c r="D238" s="39" t="s">
        <v>357</v>
      </c>
      <c r="E238" s="33" t="s">
        <v>10</v>
      </c>
      <c r="F238" s="33">
        <v>1.4</v>
      </c>
      <c r="G238" s="33">
        <f t="shared" si="30"/>
        <v>1.4</v>
      </c>
      <c r="H238" s="33"/>
      <c r="I238" s="34" t="s">
        <v>16</v>
      </c>
      <c r="J238" s="99">
        <f>+'[1]Dự thầu'!$G$368</f>
        <v>1399730</v>
      </c>
      <c r="K238" s="98">
        <f t="shared" si="31"/>
        <v>1959622</v>
      </c>
      <c r="L238" s="98">
        <f t="shared" si="32"/>
        <v>1959622</v>
      </c>
      <c r="M238" s="98">
        <f t="shared" si="33"/>
        <v>0</v>
      </c>
      <c r="N238" s="100"/>
    </row>
    <row r="239" spans="1:14" ht="15.75" customHeight="1" x14ac:dyDescent="0.25">
      <c r="A239" s="52" t="str">
        <f t="shared" si="29"/>
        <v>TL</v>
      </c>
      <c r="B239" s="32" t="s">
        <v>385</v>
      </c>
      <c r="C239" s="33">
        <v>234</v>
      </c>
      <c r="D239" s="39" t="s">
        <v>125</v>
      </c>
      <c r="E239" s="33" t="s">
        <v>10</v>
      </c>
      <c r="F239" s="33">
        <v>1.52</v>
      </c>
      <c r="G239" s="33">
        <f t="shared" si="30"/>
        <v>1.52</v>
      </c>
      <c r="H239" s="33"/>
      <c r="I239" s="34" t="s">
        <v>13</v>
      </c>
      <c r="J239" s="99">
        <f>+'[1]Dự thầu'!$G$369</f>
        <v>104798</v>
      </c>
      <c r="K239" s="98">
        <f t="shared" si="31"/>
        <v>159293</v>
      </c>
      <c r="L239" s="98">
        <f t="shared" si="32"/>
        <v>159293</v>
      </c>
      <c r="M239" s="98">
        <f t="shared" si="33"/>
        <v>0</v>
      </c>
      <c r="N239" s="100"/>
    </row>
    <row r="240" spans="1:14" ht="15.75" customHeight="1" x14ac:dyDescent="0.25">
      <c r="A240" s="52" t="str">
        <f t="shared" si="29"/>
        <v>TL</v>
      </c>
      <c r="B240" s="32" t="s">
        <v>386</v>
      </c>
      <c r="C240" s="33">
        <v>235</v>
      </c>
      <c r="D240" s="39" t="s">
        <v>387</v>
      </c>
      <c r="E240" s="33" t="s">
        <v>10</v>
      </c>
      <c r="F240" s="33">
        <v>1.94</v>
      </c>
      <c r="G240" s="33">
        <f t="shared" si="30"/>
        <v>1.94</v>
      </c>
      <c r="H240" s="33"/>
      <c r="I240" s="34" t="s">
        <v>16</v>
      </c>
      <c r="J240" s="99">
        <f>+'[1]Dự thầu'!$G$370</f>
        <v>667791</v>
      </c>
      <c r="K240" s="98">
        <f t="shared" si="31"/>
        <v>1295515</v>
      </c>
      <c r="L240" s="98">
        <f t="shared" si="32"/>
        <v>1295515</v>
      </c>
      <c r="M240" s="98">
        <f t="shared" si="33"/>
        <v>0</v>
      </c>
      <c r="N240" s="100"/>
    </row>
    <row r="241" spans="1:14" ht="47.25" customHeight="1" x14ac:dyDescent="0.25">
      <c r="A241" s="52" t="str">
        <f t="shared" si="29"/>
        <v>TL</v>
      </c>
      <c r="B241" s="32" t="s">
        <v>388</v>
      </c>
      <c r="C241" s="33">
        <v>236</v>
      </c>
      <c r="D241" s="39" t="s">
        <v>120</v>
      </c>
      <c r="E241" s="33" t="s">
        <v>10</v>
      </c>
      <c r="F241" s="33">
        <v>4.8099999999999996</v>
      </c>
      <c r="G241" s="33">
        <f t="shared" si="30"/>
        <v>4.8099999999999996</v>
      </c>
      <c r="H241" s="33"/>
      <c r="I241" s="34" t="s">
        <v>16</v>
      </c>
      <c r="J241" s="99">
        <f>+'[1]Dự thầu'!$G$371</f>
        <v>1191268</v>
      </c>
      <c r="K241" s="98">
        <f t="shared" si="31"/>
        <v>5729999</v>
      </c>
      <c r="L241" s="98">
        <f t="shared" si="32"/>
        <v>5729999</v>
      </c>
      <c r="M241" s="98">
        <f t="shared" si="33"/>
        <v>0</v>
      </c>
      <c r="N241" s="100"/>
    </row>
    <row r="242" spans="1:14" ht="15.75" customHeight="1" x14ac:dyDescent="0.25">
      <c r="A242" s="52" t="str">
        <f t="shared" si="29"/>
        <v>TL</v>
      </c>
      <c r="B242" s="32" t="s">
        <v>389</v>
      </c>
      <c r="C242" s="33">
        <v>237</v>
      </c>
      <c r="D242" s="39" t="s">
        <v>125</v>
      </c>
      <c r="E242" s="33" t="s">
        <v>10</v>
      </c>
      <c r="F242" s="33">
        <v>15.66</v>
      </c>
      <c r="G242" s="33">
        <f t="shared" si="30"/>
        <v>15.66</v>
      </c>
      <c r="H242" s="33"/>
      <c r="I242" s="34" t="s">
        <v>13</v>
      </c>
      <c r="J242" s="99">
        <f>+'[1]Dự thầu'!$G$372</f>
        <v>104798</v>
      </c>
      <c r="K242" s="98">
        <f t="shared" si="31"/>
        <v>1641137</v>
      </c>
      <c r="L242" s="98">
        <f t="shared" si="32"/>
        <v>1641137</v>
      </c>
      <c r="M242" s="98">
        <f t="shared" si="33"/>
        <v>0</v>
      </c>
      <c r="N242" s="100"/>
    </row>
    <row r="243" spans="1:14" ht="31.5" customHeight="1" x14ac:dyDescent="0.25">
      <c r="A243" s="52" t="str">
        <f t="shared" si="29"/>
        <v>TL</v>
      </c>
      <c r="B243" s="32" t="s">
        <v>390</v>
      </c>
      <c r="C243" s="33">
        <v>238</v>
      </c>
      <c r="D243" s="39" t="s">
        <v>240</v>
      </c>
      <c r="E243" s="33" t="s">
        <v>10</v>
      </c>
      <c r="F243" s="33">
        <v>1.68</v>
      </c>
      <c r="G243" s="33">
        <f t="shared" si="30"/>
        <v>1.68</v>
      </c>
      <c r="H243" s="33"/>
      <c r="I243" s="34" t="s">
        <v>16</v>
      </c>
      <c r="J243" s="99">
        <f>+'[1]Dự thầu'!$G$373</f>
        <v>842139</v>
      </c>
      <c r="K243" s="98">
        <f t="shared" si="31"/>
        <v>1414794</v>
      </c>
      <c r="L243" s="98">
        <f t="shared" si="32"/>
        <v>1414794</v>
      </c>
      <c r="M243" s="98">
        <f t="shared" si="33"/>
        <v>0</v>
      </c>
      <c r="N243" s="100"/>
    </row>
    <row r="244" spans="1:14" ht="15.75" customHeight="1" x14ac:dyDescent="0.25">
      <c r="A244" s="52" t="str">
        <f t="shared" si="29"/>
        <v>TL</v>
      </c>
      <c r="B244" s="32" t="s">
        <v>391</v>
      </c>
      <c r="C244" s="33">
        <v>239</v>
      </c>
      <c r="D244" s="39" t="s">
        <v>122</v>
      </c>
      <c r="E244" s="33" t="s">
        <v>10</v>
      </c>
      <c r="F244" s="33">
        <v>13.72</v>
      </c>
      <c r="G244" s="33">
        <f t="shared" si="30"/>
        <v>13.72</v>
      </c>
      <c r="H244" s="33"/>
      <c r="I244" s="34" t="s">
        <v>16</v>
      </c>
      <c r="J244" s="99">
        <f>+'[1]Dự thầu'!$G$374</f>
        <v>1866757</v>
      </c>
      <c r="K244" s="98">
        <f t="shared" si="31"/>
        <v>25611906</v>
      </c>
      <c r="L244" s="98">
        <f t="shared" si="32"/>
        <v>25611906</v>
      </c>
      <c r="M244" s="98">
        <f t="shared" si="33"/>
        <v>0</v>
      </c>
      <c r="N244" s="100"/>
    </row>
    <row r="245" spans="1:14" ht="15.75" customHeight="1" x14ac:dyDescent="0.25">
      <c r="A245" s="52" t="str">
        <f t="shared" si="29"/>
        <v>TL</v>
      </c>
      <c r="B245" s="32" t="s">
        <v>392</v>
      </c>
      <c r="C245" s="33">
        <v>240</v>
      </c>
      <c r="D245" s="39" t="s">
        <v>393</v>
      </c>
      <c r="E245" s="33" t="s">
        <v>10</v>
      </c>
      <c r="F245" s="33">
        <v>85.39</v>
      </c>
      <c r="G245" s="33">
        <f t="shared" si="30"/>
        <v>85.39</v>
      </c>
      <c r="H245" s="33"/>
      <c r="I245" s="34" t="s">
        <v>13</v>
      </c>
      <c r="J245" s="99">
        <f>+'[1]Dự thầu'!$G$375</f>
        <v>79477</v>
      </c>
      <c r="K245" s="98">
        <f t="shared" si="31"/>
        <v>6786541</v>
      </c>
      <c r="L245" s="98">
        <f t="shared" si="32"/>
        <v>6786541</v>
      </c>
      <c r="M245" s="98">
        <f t="shared" si="33"/>
        <v>0</v>
      </c>
      <c r="N245" s="100"/>
    </row>
    <row r="246" spans="1:14" ht="15.75" customHeight="1" x14ac:dyDescent="0.25">
      <c r="A246" s="52" t="str">
        <f t="shared" si="29"/>
        <v>TL</v>
      </c>
      <c r="B246" s="32" t="s">
        <v>394</v>
      </c>
      <c r="C246" s="33">
        <v>241</v>
      </c>
      <c r="D246" s="39" t="s">
        <v>242</v>
      </c>
      <c r="E246" s="33" t="s">
        <v>10</v>
      </c>
      <c r="F246" s="33">
        <v>0.39</v>
      </c>
      <c r="G246" s="33">
        <f t="shared" si="30"/>
        <v>0.39</v>
      </c>
      <c r="H246" s="33"/>
      <c r="I246" s="34" t="s">
        <v>16</v>
      </c>
      <c r="J246" s="99">
        <f>+'[1]Dự thầu'!$G$376</f>
        <v>1631803</v>
      </c>
      <c r="K246" s="98">
        <f t="shared" si="31"/>
        <v>636403</v>
      </c>
      <c r="L246" s="98">
        <f t="shared" si="32"/>
        <v>636403</v>
      </c>
      <c r="M246" s="98">
        <f t="shared" si="33"/>
        <v>0</v>
      </c>
      <c r="N246" s="100"/>
    </row>
    <row r="247" spans="1:14" ht="31.5" customHeight="1" x14ac:dyDescent="0.25">
      <c r="A247" s="52" t="str">
        <f t="shared" si="29"/>
        <v>TL</v>
      </c>
      <c r="B247" s="32" t="s">
        <v>395</v>
      </c>
      <c r="C247" s="33">
        <v>242</v>
      </c>
      <c r="D247" s="39" t="s">
        <v>244</v>
      </c>
      <c r="E247" s="33" t="s">
        <v>10</v>
      </c>
      <c r="F247" s="33">
        <v>1.62</v>
      </c>
      <c r="G247" s="33">
        <f t="shared" si="30"/>
        <v>1.62</v>
      </c>
      <c r="H247" s="33"/>
      <c r="I247" s="34" t="s">
        <v>13</v>
      </c>
      <c r="J247" s="99">
        <f>+'[1]Dự thầu'!$G$377</f>
        <v>87361</v>
      </c>
      <c r="K247" s="98">
        <f t="shared" si="31"/>
        <v>141525</v>
      </c>
      <c r="L247" s="98">
        <f t="shared" si="32"/>
        <v>141525</v>
      </c>
      <c r="M247" s="98">
        <f t="shared" si="33"/>
        <v>0</v>
      </c>
      <c r="N247" s="100"/>
    </row>
    <row r="248" spans="1:14" ht="31.5" customHeight="1" x14ac:dyDescent="0.25">
      <c r="A248" s="52" t="str">
        <f t="shared" si="29"/>
        <v>TL</v>
      </c>
      <c r="B248" s="32" t="s">
        <v>396</v>
      </c>
      <c r="C248" s="33">
        <v>243</v>
      </c>
      <c r="D248" s="39" t="s">
        <v>246</v>
      </c>
      <c r="E248" s="33" t="s">
        <v>10</v>
      </c>
      <c r="F248" s="33">
        <v>0.01</v>
      </c>
      <c r="G248" s="33">
        <f t="shared" si="30"/>
        <v>0.01</v>
      </c>
      <c r="H248" s="33"/>
      <c r="I248" s="34" t="s">
        <v>90</v>
      </c>
      <c r="J248" s="99">
        <f>+'[1]Dự thầu'!$G$378</f>
        <v>27096238</v>
      </c>
      <c r="K248" s="98">
        <f t="shared" si="31"/>
        <v>270962</v>
      </c>
      <c r="L248" s="98">
        <f t="shared" si="32"/>
        <v>270962</v>
      </c>
      <c r="M248" s="98">
        <f t="shared" si="33"/>
        <v>0</v>
      </c>
      <c r="N248" s="100"/>
    </row>
    <row r="249" spans="1:14" ht="31.5" customHeight="1" x14ac:dyDescent="0.25">
      <c r="A249" s="52" t="str">
        <f t="shared" si="29"/>
        <v>TL</v>
      </c>
      <c r="B249" s="32" t="s">
        <v>397</v>
      </c>
      <c r="C249" s="33">
        <v>244</v>
      </c>
      <c r="D249" s="39" t="s">
        <v>246</v>
      </c>
      <c r="E249" s="33" t="s">
        <v>10</v>
      </c>
      <c r="F249" s="33">
        <v>0.1</v>
      </c>
      <c r="G249" s="33">
        <f t="shared" si="30"/>
        <v>0.1</v>
      </c>
      <c r="H249" s="33"/>
      <c r="I249" s="34" t="s">
        <v>90</v>
      </c>
      <c r="J249" s="99">
        <f>+'[1]Dự thầu'!$G$379</f>
        <v>27096238</v>
      </c>
      <c r="K249" s="98">
        <f t="shared" si="31"/>
        <v>2709624</v>
      </c>
      <c r="L249" s="98">
        <f t="shared" si="32"/>
        <v>2709624</v>
      </c>
      <c r="M249" s="98">
        <f t="shared" si="33"/>
        <v>0</v>
      </c>
      <c r="N249" s="100"/>
    </row>
    <row r="250" spans="1:14" ht="47.25" customHeight="1" x14ac:dyDescent="0.25">
      <c r="A250" s="52" t="str">
        <f t="shared" si="29"/>
        <v>TL</v>
      </c>
      <c r="B250" s="32" t="s">
        <v>398</v>
      </c>
      <c r="C250" s="33">
        <v>245</v>
      </c>
      <c r="D250" s="39" t="s">
        <v>272</v>
      </c>
      <c r="E250" s="33" t="s">
        <v>10</v>
      </c>
      <c r="F250" s="33">
        <v>0.97</v>
      </c>
      <c r="G250" s="33">
        <f t="shared" si="30"/>
        <v>0.97</v>
      </c>
      <c r="H250" s="33"/>
      <c r="I250" s="34" t="s">
        <v>90</v>
      </c>
      <c r="J250" s="99">
        <f>+'[1]Dự thầu'!$G$380</f>
        <v>51234</v>
      </c>
      <c r="K250" s="98">
        <f t="shared" si="31"/>
        <v>49697</v>
      </c>
      <c r="L250" s="98">
        <f t="shared" si="32"/>
        <v>49697</v>
      </c>
      <c r="M250" s="98">
        <f t="shared" si="33"/>
        <v>0</v>
      </c>
      <c r="N250" s="100"/>
    </row>
    <row r="251" spans="1:14" ht="47.25" customHeight="1" x14ac:dyDescent="0.25">
      <c r="A251" s="52" t="str">
        <f t="shared" si="29"/>
        <v>TL</v>
      </c>
      <c r="B251" s="32" t="s">
        <v>399</v>
      </c>
      <c r="C251" s="33">
        <v>246</v>
      </c>
      <c r="D251" s="39" t="s">
        <v>252</v>
      </c>
      <c r="E251" s="33" t="s">
        <v>10</v>
      </c>
      <c r="F251" s="33">
        <v>0.1</v>
      </c>
      <c r="G251" s="33">
        <f t="shared" si="30"/>
        <v>0.1</v>
      </c>
      <c r="H251" s="33"/>
      <c r="I251" s="34" t="s">
        <v>274</v>
      </c>
      <c r="J251" s="99">
        <f>+'[1]Dự thầu'!$G$381</f>
        <v>32162</v>
      </c>
      <c r="K251" s="98">
        <f t="shared" si="31"/>
        <v>3216</v>
      </c>
      <c r="L251" s="98">
        <f t="shared" si="32"/>
        <v>3216</v>
      </c>
      <c r="M251" s="98">
        <f t="shared" si="33"/>
        <v>0</v>
      </c>
      <c r="N251" s="100"/>
    </row>
    <row r="252" spans="1:14" ht="15.75" customHeight="1" x14ac:dyDescent="0.25">
      <c r="A252" s="52" t="str">
        <f t="shared" si="29"/>
        <v>TL</v>
      </c>
      <c r="B252" s="32" t="s">
        <v>400</v>
      </c>
      <c r="C252" s="33">
        <v>247</v>
      </c>
      <c r="D252" s="39" t="s">
        <v>296</v>
      </c>
      <c r="E252" s="33" t="s">
        <v>10</v>
      </c>
      <c r="F252" s="33">
        <v>8</v>
      </c>
      <c r="G252" s="33">
        <f t="shared" si="30"/>
        <v>8</v>
      </c>
      <c r="H252" s="33"/>
      <c r="I252" s="34" t="s">
        <v>297</v>
      </c>
      <c r="J252" s="99">
        <f>+'[1]Dự thầu'!$G$382</f>
        <v>36395</v>
      </c>
      <c r="K252" s="98">
        <f t="shared" si="31"/>
        <v>291160</v>
      </c>
      <c r="L252" s="98">
        <f t="shared" si="32"/>
        <v>291160</v>
      </c>
      <c r="M252" s="98">
        <f t="shared" si="33"/>
        <v>0</v>
      </c>
      <c r="N252" s="100"/>
    </row>
    <row r="253" spans="1:14" ht="47.25" customHeight="1" x14ac:dyDescent="0.25">
      <c r="A253" s="52" t="str">
        <f t="shared" si="29"/>
        <v>TL</v>
      </c>
      <c r="B253" s="32" t="s">
        <v>401</v>
      </c>
      <c r="C253" s="33">
        <v>248</v>
      </c>
      <c r="D253" s="39" t="s">
        <v>120</v>
      </c>
      <c r="E253" s="33" t="s">
        <v>10</v>
      </c>
      <c r="F253" s="33">
        <v>0.02</v>
      </c>
      <c r="G253" s="33">
        <f t="shared" si="30"/>
        <v>0.02</v>
      </c>
      <c r="H253" s="33"/>
      <c r="I253" s="34" t="s">
        <v>16</v>
      </c>
      <c r="J253" s="99">
        <f>+'[1]Dự thầu'!$G$383</f>
        <v>1191268</v>
      </c>
      <c r="K253" s="98">
        <f t="shared" si="31"/>
        <v>23825</v>
      </c>
      <c r="L253" s="98">
        <f t="shared" si="32"/>
        <v>23825</v>
      </c>
      <c r="M253" s="98">
        <f t="shared" si="33"/>
        <v>0</v>
      </c>
      <c r="N253" s="100"/>
    </row>
    <row r="254" spans="1:14" ht="15.75" customHeight="1" x14ac:dyDescent="0.25">
      <c r="A254" s="52" t="str">
        <f t="shared" si="29"/>
        <v>TL</v>
      </c>
      <c r="B254" s="32" t="s">
        <v>402</v>
      </c>
      <c r="C254" s="33">
        <v>249</v>
      </c>
      <c r="D254" s="39" t="s">
        <v>278</v>
      </c>
      <c r="E254" s="33" t="s">
        <v>10</v>
      </c>
      <c r="F254" s="33">
        <v>0.16</v>
      </c>
      <c r="G254" s="33">
        <f t="shared" si="30"/>
        <v>0.16</v>
      </c>
      <c r="H254" s="33"/>
      <c r="I254" s="34" t="s">
        <v>16</v>
      </c>
      <c r="J254" s="99">
        <f>+'[1]Dự thầu'!$G$384</f>
        <v>1533135</v>
      </c>
      <c r="K254" s="98">
        <f t="shared" si="31"/>
        <v>245302</v>
      </c>
      <c r="L254" s="98">
        <f t="shared" si="32"/>
        <v>245302</v>
      </c>
      <c r="M254" s="98">
        <f t="shared" si="33"/>
        <v>0</v>
      </c>
      <c r="N254" s="100"/>
    </row>
    <row r="255" spans="1:14" ht="31.5" customHeight="1" x14ac:dyDescent="0.25">
      <c r="A255" s="52" t="str">
        <f t="shared" si="29"/>
        <v>TL</v>
      </c>
      <c r="B255" s="32" t="s">
        <v>403</v>
      </c>
      <c r="C255" s="33">
        <v>250</v>
      </c>
      <c r="D255" s="39" t="s">
        <v>244</v>
      </c>
      <c r="E255" s="33" t="s">
        <v>10</v>
      </c>
      <c r="F255" s="33">
        <v>0.7</v>
      </c>
      <c r="G255" s="33">
        <f t="shared" si="30"/>
        <v>0.7</v>
      </c>
      <c r="H255" s="33"/>
      <c r="I255" s="34" t="s">
        <v>13</v>
      </c>
      <c r="J255" s="99">
        <f>+'[1]Dự thầu'!$G$385</f>
        <v>87361</v>
      </c>
      <c r="K255" s="98">
        <f t="shared" si="31"/>
        <v>61153</v>
      </c>
      <c r="L255" s="98">
        <f t="shared" si="32"/>
        <v>61153</v>
      </c>
      <c r="M255" s="98">
        <f t="shared" si="33"/>
        <v>0</v>
      </c>
      <c r="N255" s="100"/>
    </row>
    <row r="256" spans="1:14" ht="47.25" customHeight="1" x14ac:dyDescent="0.25">
      <c r="A256" s="52" t="str">
        <f t="shared" si="29"/>
        <v>TL</v>
      </c>
      <c r="B256" s="32" t="s">
        <v>404</v>
      </c>
      <c r="C256" s="33">
        <v>251</v>
      </c>
      <c r="D256" s="39" t="s">
        <v>405</v>
      </c>
      <c r="E256" s="33" t="s">
        <v>10</v>
      </c>
      <c r="F256" s="33">
        <v>4</v>
      </c>
      <c r="G256" s="33">
        <f t="shared" si="30"/>
        <v>4</v>
      </c>
      <c r="H256" s="33"/>
      <c r="I256" s="34" t="s">
        <v>75</v>
      </c>
      <c r="J256" s="99">
        <f>+'[1]Dự thầu'!$G$386</f>
        <v>320929</v>
      </c>
      <c r="K256" s="98">
        <f t="shared" si="31"/>
        <v>1283716</v>
      </c>
      <c r="L256" s="98">
        <f t="shared" si="32"/>
        <v>1283716</v>
      </c>
      <c r="M256" s="98">
        <f t="shared" si="33"/>
        <v>0</v>
      </c>
      <c r="N256" s="100"/>
    </row>
    <row r="257" spans="1:14" ht="47.25" customHeight="1" x14ac:dyDescent="0.25">
      <c r="A257" s="52" t="str">
        <f t="shared" si="29"/>
        <v>TL</v>
      </c>
      <c r="B257" s="32" t="s">
        <v>406</v>
      </c>
      <c r="C257" s="33">
        <v>252</v>
      </c>
      <c r="D257" s="39" t="s">
        <v>272</v>
      </c>
      <c r="E257" s="33" t="s">
        <v>10</v>
      </c>
      <c r="F257" s="33">
        <v>0.41</v>
      </c>
      <c r="G257" s="33">
        <f t="shared" si="30"/>
        <v>0.41</v>
      </c>
      <c r="H257" s="33"/>
      <c r="I257" s="34" t="s">
        <v>90</v>
      </c>
      <c r="J257" s="99">
        <f>+'[1]Dự thầu'!$G$387</f>
        <v>51234</v>
      </c>
      <c r="K257" s="98">
        <f t="shared" ref="K257:K266" si="34">+ROUND(J257*F257,0)</f>
        <v>21006</v>
      </c>
      <c r="L257" s="98">
        <f t="shared" ref="L257:L266" si="35">+ROUND(G257*J257,0)</f>
        <v>21006</v>
      </c>
      <c r="M257" s="98">
        <f t="shared" ref="M257:M266" si="36">+ROUND(H257*J257,0)</f>
        <v>0</v>
      </c>
      <c r="N257" s="100"/>
    </row>
    <row r="258" spans="1:14" ht="31.5" customHeight="1" x14ac:dyDescent="0.25">
      <c r="A258" s="52" t="str">
        <f t="shared" si="29"/>
        <v>TL</v>
      </c>
      <c r="B258" s="32" t="s">
        <v>407</v>
      </c>
      <c r="C258" s="33">
        <v>253</v>
      </c>
      <c r="D258" s="39" t="s">
        <v>284</v>
      </c>
      <c r="E258" s="33" t="s">
        <v>10</v>
      </c>
      <c r="F258" s="33">
        <v>0.04</v>
      </c>
      <c r="G258" s="33">
        <f t="shared" si="30"/>
        <v>0.04</v>
      </c>
      <c r="H258" s="33"/>
      <c r="I258" s="34" t="s">
        <v>274</v>
      </c>
      <c r="J258" s="99">
        <f>+'[1]Dự thầu'!$G$388</f>
        <v>32162</v>
      </c>
      <c r="K258" s="98">
        <f t="shared" si="34"/>
        <v>1286</v>
      </c>
      <c r="L258" s="98">
        <f t="shared" si="35"/>
        <v>1286</v>
      </c>
      <c r="M258" s="98">
        <f t="shared" si="36"/>
        <v>0</v>
      </c>
      <c r="N258" s="100"/>
    </row>
    <row r="259" spans="1:14" ht="15.75" customHeight="1" x14ac:dyDescent="0.25">
      <c r="A259" s="52" t="str">
        <f t="shared" si="29"/>
        <v>TL</v>
      </c>
      <c r="B259" s="32" t="s">
        <v>408</v>
      </c>
      <c r="C259" s="33">
        <v>254</v>
      </c>
      <c r="D259" s="39" t="s">
        <v>242</v>
      </c>
      <c r="E259" s="33" t="s">
        <v>10</v>
      </c>
      <c r="F259" s="33">
        <v>0.38</v>
      </c>
      <c r="G259" s="33">
        <f t="shared" si="30"/>
        <v>0.38</v>
      </c>
      <c r="H259" s="33"/>
      <c r="I259" s="34" t="s">
        <v>16</v>
      </c>
      <c r="J259" s="99">
        <f>+'[1]Dự thầu'!$G$389</f>
        <v>1631803</v>
      </c>
      <c r="K259" s="98">
        <f t="shared" si="34"/>
        <v>620085</v>
      </c>
      <c r="L259" s="98">
        <f t="shared" si="35"/>
        <v>620085</v>
      </c>
      <c r="M259" s="98">
        <f t="shared" si="36"/>
        <v>0</v>
      </c>
      <c r="N259" s="100"/>
    </row>
    <row r="260" spans="1:14" ht="31.5" customHeight="1" x14ac:dyDescent="0.25">
      <c r="A260" s="52" t="str">
        <f t="shared" si="29"/>
        <v>TL</v>
      </c>
      <c r="B260" s="32" t="s">
        <v>409</v>
      </c>
      <c r="C260" s="33">
        <v>255</v>
      </c>
      <c r="D260" s="39" t="s">
        <v>244</v>
      </c>
      <c r="E260" s="33" t="s">
        <v>10</v>
      </c>
      <c r="F260" s="33">
        <v>7.48</v>
      </c>
      <c r="G260" s="33">
        <f t="shared" si="30"/>
        <v>7.48</v>
      </c>
      <c r="H260" s="33"/>
      <c r="I260" s="34" t="s">
        <v>13</v>
      </c>
      <c r="J260" s="99">
        <f>+'[1]Dự thầu'!$G$390</f>
        <v>87361</v>
      </c>
      <c r="K260" s="98">
        <f t="shared" si="34"/>
        <v>653460</v>
      </c>
      <c r="L260" s="98">
        <f t="shared" si="35"/>
        <v>653460</v>
      </c>
      <c r="M260" s="98">
        <f t="shared" si="36"/>
        <v>0</v>
      </c>
      <c r="N260" s="100"/>
    </row>
    <row r="261" spans="1:14" ht="31.5" customHeight="1" x14ac:dyDescent="0.25">
      <c r="A261" s="52" t="str">
        <f t="shared" si="29"/>
        <v>TL</v>
      </c>
      <c r="B261" s="32" t="s">
        <v>410</v>
      </c>
      <c r="C261" s="33">
        <v>256</v>
      </c>
      <c r="D261" s="39" t="s">
        <v>246</v>
      </c>
      <c r="E261" s="33" t="s">
        <v>10</v>
      </c>
      <c r="F261" s="33">
        <v>0.01</v>
      </c>
      <c r="G261" s="33">
        <f t="shared" si="30"/>
        <v>0.01</v>
      </c>
      <c r="H261" s="33"/>
      <c r="I261" s="34" t="s">
        <v>90</v>
      </c>
      <c r="J261" s="99">
        <f>+'[1]Dự thầu'!$G$391</f>
        <v>27096238</v>
      </c>
      <c r="K261" s="98">
        <f t="shared" si="34"/>
        <v>270962</v>
      </c>
      <c r="L261" s="98">
        <f t="shared" si="35"/>
        <v>270962</v>
      </c>
      <c r="M261" s="98">
        <f t="shared" si="36"/>
        <v>0</v>
      </c>
      <c r="N261" s="100"/>
    </row>
    <row r="262" spans="1:14" ht="31.5" customHeight="1" x14ac:dyDescent="0.25">
      <c r="A262" s="52" t="str">
        <f t="shared" si="29"/>
        <v>TL</v>
      </c>
      <c r="B262" s="32" t="s">
        <v>411</v>
      </c>
      <c r="C262" s="33">
        <v>257</v>
      </c>
      <c r="D262" s="39" t="s">
        <v>246</v>
      </c>
      <c r="E262" s="33" t="s">
        <v>10</v>
      </c>
      <c r="F262" s="33">
        <v>0.03</v>
      </c>
      <c r="G262" s="33">
        <f t="shared" si="30"/>
        <v>0.03</v>
      </c>
      <c r="H262" s="33"/>
      <c r="I262" s="34" t="s">
        <v>90</v>
      </c>
      <c r="J262" s="99">
        <f>+'[1]Dự thầu'!$G$392</f>
        <v>27096238</v>
      </c>
      <c r="K262" s="98">
        <f t="shared" si="34"/>
        <v>812887</v>
      </c>
      <c r="L262" s="98">
        <f t="shared" si="35"/>
        <v>812887</v>
      </c>
      <c r="M262" s="98">
        <f t="shared" si="36"/>
        <v>0</v>
      </c>
      <c r="N262" s="100"/>
    </row>
    <row r="263" spans="1:14" ht="47.25" customHeight="1" x14ac:dyDescent="0.25">
      <c r="A263" s="52" t="str">
        <f t="shared" ref="A263:A326" si="37">A262</f>
        <v>TL</v>
      </c>
      <c r="B263" s="32" t="s">
        <v>412</v>
      </c>
      <c r="C263" s="33">
        <v>258</v>
      </c>
      <c r="D263" s="39" t="s">
        <v>272</v>
      </c>
      <c r="E263" s="33" t="s">
        <v>10</v>
      </c>
      <c r="F263" s="33">
        <v>0.94</v>
      </c>
      <c r="G263" s="33">
        <f t="shared" ref="G263:G326" si="38">+F263</f>
        <v>0.94</v>
      </c>
      <c r="H263" s="33"/>
      <c r="I263" s="34" t="s">
        <v>90</v>
      </c>
      <c r="J263" s="99">
        <f>+'[1]Dự thầu'!$G$393</f>
        <v>51234</v>
      </c>
      <c r="K263" s="98">
        <f t="shared" si="34"/>
        <v>48160</v>
      </c>
      <c r="L263" s="98">
        <f t="shared" si="35"/>
        <v>48160</v>
      </c>
      <c r="M263" s="98">
        <f t="shared" si="36"/>
        <v>0</v>
      </c>
      <c r="N263" s="100"/>
    </row>
    <row r="264" spans="1:14" ht="47.25" customHeight="1" x14ac:dyDescent="0.25">
      <c r="A264" s="52" t="str">
        <f t="shared" si="37"/>
        <v>TL</v>
      </c>
      <c r="B264" s="32" t="s">
        <v>413</v>
      </c>
      <c r="C264" s="33">
        <v>259</v>
      </c>
      <c r="D264" s="39" t="s">
        <v>252</v>
      </c>
      <c r="E264" s="33" t="s">
        <v>10</v>
      </c>
      <c r="F264" s="33">
        <v>0.09</v>
      </c>
      <c r="G264" s="33">
        <f t="shared" si="38"/>
        <v>0.09</v>
      </c>
      <c r="H264" s="33"/>
      <c r="I264" s="34" t="s">
        <v>253</v>
      </c>
      <c r="J264" s="99">
        <f>+'[1]Dự thầu'!$G$394</f>
        <v>32162</v>
      </c>
      <c r="K264" s="98">
        <f t="shared" si="34"/>
        <v>2895</v>
      </c>
      <c r="L264" s="98">
        <f t="shared" si="35"/>
        <v>2895</v>
      </c>
      <c r="M264" s="98">
        <f t="shared" si="36"/>
        <v>0</v>
      </c>
      <c r="N264" s="100"/>
    </row>
    <row r="265" spans="1:14" ht="15.75" customHeight="1" x14ac:dyDescent="0.25">
      <c r="A265" s="52" t="str">
        <f t="shared" si="37"/>
        <v>TL</v>
      </c>
      <c r="B265" s="32" t="s">
        <v>414</v>
      </c>
      <c r="C265" s="33">
        <v>260</v>
      </c>
      <c r="D265" s="39" t="s">
        <v>296</v>
      </c>
      <c r="E265" s="33" t="s">
        <v>10</v>
      </c>
      <c r="F265" s="33">
        <v>4</v>
      </c>
      <c r="G265" s="33">
        <f t="shared" si="38"/>
        <v>4</v>
      </c>
      <c r="H265" s="33"/>
      <c r="I265" s="34" t="s">
        <v>297</v>
      </c>
      <c r="J265" s="99">
        <f>+'[1]Dự thầu'!$G$395</f>
        <v>36395</v>
      </c>
      <c r="K265" s="98">
        <f t="shared" si="34"/>
        <v>145580</v>
      </c>
      <c r="L265" s="98">
        <f t="shared" si="35"/>
        <v>145580</v>
      </c>
      <c r="M265" s="98">
        <f t="shared" si="36"/>
        <v>0</v>
      </c>
      <c r="N265" s="100"/>
    </row>
    <row r="266" spans="1:14" ht="15.75" customHeight="1" x14ac:dyDescent="0.25">
      <c r="A266" s="52" t="str">
        <f t="shared" si="37"/>
        <v>TL</v>
      </c>
      <c r="B266" s="32" t="s">
        <v>415</v>
      </c>
      <c r="C266" s="33">
        <v>261</v>
      </c>
      <c r="D266" s="39" t="s">
        <v>299</v>
      </c>
      <c r="E266" s="33" t="s">
        <v>10</v>
      </c>
      <c r="F266" s="33">
        <v>4</v>
      </c>
      <c r="G266" s="33">
        <f t="shared" si="38"/>
        <v>4</v>
      </c>
      <c r="H266" s="33"/>
      <c r="I266" s="34" t="s">
        <v>258</v>
      </c>
      <c r="J266" s="99">
        <f>+'[1]Dự thầu'!$G$396</f>
        <v>787114</v>
      </c>
      <c r="K266" s="98">
        <f t="shared" si="34"/>
        <v>3148456</v>
      </c>
      <c r="L266" s="98">
        <f t="shared" si="35"/>
        <v>3148456</v>
      </c>
      <c r="M266" s="98">
        <f t="shared" si="36"/>
        <v>0</v>
      </c>
      <c r="N266" s="100"/>
    </row>
    <row r="267" spans="1:14" s="22" customFormat="1" ht="47.25" customHeight="1" x14ac:dyDescent="0.25">
      <c r="A267" s="52" t="str">
        <f t="shared" si="37"/>
        <v>TL</v>
      </c>
      <c r="B267" s="29">
        <v>5</v>
      </c>
      <c r="C267" s="30">
        <v>262</v>
      </c>
      <c r="D267" s="12" t="s">
        <v>416</v>
      </c>
      <c r="E267" s="30" t="s">
        <v>10</v>
      </c>
      <c r="F267" s="30"/>
      <c r="G267" s="30">
        <f t="shared" si="38"/>
        <v>0</v>
      </c>
      <c r="H267" s="30"/>
      <c r="I267" s="31"/>
      <c r="J267" s="97"/>
      <c r="K267" s="104"/>
      <c r="L267" s="104"/>
      <c r="M267" s="104"/>
      <c r="N267" s="105"/>
    </row>
    <row r="268" spans="1:14" ht="31.5" customHeight="1" x14ac:dyDescent="0.25">
      <c r="A268" s="52" t="str">
        <f t="shared" si="37"/>
        <v>TL</v>
      </c>
      <c r="B268" s="32" t="s">
        <v>417</v>
      </c>
      <c r="C268" s="33">
        <v>263</v>
      </c>
      <c r="D268" s="39" t="s">
        <v>418</v>
      </c>
      <c r="E268" s="33" t="s">
        <v>10</v>
      </c>
      <c r="F268" s="33">
        <v>1</v>
      </c>
      <c r="G268" s="33">
        <f t="shared" si="38"/>
        <v>1</v>
      </c>
      <c r="H268" s="33"/>
      <c r="I268" s="34" t="s">
        <v>419</v>
      </c>
      <c r="J268" s="99">
        <f>+'[1]Dự thầu'!$G$416</f>
        <v>4332357</v>
      </c>
      <c r="K268" s="98">
        <f t="shared" ref="K268:K307" si="39">+ROUND(J268*F268,0)</f>
        <v>4332357</v>
      </c>
      <c r="L268" s="98">
        <f t="shared" ref="L268:L307" si="40">+ROUND(G268*J268,0)</f>
        <v>4332357</v>
      </c>
      <c r="M268" s="98">
        <f t="shared" ref="M268:M307" si="41">+ROUND(H268*J268,0)</f>
        <v>0</v>
      </c>
      <c r="N268" s="100"/>
    </row>
    <row r="269" spans="1:14" ht="31.5" customHeight="1" x14ac:dyDescent="0.25">
      <c r="A269" s="52" t="str">
        <f t="shared" si="37"/>
        <v>TL</v>
      </c>
      <c r="B269" s="32" t="s">
        <v>420</v>
      </c>
      <c r="C269" s="33">
        <v>264</v>
      </c>
      <c r="D269" s="39" t="s">
        <v>421</v>
      </c>
      <c r="E269" s="33" t="s">
        <v>10</v>
      </c>
      <c r="F269" s="33">
        <v>8</v>
      </c>
      <c r="G269" s="33">
        <f t="shared" si="38"/>
        <v>8</v>
      </c>
      <c r="H269" s="33"/>
      <c r="I269" s="34" t="s">
        <v>419</v>
      </c>
      <c r="J269" s="99">
        <f>+'[1]Dự thầu'!$G$417</f>
        <v>7260882</v>
      </c>
      <c r="K269" s="98">
        <f t="shared" si="39"/>
        <v>58087056</v>
      </c>
      <c r="L269" s="98">
        <f t="shared" si="40"/>
        <v>58087056</v>
      </c>
      <c r="M269" s="98">
        <f t="shared" si="41"/>
        <v>0</v>
      </c>
      <c r="N269" s="100"/>
    </row>
    <row r="270" spans="1:14" ht="31.5" customHeight="1" x14ac:dyDescent="0.25">
      <c r="A270" s="52" t="str">
        <f t="shared" si="37"/>
        <v>TL</v>
      </c>
      <c r="B270" s="32" t="s">
        <v>422</v>
      </c>
      <c r="C270" s="33">
        <v>265</v>
      </c>
      <c r="D270" s="39" t="s">
        <v>423</v>
      </c>
      <c r="E270" s="33" t="s">
        <v>10</v>
      </c>
      <c r="F270" s="33">
        <v>4</v>
      </c>
      <c r="G270" s="33">
        <f t="shared" si="38"/>
        <v>4</v>
      </c>
      <c r="H270" s="33"/>
      <c r="I270" s="34" t="s">
        <v>419</v>
      </c>
      <c r="J270" s="99">
        <f>+'[1]Dự thầu'!$G$418</f>
        <v>13690906</v>
      </c>
      <c r="K270" s="98">
        <f t="shared" si="39"/>
        <v>54763624</v>
      </c>
      <c r="L270" s="98">
        <f t="shared" si="40"/>
        <v>54763624</v>
      </c>
      <c r="M270" s="98">
        <f t="shared" si="41"/>
        <v>0</v>
      </c>
      <c r="N270" s="100"/>
    </row>
    <row r="271" spans="1:14" ht="31.5" customHeight="1" x14ac:dyDescent="0.25">
      <c r="A271" s="52" t="str">
        <f t="shared" si="37"/>
        <v>TL</v>
      </c>
      <c r="B271" s="32" t="s">
        <v>424</v>
      </c>
      <c r="C271" s="33">
        <v>266</v>
      </c>
      <c r="D271" s="39" t="s">
        <v>425</v>
      </c>
      <c r="E271" s="33" t="s">
        <v>10</v>
      </c>
      <c r="F271" s="33">
        <v>4</v>
      </c>
      <c r="G271" s="33">
        <f t="shared" si="38"/>
        <v>4</v>
      </c>
      <c r="H271" s="33"/>
      <c r="I271" s="34" t="s">
        <v>419</v>
      </c>
      <c r="J271" s="99">
        <f>+'[1]Dự thầu'!$G$419</f>
        <v>22094501</v>
      </c>
      <c r="K271" s="98">
        <f t="shared" si="39"/>
        <v>88378004</v>
      </c>
      <c r="L271" s="98">
        <f t="shared" si="40"/>
        <v>88378004</v>
      </c>
      <c r="M271" s="98">
        <f t="shared" si="41"/>
        <v>0</v>
      </c>
      <c r="N271" s="100"/>
    </row>
    <row r="272" spans="1:14" ht="31.5" customHeight="1" x14ac:dyDescent="0.25">
      <c r="A272" s="52" t="str">
        <f t="shared" si="37"/>
        <v>TL</v>
      </c>
      <c r="B272" s="32" t="s">
        <v>426</v>
      </c>
      <c r="C272" s="33">
        <v>267</v>
      </c>
      <c r="D272" s="39" t="s">
        <v>427</v>
      </c>
      <c r="E272" s="33" t="s">
        <v>10</v>
      </c>
      <c r="F272" s="33">
        <v>9</v>
      </c>
      <c r="G272" s="33">
        <f t="shared" si="38"/>
        <v>9</v>
      </c>
      <c r="H272" s="33"/>
      <c r="I272" s="34" t="s">
        <v>428</v>
      </c>
      <c r="J272" s="99">
        <f>+'[1]Dự thầu'!$G$420</f>
        <v>725765</v>
      </c>
      <c r="K272" s="98">
        <f t="shared" si="39"/>
        <v>6531885</v>
      </c>
      <c r="L272" s="98">
        <f t="shared" si="40"/>
        <v>6531885</v>
      </c>
      <c r="M272" s="98">
        <f t="shared" si="41"/>
        <v>0</v>
      </c>
      <c r="N272" s="100"/>
    </row>
    <row r="273" spans="1:14" ht="31.5" customHeight="1" x14ac:dyDescent="0.25">
      <c r="A273" s="52" t="str">
        <f t="shared" si="37"/>
        <v>TL</v>
      </c>
      <c r="B273" s="32" t="s">
        <v>429</v>
      </c>
      <c r="C273" s="33">
        <v>268</v>
      </c>
      <c r="D273" s="39" t="s">
        <v>430</v>
      </c>
      <c r="E273" s="33" t="s">
        <v>10</v>
      </c>
      <c r="F273" s="33">
        <v>4</v>
      </c>
      <c r="G273" s="33">
        <f t="shared" si="38"/>
        <v>4</v>
      </c>
      <c r="H273" s="33"/>
      <c r="I273" s="34" t="s">
        <v>428</v>
      </c>
      <c r="J273" s="99">
        <f>+'[1]Dự thầu'!$G$421</f>
        <v>1056816</v>
      </c>
      <c r="K273" s="98">
        <f t="shared" si="39"/>
        <v>4227264</v>
      </c>
      <c r="L273" s="98">
        <f t="shared" si="40"/>
        <v>4227264</v>
      </c>
      <c r="M273" s="98">
        <f t="shared" si="41"/>
        <v>0</v>
      </c>
      <c r="N273" s="100"/>
    </row>
    <row r="274" spans="1:14" ht="31.5" customHeight="1" x14ac:dyDescent="0.25">
      <c r="A274" s="52" t="str">
        <f t="shared" si="37"/>
        <v>TL</v>
      </c>
      <c r="B274" s="32" t="s">
        <v>431</v>
      </c>
      <c r="C274" s="33">
        <v>269</v>
      </c>
      <c r="D274" s="39" t="s">
        <v>432</v>
      </c>
      <c r="E274" s="33" t="s">
        <v>10</v>
      </c>
      <c r="F274" s="33">
        <v>4</v>
      </c>
      <c r="G274" s="33">
        <f t="shared" si="38"/>
        <v>4</v>
      </c>
      <c r="H274" s="33"/>
      <c r="I274" s="34" t="s">
        <v>428</v>
      </c>
      <c r="J274" s="99">
        <f>+'[1]Dự thầu'!$G$422</f>
        <v>4227263</v>
      </c>
      <c r="K274" s="98">
        <f t="shared" si="39"/>
        <v>16909052</v>
      </c>
      <c r="L274" s="98">
        <f t="shared" si="40"/>
        <v>16909052</v>
      </c>
      <c r="M274" s="98">
        <f t="shared" si="41"/>
        <v>0</v>
      </c>
      <c r="N274" s="100"/>
    </row>
    <row r="275" spans="1:14" ht="31.5" customHeight="1" x14ac:dyDescent="0.25">
      <c r="A275" s="52" t="str">
        <f t="shared" si="37"/>
        <v>TL</v>
      </c>
      <c r="B275" s="32" t="s">
        <v>433</v>
      </c>
      <c r="C275" s="33">
        <v>270</v>
      </c>
      <c r="D275" s="39" t="s">
        <v>434</v>
      </c>
      <c r="E275" s="33" t="s">
        <v>10</v>
      </c>
      <c r="F275" s="33">
        <v>16</v>
      </c>
      <c r="G275" s="33">
        <f t="shared" si="38"/>
        <v>16</v>
      </c>
      <c r="H275" s="33"/>
      <c r="I275" s="34" t="s">
        <v>428</v>
      </c>
      <c r="J275" s="99">
        <f>+'[1]Dự thầu'!$G$423</f>
        <v>10754096</v>
      </c>
      <c r="K275" s="98">
        <f t="shared" si="39"/>
        <v>172065536</v>
      </c>
      <c r="L275" s="98">
        <f t="shared" si="40"/>
        <v>172065536</v>
      </c>
      <c r="M275" s="98">
        <f t="shared" si="41"/>
        <v>0</v>
      </c>
      <c r="N275" s="100"/>
    </row>
    <row r="276" spans="1:14" ht="31.5" customHeight="1" x14ac:dyDescent="0.25">
      <c r="A276" s="52" t="str">
        <f t="shared" si="37"/>
        <v>TL</v>
      </c>
      <c r="B276" s="32" t="s">
        <v>435</v>
      </c>
      <c r="C276" s="33">
        <v>271</v>
      </c>
      <c r="D276" s="39" t="s">
        <v>436</v>
      </c>
      <c r="E276" s="33" t="s">
        <v>10</v>
      </c>
      <c r="F276" s="33">
        <v>4</v>
      </c>
      <c r="G276" s="33">
        <f t="shared" si="38"/>
        <v>4</v>
      </c>
      <c r="H276" s="33"/>
      <c r="I276" s="34" t="s">
        <v>428</v>
      </c>
      <c r="J276" s="99">
        <f>+'[1]Dự thầu'!$G$424</f>
        <v>8589534</v>
      </c>
      <c r="K276" s="98">
        <f t="shared" si="39"/>
        <v>34358136</v>
      </c>
      <c r="L276" s="98">
        <f t="shared" si="40"/>
        <v>34358136</v>
      </c>
      <c r="M276" s="98">
        <f t="shared" si="41"/>
        <v>0</v>
      </c>
      <c r="N276" s="100"/>
    </row>
    <row r="277" spans="1:14" ht="15.75" customHeight="1" x14ac:dyDescent="0.25">
      <c r="A277" s="52" t="str">
        <f t="shared" si="37"/>
        <v>TL</v>
      </c>
      <c r="B277" s="32" t="s">
        <v>437</v>
      </c>
      <c r="C277" s="33">
        <v>272</v>
      </c>
      <c r="D277" s="39" t="s">
        <v>438</v>
      </c>
      <c r="E277" s="33" t="s">
        <v>10</v>
      </c>
      <c r="F277" s="33">
        <v>8</v>
      </c>
      <c r="G277" s="33">
        <f t="shared" si="38"/>
        <v>8</v>
      </c>
      <c r="H277" s="33"/>
      <c r="I277" s="34" t="s">
        <v>428</v>
      </c>
      <c r="J277" s="99">
        <f>+'[1]Dự thầu'!$G$425</f>
        <v>8080225</v>
      </c>
      <c r="K277" s="98">
        <f t="shared" si="39"/>
        <v>64641800</v>
      </c>
      <c r="L277" s="98">
        <f t="shared" si="40"/>
        <v>64641800</v>
      </c>
      <c r="M277" s="98">
        <f t="shared" si="41"/>
        <v>0</v>
      </c>
      <c r="N277" s="100"/>
    </row>
    <row r="278" spans="1:14" ht="15.75" customHeight="1" x14ac:dyDescent="0.25">
      <c r="A278" s="52" t="str">
        <f t="shared" si="37"/>
        <v>TL</v>
      </c>
      <c r="B278" s="32" t="s">
        <v>439</v>
      </c>
      <c r="C278" s="33">
        <v>273</v>
      </c>
      <c r="D278" s="39" t="s">
        <v>440</v>
      </c>
      <c r="E278" s="33" t="s">
        <v>10</v>
      </c>
      <c r="F278" s="33">
        <v>12</v>
      </c>
      <c r="G278" s="33">
        <f t="shared" si="38"/>
        <v>12</v>
      </c>
      <c r="H278" s="33"/>
      <c r="I278" s="34" t="s">
        <v>428</v>
      </c>
      <c r="J278" s="99">
        <f>+'[1]Dự thầu'!$G$426</f>
        <v>9035179</v>
      </c>
      <c r="K278" s="98">
        <f t="shared" si="39"/>
        <v>108422148</v>
      </c>
      <c r="L278" s="98">
        <f t="shared" si="40"/>
        <v>108422148</v>
      </c>
      <c r="M278" s="98">
        <f t="shared" si="41"/>
        <v>0</v>
      </c>
      <c r="N278" s="100"/>
    </row>
    <row r="279" spans="1:14" ht="15.75" customHeight="1" x14ac:dyDescent="0.25">
      <c r="A279" s="52" t="str">
        <f t="shared" si="37"/>
        <v>TL</v>
      </c>
      <c r="B279" s="32" t="s">
        <v>441</v>
      </c>
      <c r="C279" s="33">
        <v>274</v>
      </c>
      <c r="D279" s="39" t="s">
        <v>442</v>
      </c>
      <c r="E279" s="33" t="s">
        <v>10</v>
      </c>
      <c r="F279" s="33">
        <v>17</v>
      </c>
      <c r="G279" s="33">
        <f t="shared" si="38"/>
        <v>17</v>
      </c>
      <c r="H279" s="33"/>
      <c r="I279" s="34" t="s">
        <v>428</v>
      </c>
      <c r="J279" s="99">
        <f>+'[1]Dự thầu'!$G$427</f>
        <v>5788335</v>
      </c>
      <c r="K279" s="98">
        <f t="shared" si="39"/>
        <v>98401695</v>
      </c>
      <c r="L279" s="98">
        <f t="shared" si="40"/>
        <v>98401695</v>
      </c>
      <c r="M279" s="98">
        <f t="shared" si="41"/>
        <v>0</v>
      </c>
      <c r="N279" s="100"/>
    </row>
    <row r="280" spans="1:14" ht="15.75" customHeight="1" x14ac:dyDescent="0.25">
      <c r="A280" s="52" t="str">
        <f t="shared" si="37"/>
        <v>TL</v>
      </c>
      <c r="B280" s="32" t="s">
        <v>443</v>
      </c>
      <c r="C280" s="33">
        <v>275</v>
      </c>
      <c r="D280" s="39" t="s">
        <v>444</v>
      </c>
      <c r="E280" s="33" t="s">
        <v>10</v>
      </c>
      <c r="F280" s="33">
        <v>2</v>
      </c>
      <c r="G280" s="33">
        <f t="shared" si="38"/>
        <v>2</v>
      </c>
      <c r="H280" s="33"/>
      <c r="I280" s="34" t="s">
        <v>445</v>
      </c>
      <c r="J280" s="99">
        <f>+'[1]Dự thầu'!$G$428</f>
        <v>95959049</v>
      </c>
      <c r="K280" s="98">
        <f t="shared" si="39"/>
        <v>191918098</v>
      </c>
      <c r="L280" s="98">
        <f t="shared" si="40"/>
        <v>191918098</v>
      </c>
      <c r="M280" s="98">
        <f t="shared" si="41"/>
        <v>0</v>
      </c>
      <c r="N280" s="100"/>
    </row>
    <row r="281" spans="1:14" ht="31.5" customHeight="1" x14ac:dyDescent="0.25">
      <c r="A281" s="52" t="str">
        <f t="shared" si="37"/>
        <v>TL</v>
      </c>
      <c r="B281" s="32" t="s">
        <v>446</v>
      </c>
      <c r="C281" s="33">
        <v>276</v>
      </c>
      <c r="D281" s="39" t="s">
        <v>447</v>
      </c>
      <c r="E281" s="33" t="s">
        <v>10</v>
      </c>
      <c r="F281" s="33">
        <v>2</v>
      </c>
      <c r="G281" s="33">
        <f t="shared" si="38"/>
        <v>2</v>
      </c>
      <c r="H281" s="33"/>
      <c r="I281" s="34" t="s">
        <v>428</v>
      </c>
      <c r="J281" s="99">
        <f>+'[1]Dự thầu'!$G$429</f>
        <v>786882</v>
      </c>
      <c r="K281" s="98">
        <f t="shared" si="39"/>
        <v>1573764</v>
      </c>
      <c r="L281" s="98">
        <f t="shared" si="40"/>
        <v>1573764</v>
      </c>
      <c r="M281" s="98">
        <f t="shared" si="41"/>
        <v>0</v>
      </c>
      <c r="N281" s="100"/>
    </row>
    <row r="282" spans="1:14" ht="31.5" customHeight="1" x14ac:dyDescent="0.25">
      <c r="A282" s="52" t="str">
        <f t="shared" si="37"/>
        <v>TL</v>
      </c>
      <c r="B282" s="32" t="s">
        <v>448</v>
      </c>
      <c r="C282" s="33">
        <v>277</v>
      </c>
      <c r="D282" s="39" t="s">
        <v>449</v>
      </c>
      <c r="E282" s="33" t="s">
        <v>10</v>
      </c>
      <c r="F282" s="33">
        <v>670.73</v>
      </c>
      <c r="G282" s="33">
        <f t="shared" si="38"/>
        <v>670.73</v>
      </c>
      <c r="H282" s="33"/>
      <c r="I282" s="34" t="s">
        <v>75</v>
      </c>
      <c r="J282" s="99">
        <f>+'[1]Dự thầu'!$G$430</f>
        <v>235597</v>
      </c>
      <c r="K282" s="98">
        <f t="shared" si="39"/>
        <v>158021976</v>
      </c>
      <c r="L282" s="98">
        <f t="shared" si="40"/>
        <v>158021976</v>
      </c>
      <c r="M282" s="98">
        <f t="shared" si="41"/>
        <v>0</v>
      </c>
      <c r="N282" s="100"/>
    </row>
    <row r="283" spans="1:14" ht="15.75" customHeight="1" x14ac:dyDescent="0.25">
      <c r="A283" s="52" t="str">
        <f t="shared" si="37"/>
        <v>TL</v>
      </c>
      <c r="B283" s="32" t="s">
        <v>450</v>
      </c>
      <c r="C283" s="33">
        <v>278</v>
      </c>
      <c r="D283" s="39" t="s">
        <v>451</v>
      </c>
      <c r="E283" s="33" t="s">
        <v>10</v>
      </c>
      <c r="F283" s="33">
        <v>55.62</v>
      </c>
      <c r="G283" s="33">
        <f t="shared" si="38"/>
        <v>55.62</v>
      </c>
      <c r="H283" s="33"/>
      <c r="I283" s="34" t="s">
        <v>75</v>
      </c>
      <c r="J283" s="99">
        <f>+'[1]Dự thầu'!$G$431</f>
        <v>155482</v>
      </c>
      <c r="K283" s="98">
        <f t="shared" si="39"/>
        <v>8647909</v>
      </c>
      <c r="L283" s="98">
        <f t="shared" si="40"/>
        <v>8647909</v>
      </c>
      <c r="M283" s="98">
        <f t="shared" si="41"/>
        <v>0</v>
      </c>
      <c r="N283" s="100"/>
    </row>
    <row r="284" spans="1:14" ht="15.75" customHeight="1" x14ac:dyDescent="0.25">
      <c r="A284" s="52" t="str">
        <f t="shared" si="37"/>
        <v>TL</v>
      </c>
      <c r="B284" s="32" t="s">
        <v>452</v>
      </c>
      <c r="C284" s="33">
        <v>279</v>
      </c>
      <c r="D284" s="39" t="s">
        <v>453</v>
      </c>
      <c r="E284" s="33" t="s">
        <v>10</v>
      </c>
      <c r="F284" s="33">
        <v>411</v>
      </c>
      <c r="G284" s="33">
        <f t="shared" si="38"/>
        <v>411</v>
      </c>
      <c r="H284" s="33"/>
      <c r="I284" s="34" t="s">
        <v>75</v>
      </c>
      <c r="J284" s="99">
        <f>+'[1]Dự thầu'!$G$432</f>
        <v>47417</v>
      </c>
      <c r="K284" s="98">
        <f t="shared" si="39"/>
        <v>19488387</v>
      </c>
      <c r="L284" s="98">
        <f t="shared" si="40"/>
        <v>19488387</v>
      </c>
      <c r="M284" s="98">
        <f t="shared" si="41"/>
        <v>0</v>
      </c>
      <c r="N284" s="100"/>
    </row>
    <row r="285" spans="1:14" ht="31.5" customHeight="1" x14ac:dyDescent="0.25">
      <c r="A285" s="52" t="str">
        <f t="shared" si="37"/>
        <v>TL</v>
      </c>
      <c r="B285" s="32" t="s">
        <v>454</v>
      </c>
      <c r="C285" s="33">
        <v>280</v>
      </c>
      <c r="D285" s="39" t="s">
        <v>455</v>
      </c>
      <c r="E285" s="33" t="s">
        <v>10</v>
      </c>
      <c r="F285" s="33">
        <v>31</v>
      </c>
      <c r="G285" s="33">
        <f t="shared" si="38"/>
        <v>31</v>
      </c>
      <c r="H285" s="33"/>
      <c r="I285" s="34" t="s">
        <v>456</v>
      </c>
      <c r="J285" s="99">
        <f>+'[1]Dự thầu'!$G$433</f>
        <v>1313212</v>
      </c>
      <c r="K285" s="98">
        <f t="shared" si="39"/>
        <v>40709572</v>
      </c>
      <c r="L285" s="98">
        <f t="shared" si="40"/>
        <v>40709572</v>
      </c>
      <c r="M285" s="98">
        <f t="shared" si="41"/>
        <v>0</v>
      </c>
      <c r="N285" s="100"/>
    </row>
    <row r="286" spans="1:14" ht="15.75" customHeight="1" x14ac:dyDescent="0.25">
      <c r="A286" s="52" t="str">
        <f t="shared" si="37"/>
        <v>TL</v>
      </c>
      <c r="B286" s="32" t="s">
        <v>457</v>
      </c>
      <c r="C286" s="33">
        <v>281</v>
      </c>
      <c r="D286" s="39" t="s">
        <v>458</v>
      </c>
      <c r="E286" s="33" t="s">
        <v>10</v>
      </c>
      <c r="F286" s="33">
        <v>518</v>
      </c>
      <c r="G286" s="33">
        <f t="shared" si="38"/>
        <v>518</v>
      </c>
      <c r="H286" s="33"/>
      <c r="I286" s="34" t="s">
        <v>75</v>
      </c>
      <c r="J286" s="99">
        <f>+'[1]Dự thầu'!$G$434</f>
        <v>42291</v>
      </c>
      <c r="K286" s="98">
        <f t="shared" si="39"/>
        <v>21906738</v>
      </c>
      <c r="L286" s="98">
        <f t="shared" si="40"/>
        <v>21906738</v>
      </c>
      <c r="M286" s="98">
        <f t="shared" si="41"/>
        <v>0</v>
      </c>
      <c r="N286" s="100"/>
    </row>
    <row r="287" spans="1:14" ht="15.75" customHeight="1" x14ac:dyDescent="0.25">
      <c r="A287" s="52" t="str">
        <f t="shared" si="37"/>
        <v>TL</v>
      </c>
      <c r="B287" s="32" t="s">
        <v>459</v>
      </c>
      <c r="C287" s="33">
        <v>282</v>
      </c>
      <c r="D287" s="39" t="s">
        <v>460</v>
      </c>
      <c r="E287" s="33" t="s">
        <v>10</v>
      </c>
      <c r="F287" s="33">
        <v>17</v>
      </c>
      <c r="G287" s="33">
        <f t="shared" si="38"/>
        <v>17</v>
      </c>
      <c r="H287" s="33"/>
      <c r="I287" s="34" t="s">
        <v>258</v>
      </c>
      <c r="J287" s="99">
        <f>+'[1]Dự thầu'!$G$435</f>
        <v>194956</v>
      </c>
      <c r="K287" s="98">
        <f t="shared" si="39"/>
        <v>3314252</v>
      </c>
      <c r="L287" s="98">
        <f t="shared" si="40"/>
        <v>3314252</v>
      </c>
      <c r="M287" s="98">
        <f t="shared" si="41"/>
        <v>0</v>
      </c>
      <c r="N287" s="100"/>
    </row>
    <row r="288" spans="1:14" ht="15.75" customHeight="1" x14ac:dyDescent="0.25">
      <c r="A288" s="52" t="str">
        <f t="shared" si="37"/>
        <v>TL</v>
      </c>
      <c r="B288" s="32" t="s">
        <v>461</v>
      </c>
      <c r="C288" s="33">
        <v>283</v>
      </c>
      <c r="D288" s="39" t="s">
        <v>462</v>
      </c>
      <c r="E288" s="33" t="s">
        <v>10</v>
      </c>
      <c r="F288" s="33">
        <v>48</v>
      </c>
      <c r="G288" s="33">
        <f t="shared" si="38"/>
        <v>48</v>
      </c>
      <c r="H288" s="33"/>
      <c r="I288" s="34" t="s">
        <v>463</v>
      </c>
      <c r="J288" s="99">
        <f>+'[1]Dự thầu'!$G$439</f>
        <v>39395</v>
      </c>
      <c r="K288" s="98">
        <f t="shared" si="39"/>
        <v>1890960</v>
      </c>
      <c r="L288" s="98">
        <f t="shared" si="40"/>
        <v>1890960</v>
      </c>
      <c r="M288" s="98">
        <f t="shared" si="41"/>
        <v>0</v>
      </c>
      <c r="N288" s="100"/>
    </row>
    <row r="289" spans="1:14" ht="15.75" customHeight="1" x14ac:dyDescent="0.25">
      <c r="A289" s="52" t="str">
        <f t="shared" si="37"/>
        <v>TL</v>
      </c>
      <c r="B289" s="32" t="s">
        <v>464</v>
      </c>
      <c r="C289" s="33">
        <v>284</v>
      </c>
      <c r="D289" s="39" t="s">
        <v>465</v>
      </c>
      <c r="E289" s="33" t="s">
        <v>10</v>
      </c>
      <c r="F289" s="33">
        <v>1.7</v>
      </c>
      <c r="G289" s="33">
        <f t="shared" si="38"/>
        <v>1.7</v>
      </c>
      <c r="H289" s="33"/>
      <c r="I289" s="34" t="s">
        <v>466</v>
      </c>
      <c r="J289" s="99">
        <f>+'[1]Dự thầu'!$G$440</f>
        <v>440823</v>
      </c>
      <c r="K289" s="98">
        <f t="shared" si="39"/>
        <v>749399</v>
      </c>
      <c r="L289" s="98">
        <f t="shared" si="40"/>
        <v>749399</v>
      </c>
      <c r="M289" s="98">
        <f t="shared" si="41"/>
        <v>0</v>
      </c>
      <c r="N289" s="100"/>
    </row>
    <row r="290" spans="1:14" ht="15.75" customHeight="1" x14ac:dyDescent="0.25">
      <c r="A290" s="52" t="str">
        <f t="shared" si="37"/>
        <v>TL</v>
      </c>
      <c r="B290" s="32" t="s">
        <v>467</v>
      </c>
      <c r="C290" s="33">
        <v>285</v>
      </c>
      <c r="D290" s="39" t="s">
        <v>468</v>
      </c>
      <c r="E290" s="33" t="s">
        <v>10</v>
      </c>
      <c r="F290" s="33">
        <v>48</v>
      </c>
      <c r="G290" s="33">
        <f t="shared" si="38"/>
        <v>48</v>
      </c>
      <c r="H290" s="33"/>
      <c r="I290" s="34" t="s">
        <v>463</v>
      </c>
      <c r="J290" s="99">
        <f>+'[1]Dự thầu'!$G$441</f>
        <v>98805</v>
      </c>
      <c r="K290" s="98">
        <f t="shared" si="39"/>
        <v>4742640</v>
      </c>
      <c r="L290" s="98">
        <f t="shared" si="40"/>
        <v>4742640</v>
      </c>
      <c r="M290" s="98">
        <f t="shared" si="41"/>
        <v>0</v>
      </c>
      <c r="N290" s="100"/>
    </row>
    <row r="291" spans="1:14" ht="15.75" customHeight="1" x14ac:dyDescent="0.25">
      <c r="A291" s="52" t="str">
        <f t="shared" si="37"/>
        <v>TL</v>
      </c>
      <c r="B291" s="32" t="s">
        <v>469</v>
      </c>
      <c r="C291" s="33">
        <v>286</v>
      </c>
      <c r="D291" s="39" t="s">
        <v>470</v>
      </c>
      <c r="E291" s="33" t="s">
        <v>10</v>
      </c>
      <c r="F291" s="33">
        <v>5.3</v>
      </c>
      <c r="G291" s="33">
        <f t="shared" si="38"/>
        <v>5.3</v>
      </c>
      <c r="H291" s="33"/>
      <c r="I291" s="34" t="s">
        <v>13</v>
      </c>
      <c r="J291" s="99">
        <f>+'[1]Dự thầu'!$G$442</f>
        <v>96659</v>
      </c>
      <c r="K291" s="98">
        <f t="shared" si="39"/>
        <v>512293</v>
      </c>
      <c r="L291" s="98">
        <f t="shared" si="40"/>
        <v>512293</v>
      </c>
      <c r="M291" s="98">
        <f t="shared" si="41"/>
        <v>0</v>
      </c>
      <c r="N291" s="100"/>
    </row>
    <row r="292" spans="1:14" ht="15.75" customHeight="1" x14ac:dyDescent="0.25">
      <c r="A292" s="52" t="str">
        <f t="shared" si="37"/>
        <v>TL</v>
      </c>
      <c r="B292" s="32" t="s">
        <v>471</v>
      </c>
      <c r="C292" s="33">
        <v>287</v>
      </c>
      <c r="D292" s="39" t="s">
        <v>472</v>
      </c>
      <c r="E292" s="33" t="s">
        <v>10</v>
      </c>
      <c r="F292" s="33">
        <v>23.21</v>
      </c>
      <c r="G292" s="33">
        <f t="shared" si="38"/>
        <v>23.21</v>
      </c>
      <c r="H292" s="33"/>
      <c r="I292" s="34" t="s">
        <v>16</v>
      </c>
      <c r="J292" s="99">
        <f>+'[1]Dự thầu'!$G$443</f>
        <v>1399730</v>
      </c>
      <c r="K292" s="98">
        <f t="shared" si="39"/>
        <v>32487733</v>
      </c>
      <c r="L292" s="98">
        <f t="shared" si="40"/>
        <v>32487733</v>
      </c>
      <c r="M292" s="98">
        <f t="shared" si="41"/>
        <v>0</v>
      </c>
      <c r="N292" s="100"/>
    </row>
    <row r="293" spans="1:14" ht="15.75" customHeight="1" x14ac:dyDescent="0.25">
      <c r="A293" s="52" t="str">
        <f t="shared" si="37"/>
        <v>TL</v>
      </c>
      <c r="B293" s="32" t="s">
        <v>473</v>
      </c>
      <c r="C293" s="33">
        <v>288</v>
      </c>
      <c r="D293" s="39" t="s">
        <v>474</v>
      </c>
      <c r="E293" s="33" t="s">
        <v>10</v>
      </c>
      <c r="F293" s="33">
        <v>10</v>
      </c>
      <c r="G293" s="33">
        <f t="shared" si="38"/>
        <v>10</v>
      </c>
      <c r="H293" s="33"/>
      <c r="I293" s="34" t="s">
        <v>475</v>
      </c>
      <c r="J293" s="99">
        <f>+'[1]Dự thầu'!$G$444</f>
        <v>5910534</v>
      </c>
      <c r="K293" s="98">
        <f t="shared" si="39"/>
        <v>59105340</v>
      </c>
      <c r="L293" s="98">
        <f t="shared" si="40"/>
        <v>59105340</v>
      </c>
      <c r="M293" s="98">
        <f t="shared" si="41"/>
        <v>0</v>
      </c>
      <c r="N293" s="100"/>
    </row>
    <row r="294" spans="1:14" ht="31.5" customHeight="1" x14ac:dyDescent="0.25">
      <c r="A294" s="52" t="str">
        <f t="shared" si="37"/>
        <v>TL</v>
      </c>
      <c r="B294" s="32" t="s">
        <v>476</v>
      </c>
      <c r="C294" s="33">
        <v>289</v>
      </c>
      <c r="D294" s="39" t="s">
        <v>477</v>
      </c>
      <c r="E294" s="33" t="s">
        <v>10</v>
      </c>
      <c r="F294" s="33">
        <v>2.0299999999999998</v>
      </c>
      <c r="G294" s="33">
        <f t="shared" si="38"/>
        <v>2.0299999999999998</v>
      </c>
      <c r="H294" s="33"/>
      <c r="I294" s="34" t="s">
        <v>478</v>
      </c>
      <c r="J294" s="99">
        <f>+'[1]Dự thầu'!$G$457</f>
        <v>16542870</v>
      </c>
      <c r="K294" s="98">
        <f t="shared" si="39"/>
        <v>33582026</v>
      </c>
      <c r="L294" s="98">
        <f t="shared" si="40"/>
        <v>33582026</v>
      </c>
      <c r="M294" s="98">
        <f t="shared" si="41"/>
        <v>0</v>
      </c>
      <c r="N294" s="100"/>
    </row>
    <row r="295" spans="1:14" ht="31.5" customHeight="1" x14ac:dyDescent="0.25">
      <c r="A295" s="52" t="str">
        <f t="shared" si="37"/>
        <v>TL</v>
      </c>
      <c r="B295" s="32" t="s">
        <v>479</v>
      </c>
      <c r="C295" s="33">
        <v>290</v>
      </c>
      <c r="D295" s="39" t="s">
        <v>480</v>
      </c>
      <c r="E295" s="33" t="s">
        <v>10</v>
      </c>
      <c r="F295" s="33">
        <v>2.0699999999999998</v>
      </c>
      <c r="G295" s="33">
        <f t="shared" si="38"/>
        <v>2.0699999999999998</v>
      </c>
      <c r="H295" s="33"/>
      <c r="I295" s="34" t="s">
        <v>478</v>
      </c>
      <c r="J295" s="99">
        <f>+'[1]Dự thầu'!$G$458</f>
        <v>8589785</v>
      </c>
      <c r="K295" s="98">
        <f t="shared" si="39"/>
        <v>17780855</v>
      </c>
      <c r="L295" s="98">
        <f t="shared" si="40"/>
        <v>17780855</v>
      </c>
      <c r="M295" s="98">
        <f t="shared" si="41"/>
        <v>0</v>
      </c>
      <c r="N295" s="100"/>
    </row>
    <row r="296" spans="1:14" ht="15.75" customHeight="1" x14ac:dyDescent="0.25">
      <c r="A296" s="52" t="str">
        <f t="shared" si="37"/>
        <v>TL</v>
      </c>
      <c r="B296" s="32" t="s">
        <v>481</v>
      </c>
      <c r="C296" s="33">
        <v>291</v>
      </c>
      <c r="D296" s="39" t="s">
        <v>482</v>
      </c>
      <c r="E296" s="33" t="s">
        <v>10</v>
      </c>
      <c r="F296" s="33">
        <v>327</v>
      </c>
      <c r="G296" s="33">
        <f t="shared" si="38"/>
        <v>327</v>
      </c>
      <c r="H296" s="33"/>
      <c r="I296" s="34" t="s">
        <v>75</v>
      </c>
      <c r="J296" s="99">
        <f>+'[1]Dự thầu'!$G$459</f>
        <v>6367</v>
      </c>
      <c r="K296" s="98">
        <f t="shared" si="39"/>
        <v>2082009</v>
      </c>
      <c r="L296" s="98">
        <f t="shared" si="40"/>
        <v>2082009</v>
      </c>
      <c r="M296" s="98">
        <f t="shared" si="41"/>
        <v>0</v>
      </c>
      <c r="N296" s="100"/>
    </row>
    <row r="297" spans="1:14" ht="15.75" customHeight="1" x14ac:dyDescent="0.25">
      <c r="A297" s="52" t="str">
        <f t="shared" si="37"/>
        <v>TL</v>
      </c>
      <c r="B297" s="32" t="s">
        <v>483</v>
      </c>
      <c r="C297" s="33">
        <v>292</v>
      </c>
      <c r="D297" s="39" t="s">
        <v>484</v>
      </c>
      <c r="E297" s="33" t="s">
        <v>10</v>
      </c>
      <c r="F297" s="33">
        <v>3.27</v>
      </c>
      <c r="G297" s="33">
        <f t="shared" si="38"/>
        <v>3.27</v>
      </c>
      <c r="H297" s="33"/>
      <c r="I297" s="34" t="s">
        <v>126</v>
      </c>
      <c r="J297" s="99">
        <f>+'[1]Dự thầu'!$G$460</f>
        <v>128081</v>
      </c>
      <c r="K297" s="98">
        <f t="shared" si="39"/>
        <v>418825</v>
      </c>
      <c r="L297" s="98">
        <f t="shared" si="40"/>
        <v>418825</v>
      </c>
      <c r="M297" s="98">
        <f t="shared" si="41"/>
        <v>0</v>
      </c>
      <c r="N297" s="100"/>
    </row>
    <row r="298" spans="1:14" ht="15.75" customHeight="1" x14ac:dyDescent="0.25">
      <c r="A298" s="52" t="str">
        <f t="shared" si="37"/>
        <v>TL</v>
      </c>
      <c r="B298" s="32" t="s">
        <v>485</v>
      </c>
      <c r="C298" s="33">
        <v>293</v>
      </c>
      <c r="D298" s="39" t="s">
        <v>486</v>
      </c>
      <c r="E298" s="33" t="s">
        <v>10</v>
      </c>
      <c r="F298" s="33">
        <v>1635</v>
      </c>
      <c r="G298" s="33">
        <f t="shared" si="38"/>
        <v>1635</v>
      </c>
      <c r="H298" s="33"/>
      <c r="I298" s="34" t="s">
        <v>487</v>
      </c>
      <c r="J298" s="99">
        <f>+'[1]Dự thầu'!$G$461</f>
        <v>1535</v>
      </c>
      <c r="K298" s="98">
        <f t="shared" si="39"/>
        <v>2509725</v>
      </c>
      <c r="L298" s="98">
        <f t="shared" si="40"/>
        <v>2509725</v>
      </c>
      <c r="M298" s="98">
        <f t="shared" si="41"/>
        <v>0</v>
      </c>
      <c r="N298" s="100"/>
    </row>
    <row r="299" spans="1:14" ht="15.75" customHeight="1" x14ac:dyDescent="0.25">
      <c r="A299" s="52" t="str">
        <f t="shared" si="37"/>
        <v>TL</v>
      </c>
      <c r="B299" s="32" t="s">
        <v>488</v>
      </c>
      <c r="C299" s="33">
        <v>294</v>
      </c>
      <c r="D299" s="39" t="s">
        <v>489</v>
      </c>
      <c r="E299" s="33" t="s">
        <v>10</v>
      </c>
      <c r="F299" s="33">
        <v>1.635</v>
      </c>
      <c r="G299" s="33">
        <f t="shared" si="38"/>
        <v>1.635</v>
      </c>
      <c r="H299" s="33"/>
      <c r="I299" s="34" t="s">
        <v>490</v>
      </c>
      <c r="J299" s="99">
        <f>+'[1]Dự thầu'!$G$462</f>
        <v>1024648</v>
      </c>
      <c r="K299" s="98">
        <f t="shared" si="39"/>
        <v>1675299</v>
      </c>
      <c r="L299" s="98">
        <f t="shared" si="40"/>
        <v>1675299</v>
      </c>
      <c r="M299" s="98">
        <f t="shared" si="41"/>
        <v>0</v>
      </c>
      <c r="N299" s="100"/>
    </row>
    <row r="300" spans="1:14" ht="31.5" customHeight="1" x14ac:dyDescent="0.25">
      <c r="A300" s="52" t="str">
        <f t="shared" si="37"/>
        <v>TL</v>
      </c>
      <c r="B300" s="32" t="s">
        <v>491</v>
      </c>
      <c r="C300" s="33">
        <v>295</v>
      </c>
      <c r="D300" s="39" t="s">
        <v>492</v>
      </c>
      <c r="E300" s="33" t="s">
        <v>10</v>
      </c>
      <c r="F300" s="33">
        <v>4.0999999999999996</v>
      </c>
      <c r="G300" s="33">
        <f t="shared" si="38"/>
        <v>4.0999999999999996</v>
      </c>
      <c r="H300" s="33"/>
      <c r="I300" s="34" t="s">
        <v>493</v>
      </c>
      <c r="J300" s="99">
        <f>+'[1]Dự thầu'!$G$463</f>
        <v>304833</v>
      </c>
      <c r="K300" s="98">
        <f t="shared" si="39"/>
        <v>1249815</v>
      </c>
      <c r="L300" s="98">
        <f t="shared" si="40"/>
        <v>1249815</v>
      </c>
      <c r="M300" s="98">
        <f t="shared" si="41"/>
        <v>0</v>
      </c>
      <c r="N300" s="100"/>
    </row>
    <row r="301" spans="1:14" ht="15.75" customHeight="1" x14ac:dyDescent="0.25">
      <c r="A301" s="52" t="str">
        <f t="shared" si="37"/>
        <v>TL</v>
      </c>
      <c r="B301" s="32" t="s">
        <v>494</v>
      </c>
      <c r="C301" s="33">
        <v>296</v>
      </c>
      <c r="D301" s="39" t="s">
        <v>495</v>
      </c>
      <c r="E301" s="33" t="s">
        <v>10</v>
      </c>
      <c r="F301" s="33">
        <v>18.43</v>
      </c>
      <c r="G301" s="33">
        <f t="shared" si="38"/>
        <v>18.43</v>
      </c>
      <c r="H301" s="33"/>
      <c r="I301" s="34" t="s">
        <v>493</v>
      </c>
      <c r="J301" s="99">
        <f>+'[1]Dự thầu'!$G$464</f>
        <v>404736</v>
      </c>
      <c r="K301" s="98">
        <f t="shared" si="39"/>
        <v>7459284</v>
      </c>
      <c r="L301" s="98">
        <f t="shared" si="40"/>
        <v>7459284</v>
      </c>
      <c r="M301" s="98">
        <f t="shared" si="41"/>
        <v>0</v>
      </c>
      <c r="N301" s="100"/>
    </row>
    <row r="302" spans="1:14" ht="15.75" customHeight="1" x14ac:dyDescent="0.25">
      <c r="A302" s="52" t="str">
        <f t="shared" si="37"/>
        <v>TL</v>
      </c>
      <c r="B302" s="32" t="s">
        <v>496</v>
      </c>
      <c r="C302" s="33">
        <v>297</v>
      </c>
      <c r="D302" s="39" t="s">
        <v>497</v>
      </c>
      <c r="E302" s="33" t="s">
        <v>10</v>
      </c>
      <c r="F302" s="33">
        <v>89.12</v>
      </c>
      <c r="G302" s="33">
        <f t="shared" si="38"/>
        <v>89.12</v>
      </c>
      <c r="H302" s="33"/>
      <c r="I302" s="34" t="s">
        <v>13</v>
      </c>
      <c r="J302" s="99">
        <f>+'[1]Dự thầu'!$G$465/100</f>
        <v>154322.03</v>
      </c>
      <c r="K302" s="98">
        <f t="shared" si="39"/>
        <v>13753179</v>
      </c>
      <c r="L302" s="98">
        <f t="shared" si="40"/>
        <v>13753179</v>
      </c>
      <c r="M302" s="98">
        <f t="shared" si="41"/>
        <v>0</v>
      </c>
      <c r="N302" s="100"/>
    </row>
    <row r="303" spans="1:14" ht="15.75" customHeight="1" x14ac:dyDescent="0.25">
      <c r="A303" s="52" t="str">
        <f t="shared" si="37"/>
        <v>TL</v>
      </c>
      <c r="B303" s="32" t="s">
        <v>498</v>
      </c>
      <c r="C303" s="33">
        <v>298</v>
      </c>
      <c r="D303" s="39" t="s">
        <v>499</v>
      </c>
      <c r="E303" s="33" t="s">
        <v>10</v>
      </c>
      <c r="F303" s="33">
        <v>43.2</v>
      </c>
      <c r="G303" s="33">
        <f t="shared" si="38"/>
        <v>43.2</v>
      </c>
      <c r="H303" s="33"/>
      <c r="I303" s="34" t="s">
        <v>493</v>
      </c>
      <c r="J303" s="99">
        <f>+'[1]Dự thầu'!$G$466</f>
        <v>353505</v>
      </c>
      <c r="K303" s="98">
        <f t="shared" si="39"/>
        <v>15271416</v>
      </c>
      <c r="L303" s="98">
        <f t="shared" si="40"/>
        <v>15271416</v>
      </c>
      <c r="M303" s="98">
        <f t="shared" si="41"/>
        <v>0</v>
      </c>
      <c r="N303" s="100"/>
    </row>
    <row r="304" spans="1:14" ht="15.75" customHeight="1" x14ac:dyDescent="0.25">
      <c r="A304" s="52" t="str">
        <f t="shared" si="37"/>
        <v>TL</v>
      </c>
      <c r="B304" s="32" t="s">
        <v>500</v>
      </c>
      <c r="C304" s="33">
        <v>299</v>
      </c>
      <c r="D304" s="39" t="s">
        <v>501</v>
      </c>
      <c r="E304" s="33" t="s">
        <v>10</v>
      </c>
      <c r="F304" s="33">
        <v>61.32</v>
      </c>
      <c r="G304" s="33">
        <f t="shared" si="38"/>
        <v>61.32</v>
      </c>
      <c r="H304" s="33"/>
      <c r="I304" s="34" t="s">
        <v>493</v>
      </c>
      <c r="J304" s="99">
        <f>+'[1]Dự thầu'!$G$467</f>
        <v>279217</v>
      </c>
      <c r="K304" s="98">
        <f t="shared" si="39"/>
        <v>17121586</v>
      </c>
      <c r="L304" s="98">
        <f t="shared" si="40"/>
        <v>17121586</v>
      </c>
      <c r="M304" s="98">
        <f t="shared" si="41"/>
        <v>0</v>
      </c>
      <c r="N304" s="100"/>
    </row>
    <row r="305" spans="1:14" ht="15.75" customHeight="1" x14ac:dyDescent="0.25">
      <c r="A305" s="52" t="str">
        <f t="shared" si="37"/>
        <v>TL</v>
      </c>
      <c r="B305" s="32" t="s">
        <v>502</v>
      </c>
      <c r="C305" s="33">
        <v>300</v>
      </c>
      <c r="D305" s="39" t="s">
        <v>503</v>
      </c>
      <c r="E305" s="33" t="s">
        <v>10</v>
      </c>
      <c r="F305" s="33">
        <v>19.62</v>
      </c>
      <c r="G305" s="33">
        <f t="shared" si="38"/>
        <v>19.62</v>
      </c>
      <c r="H305" s="33"/>
      <c r="I305" s="34" t="s">
        <v>16</v>
      </c>
      <c r="J305" s="99">
        <f>+'[1]Dự thầu'!$G$468</f>
        <v>410010</v>
      </c>
      <c r="K305" s="98">
        <f t="shared" si="39"/>
        <v>8044396</v>
      </c>
      <c r="L305" s="98">
        <f t="shared" si="40"/>
        <v>8044396</v>
      </c>
      <c r="M305" s="98">
        <f t="shared" si="41"/>
        <v>0</v>
      </c>
      <c r="N305" s="100"/>
    </row>
    <row r="306" spans="1:14" ht="15.75" customHeight="1" x14ac:dyDescent="0.25">
      <c r="A306" s="52" t="str">
        <f t="shared" si="37"/>
        <v>TL</v>
      </c>
      <c r="B306" s="32" t="s">
        <v>504</v>
      </c>
      <c r="C306" s="33">
        <v>301</v>
      </c>
      <c r="D306" s="39" t="s">
        <v>505</v>
      </c>
      <c r="E306" s="33" t="s">
        <v>10</v>
      </c>
      <c r="F306" s="33">
        <v>84.9</v>
      </c>
      <c r="G306" s="33">
        <f t="shared" si="38"/>
        <v>84.9</v>
      </c>
      <c r="H306" s="33"/>
      <c r="I306" s="34" t="s">
        <v>16</v>
      </c>
      <c r="J306" s="99">
        <f>+'[1]Dự thầu'!$G$469</f>
        <v>143451</v>
      </c>
      <c r="K306" s="98">
        <f t="shared" si="39"/>
        <v>12178990</v>
      </c>
      <c r="L306" s="98">
        <f t="shared" si="40"/>
        <v>12178990</v>
      </c>
      <c r="M306" s="98">
        <f t="shared" si="41"/>
        <v>0</v>
      </c>
      <c r="N306" s="100"/>
    </row>
    <row r="307" spans="1:14" ht="15.75" customHeight="1" x14ac:dyDescent="0.25">
      <c r="A307" s="52" t="str">
        <f t="shared" si="37"/>
        <v>TL</v>
      </c>
      <c r="B307" s="32" t="s">
        <v>506</v>
      </c>
      <c r="C307" s="33">
        <v>302</v>
      </c>
      <c r="D307" s="39" t="s">
        <v>507</v>
      </c>
      <c r="E307" s="33" t="s">
        <v>10</v>
      </c>
      <c r="F307" s="33">
        <v>64</v>
      </c>
      <c r="G307" s="33">
        <f t="shared" si="38"/>
        <v>64</v>
      </c>
      <c r="H307" s="33"/>
      <c r="I307" s="34" t="s">
        <v>16</v>
      </c>
      <c r="J307" s="99">
        <f>+'[1]Dự thầu'!$G$470+'[1]Dự thầu'!$G$471</f>
        <v>39661</v>
      </c>
      <c r="K307" s="98">
        <f t="shared" si="39"/>
        <v>2538304</v>
      </c>
      <c r="L307" s="98">
        <f t="shared" si="40"/>
        <v>2538304</v>
      </c>
      <c r="M307" s="98">
        <f t="shared" si="41"/>
        <v>0</v>
      </c>
      <c r="N307" s="100"/>
    </row>
    <row r="308" spans="1:14" s="22" customFormat="1" ht="31.5" customHeight="1" x14ac:dyDescent="0.25">
      <c r="A308" s="52" t="str">
        <f t="shared" si="37"/>
        <v>TL</v>
      </c>
      <c r="B308" s="29">
        <v>6</v>
      </c>
      <c r="C308" s="30">
        <v>303</v>
      </c>
      <c r="D308" s="12" t="s">
        <v>508</v>
      </c>
      <c r="E308" s="30" t="s">
        <v>10</v>
      </c>
      <c r="F308" s="30"/>
      <c r="G308" s="30">
        <f t="shared" si="38"/>
        <v>0</v>
      </c>
      <c r="H308" s="30"/>
      <c r="I308" s="31"/>
      <c r="J308" s="97"/>
      <c r="K308" s="104"/>
      <c r="L308" s="104"/>
      <c r="M308" s="104"/>
      <c r="N308" s="105"/>
    </row>
    <row r="309" spans="1:14" ht="31.5" customHeight="1" x14ac:dyDescent="0.25">
      <c r="A309" s="52" t="str">
        <f t="shared" si="37"/>
        <v>TL</v>
      </c>
      <c r="B309" s="32" t="s">
        <v>509</v>
      </c>
      <c r="C309" s="33">
        <v>304</v>
      </c>
      <c r="D309" s="39" t="s">
        <v>510</v>
      </c>
      <c r="E309" s="33" t="s">
        <v>10</v>
      </c>
      <c r="F309" s="98">
        <v>3489</v>
      </c>
      <c r="G309" s="98">
        <f t="shared" si="38"/>
        <v>3489</v>
      </c>
      <c r="H309" s="33"/>
      <c r="I309" s="34" t="s">
        <v>13</v>
      </c>
      <c r="J309" s="99">
        <f>+'[1]Dự thầu'!$G$491</f>
        <v>519576</v>
      </c>
      <c r="K309" s="98">
        <f t="shared" ref="K309:K329" si="42">+ROUND(J309*F309,0)</f>
        <v>1812800664</v>
      </c>
      <c r="L309" s="98">
        <f t="shared" ref="L309:L329" si="43">+ROUND(G309*J309,0)</f>
        <v>1812800664</v>
      </c>
      <c r="M309" s="98">
        <f t="shared" ref="M309:M329" si="44">+ROUND(H309*J309,0)</f>
        <v>0</v>
      </c>
      <c r="N309" s="100"/>
    </row>
    <row r="310" spans="1:14" ht="15.75" customHeight="1" x14ac:dyDescent="0.25">
      <c r="A310" s="52" t="str">
        <f t="shared" si="37"/>
        <v>TL</v>
      </c>
      <c r="B310" s="32" t="s">
        <v>511</v>
      </c>
      <c r="C310" s="33">
        <v>305</v>
      </c>
      <c r="D310" s="39" t="s">
        <v>512</v>
      </c>
      <c r="E310" s="33" t="s">
        <v>10</v>
      </c>
      <c r="F310" s="33">
        <v>241.57</v>
      </c>
      <c r="G310" s="33">
        <f t="shared" si="38"/>
        <v>241.57</v>
      </c>
      <c r="H310" s="33"/>
      <c r="I310" s="34" t="s">
        <v>13</v>
      </c>
      <c r="J310" s="99">
        <f>+'[1]Dự thầu'!$G$492</f>
        <v>1113651</v>
      </c>
      <c r="K310" s="98">
        <f t="shared" si="42"/>
        <v>269024672</v>
      </c>
      <c r="L310" s="98">
        <f t="shared" si="43"/>
        <v>269024672</v>
      </c>
      <c r="M310" s="98">
        <f t="shared" si="44"/>
        <v>0</v>
      </c>
      <c r="N310" s="100"/>
    </row>
    <row r="311" spans="1:14" ht="31.5" customHeight="1" x14ac:dyDescent="0.25">
      <c r="A311" s="52" t="str">
        <f t="shared" si="37"/>
        <v>TL</v>
      </c>
      <c r="B311" s="32" t="s">
        <v>513</v>
      </c>
      <c r="C311" s="33">
        <v>306</v>
      </c>
      <c r="D311" s="39" t="s">
        <v>514</v>
      </c>
      <c r="E311" s="33" t="s">
        <v>10</v>
      </c>
      <c r="F311" s="33">
        <v>106.4</v>
      </c>
      <c r="G311" s="33">
        <f t="shared" si="38"/>
        <v>106.4</v>
      </c>
      <c r="H311" s="33"/>
      <c r="I311" s="34" t="s">
        <v>515</v>
      </c>
      <c r="J311" s="99">
        <f>+'[1]Dự thầu'!$G$493</f>
        <v>56885</v>
      </c>
      <c r="K311" s="98">
        <f t="shared" si="42"/>
        <v>6052564</v>
      </c>
      <c r="L311" s="98">
        <f t="shared" si="43"/>
        <v>6052564</v>
      </c>
      <c r="M311" s="98">
        <f t="shared" si="44"/>
        <v>0</v>
      </c>
      <c r="N311" s="100"/>
    </row>
    <row r="312" spans="1:14" ht="47.25" customHeight="1" x14ac:dyDescent="0.25">
      <c r="A312" s="52" t="str">
        <f t="shared" si="37"/>
        <v>TL</v>
      </c>
      <c r="B312" s="32" t="s">
        <v>516</v>
      </c>
      <c r="C312" s="33">
        <v>307</v>
      </c>
      <c r="D312" s="39" t="s">
        <v>517</v>
      </c>
      <c r="E312" s="33" t="s">
        <v>10</v>
      </c>
      <c r="F312" s="33">
        <v>37</v>
      </c>
      <c r="G312" s="33">
        <f t="shared" si="38"/>
        <v>37</v>
      </c>
      <c r="H312" s="33"/>
      <c r="I312" s="34" t="s">
        <v>258</v>
      </c>
      <c r="J312" s="99">
        <f>+'[1]Dự thầu'!$G$494</f>
        <v>304700</v>
      </c>
      <c r="K312" s="98">
        <f t="shared" si="42"/>
        <v>11273900</v>
      </c>
      <c r="L312" s="98">
        <f t="shared" si="43"/>
        <v>11273900</v>
      </c>
      <c r="M312" s="98">
        <f t="shared" si="44"/>
        <v>0</v>
      </c>
      <c r="N312" s="100"/>
    </row>
    <row r="313" spans="1:14" ht="47.25" customHeight="1" x14ac:dyDescent="0.25">
      <c r="A313" s="52" t="str">
        <f t="shared" si="37"/>
        <v>TL</v>
      </c>
      <c r="B313" s="32" t="s">
        <v>518</v>
      </c>
      <c r="C313" s="33">
        <v>308</v>
      </c>
      <c r="D313" s="39" t="s">
        <v>519</v>
      </c>
      <c r="E313" s="33" t="s">
        <v>10</v>
      </c>
      <c r="F313" s="33">
        <v>36</v>
      </c>
      <c r="G313" s="33">
        <f t="shared" si="38"/>
        <v>36</v>
      </c>
      <c r="H313" s="33"/>
      <c r="I313" s="34" t="s">
        <v>258</v>
      </c>
      <c r="J313" s="99">
        <f>+'[1]Dự thầu'!$G$495</f>
        <v>319853</v>
      </c>
      <c r="K313" s="98">
        <f t="shared" si="42"/>
        <v>11514708</v>
      </c>
      <c r="L313" s="98">
        <f t="shared" si="43"/>
        <v>11514708</v>
      </c>
      <c r="M313" s="98">
        <f t="shared" si="44"/>
        <v>0</v>
      </c>
      <c r="N313" s="100"/>
    </row>
    <row r="314" spans="1:14" ht="47.25" customHeight="1" x14ac:dyDescent="0.25">
      <c r="A314" s="52" t="str">
        <f t="shared" si="37"/>
        <v>TL</v>
      </c>
      <c r="B314" s="32" t="s">
        <v>520</v>
      </c>
      <c r="C314" s="33">
        <v>309</v>
      </c>
      <c r="D314" s="39" t="s">
        <v>521</v>
      </c>
      <c r="E314" s="33" t="s">
        <v>10</v>
      </c>
      <c r="F314" s="33">
        <v>27</v>
      </c>
      <c r="G314" s="33">
        <f t="shared" si="38"/>
        <v>27</v>
      </c>
      <c r="H314" s="33"/>
      <c r="I314" s="34" t="s">
        <v>258</v>
      </c>
      <c r="J314" s="99">
        <f>+'[1]Dự thầu'!$G$496</f>
        <v>313792</v>
      </c>
      <c r="K314" s="98">
        <f t="shared" si="42"/>
        <v>8472384</v>
      </c>
      <c r="L314" s="98">
        <f t="shared" si="43"/>
        <v>8472384</v>
      </c>
      <c r="M314" s="98">
        <f t="shared" si="44"/>
        <v>0</v>
      </c>
      <c r="N314" s="100"/>
    </row>
    <row r="315" spans="1:14" ht="47.25" customHeight="1" x14ac:dyDescent="0.25">
      <c r="A315" s="52" t="str">
        <f t="shared" si="37"/>
        <v>TL</v>
      </c>
      <c r="B315" s="32" t="s">
        <v>522</v>
      </c>
      <c r="C315" s="33">
        <v>310</v>
      </c>
      <c r="D315" s="39" t="s">
        <v>523</v>
      </c>
      <c r="E315" s="33" t="s">
        <v>10</v>
      </c>
      <c r="F315" s="33">
        <v>2</v>
      </c>
      <c r="G315" s="33">
        <f t="shared" si="38"/>
        <v>2</v>
      </c>
      <c r="H315" s="33"/>
      <c r="I315" s="34" t="s">
        <v>258</v>
      </c>
      <c r="J315" s="99">
        <f>+'[1]Dự thầu'!$G$498</f>
        <v>313792</v>
      </c>
      <c r="K315" s="98">
        <f t="shared" si="42"/>
        <v>627584</v>
      </c>
      <c r="L315" s="98">
        <f t="shared" si="43"/>
        <v>627584</v>
      </c>
      <c r="M315" s="98">
        <f t="shared" si="44"/>
        <v>0</v>
      </c>
      <c r="N315" s="100"/>
    </row>
    <row r="316" spans="1:14" ht="47.25" customHeight="1" x14ac:dyDescent="0.25">
      <c r="A316" s="52" t="str">
        <f t="shared" si="37"/>
        <v>TL</v>
      </c>
      <c r="B316" s="32" t="s">
        <v>524</v>
      </c>
      <c r="C316" s="33">
        <v>311</v>
      </c>
      <c r="D316" s="39" t="s">
        <v>525</v>
      </c>
      <c r="E316" s="33" t="s">
        <v>10</v>
      </c>
      <c r="F316" s="33">
        <v>8</v>
      </c>
      <c r="G316" s="33">
        <f t="shared" si="38"/>
        <v>8</v>
      </c>
      <c r="H316" s="33"/>
      <c r="I316" s="34" t="s">
        <v>258</v>
      </c>
      <c r="J316" s="99">
        <f>+'[1]Dự thầu'!$G$499</f>
        <v>313792</v>
      </c>
      <c r="K316" s="98">
        <f t="shared" si="42"/>
        <v>2510336</v>
      </c>
      <c r="L316" s="98">
        <f t="shared" si="43"/>
        <v>2510336</v>
      </c>
      <c r="M316" s="98">
        <f t="shared" si="44"/>
        <v>0</v>
      </c>
      <c r="N316" s="100"/>
    </row>
    <row r="317" spans="1:14" ht="15.75" customHeight="1" x14ac:dyDescent="0.25">
      <c r="A317" s="52" t="str">
        <f t="shared" si="37"/>
        <v>TL</v>
      </c>
      <c r="B317" s="32" t="s">
        <v>526</v>
      </c>
      <c r="C317" s="33">
        <v>312</v>
      </c>
      <c r="D317" s="39" t="s">
        <v>527</v>
      </c>
      <c r="E317" s="33" t="s">
        <v>10</v>
      </c>
      <c r="F317" s="33">
        <v>37</v>
      </c>
      <c r="G317" s="33">
        <f t="shared" si="38"/>
        <v>37</v>
      </c>
      <c r="H317" s="33"/>
      <c r="I317" s="34" t="s">
        <v>258</v>
      </c>
      <c r="J317" s="99">
        <f>+'[1]Dự thầu'!$G$500</f>
        <v>492731</v>
      </c>
      <c r="K317" s="98">
        <f t="shared" si="42"/>
        <v>18231047</v>
      </c>
      <c r="L317" s="98">
        <f t="shared" si="43"/>
        <v>18231047</v>
      </c>
      <c r="M317" s="98">
        <f t="shared" si="44"/>
        <v>0</v>
      </c>
      <c r="N317" s="100"/>
    </row>
    <row r="318" spans="1:14" ht="15.75" customHeight="1" x14ac:dyDescent="0.25">
      <c r="A318" s="52" t="str">
        <f t="shared" si="37"/>
        <v>TL</v>
      </c>
      <c r="B318" s="32" t="s">
        <v>528</v>
      </c>
      <c r="C318" s="33">
        <v>313</v>
      </c>
      <c r="D318" s="39" t="s">
        <v>529</v>
      </c>
      <c r="E318" s="33" t="s">
        <v>10</v>
      </c>
      <c r="F318" s="33">
        <v>36</v>
      </c>
      <c r="G318" s="33">
        <f t="shared" si="38"/>
        <v>36</v>
      </c>
      <c r="H318" s="33"/>
      <c r="I318" s="34" t="s">
        <v>258</v>
      </c>
      <c r="J318" s="99">
        <f>+'[1]Dự thầu'!$G$501</f>
        <v>1021897</v>
      </c>
      <c r="K318" s="98">
        <f t="shared" si="42"/>
        <v>36788292</v>
      </c>
      <c r="L318" s="98">
        <f t="shared" si="43"/>
        <v>36788292</v>
      </c>
      <c r="M318" s="98">
        <f t="shared" si="44"/>
        <v>0</v>
      </c>
      <c r="N318" s="100"/>
    </row>
    <row r="319" spans="1:14" ht="15.75" customHeight="1" x14ac:dyDescent="0.25">
      <c r="A319" s="52" t="str">
        <f t="shared" si="37"/>
        <v>TL</v>
      </c>
      <c r="B319" s="32" t="s">
        <v>530</v>
      </c>
      <c r="C319" s="33">
        <v>314</v>
      </c>
      <c r="D319" s="39" t="s">
        <v>531</v>
      </c>
      <c r="E319" s="33" t="s">
        <v>10</v>
      </c>
      <c r="F319" s="33">
        <v>27</v>
      </c>
      <c r="G319" s="33">
        <f t="shared" si="38"/>
        <v>27</v>
      </c>
      <c r="H319" s="33"/>
      <c r="I319" s="34" t="s">
        <v>258</v>
      </c>
      <c r="J319" s="99">
        <f>+'[1]Dự thầu'!$G$502</f>
        <v>1021897</v>
      </c>
      <c r="K319" s="98">
        <f t="shared" si="42"/>
        <v>27591219</v>
      </c>
      <c r="L319" s="98">
        <f t="shared" si="43"/>
        <v>27591219</v>
      </c>
      <c r="M319" s="98">
        <f t="shared" si="44"/>
        <v>0</v>
      </c>
      <c r="N319" s="100"/>
    </row>
    <row r="320" spans="1:14" ht="15.75" customHeight="1" x14ac:dyDescent="0.25">
      <c r="A320" s="52" t="str">
        <f t="shared" si="37"/>
        <v>TL</v>
      </c>
      <c r="B320" s="32" t="s">
        <v>532</v>
      </c>
      <c r="C320" s="33">
        <v>315</v>
      </c>
      <c r="D320" s="39" t="s">
        <v>533</v>
      </c>
      <c r="E320" s="33" t="s">
        <v>10</v>
      </c>
      <c r="F320" s="33">
        <v>8</v>
      </c>
      <c r="G320" s="33">
        <f t="shared" si="38"/>
        <v>8</v>
      </c>
      <c r="H320" s="33"/>
      <c r="I320" s="34" t="s">
        <v>258</v>
      </c>
      <c r="J320" s="99">
        <f>+'[1]Dự thầu'!$G$504</f>
        <v>1755842</v>
      </c>
      <c r="K320" s="98">
        <f t="shared" si="42"/>
        <v>14046736</v>
      </c>
      <c r="L320" s="98">
        <f t="shared" si="43"/>
        <v>14046736</v>
      </c>
      <c r="M320" s="98">
        <f t="shared" si="44"/>
        <v>0</v>
      </c>
      <c r="N320" s="100"/>
    </row>
    <row r="321" spans="1:14" ht="15.75" customHeight="1" x14ac:dyDescent="0.25">
      <c r="A321" s="52" t="str">
        <f t="shared" si="37"/>
        <v>TL</v>
      </c>
      <c r="B321" s="32" t="s">
        <v>534</v>
      </c>
      <c r="C321" s="33">
        <v>316</v>
      </c>
      <c r="D321" s="39" t="s">
        <v>535</v>
      </c>
      <c r="E321" s="33" t="s">
        <v>10</v>
      </c>
      <c r="F321" s="33">
        <v>2</v>
      </c>
      <c r="G321" s="33">
        <f t="shared" si="38"/>
        <v>2</v>
      </c>
      <c r="H321" s="33"/>
      <c r="I321" s="34" t="s">
        <v>258</v>
      </c>
      <c r="J321" s="99">
        <f>+'[1]Dự thầu'!$G$505</f>
        <v>804708</v>
      </c>
      <c r="K321" s="98">
        <f t="shared" si="42"/>
        <v>1609416</v>
      </c>
      <c r="L321" s="98">
        <f t="shared" si="43"/>
        <v>1609416</v>
      </c>
      <c r="M321" s="98">
        <f t="shared" si="44"/>
        <v>0</v>
      </c>
      <c r="N321" s="100"/>
    </row>
    <row r="322" spans="1:14" ht="15.75" customHeight="1" x14ac:dyDescent="0.25">
      <c r="A322" s="52" t="str">
        <f t="shared" si="37"/>
        <v>TL</v>
      </c>
      <c r="B322" s="32" t="s">
        <v>536</v>
      </c>
      <c r="C322" s="33">
        <v>317</v>
      </c>
      <c r="D322" s="39" t="s">
        <v>537</v>
      </c>
      <c r="E322" s="33" t="s">
        <v>10</v>
      </c>
      <c r="F322" s="33">
        <v>385</v>
      </c>
      <c r="G322" s="33">
        <f t="shared" si="38"/>
        <v>385</v>
      </c>
      <c r="H322" s="33"/>
      <c r="I322" s="34" t="s">
        <v>75</v>
      </c>
      <c r="J322" s="99">
        <f>+'[1]Dự thầu'!$G$506</f>
        <v>171892</v>
      </c>
      <c r="K322" s="98">
        <f t="shared" si="42"/>
        <v>66178420</v>
      </c>
      <c r="L322" s="98">
        <f t="shared" si="43"/>
        <v>66178420</v>
      </c>
      <c r="M322" s="98">
        <f t="shared" si="44"/>
        <v>0</v>
      </c>
      <c r="N322" s="100"/>
    </row>
    <row r="323" spans="1:14" ht="15.75" customHeight="1" x14ac:dyDescent="0.25">
      <c r="A323" s="52" t="str">
        <f t="shared" si="37"/>
        <v>TL</v>
      </c>
      <c r="B323" s="32" t="s">
        <v>538</v>
      </c>
      <c r="C323" s="33">
        <v>318</v>
      </c>
      <c r="D323" s="39" t="s">
        <v>539</v>
      </c>
      <c r="E323" s="33" t="s">
        <v>10</v>
      </c>
      <c r="F323" s="33">
        <v>3</v>
      </c>
      <c r="G323" s="33">
        <f t="shared" si="38"/>
        <v>3</v>
      </c>
      <c r="H323" s="33"/>
      <c r="I323" s="34" t="s">
        <v>258</v>
      </c>
      <c r="J323" s="99">
        <f>+'[1]Dự thầu'!$G$509</f>
        <v>383011</v>
      </c>
      <c r="K323" s="98">
        <f t="shared" si="42"/>
        <v>1149033</v>
      </c>
      <c r="L323" s="98">
        <f t="shared" si="43"/>
        <v>1149033</v>
      </c>
      <c r="M323" s="98">
        <f t="shared" si="44"/>
        <v>0</v>
      </c>
      <c r="N323" s="100"/>
    </row>
    <row r="324" spans="1:14" ht="15.75" customHeight="1" x14ac:dyDescent="0.25">
      <c r="A324" s="52" t="str">
        <f t="shared" si="37"/>
        <v>TL</v>
      </c>
      <c r="B324" s="32" t="s">
        <v>540</v>
      </c>
      <c r="C324" s="33">
        <v>319</v>
      </c>
      <c r="D324" s="39" t="s">
        <v>541</v>
      </c>
      <c r="E324" s="33" t="s">
        <v>10</v>
      </c>
      <c r="F324" s="33">
        <v>25</v>
      </c>
      <c r="G324" s="33">
        <f t="shared" si="38"/>
        <v>25</v>
      </c>
      <c r="H324" s="33"/>
      <c r="I324" s="34" t="s">
        <v>258</v>
      </c>
      <c r="J324" s="99">
        <f>+'[1]Dự thầu'!$G$510</f>
        <v>308087</v>
      </c>
      <c r="K324" s="98">
        <f t="shared" si="42"/>
        <v>7702175</v>
      </c>
      <c r="L324" s="98">
        <f t="shared" si="43"/>
        <v>7702175</v>
      </c>
      <c r="M324" s="98">
        <f t="shared" si="44"/>
        <v>0</v>
      </c>
      <c r="N324" s="100"/>
    </row>
    <row r="325" spans="1:14" ht="15.75" customHeight="1" x14ac:dyDescent="0.25">
      <c r="A325" s="52" t="str">
        <f t="shared" si="37"/>
        <v>TL</v>
      </c>
      <c r="B325" s="32" t="s">
        <v>542</v>
      </c>
      <c r="C325" s="33">
        <v>320</v>
      </c>
      <c r="D325" s="39" t="s">
        <v>543</v>
      </c>
      <c r="E325" s="33" t="s">
        <v>10</v>
      </c>
      <c r="F325" s="33">
        <v>387</v>
      </c>
      <c r="G325" s="33">
        <f t="shared" si="38"/>
        <v>387</v>
      </c>
      <c r="H325" s="33"/>
      <c r="I325" s="34" t="s">
        <v>258</v>
      </c>
      <c r="J325" s="99">
        <f>+'[1]Dự thầu'!$G$513</f>
        <v>266456</v>
      </c>
      <c r="K325" s="98">
        <f t="shared" si="42"/>
        <v>103118472</v>
      </c>
      <c r="L325" s="98">
        <f t="shared" si="43"/>
        <v>103118472</v>
      </c>
      <c r="M325" s="98">
        <f t="shared" si="44"/>
        <v>0</v>
      </c>
      <c r="N325" s="100"/>
    </row>
    <row r="326" spans="1:14" ht="15.75" customHeight="1" x14ac:dyDescent="0.25">
      <c r="A326" s="52" t="str">
        <f t="shared" si="37"/>
        <v>TL</v>
      </c>
      <c r="B326" s="32" t="s">
        <v>544</v>
      </c>
      <c r="C326" s="33">
        <v>321</v>
      </c>
      <c r="D326" s="39" t="s">
        <v>545</v>
      </c>
      <c r="E326" s="33" t="s">
        <v>10</v>
      </c>
      <c r="F326" s="33">
        <v>173</v>
      </c>
      <c r="G326" s="33">
        <f t="shared" si="38"/>
        <v>173</v>
      </c>
      <c r="H326" s="33"/>
      <c r="I326" s="34" t="s">
        <v>258</v>
      </c>
      <c r="J326" s="99">
        <f>+'[1]Dự thầu'!$G$514</f>
        <v>50931</v>
      </c>
      <c r="K326" s="98">
        <f t="shared" si="42"/>
        <v>8811063</v>
      </c>
      <c r="L326" s="98">
        <f t="shared" si="43"/>
        <v>8811063</v>
      </c>
      <c r="M326" s="98">
        <f t="shared" si="44"/>
        <v>0</v>
      </c>
      <c r="N326" s="100"/>
    </row>
    <row r="327" spans="1:14" ht="15.75" customHeight="1" x14ac:dyDescent="0.25">
      <c r="A327" s="52" t="str">
        <f t="shared" ref="A327:A390" si="45">A326</f>
        <v>TL</v>
      </c>
      <c r="B327" s="32" t="s">
        <v>546</v>
      </c>
      <c r="C327" s="33">
        <v>322</v>
      </c>
      <c r="D327" s="39" t="s">
        <v>547</v>
      </c>
      <c r="E327" s="33" t="s">
        <v>10</v>
      </c>
      <c r="F327" s="33">
        <v>48</v>
      </c>
      <c r="G327" s="33">
        <f t="shared" ref="G327:G390" si="46">+F327</f>
        <v>48</v>
      </c>
      <c r="H327" s="33"/>
      <c r="I327" s="34" t="s">
        <v>13</v>
      </c>
      <c r="J327" s="99">
        <f>+'[1]Dự thầu'!$G$515</f>
        <v>214498</v>
      </c>
      <c r="K327" s="98">
        <f t="shared" si="42"/>
        <v>10295904</v>
      </c>
      <c r="L327" s="98">
        <f t="shared" si="43"/>
        <v>10295904</v>
      </c>
      <c r="M327" s="98">
        <f t="shared" si="44"/>
        <v>0</v>
      </c>
      <c r="N327" s="100"/>
    </row>
    <row r="328" spans="1:14" ht="31.5" customHeight="1" x14ac:dyDescent="0.25">
      <c r="A328" s="52" t="str">
        <f t="shared" si="45"/>
        <v>TL</v>
      </c>
      <c r="B328" s="32" t="s">
        <v>548</v>
      </c>
      <c r="C328" s="33">
        <v>323</v>
      </c>
      <c r="D328" s="39" t="s">
        <v>549</v>
      </c>
      <c r="E328" s="33" t="s">
        <v>10</v>
      </c>
      <c r="F328" s="33">
        <v>2.4</v>
      </c>
      <c r="G328" s="33">
        <f t="shared" si="46"/>
        <v>2.4</v>
      </c>
      <c r="H328" s="33"/>
      <c r="I328" s="34" t="s">
        <v>16</v>
      </c>
      <c r="J328" s="99">
        <f>+'[1]Dự thầu'!$G$516</f>
        <v>143451</v>
      </c>
      <c r="K328" s="98">
        <f t="shared" si="42"/>
        <v>344282</v>
      </c>
      <c r="L328" s="98">
        <f t="shared" si="43"/>
        <v>344282</v>
      </c>
      <c r="M328" s="98">
        <f t="shared" si="44"/>
        <v>0</v>
      </c>
      <c r="N328" s="100"/>
    </row>
    <row r="329" spans="1:14" ht="15.75" customHeight="1" x14ac:dyDescent="0.25">
      <c r="A329" s="52" t="str">
        <f t="shared" si="45"/>
        <v>TL</v>
      </c>
      <c r="B329" s="32" t="s">
        <v>550</v>
      </c>
      <c r="C329" s="33">
        <v>324</v>
      </c>
      <c r="D329" s="39" t="s">
        <v>551</v>
      </c>
      <c r="E329" s="33" t="s">
        <v>10</v>
      </c>
      <c r="F329" s="33">
        <v>16.13</v>
      </c>
      <c r="G329" s="33">
        <f t="shared" si="46"/>
        <v>16.13</v>
      </c>
      <c r="H329" s="33"/>
      <c r="I329" s="34" t="s">
        <v>13</v>
      </c>
      <c r="J329" s="99">
        <f>+'[1]Dự thầu'!$G$517</f>
        <v>138235</v>
      </c>
      <c r="K329" s="98">
        <f t="shared" si="42"/>
        <v>2229731</v>
      </c>
      <c r="L329" s="98">
        <f t="shared" si="43"/>
        <v>2229731</v>
      </c>
      <c r="M329" s="98">
        <f t="shared" si="44"/>
        <v>0</v>
      </c>
      <c r="N329" s="100"/>
    </row>
    <row r="330" spans="1:14" s="22" customFormat="1" ht="31.5" customHeight="1" x14ac:dyDescent="0.25">
      <c r="A330" s="52" t="str">
        <f t="shared" si="45"/>
        <v>TL</v>
      </c>
      <c r="B330" s="29">
        <v>7</v>
      </c>
      <c r="C330" s="30">
        <v>325</v>
      </c>
      <c r="D330" s="12" t="s">
        <v>552</v>
      </c>
      <c r="E330" s="30" t="s">
        <v>10</v>
      </c>
      <c r="F330" s="30"/>
      <c r="G330" s="30">
        <f t="shared" si="46"/>
        <v>0</v>
      </c>
      <c r="H330" s="30"/>
      <c r="I330" s="31"/>
      <c r="J330" s="97"/>
      <c r="K330" s="104"/>
      <c r="L330" s="104"/>
      <c r="M330" s="104"/>
      <c r="N330" s="105"/>
    </row>
    <row r="331" spans="1:14" ht="15.75" customHeight="1" x14ac:dyDescent="0.25">
      <c r="A331" s="52" t="str">
        <f t="shared" si="45"/>
        <v>TL</v>
      </c>
      <c r="B331" s="32" t="s">
        <v>553</v>
      </c>
      <c r="C331" s="33">
        <v>326</v>
      </c>
      <c r="D331" s="39" t="s">
        <v>554</v>
      </c>
      <c r="E331" s="33" t="s">
        <v>10</v>
      </c>
      <c r="F331" s="33">
        <v>0.35</v>
      </c>
      <c r="G331" s="33">
        <f t="shared" si="46"/>
        <v>0.35</v>
      </c>
      <c r="H331" s="33"/>
      <c r="I331" s="34" t="s">
        <v>90</v>
      </c>
      <c r="J331" s="99">
        <f>+'[1]Dự thầu'!$G$849</f>
        <v>28765433</v>
      </c>
      <c r="K331" s="98">
        <f t="shared" ref="K331:K362" si="47">+ROUND(J331*F331,0)</f>
        <v>10067902</v>
      </c>
      <c r="L331" s="98">
        <f t="shared" ref="L331:L362" si="48">+ROUND(G331*J331,0)</f>
        <v>10067902</v>
      </c>
      <c r="M331" s="98">
        <f t="shared" ref="M331:M362" si="49">+ROUND(H331*J331,0)</f>
        <v>0</v>
      </c>
      <c r="N331" s="100"/>
    </row>
    <row r="332" spans="1:14" ht="15.75" customHeight="1" x14ac:dyDescent="0.25">
      <c r="A332" s="52" t="str">
        <f t="shared" si="45"/>
        <v>TL</v>
      </c>
      <c r="B332" s="32" t="s">
        <v>555</v>
      </c>
      <c r="C332" s="33">
        <v>327</v>
      </c>
      <c r="D332" s="39" t="s">
        <v>556</v>
      </c>
      <c r="E332" s="33" t="s">
        <v>10</v>
      </c>
      <c r="F332" s="33">
        <v>15.24</v>
      </c>
      <c r="G332" s="33">
        <f t="shared" si="46"/>
        <v>15.24</v>
      </c>
      <c r="H332" s="33"/>
      <c r="I332" s="34" t="s">
        <v>90</v>
      </c>
      <c r="J332" s="99">
        <f>+'[1]Dự thầu'!$G$850</f>
        <v>27004108</v>
      </c>
      <c r="K332" s="98">
        <f t="shared" si="47"/>
        <v>411542606</v>
      </c>
      <c r="L332" s="98">
        <f t="shared" si="48"/>
        <v>411542606</v>
      </c>
      <c r="M332" s="98">
        <f t="shared" si="49"/>
        <v>0</v>
      </c>
      <c r="N332" s="100"/>
    </row>
    <row r="333" spans="1:14" ht="15.75" customHeight="1" x14ac:dyDescent="0.25">
      <c r="A333" s="52" t="str">
        <f t="shared" si="45"/>
        <v>TL</v>
      </c>
      <c r="B333" s="32" t="s">
        <v>557</v>
      </c>
      <c r="C333" s="33">
        <v>328</v>
      </c>
      <c r="D333" s="39" t="s">
        <v>558</v>
      </c>
      <c r="E333" s="33" t="s">
        <v>10</v>
      </c>
      <c r="F333" s="33">
        <v>102.48</v>
      </c>
      <c r="G333" s="33">
        <f t="shared" si="46"/>
        <v>102.48</v>
      </c>
      <c r="H333" s="33"/>
      <c r="I333" s="34" t="s">
        <v>16</v>
      </c>
      <c r="J333" s="99">
        <f>+'[1]Dự thầu'!$G$851</f>
        <v>1871647</v>
      </c>
      <c r="K333" s="98">
        <f t="shared" si="47"/>
        <v>191806385</v>
      </c>
      <c r="L333" s="98">
        <f t="shared" si="48"/>
        <v>191806385</v>
      </c>
      <c r="M333" s="98">
        <f t="shared" si="49"/>
        <v>0</v>
      </c>
      <c r="N333" s="100"/>
    </row>
    <row r="334" spans="1:14" ht="15.75" customHeight="1" x14ac:dyDescent="0.25">
      <c r="A334" s="52" t="str">
        <f t="shared" si="45"/>
        <v>TL</v>
      </c>
      <c r="B334" s="32" t="s">
        <v>559</v>
      </c>
      <c r="C334" s="33">
        <v>329</v>
      </c>
      <c r="D334" s="39" t="s">
        <v>560</v>
      </c>
      <c r="E334" s="33" t="s">
        <v>10</v>
      </c>
      <c r="F334" s="33">
        <v>104.02</v>
      </c>
      <c r="G334" s="33">
        <f t="shared" si="46"/>
        <v>104.02</v>
      </c>
      <c r="H334" s="33"/>
      <c r="I334" s="34" t="s">
        <v>16</v>
      </c>
      <c r="J334" s="99">
        <f>+'[1]Dự thầu'!$G$852</f>
        <v>57102</v>
      </c>
      <c r="K334" s="98">
        <f t="shared" si="47"/>
        <v>5939750</v>
      </c>
      <c r="L334" s="98">
        <f t="shared" si="48"/>
        <v>5939750</v>
      </c>
      <c r="M334" s="98">
        <f t="shared" si="49"/>
        <v>0</v>
      </c>
      <c r="N334" s="100"/>
    </row>
    <row r="335" spans="1:14" ht="15.75" customHeight="1" x14ac:dyDescent="0.25">
      <c r="A335" s="52" t="str">
        <f t="shared" si="45"/>
        <v>TL</v>
      </c>
      <c r="B335" s="32" t="s">
        <v>561</v>
      </c>
      <c r="C335" s="33">
        <v>330</v>
      </c>
      <c r="D335" s="39" t="s">
        <v>562</v>
      </c>
      <c r="E335" s="33" t="s">
        <v>10</v>
      </c>
      <c r="F335" s="33">
        <v>104.02</v>
      </c>
      <c r="G335" s="33">
        <f t="shared" si="46"/>
        <v>104.02</v>
      </c>
      <c r="H335" s="33"/>
      <c r="I335" s="34" t="s">
        <v>16</v>
      </c>
      <c r="J335" s="99">
        <v>232044</v>
      </c>
      <c r="K335" s="98">
        <f t="shared" si="47"/>
        <v>24137217</v>
      </c>
      <c r="L335" s="98">
        <f t="shared" si="48"/>
        <v>24137217</v>
      </c>
      <c r="M335" s="98">
        <f t="shared" si="49"/>
        <v>0</v>
      </c>
      <c r="N335" s="100"/>
    </row>
    <row r="336" spans="1:14" ht="15.75" customHeight="1" x14ac:dyDescent="0.25">
      <c r="A336" s="52" t="str">
        <f t="shared" si="45"/>
        <v>TL</v>
      </c>
      <c r="B336" s="32" t="s">
        <v>563</v>
      </c>
      <c r="C336" s="33">
        <v>331</v>
      </c>
      <c r="D336" s="39" t="s">
        <v>564</v>
      </c>
      <c r="E336" s="33" t="s">
        <v>10</v>
      </c>
      <c r="F336" s="33">
        <v>757.68</v>
      </c>
      <c r="G336" s="33">
        <f t="shared" si="46"/>
        <v>757.68</v>
      </c>
      <c r="H336" s="33"/>
      <c r="I336" s="34" t="s">
        <v>13</v>
      </c>
      <c r="J336" s="99">
        <f>+'[1]Dự thầu'!$G$855</f>
        <v>115728</v>
      </c>
      <c r="K336" s="98">
        <f t="shared" si="47"/>
        <v>87684791</v>
      </c>
      <c r="L336" s="98">
        <f t="shared" si="48"/>
        <v>87684791</v>
      </c>
      <c r="M336" s="98">
        <f t="shared" si="49"/>
        <v>0</v>
      </c>
      <c r="N336" s="100"/>
    </row>
    <row r="337" spans="1:14" ht="31.5" customHeight="1" x14ac:dyDescent="0.25">
      <c r="A337" s="52" t="str">
        <f t="shared" si="45"/>
        <v>TL</v>
      </c>
      <c r="B337" s="32" t="s">
        <v>565</v>
      </c>
      <c r="C337" s="33">
        <v>332</v>
      </c>
      <c r="D337" s="39" t="s">
        <v>566</v>
      </c>
      <c r="E337" s="33" t="s">
        <v>10</v>
      </c>
      <c r="F337" s="33">
        <v>56</v>
      </c>
      <c r="G337" s="33">
        <f t="shared" si="46"/>
        <v>56</v>
      </c>
      <c r="H337" s="33"/>
      <c r="I337" s="34" t="s">
        <v>567</v>
      </c>
      <c r="J337" s="99">
        <f>+'[1]Dự thầu'!$G$856</f>
        <v>561271</v>
      </c>
      <c r="K337" s="98">
        <f t="shared" si="47"/>
        <v>31431176</v>
      </c>
      <c r="L337" s="98">
        <f t="shared" si="48"/>
        <v>31431176</v>
      </c>
      <c r="M337" s="98">
        <f t="shared" si="49"/>
        <v>0</v>
      </c>
      <c r="N337" s="100"/>
    </row>
    <row r="338" spans="1:14" ht="47.25" customHeight="1" x14ac:dyDescent="0.25">
      <c r="A338" s="52" t="str">
        <f t="shared" si="45"/>
        <v>TL</v>
      </c>
      <c r="B338" s="32" t="s">
        <v>568</v>
      </c>
      <c r="C338" s="33">
        <v>333</v>
      </c>
      <c r="D338" s="39" t="s">
        <v>569</v>
      </c>
      <c r="E338" s="33" t="s">
        <v>10</v>
      </c>
      <c r="F338" s="33">
        <v>56</v>
      </c>
      <c r="G338" s="33">
        <f t="shared" si="46"/>
        <v>56</v>
      </c>
      <c r="H338" s="33"/>
      <c r="I338" s="34" t="s">
        <v>250</v>
      </c>
      <c r="J338" s="99">
        <f>+'[1]Dự thầu'!$G$857</f>
        <v>113802</v>
      </c>
      <c r="K338" s="98">
        <f t="shared" si="47"/>
        <v>6372912</v>
      </c>
      <c r="L338" s="98">
        <f t="shared" si="48"/>
        <v>6372912</v>
      </c>
      <c r="M338" s="98">
        <f t="shared" si="49"/>
        <v>0</v>
      </c>
      <c r="N338" s="100"/>
    </row>
    <row r="339" spans="1:14" ht="47.25" customHeight="1" x14ac:dyDescent="0.25">
      <c r="A339" s="52" t="str">
        <f t="shared" si="45"/>
        <v>TL</v>
      </c>
      <c r="B339" s="32" t="s">
        <v>570</v>
      </c>
      <c r="C339" s="33">
        <v>334</v>
      </c>
      <c r="D339" s="39" t="s">
        <v>571</v>
      </c>
      <c r="E339" s="33" t="s">
        <v>10</v>
      </c>
      <c r="F339" s="33">
        <v>56</v>
      </c>
      <c r="G339" s="33">
        <f t="shared" si="46"/>
        <v>56</v>
      </c>
      <c r="H339" s="33"/>
      <c r="I339" s="34" t="s">
        <v>250</v>
      </c>
      <c r="J339" s="99">
        <f>+'[1]Dự thầu'!$G$858</f>
        <v>91827</v>
      </c>
      <c r="K339" s="98">
        <f t="shared" si="47"/>
        <v>5142312</v>
      </c>
      <c r="L339" s="98">
        <f t="shared" si="48"/>
        <v>5142312</v>
      </c>
      <c r="M339" s="98">
        <f t="shared" si="49"/>
        <v>0</v>
      </c>
      <c r="N339" s="100"/>
    </row>
    <row r="340" spans="1:14" ht="15.75" customHeight="1" x14ac:dyDescent="0.25">
      <c r="A340" s="52" t="str">
        <f t="shared" si="45"/>
        <v>TL</v>
      </c>
      <c r="B340" s="32" t="s">
        <v>572</v>
      </c>
      <c r="C340" s="33">
        <v>335</v>
      </c>
      <c r="D340" s="39" t="s">
        <v>573</v>
      </c>
      <c r="E340" s="33" t="s">
        <v>10</v>
      </c>
      <c r="F340" s="33">
        <v>256.2</v>
      </c>
      <c r="G340" s="33">
        <f t="shared" si="46"/>
        <v>256.2</v>
      </c>
      <c r="H340" s="33"/>
      <c r="I340" s="34" t="s">
        <v>574</v>
      </c>
      <c r="J340" s="99">
        <f>+'[1]Dự thầu'!$G$859</f>
        <v>3619</v>
      </c>
      <c r="K340" s="98">
        <f t="shared" si="47"/>
        <v>927188</v>
      </c>
      <c r="L340" s="98">
        <f t="shared" si="48"/>
        <v>927188</v>
      </c>
      <c r="M340" s="98">
        <f t="shared" si="49"/>
        <v>0</v>
      </c>
      <c r="N340" s="100"/>
    </row>
    <row r="341" spans="1:14" ht="15.75" customHeight="1" x14ac:dyDescent="0.25">
      <c r="A341" s="52" t="str">
        <f t="shared" si="45"/>
        <v>TL</v>
      </c>
      <c r="B341" s="32" t="s">
        <v>575</v>
      </c>
      <c r="C341" s="33">
        <v>336</v>
      </c>
      <c r="D341" s="39" t="s">
        <v>576</v>
      </c>
      <c r="E341" s="33" t="s">
        <v>10</v>
      </c>
      <c r="F341" s="33">
        <v>31.32</v>
      </c>
      <c r="G341" s="33">
        <f t="shared" si="46"/>
        <v>31.32</v>
      </c>
      <c r="H341" s="33"/>
      <c r="I341" s="34" t="s">
        <v>16</v>
      </c>
      <c r="J341" s="99">
        <f>+'[1]Dự thầu'!$G$860</f>
        <v>1725249</v>
      </c>
      <c r="K341" s="98">
        <f t="shared" si="47"/>
        <v>54034799</v>
      </c>
      <c r="L341" s="98">
        <f t="shared" si="48"/>
        <v>54034799</v>
      </c>
      <c r="M341" s="98">
        <f t="shared" si="49"/>
        <v>0</v>
      </c>
      <c r="N341" s="100"/>
    </row>
    <row r="342" spans="1:14" ht="15.75" customHeight="1" x14ac:dyDescent="0.25">
      <c r="A342" s="52" t="str">
        <f t="shared" si="45"/>
        <v>TL</v>
      </c>
      <c r="B342" s="32" t="s">
        <v>577</v>
      </c>
      <c r="C342" s="33">
        <v>337</v>
      </c>
      <c r="D342" s="39" t="s">
        <v>578</v>
      </c>
      <c r="E342" s="33" t="s">
        <v>10</v>
      </c>
      <c r="F342" s="33">
        <v>1.85</v>
      </c>
      <c r="G342" s="33">
        <f t="shared" si="46"/>
        <v>1.85</v>
      </c>
      <c r="H342" s="33"/>
      <c r="I342" s="34" t="s">
        <v>90</v>
      </c>
      <c r="J342" s="99">
        <f>+'[1]Dự thầu'!$G$861</f>
        <v>28097053</v>
      </c>
      <c r="K342" s="98">
        <f t="shared" si="47"/>
        <v>51979548</v>
      </c>
      <c r="L342" s="98">
        <f t="shared" si="48"/>
        <v>51979548</v>
      </c>
      <c r="M342" s="98">
        <f t="shared" si="49"/>
        <v>0</v>
      </c>
      <c r="N342" s="100"/>
    </row>
    <row r="343" spans="1:14" ht="15.75" customHeight="1" x14ac:dyDescent="0.25">
      <c r="A343" s="52" t="str">
        <f t="shared" si="45"/>
        <v>TL</v>
      </c>
      <c r="B343" s="32" t="s">
        <v>579</v>
      </c>
      <c r="C343" s="33">
        <v>338</v>
      </c>
      <c r="D343" s="39" t="s">
        <v>497</v>
      </c>
      <c r="E343" s="33" t="s">
        <v>10</v>
      </c>
      <c r="F343" s="33">
        <v>63.36</v>
      </c>
      <c r="G343" s="33">
        <f t="shared" si="46"/>
        <v>63.36</v>
      </c>
      <c r="H343" s="33"/>
      <c r="I343" s="34" t="s">
        <v>13</v>
      </c>
      <c r="J343" s="99">
        <f>+'[1]Dự thầu'!$G$862</f>
        <v>86606</v>
      </c>
      <c r="K343" s="98">
        <f t="shared" si="47"/>
        <v>5487356</v>
      </c>
      <c r="L343" s="98">
        <f t="shared" si="48"/>
        <v>5487356</v>
      </c>
      <c r="M343" s="98">
        <f t="shared" si="49"/>
        <v>0</v>
      </c>
      <c r="N343" s="100"/>
    </row>
    <row r="344" spans="1:14" ht="15.75" customHeight="1" x14ac:dyDescent="0.25">
      <c r="A344" s="52" t="str">
        <f t="shared" si="45"/>
        <v>TL</v>
      </c>
      <c r="B344" s="32" t="s">
        <v>580</v>
      </c>
      <c r="C344" s="33">
        <v>339</v>
      </c>
      <c r="D344" s="39" t="s">
        <v>581</v>
      </c>
      <c r="E344" s="33" t="s">
        <v>10</v>
      </c>
      <c r="F344" s="33">
        <v>78.3</v>
      </c>
      <c r="G344" s="33">
        <f t="shared" si="46"/>
        <v>78.3</v>
      </c>
      <c r="H344" s="33"/>
      <c r="I344" s="34" t="s">
        <v>297</v>
      </c>
      <c r="J344" s="99">
        <f>+'[1]Dự thầu'!$G$863</f>
        <v>36395</v>
      </c>
      <c r="K344" s="98">
        <f t="shared" si="47"/>
        <v>2849729</v>
      </c>
      <c r="L344" s="98">
        <f t="shared" si="48"/>
        <v>2849729</v>
      </c>
      <c r="M344" s="98">
        <f t="shared" si="49"/>
        <v>0</v>
      </c>
      <c r="N344" s="100"/>
    </row>
    <row r="345" spans="1:14" ht="47.25" customHeight="1" x14ac:dyDescent="0.25">
      <c r="A345" s="52" t="str">
        <f t="shared" si="45"/>
        <v>TL</v>
      </c>
      <c r="B345" s="32" t="s">
        <v>582</v>
      </c>
      <c r="C345" s="33">
        <v>340</v>
      </c>
      <c r="D345" s="39" t="s">
        <v>569</v>
      </c>
      <c r="E345" s="33" t="s">
        <v>10</v>
      </c>
      <c r="F345" s="33">
        <v>36</v>
      </c>
      <c r="G345" s="33">
        <f t="shared" si="46"/>
        <v>36</v>
      </c>
      <c r="H345" s="33"/>
      <c r="I345" s="34" t="s">
        <v>250</v>
      </c>
      <c r="J345" s="99">
        <f>+'[1]Dự thầu'!$G$864</f>
        <v>113802</v>
      </c>
      <c r="K345" s="98">
        <f t="shared" si="47"/>
        <v>4096872</v>
      </c>
      <c r="L345" s="98">
        <f t="shared" si="48"/>
        <v>4096872</v>
      </c>
      <c r="M345" s="98">
        <f t="shared" si="49"/>
        <v>0</v>
      </c>
      <c r="N345" s="100"/>
    </row>
    <row r="346" spans="1:14" ht="47.25" customHeight="1" x14ac:dyDescent="0.25">
      <c r="A346" s="52" t="str">
        <f t="shared" si="45"/>
        <v>TL</v>
      </c>
      <c r="B346" s="32" t="s">
        <v>583</v>
      </c>
      <c r="C346" s="33">
        <v>341</v>
      </c>
      <c r="D346" s="39" t="s">
        <v>571</v>
      </c>
      <c r="E346" s="33" t="s">
        <v>10</v>
      </c>
      <c r="F346" s="33">
        <v>36</v>
      </c>
      <c r="G346" s="33">
        <f t="shared" si="46"/>
        <v>36</v>
      </c>
      <c r="H346" s="33"/>
      <c r="I346" s="34" t="s">
        <v>250</v>
      </c>
      <c r="J346" s="99">
        <f>+'[1]Dự thầu'!$G$865</f>
        <v>91827</v>
      </c>
      <c r="K346" s="98">
        <f t="shared" si="47"/>
        <v>3305772</v>
      </c>
      <c r="L346" s="98">
        <f t="shared" si="48"/>
        <v>3305772</v>
      </c>
      <c r="M346" s="98">
        <f t="shared" si="49"/>
        <v>0</v>
      </c>
      <c r="N346" s="100"/>
    </row>
    <row r="347" spans="1:14" ht="47.25" customHeight="1" x14ac:dyDescent="0.25">
      <c r="A347" s="52" t="str">
        <f t="shared" si="45"/>
        <v>TL</v>
      </c>
      <c r="B347" s="32" t="s">
        <v>584</v>
      </c>
      <c r="C347" s="33">
        <v>342</v>
      </c>
      <c r="D347" s="39" t="s">
        <v>585</v>
      </c>
      <c r="E347" s="33" t="s">
        <v>10</v>
      </c>
      <c r="F347" s="33">
        <v>7.83</v>
      </c>
      <c r="G347" s="33">
        <f t="shared" si="46"/>
        <v>7.83</v>
      </c>
      <c r="H347" s="33"/>
      <c r="I347" s="34" t="s">
        <v>253</v>
      </c>
      <c r="J347" s="99">
        <f>+'[1]Dự thầu'!$G$866</f>
        <v>36181</v>
      </c>
      <c r="K347" s="98">
        <f t="shared" si="47"/>
        <v>283297</v>
      </c>
      <c r="L347" s="98">
        <f t="shared" si="48"/>
        <v>283297</v>
      </c>
      <c r="M347" s="98">
        <f t="shared" si="49"/>
        <v>0</v>
      </c>
      <c r="N347" s="100"/>
    </row>
    <row r="348" spans="1:14" ht="15.75" customHeight="1" x14ac:dyDescent="0.25">
      <c r="A348" s="52" t="str">
        <f t="shared" si="45"/>
        <v>TL</v>
      </c>
      <c r="B348" s="32" t="s">
        <v>586</v>
      </c>
      <c r="C348" s="33">
        <v>343</v>
      </c>
      <c r="D348" s="39" t="s">
        <v>587</v>
      </c>
      <c r="E348" s="33" t="s">
        <v>10</v>
      </c>
      <c r="F348" s="33">
        <v>17.66</v>
      </c>
      <c r="G348" s="33">
        <f t="shared" si="46"/>
        <v>17.66</v>
      </c>
      <c r="H348" s="33"/>
      <c r="I348" s="34" t="s">
        <v>16</v>
      </c>
      <c r="J348" s="99">
        <f>+'[1]Dự thầu'!$G$867</f>
        <v>842139</v>
      </c>
      <c r="K348" s="98">
        <f t="shared" si="47"/>
        <v>14872175</v>
      </c>
      <c r="L348" s="98">
        <f t="shared" si="48"/>
        <v>14872175</v>
      </c>
      <c r="M348" s="98">
        <f t="shared" si="49"/>
        <v>0</v>
      </c>
      <c r="N348" s="100"/>
    </row>
    <row r="349" spans="1:14" ht="15.75" customHeight="1" x14ac:dyDescent="0.25">
      <c r="A349" s="52" t="str">
        <f t="shared" si="45"/>
        <v>TL</v>
      </c>
      <c r="B349" s="32" t="s">
        <v>588</v>
      </c>
      <c r="C349" s="33">
        <v>344</v>
      </c>
      <c r="D349" s="39" t="s">
        <v>589</v>
      </c>
      <c r="E349" s="33" t="s">
        <v>10</v>
      </c>
      <c r="F349" s="33">
        <v>1.82</v>
      </c>
      <c r="G349" s="33">
        <f t="shared" si="46"/>
        <v>1.82</v>
      </c>
      <c r="H349" s="33"/>
      <c r="I349" s="34" t="s">
        <v>13</v>
      </c>
      <c r="J349" s="99">
        <f>+'[1]Dự thầu'!$G$868</f>
        <v>63427</v>
      </c>
      <c r="K349" s="98">
        <f t="shared" si="47"/>
        <v>115437</v>
      </c>
      <c r="L349" s="98">
        <f t="shared" si="48"/>
        <v>115437</v>
      </c>
      <c r="M349" s="98">
        <f t="shared" si="49"/>
        <v>0</v>
      </c>
      <c r="N349" s="100"/>
    </row>
    <row r="350" spans="1:14" ht="15.75" customHeight="1" x14ac:dyDescent="0.25">
      <c r="A350" s="52" t="str">
        <f t="shared" si="45"/>
        <v>TL</v>
      </c>
      <c r="B350" s="32" t="s">
        <v>590</v>
      </c>
      <c r="C350" s="33">
        <v>345</v>
      </c>
      <c r="D350" s="39" t="s">
        <v>591</v>
      </c>
      <c r="E350" s="33" t="s">
        <v>10</v>
      </c>
      <c r="F350" s="33">
        <v>420</v>
      </c>
      <c r="G350" s="33">
        <f t="shared" si="46"/>
        <v>420</v>
      </c>
      <c r="H350" s="33"/>
      <c r="I350" s="34" t="s">
        <v>13</v>
      </c>
      <c r="J350" s="99">
        <f>+'[1]Dự thầu'!$G$869</f>
        <v>76805</v>
      </c>
      <c r="K350" s="98">
        <f t="shared" si="47"/>
        <v>32258100</v>
      </c>
      <c r="L350" s="98">
        <f t="shared" si="48"/>
        <v>32258100</v>
      </c>
      <c r="M350" s="98">
        <f t="shared" si="49"/>
        <v>0</v>
      </c>
      <c r="N350" s="100"/>
    </row>
    <row r="351" spans="1:14" ht="15.75" customHeight="1" x14ac:dyDescent="0.25">
      <c r="A351" s="52" t="str">
        <f t="shared" si="45"/>
        <v>TL</v>
      </c>
      <c r="B351" s="32" t="s">
        <v>592</v>
      </c>
      <c r="C351" s="33">
        <v>346</v>
      </c>
      <c r="D351" s="39" t="s">
        <v>593</v>
      </c>
      <c r="E351" s="33" t="s">
        <v>10</v>
      </c>
      <c r="F351" s="33">
        <v>4.93</v>
      </c>
      <c r="G351" s="33">
        <f t="shared" si="46"/>
        <v>4.93</v>
      </c>
      <c r="H351" s="33"/>
      <c r="I351" s="34" t="s">
        <v>16</v>
      </c>
      <c r="J351" s="99">
        <f>+'[1]Dự thầu'!$G$870</f>
        <v>1881449</v>
      </c>
      <c r="K351" s="98">
        <f t="shared" si="47"/>
        <v>9275544</v>
      </c>
      <c r="L351" s="98">
        <f t="shared" si="48"/>
        <v>9275544</v>
      </c>
      <c r="M351" s="98">
        <f t="shared" si="49"/>
        <v>0</v>
      </c>
      <c r="N351" s="100"/>
    </row>
    <row r="352" spans="1:14" ht="15.75" customHeight="1" x14ac:dyDescent="0.25">
      <c r="A352" s="52" t="str">
        <f t="shared" si="45"/>
        <v>TL</v>
      </c>
      <c r="B352" s="32" t="s">
        <v>594</v>
      </c>
      <c r="C352" s="33">
        <v>347</v>
      </c>
      <c r="D352" s="39" t="s">
        <v>595</v>
      </c>
      <c r="E352" s="33" t="s">
        <v>10</v>
      </c>
      <c r="F352" s="33">
        <v>21.71</v>
      </c>
      <c r="G352" s="33">
        <f t="shared" si="46"/>
        <v>21.71</v>
      </c>
      <c r="H352" s="33"/>
      <c r="I352" s="34" t="s">
        <v>16</v>
      </c>
      <c r="J352" s="99">
        <f>+'[1]Dự thầu'!$G$871</f>
        <v>1145922</v>
      </c>
      <c r="K352" s="98">
        <f t="shared" si="47"/>
        <v>24877967</v>
      </c>
      <c r="L352" s="98">
        <f t="shared" si="48"/>
        <v>24877967</v>
      </c>
      <c r="M352" s="98">
        <f t="shared" si="49"/>
        <v>0</v>
      </c>
      <c r="N352" s="100"/>
    </row>
    <row r="353" spans="1:14" ht="15.75" customHeight="1" x14ac:dyDescent="0.25">
      <c r="A353" s="52" t="str">
        <f t="shared" si="45"/>
        <v>TL</v>
      </c>
      <c r="B353" s="32" t="s">
        <v>596</v>
      </c>
      <c r="C353" s="33">
        <v>348</v>
      </c>
      <c r="D353" s="39" t="s">
        <v>597</v>
      </c>
      <c r="E353" s="33" t="s">
        <v>10</v>
      </c>
      <c r="F353" s="33">
        <v>43.9</v>
      </c>
      <c r="G353" s="33">
        <f t="shared" si="46"/>
        <v>43.9</v>
      </c>
      <c r="H353" s="33"/>
      <c r="I353" s="34" t="s">
        <v>13</v>
      </c>
      <c r="J353" s="99">
        <f>+'[1]Dự thầu'!$G$872</f>
        <v>104798</v>
      </c>
      <c r="K353" s="98">
        <f t="shared" si="47"/>
        <v>4600632</v>
      </c>
      <c r="L353" s="98">
        <f t="shared" si="48"/>
        <v>4600632</v>
      </c>
      <c r="M353" s="98">
        <f t="shared" si="49"/>
        <v>0</v>
      </c>
      <c r="N353" s="100"/>
    </row>
    <row r="354" spans="1:14" ht="15.75" customHeight="1" x14ac:dyDescent="0.25">
      <c r="A354" s="52" t="str">
        <f t="shared" si="45"/>
        <v>TL</v>
      </c>
      <c r="B354" s="32" t="s">
        <v>598</v>
      </c>
      <c r="C354" s="33">
        <v>349</v>
      </c>
      <c r="D354" s="39" t="s">
        <v>599</v>
      </c>
      <c r="E354" s="33" t="s">
        <v>10</v>
      </c>
      <c r="F354" s="33">
        <v>32.14</v>
      </c>
      <c r="G354" s="33">
        <f t="shared" si="46"/>
        <v>32.14</v>
      </c>
      <c r="H354" s="33"/>
      <c r="I354" s="34" t="s">
        <v>13</v>
      </c>
      <c r="J354" s="99">
        <f>+'[1]Dự thầu'!$G$873</f>
        <v>141724</v>
      </c>
      <c r="K354" s="98">
        <f t="shared" si="47"/>
        <v>4555009</v>
      </c>
      <c r="L354" s="98">
        <f t="shared" si="48"/>
        <v>4555009</v>
      </c>
      <c r="M354" s="98">
        <f t="shared" si="49"/>
        <v>0</v>
      </c>
      <c r="N354" s="100"/>
    </row>
    <row r="355" spans="1:14" ht="15.75" customHeight="1" x14ac:dyDescent="0.25">
      <c r="A355" s="52" t="str">
        <f t="shared" si="45"/>
        <v>TL</v>
      </c>
      <c r="B355" s="32" t="s">
        <v>600</v>
      </c>
      <c r="C355" s="33">
        <v>350</v>
      </c>
      <c r="D355" s="39" t="s">
        <v>587</v>
      </c>
      <c r="E355" s="33" t="s">
        <v>10</v>
      </c>
      <c r="F355" s="33">
        <v>2.2200000000000002</v>
      </c>
      <c r="G355" s="33">
        <f t="shared" si="46"/>
        <v>2.2200000000000002</v>
      </c>
      <c r="H355" s="33"/>
      <c r="I355" s="34" t="s">
        <v>16</v>
      </c>
      <c r="J355" s="99">
        <f>+'[1]Dự thầu'!$G$874</f>
        <v>842139</v>
      </c>
      <c r="K355" s="98">
        <f t="shared" si="47"/>
        <v>1869549</v>
      </c>
      <c r="L355" s="98">
        <f t="shared" si="48"/>
        <v>1869549</v>
      </c>
      <c r="M355" s="98">
        <f t="shared" si="49"/>
        <v>0</v>
      </c>
      <c r="N355" s="100"/>
    </row>
    <row r="356" spans="1:14" ht="15.75" customHeight="1" x14ac:dyDescent="0.25">
      <c r="A356" s="52" t="str">
        <f t="shared" si="45"/>
        <v>TL</v>
      </c>
      <c r="B356" s="32" t="s">
        <v>601</v>
      </c>
      <c r="C356" s="33">
        <v>351</v>
      </c>
      <c r="D356" s="39" t="s">
        <v>602</v>
      </c>
      <c r="E356" s="33" t="s">
        <v>10</v>
      </c>
      <c r="F356" s="33">
        <v>20.48</v>
      </c>
      <c r="G356" s="33">
        <f t="shared" si="46"/>
        <v>20.48</v>
      </c>
      <c r="H356" s="33"/>
      <c r="I356" s="34" t="s">
        <v>16</v>
      </c>
      <c r="J356" s="99">
        <f>+'[1]Dự thầu'!$G$875</f>
        <v>1245512</v>
      </c>
      <c r="K356" s="98">
        <f t="shared" si="47"/>
        <v>25508086</v>
      </c>
      <c r="L356" s="98">
        <f t="shared" si="48"/>
        <v>25508086</v>
      </c>
      <c r="M356" s="98">
        <f t="shared" si="49"/>
        <v>0</v>
      </c>
      <c r="N356" s="100"/>
    </row>
    <row r="357" spans="1:14" ht="15.75" customHeight="1" x14ac:dyDescent="0.25">
      <c r="A357" s="52" t="str">
        <f t="shared" si="45"/>
        <v>TL</v>
      </c>
      <c r="B357" s="32" t="s">
        <v>603</v>
      </c>
      <c r="C357" s="33">
        <v>352</v>
      </c>
      <c r="D357" s="39" t="s">
        <v>587</v>
      </c>
      <c r="E357" s="33" t="s">
        <v>10</v>
      </c>
      <c r="F357" s="33">
        <v>8.19</v>
      </c>
      <c r="G357" s="33">
        <f t="shared" si="46"/>
        <v>8.19</v>
      </c>
      <c r="H357" s="33"/>
      <c r="I357" s="34" t="s">
        <v>16</v>
      </c>
      <c r="J357" s="99">
        <f>+'[1]Dự thầu'!$G$876</f>
        <v>842139</v>
      </c>
      <c r="K357" s="98">
        <f t="shared" si="47"/>
        <v>6897118</v>
      </c>
      <c r="L357" s="98">
        <f t="shared" si="48"/>
        <v>6897118</v>
      </c>
      <c r="M357" s="98">
        <f t="shared" si="49"/>
        <v>0</v>
      </c>
      <c r="N357" s="100"/>
    </row>
    <row r="358" spans="1:14" ht="15.75" customHeight="1" x14ac:dyDescent="0.25">
      <c r="A358" s="52" t="str">
        <f t="shared" si="45"/>
        <v>TL</v>
      </c>
      <c r="B358" s="32" t="s">
        <v>604</v>
      </c>
      <c r="C358" s="33">
        <v>353</v>
      </c>
      <c r="D358" s="39" t="s">
        <v>605</v>
      </c>
      <c r="E358" s="33" t="s">
        <v>10</v>
      </c>
      <c r="F358" s="33">
        <v>2.98</v>
      </c>
      <c r="G358" s="33">
        <f t="shared" si="46"/>
        <v>2.98</v>
      </c>
      <c r="H358" s="33"/>
      <c r="I358" s="34" t="s">
        <v>16</v>
      </c>
      <c r="J358" s="99">
        <f>+'[1]Dự thầu'!$G$877</f>
        <v>1299241</v>
      </c>
      <c r="K358" s="98">
        <f t="shared" si="47"/>
        <v>3871738</v>
      </c>
      <c r="L358" s="98">
        <f t="shared" si="48"/>
        <v>3871738</v>
      </c>
      <c r="M358" s="98">
        <f t="shared" si="49"/>
        <v>0</v>
      </c>
      <c r="N358" s="100"/>
    </row>
    <row r="359" spans="1:14" ht="15.75" customHeight="1" x14ac:dyDescent="0.25">
      <c r="A359" s="52" t="str">
        <f t="shared" si="45"/>
        <v>TL</v>
      </c>
      <c r="B359" s="32" t="s">
        <v>606</v>
      </c>
      <c r="C359" s="33">
        <v>354</v>
      </c>
      <c r="D359" s="39" t="s">
        <v>587</v>
      </c>
      <c r="E359" s="33" t="s">
        <v>10</v>
      </c>
      <c r="F359" s="33">
        <v>1.19</v>
      </c>
      <c r="G359" s="33">
        <f t="shared" si="46"/>
        <v>1.19</v>
      </c>
      <c r="H359" s="33"/>
      <c r="I359" s="34" t="s">
        <v>16</v>
      </c>
      <c r="J359" s="99">
        <f>+'[1]Dự thầu'!$G$878</f>
        <v>842139</v>
      </c>
      <c r="K359" s="98">
        <f t="shared" si="47"/>
        <v>1002145</v>
      </c>
      <c r="L359" s="98">
        <f t="shared" si="48"/>
        <v>1002145</v>
      </c>
      <c r="M359" s="98">
        <f t="shared" si="49"/>
        <v>0</v>
      </c>
      <c r="N359" s="100"/>
    </row>
    <row r="360" spans="1:14" ht="15.75" customHeight="1" x14ac:dyDescent="0.25">
      <c r="A360" s="52" t="str">
        <f t="shared" si="45"/>
        <v>TL</v>
      </c>
      <c r="B360" s="32" t="s">
        <v>607</v>
      </c>
      <c r="C360" s="33">
        <v>355</v>
      </c>
      <c r="D360" s="39" t="s">
        <v>608</v>
      </c>
      <c r="E360" s="33" t="s">
        <v>10</v>
      </c>
      <c r="F360" s="102">
        <v>1744.99</v>
      </c>
      <c r="G360" s="102">
        <f t="shared" si="46"/>
        <v>1744.99</v>
      </c>
      <c r="H360" s="33"/>
      <c r="I360" s="34" t="s">
        <v>16</v>
      </c>
      <c r="J360" s="99">
        <f>+'[1]Dự thầu'!$G$879</f>
        <v>20867</v>
      </c>
      <c r="K360" s="98">
        <f t="shared" si="47"/>
        <v>36412706</v>
      </c>
      <c r="L360" s="98">
        <f t="shared" si="48"/>
        <v>36412706</v>
      </c>
      <c r="M360" s="98">
        <f t="shared" si="49"/>
        <v>0</v>
      </c>
      <c r="N360" s="100"/>
    </row>
    <row r="361" spans="1:14" ht="15.75" customHeight="1" x14ac:dyDescent="0.25">
      <c r="A361" s="52" t="str">
        <f t="shared" si="45"/>
        <v>TL</v>
      </c>
      <c r="B361" s="32" t="s">
        <v>609</v>
      </c>
      <c r="C361" s="33">
        <v>356</v>
      </c>
      <c r="D361" s="39" t="s">
        <v>610</v>
      </c>
      <c r="E361" s="33" t="s">
        <v>10</v>
      </c>
      <c r="F361" s="33">
        <v>868.65</v>
      </c>
      <c r="G361" s="33">
        <f t="shared" si="46"/>
        <v>868.65</v>
      </c>
      <c r="H361" s="33"/>
      <c r="I361" s="34" t="s">
        <v>16</v>
      </c>
      <c r="J361" s="99">
        <f>+'[1]Dự thầu'!$G$880</f>
        <v>12936</v>
      </c>
      <c r="K361" s="98">
        <f t="shared" si="47"/>
        <v>11236856</v>
      </c>
      <c r="L361" s="98">
        <f t="shared" si="48"/>
        <v>11236856</v>
      </c>
      <c r="M361" s="98">
        <f t="shared" si="49"/>
        <v>0</v>
      </c>
      <c r="N361" s="100"/>
    </row>
    <row r="362" spans="1:14" ht="15.75" customHeight="1" x14ac:dyDescent="0.25">
      <c r="A362" s="52" t="str">
        <f t="shared" si="45"/>
        <v>TL</v>
      </c>
      <c r="B362" s="32" t="s">
        <v>611</v>
      </c>
      <c r="C362" s="33">
        <v>357</v>
      </c>
      <c r="D362" s="39" t="s">
        <v>32</v>
      </c>
      <c r="E362" s="33" t="s">
        <v>10</v>
      </c>
      <c r="F362" s="33">
        <v>1187.7</v>
      </c>
      <c r="G362" s="33">
        <f t="shared" si="46"/>
        <v>1187.7</v>
      </c>
      <c r="H362" s="33"/>
      <c r="I362" s="34" t="s">
        <v>16</v>
      </c>
      <c r="J362" s="99">
        <f>+'[1]Dự thầu'!$G$881</f>
        <v>50585</v>
      </c>
      <c r="K362" s="98">
        <f t="shared" si="47"/>
        <v>60079805</v>
      </c>
      <c r="L362" s="98">
        <f t="shared" si="48"/>
        <v>60079805</v>
      </c>
      <c r="M362" s="98">
        <f t="shared" si="49"/>
        <v>0</v>
      </c>
      <c r="N362" s="100"/>
    </row>
    <row r="363" spans="1:14" ht="15.75" customHeight="1" x14ac:dyDescent="0.25">
      <c r="A363" s="52" t="str">
        <f t="shared" si="45"/>
        <v>TL</v>
      </c>
      <c r="B363" s="32" t="s">
        <v>612</v>
      </c>
      <c r="C363" s="33">
        <v>358</v>
      </c>
      <c r="D363" s="39" t="s">
        <v>36</v>
      </c>
      <c r="E363" s="33" t="s">
        <v>10</v>
      </c>
      <c r="F363" s="33">
        <v>118.77</v>
      </c>
      <c r="G363" s="33">
        <f t="shared" si="46"/>
        <v>118.77</v>
      </c>
      <c r="H363" s="33"/>
      <c r="I363" s="34" t="s">
        <v>37</v>
      </c>
      <c r="J363" s="99">
        <f>+'[1]Dự thầu'!$G$882+'[1]Dự thầu'!$G$883+'[1]Dự thầu'!$G$884</f>
        <v>940826</v>
      </c>
      <c r="K363" s="98">
        <f t="shared" ref="K363:K394" si="50">+ROUND(J363*F363,0)</f>
        <v>111741904</v>
      </c>
      <c r="L363" s="98">
        <f t="shared" ref="L363:L394" si="51">+ROUND(G363*J363,0)</f>
        <v>111741904</v>
      </c>
      <c r="M363" s="98">
        <f t="shared" ref="M363:M394" si="52">+ROUND(H363*J363,0)</f>
        <v>0</v>
      </c>
      <c r="N363" s="100"/>
    </row>
    <row r="364" spans="1:14" ht="15.75" customHeight="1" x14ac:dyDescent="0.25">
      <c r="A364" s="52" t="str">
        <f t="shared" si="45"/>
        <v>TL</v>
      </c>
      <c r="B364" s="32" t="s">
        <v>613</v>
      </c>
      <c r="C364" s="33">
        <v>359</v>
      </c>
      <c r="D364" s="39" t="s">
        <v>614</v>
      </c>
      <c r="E364" s="33" t="s">
        <v>10</v>
      </c>
      <c r="F364" s="33">
        <v>146.30000000000001</v>
      </c>
      <c r="G364" s="33">
        <f t="shared" si="46"/>
        <v>146.30000000000001</v>
      </c>
      <c r="H364" s="33"/>
      <c r="I364" s="34" t="s">
        <v>16</v>
      </c>
      <c r="J364" s="99">
        <f>+'[1]Dự thầu'!$G$885</f>
        <v>23993</v>
      </c>
      <c r="K364" s="98">
        <f t="shared" si="50"/>
        <v>3510176</v>
      </c>
      <c r="L364" s="98">
        <f t="shared" si="51"/>
        <v>3510176</v>
      </c>
      <c r="M364" s="98">
        <f t="shared" si="52"/>
        <v>0</v>
      </c>
      <c r="N364" s="100"/>
    </row>
    <row r="365" spans="1:14" ht="15.75" customHeight="1" x14ac:dyDescent="0.25">
      <c r="A365" s="52" t="str">
        <f t="shared" si="45"/>
        <v>TL</v>
      </c>
      <c r="B365" s="32" t="s">
        <v>615</v>
      </c>
      <c r="C365" s="33">
        <v>360</v>
      </c>
      <c r="D365" s="39" t="s">
        <v>616</v>
      </c>
      <c r="E365" s="33" t="s">
        <v>10</v>
      </c>
      <c r="F365" s="33">
        <v>25.4</v>
      </c>
      <c r="G365" s="33">
        <f t="shared" si="46"/>
        <v>25.4</v>
      </c>
      <c r="H365" s="33"/>
      <c r="I365" s="34" t="s">
        <v>16</v>
      </c>
      <c r="J365" s="99">
        <f>+'[1]Dự thầu'!$G$886</f>
        <v>11161</v>
      </c>
      <c r="K365" s="98">
        <f t="shared" si="50"/>
        <v>283489</v>
      </c>
      <c r="L365" s="98">
        <f t="shared" si="51"/>
        <v>283489</v>
      </c>
      <c r="M365" s="98">
        <f t="shared" si="52"/>
        <v>0</v>
      </c>
      <c r="N365" s="100"/>
    </row>
    <row r="366" spans="1:14" ht="15.75" customHeight="1" x14ac:dyDescent="0.25">
      <c r="A366" s="52" t="str">
        <f t="shared" si="45"/>
        <v>TL</v>
      </c>
      <c r="B366" s="32" t="s">
        <v>617</v>
      </c>
      <c r="C366" s="33">
        <v>361</v>
      </c>
      <c r="D366" s="39" t="s">
        <v>618</v>
      </c>
      <c r="E366" s="33" t="s">
        <v>10</v>
      </c>
      <c r="F366" s="33">
        <v>112.25</v>
      </c>
      <c r="G366" s="33">
        <f t="shared" si="46"/>
        <v>112.25</v>
      </c>
      <c r="H366" s="33"/>
      <c r="I366" s="34" t="s">
        <v>16</v>
      </c>
      <c r="J366" s="99">
        <f>+'[1]Dự thầu'!$G$887</f>
        <v>276665</v>
      </c>
      <c r="K366" s="98">
        <f t="shared" si="50"/>
        <v>31055646</v>
      </c>
      <c r="L366" s="98">
        <f t="shared" si="51"/>
        <v>31055646</v>
      </c>
      <c r="M366" s="98">
        <f t="shared" si="52"/>
        <v>0</v>
      </c>
      <c r="N366" s="100"/>
    </row>
    <row r="367" spans="1:14" ht="15.75" customHeight="1" x14ac:dyDescent="0.25">
      <c r="A367" s="52" t="str">
        <f t="shared" si="45"/>
        <v>TL</v>
      </c>
      <c r="B367" s="32" t="s">
        <v>619</v>
      </c>
      <c r="C367" s="33">
        <v>362</v>
      </c>
      <c r="D367" s="39" t="s">
        <v>620</v>
      </c>
      <c r="E367" s="33" t="s">
        <v>10</v>
      </c>
      <c r="F367" s="102">
        <v>28061.78</v>
      </c>
      <c r="G367" s="102">
        <f t="shared" si="46"/>
        <v>28061.78</v>
      </c>
      <c r="H367" s="33"/>
      <c r="I367" s="34" t="s">
        <v>75</v>
      </c>
      <c r="J367" s="99">
        <f>+'[1]Dự thầu'!$G$888</f>
        <v>11223</v>
      </c>
      <c r="K367" s="98">
        <f t="shared" si="50"/>
        <v>314937357</v>
      </c>
      <c r="L367" s="98">
        <f t="shared" si="51"/>
        <v>314937357</v>
      </c>
      <c r="M367" s="98">
        <f t="shared" si="52"/>
        <v>0</v>
      </c>
      <c r="N367" s="100"/>
    </row>
    <row r="368" spans="1:14" ht="15.75" customHeight="1" x14ac:dyDescent="0.25">
      <c r="A368" s="52" t="str">
        <f t="shared" si="45"/>
        <v>TL</v>
      </c>
      <c r="B368" s="32" t="s">
        <v>621</v>
      </c>
      <c r="C368" s="33">
        <v>363</v>
      </c>
      <c r="D368" s="39" t="s">
        <v>622</v>
      </c>
      <c r="E368" s="33" t="s">
        <v>10</v>
      </c>
      <c r="F368" s="33">
        <v>584.53</v>
      </c>
      <c r="G368" s="33">
        <f t="shared" si="46"/>
        <v>584.53</v>
      </c>
      <c r="H368" s="33"/>
      <c r="I368" s="34" t="s">
        <v>13</v>
      </c>
      <c r="J368" s="99">
        <f>+'[1]Dự thầu'!$G$889</f>
        <v>19714</v>
      </c>
      <c r="K368" s="98">
        <f t="shared" si="50"/>
        <v>11523424</v>
      </c>
      <c r="L368" s="98">
        <f t="shared" si="51"/>
        <v>11523424</v>
      </c>
      <c r="M368" s="98">
        <f t="shared" si="52"/>
        <v>0</v>
      </c>
      <c r="N368" s="100"/>
    </row>
    <row r="369" spans="1:14" ht="15.75" customHeight="1" x14ac:dyDescent="0.25">
      <c r="A369" s="52" t="str">
        <f t="shared" si="45"/>
        <v>TL</v>
      </c>
      <c r="B369" s="32" t="s">
        <v>623</v>
      </c>
      <c r="C369" s="33">
        <v>364</v>
      </c>
      <c r="D369" s="39" t="s">
        <v>624</v>
      </c>
      <c r="E369" s="33" t="s">
        <v>10</v>
      </c>
      <c r="F369" s="33">
        <v>413.78</v>
      </c>
      <c r="G369" s="33">
        <f t="shared" si="46"/>
        <v>413.78</v>
      </c>
      <c r="H369" s="33"/>
      <c r="I369" s="34" t="s">
        <v>16</v>
      </c>
      <c r="J369" s="99">
        <f>+'[1]Dự thầu'!$G$890</f>
        <v>267174</v>
      </c>
      <c r="K369" s="98">
        <f t="shared" si="50"/>
        <v>110551258</v>
      </c>
      <c r="L369" s="98">
        <f t="shared" si="51"/>
        <v>110551258</v>
      </c>
      <c r="M369" s="98">
        <f t="shared" si="52"/>
        <v>0</v>
      </c>
      <c r="N369" s="100"/>
    </row>
    <row r="370" spans="1:14" ht="15.75" customHeight="1" x14ac:dyDescent="0.25">
      <c r="A370" s="52" t="str">
        <f t="shared" si="45"/>
        <v>TL</v>
      </c>
      <c r="B370" s="32" t="s">
        <v>625</v>
      </c>
      <c r="C370" s="33">
        <v>365</v>
      </c>
      <c r="D370" s="39" t="s">
        <v>626</v>
      </c>
      <c r="E370" s="33" t="s">
        <v>10</v>
      </c>
      <c r="F370" s="33">
        <v>1865.9</v>
      </c>
      <c r="G370" s="33">
        <f t="shared" si="46"/>
        <v>1865.9</v>
      </c>
      <c r="H370" s="33"/>
      <c r="I370" s="34" t="s">
        <v>16</v>
      </c>
      <c r="J370" s="99">
        <f>+'[1]Dự thầu'!$G$891</f>
        <v>45382</v>
      </c>
      <c r="K370" s="98">
        <f t="shared" si="50"/>
        <v>84678274</v>
      </c>
      <c r="L370" s="98">
        <f t="shared" si="51"/>
        <v>84678274</v>
      </c>
      <c r="M370" s="98">
        <f t="shared" si="52"/>
        <v>0</v>
      </c>
      <c r="N370" s="100"/>
    </row>
    <row r="371" spans="1:14" ht="15.75" customHeight="1" x14ac:dyDescent="0.25">
      <c r="A371" s="52" t="str">
        <f t="shared" si="45"/>
        <v>TL</v>
      </c>
      <c r="B371" s="32" t="s">
        <v>627</v>
      </c>
      <c r="C371" s="33">
        <v>366</v>
      </c>
      <c r="D371" s="39" t="s">
        <v>628</v>
      </c>
      <c r="E371" s="33" t="s">
        <v>10</v>
      </c>
      <c r="F371" s="33">
        <v>158.4</v>
      </c>
      <c r="G371" s="33">
        <f t="shared" si="46"/>
        <v>158.4</v>
      </c>
      <c r="H371" s="33"/>
      <c r="I371" s="34" t="s">
        <v>16</v>
      </c>
      <c r="J371" s="99">
        <f>+'[1]Dự thầu'!$G$895</f>
        <v>23993</v>
      </c>
      <c r="K371" s="98">
        <f t="shared" si="50"/>
        <v>3800491</v>
      </c>
      <c r="L371" s="98">
        <f t="shared" si="51"/>
        <v>3800491</v>
      </c>
      <c r="M371" s="98">
        <f t="shared" si="52"/>
        <v>0</v>
      </c>
      <c r="N371" s="100"/>
    </row>
    <row r="372" spans="1:14" ht="31.5" customHeight="1" x14ac:dyDescent="0.25">
      <c r="A372" s="52" t="str">
        <f t="shared" si="45"/>
        <v>TL</v>
      </c>
      <c r="B372" s="32" t="s">
        <v>629</v>
      </c>
      <c r="C372" s="33">
        <v>367</v>
      </c>
      <c r="D372" s="39" t="s">
        <v>630</v>
      </c>
      <c r="E372" s="33" t="s">
        <v>10</v>
      </c>
      <c r="F372" s="33">
        <v>41</v>
      </c>
      <c r="G372" s="33">
        <f t="shared" si="46"/>
        <v>41</v>
      </c>
      <c r="H372" s="33"/>
      <c r="I372" s="34" t="s">
        <v>16</v>
      </c>
      <c r="J372" s="99">
        <f>+'[1]Dự thầu'!$G$896</f>
        <v>7229</v>
      </c>
      <c r="K372" s="98">
        <f t="shared" si="50"/>
        <v>296389</v>
      </c>
      <c r="L372" s="98">
        <f t="shared" si="51"/>
        <v>296389</v>
      </c>
      <c r="M372" s="98">
        <f t="shared" si="52"/>
        <v>0</v>
      </c>
      <c r="N372" s="100"/>
    </row>
    <row r="373" spans="1:14" ht="15.75" customHeight="1" x14ac:dyDescent="0.25">
      <c r="A373" s="52" t="str">
        <f t="shared" si="45"/>
        <v>TL</v>
      </c>
      <c r="B373" s="32" t="s">
        <v>631</v>
      </c>
      <c r="C373" s="33">
        <v>368</v>
      </c>
      <c r="D373" s="39" t="s">
        <v>632</v>
      </c>
      <c r="E373" s="33" t="s">
        <v>10</v>
      </c>
      <c r="F373" s="33">
        <v>158.4</v>
      </c>
      <c r="G373" s="33">
        <f t="shared" si="46"/>
        <v>158.4</v>
      </c>
      <c r="H373" s="33"/>
      <c r="I373" s="34" t="s">
        <v>16</v>
      </c>
      <c r="J373" s="99">
        <f>+'[1]Dự thầu'!$G$897</f>
        <v>19746</v>
      </c>
      <c r="K373" s="98">
        <f t="shared" si="50"/>
        <v>3127766</v>
      </c>
      <c r="L373" s="98">
        <f t="shared" si="51"/>
        <v>3127766</v>
      </c>
      <c r="M373" s="98">
        <f t="shared" si="52"/>
        <v>0</v>
      </c>
      <c r="N373" s="100"/>
    </row>
    <row r="374" spans="1:14" ht="15.75" customHeight="1" x14ac:dyDescent="0.25">
      <c r="A374" s="52" t="str">
        <f t="shared" si="45"/>
        <v>TL</v>
      </c>
      <c r="B374" s="32" t="s">
        <v>633</v>
      </c>
      <c r="C374" s="33">
        <v>369</v>
      </c>
      <c r="D374" s="39" t="s">
        <v>626</v>
      </c>
      <c r="E374" s="33" t="s">
        <v>10</v>
      </c>
      <c r="F374" s="33">
        <v>158.4</v>
      </c>
      <c r="G374" s="33">
        <f t="shared" si="46"/>
        <v>158.4</v>
      </c>
      <c r="H374" s="33"/>
      <c r="I374" s="34" t="s">
        <v>16</v>
      </c>
      <c r="J374" s="99">
        <f>+'[1]Dự thầu'!$G$898</f>
        <v>45382</v>
      </c>
      <c r="K374" s="98">
        <f t="shared" si="50"/>
        <v>7188509</v>
      </c>
      <c r="L374" s="98">
        <f t="shared" si="51"/>
        <v>7188509</v>
      </c>
      <c r="M374" s="98">
        <f t="shared" si="52"/>
        <v>0</v>
      </c>
      <c r="N374" s="100"/>
    </row>
    <row r="375" spans="1:14" ht="15.75" customHeight="1" x14ac:dyDescent="0.25">
      <c r="A375" s="52" t="str">
        <f t="shared" si="45"/>
        <v>TL</v>
      </c>
      <c r="B375" s="32" t="s">
        <v>634</v>
      </c>
      <c r="C375" s="33">
        <v>370</v>
      </c>
      <c r="D375" s="39" t="s">
        <v>620</v>
      </c>
      <c r="E375" s="33" t="s">
        <v>10</v>
      </c>
      <c r="F375" s="33">
        <v>1.53</v>
      </c>
      <c r="G375" s="33">
        <f t="shared" si="46"/>
        <v>1.53</v>
      </c>
      <c r="H375" s="33"/>
      <c r="I375" s="34" t="s">
        <v>75</v>
      </c>
      <c r="J375" s="99">
        <f>+'[1]Dự thầu'!$G$902</f>
        <v>1117897</v>
      </c>
      <c r="K375" s="98">
        <f t="shared" si="50"/>
        <v>1710382</v>
      </c>
      <c r="L375" s="98">
        <f t="shared" si="51"/>
        <v>1710382</v>
      </c>
      <c r="M375" s="98">
        <f t="shared" si="52"/>
        <v>0</v>
      </c>
      <c r="N375" s="100"/>
    </row>
    <row r="376" spans="1:14" ht="15.75" customHeight="1" x14ac:dyDescent="0.25">
      <c r="A376" s="52" t="str">
        <f t="shared" si="45"/>
        <v>TL</v>
      </c>
      <c r="B376" s="32" t="s">
        <v>635</v>
      </c>
      <c r="C376" s="33">
        <v>371</v>
      </c>
      <c r="D376" s="39" t="s">
        <v>636</v>
      </c>
      <c r="E376" s="33" t="s">
        <v>10</v>
      </c>
      <c r="F376" s="33">
        <v>18</v>
      </c>
      <c r="G376" s="33">
        <f t="shared" si="46"/>
        <v>18</v>
      </c>
      <c r="H376" s="33"/>
      <c r="I376" s="34" t="s">
        <v>13</v>
      </c>
      <c r="J376" s="99">
        <f>+'[1]Dự thầu'!$G$903</f>
        <v>8913</v>
      </c>
      <c r="K376" s="98">
        <f t="shared" si="50"/>
        <v>160434</v>
      </c>
      <c r="L376" s="98">
        <f t="shared" si="51"/>
        <v>160434</v>
      </c>
      <c r="M376" s="98">
        <f t="shared" si="52"/>
        <v>0</v>
      </c>
      <c r="N376" s="100"/>
    </row>
    <row r="377" spans="1:14" ht="15.75" customHeight="1" x14ac:dyDescent="0.25">
      <c r="A377" s="52" t="str">
        <f t="shared" si="45"/>
        <v>TL</v>
      </c>
      <c r="B377" s="32" t="s">
        <v>637</v>
      </c>
      <c r="C377" s="33">
        <v>372</v>
      </c>
      <c r="D377" s="39" t="s">
        <v>554</v>
      </c>
      <c r="E377" s="33" t="s">
        <v>10</v>
      </c>
      <c r="F377" s="33">
        <v>1.0900000000000001</v>
      </c>
      <c r="G377" s="33">
        <f t="shared" si="46"/>
        <v>1.0900000000000001</v>
      </c>
      <c r="H377" s="33"/>
      <c r="I377" s="34" t="s">
        <v>90</v>
      </c>
      <c r="J377" s="99">
        <f>+'[1]Dự thầu'!$G$904</f>
        <v>28765433</v>
      </c>
      <c r="K377" s="98">
        <f t="shared" si="50"/>
        <v>31354322</v>
      </c>
      <c r="L377" s="98">
        <f t="shared" si="51"/>
        <v>31354322</v>
      </c>
      <c r="M377" s="98">
        <f t="shared" si="52"/>
        <v>0</v>
      </c>
      <c r="N377" s="100"/>
    </row>
    <row r="378" spans="1:14" ht="15.75" customHeight="1" x14ac:dyDescent="0.25">
      <c r="A378" s="52" t="str">
        <f t="shared" si="45"/>
        <v>TL</v>
      </c>
      <c r="B378" s="32" t="s">
        <v>638</v>
      </c>
      <c r="C378" s="33">
        <v>373</v>
      </c>
      <c r="D378" s="39" t="s">
        <v>556</v>
      </c>
      <c r="E378" s="33" t="s">
        <v>10</v>
      </c>
      <c r="F378" s="33">
        <v>10.51</v>
      </c>
      <c r="G378" s="33">
        <f t="shared" si="46"/>
        <v>10.51</v>
      </c>
      <c r="H378" s="33"/>
      <c r="I378" s="34" t="s">
        <v>90</v>
      </c>
      <c r="J378" s="99">
        <f>+'[1]Dự thầu'!$G$905</f>
        <v>27004108</v>
      </c>
      <c r="K378" s="98">
        <f t="shared" si="50"/>
        <v>283813175</v>
      </c>
      <c r="L378" s="98">
        <f t="shared" si="51"/>
        <v>283813175</v>
      </c>
      <c r="M378" s="98">
        <f t="shared" si="52"/>
        <v>0</v>
      </c>
      <c r="N378" s="100"/>
    </row>
    <row r="379" spans="1:14" ht="15.75" customHeight="1" x14ac:dyDescent="0.25">
      <c r="A379" s="52" t="str">
        <f t="shared" si="45"/>
        <v>TL</v>
      </c>
      <c r="B379" s="32" t="s">
        <v>639</v>
      </c>
      <c r="C379" s="33">
        <v>374</v>
      </c>
      <c r="D379" s="39" t="s">
        <v>558</v>
      </c>
      <c r="E379" s="33" t="s">
        <v>10</v>
      </c>
      <c r="F379" s="33">
        <v>83.88</v>
      </c>
      <c r="G379" s="33">
        <f t="shared" si="46"/>
        <v>83.88</v>
      </c>
      <c r="H379" s="33"/>
      <c r="I379" s="34" t="s">
        <v>16</v>
      </c>
      <c r="J379" s="99">
        <f>+'[1]Dự thầu'!$G$907</f>
        <v>1871647</v>
      </c>
      <c r="K379" s="98">
        <f t="shared" si="50"/>
        <v>156993750</v>
      </c>
      <c r="L379" s="98">
        <f t="shared" si="51"/>
        <v>156993750</v>
      </c>
      <c r="M379" s="98">
        <f t="shared" si="52"/>
        <v>0</v>
      </c>
      <c r="N379" s="100"/>
    </row>
    <row r="380" spans="1:14" ht="15.75" customHeight="1" x14ac:dyDescent="0.25">
      <c r="A380" s="52" t="str">
        <f t="shared" si="45"/>
        <v>TL</v>
      </c>
      <c r="B380" s="32" t="s">
        <v>640</v>
      </c>
      <c r="C380" s="33">
        <v>375</v>
      </c>
      <c r="D380" s="39" t="s">
        <v>641</v>
      </c>
      <c r="E380" s="33" t="s">
        <v>10</v>
      </c>
      <c r="F380" s="33">
        <v>631.08000000000004</v>
      </c>
      <c r="G380" s="33">
        <f t="shared" si="46"/>
        <v>631.08000000000004</v>
      </c>
      <c r="H380" s="33"/>
      <c r="I380" s="34" t="s">
        <v>13</v>
      </c>
      <c r="J380" s="99">
        <f>+'[1]Dự thầu'!$G$908</f>
        <v>115728</v>
      </c>
      <c r="K380" s="98">
        <f t="shared" si="50"/>
        <v>73033626</v>
      </c>
      <c r="L380" s="98">
        <f t="shared" si="51"/>
        <v>73033626</v>
      </c>
      <c r="M380" s="98">
        <f t="shared" si="52"/>
        <v>0</v>
      </c>
      <c r="N380" s="100"/>
    </row>
    <row r="381" spans="1:14" ht="31.5" customHeight="1" x14ac:dyDescent="0.25">
      <c r="A381" s="52" t="str">
        <f t="shared" si="45"/>
        <v>TL</v>
      </c>
      <c r="B381" s="32" t="s">
        <v>642</v>
      </c>
      <c r="C381" s="33">
        <v>376</v>
      </c>
      <c r="D381" s="39" t="s">
        <v>643</v>
      </c>
      <c r="E381" s="33" t="s">
        <v>10</v>
      </c>
      <c r="F381" s="33">
        <v>36</v>
      </c>
      <c r="G381" s="33">
        <f t="shared" si="46"/>
        <v>36</v>
      </c>
      <c r="H381" s="33"/>
      <c r="I381" s="34" t="s">
        <v>567</v>
      </c>
      <c r="J381" s="99">
        <f>+'[1]Dự thầu'!$G$909</f>
        <v>561271</v>
      </c>
      <c r="K381" s="98">
        <f t="shared" si="50"/>
        <v>20205756</v>
      </c>
      <c r="L381" s="98">
        <f t="shared" si="51"/>
        <v>20205756</v>
      </c>
      <c r="M381" s="98">
        <f t="shared" si="52"/>
        <v>0</v>
      </c>
      <c r="N381" s="100"/>
    </row>
    <row r="382" spans="1:14" ht="47.25" customHeight="1" x14ac:dyDescent="0.25">
      <c r="A382" s="52" t="str">
        <f t="shared" si="45"/>
        <v>TL</v>
      </c>
      <c r="B382" s="32" t="s">
        <v>644</v>
      </c>
      <c r="C382" s="33">
        <v>377</v>
      </c>
      <c r="D382" s="39" t="s">
        <v>569</v>
      </c>
      <c r="E382" s="33" t="s">
        <v>10</v>
      </c>
      <c r="F382" s="33">
        <v>36</v>
      </c>
      <c r="G382" s="33">
        <f t="shared" si="46"/>
        <v>36</v>
      </c>
      <c r="H382" s="33"/>
      <c r="I382" s="34" t="s">
        <v>250</v>
      </c>
      <c r="J382" s="99">
        <f>+'[1]Dự thầu'!$G$910</f>
        <v>129899</v>
      </c>
      <c r="K382" s="98">
        <f t="shared" si="50"/>
        <v>4676364</v>
      </c>
      <c r="L382" s="98">
        <f t="shared" si="51"/>
        <v>4676364</v>
      </c>
      <c r="M382" s="98">
        <f t="shared" si="52"/>
        <v>0</v>
      </c>
      <c r="N382" s="100"/>
    </row>
    <row r="383" spans="1:14" ht="47.25" customHeight="1" x14ac:dyDescent="0.25">
      <c r="A383" s="52" t="str">
        <f t="shared" si="45"/>
        <v>TL</v>
      </c>
      <c r="B383" s="32" t="s">
        <v>645</v>
      </c>
      <c r="C383" s="33">
        <v>378</v>
      </c>
      <c r="D383" s="39" t="s">
        <v>571</v>
      </c>
      <c r="E383" s="33" t="s">
        <v>10</v>
      </c>
      <c r="F383" s="33">
        <v>36</v>
      </c>
      <c r="G383" s="33">
        <f t="shared" si="46"/>
        <v>36</v>
      </c>
      <c r="H383" s="33"/>
      <c r="I383" s="34" t="s">
        <v>250</v>
      </c>
      <c r="J383" s="99">
        <f>+'[1]Dự thầu'!$G$911</f>
        <v>91827</v>
      </c>
      <c r="K383" s="98">
        <f t="shared" si="50"/>
        <v>3305772</v>
      </c>
      <c r="L383" s="98">
        <f t="shared" si="51"/>
        <v>3305772</v>
      </c>
      <c r="M383" s="98">
        <f t="shared" si="52"/>
        <v>0</v>
      </c>
      <c r="N383" s="100"/>
    </row>
    <row r="384" spans="1:14" ht="31.5" customHeight="1" x14ac:dyDescent="0.25">
      <c r="A384" s="52" t="str">
        <f t="shared" si="45"/>
        <v>TL</v>
      </c>
      <c r="B384" s="32" t="s">
        <v>646</v>
      </c>
      <c r="C384" s="33">
        <v>379</v>
      </c>
      <c r="D384" s="39" t="s">
        <v>647</v>
      </c>
      <c r="E384" s="33" t="s">
        <v>10</v>
      </c>
      <c r="F384" s="33">
        <v>20.97</v>
      </c>
      <c r="G384" s="33">
        <f t="shared" si="46"/>
        <v>20.97</v>
      </c>
      <c r="H384" s="33"/>
      <c r="I384" s="34" t="s">
        <v>253</v>
      </c>
      <c r="J384" s="99">
        <f>+'[1]Dự thầu'!$G$912</f>
        <v>36181</v>
      </c>
      <c r="K384" s="98">
        <f t="shared" si="50"/>
        <v>758716</v>
      </c>
      <c r="L384" s="98">
        <f t="shared" si="51"/>
        <v>758716</v>
      </c>
      <c r="M384" s="98">
        <f t="shared" si="52"/>
        <v>0</v>
      </c>
      <c r="N384" s="100"/>
    </row>
    <row r="385" spans="1:14" ht="15.75" customHeight="1" x14ac:dyDescent="0.25">
      <c r="A385" s="52" t="str">
        <f t="shared" si="45"/>
        <v>TL</v>
      </c>
      <c r="B385" s="32" t="s">
        <v>648</v>
      </c>
      <c r="C385" s="33">
        <v>380</v>
      </c>
      <c r="D385" s="39" t="s">
        <v>576</v>
      </c>
      <c r="E385" s="33" t="s">
        <v>10</v>
      </c>
      <c r="F385" s="33">
        <v>19.14</v>
      </c>
      <c r="G385" s="33">
        <f t="shared" si="46"/>
        <v>19.14</v>
      </c>
      <c r="H385" s="33"/>
      <c r="I385" s="34" t="s">
        <v>16</v>
      </c>
      <c r="J385" s="99">
        <f>+'[1]Dự thầu'!$G$913</f>
        <v>1725249</v>
      </c>
      <c r="K385" s="98">
        <f t="shared" si="50"/>
        <v>33021266</v>
      </c>
      <c r="L385" s="98">
        <f t="shared" si="51"/>
        <v>33021266</v>
      </c>
      <c r="M385" s="98">
        <f t="shared" si="52"/>
        <v>0</v>
      </c>
      <c r="N385" s="100"/>
    </row>
    <row r="386" spans="1:14" ht="15.75" customHeight="1" x14ac:dyDescent="0.25">
      <c r="A386" s="52" t="str">
        <f t="shared" si="45"/>
        <v>TL</v>
      </c>
      <c r="B386" s="32" t="s">
        <v>649</v>
      </c>
      <c r="C386" s="33">
        <v>381</v>
      </c>
      <c r="D386" s="39" t="s">
        <v>578</v>
      </c>
      <c r="E386" s="33" t="s">
        <v>10</v>
      </c>
      <c r="F386" s="33">
        <v>1.1299999999999999</v>
      </c>
      <c r="G386" s="33">
        <f t="shared" si="46"/>
        <v>1.1299999999999999</v>
      </c>
      <c r="H386" s="33"/>
      <c r="I386" s="34" t="s">
        <v>90</v>
      </c>
      <c r="J386" s="99">
        <f>+'[1]Dự thầu'!$G$914</f>
        <v>28097053</v>
      </c>
      <c r="K386" s="98">
        <f t="shared" si="50"/>
        <v>31749670</v>
      </c>
      <c r="L386" s="98">
        <f t="shared" si="51"/>
        <v>31749670</v>
      </c>
      <c r="M386" s="98">
        <f t="shared" si="52"/>
        <v>0</v>
      </c>
      <c r="N386" s="100"/>
    </row>
    <row r="387" spans="1:14" ht="15.75" customHeight="1" x14ac:dyDescent="0.25">
      <c r="A387" s="52" t="str">
        <f t="shared" si="45"/>
        <v>TL</v>
      </c>
      <c r="B387" s="32" t="s">
        <v>650</v>
      </c>
      <c r="C387" s="33">
        <v>382</v>
      </c>
      <c r="D387" s="39" t="s">
        <v>651</v>
      </c>
      <c r="E387" s="33" t="s">
        <v>10</v>
      </c>
      <c r="F387" s="33">
        <v>38.72</v>
      </c>
      <c r="G387" s="33">
        <f t="shared" si="46"/>
        <v>38.72</v>
      </c>
      <c r="H387" s="33"/>
      <c r="I387" s="34" t="s">
        <v>13</v>
      </c>
      <c r="J387" s="99">
        <f>+'[1]Dự thầu'!$G$915</f>
        <v>86606</v>
      </c>
      <c r="K387" s="98">
        <f t="shared" si="50"/>
        <v>3353384</v>
      </c>
      <c r="L387" s="98">
        <f t="shared" si="51"/>
        <v>3353384</v>
      </c>
      <c r="M387" s="98">
        <f t="shared" si="52"/>
        <v>0</v>
      </c>
      <c r="N387" s="100"/>
    </row>
    <row r="388" spans="1:14" ht="31.5" customHeight="1" x14ac:dyDescent="0.25">
      <c r="A388" s="52" t="str">
        <f t="shared" si="45"/>
        <v>TL</v>
      </c>
      <c r="B388" s="32" t="s">
        <v>652</v>
      </c>
      <c r="C388" s="33">
        <v>383</v>
      </c>
      <c r="D388" s="39" t="s">
        <v>653</v>
      </c>
      <c r="E388" s="33" t="s">
        <v>10</v>
      </c>
      <c r="F388" s="33">
        <v>22</v>
      </c>
      <c r="G388" s="33">
        <f t="shared" si="46"/>
        <v>22</v>
      </c>
      <c r="H388" s="33"/>
      <c r="I388" s="34" t="s">
        <v>258</v>
      </c>
      <c r="J388" s="99">
        <f>+'[1]Dự thầu'!$G$916</f>
        <v>231535</v>
      </c>
      <c r="K388" s="98">
        <f t="shared" si="50"/>
        <v>5093770</v>
      </c>
      <c r="L388" s="98">
        <f t="shared" si="51"/>
        <v>5093770</v>
      </c>
      <c r="M388" s="98">
        <f t="shared" si="52"/>
        <v>0</v>
      </c>
      <c r="N388" s="100"/>
    </row>
    <row r="389" spans="1:14" ht="47.25" customHeight="1" x14ac:dyDescent="0.25">
      <c r="A389" s="52" t="str">
        <f t="shared" si="45"/>
        <v>TL</v>
      </c>
      <c r="B389" s="32" t="s">
        <v>654</v>
      </c>
      <c r="C389" s="33">
        <v>384</v>
      </c>
      <c r="D389" s="39" t="s">
        <v>569</v>
      </c>
      <c r="E389" s="33" t="s">
        <v>10</v>
      </c>
      <c r="F389" s="33">
        <v>22</v>
      </c>
      <c r="G389" s="33">
        <f t="shared" si="46"/>
        <v>22</v>
      </c>
      <c r="H389" s="33"/>
      <c r="I389" s="34" t="s">
        <v>250</v>
      </c>
      <c r="J389" s="99">
        <f>+'[1]Dự thầu'!$G$917</f>
        <v>113802</v>
      </c>
      <c r="K389" s="98">
        <f t="shared" si="50"/>
        <v>2503644</v>
      </c>
      <c r="L389" s="98">
        <f t="shared" si="51"/>
        <v>2503644</v>
      </c>
      <c r="M389" s="98">
        <f t="shared" si="52"/>
        <v>0</v>
      </c>
      <c r="N389" s="100"/>
    </row>
    <row r="390" spans="1:14" ht="47.25" customHeight="1" x14ac:dyDescent="0.25">
      <c r="A390" s="52" t="str">
        <f t="shared" si="45"/>
        <v>TL</v>
      </c>
      <c r="B390" s="32" t="s">
        <v>655</v>
      </c>
      <c r="C390" s="33">
        <v>385</v>
      </c>
      <c r="D390" s="39" t="s">
        <v>571</v>
      </c>
      <c r="E390" s="33" t="s">
        <v>10</v>
      </c>
      <c r="F390" s="33">
        <v>22</v>
      </c>
      <c r="G390" s="33">
        <f t="shared" si="46"/>
        <v>22</v>
      </c>
      <c r="H390" s="33"/>
      <c r="I390" s="34" t="s">
        <v>250</v>
      </c>
      <c r="J390" s="99">
        <f>+'[1]Dự thầu'!$G$918</f>
        <v>91827</v>
      </c>
      <c r="K390" s="98">
        <f t="shared" si="50"/>
        <v>2020194</v>
      </c>
      <c r="L390" s="98">
        <f t="shared" si="51"/>
        <v>2020194</v>
      </c>
      <c r="M390" s="98">
        <f t="shared" si="52"/>
        <v>0</v>
      </c>
      <c r="N390" s="100"/>
    </row>
    <row r="391" spans="1:14" ht="31.5" customHeight="1" x14ac:dyDescent="0.25">
      <c r="A391" s="52" t="str">
        <f t="shared" ref="A391:A454" si="53">A390</f>
        <v>TL</v>
      </c>
      <c r="B391" s="32" t="s">
        <v>656</v>
      </c>
      <c r="C391" s="33">
        <v>386</v>
      </c>
      <c r="D391" s="39" t="s">
        <v>573</v>
      </c>
      <c r="E391" s="33" t="s">
        <v>10</v>
      </c>
      <c r="F391" s="33">
        <v>4.79</v>
      </c>
      <c r="G391" s="33">
        <f t="shared" ref="G391:G454" si="54">+F391</f>
        <v>4.79</v>
      </c>
      <c r="H391" s="33"/>
      <c r="I391" s="34" t="s">
        <v>253</v>
      </c>
      <c r="J391" s="99">
        <f>+'[1]Dự thầu'!$G$919</f>
        <v>36181</v>
      </c>
      <c r="K391" s="98">
        <f t="shared" si="50"/>
        <v>173307</v>
      </c>
      <c r="L391" s="98">
        <f t="shared" si="51"/>
        <v>173307</v>
      </c>
      <c r="M391" s="98">
        <f t="shared" si="52"/>
        <v>0</v>
      </c>
      <c r="N391" s="100"/>
    </row>
    <row r="392" spans="1:14" ht="15.75" customHeight="1" x14ac:dyDescent="0.25">
      <c r="A392" s="52" t="str">
        <f t="shared" si="53"/>
        <v>TL</v>
      </c>
      <c r="B392" s="32" t="s">
        <v>657</v>
      </c>
      <c r="C392" s="33">
        <v>387</v>
      </c>
      <c r="D392" s="39" t="s">
        <v>595</v>
      </c>
      <c r="E392" s="33" t="s">
        <v>10</v>
      </c>
      <c r="F392" s="33">
        <v>0.23</v>
      </c>
      <c r="G392" s="33">
        <f t="shared" si="54"/>
        <v>0.23</v>
      </c>
      <c r="H392" s="33"/>
      <c r="I392" s="34" t="s">
        <v>16</v>
      </c>
      <c r="J392" s="99">
        <f>+'[1]Dự thầu'!$G$920</f>
        <v>1145922</v>
      </c>
      <c r="K392" s="98">
        <f t="shared" si="50"/>
        <v>263562</v>
      </c>
      <c r="L392" s="98">
        <f t="shared" si="51"/>
        <v>263562</v>
      </c>
      <c r="M392" s="98">
        <f t="shared" si="52"/>
        <v>0</v>
      </c>
      <c r="N392" s="100"/>
    </row>
    <row r="393" spans="1:14" ht="15.75" customHeight="1" x14ac:dyDescent="0.25">
      <c r="A393" s="52" t="str">
        <f t="shared" si="53"/>
        <v>TL</v>
      </c>
      <c r="B393" s="32" t="s">
        <v>658</v>
      </c>
      <c r="C393" s="33">
        <v>388</v>
      </c>
      <c r="D393" s="39" t="s">
        <v>597</v>
      </c>
      <c r="E393" s="33" t="s">
        <v>10</v>
      </c>
      <c r="F393" s="33">
        <v>1.32</v>
      </c>
      <c r="G393" s="33">
        <f t="shared" si="54"/>
        <v>1.32</v>
      </c>
      <c r="H393" s="33"/>
      <c r="I393" s="34" t="s">
        <v>13</v>
      </c>
      <c r="J393" s="99">
        <f>+'[1]Dự thầu'!$G$921</f>
        <v>104798</v>
      </c>
      <c r="K393" s="98">
        <f t="shared" si="50"/>
        <v>138333</v>
      </c>
      <c r="L393" s="98">
        <f t="shared" si="51"/>
        <v>138333</v>
      </c>
      <c r="M393" s="98">
        <f t="shared" si="52"/>
        <v>0</v>
      </c>
      <c r="N393" s="100"/>
    </row>
    <row r="394" spans="1:14" ht="15.75" customHeight="1" x14ac:dyDescent="0.25">
      <c r="A394" s="52" t="str">
        <f t="shared" si="53"/>
        <v>TL</v>
      </c>
      <c r="B394" s="32" t="s">
        <v>659</v>
      </c>
      <c r="C394" s="33">
        <v>389</v>
      </c>
      <c r="D394" s="39" t="s">
        <v>587</v>
      </c>
      <c r="E394" s="33" t="s">
        <v>10</v>
      </c>
      <c r="F394" s="33">
        <v>11.86</v>
      </c>
      <c r="G394" s="33">
        <f t="shared" si="54"/>
        <v>11.86</v>
      </c>
      <c r="H394" s="33"/>
      <c r="I394" s="34" t="s">
        <v>16</v>
      </c>
      <c r="J394" s="99">
        <f>+'[1]Dự thầu'!$G$922</f>
        <v>842139</v>
      </c>
      <c r="K394" s="98">
        <f t="shared" si="50"/>
        <v>9987769</v>
      </c>
      <c r="L394" s="98">
        <f t="shared" si="51"/>
        <v>9987769</v>
      </c>
      <c r="M394" s="98">
        <f t="shared" si="52"/>
        <v>0</v>
      </c>
      <c r="N394" s="100"/>
    </row>
    <row r="395" spans="1:14" ht="15.75" customHeight="1" x14ac:dyDescent="0.25">
      <c r="A395" s="52" t="str">
        <f t="shared" si="53"/>
        <v>TL</v>
      </c>
      <c r="B395" s="32" t="s">
        <v>660</v>
      </c>
      <c r="C395" s="33">
        <v>390</v>
      </c>
      <c r="D395" s="39" t="s">
        <v>661</v>
      </c>
      <c r="E395" s="33" t="s">
        <v>10</v>
      </c>
      <c r="F395" s="33">
        <v>1.1599999999999999</v>
      </c>
      <c r="G395" s="33">
        <f t="shared" si="54"/>
        <v>1.1599999999999999</v>
      </c>
      <c r="H395" s="33"/>
      <c r="I395" s="34" t="s">
        <v>13</v>
      </c>
      <c r="J395" s="99">
        <f>+'[1]Dự thầu'!$G$931</f>
        <v>42922</v>
      </c>
      <c r="K395" s="98">
        <f t="shared" ref="K395:K426" si="55">+ROUND(J395*F395,0)</f>
        <v>49790</v>
      </c>
      <c r="L395" s="98">
        <f t="shared" ref="L395:L426" si="56">+ROUND(G395*J395,0)</f>
        <v>49790</v>
      </c>
      <c r="M395" s="98">
        <f t="shared" ref="M395:M426" si="57">+ROUND(H395*J395,0)</f>
        <v>0</v>
      </c>
      <c r="N395" s="100"/>
    </row>
    <row r="396" spans="1:14" ht="15.75" customHeight="1" x14ac:dyDescent="0.25">
      <c r="A396" s="52" t="str">
        <f t="shared" si="53"/>
        <v>TL</v>
      </c>
      <c r="B396" s="32" t="s">
        <v>662</v>
      </c>
      <c r="C396" s="33">
        <v>391</v>
      </c>
      <c r="D396" s="39" t="s">
        <v>591</v>
      </c>
      <c r="E396" s="33" t="s">
        <v>10</v>
      </c>
      <c r="F396" s="33">
        <v>270</v>
      </c>
      <c r="G396" s="33">
        <f t="shared" si="54"/>
        <v>270</v>
      </c>
      <c r="H396" s="33"/>
      <c r="I396" s="34" t="s">
        <v>13</v>
      </c>
      <c r="J396" s="99">
        <f>+'[1]Dự thầu'!$G$932</f>
        <v>76805</v>
      </c>
      <c r="K396" s="98">
        <f t="shared" si="55"/>
        <v>20737350</v>
      </c>
      <c r="L396" s="98">
        <f t="shared" si="56"/>
        <v>20737350</v>
      </c>
      <c r="M396" s="98">
        <f t="shared" si="57"/>
        <v>0</v>
      </c>
      <c r="N396" s="100"/>
    </row>
    <row r="397" spans="1:14" ht="15.75" customHeight="1" x14ac:dyDescent="0.25">
      <c r="A397" s="52" t="str">
        <f t="shared" si="53"/>
        <v>TL</v>
      </c>
      <c r="B397" s="32" t="s">
        <v>663</v>
      </c>
      <c r="C397" s="33">
        <v>392</v>
      </c>
      <c r="D397" s="39" t="s">
        <v>664</v>
      </c>
      <c r="E397" s="33" t="s">
        <v>10</v>
      </c>
      <c r="F397" s="33">
        <v>14.96</v>
      </c>
      <c r="G397" s="33">
        <f t="shared" si="54"/>
        <v>14.96</v>
      </c>
      <c r="H397" s="33"/>
      <c r="I397" s="34" t="s">
        <v>16</v>
      </c>
      <c r="J397" s="99">
        <f>+'[1]Dự thầu'!$G$933</f>
        <v>1823873</v>
      </c>
      <c r="K397" s="98">
        <f t="shared" si="55"/>
        <v>27285140</v>
      </c>
      <c r="L397" s="98">
        <f t="shared" si="56"/>
        <v>27285140</v>
      </c>
      <c r="M397" s="98">
        <f t="shared" si="57"/>
        <v>0</v>
      </c>
      <c r="N397" s="100"/>
    </row>
    <row r="398" spans="1:14" ht="15.75" customHeight="1" x14ac:dyDescent="0.25">
      <c r="A398" s="52" t="str">
        <f t="shared" si="53"/>
        <v>TL</v>
      </c>
      <c r="B398" s="32" t="s">
        <v>665</v>
      </c>
      <c r="C398" s="33">
        <v>393</v>
      </c>
      <c r="D398" s="39" t="s">
        <v>595</v>
      </c>
      <c r="E398" s="33" t="s">
        <v>10</v>
      </c>
      <c r="F398" s="33">
        <v>36.130000000000003</v>
      </c>
      <c r="G398" s="33">
        <f t="shared" si="54"/>
        <v>36.130000000000003</v>
      </c>
      <c r="H398" s="33"/>
      <c r="I398" s="34" t="s">
        <v>16</v>
      </c>
      <c r="J398" s="99">
        <f>+'[1]Dự thầu'!$G$934</f>
        <v>1145922</v>
      </c>
      <c r="K398" s="98">
        <f t="shared" si="55"/>
        <v>41402162</v>
      </c>
      <c r="L398" s="98">
        <f t="shared" si="56"/>
        <v>41402162</v>
      </c>
      <c r="M398" s="98">
        <f t="shared" si="57"/>
        <v>0</v>
      </c>
      <c r="N398" s="100"/>
    </row>
    <row r="399" spans="1:14" ht="15.75" customHeight="1" x14ac:dyDescent="0.25">
      <c r="A399" s="52" t="str">
        <f t="shared" si="53"/>
        <v>TL</v>
      </c>
      <c r="B399" s="32" t="s">
        <v>666</v>
      </c>
      <c r="C399" s="33">
        <v>394</v>
      </c>
      <c r="D399" s="39" t="s">
        <v>597</v>
      </c>
      <c r="E399" s="33" t="s">
        <v>10</v>
      </c>
      <c r="F399" s="33">
        <v>55.52</v>
      </c>
      <c r="G399" s="33">
        <f t="shared" si="54"/>
        <v>55.52</v>
      </c>
      <c r="H399" s="33"/>
      <c r="I399" s="34" t="s">
        <v>13</v>
      </c>
      <c r="J399" s="99">
        <f>+'[1]Dự thầu'!$G$935</f>
        <v>104798</v>
      </c>
      <c r="K399" s="98">
        <f t="shared" si="55"/>
        <v>5818385</v>
      </c>
      <c r="L399" s="98">
        <f t="shared" si="56"/>
        <v>5818385</v>
      </c>
      <c r="M399" s="98">
        <f t="shared" si="57"/>
        <v>0</v>
      </c>
      <c r="N399" s="100"/>
    </row>
    <row r="400" spans="1:14" ht="15.75" customHeight="1" x14ac:dyDescent="0.25">
      <c r="A400" s="52" t="str">
        <f t="shared" si="53"/>
        <v>TL</v>
      </c>
      <c r="B400" s="32" t="s">
        <v>667</v>
      </c>
      <c r="C400" s="33">
        <v>395</v>
      </c>
      <c r="D400" s="39" t="s">
        <v>599</v>
      </c>
      <c r="E400" s="33" t="s">
        <v>10</v>
      </c>
      <c r="F400" s="33">
        <v>84.33</v>
      </c>
      <c r="G400" s="33">
        <f t="shared" si="54"/>
        <v>84.33</v>
      </c>
      <c r="H400" s="33"/>
      <c r="I400" s="34" t="s">
        <v>13</v>
      </c>
      <c r="J400" s="99">
        <f>+'[1]Dự thầu'!$G$936</f>
        <v>141724</v>
      </c>
      <c r="K400" s="98">
        <f t="shared" si="55"/>
        <v>11951585</v>
      </c>
      <c r="L400" s="98">
        <f t="shared" si="56"/>
        <v>11951585</v>
      </c>
      <c r="M400" s="98">
        <f t="shared" si="57"/>
        <v>0</v>
      </c>
      <c r="N400" s="100"/>
    </row>
    <row r="401" spans="1:14" ht="15.75" customHeight="1" x14ac:dyDescent="0.25">
      <c r="A401" s="52" t="str">
        <f t="shared" si="53"/>
        <v>TL</v>
      </c>
      <c r="B401" s="32" t="s">
        <v>668</v>
      </c>
      <c r="C401" s="33">
        <v>396</v>
      </c>
      <c r="D401" s="39" t="s">
        <v>587</v>
      </c>
      <c r="E401" s="33" t="s">
        <v>10</v>
      </c>
      <c r="F401" s="33">
        <v>4.0199999999999996</v>
      </c>
      <c r="G401" s="33">
        <f t="shared" si="54"/>
        <v>4.0199999999999996</v>
      </c>
      <c r="H401" s="33"/>
      <c r="I401" s="34" t="s">
        <v>16</v>
      </c>
      <c r="J401" s="99">
        <f>+'[1]Dự thầu'!$G$937</f>
        <v>842139</v>
      </c>
      <c r="K401" s="98">
        <f t="shared" si="55"/>
        <v>3385399</v>
      </c>
      <c r="L401" s="98">
        <f t="shared" si="56"/>
        <v>3385399</v>
      </c>
      <c r="M401" s="98">
        <f t="shared" si="57"/>
        <v>0</v>
      </c>
      <c r="N401" s="100"/>
    </row>
    <row r="402" spans="1:14" ht="15.75" customHeight="1" x14ac:dyDescent="0.25">
      <c r="A402" s="52" t="str">
        <f t="shared" si="53"/>
        <v>TL</v>
      </c>
      <c r="B402" s="32" t="s">
        <v>669</v>
      </c>
      <c r="C402" s="33">
        <v>397</v>
      </c>
      <c r="D402" s="39" t="s">
        <v>670</v>
      </c>
      <c r="E402" s="33" t="s">
        <v>10</v>
      </c>
      <c r="F402" s="33">
        <v>15.38</v>
      </c>
      <c r="G402" s="33">
        <f t="shared" si="54"/>
        <v>15.38</v>
      </c>
      <c r="H402" s="33"/>
      <c r="I402" s="34" t="s">
        <v>16</v>
      </c>
      <c r="J402" s="99">
        <f>+'[1]Dự thầu'!$G$938</f>
        <v>1245512</v>
      </c>
      <c r="K402" s="98">
        <f t="shared" si="55"/>
        <v>19155975</v>
      </c>
      <c r="L402" s="98">
        <f t="shared" si="56"/>
        <v>19155975</v>
      </c>
      <c r="M402" s="98">
        <f t="shared" si="57"/>
        <v>0</v>
      </c>
      <c r="N402" s="100"/>
    </row>
    <row r="403" spans="1:14" ht="15.75" customHeight="1" x14ac:dyDescent="0.25">
      <c r="A403" s="52" t="str">
        <f t="shared" si="53"/>
        <v>TL</v>
      </c>
      <c r="B403" s="32" t="s">
        <v>671</v>
      </c>
      <c r="C403" s="33">
        <v>398</v>
      </c>
      <c r="D403" s="39" t="s">
        <v>587</v>
      </c>
      <c r="E403" s="33" t="s">
        <v>10</v>
      </c>
      <c r="F403" s="33">
        <v>6.15</v>
      </c>
      <c r="G403" s="33">
        <f t="shared" si="54"/>
        <v>6.15</v>
      </c>
      <c r="H403" s="33"/>
      <c r="I403" s="34" t="s">
        <v>16</v>
      </c>
      <c r="J403" s="99">
        <f>+'[1]Dự thầu'!$G$939</f>
        <v>842139</v>
      </c>
      <c r="K403" s="98">
        <f t="shared" si="55"/>
        <v>5179155</v>
      </c>
      <c r="L403" s="98">
        <f t="shared" si="56"/>
        <v>5179155</v>
      </c>
      <c r="M403" s="98">
        <f t="shared" si="57"/>
        <v>0</v>
      </c>
      <c r="N403" s="100"/>
    </row>
    <row r="404" spans="1:14" ht="15.75" customHeight="1" x14ac:dyDescent="0.25">
      <c r="A404" s="52" t="str">
        <f t="shared" si="53"/>
        <v>TL</v>
      </c>
      <c r="B404" s="32" t="s">
        <v>672</v>
      </c>
      <c r="C404" s="33">
        <v>399</v>
      </c>
      <c r="D404" s="39" t="s">
        <v>670</v>
      </c>
      <c r="E404" s="33" t="s">
        <v>10</v>
      </c>
      <c r="F404" s="33">
        <v>8.58</v>
      </c>
      <c r="G404" s="33">
        <f t="shared" si="54"/>
        <v>8.58</v>
      </c>
      <c r="H404" s="33"/>
      <c r="I404" s="34" t="s">
        <v>16</v>
      </c>
      <c r="J404" s="99">
        <f>+'[1]Dự thầu'!$G$940</f>
        <v>1245512</v>
      </c>
      <c r="K404" s="98">
        <f t="shared" si="55"/>
        <v>10686493</v>
      </c>
      <c r="L404" s="98">
        <f t="shared" si="56"/>
        <v>10686493</v>
      </c>
      <c r="M404" s="98">
        <f t="shared" si="57"/>
        <v>0</v>
      </c>
      <c r="N404" s="100"/>
    </row>
    <row r="405" spans="1:14" ht="15.75" customHeight="1" x14ac:dyDescent="0.25">
      <c r="A405" s="52" t="str">
        <f t="shared" si="53"/>
        <v>TL</v>
      </c>
      <c r="B405" s="32" t="s">
        <v>673</v>
      </c>
      <c r="C405" s="33">
        <v>400</v>
      </c>
      <c r="D405" s="39" t="s">
        <v>587</v>
      </c>
      <c r="E405" s="33" t="s">
        <v>10</v>
      </c>
      <c r="F405" s="33">
        <v>3.43</v>
      </c>
      <c r="G405" s="33">
        <f t="shared" si="54"/>
        <v>3.43</v>
      </c>
      <c r="H405" s="33"/>
      <c r="I405" s="34" t="s">
        <v>16</v>
      </c>
      <c r="J405" s="99">
        <f>+'[1]Dự thầu'!$G$941</f>
        <v>842139</v>
      </c>
      <c r="K405" s="98">
        <f t="shared" si="55"/>
        <v>2888537</v>
      </c>
      <c r="L405" s="98">
        <f t="shared" si="56"/>
        <v>2888537</v>
      </c>
      <c r="M405" s="98">
        <f t="shared" si="57"/>
        <v>0</v>
      </c>
      <c r="N405" s="100"/>
    </row>
    <row r="406" spans="1:14" ht="15.75" customHeight="1" x14ac:dyDescent="0.25">
      <c r="A406" s="52" t="str">
        <f t="shared" si="53"/>
        <v>TL</v>
      </c>
      <c r="B406" s="32" t="s">
        <v>674</v>
      </c>
      <c r="C406" s="33">
        <v>401</v>
      </c>
      <c r="D406" s="39" t="s">
        <v>608</v>
      </c>
      <c r="E406" s="33" t="s">
        <v>10</v>
      </c>
      <c r="F406" s="102">
        <v>2217.42</v>
      </c>
      <c r="G406" s="102">
        <f t="shared" si="54"/>
        <v>2217.42</v>
      </c>
      <c r="H406" s="33"/>
      <c r="I406" s="34" t="s">
        <v>16</v>
      </c>
      <c r="J406" s="99">
        <f>+'[1]Dự thầu'!$G$942</f>
        <v>20867</v>
      </c>
      <c r="K406" s="98">
        <f t="shared" si="55"/>
        <v>46270903</v>
      </c>
      <c r="L406" s="98">
        <f t="shared" si="56"/>
        <v>46270903</v>
      </c>
      <c r="M406" s="98">
        <f t="shared" si="57"/>
        <v>0</v>
      </c>
      <c r="N406" s="100"/>
    </row>
    <row r="407" spans="1:14" ht="15.75" customHeight="1" x14ac:dyDescent="0.25">
      <c r="A407" s="52" t="str">
        <f t="shared" si="53"/>
        <v>TL</v>
      </c>
      <c r="B407" s="32" t="s">
        <v>675</v>
      </c>
      <c r="C407" s="33">
        <v>402</v>
      </c>
      <c r="D407" s="39" t="s">
        <v>610</v>
      </c>
      <c r="E407" s="33" t="s">
        <v>10</v>
      </c>
      <c r="F407" s="102">
        <v>1937.35</v>
      </c>
      <c r="G407" s="102">
        <f t="shared" si="54"/>
        <v>1937.35</v>
      </c>
      <c r="H407" s="33"/>
      <c r="I407" s="34" t="s">
        <v>16</v>
      </c>
      <c r="J407" s="99">
        <f>+'[1]Dự thầu'!$G$943</f>
        <v>12936</v>
      </c>
      <c r="K407" s="98">
        <f t="shared" si="55"/>
        <v>25061560</v>
      </c>
      <c r="L407" s="98">
        <f t="shared" si="56"/>
        <v>25061560</v>
      </c>
      <c r="M407" s="98">
        <f t="shared" si="57"/>
        <v>0</v>
      </c>
      <c r="N407" s="100"/>
    </row>
    <row r="408" spans="1:14" ht="15.75" customHeight="1" x14ac:dyDescent="0.25">
      <c r="A408" s="52" t="str">
        <f t="shared" si="53"/>
        <v>TL</v>
      </c>
      <c r="B408" s="32" t="s">
        <v>676</v>
      </c>
      <c r="C408" s="33">
        <v>403</v>
      </c>
      <c r="D408" s="39" t="s">
        <v>32</v>
      </c>
      <c r="E408" s="33" t="s">
        <v>10</v>
      </c>
      <c r="F408" s="102">
        <v>2648.94</v>
      </c>
      <c r="G408" s="102">
        <f t="shared" si="54"/>
        <v>2648.94</v>
      </c>
      <c r="H408" s="33"/>
      <c r="I408" s="34" t="s">
        <v>16</v>
      </c>
      <c r="J408" s="99">
        <f>+'[1]Dự thầu'!$G$944</f>
        <v>50585</v>
      </c>
      <c r="K408" s="98">
        <f t="shared" si="55"/>
        <v>133996630</v>
      </c>
      <c r="L408" s="98">
        <f t="shared" si="56"/>
        <v>133996630</v>
      </c>
      <c r="M408" s="98">
        <f t="shared" si="57"/>
        <v>0</v>
      </c>
      <c r="N408" s="100"/>
    </row>
    <row r="409" spans="1:14" ht="15.75" customHeight="1" x14ac:dyDescent="0.25">
      <c r="A409" s="52" t="str">
        <f t="shared" si="53"/>
        <v>TL</v>
      </c>
      <c r="B409" s="32" t="s">
        <v>677</v>
      </c>
      <c r="C409" s="33">
        <v>404</v>
      </c>
      <c r="D409" s="39" t="s">
        <v>36</v>
      </c>
      <c r="E409" s="33" t="s">
        <v>10</v>
      </c>
      <c r="F409" s="33">
        <v>264.89</v>
      </c>
      <c r="G409" s="33">
        <f t="shared" si="54"/>
        <v>264.89</v>
      </c>
      <c r="H409" s="33"/>
      <c r="I409" s="34" t="s">
        <v>37</v>
      </c>
      <c r="J409" s="99">
        <f>+'[1]Dự thầu'!$G$945+'[1]Dự thầu'!$G$946+'[1]Dự thầu'!$G$947</f>
        <v>940826</v>
      </c>
      <c r="K409" s="98">
        <f t="shared" si="55"/>
        <v>249215399</v>
      </c>
      <c r="L409" s="98">
        <f t="shared" si="56"/>
        <v>249215399</v>
      </c>
      <c r="M409" s="98">
        <f t="shared" si="57"/>
        <v>0</v>
      </c>
      <c r="N409" s="100"/>
    </row>
    <row r="410" spans="1:14" ht="15.75" customHeight="1" x14ac:dyDescent="0.25">
      <c r="A410" s="52" t="str">
        <f t="shared" si="53"/>
        <v>TL</v>
      </c>
      <c r="B410" s="32" t="s">
        <v>678</v>
      </c>
      <c r="C410" s="33">
        <v>405</v>
      </c>
      <c r="D410" s="39" t="s">
        <v>624</v>
      </c>
      <c r="E410" s="33" t="s">
        <v>10</v>
      </c>
      <c r="F410" s="33">
        <v>591.75</v>
      </c>
      <c r="G410" s="33">
        <f t="shared" si="54"/>
        <v>591.75</v>
      </c>
      <c r="H410" s="33"/>
      <c r="I410" s="34" t="s">
        <v>16</v>
      </c>
      <c r="J410" s="99">
        <f>+'[1]Dự thầu'!$G$948</f>
        <v>267174</v>
      </c>
      <c r="K410" s="98">
        <f t="shared" si="55"/>
        <v>158100215</v>
      </c>
      <c r="L410" s="98">
        <f t="shared" si="56"/>
        <v>158100215</v>
      </c>
      <c r="M410" s="98">
        <f t="shared" si="57"/>
        <v>0</v>
      </c>
      <c r="N410" s="100"/>
    </row>
    <row r="411" spans="1:14" ht="15.75" customHeight="1" x14ac:dyDescent="0.25">
      <c r="A411" s="52" t="str">
        <f t="shared" si="53"/>
        <v>TL</v>
      </c>
      <c r="B411" s="32" t="s">
        <v>679</v>
      </c>
      <c r="C411" s="33">
        <v>406</v>
      </c>
      <c r="D411" s="39" t="s">
        <v>618</v>
      </c>
      <c r="E411" s="33" t="s">
        <v>10</v>
      </c>
      <c r="F411" s="33">
        <v>116.76</v>
      </c>
      <c r="G411" s="33">
        <f t="shared" si="54"/>
        <v>116.76</v>
      </c>
      <c r="H411" s="33"/>
      <c r="I411" s="34" t="s">
        <v>16</v>
      </c>
      <c r="J411" s="99">
        <f>+'[1]Dự thầu'!$G$949</f>
        <v>276665</v>
      </c>
      <c r="K411" s="98">
        <f t="shared" si="55"/>
        <v>32303405</v>
      </c>
      <c r="L411" s="98">
        <f t="shared" si="56"/>
        <v>32303405</v>
      </c>
      <c r="M411" s="98">
        <f t="shared" si="57"/>
        <v>0</v>
      </c>
      <c r="N411" s="100"/>
    </row>
    <row r="412" spans="1:14" ht="15.75" customHeight="1" x14ac:dyDescent="0.25">
      <c r="A412" s="52" t="str">
        <f t="shared" si="53"/>
        <v>TL</v>
      </c>
      <c r="B412" s="32" t="s">
        <v>680</v>
      </c>
      <c r="C412" s="33">
        <v>407</v>
      </c>
      <c r="D412" s="39" t="s">
        <v>614</v>
      </c>
      <c r="E412" s="33" t="s">
        <v>10</v>
      </c>
      <c r="F412" s="33">
        <v>150.88</v>
      </c>
      <c r="G412" s="33">
        <f t="shared" si="54"/>
        <v>150.88</v>
      </c>
      <c r="H412" s="33"/>
      <c r="I412" s="34" t="s">
        <v>16</v>
      </c>
      <c r="J412" s="99">
        <f>+'[1]Dự thầu'!$G$950</f>
        <v>23993</v>
      </c>
      <c r="K412" s="98">
        <f t="shared" si="55"/>
        <v>3620064</v>
      </c>
      <c r="L412" s="98">
        <f t="shared" si="56"/>
        <v>3620064</v>
      </c>
      <c r="M412" s="98">
        <f t="shared" si="57"/>
        <v>0</v>
      </c>
      <c r="N412" s="100"/>
    </row>
    <row r="413" spans="1:14" ht="15.75" customHeight="1" x14ac:dyDescent="0.25">
      <c r="A413" s="52" t="str">
        <f t="shared" si="53"/>
        <v>TL</v>
      </c>
      <c r="B413" s="32" t="s">
        <v>681</v>
      </c>
      <c r="C413" s="33">
        <v>408</v>
      </c>
      <c r="D413" s="39" t="s">
        <v>616</v>
      </c>
      <c r="E413" s="33" t="s">
        <v>10</v>
      </c>
      <c r="F413" s="33">
        <v>23</v>
      </c>
      <c r="G413" s="33">
        <f t="shared" si="54"/>
        <v>23</v>
      </c>
      <c r="H413" s="33"/>
      <c r="I413" s="34" t="s">
        <v>16</v>
      </c>
      <c r="J413" s="99">
        <f>+'[1]Dự thầu'!$G$951</f>
        <v>11161</v>
      </c>
      <c r="K413" s="98">
        <f t="shared" si="55"/>
        <v>256703</v>
      </c>
      <c r="L413" s="98">
        <f t="shared" si="56"/>
        <v>256703</v>
      </c>
      <c r="M413" s="98">
        <f t="shared" si="57"/>
        <v>0</v>
      </c>
      <c r="N413" s="100"/>
    </row>
    <row r="414" spans="1:14" ht="15.75" customHeight="1" x14ac:dyDescent="0.25">
      <c r="A414" s="52" t="str">
        <f t="shared" si="53"/>
        <v>TL</v>
      </c>
      <c r="B414" s="32" t="s">
        <v>682</v>
      </c>
      <c r="C414" s="33">
        <v>409</v>
      </c>
      <c r="D414" s="39" t="s">
        <v>620</v>
      </c>
      <c r="E414" s="33" t="s">
        <v>10</v>
      </c>
      <c r="F414" s="102">
        <v>29190.38</v>
      </c>
      <c r="G414" s="102">
        <f t="shared" si="54"/>
        <v>29190.38</v>
      </c>
      <c r="H414" s="33"/>
      <c r="I414" s="34" t="s">
        <v>75</v>
      </c>
      <c r="J414" s="99">
        <f>+'[1]Dự thầu'!$G$952</f>
        <v>11223</v>
      </c>
      <c r="K414" s="98">
        <f t="shared" si="55"/>
        <v>327603635</v>
      </c>
      <c r="L414" s="98">
        <f t="shared" si="56"/>
        <v>327603635</v>
      </c>
      <c r="M414" s="98">
        <f t="shared" si="57"/>
        <v>0</v>
      </c>
      <c r="N414" s="100"/>
    </row>
    <row r="415" spans="1:14" ht="15.75" customHeight="1" x14ac:dyDescent="0.25">
      <c r="A415" s="52" t="str">
        <f t="shared" si="53"/>
        <v>TL</v>
      </c>
      <c r="B415" s="32" t="s">
        <v>683</v>
      </c>
      <c r="C415" s="33">
        <v>410</v>
      </c>
      <c r="D415" s="39" t="s">
        <v>622</v>
      </c>
      <c r="E415" s="33" t="s">
        <v>10</v>
      </c>
      <c r="F415" s="33">
        <v>791.9</v>
      </c>
      <c r="G415" s="33">
        <f t="shared" si="54"/>
        <v>791.9</v>
      </c>
      <c r="H415" s="33"/>
      <c r="I415" s="34" t="s">
        <v>13</v>
      </c>
      <c r="J415" s="99">
        <f>+'[1]Dự thầu'!$G$953</f>
        <v>19714</v>
      </c>
      <c r="K415" s="98">
        <f t="shared" si="55"/>
        <v>15611517</v>
      </c>
      <c r="L415" s="98">
        <f t="shared" si="56"/>
        <v>15611517</v>
      </c>
      <c r="M415" s="98">
        <f t="shared" si="57"/>
        <v>0</v>
      </c>
      <c r="N415" s="100"/>
    </row>
    <row r="416" spans="1:14" ht="15.75" customHeight="1" x14ac:dyDescent="0.25">
      <c r="A416" s="52" t="str">
        <f t="shared" si="53"/>
        <v>TL</v>
      </c>
      <c r="B416" s="32" t="s">
        <v>684</v>
      </c>
      <c r="C416" s="33">
        <v>411</v>
      </c>
      <c r="D416" s="39" t="s">
        <v>685</v>
      </c>
      <c r="E416" s="33" t="s">
        <v>10</v>
      </c>
      <c r="F416" s="101">
        <v>2345.3000000000002</v>
      </c>
      <c r="G416" s="101">
        <f t="shared" si="54"/>
        <v>2345.3000000000002</v>
      </c>
      <c r="H416" s="33"/>
      <c r="I416" s="34" t="s">
        <v>16</v>
      </c>
      <c r="J416" s="99">
        <f>+'[1]Dự thầu'!$G$954</f>
        <v>45382</v>
      </c>
      <c r="K416" s="98">
        <f t="shared" si="55"/>
        <v>106434405</v>
      </c>
      <c r="L416" s="98">
        <f t="shared" si="56"/>
        <v>106434405</v>
      </c>
      <c r="M416" s="98">
        <f t="shared" si="57"/>
        <v>0</v>
      </c>
      <c r="N416" s="100"/>
    </row>
    <row r="417" spans="1:14" ht="15.75" customHeight="1" x14ac:dyDescent="0.25">
      <c r="A417" s="52" t="str">
        <f t="shared" si="53"/>
        <v>TL</v>
      </c>
      <c r="B417" s="32" t="s">
        <v>686</v>
      </c>
      <c r="C417" s="33">
        <v>412</v>
      </c>
      <c r="D417" s="39" t="s">
        <v>685</v>
      </c>
      <c r="E417" s="33" t="s">
        <v>10</v>
      </c>
      <c r="F417" s="33">
        <v>156.1</v>
      </c>
      <c r="G417" s="33">
        <f t="shared" si="54"/>
        <v>156.1</v>
      </c>
      <c r="H417" s="33"/>
      <c r="I417" s="34" t="s">
        <v>16</v>
      </c>
      <c r="J417" s="99">
        <f>+'[1]Dự thầu'!$G$958</f>
        <v>45382</v>
      </c>
      <c r="K417" s="98">
        <f t="shared" si="55"/>
        <v>7084130</v>
      </c>
      <c r="L417" s="98">
        <f t="shared" si="56"/>
        <v>7084130</v>
      </c>
      <c r="M417" s="98">
        <f t="shared" si="57"/>
        <v>0</v>
      </c>
      <c r="N417" s="100"/>
    </row>
    <row r="418" spans="1:14" ht="15.75" customHeight="1" x14ac:dyDescent="0.25">
      <c r="A418" s="52" t="str">
        <f t="shared" si="53"/>
        <v>TL</v>
      </c>
      <c r="B418" s="32" t="s">
        <v>687</v>
      </c>
      <c r="C418" s="33">
        <v>413</v>
      </c>
      <c r="D418" s="39" t="s">
        <v>628</v>
      </c>
      <c r="E418" s="33" t="s">
        <v>10</v>
      </c>
      <c r="F418" s="33">
        <v>135</v>
      </c>
      <c r="G418" s="33">
        <f t="shared" si="54"/>
        <v>135</v>
      </c>
      <c r="H418" s="33"/>
      <c r="I418" s="34" t="s">
        <v>16</v>
      </c>
      <c r="J418" s="99">
        <f>+'[1]Dự thầu'!$G$962</f>
        <v>23993</v>
      </c>
      <c r="K418" s="98">
        <f t="shared" si="55"/>
        <v>3239055</v>
      </c>
      <c r="L418" s="98">
        <f t="shared" si="56"/>
        <v>3239055</v>
      </c>
      <c r="M418" s="98">
        <f t="shared" si="57"/>
        <v>0</v>
      </c>
      <c r="N418" s="100"/>
    </row>
    <row r="419" spans="1:14" ht="31.5" customHeight="1" x14ac:dyDescent="0.25">
      <c r="A419" s="52" t="str">
        <f t="shared" si="53"/>
        <v>TL</v>
      </c>
      <c r="B419" s="32" t="s">
        <v>688</v>
      </c>
      <c r="C419" s="33">
        <v>414</v>
      </c>
      <c r="D419" s="39" t="s">
        <v>630</v>
      </c>
      <c r="E419" s="33" t="s">
        <v>10</v>
      </c>
      <c r="F419" s="33">
        <v>35</v>
      </c>
      <c r="G419" s="33">
        <f t="shared" si="54"/>
        <v>35</v>
      </c>
      <c r="H419" s="33"/>
      <c r="I419" s="34" t="s">
        <v>16</v>
      </c>
      <c r="J419" s="99">
        <f>+'[1]Dự thầu'!$G$963</f>
        <v>7229</v>
      </c>
      <c r="K419" s="98">
        <f t="shared" si="55"/>
        <v>253015</v>
      </c>
      <c r="L419" s="98">
        <f t="shared" si="56"/>
        <v>253015</v>
      </c>
      <c r="M419" s="98">
        <f t="shared" si="57"/>
        <v>0</v>
      </c>
      <c r="N419" s="100"/>
    </row>
    <row r="420" spans="1:14" ht="15.75" customHeight="1" x14ac:dyDescent="0.25">
      <c r="A420" s="52" t="str">
        <f t="shared" si="53"/>
        <v>TL</v>
      </c>
      <c r="B420" s="32" t="s">
        <v>689</v>
      </c>
      <c r="C420" s="33">
        <v>415</v>
      </c>
      <c r="D420" s="39" t="s">
        <v>632</v>
      </c>
      <c r="E420" s="33" t="s">
        <v>10</v>
      </c>
      <c r="F420" s="33">
        <v>35</v>
      </c>
      <c r="G420" s="33">
        <f t="shared" si="54"/>
        <v>35</v>
      </c>
      <c r="H420" s="33"/>
      <c r="I420" s="34" t="s">
        <v>16</v>
      </c>
      <c r="J420" s="99">
        <f>+'[1]Dự thầu'!$G$964</f>
        <v>19746</v>
      </c>
      <c r="K420" s="98">
        <f t="shared" si="55"/>
        <v>691110</v>
      </c>
      <c r="L420" s="98">
        <f t="shared" si="56"/>
        <v>691110</v>
      </c>
      <c r="M420" s="98">
        <f t="shared" si="57"/>
        <v>0</v>
      </c>
      <c r="N420" s="100"/>
    </row>
    <row r="421" spans="1:14" ht="15.75" customHeight="1" x14ac:dyDescent="0.25">
      <c r="A421" s="52" t="str">
        <f t="shared" si="53"/>
        <v>TL</v>
      </c>
      <c r="B421" s="32" t="s">
        <v>690</v>
      </c>
      <c r="C421" s="33">
        <v>416</v>
      </c>
      <c r="D421" s="39" t="s">
        <v>685</v>
      </c>
      <c r="E421" s="33" t="s">
        <v>10</v>
      </c>
      <c r="F421" s="33">
        <v>170</v>
      </c>
      <c r="G421" s="33">
        <f t="shared" si="54"/>
        <v>170</v>
      </c>
      <c r="H421" s="33"/>
      <c r="I421" s="34" t="s">
        <v>16</v>
      </c>
      <c r="J421" s="99">
        <f>+'[1]Dự thầu'!$G$965</f>
        <v>45382</v>
      </c>
      <c r="K421" s="98">
        <f t="shared" si="55"/>
        <v>7714940</v>
      </c>
      <c r="L421" s="98">
        <f t="shared" si="56"/>
        <v>7714940</v>
      </c>
      <c r="M421" s="98">
        <f t="shared" si="57"/>
        <v>0</v>
      </c>
      <c r="N421" s="100"/>
    </row>
    <row r="422" spans="1:14" ht="15.75" customHeight="1" x14ac:dyDescent="0.25">
      <c r="A422" s="52" t="str">
        <f t="shared" si="53"/>
        <v>TL</v>
      </c>
      <c r="B422" s="32" t="s">
        <v>691</v>
      </c>
      <c r="C422" s="33">
        <v>417</v>
      </c>
      <c r="D422" s="39" t="s">
        <v>692</v>
      </c>
      <c r="E422" s="33" t="s">
        <v>10</v>
      </c>
      <c r="F422" s="33">
        <v>61.52</v>
      </c>
      <c r="G422" s="33">
        <f t="shared" si="54"/>
        <v>61.52</v>
      </c>
      <c r="H422" s="33"/>
      <c r="I422" s="34" t="s">
        <v>16</v>
      </c>
      <c r="J422" s="99">
        <f>+'[1]Dự thầu'!$G$969</f>
        <v>2095204</v>
      </c>
      <c r="K422" s="98">
        <f t="shared" si="55"/>
        <v>128896950</v>
      </c>
      <c r="L422" s="98">
        <f t="shared" si="56"/>
        <v>128896950</v>
      </c>
      <c r="M422" s="98">
        <f t="shared" si="57"/>
        <v>0</v>
      </c>
      <c r="N422" s="100"/>
    </row>
    <row r="423" spans="1:14" ht="15.75" customHeight="1" x14ac:dyDescent="0.25">
      <c r="A423" s="52" t="str">
        <f t="shared" si="53"/>
        <v>TL</v>
      </c>
      <c r="B423" s="32" t="s">
        <v>693</v>
      </c>
      <c r="C423" s="33">
        <v>418</v>
      </c>
      <c r="D423" s="39" t="s">
        <v>560</v>
      </c>
      <c r="E423" s="33" t="s">
        <v>10</v>
      </c>
      <c r="F423" s="33">
        <v>63.06</v>
      </c>
      <c r="G423" s="33">
        <f t="shared" si="54"/>
        <v>63.06</v>
      </c>
      <c r="H423" s="33"/>
      <c r="I423" s="34" t="s">
        <v>16</v>
      </c>
      <c r="J423" s="99">
        <f>+'[1]Dự thầu'!$G$970</f>
        <v>57102</v>
      </c>
      <c r="K423" s="98">
        <f t="shared" si="55"/>
        <v>3600852</v>
      </c>
      <c r="L423" s="98">
        <f t="shared" si="56"/>
        <v>3600852</v>
      </c>
      <c r="M423" s="98">
        <f t="shared" si="57"/>
        <v>0</v>
      </c>
      <c r="N423" s="100"/>
    </row>
    <row r="424" spans="1:14" ht="15.75" customHeight="1" x14ac:dyDescent="0.25">
      <c r="A424" s="52" t="str">
        <f t="shared" si="53"/>
        <v>TL</v>
      </c>
      <c r="B424" s="32" t="s">
        <v>694</v>
      </c>
      <c r="C424" s="33">
        <v>419</v>
      </c>
      <c r="D424" s="39" t="s">
        <v>562</v>
      </c>
      <c r="E424" s="33" t="s">
        <v>10</v>
      </c>
      <c r="F424" s="33">
        <v>63.06</v>
      </c>
      <c r="G424" s="33">
        <f t="shared" si="54"/>
        <v>63.06</v>
      </c>
      <c r="H424" s="33"/>
      <c r="I424" s="34" t="s">
        <v>16</v>
      </c>
      <c r="J424" s="99">
        <f>+'[1]Dự thầu'!$G$971+'[1]Dự thầu'!$G$972</f>
        <v>232044</v>
      </c>
      <c r="K424" s="98">
        <f t="shared" si="55"/>
        <v>14632695</v>
      </c>
      <c r="L424" s="98">
        <f t="shared" si="56"/>
        <v>14632695</v>
      </c>
      <c r="M424" s="98">
        <f t="shared" si="57"/>
        <v>0</v>
      </c>
      <c r="N424" s="100"/>
    </row>
    <row r="425" spans="1:14" ht="15.75" customHeight="1" x14ac:dyDescent="0.25">
      <c r="A425" s="52" t="str">
        <f t="shared" si="53"/>
        <v>TL</v>
      </c>
      <c r="B425" s="32" t="s">
        <v>695</v>
      </c>
      <c r="C425" s="33">
        <v>420</v>
      </c>
      <c r="D425" s="39" t="s">
        <v>696</v>
      </c>
      <c r="E425" s="33" t="s">
        <v>10</v>
      </c>
      <c r="F425" s="33">
        <v>0.19</v>
      </c>
      <c r="G425" s="33">
        <f t="shared" si="54"/>
        <v>0.19</v>
      </c>
      <c r="H425" s="33"/>
      <c r="I425" s="34" t="s">
        <v>90</v>
      </c>
      <c r="J425" s="99">
        <f>+'[1]Dự thầu'!$G$973</f>
        <v>25844139</v>
      </c>
      <c r="K425" s="98">
        <f t="shared" si="55"/>
        <v>4910386</v>
      </c>
      <c r="L425" s="98">
        <f t="shared" si="56"/>
        <v>4910386</v>
      </c>
      <c r="M425" s="98">
        <f t="shared" si="57"/>
        <v>0</v>
      </c>
      <c r="N425" s="100"/>
    </row>
    <row r="426" spans="1:14" ht="15.75" customHeight="1" x14ac:dyDescent="0.25">
      <c r="A426" s="52" t="str">
        <f t="shared" si="53"/>
        <v>TL</v>
      </c>
      <c r="B426" s="32" t="s">
        <v>697</v>
      </c>
      <c r="C426" s="33">
        <v>421</v>
      </c>
      <c r="D426" s="39" t="s">
        <v>698</v>
      </c>
      <c r="E426" s="33" t="s">
        <v>10</v>
      </c>
      <c r="F426" s="33">
        <v>8.92</v>
      </c>
      <c r="G426" s="33">
        <f t="shared" si="54"/>
        <v>8.92</v>
      </c>
      <c r="H426" s="33"/>
      <c r="I426" s="34" t="s">
        <v>90</v>
      </c>
      <c r="J426" s="99">
        <f>+'[1]Dự thầu'!$G$974</f>
        <v>25587312</v>
      </c>
      <c r="K426" s="98">
        <f t="shared" si="55"/>
        <v>228238823</v>
      </c>
      <c r="L426" s="98">
        <f t="shared" si="56"/>
        <v>228238823</v>
      </c>
      <c r="M426" s="98">
        <f t="shared" si="57"/>
        <v>0</v>
      </c>
      <c r="N426" s="100"/>
    </row>
    <row r="427" spans="1:14" ht="15.75" customHeight="1" x14ac:dyDescent="0.25">
      <c r="A427" s="52" t="str">
        <f t="shared" si="53"/>
        <v>TL</v>
      </c>
      <c r="B427" s="32" t="s">
        <v>699</v>
      </c>
      <c r="C427" s="33">
        <v>422</v>
      </c>
      <c r="D427" s="39" t="s">
        <v>700</v>
      </c>
      <c r="E427" s="33" t="s">
        <v>10</v>
      </c>
      <c r="F427" s="33">
        <v>40.75</v>
      </c>
      <c r="G427" s="33">
        <f t="shared" si="54"/>
        <v>40.75</v>
      </c>
      <c r="H427" s="33"/>
      <c r="I427" s="34" t="s">
        <v>16</v>
      </c>
      <c r="J427" s="99">
        <f>+'[1]Dự thầu'!$G$975</f>
        <v>1141385</v>
      </c>
      <c r="K427" s="98">
        <f t="shared" ref="K427:K458" si="58">+ROUND(J427*F427,0)</f>
        <v>46511439</v>
      </c>
      <c r="L427" s="98">
        <f t="shared" ref="L427:L458" si="59">+ROUND(G427*J427,0)</f>
        <v>46511439</v>
      </c>
      <c r="M427" s="98">
        <f t="shared" ref="M427:M458" si="60">+ROUND(H427*J427,0)</f>
        <v>0</v>
      </c>
      <c r="N427" s="100"/>
    </row>
    <row r="428" spans="1:14" ht="15.75" customHeight="1" x14ac:dyDescent="0.25">
      <c r="A428" s="52" t="str">
        <f t="shared" si="53"/>
        <v>TL</v>
      </c>
      <c r="B428" s="32" t="s">
        <v>701</v>
      </c>
      <c r="C428" s="33">
        <v>423</v>
      </c>
      <c r="D428" s="39" t="s">
        <v>702</v>
      </c>
      <c r="E428" s="33" t="s">
        <v>10</v>
      </c>
      <c r="F428" s="33">
        <v>397.77</v>
      </c>
      <c r="G428" s="33">
        <f t="shared" si="54"/>
        <v>397.77</v>
      </c>
      <c r="H428" s="33"/>
      <c r="I428" s="34" t="s">
        <v>13</v>
      </c>
      <c r="J428" s="99">
        <f>+'[1]Dự thầu'!$G$976</f>
        <v>141724</v>
      </c>
      <c r="K428" s="98">
        <f t="shared" si="58"/>
        <v>56373555</v>
      </c>
      <c r="L428" s="98">
        <f t="shared" si="59"/>
        <v>56373555</v>
      </c>
      <c r="M428" s="98">
        <f t="shared" si="60"/>
        <v>0</v>
      </c>
      <c r="N428" s="100"/>
    </row>
    <row r="429" spans="1:14" ht="15.75" customHeight="1" x14ac:dyDescent="0.25">
      <c r="A429" s="52" t="str">
        <f t="shared" si="53"/>
        <v>TL</v>
      </c>
      <c r="B429" s="32" t="s">
        <v>703</v>
      </c>
      <c r="C429" s="33">
        <v>424</v>
      </c>
      <c r="D429" s="39" t="s">
        <v>704</v>
      </c>
      <c r="E429" s="33" t="s">
        <v>10</v>
      </c>
      <c r="F429" s="33">
        <v>774.86</v>
      </c>
      <c r="G429" s="33">
        <f t="shared" si="54"/>
        <v>774.86</v>
      </c>
      <c r="H429" s="33"/>
      <c r="I429" s="34" t="s">
        <v>13</v>
      </c>
      <c r="J429" s="99">
        <f>+'[1]Dự thầu'!$G$977</f>
        <v>76805</v>
      </c>
      <c r="K429" s="98">
        <f t="shared" si="58"/>
        <v>59513122</v>
      </c>
      <c r="L429" s="98">
        <f t="shared" si="59"/>
        <v>59513122</v>
      </c>
      <c r="M429" s="98">
        <f t="shared" si="60"/>
        <v>0</v>
      </c>
      <c r="N429" s="100"/>
    </row>
    <row r="430" spans="1:14" ht="15.75" customHeight="1" x14ac:dyDescent="0.25">
      <c r="A430" s="52" t="str">
        <f t="shared" si="53"/>
        <v>TL</v>
      </c>
      <c r="B430" s="32" t="s">
        <v>705</v>
      </c>
      <c r="C430" s="33">
        <v>425</v>
      </c>
      <c r="D430" s="39" t="s">
        <v>587</v>
      </c>
      <c r="E430" s="33" t="s">
        <v>10</v>
      </c>
      <c r="F430" s="33">
        <v>23.91</v>
      </c>
      <c r="G430" s="33">
        <f t="shared" si="54"/>
        <v>23.91</v>
      </c>
      <c r="H430" s="33"/>
      <c r="I430" s="34" t="s">
        <v>16</v>
      </c>
      <c r="J430" s="99">
        <f>+'[1]Dự thầu'!$G$978</f>
        <v>842139</v>
      </c>
      <c r="K430" s="98">
        <f t="shared" si="58"/>
        <v>20135543</v>
      </c>
      <c r="L430" s="98">
        <f t="shared" si="59"/>
        <v>20135543</v>
      </c>
      <c r="M430" s="98">
        <f t="shared" si="60"/>
        <v>0</v>
      </c>
      <c r="N430" s="100"/>
    </row>
    <row r="431" spans="1:14" ht="15.75" customHeight="1" x14ac:dyDescent="0.25">
      <c r="A431" s="52" t="str">
        <f t="shared" si="53"/>
        <v>TL</v>
      </c>
      <c r="B431" s="32" t="s">
        <v>706</v>
      </c>
      <c r="C431" s="33">
        <v>426</v>
      </c>
      <c r="D431" s="39" t="s">
        <v>707</v>
      </c>
      <c r="E431" s="33" t="s">
        <v>10</v>
      </c>
      <c r="F431" s="33">
        <v>0.02</v>
      </c>
      <c r="G431" s="33">
        <f t="shared" si="54"/>
        <v>0.02</v>
      </c>
      <c r="H431" s="33"/>
      <c r="I431" s="34" t="s">
        <v>90</v>
      </c>
      <c r="J431" s="99">
        <f>+'[1]Dự thầu'!$G$979</f>
        <v>25844139</v>
      </c>
      <c r="K431" s="98">
        <f t="shared" si="58"/>
        <v>516883</v>
      </c>
      <c r="L431" s="98">
        <f t="shared" si="59"/>
        <v>516883</v>
      </c>
      <c r="M431" s="98">
        <f t="shared" si="60"/>
        <v>0</v>
      </c>
      <c r="N431" s="100"/>
    </row>
    <row r="432" spans="1:14" ht="15.75" customHeight="1" x14ac:dyDescent="0.25">
      <c r="A432" s="52" t="str">
        <f t="shared" si="53"/>
        <v>TL</v>
      </c>
      <c r="B432" s="32" t="s">
        <v>708</v>
      </c>
      <c r="C432" s="33">
        <v>427</v>
      </c>
      <c r="D432" s="39" t="s">
        <v>709</v>
      </c>
      <c r="E432" s="33" t="s">
        <v>10</v>
      </c>
      <c r="F432" s="33">
        <v>0.31</v>
      </c>
      <c r="G432" s="33">
        <f t="shared" si="54"/>
        <v>0.31</v>
      </c>
      <c r="H432" s="33"/>
      <c r="I432" s="34" t="s">
        <v>90</v>
      </c>
      <c r="J432" s="99">
        <f>+'[1]Dự thầu'!$G$980</f>
        <v>24892659</v>
      </c>
      <c r="K432" s="98">
        <f t="shared" si="58"/>
        <v>7716724</v>
      </c>
      <c r="L432" s="98">
        <f t="shared" si="59"/>
        <v>7716724</v>
      </c>
      <c r="M432" s="98">
        <f t="shared" si="60"/>
        <v>0</v>
      </c>
      <c r="N432" s="100"/>
    </row>
    <row r="433" spans="1:14" ht="15.75" customHeight="1" x14ac:dyDescent="0.25">
      <c r="A433" s="52" t="str">
        <f t="shared" si="53"/>
        <v>TL</v>
      </c>
      <c r="B433" s="32" t="s">
        <v>710</v>
      </c>
      <c r="C433" s="33">
        <v>428</v>
      </c>
      <c r="D433" s="39" t="s">
        <v>711</v>
      </c>
      <c r="E433" s="33" t="s">
        <v>10</v>
      </c>
      <c r="F433" s="33">
        <v>41.6</v>
      </c>
      <c r="G433" s="33">
        <f t="shared" si="54"/>
        <v>41.6</v>
      </c>
      <c r="H433" s="33"/>
      <c r="I433" s="34" t="s">
        <v>75</v>
      </c>
      <c r="J433" s="99">
        <f>+'[1]Dự thầu'!$G$981</f>
        <v>23353</v>
      </c>
      <c r="K433" s="98">
        <f t="shared" si="58"/>
        <v>971485</v>
      </c>
      <c r="L433" s="98">
        <f t="shared" si="59"/>
        <v>971485</v>
      </c>
      <c r="M433" s="98">
        <f t="shared" si="60"/>
        <v>0</v>
      </c>
      <c r="N433" s="100"/>
    </row>
    <row r="434" spans="1:14" ht="15.75" customHeight="1" x14ac:dyDescent="0.25">
      <c r="A434" s="52" t="str">
        <f t="shared" si="53"/>
        <v>TL</v>
      </c>
      <c r="B434" s="32" t="s">
        <v>712</v>
      </c>
      <c r="C434" s="33">
        <v>429</v>
      </c>
      <c r="D434" s="39" t="s">
        <v>713</v>
      </c>
      <c r="E434" s="33" t="s">
        <v>10</v>
      </c>
      <c r="F434" s="33">
        <v>0.98</v>
      </c>
      <c r="G434" s="33">
        <f t="shared" si="54"/>
        <v>0.98</v>
      </c>
      <c r="H434" s="33"/>
      <c r="I434" s="34" t="s">
        <v>13</v>
      </c>
      <c r="J434" s="99">
        <f>+'[1]Dự thầu'!$G$982</f>
        <v>370346</v>
      </c>
      <c r="K434" s="98">
        <f t="shared" si="58"/>
        <v>362939</v>
      </c>
      <c r="L434" s="98">
        <f t="shared" si="59"/>
        <v>362939</v>
      </c>
      <c r="M434" s="98">
        <f t="shared" si="60"/>
        <v>0</v>
      </c>
      <c r="N434" s="100"/>
    </row>
    <row r="435" spans="1:14" ht="15.75" customHeight="1" x14ac:dyDescent="0.25">
      <c r="A435" s="52" t="str">
        <f t="shared" si="53"/>
        <v>TL</v>
      </c>
      <c r="B435" s="32" t="s">
        <v>714</v>
      </c>
      <c r="C435" s="33">
        <v>430</v>
      </c>
      <c r="D435" s="39" t="s">
        <v>715</v>
      </c>
      <c r="E435" s="33" t="s">
        <v>10</v>
      </c>
      <c r="F435" s="33">
        <v>37.6</v>
      </c>
      <c r="G435" s="33">
        <f t="shared" si="54"/>
        <v>37.6</v>
      </c>
      <c r="H435" s="33"/>
      <c r="I435" s="34" t="s">
        <v>75</v>
      </c>
      <c r="J435" s="99">
        <f>+'[1]Dự thầu'!$G$983</f>
        <v>126388</v>
      </c>
      <c r="K435" s="98">
        <f t="shared" si="58"/>
        <v>4752189</v>
      </c>
      <c r="L435" s="98">
        <f t="shared" si="59"/>
        <v>4752189</v>
      </c>
      <c r="M435" s="98">
        <f t="shared" si="60"/>
        <v>0</v>
      </c>
      <c r="N435" s="100"/>
    </row>
    <row r="436" spans="1:14" ht="15.75" customHeight="1" x14ac:dyDescent="0.25">
      <c r="A436" s="52" t="str">
        <f t="shared" si="53"/>
        <v>TL</v>
      </c>
      <c r="B436" s="32" t="s">
        <v>716</v>
      </c>
      <c r="C436" s="33">
        <v>431</v>
      </c>
      <c r="D436" s="39" t="s">
        <v>717</v>
      </c>
      <c r="E436" s="33" t="s">
        <v>10</v>
      </c>
      <c r="F436" s="33">
        <v>67.650000000000006</v>
      </c>
      <c r="G436" s="33">
        <f t="shared" si="54"/>
        <v>67.650000000000006</v>
      </c>
      <c r="H436" s="33"/>
      <c r="I436" s="34" t="s">
        <v>16</v>
      </c>
      <c r="J436" s="99">
        <f>+'[1]Dự thầu'!$G$984</f>
        <v>1644233</v>
      </c>
      <c r="K436" s="98">
        <f t="shared" si="58"/>
        <v>111232362</v>
      </c>
      <c r="L436" s="98">
        <f t="shared" si="59"/>
        <v>111232362</v>
      </c>
      <c r="M436" s="98">
        <f t="shared" si="60"/>
        <v>0</v>
      </c>
      <c r="N436" s="100"/>
    </row>
    <row r="437" spans="1:14" ht="15.75" customHeight="1" x14ac:dyDescent="0.25">
      <c r="A437" s="52" t="str">
        <f t="shared" si="53"/>
        <v>TL</v>
      </c>
      <c r="B437" s="32" t="s">
        <v>718</v>
      </c>
      <c r="C437" s="33">
        <v>432</v>
      </c>
      <c r="D437" s="39" t="s">
        <v>560</v>
      </c>
      <c r="E437" s="33" t="s">
        <v>10</v>
      </c>
      <c r="F437" s="33">
        <v>68.66</v>
      </c>
      <c r="G437" s="33">
        <f t="shared" si="54"/>
        <v>68.66</v>
      </c>
      <c r="H437" s="33"/>
      <c r="I437" s="34" t="s">
        <v>16</v>
      </c>
      <c r="J437" s="99">
        <f>+'[1]Dự thầu'!$G$985</f>
        <v>57102</v>
      </c>
      <c r="K437" s="98">
        <f t="shared" si="58"/>
        <v>3920623</v>
      </c>
      <c r="L437" s="98">
        <f t="shared" si="59"/>
        <v>3920623</v>
      </c>
      <c r="M437" s="98">
        <f t="shared" si="60"/>
        <v>0</v>
      </c>
      <c r="N437" s="100"/>
    </row>
    <row r="438" spans="1:14" ht="15.75" customHeight="1" x14ac:dyDescent="0.25">
      <c r="A438" s="52" t="str">
        <f t="shared" si="53"/>
        <v>TL</v>
      </c>
      <c r="B438" s="32" t="s">
        <v>719</v>
      </c>
      <c r="C438" s="33">
        <v>433</v>
      </c>
      <c r="D438" s="39" t="s">
        <v>562</v>
      </c>
      <c r="E438" s="33" t="s">
        <v>10</v>
      </c>
      <c r="F438" s="33">
        <v>68.66</v>
      </c>
      <c r="G438" s="33">
        <f t="shared" si="54"/>
        <v>68.66</v>
      </c>
      <c r="H438" s="33"/>
      <c r="I438" s="34" t="s">
        <v>16</v>
      </c>
      <c r="J438" s="99">
        <f>+'[1]Dự thầu'!$G$986+'[1]Dự thầu'!$G$987</f>
        <v>232044</v>
      </c>
      <c r="K438" s="98">
        <f t="shared" si="58"/>
        <v>15932141</v>
      </c>
      <c r="L438" s="98">
        <f t="shared" si="59"/>
        <v>15932141</v>
      </c>
      <c r="M438" s="98">
        <f t="shared" si="60"/>
        <v>0</v>
      </c>
      <c r="N438" s="100"/>
    </row>
    <row r="439" spans="1:14" ht="15.75" customHeight="1" x14ac:dyDescent="0.25">
      <c r="A439" s="52" t="str">
        <f t="shared" si="53"/>
        <v>TL</v>
      </c>
      <c r="B439" s="32" t="s">
        <v>720</v>
      </c>
      <c r="C439" s="33">
        <v>434</v>
      </c>
      <c r="D439" s="39" t="s">
        <v>721</v>
      </c>
      <c r="E439" s="33" t="s">
        <v>10</v>
      </c>
      <c r="F439" s="33">
        <v>0.18</v>
      </c>
      <c r="G439" s="33">
        <f t="shared" si="54"/>
        <v>0.18</v>
      </c>
      <c r="H439" s="33"/>
      <c r="I439" s="34" t="s">
        <v>90</v>
      </c>
      <c r="J439" s="99">
        <f>+'[1]Dự thầu'!$G$988</f>
        <v>25177456</v>
      </c>
      <c r="K439" s="98">
        <f t="shared" si="58"/>
        <v>4531942</v>
      </c>
      <c r="L439" s="98">
        <f t="shared" si="59"/>
        <v>4531942</v>
      </c>
      <c r="M439" s="98">
        <f t="shared" si="60"/>
        <v>0</v>
      </c>
      <c r="N439" s="100"/>
    </row>
    <row r="440" spans="1:14" ht="15.75" customHeight="1" x14ac:dyDescent="0.25">
      <c r="A440" s="52" t="str">
        <f t="shared" si="53"/>
        <v>TL</v>
      </c>
      <c r="B440" s="32" t="s">
        <v>722</v>
      </c>
      <c r="C440" s="33">
        <v>435</v>
      </c>
      <c r="D440" s="39" t="s">
        <v>723</v>
      </c>
      <c r="E440" s="33" t="s">
        <v>10</v>
      </c>
      <c r="F440" s="33">
        <v>7.88</v>
      </c>
      <c r="G440" s="33">
        <f t="shared" si="54"/>
        <v>7.88</v>
      </c>
      <c r="H440" s="33"/>
      <c r="I440" s="34" t="s">
        <v>90</v>
      </c>
      <c r="J440" s="99">
        <f>+'[1]Dự thầu'!$G$989</f>
        <v>24796382</v>
      </c>
      <c r="K440" s="98">
        <f t="shared" si="58"/>
        <v>195395490</v>
      </c>
      <c r="L440" s="98">
        <f t="shared" si="59"/>
        <v>195395490</v>
      </c>
      <c r="M440" s="98">
        <f t="shared" si="60"/>
        <v>0</v>
      </c>
      <c r="N440" s="100"/>
    </row>
    <row r="441" spans="1:14" ht="15.75" customHeight="1" x14ac:dyDescent="0.25">
      <c r="A441" s="52" t="str">
        <f t="shared" si="53"/>
        <v>TL</v>
      </c>
      <c r="B441" s="32" t="s">
        <v>724</v>
      </c>
      <c r="C441" s="33">
        <v>436</v>
      </c>
      <c r="D441" s="39" t="s">
        <v>725</v>
      </c>
      <c r="E441" s="33" t="s">
        <v>10</v>
      </c>
      <c r="F441" s="33">
        <v>52.84</v>
      </c>
      <c r="G441" s="33">
        <f t="shared" si="54"/>
        <v>52.84</v>
      </c>
      <c r="H441" s="33"/>
      <c r="I441" s="34" t="s">
        <v>16</v>
      </c>
      <c r="J441" s="99">
        <f>+'[1]Dự thầu'!$G$990</f>
        <v>2040190</v>
      </c>
      <c r="K441" s="98">
        <f t="shared" si="58"/>
        <v>107803640</v>
      </c>
      <c r="L441" s="98">
        <f t="shared" si="59"/>
        <v>107803640</v>
      </c>
      <c r="M441" s="98">
        <f t="shared" si="60"/>
        <v>0</v>
      </c>
      <c r="N441" s="100"/>
    </row>
    <row r="442" spans="1:14" ht="15.75" customHeight="1" x14ac:dyDescent="0.25">
      <c r="A442" s="52" t="str">
        <f t="shared" si="53"/>
        <v>TL</v>
      </c>
      <c r="B442" s="32" t="s">
        <v>726</v>
      </c>
      <c r="C442" s="33">
        <v>437</v>
      </c>
      <c r="D442" s="39" t="s">
        <v>560</v>
      </c>
      <c r="E442" s="33" t="s">
        <v>10</v>
      </c>
      <c r="F442" s="33">
        <v>53.63</v>
      </c>
      <c r="G442" s="33">
        <f t="shared" si="54"/>
        <v>53.63</v>
      </c>
      <c r="H442" s="33"/>
      <c r="I442" s="34" t="s">
        <v>16</v>
      </c>
      <c r="J442" s="99">
        <f>+'[1]Dự thầu'!$G$991</f>
        <v>57102</v>
      </c>
      <c r="K442" s="98">
        <f t="shared" si="58"/>
        <v>3062380</v>
      </c>
      <c r="L442" s="98">
        <f t="shared" si="59"/>
        <v>3062380</v>
      </c>
      <c r="M442" s="98">
        <f t="shared" si="60"/>
        <v>0</v>
      </c>
      <c r="N442" s="100"/>
    </row>
    <row r="443" spans="1:14" ht="15.75" customHeight="1" x14ac:dyDescent="0.25">
      <c r="A443" s="52" t="str">
        <f t="shared" si="53"/>
        <v>TL</v>
      </c>
      <c r="B443" s="32" t="s">
        <v>727</v>
      </c>
      <c r="C443" s="33">
        <v>438</v>
      </c>
      <c r="D443" s="39" t="s">
        <v>562</v>
      </c>
      <c r="E443" s="33" t="s">
        <v>10</v>
      </c>
      <c r="F443" s="33">
        <v>53.63</v>
      </c>
      <c r="G443" s="33">
        <f t="shared" si="54"/>
        <v>53.63</v>
      </c>
      <c r="H443" s="33"/>
      <c r="I443" s="34" t="s">
        <v>16</v>
      </c>
      <c r="J443" s="99">
        <f>+'[1]Dự thầu'!$G$992+'[1]Dự thầu'!$G$993</f>
        <v>232044</v>
      </c>
      <c r="K443" s="98">
        <f t="shared" si="58"/>
        <v>12444520</v>
      </c>
      <c r="L443" s="98">
        <f t="shared" si="59"/>
        <v>12444520</v>
      </c>
      <c r="M443" s="98">
        <f t="shared" si="60"/>
        <v>0</v>
      </c>
      <c r="N443" s="100"/>
    </row>
    <row r="444" spans="1:14" ht="15.75" customHeight="1" x14ac:dyDescent="0.25">
      <c r="A444" s="52" t="str">
        <f t="shared" si="53"/>
        <v>TL</v>
      </c>
      <c r="B444" s="32" t="s">
        <v>728</v>
      </c>
      <c r="C444" s="33">
        <v>439</v>
      </c>
      <c r="D444" s="39" t="s">
        <v>729</v>
      </c>
      <c r="E444" s="33" t="s">
        <v>10</v>
      </c>
      <c r="F444" s="33">
        <v>0.16</v>
      </c>
      <c r="G444" s="33">
        <f t="shared" si="54"/>
        <v>0.16</v>
      </c>
      <c r="H444" s="33"/>
      <c r="I444" s="34" t="s">
        <v>90</v>
      </c>
      <c r="J444" s="99">
        <f>+'[1]Dự thầu'!$G$994</f>
        <v>26202055</v>
      </c>
      <c r="K444" s="98">
        <f t="shared" si="58"/>
        <v>4192329</v>
      </c>
      <c r="L444" s="98">
        <f t="shared" si="59"/>
        <v>4192329</v>
      </c>
      <c r="M444" s="98">
        <f t="shared" si="60"/>
        <v>0</v>
      </c>
      <c r="N444" s="100"/>
    </row>
    <row r="445" spans="1:14" ht="15.75" customHeight="1" x14ac:dyDescent="0.25">
      <c r="A445" s="52" t="str">
        <f t="shared" si="53"/>
        <v>TL</v>
      </c>
      <c r="B445" s="32" t="s">
        <v>730</v>
      </c>
      <c r="C445" s="33">
        <v>440</v>
      </c>
      <c r="D445" s="39" t="s">
        <v>731</v>
      </c>
      <c r="E445" s="33" t="s">
        <v>10</v>
      </c>
      <c r="F445" s="33">
        <v>6.92</v>
      </c>
      <c r="G445" s="33">
        <f t="shared" si="54"/>
        <v>6.92</v>
      </c>
      <c r="H445" s="33"/>
      <c r="I445" s="34" t="s">
        <v>90</v>
      </c>
      <c r="J445" s="99">
        <f>+'[1]Dự thầu'!$G$995</f>
        <v>25587587</v>
      </c>
      <c r="K445" s="98">
        <f t="shared" si="58"/>
        <v>177066102</v>
      </c>
      <c r="L445" s="98">
        <f t="shared" si="59"/>
        <v>177066102</v>
      </c>
      <c r="M445" s="98">
        <f t="shared" si="60"/>
        <v>0</v>
      </c>
      <c r="N445" s="100"/>
    </row>
    <row r="446" spans="1:14" ht="15.75" customHeight="1" x14ac:dyDescent="0.25">
      <c r="A446" s="52" t="str">
        <f t="shared" si="53"/>
        <v>TL</v>
      </c>
      <c r="B446" s="32" t="s">
        <v>732</v>
      </c>
      <c r="C446" s="33">
        <v>441</v>
      </c>
      <c r="D446" s="39" t="s">
        <v>733</v>
      </c>
      <c r="E446" s="33" t="s">
        <v>10</v>
      </c>
      <c r="F446" s="33">
        <v>189.36</v>
      </c>
      <c r="G446" s="33">
        <f t="shared" si="54"/>
        <v>189.36</v>
      </c>
      <c r="H446" s="33"/>
      <c r="I446" s="34" t="s">
        <v>13</v>
      </c>
      <c r="J446" s="99">
        <f>+'[1]Dự thầu'!$G$996</f>
        <v>111276</v>
      </c>
      <c r="K446" s="98">
        <f t="shared" si="58"/>
        <v>21071223</v>
      </c>
      <c r="L446" s="98">
        <f t="shared" si="59"/>
        <v>21071223</v>
      </c>
      <c r="M446" s="98">
        <f t="shared" si="60"/>
        <v>0</v>
      </c>
      <c r="N446" s="100"/>
    </row>
    <row r="447" spans="1:14" ht="15.75" customHeight="1" x14ac:dyDescent="0.25">
      <c r="A447" s="52" t="str">
        <f t="shared" si="53"/>
        <v>TL</v>
      </c>
      <c r="B447" s="32" t="s">
        <v>734</v>
      </c>
      <c r="C447" s="33">
        <v>442</v>
      </c>
      <c r="D447" s="39" t="s">
        <v>735</v>
      </c>
      <c r="E447" s="33" t="s">
        <v>10</v>
      </c>
      <c r="F447" s="33">
        <v>4.37</v>
      </c>
      <c r="G447" s="33">
        <f t="shared" si="54"/>
        <v>4.37</v>
      </c>
      <c r="H447" s="33"/>
      <c r="I447" s="34" t="s">
        <v>16</v>
      </c>
      <c r="J447" s="99">
        <f>+'[1]Dự thầu'!$G$997</f>
        <v>2095204</v>
      </c>
      <c r="K447" s="98">
        <f t="shared" si="58"/>
        <v>9156041</v>
      </c>
      <c r="L447" s="98">
        <f t="shared" si="59"/>
        <v>9156041</v>
      </c>
      <c r="M447" s="98">
        <f t="shared" si="60"/>
        <v>0</v>
      </c>
      <c r="N447" s="100"/>
    </row>
    <row r="448" spans="1:14" ht="15.75" customHeight="1" x14ac:dyDescent="0.25">
      <c r="A448" s="52" t="str">
        <f t="shared" si="53"/>
        <v>TL</v>
      </c>
      <c r="B448" s="32" t="s">
        <v>736</v>
      </c>
      <c r="C448" s="33">
        <v>443</v>
      </c>
      <c r="D448" s="39" t="s">
        <v>560</v>
      </c>
      <c r="E448" s="33" t="s">
        <v>10</v>
      </c>
      <c r="F448" s="33">
        <v>4.43</v>
      </c>
      <c r="G448" s="33">
        <f t="shared" si="54"/>
        <v>4.43</v>
      </c>
      <c r="H448" s="33"/>
      <c r="I448" s="34" t="s">
        <v>16</v>
      </c>
      <c r="J448" s="99">
        <f>+'[1]Dự thầu'!$G$998</f>
        <v>57102</v>
      </c>
      <c r="K448" s="98">
        <f t="shared" si="58"/>
        <v>252962</v>
      </c>
      <c r="L448" s="98">
        <f t="shared" si="59"/>
        <v>252962</v>
      </c>
      <c r="M448" s="98">
        <f t="shared" si="60"/>
        <v>0</v>
      </c>
      <c r="N448" s="100"/>
    </row>
    <row r="449" spans="1:14" ht="15.75" customHeight="1" x14ac:dyDescent="0.25">
      <c r="A449" s="52" t="str">
        <f t="shared" si="53"/>
        <v>TL</v>
      </c>
      <c r="B449" s="32" t="s">
        <v>737</v>
      </c>
      <c r="C449" s="33">
        <v>444</v>
      </c>
      <c r="D449" s="39" t="s">
        <v>738</v>
      </c>
      <c r="E449" s="33" t="s">
        <v>10</v>
      </c>
      <c r="F449" s="33">
        <v>4.43</v>
      </c>
      <c r="G449" s="33">
        <f t="shared" si="54"/>
        <v>4.43</v>
      </c>
      <c r="H449" s="33"/>
      <c r="I449" s="34" t="s">
        <v>16</v>
      </c>
      <c r="J449" s="99">
        <f>+'[1]Dự thầu'!$G$999</f>
        <v>171432</v>
      </c>
      <c r="K449" s="98">
        <f t="shared" si="58"/>
        <v>759444</v>
      </c>
      <c r="L449" s="98">
        <f t="shared" si="59"/>
        <v>759444</v>
      </c>
      <c r="M449" s="98">
        <f t="shared" si="60"/>
        <v>0</v>
      </c>
      <c r="N449" s="100"/>
    </row>
    <row r="450" spans="1:14" ht="15.75" customHeight="1" x14ac:dyDescent="0.25">
      <c r="A450" s="52" t="str">
        <f t="shared" si="53"/>
        <v>TL</v>
      </c>
      <c r="B450" s="32" t="s">
        <v>739</v>
      </c>
      <c r="C450" s="33">
        <v>445</v>
      </c>
      <c r="D450" s="39" t="s">
        <v>740</v>
      </c>
      <c r="E450" s="33" t="s">
        <v>10</v>
      </c>
      <c r="F450" s="33">
        <v>0.67</v>
      </c>
      <c r="G450" s="33">
        <f t="shared" si="54"/>
        <v>0.67</v>
      </c>
      <c r="H450" s="33"/>
      <c r="I450" s="34" t="s">
        <v>90</v>
      </c>
      <c r="J450" s="99">
        <f>+'[1]Dự thầu'!$G$1000</f>
        <v>25587312</v>
      </c>
      <c r="K450" s="98">
        <f t="shared" si="58"/>
        <v>17143499</v>
      </c>
      <c r="L450" s="98">
        <f t="shared" si="59"/>
        <v>17143499</v>
      </c>
      <c r="M450" s="98">
        <f t="shared" si="60"/>
        <v>0</v>
      </c>
      <c r="N450" s="100"/>
    </row>
    <row r="451" spans="1:14" ht="15.75" customHeight="1" x14ac:dyDescent="0.25">
      <c r="A451" s="52" t="str">
        <f t="shared" si="53"/>
        <v>TL</v>
      </c>
      <c r="B451" s="32" t="s">
        <v>741</v>
      </c>
      <c r="C451" s="33">
        <v>446</v>
      </c>
      <c r="D451" s="39" t="s">
        <v>742</v>
      </c>
      <c r="E451" s="33" t="s">
        <v>10</v>
      </c>
      <c r="F451" s="33">
        <v>33.51</v>
      </c>
      <c r="G451" s="33">
        <f t="shared" si="54"/>
        <v>33.51</v>
      </c>
      <c r="H451" s="33"/>
      <c r="I451" s="34" t="s">
        <v>13</v>
      </c>
      <c r="J451" s="99">
        <f>+'[1]Dự thầu'!$G$1001</f>
        <v>141724</v>
      </c>
      <c r="K451" s="98">
        <f t="shared" si="58"/>
        <v>4749171</v>
      </c>
      <c r="L451" s="98">
        <f t="shared" si="59"/>
        <v>4749171</v>
      </c>
      <c r="M451" s="98">
        <f t="shared" si="60"/>
        <v>0</v>
      </c>
      <c r="N451" s="100"/>
    </row>
    <row r="452" spans="1:14" ht="15.75" customHeight="1" x14ac:dyDescent="0.25">
      <c r="A452" s="52" t="str">
        <f t="shared" si="53"/>
        <v>TL</v>
      </c>
      <c r="B452" s="32" t="s">
        <v>743</v>
      </c>
      <c r="C452" s="33">
        <v>447</v>
      </c>
      <c r="D452" s="39" t="s">
        <v>744</v>
      </c>
      <c r="E452" s="33" t="s">
        <v>10</v>
      </c>
      <c r="F452" s="33">
        <v>61.88</v>
      </c>
      <c r="G452" s="33">
        <f t="shared" si="54"/>
        <v>61.88</v>
      </c>
      <c r="H452" s="33"/>
      <c r="I452" s="34" t="s">
        <v>16</v>
      </c>
      <c r="J452" s="99">
        <f>+'[1]Dự thầu'!$G$1002</f>
        <v>1719517</v>
      </c>
      <c r="K452" s="98">
        <f t="shared" si="58"/>
        <v>106403712</v>
      </c>
      <c r="L452" s="98">
        <f t="shared" si="59"/>
        <v>106403712</v>
      </c>
      <c r="M452" s="98">
        <f t="shared" si="60"/>
        <v>0</v>
      </c>
      <c r="N452" s="100"/>
    </row>
    <row r="453" spans="1:14" ht="15.75" customHeight="1" x14ac:dyDescent="0.25">
      <c r="A453" s="52" t="str">
        <f t="shared" si="53"/>
        <v>TL</v>
      </c>
      <c r="B453" s="32" t="s">
        <v>745</v>
      </c>
      <c r="C453" s="33">
        <v>448</v>
      </c>
      <c r="D453" s="39" t="s">
        <v>746</v>
      </c>
      <c r="E453" s="33" t="s">
        <v>10</v>
      </c>
      <c r="F453" s="33">
        <v>0.04</v>
      </c>
      <c r="G453" s="33">
        <f t="shared" si="54"/>
        <v>0.04</v>
      </c>
      <c r="H453" s="33"/>
      <c r="I453" s="34" t="s">
        <v>90</v>
      </c>
      <c r="J453" s="99">
        <f>+'[1]Dự thầu'!$G$1003</f>
        <v>28097053</v>
      </c>
      <c r="K453" s="98">
        <f t="shared" si="58"/>
        <v>1123882</v>
      </c>
      <c r="L453" s="98">
        <f t="shared" si="59"/>
        <v>1123882</v>
      </c>
      <c r="M453" s="98">
        <f t="shared" si="60"/>
        <v>0</v>
      </c>
      <c r="N453" s="100"/>
    </row>
    <row r="454" spans="1:14" ht="15.75" customHeight="1" x14ac:dyDescent="0.25">
      <c r="A454" s="52" t="str">
        <f t="shared" si="53"/>
        <v>TL</v>
      </c>
      <c r="B454" s="32" t="s">
        <v>747</v>
      </c>
      <c r="C454" s="33">
        <v>449</v>
      </c>
      <c r="D454" s="39" t="s">
        <v>748</v>
      </c>
      <c r="E454" s="33" t="s">
        <v>10</v>
      </c>
      <c r="F454" s="33">
        <v>7.65</v>
      </c>
      <c r="G454" s="33">
        <f t="shared" si="54"/>
        <v>7.65</v>
      </c>
      <c r="H454" s="33"/>
      <c r="I454" s="34" t="s">
        <v>90</v>
      </c>
      <c r="J454" s="99">
        <f>+'[1]Dự thầu'!$G$1004</f>
        <v>25306325</v>
      </c>
      <c r="K454" s="98">
        <f t="shared" si="58"/>
        <v>193593386</v>
      </c>
      <c r="L454" s="98">
        <f t="shared" si="59"/>
        <v>193593386</v>
      </c>
      <c r="M454" s="98">
        <f t="shared" si="60"/>
        <v>0</v>
      </c>
      <c r="N454" s="100"/>
    </row>
    <row r="455" spans="1:14" ht="15.75" customHeight="1" x14ac:dyDescent="0.25">
      <c r="A455" s="52" t="str">
        <f t="shared" ref="A455:A518" si="61">A454</f>
        <v>TL</v>
      </c>
      <c r="B455" s="32" t="s">
        <v>749</v>
      </c>
      <c r="C455" s="33">
        <v>450</v>
      </c>
      <c r="D455" s="39" t="s">
        <v>750</v>
      </c>
      <c r="E455" s="33" t="s">
        <v>10</v>
      </c>
      <c r="F455" s="33">
        <v>0.18</v>
      </c>
      <c r="G455" s="33">
        <f t="shared" ref="G455:G518" si="62">+F455</f>
        <v>0.18</v>
      </c>
      <c r="H455" s="33"/>
      <c r="I455" s="34" t="s">
        <v>90</v>
      </c>
      <c r="J455" s="99">
        <f>+'[1]Dự thầu'!$G$1005</f>
        <v>24553255</v>
      </c>
      <c r="K455" s="98">
        <f t="shared" si="58"/>
        <v>4419586</v>
      </c>
      <c r="L455" s="98">
        <f t="shared" si="59"/>
        <v>4419586</v>
      </c>
      <c r="M455" s="98">
        <f t="shared" si="60"/>
        <v>0</v>
      </c>
      <c r="N455" s="100"/>
    </row>
    <row r="456" spans="1:14" ht="15.75" customHeight="1" x14ac:dyDescent="0.25">
      <c r="A456" s="52" t="str">
        <f t="shared" si="61"/>
        <v>TL</v>
      </c>
      <c r="B456" s="32" t="s">
        <v>751</v>
      </c>
      <c r="C456" s="33">
        <v>451</v>
      </c>
      <c r="D456" s="39" t="s">
        <v>752</v>
      </c>
      <c r="E456" s="33" t="s">
        <v>10</v>
      </c>
      <c r="F456" s="33">
        <v>43.13</v>
      </c>
      <c r="G456" s="33">
        <f t="shared" si="62"/>
        <v>43.13</v>
      </c>
      <c r="H456" s="33"/>
      <c r="I456" s="34" t="s">
        <v>13</v>
      </c>
      <c r="J456" s="99">
        <f>+'[1]Dự thầu'!$G$1006</f>
        <v>65242</v>
      </c>
      <c r="K456" s="98">
        <f t="shared" si="58"/>
        <v>2813887</v>
      </c>
      <c r="L456" s="98">
        <f t="shared" si="59"/>
        <v>2813887</v>
      </c>
      <c r="M456" s="98">
        <f t="shared" si="60"/>
        <v>0</v>
      </c>
      <c r="N456" s="100"/>
    </row>
    <row r="457" spans="1:14" ht="15.75" customHeight="1" x14ac:dyDescent="0.25">
      <c r="A457" s="52" t="str">
        <f t="shared" si="61"/>
        <v>TL</v>
      </c>
      <c r="B457" s="32" t="s">
        <v>753</v>
      </c>
      <c r="C457" s="33">
        <v>452</v>
      </c>
      <c r="D457" s="39" t="s">
        <v>754</v>
      </c>
      <c r="E457" s="33" t="s">
        <v>10</v>
      </c>
      <c r="F457" s="102">
        <v>3003.24</v>
      </c>
      <c r="G457" s="102">
        <f t="shared" si="62"/>
        <v>3003.24</v>
      </c>
      <c r="H457" s="33"/>
      <c r="I457" s="34" t="s">
        <v>16</v>
      </c>
      <c r="J457" s="99">
        <f>+'[1]Dự thầu'!$G$1007</f>
        <v>20867</v>
      </c>
      <c r="K457" s="98">
        <f t="shared" si="58"/>
        <v>62668609</v>
      </c>
      <c r="L457" s="98">
        <f t="shared" si="59"/>
        <v>62668609</v>
      </c>
      <c r="M457" s="98">
        <f t="shared" si="60"/>
        <v>0</v>
      </c>
      <c r="N457" s="100"/>
    </row>
    <row r="458" spans="1:14" ht="15.75" customHeight="1" x14ac:dyDescent="0.25">
      <c r="A458" s="52" t="str">
        <f t="shared" si="61"/>
        <v>TL</v>
      </c>
      <c r="B458" s="32" t="s">
        <v>755</v>
      </c>
      <c r="C458" s="33">
        <v>453</v>
      </c>
      <c r="D458" s="39" t="s">
        <v>610</v>
      </c>
      <c r="E458" s="33" t="s">
        <v>10</v>
      </c>
      <c r="F458" s="102">
        <v>2570.15</v>
      </c>
      <c r="G458" s="102">
        <f t="shared" si="62"/>
        <v>2570.15</v>
      </c>
      <c r="H458" s="33"/>
      <c r="I458" s="34" t="s">
        <v>16</v>
      </c>
      <c r="J458" s="99">
        <f>+'[1]Dự thầu'!$G$1008</f>
        <v>12936</v>
      </c>
      <c r="K458" s="98">
        <f t="shared" si="58"/>
        <v>33247460</v>
      </c>
      <c r="L458" s="98">
        <f t="shared" si="59"/>
        <v>33247460</v>
      </c>
      <c r="M458" s="98">
        <f t="shared" si="60"/>
        <v>0</v>
      </c>
      <c r="N458" s="100"/>
    </row>
    <row r="459" spans="1:14" ht="15.75" customHeight="1" x14ac:dyDescent="0.25">
      <c r="A459" s="52" t="str">
        <f t="shared" si="61"/>
        <v>TL</v>
      </c>
      <c r="B459" s="32" t="s">
        <v>756</v>
      </c>
      <c r="C459" s="33">
        <v>454</v>
      </c>
      <c r="D459" s="39" t="s">
        <v>32</v>
      </c>
      <c r="E459" s="33" t="s">
        <v>10</v>
      </c>
      <c r="F459" s="102">
        <v>3514.17</v>
      </c>
      <c r="G459" s="102">
        <f t="shared" si="62"/>
        <v>3514.17</v>
      </c>
      <c r="H459" s="33"/>
      <c r="I459" s="34" t="s">
        <v>16</v>
      </c>
      <c r="J459" s="99">
        <f>+'[1]Dự thầu'!$G$1009</f>
        <v>50585</v>
      </c>
      <c r="K459" s="98">
        <f t="shared" ref="K459:K490" si="63">+ROUND(J459*F459,0)</f>
        <v>177764289</v>
      </c>
      <c r="L459" s="98">
        <f t="shared" ref="L459:L490" si="64">+ROUND(G459*J459,0)</f>
        <v>177764289</v>
      </c>
      <c r="M459" s="98">
        <f t="shared" ref="M459:M490" si="65">+ROUND(H459*J459,0)</f>
        <v>0</v>
      </c>
      <c r="N459" s="100"/>
    </row>
    <row r="460" spans="1:14" ht="15.75" customHeight="1" x14ac:dyDescent="0.25">
      <c r="A460" s="52" t="str">
        <f t="shared" si="61"/>
        <v>TL</v>
      </c>
      <c r="B460" s="32" t="s">
        <v>757</v>
      </c>
      <c r="C460" s="33">
        <v>455</v>
      </c>
      <c r="D460" s="39" t="s">
        <v>36</v>
      </c>
      <c r="E460" s="33" t="s">
        <v>10</v>
      </c>
      <c r="F460" s="102">
        <v>351.42</v>
      </c>
      <c r="G460" s="102">
        <f t="shared" si="62"/>
        <v>351.42</v>
      </c>
      <c r="H460" s="33"/>
      <c r="I460" s="34" t="s">
        <v>37</v>
      </c>
      <c r="J460" s="99">
        <f>+'[1]Dự thầu'!$G$1010+'[1]Dự thầu'!$G$1011+'[1]Dự thầu'!$G$1012</f>
        <v>940826</v>
      </c>
      <c r="K460" s="98">
        <f t="shared" si="63"/>
        <v>330625073</v>
      </c>
      <c r="L460" s="98">
        <f t="shared" si="64"/>
        <v>330625073</v>
      </c>
      <c r="M460" s="98">
        <f t="shared" si="65"/>
        <v>0</v>
      </c>
      <c r="N460" s="100"/>
    </row>
    <row r="461" spans="1:14" ht="15.75" customHeight="1" x14ac:dyDescent="0.25">
      <c r="A461" s="52" t="str">
        <f t="shared" si="61"/>
        <v>TL</v>
      </c>
      <c r="B461" s="32" t="s">
        <v>758</v>
      </c>
      <c r="C461" s="33">
        <v>456</v>
      </c>
      <c r="D461" s="39" t="s">
        <v>624</v>
      </c>
      <c r="E461" s="33" t="s">
        <v>10</v>
      </c>
      <c r="F461" s="33">
        <v>460.1</v>
      </c>
      <c r="G461" s="33">
        <f t="shared" si="62"/>
        <v>460.1</v>
      </c>
      <c r="H461" s="33"/>
      <c r="I461" s="34" t="s">
        <v>16</v>
      </c>
      <c r="J461" s="99">
        <f>+'[1]Dự thầu'!$G$1013</f>
        <v>267174</v>
      </c>
      <c r="K461" s="98">
        <f t="shared" si="63"/>
        <v>122926757</v>
      </c>
      <c r="L461" s="98">
        <f t="shared" si="64"/>
        <v>122926757</v>
      </c>
      <c r="M461" s="98">
        <f t="shared" si="65"/>
        <v>0</v>
      </c>
      <c r="N461" s="100"/>
    </row>
    <row r="462" spans="1:14" ht="15.75" customHeight="1" x14ac:dyDescent="0.25">
      <c r="A462" s="52" t="str">
        <f t="shared" si="61"/>
        <v>TL</v>
      </c>
      <c r="B462" s="32" t="s">
        <v>759</v>
      </c>
      <c r="C462" s="33">
        <v>457</v>
      </c>
      <c r="D462" s="39" t="s">
        <v>614</v>
      </c>
      <c r="E462" s="33" t="s">
        <v>10</v>
      </c>
      <c r="F462" s="33">
        <v>68.430000000000007</v>
      </c>
      <c r="G462" s="33">
        <f t="shared" si="62"/>
        <v>68.430000000000007</v>
      </c>
      <c r="H462" s="33"/>
      <c r="I462" s="34" t="s">
        <v>16</v>
      </c>
      <c r="J462" s="99">
        <f>+'[1]Dự thầu'!$G$1014</f>
        <v>23993</v>
      </c>
      <c r="K462" s="98">
        <f t="shared" si="63"/>
        <v>1641841</v>
      </c>
      <c r="L462" s="98">
        <f t="shared" si="64"/>
        <v>1641841</v>
      </c>
      <c r="M462" s="98">
        <f t="shared" si="65"/>
        <v>0</v>
      </c>
      <c r="N462" s="100"/>
    </row>
    <row r="463" spans="1:14" ht="15.75" customHeight="1" x14ac:dyDescent="0.25">
      <c r="A463" s="52" t="str">
        <f t="shared" si="61"/>
        <v>TL</v>
      </c>
      <c r="B463" s="32" t="s">
        <v>760</v>
      </c>
      <c r="C463" s="33">
        <v>458</v>
      </c>
      <c r="D463" s="39" t="s">
        <v>616</v>
      </c>
      <c r="E463" s="33" t="s">
        <v>10</v>
      </c>
      <c r="F463" s="33">
        <v>8.5</v>
      </c>
      <c r="G463" s="33">
        <f t="shared" si="62"/>
        <v>8.5</v>
      </c>
      <c r="H463" s="33"/>
      <c r="I463" s="34" t="s">
        <v>16</v>
      </c>
      <c r="J463" s="99">
        <f>+'[1]Dự thầu'!$G$1015</f>
        <v>11161</v>
      </c>
      <c r="K463" s="98">
        <f t="shared" si="63"/>
        <v>94869</v>
      </c>
      <c r="L463" s="98">
        <f t="shared" si="64"/>
        <v>94869</v>
      </c>
      <c r="M463" s="98">
        <f t="shared" si="65"/>
        <v>0</v>
      </c>
      <c r="N463" s="100"/>
    </row>
    <row r="464" spans="1:14" ht="15.75" customHeight="1" x14ac:dyDescent="0.25">
      <c r="A464" s="52" t="str">
        <f t="shared" si="61"/>
        <v>TL</v>
      </c>
      <c r="B464" s="32" t="s">
        <v>761</v>
      </c>
      <c r="C464" s="33">
        <v>459</v>
      </c>
      <c r="D464" s="39" t="s">
        <v>762</v>
      </c>
      <c r="E464" s="33" t="s">
        <v>10</v>
      </c>
      <c r="F464" s="33">
        <v>18.100000000000001</v>
      </c>
      <c r="G464" s="33">
        <f t="shared" si="62"/>
        <v>18.100000000000001</v>
      </c>
      <c r="H464" s="33"/>
      <c r="I464" s="34" t="s">
        <v>16</v>
      </c>
      <c r="J464" s="99">
        <f>+'[1]Dự thầu'!$G$1016</f>
        <v>1723827</v>
      </c>
      <c r="K464" s="98">
        <f t="shared" si="63"/>
        <v>31201269</v>
      </c>
      <c r="L464" s="98">
        <f t="shared" si="64"/>
        <v>31201269</v>
      </c>
      <c r="M464" s="98">
        <f t="shared" si="65"/>
        <v>0</v>
      </c>
      <c r="N464" s="100"/>
    </row>
    <row r="465" spans="1:14" ht="15.75" customHeight="1" x14ac:dyDescent="0.25">
      <c r="A465" s="52" t="str">
        <f t="shared" si="61"/>
        <v>TL</v>
      </c>
      <c r="B465" s="32" t="s">
        <v>763</v>
      </c>
      <c r="C465" s="33">
        <v>460</v>
      </c>
      <c r="D465" s="39" t="s">
        <v>618</v>
      </c>
      <c r="E465" s="33" t="s">
        <v>10</v>
      </c>
      <c r="F465" s="33">
        <v>199.99</v>
      </c>
      <c r="G465" s="33">
        <f t="shared" si="62"/>
        <v>199.99</v>
      </c>
      <c r="H465" s="33"/>
      <c r="I465" s="34" t="s">
        <v>16</v>
      </c>
      <c r="J465" s="99">
        <f>+'[1]Dự thầu'!$G$1017</f>
        <v>276665</v>
      </c>
      <c r="K465" s="98">
        <f t="shared" si="63"/>
        <v>55330233</v>
      </c>
      <c r="L465" s="98">
        <f t="shared" si="64"/>
        <v>55330233</v>
      </c>
      <c r="M465" s="98">
        <f t="shared" si="65"/>
        <v>0</v>
      </c>
      <c r="N465" s="100"/>
    </row>
    <row r="466" spans="1:14" ht="15.75" customHeight="1" x14ac:dyDescent="0.25">
      <c r="A466" s="52" t="str">
        <f t="shared" si="61"/>
        <v>TL</v>
      </c>
      <c r="B466" s="32" t="s">
        <v>764</v>
      </c>
      <c r="C466" s="33">
        <v>461</v>
      </c>
      <c r="D466" s="39" t="s">
        <v>765</v>
      </c>
      <c r="E466" s="33" t="s">
        <v>10</v>
      </c>
      <c r="F466" s="33">
        <v>26.48</v>
      </c>
      <c r="G466" s="33">
        <f t="shared" si="62"/>
        <v>26.48</v>
      </c>
      <c r="H466" s="33"/>
      <c r="I466" s="34" t="s">
        <v>16</v>
      </c>
      <c r="J466" s="99">
        <f>+'[1]Dự thầu'!$G$1018</f>
        <v>527970</v>
      </c>
      <c r="K466" s="98">
        <f t="shared" si="63"/>
        <v>13980646</v>
      </c>
      <c r="L466" s="98">
        <f t="shared" si="64"/>
        <v>13980646</v>
      </c>
      <c r="M466" s="98">
        <f t="shared" si="65"/>
        <v>0</v>
      </c>
      <c r="N466" s="100"/>
    </row>
    <row r="467" spans="1:14" ht="15.75" customHeight="1" x14ac:dyDescent="0.25">
      <c r="A467" s="52" t="str">
        <f t="shared" si="61"/>
        <v>TL</v>
      </c>
      <c r="B467" s="32" t="s">
        <v>766</v>
      </c>
      <c r="C467" s="33">
        <v>462</v>
      </c>
      <c r="D467" s="39" t="s">
        <v>620</v>
      </c>
      <c r="E467" s="33" t="s">
        <v>10</v>
      </c>
      <c r="F467" s="102">
        <v>50022.75</v>
      </c>
      <c r="G467" s="102">
        <f t="shared" si="62"/>
        <v>50022.75</v>
      </c>
      <c r="H467" s="33"/>
      <c r="I467" s="34" t="s">
        <v>75</v>
      </c>
      <c r="J467" s="99">
        <f>+'[1]Dự thầu'!$G$1019</f>
        <v>11223</v>
      </c>
      <c r="K467" s="98">
        <f t="shared" si="63"/>
        <v>561405323</v>
      </c>
      <c r="L467" s="98">
        <f t="shared" si="64"/>
        <v>561405323</v>
      </c>
      <c r="M467" s="98">
        <f t="shared" si="65"/>
        <v>0</v>
      </c>
      <c r="N467" s="100"/>
    </row>
    <row r="468" spans="1:14" ht="15.75" customHeight="1" x14ac:dyDescent="0.25">
      <c r="A468" s="52" t="str">
        <f t="shared" si="61"/>
        <v>TL</v>
      </c>
      <c r="B468" s="32" t="s">
        <v>767</v>
      </c>
      <c r="C468" s="33">
        <v>463</v>
      </c>
      <c r="D468" s="39" t="s">
        <v>622</v>
      </c>
      <c r="E468" s="33" t="s">
        <v>10</v>
      </c>
      <c r="F468" s="102">
        <v>1361.95</v>
      </c>
      <c r="G468" s="102">
        <f t="shared" si="62"/>
        <v>1361.95</v>
      </c>
      <c r="H468" s="33"/>
      <c r="I468" s="34" t="s">
        <v>13</v>
      </c>
      <c r="J468" s="99">
        <f>+'[1]Dự thầu'!$G$1020</f>
        <v>19714</v>
      </c>
      <c r="K468" s="98">
        <f t="shared" si="63"/>
        <v>26849482</v>
      </c>
      <c r="L468" s="98">
        <f t="shared" si="64"/>
        <v>26849482</v>
      </c>
      <c r="M468" s="98">
        <f t="shared" si="65"/>
        <v>0</v>
      </c>
      <c r="N468" s="100"/>
    </row>
    <row r="469" spans="1:14" ht="15.75" customHeight="1" x14ac:dyDescent="0.25">
      <c r="A469" s="52" t="str">
        <f t="shared" si="61"/>
        <v>TL</v>
      </c>
      <c r="B469" s="32" t="s">
        <v>768</v>
      </c>
      <c r="C469" s="33">
        <v>464</v>
      </c>
      <c r="D469" s="39" t="s">
        <v>626</v>
      </c>
      <c r="E469" s="33" t="s">
        <v>10</v>
      </c>
      <c r="F469" s="102">
        <v>3063.17</v>
      </c>
      <c r="G469" s="102">
        <f t="shared" si="62"/>
        <v>3063.17</v>
      </c>
      <c r="H469" s="33"/>
      <c r="I469" s="34" t="s">
        <v>16</v>
      </c>
      <c r="J469" s="99">
        <f>+'[1]Dự thầu'!$G$1021</f>
        <v>45382</v>
      </c>
      <c r="K469" s="98">
        <f t="shared" si="63"/>
        <v>139012781</v>
      </c>
      <c r="L469" s="98">
        <f t="shared" si="64"/>
        <v>139012781</v>
      </c>
      <c r="M469" s="98">
        <f t="shared" si="65"/>
        <v>0</v>
      </c>
      <c r="N469" s="100"/>
    </row>
    <row r="470" spans="1:14" ht="15.75" customHeight="1" x14ac:dyDescent="0.25">
      <c r="A470" s="52" t="str">
        <f t="shared" si="61"/>
        <v>TL</v>
      </c>
      <c r="B470" s="32" t="s">
        <v>769</v>
      </c>
      <c r="C470" s="33">
        <v>465</v>
      </c>
      <c r="D470" s="39" t="s">
        <v>770</v>
      </c>
      <c r="E470" s="33" t="s">
        <v>10</v>
      </c>
      <c r="F470" s="33">
        <v>6.5693999999999999</v>
      </c>
      <c r="G470" s="33">
        <f t="shared" si="62"/>
        <v>6.5693999999999999</v>
      </c>
      <c r="H470" s="33"/>
      <c r="I470" s="34" t="s">
        <v>90</v>
      </c>
      <c r="J470" s="99">
        <f>+'[1]Dự thầu'!$G$1025</f>
        <v>10406267</v>
      </c>
      <c r="K470" s="98">
        <f t="shared" si="63"/>
        <v>68362930</v>
      </c>
      <c r="L470" s="98">
        <f t="shared" si="64"/>
        <v>68362930</v>
      </c>
      <c r="M470" s="98">
        <f t="shared" si="65"/>
        <v>0</v>
      </c>
      <c r="N470" s="100"/>
    </row>
    <row r="471" spans="1:14" ht="15.75" customHeight="1" x14ac:dyDescent="0.25">
      <c r="A471" s="52" t="str">
        <f t="shared" si="61"/>
        <v>TL</v>
      </c>
      <c r="B471" s="32" t="s">
        <v>771</v>
      </c>
      <c r="C471" s="33">
        <v>466</v>
      </c>
      <c r="D471" s="39" t="s">
        <v>772</v>
      </c>
      <c r="E471" s="33" t="s">
        <v>10</v>
      </c>
      <c r="F471" s="33">
        <v>6.5693999999999999</v>
      </c>
      <c r="G471" s="33">
        <f t="shared" si="62"/>
        <v>6.5693999999999999</v>
      </c>
      <c r="H471" s="33"/>
      <c r="I471" s="34" t="s">
        <v>90</v>
      </c>
      <c r="J471" s="99">
        <f>+'[1]Dự thầu'!$G$1026</f>
        <v>2675075</v>
      </c>
      <c r="K471" s="98">
        <f t="shared" si="63"/>
        <v>17573638</v>
      </c>
      <c r="L471" s="98">
        <f t="shared" si="64"/>
        <v>17573638</v>
      </c>
      <c r="M471" s="98">
        <f t="shared" si="65"/>
        <v>0</v>
      </c>
      <c r="N471" s="100"/>
    </row>
    <row r="472" spans="1:14" ht="15.75" customHeight="1" x14ac:dyDescent="0.25">
      <c r="A472" s="52" t="str">
        <f t="shared" si="61"/>
        <v>TL</v>
      </c>
      <c r="B472" s="32" t="s">
        <v>773</v>
      </c>
      <c r="C472" s="33">
        <v>467</v>
      </c>
      <c r="D472" s="39" t="s">
        <v>628</v>
      </c>
      <c r="E472" s="33" t="s">
        <v>10</v>
      </c>
      <c r="F472" s="33">
        <v>380.2</v>
      </c>
      <c r="G472" s="33">
        <f t="shared" si="62"/>
        <v>380.2</v>
      </c>
      <c r="H472" s="33"/>
      <c r="I472" s="34" t="s">
        <v>16</v>
      </c>
      <c r="J472" s="99">
        <f>+'[1]Dự thầu'!$G$1027</f>
        <v>23993</v>
      </c>
      <c r="K472" s="98">
        <f t="shared" si="63"/>
        <v>9122139</v>
      </c>
      <c r="L472" s="98">
        <f t="shared" si="64"/>
        <v>9122139</v>
      </c>
      <c r="M472" s="98">
        <f t="shared" si="65"/>
        <v>0</v>
      </c>
      <c r="N472" s="100"/>
    </row>
    <row r="473" spans="1:14" ht="31.5" customHeight="1" x14ac:dyDescent="0.25">
      <c r="A473" s="52" t="str">
        <f t="shared" si="61"/>
        <v>TL</v>
      </c>
      <c r="B473" s="32" t="s">
        <v>774</v>
      </c>
      <c r="C473" s="33">
        <v>468</v>
      </c>
      <c r="D473" s="39" t="s">
        <v>630</v>
      </c>
      <c r="E473" s="33" t="s">
        <v>10</v>
      </c>
      <c r="F473" s="33">
        <v>81</v>
      </c>
      <c r="G473" s="33">
        <f t="shared" si="62"/>
        <v>81</v>
      </c>
      <c r="H473" s="33"/>
      <c r="I473" s="34" t="s">
        <v>16</v>
      </c>
      <c r="J473" s="99">
        <f>+'[1]Dự thầu'!$G$1028</f>
        <v>7229</v>
      </c>
      <c r="K473" s="98">
        <f t="shared" si="63"/>
        <v>585549</v>
      </c>
      <c r="L473" s="98">
        <f t="shared" si="64"/>
        <v>585549</v>
      </c>
      <c r="M473" s="98">
        <f t="shared" si="65"/>
        <v>0</v>
      </c>
      <c r="N473" s="100"/>
    </row>
    <row r="474" spans="1:14" ht="15.75" customHeight="1" x14ac:dyDescent="0.25">
      <c r="A474" s="52" t="str">
        <f t="shared" si="61"/>
        <v>TL</v>
      </c>
      <c r="B474" s="32" t="s">
        <v>775</v>
      </c>
      <c r="C474" s="33">
        <v>469</v>
      </c>
      <c r="D474" s="39" t="s">
        <v>632</v>
      </c>
      <c r="E474" s="33" t="s">
        <v>10</v>
      </c>
      <c r="F474" s="33">
        <v>380.2</v>
      </c>
      <c r="G474" s="33">
        <f t="shared" si="62"/>
        <v>380.2</v>
      </c>
      <c r="H474" s="33"/>
      <c r="I474" s="34" t="s">
        <v>16</v>
      </c>
      <c r="J474" s="99">
        <f>+'[1]Dự thầu'!$G$1029</f>
        <v>19746</v>
      </c>
      <c r="K474" s="98">
        <f t="shared" si="63"/>
        <v>7507429</v>
      </c>
      <c r="L474" s="98">
        <f t="shared" si="64"/>
        <v>7507429</v>
      </c>
      <c r="M474" s="98">
        <f t="shared" si="65"/>
        <v>0</v>
      </c>
      <c r="N474" s="100"/>
    </row>
    <row r="475" spans="1:14" ht="15.75" customHeight="1" x14ac:dyDescent="0.25">
      <c r="A475" s="52" t="str">
        <f t="shared" si="61"/>
        <v>TL</v>
      </c>
      <c r="B475" s="32" t="s">
        <v>776</v>
      </c>
      <c r="C475" s="33">
        <v>470</v>
      </c>
      <c r="D475" s="39" t="s">
        <v>626</v>
      </c>
      <c r="E475" s="33" t="s">
        <v>10</v>
      </c>
      <c r="F475" s="33">
        <v>380.2</v>
      </c>
      <c r="G475" s="33">
        <f t="shared" si="62"/>
        <v>380.2</v>
      </c>
      <c r="H475" s="33"/>
      <c r="I475" s="34" t="s">
        <v>16</v>
      </c>
      <c r="J475" s="99">
        <f>+'[1]Dự thầu'!$G$1030</f>
        <v>45382</v>
      </c>
      <c r="K475" s="98">
        <f t="shared" si="63"/>
        <v>17254236</v>
      </c>
      <c r="L475" s="98">
        <f t="shared" si="64"/>
        <v>17254236</v>
      </c>
      <c r="M475" s="98">
        <f t="shared" si="65"/>
        <v>0</v>
      </c>
      <c r="N475" s="100"/>
    </row>
    <row r="476" spans="1:14" ht="15.75" customHeight="1" x14ac:dyDescent="0.25">
      <c r="A476" s="52" t="str">
        <f t="shared" si="61"/>
        <v>TL</v>
      </c>
      <c r="B476" s="32" t="s">
        <v>777</v>
      </c>
      <c r="C476" s="33">
        <v>471</v>
      </c>
      <c r="D476" s="39" t="s">
        <v>692</v>
      </c>
      <c r="E476" s="33" t="s">
        <v>10</v>
      </c>
      <c r="F476" s="33">
        <v>168.07</v>
      </c>
      <c r="G476" s="33">
        <f t="shared" si="62"/>
        <v>168.07</v>
      </c>
      <c r="H476" s="33"/>
      <c r="I476" s="34" t="s">
        <v>16</v>
      </c>
      <c r="J476" s="99">
        <f>+'[1]Dự thầu'!$G$1100</f>
        <v>2095204</v>
      </c>
      <c r="K476" s="98">
        <f t="shared" si="63"/>
        <v>352140936</v>
      </c>
      <c r="L476" s="98">
        <f t="shared" si="64"/>
        <v>352140936</v>
      </c>
      <c r="M476" s="98">
        <f t="shared" si="65"/>
        <v>0</v>
      </c>
      <c r="N476" s="100"/>
    </row>
    <row r="477" spans="1:14" ht="15.75" customHeight="1" x14ac:dyDescent="0.25">
      <c r="A477" s="52" t="str">
        <f t="shared" si="61"/>
        <v>TL</v>
      </c>
      <c r="B477" s="32" t="s">
        <v>778</v>
      </c>
      <c r="C477" s="33">
        <v>472</v>
      </c>
      <c r="D477" s="39" t="s">
        <v>560</v>
      </c>
      <c r="E477" s="33" t="s">
        <v>10</v>
      </c>
      <c r="F477" s="33">
        <v>172.27</v>
      </c>
      <c r="G477" s="33">
        <f t="shared" si="62"/>
        <v>172.27</v>
      </c>
      <c r="H477" s="33"/>
      <c r="I477" s="34" t="s">
        <v>16</v>
      </c>
      <c r="J477" s="99">
        <f>+'[1]Dự thầu'!$G$1101</f>
        <v>57102</v>
      </c>
      <c r="K477" s="98">
        <f t="shared" si="63"/>
        <v>9836962</v>
      </c>
      <c r="L477" s="98">
        <f t="shared" si="64"/>
        <v>9836962</v>
      </c>
      <c r="M477" s="98">
        <f t="shared" si="65"/>
        <v>0</v>
      </c>
      <c r="N477" s="100"/>
    </row>
    <row r="478" spans="1:14" ht="15.75" customHeight="1" x14ac:dyDescent="0.25">
      <c r="A478" s="52" t="str">
        <f t="shared" si="61"/>
        <v>TL</v>
      </c>
      <c r="B478" s="32" t="s">
        <v>779</v>
      </c>
      <c r="C478" s="33">
        <v>473</v>
      </c>
      <c r="D478" s="39" t="s">
        <v>562</v>
      </c>
      <c r="E478" s="33" t="s">
        <v>10</v>
      </c>
      <c r="F478" s="33">
        <v>172.27</v>
      </c>
      <c r="G478" s="33">
        <f t="shared" si="62"/>
        <v>172.27</v>
      </c>
      <c r="H478" s="33"/>
      <c r="I478" s="34" t="s">
        <v>16</v>
      </c>
      <c r="J478" s="99">
        <f>+'[1]Dự thầu'!$G$1102+'[1]Dự thầu'!$G$1103</f>
        <v>232044</v>
      </c>
      <c r="K478" s="98">
        <f t="shared" si="63"/>
        <v>39974220</v>
      </c>
      <c r="L478" s="98">
        <f t="shared" si="64"/>
        <v>39974220</v>
      </c>
      <c r="M478" s="98">
        <f t="shared" si="65"/>
        <v>0</v>
      </c>
      <c r="N478" s="100"/>
    </row>
    <row r="479" spans="1:14" ht="15.75" customHeight="1" x14ac:dyDescent="0.25">
      <c r="A479" s="52" t="str">
        <f t="shared" si="61"/>
        <v>TL</v>
      </c>
      <c r="B479" s="32" t="s">
        <v>780</v>
      </c>
      <c r="C479" s="33">
        <v>474</v>
      </c>
      <c r="D479" s="39" t="s">
        <v>696</v>
      </c>
      <c r="E479" s="33" t="s">
        <v>10</v>
      </c>
      <c r="F479" s="33">
        <v>0.9</v>
      </c>
      <c r="G479" s="33">
        <f t="shared" si="62"/>
        <v>0.9</v>
      </c>
      <c r="H479" s="33"/>
      <c r="I479" s="34" t="s">
        <v>90</v>
      </c>
      <c r="J479" s="99">
        <f>+'[1]Dự thầu'!$G$1104</f>
        <v>25844139</v>
      </c>
      <c r="K479" s="98">
        <f t="shared" si="63"/>
        <v>23259725</v>
      </c>
      <c r="L479" s="98">
        <f t="shared" si="64"/>
        <v>23259725</v>
      </c>
      <c r="M479" s="98">
        <f t="shared" si="65"/>
        <v>0</v>
      </c>
      <c r="N479" s="100"/>
    </row>
    <row r="480" spans="1:14" ht="15.75" customHeight="1" x14ac:dyDescent="0.25">
      <c r="A480" s="52" t="str">
        <f t="shared" si="61"/>
        <v>TL</v>
      </c>
      <c r="B480" s="32" t="s">
        <v>781</v>
      </c>
      <c r="C480" s="33">
        <v>475</v>
      </c>
      <c r="D480" s="39" t="s">
        <v>698</v>
      </c>
      <c r="E480" s="33" t="s">
        <v>10</v>
      </c>
      <c r="F480" s="33">
        <v>25.79</v>
      </c>
      <c r="G480" s="33">
        <f t="shared" si="62"/>
        <v>25.79</v>
      </c>
      <c r="H480" s="33"/>
      <c r="I480" s="34" t="s">
        <v>90</v>
      </c>
      <c r="J480" s="99">
        <f>+'[1]Dự thầu'!$G$1105</f>
        <v>25587312</v>
      </c>
      <c r="K480" s="98">
        <f t="shared" si="63"/>
        <v>659896776</v>
      </c>
      <c r="L480" s="98">
        <f t="shared" si="64"/>
        <v>659896776</v>
      </c>
      <c r="M480" s="98">
        <f t="shared" si="65"/>
        <v>0</v>
      </c>
      <c r="N480" s="100"/>
    </row>
    <row r="481" spans="1:14" ht="15.75" customHeight="1" x14ac:dyDescent="0.25">
      <c r="A481" s="52" t="str">
        <f t="shared" si="61"/>
        <v>TL</v>
      </c>
      <c r="B481" s="32" t="s">
        <v>782</v>
      </c>
      <c r="C481" s="33">
        <v>476</v>
      </c>
      <c r="D481" s="39" t="s">
        <v>700</v>
      </c>
      <c r="E481" s="33" t="s">
        <v>10</v>
      </c>
      <c r="F481" s="33">
        <v>47.91</v>
      </c>
      <c r="G481" s="33">
        <f t="shared" si="62"/>
        <v>47.91</v>
      </c>
      <c r="H481" s="33"/>
      <c r="I481" s="34" t="s">
        <v>16</v>
      </c>
      <c r="J481" s="99">
        <f>+'[1]Dự thầu'!$G$1106</f>
        <v>1141385</v>
      </c>
      <c r="K481" s="98">
        <f t="shared" si="63"/>
        <v>54683755</v>
      </c>
      <c r="L481" s="98">
        <f t="shared" si="64"/>
        <v>54683755</v>
      </c>
      <c r="M481" s="98">
        <f t="shared" si="65"/>
        <v>0</v>
      </c>
      <c r="N481" s="100"/>
    </row>
    <row r="482" spans="1:14" ht="15.75" customHeight="1" x14ac:dyDescent="0.25">
      <c r="A482" s="52" t="str">
        <f t="shared" si="61"/>
        <v>TL</v>
      </c>
      <c r="B482" s="32" t="s">
        <v>783</v>
      </c>
      <c r="C482" s="33">
        <v>477</v>
      </c>
      <c r="D482" s="39" t="s">
        <v>702</v>
      </c>
      <c r="E482" s="33" t="s">
        <v>10</v>
      </c>
      <c r="F482" s="106">
        <v>1666.61</v>
      </c>
      <c r="G482" s="106">
        <f t="shared" si="62"/>
        <v>1666.61</v>
      </c>
      <c r="H482" s="33"/>
      <c r="I482" s="34" t="s">
        <v>13</v>
      </c>
      <c r="J482" s="99">
        <f>+'[1]Dự thầu'!$G$1107</f>
        <v>141724</v>
      </c>
      <c r="K482" s="98">
        <f t="shared" si="63"/>
        <v>236198636</v>
      </c>
      <c r="L482" s="98">
        <f t="shared" si="64"/>
        <v>236198636</v>
      </c>
      <c r="M482" s="98">
        <f t="shared" si="65"/>
        <v>0</v>
      </c>
      <c r="N482" s="100"/>
    </row>
    <row r="483" spans="1:14" ht="15.75" customHeight="1" x14ac:dyDescent="0.25">
      <c r="A483" s="52" t="str">
        <f t="shared" si="61"/>
        <v>TL</v>
      </c>
      <c r="B483" s="32" t="s">
        <v>784</v>
      </c>
      <c r="C483" s="33">
        <v>478</v>
      </c>
      <c r="D483" s="39" t="s">
        <v>704</v>
      </c>
      <c r="E483" s="33" t="s">
        <v>10</v>
      </c>
      <c r="F483" s="106">
        <v>1480.84</v>
      </c>
      <c r="G483" s="106">
        <f t="shared" si="62"/>
        <v>1480.84</v>
      </c>
      <c r="H483" s="33"/>
      <c r="I483" s="34" t="s">
        <v>13</v>
      </c>
      <c r="J483" s="99">
        <f>+'[1]Dự thầu'!$G$1108</f>
        <v>76805</v>
      </c>
      <c r="K483" s="98">
        <f t="shared" si="63"/>
        <v>113735916</v>
      </c>
      <c r="L483" s="98">
        <f t="shared" si="64"/>
        <v>113735916</v>
      </c>
      <c r="M483" s="98">
        <f t="shared" si="65"/>
        <v>0</v>
      </c>
      <c r="N483" s="100"/>
    </row>
    <row r="484" spans="1:14" ht="15.75" customHeight="1" x14ac:dyDescent="0.25">
      <c r="A484" s="52" t="str">
        <f t="shared" si="61"/>
        <v>TL</v>
      </c>
      <c r="B484" s="32" t="s">
        <v>785</v>
      </c>
      <c r="C484" s="33">
        <v>479</v>
      </c>
      <c r="D484" s="39" t="s">
        <v>587</v>
      </c>
      <c r="E484" s="33" t="s">
        <v>10</v>
      </c>
      <c r="F484" s="106">
        <v>47.91</v>
      </c>
      <c r="G484" s="106">
        <f t="shared" si="62"/>
        <v>47.91</v>
      </c>
      <c r="H484" s="33"/>
      <c r="I484" s="34" t="s">
        <v>16</v>
      </c>
      <c r="J484" s="99">
        <f>+'[1]Dự thầu'!$G$1109</f>
        <v>842139</v>
      </c>
      <c r="K484" s="98">
        <f t="shared" si="63"/>
        <v>40346879</v>
      </c>
      <c r="L484" s="98">
        <f t="shared" si="64"/>
        <v>40346879</v>
      </c>
      <c r="M484" s="98">
        <f t="shared" si="65"/>
        <v>0</v>
      </c>
      <c r="N484" s="100"/>
    </row>
    <row r="485" spans="1:14" ht="15.75" customHeight="1" x14ac:dyDescent="0.25">
      <c r="A485" s="52" t="str">
        <f t="shared" si="61"/>
        <v>TL</v>
      </c>
      <c r="B485" s="32" t="s">
        <v>786</v>
      </c>
      <c r="C485" s="33">
        <v>480</v>
      </c>
      <c r="D485" s="39" t="s">
        <v>707</v>
      </c>
      <c r="E485" s="33" t="s">
        <v>10</v>
      </c>
      <c r="F485" s="33">
        <v>7.0000000000000007E-2</v>
      </c>
      <c r="G485" s="33">
        <f t="shared" si="62"/>
        <v>7.0000000000000007E-2</v>
      </c>
      <c r="H485" s="33"/>
      <c r="I485" s="34" t="s">
        <v>90</v>
      </c>
      <c r="J485" s="99">
        <f>+'[1]Dự thầu'!$G$1110</f>
        <v>25844139</v>
      </c>
      <c r="K485" s="98">
        <f t="shared" si="63"/>
        <v>1809090</v>
      </c>
      <c r="L485" s="98">
        <f t="shared" si="64"/>
        <v>1809090</v>
      </c>
      <c r="M485" s="98">
        <f t="shared" si="65"/>
        <v>0</v>
      </c>
      <c r="N485" s="100"/>
    </row>
    <row r="486" spans="1:14" ht="15.75" customHeight="1" x14ac:dyDescent="0.25">
      <c r="A486" s="52" t="str">
        <f t="shared" si="61"/>
        <v>TL</v>
      </c>
      <c r="B486" s="32" t="s">
        <v>787</v>
      </c>
      <c r="C486" s="33">
        <v>481</v>
      </c>
      <c r="D486" s="39" t="s">
        <v>709</v>
      </c>
      <c r="E486" s="33" t="s">
        <v>10</v>
      </c>
      <c r="F486" s="33">
        <v>0.97</v>
      </c>
      <c r="G486" s="33">
        <f t="shared" si="62"/>
        <v>0.97</v>
      </c>
      <c r="H486" s="33"/>
      <c r="I486" s="34" t="s">
        <v>90</v>
      </c>
      <c r="J486" s="99">
        <f>+'[1]Dự thầu'!$G$1111</f>
        <v>24892659</v>
      </c>
      <c r="K486" s="98">
        <f t="shared" si="63"/>
        <v>24145879</v>
      </c>
      <c r="L486" s="98">
        <f t="shared" si="64"/>
        <v>24145879</v>
      </c>
      <c r="M486" s="98">
        <f t="shared" si="65"/>
        <v>0</v>
      </c>
      <c r="N486" s="100"/>
    </row>
    <row r="487" spans="1:14" ht="15.75" customHeight="1" x14ac:dyDescent="0.25">
      <c r="A487" s="52" t="str">
        <f t="shared" si="61"/>
        <v>TL</v>
      </c>
      <c r="B487" s="32" t="s">
        <v>788</v>
      </c>
      <c r="C487" s="33">
        <v>482</v>
      </c>
      <c r="D487" s="39" t="s">
        <v>711</v>
      </c>
      <c r="E487" s="33" t="s">
        <v>10</v>
      </c>
      <c r="F487" s="33">
        <v>131.04</v>
      </c>
      <c r="G487" s="33">
        <f t="shared" si="62"/>
        <v>131.04</v>
      </c>
      <c r="H487" s="33"/>
      <c r="I487" s="34" t="s">
        <v>75</v>
      </c>
      <c r="J487" s="99">
        <f>+'[1]Dự thầu'!$G$1112</f>
        <v>23353</v>
      </c>
      <c r="K487" s="98">
        <f t="shared" si="63"/>
        <v>3060177</v>
      </c>
      <c r="L487" s="98">
        <f t="shared" si="64"/>
        <v>3060177</v>
      </c>
      <c r="M487" s="98">
        <f t="shared" si="65"/>
        <v>0</v>
      </c>
      <c r="N487" s="100"/>
    </row>
    <row r="488" spans="1:14" ht="15.75" customHeight="1" x14ac:dyDescent="0.25">
      <c r="A488" s="52" t="str">
        <f t="shared" si="61"/>
        <v>TL</v>
      </c>
      <c r="B488" s="32" t="s">
        <v>789</v>
      </c>
      <c r="C488" s="33">
        <v>483</v>
      </c>
      <c r="D488" s="39" t="s">
        <v>713</v>
      </c>
      <c r="E488" s="33" t="s">
        <v>10</v>
      </c>
      <c r="F488" s="33">
        <v>1.01</v>
      </c>
      <c r="G488" s="33">
        <f t="shared" si="62"/>
        <v>1.01</v>
      </c>
      <c r="H488" s="33"/>
      <c r="I488" s="34" t="s">
        <v>13</v>
      </c>
      <c r="J488" s="99">
        <f>+'[1]Dự thầu'!$G$1113</f>
        <v>370346</v>
      </c>
      <c r="K488" s="98">
        <f t="shared" si="63"/>
        <v>374049</v>
      </c>
      <c r="L488" s="98">
        <f t="shared" si="64"/>
        <v>374049</v>
      </c>
      <c r="M488" s="98">
        <f t="shared" si="65"/>
        <v>0</v>
      </c>
      <c r="N488" s="100"/>
    </row>
    <row r="489" spans="1:14" ht="15.75" customHeight="1" x14ac:dyDescent="0.25">
      <c r="A489" s="52" t="str">
        <f t="shared" si="61"/>
        <v>TL</v>
      </c>
      <c r="B489" s="32" t="s">
        <v>790</v>
      </c>
      <c r="C489" s="33">
        <v>484</v>
      </c>
      <c r="D489" s="39" t="s">
        <v>715</v>
      </c>
      <c r="E489" s="33" t="s">
        <v>10</v>
      </c>
      <c r="F489" s="33">
        <v>112</v>
      </c>
      <c r="G489" s="33">
        <f t="shared" si="62"/>
        <v>112</v>
      </c>
      <c r="H489" s="33"/>
      <c r="I489" s="34" t="s">
        <v>75</v>
      </c>
      <c r="J489" s="99">
        <f>+'[1]Dự thầu'!$G$1114</f>
        <v>126388</v>
      </c>
      <c r="K489" s="98">
        <f t="shared" si="63"/>
        <v>14155456</v>
      </c>
      <c r="L489" s="98">
        <f t="shared" si="64"/>
        <v>14155456</v>
      </c>
      <c r="M489" s="98">
        <f t="shared" si="65"/>
        <v>0</v>
      </c>
      <c r="N489" s="100"/>
    </row>
    <row r="490" spans="1:14" ht="15.75" customHeight="1" x14ac:dyDescent="0.25">
      <c r="A490" s="52" t="str">
        <f t="shared" si="61"/>
        <v>TL</v>
      </c>
      <c r="B490" s="32" t="s">
        <v>791</v>
      </c>
      <c r="C490" s="33">
        <v>485</v>
      </c>
      <c r="D490" s="39" t="s">
        <v>717</v>
      </c>
      <c r="E490" s="33" t="s">
        <v>10</v>
      </c>
      <c r="F490" s="33">
        <v>105.07</v>
      </c>
      <c r="G490" s="33">
        <f t="shared" si="62"/>
        <v>105.07</v>
      </c>
      <c r="H490" s="33"/>
      <c r="I490" s="34" t="s">
        <v>16</v>
      </c>
      <c r="J490" s="99">
        <f>+'[1]Dự thầu'!$G$1115</f>
        <v>1718850</v>
      </c>
      <c r="K490" s="98">
        <f t="shared" si="63"/>
        <v>180599570</v>
      </c>
      <c r="L490" s="98">
        <f t="shared" si="64"/>
        <v>180599570</v>
      </c>
      <c r="M490" s="98">
        <f t="shared" si="65"/>
        <v>0</v>
      </c>
      <c r="N490" s="100"/>
    </row>
    <row r="491" spans="1:14" ht="15.75" customHeight="1" x14ac:dyDescent="0.25">
      <c r="A491" s="52" t="str">
        <f t="shared" si="61"/>
        <v>TL</v>
      </c>
      <c r="B491" s="32" t="s">
        <v>792</v>
      </c>
      <c r="C491" s="33">
        <v>486</v>
      </c>
      <c r="D491" s="39" t="s">
        <v>560</v>
      </c>
      <c r="E491" s="33" t="s">
        <v>10</v>
      </c>
      <c r="F491" s="33">
        <v>106.65</v>
      </c>
      <c r="G491" s="33">
        <f t="shared" si="62"/>
        <v>106.65</v>
      </c>
      <c r="H491" s="33"/>
      <c r="I491" s="34" t="s">
        <v>16</v>
      </c>
      <c r="J491" s="99">
        <f>+'[1]Dự thầu'!$G$1116</f>
        <v>57102</v>
      </c>
      <c r="K491" s="98">
        <f t="shared" ref="K491:K517" si="66">+ROUND(J491*F491,0)</f>
        <v>6089928</v>
      </c>
      <c r="L491" s="98">
        <f t="shared" ref="L491:L517" si="67">+ROUND(G491*J491,0)</f>
        <v>6089928</v>
      </c>
      <c r="M491" s="98">
        <f t="shared" ref="M491:M517" si="68">+ROUND(H491*J491,0)</f>
        <v>0</v>
      </c>
      <c r="N491" s="100"/>
    </row>
    <row r="492" spans="1:14" ht="15.75" customHeight="1" x14ac:dyDescent="0.25">
      <c r="A492" s="52" t="str">
        <f t="shared" si="61"/>
        <v>TL</v>
      </c>
      <c r="B492" s="32" t="s">
        <v>793</v>
      </c>
      <c r="C492" s="33">
        <v>487</v>
      </c>
      <c r="D492" s="39" t="s">
        <v>562</v>
      </c>
      <c r="E492" s="33" t="s">
        <v>10</v>
      </c>
      <c r="F492" s="33">
        <v>106.65</v>
      </c>
      <c r="G492" s="33">
        <f t="shared" si="62"/>
        <v>106.65</v>
      </c>
      <c r="H492" s="33"/>
      <c r="I492" s="34" t="s">
        <v>16</v>
      </c>
      <c r="J492" s="99">
        <f>+'[1]Dự thầu'!$G$1117+'[1]Dự thầu'!$G$1118</f>
        <v>232044</v>
      </c>
      <c r="K492" s="98">
        <f t="shared" si="66"/>
        <v>24747493</v>
      </c>
      <c r="L492" s="98">
        <f t="shared" si="67"/>
        <v>24747493</v>
      </c>
      <c r="M492" s="98">
        <f t="shared" si="68"/>
        <v>0</v>
      </c>
      <c r="N492" s="100"/>
    </row>
    <row r="493" spans="1:14" ht="15.75" customHeight="1" x14ac:dyDescent="0.25">
      <c r="A493" s="52" t="str">
        <f t="shared" si="61"/>
        <v>TL</v>
      </c>
      <c r="B493" s="32" t="s">
        <v>794</v>
      </c>
      <c r="C493" s="33">
        <v>488</v>
      </c>
      <c r="D493" s="39" t="s">
        <v>721</v>
      </c>
      <c r="E493" s="33" t="s">
        <v>10</v>
      </c>
      <c r="F493" s="33">
        <v>0.36</v>
      </c>
      <c r="G493" s="33">
        <f t="shared" si="62"/>
        <v>0.36</v>
      </c>
      <c r="H493" s="33"/>
      <c r="I493" s="34" t="s">
        <v>90</v>
      </c>
      <c r="J493" s="99">
        <f>+'[1]Dự thầu'!$G$1119</f>
        <v>25177456</v>
      </c>
      <c r="K493" s="98">
        <f t="shared" si="66"/>
        <v>9063884</v>
      </c>
      <c r="L493" s="98">
        <f t="shared" si="67"/>
        <v>9063884</v>
      </c>
      <c r="M493" s="98">
        <f t="shared" si="68"/>
        <v>0</v>
      </c>
      <c r="N493" s="100"/>
    </row>
    <row r="494" spans="1:14" ht="15.75" customHeight="1" x14ac:dyDescent="0.25">
      <c r="A494" s="52" t="str">
        <f t="shared" si="61"/>
        <v>TL</v>
      </c>
      <c r="B494" s="32" t="s">
        <v>795</v>
      </c>
      <c r="C494" s="33">
        <v>489</v>
      </c>
      <c r="D494" s="39" t="s">
        <v>723</v>
      </c>
      <c r="E494" s="33" t="s">
        <v>10</v>
      </c>
      <c r="F494" s="33">
        <v>16.29</v>
      </c>
      <c r="G494" s="33">
        <f t="shared" si="62"/>
        <v>16.29</v>
      </c>
      <c r="H494" s="33"/>
      <c r="I494" s="34" t="s">
        <v>90</v>
      </c>
      <c r="J494" s="99">
        <f>+'[1]Dự thầu'!$G$1120</f>
        <v>24796382</v>
      </c>
      <c r="K494" s="98">
        <f t="shared" si="66"/>
        <v>403933063</v>
      </c>
      <c r="L494" s="98">
        <f t="shared" si="67"/>
        <v>403933063</v>
      </c>
      <c r="M494" s="98">
        <f t="shared" si="68"/>
        <v>0</v>
      </c>
      <c r="N494" s="100"/>
    </row>
    <row r="495" spans="1:14" ht="15.75" customHeight="1" x14ac:dyDescent="0.25">
      <c r="A495" s="52" t="str">
        <f t="shared" si="61"/>
        <v>TL</v>
      </c>
      <c r="B495" s="32" t="s">
        <v>796</v>
      </c>
      <c r="C495" s="33">
        <v>490</v>
      </c>
      <c r="D495" s="39" t="s">
        <v>651</v>
      </c>
      <c r="E495" s="33" t="s">
        <v>10</v>
      </c>
      <c r="F495" s="33">
        <v>170.77</v>
      </c>
      <c r="G495" s="33">
        <f t="shared" si="62"/>
        <v>170.77</v>
      </c>
      <c r="H495" s="33"/>
      <c r="I495" s="34" t="s">
        <v>13</v>
      </c>
      <c r="J495" s="99">
        <f>+'[1]Dự thầu'!$G$1121</f>
        <v>65242</v>
      </c>
      <c r="K495" s="98">
        <f t="shared" si="66"/>
        <v>11141376</v>
      </c>
      <c r="L495" s="98">
        <f t="shared" si="67"/>
        <v>11141376</v>
      </c>
      <c r="M495" s="98">
        <f t="shared" si="68"/>
        <v>0</v>
      </c>
      <c r="N495" s="100"/>
    </row>
    <row r="496" spans="1:14" ht="15.75" customHeight="1" x14ac:dyDescent="0.25">
      <c r="A496" s="52" t="str">
        <f t="shared" si="61"/>
        <v>TL</v>
      </c>
      <c r="B496" s="32" t="s">
        <v>797</v>
      </c>
      <c r="C496" s="33">
        <v>491</v>
      </c>
      <c r="D496" s="39" t="s">
        <v>725</v>
      </c>
      <c r="E496" s="33" t="s">
        <v>10</v>
      </c>
      <c r="F496" s="33">
        <v>87.11</v>
      </c>
      <c r="G496" s="33">
        <f t="shared" si="62"/>
        <v>87.11</v>
      </c>
      <c r="H496" s="33"/>
      <c r="I496" s="34" t="s">
        <v>16</v>
      </c>
      <c r="J496" s="99">
        <f>+'[1]Dự thầu'!$G$1122</f>
        <v>2040190</v>
      </c>
      <c r="K496" s="98">
        <f t="shared" si="66"/>
        <v>177720951</v>
      </c>
      <c r="L496" s="98">
        <f t="shared" si="67"/>
        <v>177720951</v>
      </c>
      <c r="M496" s="98">
        <f t="shared" si="68"/>
        <v>0</v>
      </c>
      <c r="N496" s="100"/>
    </row>
    <row r="497" spans="1:14" ht="15.75" customHeight="1" x14ac:dyDescent="0.25">
      <c r="A497" s="52" t="str">
        <f t="shared" si="61"/>
        <v>TL</v>
      </c>
      <c r="B497" s="32" t="s">
        <v>798</v>
      </c>
      <c r="C497" s="33">
        <v>492</v>
      </c>
      <c r="D497" s="39" t="s">
        <v>560</v>
      </c>
      <c r="E497" s="33" t="s">
        <v>10</v>
      </c>
      <c r="F497" s="33">
        <v>88.41</v>
      </c>
      <c r="G497" s="33">
        <f t="shared" si="62"/>
        <v>88.41</v>
      </c>
      <c r="H497" s="33"/>
      <c r="I497" s="34" t="s">
        <v>16</v>
      </c>
      <c r="J497" s="99">
        <f>+'[1]Dự thầu'!$G$1123</f>
        <v>57102</v>
      </c>
      <c r="K497" s="98">
        <f t="shared" si="66"/>
        <v>5048388</v>
      </c>
      <c r="L497" s="98">
        <f t="shared" si="67"/>
        <v>5048388</v>
      </c>
      <c r="M497" s="98">
        <f t="shared" si="68"/>
        <v>0</v>
      </c>
      <c r="N497" s="100"/>
    </row>
    <row r="498" spans="1:14" ht="15.75" customHeight="1" x14ac:dyDescent="0.25">
      <c r="A498" s="52" t="str">
        <f t="shared" si="61"/>
        <v>TL</v>
      </c>
      <c r="B498" s="32" t="s">
        <v>799</v>
      </c>
      <c r="C498" s="33">
        <v>493</v>
      </c>
      <c r="D498" s="39" t="s">
        <v>562</v>
      </c>
      <c r="E498" s="33" t="s">
        <v>10</v>
      </c>
      <c r="F498" s="33">
        <v>88.41</v>
      </c>
      <c r="G498" s="33">
        <f t="shared" si="62"/>
        <v>88.41</v>
      </c>
      <c r="H498" s="33"/>
      <c r="I498" s="34" t="s">
        <v>16</v>
      </c>
      <c r="J498" s="99">
        <f>+'[1]Dự thầu'!$G$1124+'[1]Dự thầu'!$G$1125</f>
        <v>232044</v>
      </c>
      <c r="K498" s="98">
        <f t="shared" si="66"/>
        <v>20515010</v>
      </c>
      <c r="L498" s="98">
        <f t="shared" si="67"/>
        <v>20515010</v>
      </c>
      <c r="M498" s="98">
        <f t="shared" si="68"/>
        <v>0</v>
      </c>
      <c r="N498" s="100"/>
    </row>
    <row r="499" spans="1:14" ht="15.75" customHeight="1" x14ac:dyDescent="0.25">
      <c r="A499" s="52" t="str">
        <f t="shared" si="61"/>
        <v>TL</v>
      </c>
      <c r="B499" s="32" t="s">
        <v>800</v>
      </c>
      <c r="C499" s="33">
        <v>494</v>
      </c>
      <c r="D499" s="39" t="s">
        <v>729</v>
      </c>
      <c r="E499" s="33" t="s">
        <v>10</v>
      </c>
      <c r="F499" s="33">
        <v>0.35</v>
      </c>
      <c r="G499" s="33">
        <f t="shared" si="62"/>
        <v>0.35</v>
      </c>
      <c r="H499" s="33"/>
      <c r="I499" s="34" t="s">
        <v>90</v>
      </c>
      <c r="J499" s="99">
        <f>+'[1]Dự thầu'!$G$1126</f>
        <v>26202055</v>
      </c>
      <c r="K499" s="98">
        <f t="shared" si="66"/>
        <v>9170719</v>
      </c>
      <c r="L499" s="98">
        <f t="shared" si="67"/>
        <v>9170719</v>
      </c>
      <c r="M499" s="98">
        <f t="shared" si="68"/>
        <v>0</v>
      </c>
      <c r="N499" s="100"/>
    </row>
    <row r="500" spans="1:14" ht="15.75" customHeight="1" x14ac:dyDescent="0.25">
      <c r="A500" s="52" t="str">
        <f t="shared" si="61"/>
        <v>TL</v>
      </c>
      <c r="B500" s="32" t="s">
        <v>801</v>
      </c>
      <c r="C500" s="33">
        <v>495</v>
      </c>
      <c r="D500" s="39" t="s">
        <v>731</v>
      </c>
      <c r="E500" s="33" t="s">
        <v>10</v>
      </c>
      <c r="F500" s="33">
        <v>14.67</v>
      </c>
      <c r="G500" s="33">
        <f t="shared" si="62"/>
        <v>14.67</v>
      </c>
      <c r="H500" s="33"/>
      <c r="I500" s="34" t="s">
        <v>90</v>
      </c>
      <c r="J500" s="99">
        <f>+'[1]Dự thầu'!$G$1127</f>
        <v>25587587</v>
      </c>
      <c r="K500" s="98">
        <f t="shared" si="66"/>
        <v>375369901</v>
      </c>
      <c r="L500" s="98">
        <f t="shared" si="67"/>
        <v>375369901</v>
      </c>
      <c r="M500" s="98">
        <f t="shared" si="68"/>
        <v>0</v>
      </c>
      <c r="N500" s="100"/>
    </row>
    <row r="501" spans="1:14" ht="15.75" customHeight="1" x14ac:dyDescent="0.25">
      <c r="A501" s="52" t="str">
        <f t="shared" si="61"/>
        <v>TL</v>
      </c>
      <c r="B501" s="32" t="s">
        <v>802</v>
      </c>
      <c r="C501" s="33">
        <v>496</v>
      </c>
      <c r="D501" s="39" t="s">
        <v>733</v>
      </c>
      <c r="E501" s="33" t="s">
        <v>10</v>
      </c>
      <c r="F501" s="33">
        <v>385.41</v>
      </c>
      <c r="G501" s="33">
        <f t="shared" si="62"/>
        <v>385.41</v>
      </c>
      <c r="H501" s="33"/>
      <c r="I501" s="34" t="s">
        <v>13</v>
      </c>
      <c r="J501" s="99">
        <f>+'[1]Dự thầu'!$G$1128</f>
        <v>111276</v>
      </c>
      <c r="K501" s="98">
        <f t="shared" si="66"/>
        <v>42886883</v>
      </c>
      <c r="L501" s="98">
        <f t="shared" si="67"/>
        <v>42886883</v>
      </c>
      <c r="M501" s="98">
        <f t="shared" si="68"/>
        <v>0</v>
      </c>
      <c r="N501" s="100"/>
    </row>
    <row r="502" spans="1:14" ht="15.75" customHeight="1" x14ac:dyDescent="0.25">
      <c r="A502" s="52" t="str">
        <f t="shared" si="61"/>
        <v>TL</v>
      </c>
      <c r="B502" s="32" t="s">
        <v>803</v>
      </c>
      <c r="C502" s="33">
        <v>497</v>
      </c>
      <c r="D502" s="39" t="s">
        <v>804</v>
      </c>
      <c r="E502" s="33" t="s">
        <v>10</v>
      </c>
      <c r="F502" s="33">
        <v>93.87</v>
      </c>
      <c r="G502" s="33">
        <f t="shared" si="62"/>
        <v>93.87</v>
      </c>
      <c r="H502" s="33"/>
      <c r="I502" s="34" t="s">
        <v>16</v>
      </c>
      <c r="J502" s="99">
        <f>+'[1]Dự thầu'!$G$1129</f>
        <v>1707891</v>
      </c>
      <c r="K502" s="98">
        <f t="shared" si="66"/>
        <v>160319728</v>
      </c>
      <c r="L502" s="98">
        <f t="shared" si="67"/>
        <v>160319728</v>
      </c>
      <c r="M502" s="98">
        <f t="shared" si="68"/>
        <v>0</v>
      </c>
      <c r="N502" s="100"/>
    </row>
    <row r="503" spans="1:14" ht="15.75" customHeight="1" x14ac:dyDescent="0.25">
      <c r="A503" s="52" t="str">
        <f t="shared" si="61"/>
        <v>TL</v>
      </c>
      <c r="B503" s="32" t="s">
        <v>805</v>
      </c>
      <c r="C503" s="33">
        <v>498</v>
      </c>
      <c r="D503" s="39" t="s">
        <v>806</v>
      </c>
      <c r="E503" s="33" t="s">
        <v>10</v>
      </c>
      <c r="F503" s="33">
        <v>5.74</v>
      </c>
      <c r="G503" s="33">
        <f t="shared" si="62"/>
        <v>5.74</v>
      </c>
      <c r="H503" s="33"/>
      <c r="I503" s="34" t="s">
        <v>90</v>
      </c>
      <c r="J503" s="99">
        <f>+'[1]Dự thầu'!$G$1130</f>
        <v>28097053</v>
      </c>
      <c r="K503" s="98">
        <f t="shared" si="66"/>
        <v>161277084</v>
      </c>
      <c r="L503" s="98">
        <f t="shared" si="67"/>
        <v>161277084</v>
      </c>
      <c r="M503" s="98">
        <f t="shared" si="68"/>
        <v>0</v>
      </c>
      <c r="N503" s="100"/>
    </row>
    <row r="504" spans="1:14" ht="15.75" customHeight="1" x14ac:dyDescent="0.25">
      <c r="A504" s="52" t="str">
        <f t="shared" si="61"/>
        <v>TL</v>
      </c>
      <c r="B504" s="32" t="s">
        <v>807</v>
      </c>
      <c r="C504" s="33">
        <v>499</v>
      </c>
      <c r="D504" s="39" t="s">
        <v>808</v>
      </c>
      <c r="E504" s="33" t="s">
        <v>10</v>
      </c>
      <c r="F504" s="33">
        <v>9.69</v>
      </c>
      <c r="G504" s="33">
        <f t="shared" si="62"/>
        <v>9.69</v>
      </c>
      <c r="H504" s="33"/>
      <c r="I504" s="34" t="s">
        <v>90</v>
      </c>
      <c r="J504" s="99">
        <f>+'[1]Dự thầu'!$G$1131</f>
        <v>26811910</v>
      </c>
      <c r="K504" s="98">
        <f t="shared" si="66"/>
        <v>259807408</v>
      </c>
      <c r="L504" s="98">
        <f t="shared" si="67"/>
        <v>259807408</v>
      </c>
      <c r="M504" s="98">
        <f t="shared" si="68"/>
        <v>0</v>
      </c>
      <c r="N504" s="100"/>
    </row>
    <row r="505" spans="1:14" ht="15.75" customHeight="1" x14ac:dyDescent="0.25">
      <c r="A505" s="52" t="str">
        <f t="shared" si="61"/>
        <v>TL</v>
      </c>
      <c r="B505" s="32" t="s">
        <v>809</v>
      </c>
      <c r="C505" s="33">
        <v>500</v>
      </c>
      <c r="D505" s="39" t="s">
        <v>497</v>
      </c>
      <c r="E505" s="33" t="s">
        <v>10</v>
      </c>
      <c r="F505" s="33">
        <v>464.88</v>
      </c>
      <c r="G505" s="33">
        <f t="shared" si="62"/>
        <v>464.88</v>
      </c>
      <c r="H505" s="33"/>
      <c r="I505" s="34" t="s">
        <v>13</v>
      </c>
      <c r="J505" s="99">
        <f>+'[1]Dự thầu'!$G$1132</f>
        <v>86606</v>
      </c>
      <c r="K505" s="98">
        <f t="shared" si="66"/>
        <v>40261397</v>
      </c>
      <c r="L505" s="98">
        <f t="shared" si="67"/>
        <v>40261397</v>
      </c>
      <c r="M505" s="98">
        <f t="shared" si="68"/>
        <v>0</v>
      </c>
      <c r="N505" s="100"/>
    </row>
    <row r="506" spans="1:14" ht="31.5" customHeight="1" x14ac:dyDescent="0.25">
      <c r="A506" s="52" t="str">
        <f t="shared" si="61"/>
        <v>TL</v>
      </c>
      <c r="B506" s="32" t="s">
        <v>810</v>
      </c>
      <c r="C506" s="33">
        <v>501</v>
      </c>
      <c r="D506" s="39" t="s">
        <v>257</v>
      </c>
      <c r="E506" s="33" t="s">
        <v>10</v>
      </c>
      <c r="F506" s="33">
        <v>596</v>
      </c>
      <c r="G506" s="33">
        <f t="shared" si="62"/>
        <v>596</v>
      </c>
      <c r="H506" s="33"/>
      <c r="I506" s="34" t="s">
        <v>258</v>
      </c>
      <c r="J506" s="99">
        <f>+'[1]Dự thầu'!$G$1133</f>
        <v>142868</v>
      </c>
      <c r="K506" s="98">
        <f t="shared" si="66"/>
        <v>85149328</v>
      </c>
      <c r="L506" s="98">
        <f t="shared" si="67"/>
        <v>85149328</v>
      </c>
      <c r="M506" s="98">
        <f t="shared" si="68"/>
        <v>0</v>
      </c>
      <c r="N506" s="100"/>
    </row>
    <row r="507" spans="1:14" ht="47.25" customHeight="1" x14ac:dyDescent="0.25">
      <c r="A507" s="52" t="str">
        <f t="shared" si="61"/>
        <v>TL</v>
      </c>
      <c r="B507" s="32" t="s">
        <v>811</v>
      </c>
      <c r="C507" s="33">
        <v>502</v>
      </c>
      <c r="D507" s="39" t="s">
        <v>249</v>
      </c>
      <c r="E507" s="33" t="s">
        <v>10</v>
      </c>
      <c r="F507" s="33">
        <v>596</v>
      </c>
      <c r="G507" s="33">
        <f t="shared" si="62"/>
        <v>596</v>
      </c>
      <c r="H507" s="33"/>
      <c r="I507" s="34" t="s">
        <v>250</v>
      </c>
      <c r="J507" s="99">
        <f>+'[1]Dự thầu'!$G$1134</f>
        <v>52812</v>
      </c>
      <c r="K507" s="98">
        <f t="shared" si="66"/>
        <v>31475952</v>
      </c>
      <c r="L507" s="98">
        <f t="shared" si="67"/>
        <v>31475952</v>
      </c>
      <c r="M507" s="98">
        <f t="shared" si="68"/>
        <v>0</v>
      </c>
      <c r="N507" s="100"/>
    </row>
    <row r="508" spans="1:14" ht="47.25" customHeight="1" x14ac:dyDescent="0.25">
      <c r="A508" s="52" t="str">
        <f t="shared" si="61"/>
        <v>TL</v>
      </c>
      <c r="B508" s="32" t="s">
        <v>812</v>
      </c>
      <c r="C508" s="33">
        <v>503</v>
      </c>
      <c r="D508" s="39" t="s">
        <v>255</v>
      </c>
      <c r="E508" s="33" t="s">
        <v>10</v>
      </c>
      <c r="F508" s="33">
        <v>596</v>
      </c>
      <c r="G508" s="33">
        <f t="shared" si="62"/>
        <v>596</v>
      </c>
      <c r="H508" s="33"/>
      <c r="I508" s="34" t="s">
        <v>250</v>
      </c>
      <c r="J508" s="99">
        <f>+'[1]Dự thầu'!$G$1135</f>
        <v>42761</v>
      </c>
      <c r="K508" s="98">
        <f t="shared" si="66"/>
        <v>25485556</v>
      </c>
      <c r="L508" s="98">
        <f t="shared" si="67"/>
        <v>25485556</v>
      </c>
      <c r="M508" s="98">
        <f t="shared" si="68"/>
        <v>0</v>
      </c>
      <c r="N508" s="100"/>
    </row>
    <row r="509" spans="1:14" ht="15.75" customHeight="1" x14ac:dyDescent="0.25">
      <c r="A509" s="52" t="str">
        <f t="shared" si="61"/>
        <v>TL</v>
      </c>
      <c r="B509" s="32" t="s">
        <v>813</v>
      </c>
      <c r="C509" s="33">
        <v>504</v>
      </c>
      <c r="D509" s="39" t="s">
        <v>814</v>
      </c>
      <c r="E509" s="33" t="s">
        <v>10</v>
      </c>
      <c r="F509" s="33">
        <v>625.79999999999995</v>
      </c>
      <c r="G509" s="33">
        <f t="shared" si="62"/>
        <v>625.79999999999995</v>
      </c>
      <c r="H509" s="33"/>
      <c r="I509" s="34" t="s">
        <v>13</v>
      </c>
      <c r="J509" s="99">
        <f>+'[1]Dự thầu'!$G$1136</f>
        <v>76805</v>
      </c>
      <c r="K509" s="98">
        <f t="shared" si="66"/>
        <v>48064569</v>
      </c>
      <c r="L509" s="98">
        <f t="shared" si="67"/>
        <v>48064569</v>
      </c>
      <c r="M509" s="98">
        <f t="shared" si="68"/>
        <v>0</v>
      </c>
      <c r="N509" s="100"/>
    </row>
    <row r="510" spans="1:14" ht="15.75" customHeight="1" x14ac:dyDescent="0.25">
      <c r="A510" s="52" t="str">
        <f t="shared" si="61"/>
        <v>TL</v>
      </c>
      <c r="B510" s="32" t="s">
        <v>815</v>
      </c>
      <c r="C510" s="33">
        <v>505</v>
      </c>
      <c r="D510" s="39" t="s">
        <v>816</v>
      </c>
      <c r="E510" s="33" t="s">
        <v>10</v>
      </c>
      <c r="F510" s="33">
        <v>3</v>
      </c>
      <c r="G510" s="33">
        <f t="shared" si="62"/>
        <v>3</v>
      </c>
      <c r="H510" s="33"/>
      <c r="I510" s="34" t="s">
        <v>817</v>
      </c>
      <c r="J510" s="99">
        <f>+'[1]Dự thầu'!$G$1137</f>
        <v>3030388</v>
      </c>
      <c r="K510" s="98">
        <f t="shared" si="66"/>
        <v>9091164</v>
      </c>
      <c r="L510" s="98">
        <f t="shared" si="67"/>
        <v>9091164</v>
      </c>
      <c r="M510" s="98">
        <f t="shared" si="68"/>
        <v>0</v>
      </c>
      <c r="N510" s="100"/>
    </row>
    <row r="511" spans="1:14" ht="15.75" customHeight="1" x14ac:dyDescent="0.25">
      <c r="A511" s="52" t="str">
        <f t="shared" si="61"/>
        <v>TL</v>
      </c>
      <c r="B511" s="32" t="s">
        <v>818</v>
      </c>
      <c r="C511" s="33">
        <v>506</v>
      </c>
      <c r="D511" s="39" t="s">
        <v>624</v>
      </c>
      <c r="E511" s="33" t="s">
        <v>10</v>
      </c>
      <c r="F511" s="102">
        <v>2142.86</v>
      </c>
      <c r="G511" s="102">
        <f t="shared" si="62"/>
        <v>2142.86</v>
      </c>
      <c r="H511" s="33"/>
      <c r="I511" s="34" t="s">
        <v>16</v>
      </c>
      <c r="J511" s="99">
        <f>+'[1]Dự thầu'!$G$1138</f>
        <v>267174</v>
      </c>
      <c r="K511" s="98">
        <f t="shared" si="66"/>
        <v>572516478</v>
      </c>
      <c r="L511" s="98">
        <f t="shared" si="67"/>
        <v>572516478</v>
      </c>
      <c r="M511" s="98">
        <f t="shared" si="68"/>
        <v>0</v>
      </c>
      <c r="N511" s="100"/>
    </row>
    <row r="512" spans="1:14" ht="15.75" customHeight="1" x14ac:dyDescent="0.25">
      <c r="A512" s="52" t="str">
        <f t="shared" si="61"/>
        <v>TL</v>
      </c>
      <c r="B512" s="32" t="s">
        <v>819</v>
      </c>
      <c r="C512" s="33">
        <v>507</v>
      </c>
      <c r="D512" s="39" t="s">
        <v>614</v>
      </c>
      <c r="E512" s="33" t="s">
        <v>10</v>
      </c>
      <c r="F512" s="33">
        <v>300.61</v>
      </c>
      <c r="G512" s="33">
        <f t="shared" si="62"/>
        <v>300.61</v>
      </c>
      <c r="H512" s="33"/>
      <c r="I512" s="34" t="s">
        <v>16</v>
      </c>
      <c r="J512" s="99">
        <f>+'[1]Dự thầu'!$G$1139</f>
        <v>23993</v>
      </c>
      <c r="K512" s="98">
        <f t="shared" si="66"/>
        <v>7212536</v>
      </c>
      <c r="L512" s="98">
        <f t="shared" si="67"/>
        <v>7212536</v>
      </c>
      <c r="M512" s="98">
        <f t="shared" si="68"/>
        <v>0</v>
      </c>
      <c r="N512" s="100"/>
    </row>
    <row r="513" spans="1:14" ht="15.75" customHeight="1" x14ac:dyDescent="0.25">
      <c r="A513" s="52" t="str">
        <f t="shared" si="61"/>
        <v>TL</v>
      </c>
      <c r="B513" s="32" t="s">
        <v>820</v>
      </c>
      <c r="C513" s="33">
        <v>508</v>
      </c>
      <c r="D513" s="39" t="s">
        <v>626</v>
      </c>
      <c r="E513" s="33" t="s">
        <v>10</v>
      </c>
      <c r="F513" s="33">
        <v>300.61</v>
      </c>
      <c r="G513" s="33">
        <f t="shared" si="62"/>
        <v>300.61</v>
      </c>
      <c r="H513" s="33"/>
      <c r="I513" s="34" t="s">
        <v>16</v>
      </c>
      <c r="J513" s="99">
        <f>+'[1]Dự thầu'!$G$1140</f>
        <v>45382</v>
      </c>
      <c r="K513" s="98">
        <f t="shared" si="66"/>
        <v>13642283</v>
      </c>
      <c r="L513" s="98">
        <f t="shared" si="67"/>
        <v>13642283</v>
      </c>
      <c r="M513" s="98">
        <f t="shared" si="68"/>
        <v>0</v>
      </c>
      <c r="N513" s="100"/>
    </row>
    <row r="514" spans="1:14" ht="15.75" customHeight="1" x14ac:dyDescent="0.25">
      <c r="A514" s="52" t="str">
        <f t="shared" si="61"/>
        <v>TL</v>
      </c>
      <c r="B514" s="32" t="s">
        <v>821</v>
      </c>
      <c r="C514" s="33">
        <v>509</v>
      </c>
      <c r="D514" s="39" t="s">
        <v>822</v>
      </c>
      <c r="E514" s="33" t="s">
        <v>10</v>
      </c>
      <c r="F514" s="33">
        <v>198.36</v>
      </c>
      <c r="G514" s="33">
        <f t="shared" si="62"/>
        <v>198.36</v>
      </c>
      <c r="H514" s="33"/>
      <c r="I514" s="34" t="s">
        <v>90</v>
      </c>
      <c r="J514" s="99">
        <f>+'[1]Dự thầu'!$G$1144</f>
        <v>1630632</v>
      </c>
      <c r="K514" s="98">
        <f t="shared" si="66"/>
        <v>323452164</v>
      </c>
      <c r="L514" s="98">
        <f t="shared" si="67"/>
        <v>323452164</v>
      </c>
      <c r="M514" s="98">
        <f t="shared" si="68"/>
        <v>0</v>
      </c>
      <c r="N514" s="100"/>
    </row>
    <row r="515" spans="1:14" ht="15.75" customHeight="1" x14ac:dyDescent="0.25">
      <c r="A515" s="52" t="str">
        <f t="shared" si="61"/>
        <v>TL</v>
      </c>
      <c r="B515" s="32" t="s">
        <v>823</v>
      </c>
      <c r="C515" s="33">
        <v>510</v>
      </c>
      <c r="D515" s="39" t="s">
        <v>824</v>
      </c>
      <c r="E515" s="33" t="s">
        <v>10</v>
      </c>
      <c r="F515" s="33">
        <v>2349</v>
      </c>
      <c r="G515" s="33">
        <f t="shared" si="62"/>
        <v>2349</v>
      </c>
      <c r="H515" s="33"/>
      <c r="I515" s="34" t="s">
        <v>75</v>
      </c>
      <c r="J515" s="99">
        <f>+'[1]Dự thầu'!$G$1145</f>
        <v>67386</v>
      </c>
      <c r="K515" s="98">
        <f t="shared" si="66"/>
        <v>158289714</v>
      </c>
      <c r="L515" s="98">
        <f t="shared" si="67"/>
        <v>158289714</v>
      </c>
      <c r="M515" s="98">
        <f t="shared" si="68"/>
        <v>0</v>
      </c>
      <c r="N515" s="100"/>
    </row>
    <row r="516" spans="1:14" ht="15.75" customHeight="1" x14ac:dyDescent="0.25">
      <c r="A516" s="52" t="str">
        <f t="shared" si="61"/>
        <v>TL</v>
      </c>
      <c r="B516" s="32" t="s">
        <v>825</v>
      </c>
      <c r="C516" s="33">
        <v>511</v>
      </c>
      <c r="D516" s="39" t="s">
        <v>826</v>
      </c>
      <c r="E516" s="33" t="s">
        <v>10</v>
      </c>
      <c r="F516" s="33">
        <v>261</v>
      </c>
      <c r="G516" s="33">
        <f t="shared" si="62"/>
        <v>261</v>
      </c>
      <c r="H516" s="33"/>
      <c r="I516" s="34" t="s">
        <v>75</v>
      </c>
      <c r="J516" s="99">
        <f>+'[1]Dự thầu'!$G$1146</f>
        <v>67386</v>
      </c>
      <c r="K516" s="98">
        <f t="shared" si="66"/>
        <v>17587746</v>
      </c>
      <c r="L516" s="98">
        <f t="shared" si="67"/>
        <v>17587746</v>
      </c>
      <c r="M516" s="98">
        <f t="shared" si="68"/>
        <v>0</v>
      </c>
      <c r="N516" s="100"/>
    </row>
    <row r="517" spans="1:14" ht="15.75" customHeight="1" x14ac:dyDescent="0.25">
      <c r="A517" s="52" t="str">
        <f t="shared" si="61"/>
        <v>TL</v>
      </c>
      <c r="B517" s="32" t="s">
        <v>827</v>
      </c>
      <c r="C517" s="33">
        <v>512</v>
      </c>
      <c r="D517" s="39" t="s">
        <v>828</v>
      </c>
      <c r="E517" s="33" t="s">
        <v>10</v>
      </c>
      <c r="F517" s="33">
        <v>2349</v>
      </c>
      <c r="G517" s="33">
        <f t="shared" si="62"/>
        <v>2349</v>
      </c>
      <c r="H517" s="33"/>
      <c r="I517" s="34" t="s">
        <v>75</v>
      </c>
      <c r="J517" s="99">
        <f>+'[1]Dự thầu'!$G$1147</f>
        <v>52562</v>
      </c>
      <c r="K517" s="98">
        <f t="shared" si="66"/>
        <v>123468138</v>
      </c>
      <c r="L517" s="98">
        <f t="shared" si="67"/>
        <v>123468138</v>
      </c>
      <c r="M517" s="98">
        <f t="shared" si="68"/>
        <v>0</v>
      </c>
      <c r="N517" s="100"/>
    </row>
    <row r="518" spans="1:14" s="22" customFormat="1" ht="31.5" customHeight="1" x14ac:dyDescent="0.25">
      <c r="A518" s="52" t="str">
        <f t="shared" si="61"/>
        <v>TL</v>
      </c>
      <c r="B518" s="29">
        <v>8</v>
      </c>
      <c r="C518" s="30">
        <v>513</v>
      </c>
      <c r="D518" s="12" t="s">
        <v>829</v>
      </c>
      <c r="E518" s="30" t="s">
        <v>10</v>
      </c>
      <c r="F518" s="30"/>
      <c r="G518" s="30">
        <f t="shared" si="62"/>
        <v>0</v>
      </c>
      <c r="H518" s="30"/>
      <c r="I518" s="31"/>
      <c r="J518" s="97"/>
      <c r="K518" s="104"/>
      <c r="L518" s="104"/>
      <c r="M518" s="104"/>
      <c r="N518" s="105"/>
    </row>
    <row r="519" spans="1:14" ht="15.75" customHeight="1" x14ac:dyDescent="0.25">
      <c r="A519" s="52" t="str">
        <f t="shared" ref="A519:A582" si="69">A518</f>
        <v>TL</v>
      </c>
      <c r="B519" s="32" t="s">
        <v>830</v>
      </c>
      <c r="C519" s="33">
        <v>514</v>
      </c>
      <c r="D519" s="39" t="s">
        <v>831</v>
      </c>
      <c r="E519" s="33" t="s">
        <v>10</v>
      </c>
      <c r="F519" s="33">
        <v>58</v>
      </c>
      <c r="G519" s="33">
        <f t="shared" ref="G519:G582" si="70">+F519</f>
        <v>58</v>
      </c>
      <c r="H519" s="33"/>
      <c r="I519" s="34" t="s">
        <v>16</v>
      </c>
      <c r="J519" s="99">
        <f>+'[1]Dự thầu'!$G$1168</f>
        <v>1682152</v>
      </c>
      <c r="K519" s="98">
        <f t="shared" ref="K519:K550" si="71">+ROUND(J519*F519,0)</f>
        <v>97564816</v>
      </c>
      <c r="L519" s="98">
        <f t="shared" ref="L519:L550" si="72">+ROUND(G519*J519,0)</f>
        <v>97564816</v>
      </c>
      <c r="M519" s="98">
        <f t="shared" ref="M519:M550" si="73">+ROUND(H519*J519,0)</f>
        <v>0</v>
      </c>
      <c r="N519" s="100"/>
    </row>
    <row r="520" spans="1:14" ht="31.5" customHeight="1" x14ac:dyDescent="0.25">
      <c r="A520" s="52" t="str">
        <f t="shared" si="69"/>
        <v>TL</v>
      </c>
      <c r="B520" s="32" t="s">
        <v>832</v>
      </c>
      <c r="C520" s="33">
        <v>515</v>
      </c>
      <c r="D520" s="39" t="s">
        <v>833</v>
      </c>
      <c r="E520" s="33" t="s">
        <v>10</v>
      </c>
      <c r="F520" s="33">
        <v>0.5</v>
      </c>
      <c r="G520" s="33">
        <f t="shared" si="70"/>
        <v>0.5</v>
      </c>
      <c r="H520" s="33"/>
      <c r="I520" s="34" t="s">
        <v>90</v>
      </c>
      <c r="J520" s="99">
        <f>+'[1]Dự thầu'!$G$1169</f>
        <v>28765433</v>
      </c>
      <c r="K520" s="98">
        <f t="shared" si="71"/>
        <v>14382717</v>
      </c>
      <c r="L520" s="98">
        <f t="shared" si="72"/>
        <v>14382717</v>
      </c>
      <c r="M520" s="98">
        <f t="shared" si="73"/>
        <v>0</v>
      </c>
      <c r="N520" s="100"/>
    </row>
    <row r="521" spans="1:14" ht="31.5" customHeight="1" x14ac:dyDescent="0.25">
      <c r="A521" s="52" t="str">
        <f t="shared" si="69"/>
        <v>TL</v>
      </c>
      <c r="B521" s="32" t="s">
        <v>834</v>
      </c>
      <c r="C521" s="33">
        <v>516</v>
      </c>
      <c r="D521" s="39" t="s">
        <v>835</v>
      </c>
      <c r="E521" s="33" t="s">
        <v>10</v>
      </c>
      <c r="F521" s="33">
        <v>8.65</v>
      </c>
      <c r="G521" s="33">
        <f t="shared" si="70"/>
        <v>8.65</v>
      </c>
      <c r="H521" s="33"/>
      <c r="I521" s="34" t="s">
        <v>90</v>
      </c>
      <c r="J521" s="99">
        <f>+'[1]Dự thầu'!$G$1170</f>
        <v>27004108</v>
      </c>
      <c r="K521" s="98">
        <f t="shared" si="71"/>
        <v>233585534</v>
      </c>
      <c r="L521" s="98">
        <f t="shared" si="72"/>
        <v>233585534</v>
      </c>
      <c r="M521" s="98">
        <f t="shared" si="73"/>
        <v>0</v>
      </c>
      <c r="N521" s="100"/>
    </row>
    <row r="522" spans="1:14" ht="31.5" customHeight="1" x14ac:dyDescent="0.25">
      <c r="A522" s="52" t="str">
        <f t="shared" si="69"/>
        <v>TL</v>
      </c>
      <c r="B522" s="32" t="s">
        <v>836</v>
      </c>
      <c r="C522" s="33">
        <v>517</v>
      </c>
      <c r="D522" s="39" t="s">
        <v>336</v>
      </c>
      <c r="E522" s="33" t="s">
        <v>10</v>
      </c>
      <c r="F522" s="33">
        <v>635.1</v>
      </c>
      <c r="G522" s="33">
        <f t="shared" si="70"/>
        <v>635.1</v>
      </c>
      <c r="H522" s="33"/>
      <c r="I522" s="34" t="s">
        <v>13</v>
      </c>
      <c r="J522" s="99">
        <f>+'[1]Dự thầu'!$G$1171</f>
        <v>102621</v>
      </c>
      <c r="K522" s="98">
        <f t="shared" si="71"/>
        <v>65174597</v>
      </c>
      <c r="L522" s="98">
        <f t="shared" si="72"/>
        <v>65174597</v>
      </c>
      <c r="M522" s="98">
        <f t="shared" si="73"/>
        <v>0</v>
      </c>
      <c r="N522" s="100"/>
    </row>
    <row r="523" spans="1:14" ht="31.5" customHeight="1" x14ac:dyDescent="0.25">
      <c r="A523" s="52" t="str">
        <f t="shared" si="69"/>
        <v>TL</v>
      </c>
      <c r="B523" s="32" t="s">
        <v>837</v>
      </c>
      <c r="C523" s="33">
        <v>518</v>
      </c>
      <c r="D523" s="39" t="s">
        <v>838</v>
      </c>
      <c r="E523" s="33" t="s">
        <v>10</v>
      </c>
      <c r="F523" s="33">
        <v>58</v>
      </c>
      <c r="G523" s="33">
        <f t="shared" si="70"/>
        <v>58</v>
      </c>
      <c r="H523" s="33"/>
      <c r="I523" s="34" t="s">
        <v>250</v>
      </c>
      <c r="J523" s="99">
        <f>+'[1]Dự thầu'!$G$1172</f>
        <v>113802</v>
      </c>
      <c r="K523" s="98">
        <f t="shared" si="71"/>
        <v>6600516</v>
      </c>
      <c r="L523" s="98">
        <f t="shared" si="72"/>
        <v>6600516</v>
      </c>
      <c r="M523" s="98">
        <f t="shared" si="73"/>
        <v>0</v>
      </c>
      <c r="N523" s="100"/>
    </row>
    <row r="524" spans="1:14" ht="47.25" customHeight="1" x14ac:dyDescent="0.25">
      <c r="A524" s="52" t="str">
        <f t="shared" si="69"/>
        <v>TL</v>
      </c>
      <c r="B524" s="32" t="s">
        <v>839</v>
      </c>
      <c r="C524" s="33">
        <v>519</v>
      </c>
      <c r="D524" s="39" t="s">
        <v>571</v>
      </c>
      <c r="E524" s="33" t="s">
        <v>10</v>
      </c>
      <c r="F524" s="33">
        <v>58</v>
      </c>
      <c r="G524" s="33">
        <f t="shared" si="70"/>
        <v>58</v>
      </c>
      <c r="H524" s="33"/>
      <c r="I524" s="34" t="s">
        <v>250</v>
      </c>
      <c r="J524" s="99">
        <f>+'[1]Dự thầu'!$G$1173</f>
        <v>91827</v>
      </c>
      <c r="K524" s="98">
        <f t="shared" si="71"/>
        <v>5325966</v>
      </c>
      <c r="L524" s="98">
        <f t="shared" si="72"/>
        <v>5325966</v>
      </c>
      <c r="M524" s="98">
        <f t="shared" si="73"/>
        <v>0</v>
      </c>
      <c r="N524" s="100"/>
    </row>
    <row r="525" spans="1:14" ht="47.25" customHeight="1" x14ac:dyDescent="0.25">
      <c r="A525" s="52" t="str">
        <f t="shared" si="69"/>
        <v>TL</v>
      </c>
      <c r="B525" s="32" t="s">
        <v>840</v>
      </c>
      <c r="C525" s="33">
        <v>520</v>
      </c>
      <c r="D525" s="39" t="s">
        <v>585</v>
      </c>
      <c r="E525" s="33" t="s">
        <v>10</v>
      </c>
      <c r="F525" s="33">
        <v>14.5</v>
      </c>
      <c r="G525" s="33">
        <f t="shared" si="70"/>
        <v>14.5</v>
      </c>
      <c r="H525" s="33"/>
      <c r="I525" s="34" t="s">
        <v>253</v>
      </c>
      <c r="J525" s="99">
        <f>+'[1]Dự thầu'!$G$1174</f>
        <v>36181</v>
      </c>
      <c r="K525" s="98">
        <f t="shared" si="71"/>
        <v>524625</v>
      </c>
      <c r="L525" s="98">
        <f t="shared" si="72"/>
        <v>524625</v>
      </c>
      <c r="M525" s="98">
        <f t="shared" si="73"/>
        <v>0</v>
      </c>
      <c r="N525" s="100"/>
    </row>
    <row r="526" spans="1:14" ht="31.5" customHeight="1" x14ac:dyDescent="0.25">
      <c r="A526" s="52" t="str">
        <f t="shared" si="69"/>
        <v>TL</v>
      </c>
      <c r="B526" s="32" t="s">
        <v>841</v>
      </c>
      <c r="C526" s="33">
        <v>521</v>
      </c>
      <c r="D526" s="39" t="s">
        <v>842</v>
      </c>
      <c r="E526" s="33" t="s">
        <v>10</v>
      </c>
      <c r="F526" s="33">
        <v>58</v>
      </c>
      <c r="G526" s="33">
        <f t="shared" si="70"/>
        <v>58</v>
      </c>
      <c r="H526" s="33"/>
      <c r="I526" s="34" t="s">
        <v>567</v>
      </c>
      <c r="J526" s="99">
        <f>+'[1]Dự thầu'!$G$1175</f>
        <v>304120</v>
      </c>
      <c r="K526" s="98">
        <f t="shared" si="71"/>
        <v>17638960</v>
      </c>
      <c r="L526" s="98">
        <f t="shared" si="72"/>
        <v>17638960</v>
      </c>
      <c r="M526" s="98">
        <f t="shared" si="73"/>
        <v>0</v>
      </c>
      <c r="N526" s="100"/>
    </row>
    <row r="527" spans="1:14" ht="15.75" customHeight="1" x14ac:dyDescent="0.25">
      <c r="A527" s="52" t="str">
        <f t="shared" si="69"/>
        <v>TL</v>
      </c>
      <c r="B527" s="32" t="s">
        <v>843</v>
      </c>
      <c r="C527" s="33">
        <v>522</v>
      </c>
      <c r="D527" s="39" t="s">
        <v>831</v>
      </c>
      <c r="E527" s="33" t="s">
        <v>10</v>
      </c>
      <c r="F527" s="33">
        <v>16.72</v>
      </c>
      <c r="G527" s="33">
        <f t="shared" si="70"/>
        <v>16.72</v>
      </c>
      <c r="H527" s="33"/>
      <c r="I527" s="34" t="s">
        <v>16</v>
      </c>
      <c r="J527" s="99">
        <f>+'[1]Dự thầu'!$G$1177</f>
        <v>1606063</v>
      </c>
      <c r="K527" s="98">
        <f t="shared" si="71"/>
        <v>26853373</v>
      </c>
      <c r="L527" s="98">
        <f t="shared" si="72"/>
        <v>26853373</v>
      </c>
      <c r="M527" s="98">
        <f t="shared" si="73"/>
        <v>0</v>
      </c>
      <c r="N527" s="100"/>
    </row>
    <row r="528" spans="1:14" ht="31.5" customHeight="1" x14ac:dyDescent="0.25">
      <c r="A528" s="52" t="str">
        <f t="shared" si="69"/>
        <v>TL</v>
      </c>
      <c r="B528" s="32" t="s">
        <v>844</v>
      </c>
      <c r="C528" s="33">
        <v>523</v>
      </c>
      <c r="D528" s="39" t="s">
        <v>833</v>
      </c>
      <c r="E528" s="33" t="s">
        <v>10</v>
      </c>
      <c r="F528" s="33">
        <v>0.16</v>
      </c>
      <c r="G528" s="33">
        <f t="shared" si="70"/>
        <v>0.16</v>
      </c>
      <c r="H528" s="33"/>
      <c r="I528" s="34" t="s">
        <v>90</v>
      </c>
      <c r="J528" s="99">
        <f>+'[1]Dự thầu'!$G$1178</f>
        <v>28765433</v>
      </c>
      <c r="K528" s="98">
        <f t="shared" si="71"/>
        <v>4602469</v>
      </c>
      <c r="L528" s="98">
        <f t="shared" si="72"/>
        <v>4602469</v>
      </c>
      <c r="M528" s="98">
        <f t="shared" si="73"/>
        <v>0</v>
      </c>
      <c r="N528" s="100"/>
    </row>
    <row r="529" spans="1:14" ht="31.5" customHeight="1" x14ac:dyDescent="0.25">
      <c r="A529" s="52" t="str">
        <f t="shared" si="69"/>
        <v>TL</v>
      </c>
      <c r="B529" s="32" t="s">
        <v>845</v>
      </c>
      <c r="C529" s="33">
        <v>524</v>
      </c>
      <c r="D529" s="39" t="s">
        <v>835</v>
      </c>
      <c r="E529" s="33" t="s">
        <v>10</v>
      </c>
      <c r="F529" s="33">
        <v>2.39</v>
      </c>
      <c r="G529" s="33">
        <f t="shared" si="70"/>
        <v>2.39</v>
      </c>
      <c r="H529" s="33"/>
      <c r="I529" s="34" t="s">
        <v>90</v>
      </c>
      <c r="J529" s="99">
        <f>+'[1]Dự thầu'!$G$1179</f>
        <v>27004108</v>
      </c>
      <c r="K529" s="98">
        <f t="shared" si="71"/>
        <v>64539818</v>
      </c>
      <c r="L529" s="98">
        <f t="shared" si="72"/>
        <v>64539818</v>
      </c>
      <c r="M529" s="98">
        <f t="shared" si="73"/>
        <v>0</v>
      </c>
      <c r="N529" s="100"/>
    </row>
    <row r="530" spans="1:14" ht="31.5" customHeight="1" x14ac:dyDescent="0.25">
      <c r="A530" s="52" t="str">
        <f t="shared" si="69"/>
        <v>TL</v>
      </c>
      <c r="B530" s="32" t="s">
        <v>846</v>
      </c>
      <c r="C530" s="33">
        <v>525</v>
      </c>
      <c r="D530" s="39" t="s">
        <v>336</v>
      </c>
      <c r="E530" s="33" t="s">
        <v>10</v>
      </c>
      <c r="F530" s="33">
        <v>173.66</v>
      </c>
      <c r="G530" s="33">
        <f t="shared" si="70"/>
        <v>173.66</v>
      </c>
      <c r="H530" s="33"/>
      <c r="I530" s="34" t="s">
        <v>13</v>
      </c>
      <c r="J530" s="99">
        <f>+'[1]Dự thầu'!$G$1180</f>
        <v>102621</v>
      </c>
      <c r="K530" s="98">
        <f t="shared" si="71"/>
        <v>17821163</v>
      </c>
      <c r="L530" s="98">
        <f t="shared" si="72"/>
        <v>17821163</v>
      </c>
      <c r="M530" s="98">
        <f t="shared" si="73"/>
        <v>0</v>
      </c>
      <c r="N530" s="100"/>
    </row>
    <row r="531" spans="1:14" ht="31.5" customHeight="1" x14ac:dyDescent="0.25">
      <c r="A531" s="52" t="str">
        <f t="shared" si="69"/>
        <v>TL</v>
      </c>
      <c r="B531" s="32" t="s">
        <v>847</v>
      </c>
      <c r="C531" s="33">
        <v>526</v>
      </c>
      <c r="D531" s="39" t="s">
        <v>838</v>
      </c>
      <c r="E531" s="33" t="s">
        <v>10</v>
      </c>
      <c r="F531" s="33">
        <v>19</v>
      </c>
      <c r="G531" s="33">
        <f t="shared" si="70"/>
        <v>19</v>
      </c>
      <c r="H531" s="33"/>
      <c r="I531" s="34" t="s">
        <v>250</v>
      </c>
      <c r="J531" s="99">
        <f>+'[1]Dự thầu'!$G$1181</f>
        <v>113802</v>
      </c>
      <c r="K531" s="98">
        <f t="shared" si="71"/>
        <v>2162238</v>
      </c>
      <c r="L531" s="98">
        <f t="shared" si="72"/>
        <v>2162238</v>
      </c>
      <c r="M531" s="98">
        <f t="shared" si="73"/>
        <v>0</v>
      </c>
      <c r="N531" s="100"/>
    </row>
    <row r="532" spans="1:14" ht="47.25" customHeight="1" x14ac:dyDescent="0.25">
      <c r="A532" s="52" t="str">
        <f t="shared" si="69"/>
        <v>TL</v>
      </c>
      <c r="B532" s="32" t="s">
        <v>848</v>
      </c>
      <c r="C532" s="33">
        <v>527</v>
      </c>
      <c r="D532" s="39" t="s">
        <v>571</v>
      </c>
      <c r="E532" s="33" t="s">
        <v>10</v>
      </c>
      <c r="F532" s="33">
        <v>19</v>
      </c>
      <c r="G532" s="33">
        <f t="shared" si="70"/>
        <v>19</v>
      </c>
      <c r="H532" s="33"/>
      <c r="I532" s="34" t="s">
        <v>250</v>
      </c>
      <c r="J532" s="99">
        <f>+'[1]Dự thầu'!$G$1182</f>
        <v>91827</v>
      </c>
      <c r="K532" s="98">
        <f t="shared" si="71"/>
        <v>1744713</v>
      </c>
      <c r="L532" s="98">
        <f t="shared" si="72"/>
        <v>1744713</v>
      </c>
      <c r="M532" s="98">
        <f t="shared" si="73"/>
        <v>0</v>
      </c>
      <c r="N532" s="100"/>
    </row>
    <row r="533" spans="1:14" ht="31.5" customHeight="1" x14ac:dyDescent="0.25">
      <c r="A533" s="52" t="str">
        <f t="shared" si="69"/>
        <v>TL</v>
      </c>
      <c r="B533" s="32" t="s">
        <v>849</v>
      </c>
      <c r="C533" s="33">
        <v>528</v>
      </c>
      <c r="D533" s="39" t="s">
        <v>647</v>
      </c>
      <c r="E533" s="33" t="s">
        <v>10</v>
      </c>
      <c r="F533" s="33">
        <v>4.18</v>
      </c>
      <c r="G533" s="33">
        <f t="shared" si="70"/>
        <v>4.18</v>
      </c>
      <c r="H533" s="33"/>
      <c r="I533" s="34" t="s">
        <v>253</v>
      </c>
      <c r="J533" s="99">
        <f>+'[1]Dự thầu'!$G$1183</f>
        <v>36181</v>
      </c>
      <c r="K533" s="98">
        <f t="shared" si="71"/>
        <v>151237</v>
      </c>
      <c r="L533" s="98">
        <f t="shared" si="72"/>
        <v>151237</v>
      </c>
      <c r="M533" s="98">
        <f t="shared" si="73"/>
        <v>0</v>
      </c>
      <c r="N533" s="100"/>
    </row>
    <row r="534" spans="1:14" ht="31.5" customHeight="1" x14ac:dyDescent="0.25">
      <c r="A534" s="52" t="str">
        <f t="shared" si="69"/>
        <v>TL</v>
      </c>
      <c r="B534" s="32" t="s">
        <v>850</v>
      </c>
      <c r="C534" s="33">
        <v>529</v>
      </c>
      <c r="D534" s="39" t="s">
        <v>842</v>
      </c>
      <c r="E534" s="33" t="s">
        <v>10</v>
      </c>
      <c r="F534" s="33">
        <v>19</v>
      </c>
      <c r="G534" s="33">
        <f t="shared" si="70"/>
        <v>19</v>
      </c>
      <c r="H534" s="33"/>
      <c r="I534" s="34" t="s">
        <v>567</v>
      </c>
      <c r="J534" s="99">
        <f>+'[1]Dự thầu'!$G$1184</f>
        <v>304120</v>
      </c>
      <c r="K534" s="98">
        <f t="shared" si="71"/>
        <v>5778280</v>
      </c>
      <c r="L534" s="98">
        <f t="shared" si="72"/>
        <v>5778280</v>
      </c>
      <c r="M534" s="98">
        <f t="shared" si="73"/>
        <v>0</v>
      </c>
      <c r="N534" s="100"/>
    </row>
    <row r="535" spans="1:14" ht="15.75" customHeight="1" x14ac:dyDescent="0.25">
      <c r="A535" s="52" t="str">
        <f t="shared" si="69"/>
        <v>TL</v>
      </c>
      <c r="B535" s="32" t="s">
        <v>851</v>
      </c>
      <c r="C535" s="33">
        <v>530</v>
      </c>
      <c r="D535" s="39" t="s">
        <v>831</v>
      </c>
      <c r="E535" s="33" t="s">
        <v>10</v>
      </c>
      <c r="F535" s="33">
        <v>73.150000000000006</v>
      </c>
      <c r="G535" s="33">
        <f t="shared" si="70"/>
        <v>73.150000000000006</v>
      </c>
      <c r="H535" s="33"/>
      <c r="I535" s="34" t="s">
        <v>16</v>
      </c>
      <c r="J535" s="99">
        <f>+'[1]Dự thầu'!$G$1186</f>
        <v>1682152</v>
      </c>
      <c r="K535" s="98">
        <f t="shared" si="71"/>
        <v>123049419</v>
      </c>
      <c r="L535" s="98">
        <f t="shared" si="72"/>
        <v>123049419</v>
      </c>
      <c r="M535" s="98">
        <f t="shared" si="73"/>
        <v>0</v>
      </c>
      <c r="N535" s="100"/>
    </row>
    <row r="536" spans="1:14" ht="31.5" customHeight="1" x14ac:dyDescent="0.25">
      <c r="A536" s="52" t="str">
        <f t="shared" si="69"/>
        <v>TL</v>
      </c>
      <c r="B536" s="32" t="s">
        <v>852</v>
      </c>
      <c r="C536" s="33">
        <v>531</v>
      </c>
      <c r="D536" s="39" t="s">
        <v>833</v>
      </c>
      <c r="E536" s="33" t="s">
        <v>10</v>
      </c>
      <c r="F536" s="33">
        <v>0.51</v>
      </c>
      <c r="G536" s="33">
        <f t="shared" si="70"/>
        <v>0.51</v>
      </c>
      <c r="H536" s="33"/>
      <c r="I536" s="34" t="s">
        <v>90</v>
      </c>
      <c r="J536" s="99">
        <f>+'[1]Dự thầu'!$G$1187</f>
        <v>28765433</v>
      </c>
      <c r="K536" s="98">
        <f t="shared" si="71"/>
        <v>14670371</v>
      </c>
      <c r="L536" s="98">
        <f t="shared" si="72"/>
        <v>14670371</v>
      </c>
      <c r="M536" s="98">
        <f t="shared" si="73"/>
        <v>0</v>
      </c>
      <c r="N536" s="100"/>
    </row>
    <row r="537" spans="1:14" ht="31.5" customHeight="1" x14ac:dyDescent="0.25">
      <c r="A537" s="52" t="str">
        <f t="shared" si="69"/>
        <v>TL</v>
      </c>
      <c r="B537" s="32" t="s">
        <v>853</v>
      </c>
      <c r="C537" s="33">
        <v>532</v>
      </c>
      <c r="D537" s="39" t="s">
        <v>835</v>
      </c>
      <c r="E537" s="33" t="s">
        <v>10</v>
      </c>
      <c r="F537" s="33">
        <v>11.44</v>
      </c>
      <c r="G537" s="33">
        <f t="shared" si="70"/>
        <v>11.44</v>
      </c>
      <c r="H537" s="33"/>
      <c r="I537" s="34" t="s">
        <v>90</v>
      </c>
      <c r="J537" s="99">
        <f>+'[1]Dự thầu'!$G$1188</f>
        <v>27004108</v>
      </c>
      <c r="K537" s="98">
        <f t="shared" si="71"/>
        <v>308926996</v>
      </c>
      <c r="L537" s="98">
        <f t="shared" si="72"/>
        <v>308926996</v>
      </c>
      <c r="M537" s="98">
        <f t="shared" si="73"/>
        <v>0</v>
      </c>
      <c r="N537" s="100"/>
    </row>
    <row r="538" spans="1:14" ht="31.5" customHeight="1" x14ac:dyDescent="0.25">
      <c r="A538" s="52" t="str">
        <f t="shared" si="69"/>
        <v>TL</v>
      </c>
      <c r="B538" s="32" t="s">
        <v>854</v>
      </c>
      <c r="C538" s="33">
        <v>533</v>
      </c>
      <c r="D538" s="39" t="s">
        <v>336</v>
      </c>
      <c r="E538" s="33" t="s">
        <v>10</v>
      </c>
      <c r="F538" s="33">
        <v>650</v>
      </c>
      <c r="G538" s="33">
        <f t="shared" si="70"/>
        <v>650</v>
      </c>
      <c r="H538" s="33"/>
      <c r="I538" s="34" t="s">
        <v>13</v>
      </c>
      <c r="J538" s="99">
        <f>+'[1]Dự thầu'!$G$1189</f>
        <v>115728</v>
      </c>
      <c r="K538" s="98">
        <f t="shared" si="71"/>
        <v>75223200</v>
      </c>
      <c r="L538" s="98">
        <f t="shared" si="72"/>
        <v>75223200</v>
      </c>
      <c r="M538" s="98">
        <f t="shared" si="73"/>
        <v>0</v>
      </c>
      <c r="N538" s="100"/>
    </row>
    <row r="539" spans="1:14" ht="31.5" customHeight="1" x14ac:dyDescent="0.25">
      <c r="A539" s="52" t="str">
        <f t="shared" si="69"/>
        <v>TL</v>
      </c>
      <c r="B539" s="32" t="s">
        <v>855</v>
      </c>
      <c r="C539" s="33">
        <v>534</v>
      </c>
      <c r="D539" s="39" t="s">
        <v>838</v>
      </c>
      <c r="E539" s="33" t="s">
        <v>10</v>
      </c>
      <c r="F539" s="33">
        <v>55</v>
      </c>
      <c r="G539" s="33">
        <f t="shared" si="70"/>
        <v>55</v>
      </c>
      <c r="H539" s="33"/>
      <c r="I539" s="34" t="s">
        <v>250</v>
      </c>
      <c r="J539" s="99">
        <f>+'[1]Dự thầu'!$G$1190</f>
        <v>113802</v>
      </c>
      <c r="K539" s="98">
        <f t="shared" si="71"/>
        <v>6259110</v>
      </c>
      <c r="L539" s="98">
        <f t="shared" si="72"/>
        <v>6259110</v>
      </c>
      <c r="M539" s="98">
        <f t="shared" si="73"/>
        <v>0</v>
      </c>
      <c r="N539" s="100"/>
    </row>
    <row r="540" spans="1:14" ht="47.25" customHeight="1" x14ac:dyDescent="0.25">
      <c r="A540" s="52" t="str">
        <f t="shared" si="69"/>
        <v>TL</v>
      </c>
      <c r="B540" s="32" t="s">
        <v>856</v>
      </c>
      <c r="C540" s="33">
        <v>535</v>
      </c>
      <c r="D540" s="39" t="s">
        <v>571</v>
      </c>
      <c r="E540" s="33" t="s">
        <v>10</v>
      </c>
      <c r="F540" s="33">
        <v>55</v>
      </c>
      <c r="G540" s="33">
        <f t="shared" si="70"/>
        <v>55</v>
      </c>
      <c r="H540" s="33"/>
      <c r="I540" s="34" t="s">
        <v>250</v>
      </c>
      <c r="J540" s="99">
        <f>+'[1]Dự thầu'!$G$1191</f>
        <v>91827</v>
      </c>
      <c r="K540" s="98">
        <f t="shared" si="71"/>
        <v>5050485</v>
      </c>
      <c r="L540" s="98">
        <f t="shared" si="72"/>
        <v>5050485</v>
      </c>
      <c r="M540" s="98">
        <f t="shared" si="73"/>
        <v>0</v>
      </c>
      <c r="N540" s="100"/>
    </row>
    <row r="541" spans="1:14" ht="31.5" customHeight="1" x14ac:dyDescent="0.25">
      <c r="A541" s="52" t="str">
        <f t="shared" si="69"/>
        <v>TL</v>
      </c>
      <c r="B541" s="32" t="s">
        <v>857</v>
      </c>
      <c r="C541" s="33">
        <v>536</v>
      </c>
      <c r="D541" s="39" t="s">
        <v>647</v>
      </c>
      <c r="E541" s="33" t="s">
        <v>10</v>
      </c>
      <c r="F541" s="33">
        <v>18.29</v>
      </c>
      <c r="G541" s="33">
        <f t="shared" si="70"/>
        <v>18.29</v>
      </c>
      <c r="H541" s="33"/>
      <c r="I541" s="34" t="s">
        <v>253</v>
      </c>
      <c r="J541" s="99">
        <f>+'[1]Dự thầu'!$G$1192</f>
        <v>36181</v>
      </c>
      <c r="K541" s="98">
        <f t="shared" si="71"/>
        <v>661750</v>
      </c>
      <c r="L541" s="98">
        <f t="shared" si="72"/>
        <v>661750</v>
      </c>
      <c r="M541" s="98">
        <f t="shared" si="73"/>
        <v>0</v>
      </c>
      <c r="N541" s="100"/>
    </row>
    <row r="542" spans="1:14" ht="31.5" customHeight="1" x14ac:dyDescent="0.25">
      <c r="A542" s="52" t="str">
        <f t="shared" si="69"/>
        <v>TL</v>
      </c>
      <c r="B542" s="32" t="s">
        <v>858</v>
      </c>
      <c r="C542" s="33">
        <v>537</v>
      </c>
      <c r="D542" s="39" t="s">
        <v>859</v>
      </c>
      <c r="E542" s="33" t="s">
        <v>10</v>
      </c>
      <c r="F542" s="33">
        <v>55</v>
      </c>
      <c r="G542" s="33">
        <f t="shared" si="70"/>
        <v>55</v>
      </c>
      <c r="H542" s="33"/>
      <c r="I542" s="34" t="s">
        <v>567</v>
      </c>
      <c r="J542" s="99">
        <f>+'[1]Dự thầu'!$G$1193</f>
        <v>319273</v>
      </c>
      <c r="K542" s="98">
        <f t="shared" si="71"/>
        <v>17560015</v>
      </c>
      <c r="L542" s="98">
        <f t="shared" si="72"/>
        <v>17560015</v>
      </c>
      <c r="M542" s="98">
        <f t="shared" si="73"/>
        <v>0</v>
      </c>
      <c r="N542" s="100"/>
    </row>
    <row r="543" spans="1:14" ht="15.75" customHeight="1" x14ac:dyDescent="0.25">
      <c r="A543" s="52" t="str">
        <f t="shared" si="69"/>
        <v>TL</v>
      </c>
      <c r="B543" s="32" t="s">
        <v>860</v>
      </c>
      <c r="C543" s="33">
        <v>538</v>
      </c>
      <c r="D543" s="39" t="s">
        <v>831</v>
      </c>
      <c r="E543" s="33" t="s">
        <v>10</v>
      </c>
      <c r="F543" s="33">
        <v>374</v>
      </c>
      <c r="G543" s="33">
        <f t="shared" si="70"/>
        <v>374</v>
      </c>
      <c r="H543" s="33"/>
      <c r="I543" s="34" t="s">
        <v>16</v>
      </c>
      <c r="J543" s="99">
        <f>+'[1]Dự thầu'!$G$1195</f>
        <v>1682152</v>
      </c>
      <c r="K543" s="98">
        <f t="shared" si="71"/>
        <v>629124848</v>
      </c>
      <c r="L543" s="98">
        <f t="shared" si="72"/>
        <v>629124848</v>
      </c>
      <c r="M543" s="98">
        <f t="shared" si="73"/>
        <v>0</v>
      </c>
      <c r="N543" s="100"/>
    </row>
    <row r="544" spans="1:14" ht="31.5" customHeight="1" x14ac:dyDescent="0.25">
      <c r="A544" s="52" t="str">
        <f t="shared" si="69"/>
        <v>TL</v>
      </c>
      <c r="B544" s="32" t="s">
        <v>861</v>
      </c>
      <c r="C544" s="33">
        <v>539</v>
      </c>
      <c r="D544" s="39" t="s">
        <v>833</v>
      </c>
      <c r="E544" s="33" t="s">
        <v>10</v>
      </c>
      <c r="F544" s="33">
        <v>2.9</v>
      </c>
      <c r="G544" s="33">
        <f t="shared" si="70"/>
        <v>2.9</v>
      </c>
      <c r="H544" s="33"/>
      <c r="I544" s="34" t="s">
        <v>90</v>
      </c>
      <c r="J544" s="99">
        <f>+'[1]Dự thầu'!$G$1196</f>
        <v>28765433</v>
      </c>
      <c r="K544" s="98">
        <f t="shared" si="71"/>
        <v>83419756</v>
      </c>
      <c r="L544" s="98">
        <f t="shared" si="72"/>
        <v>83419756</v>
      </c>
      <c r="M544" s="98">
        <f t="shared" si="73"/>
        <v>0</v>
      </c>
      <c r="N544" s="100"/>
    </row>
    <row r="545" spans="1:14" ht="31.5" customHeight="1" x14ac:dyDescent="0.25">
      <c r="A545" s="52" t="str">
        <f t="shared" si="69"/>
        <v>TL</v>
      </c>
      <c r="B545" s="32" t="s">
        <v>862</v>
      </c>
      <c r="C545" s="33">
        <v>540</v>
      </c>
      <c r="D545" s="39" t="s">
        <v>835</v>
      </c>
      <c r="E545" s="33" t="s">
        <v>10</v>
      </c>
      <c r="F545" s="33">
        <v>56.85</v>
      </c>
      <c r="G545" s="33">
        <f t="shared" si="70"/>
        <v>56.85</v>
      </c>
      <c r="H545" s="33"/>
      <c r="I545" s="34" t="s">
        <v>90</v>
      </c>
      <c r="J545" s="99">
        <f>+'[1]Dự thầu'!$G$1197</f>
        <v>27004108</v>
      </c>
      <c r="K545" s="98">
        <f t="shared" si="71"/>
        <v>1535183540</v>
      </c>
      <c r="L545" s="98">
        <f t="shared" si="72"/>
        <v>1535183540</v>
      </c>
      <c r="M545" s="98">
        <f t="shared" si="73"/>
        <v>0</v>
      </c>
      <c r="N545" s="100"/>
    </row>
    <row r="546" spans="1:14" ht="31.5" customHeight="1" x14ac:dyDescent="0.25">
      <c r="A546" s="52" t="str">
        <f t="shared" si="69"/>
        <v>TL</v>
      </c>
      <c r="B546" s="32" t="s">
        <v>863</v>
      </c>
      <c r="C546" s="33">
        <v>541</v>
      </c>
      <c r="D546" s="39" t="s">
        <v>336</v>
      </c>
      <c r="E546" s="33" t="s">
        <v>10</v>
      </c>
      <c r="F546" s="33">
        <v>3476</v>
      </c>
      <c r="G546" s="33">
        <f t="shared" si="70"/>
        <v>3476</v>
      </c>
      <c r="H546" s="33"/>
      <c r="I546" s="34" t="s">
        <v>13</v>
      </c>
      <c r="J546" s="99">
        <f>+'[1]Dự thầu'!$G$1198</f>
        <v>115728</v>
      </c>
      <c r="K546" s="98">
        <f t="shared" si="71"/>
        <v>402270528</v>
      </c>
      <c r="L546" s="98">
        <f t="shared" si="72"/>
        <v>402270528</v>
      </c>
      <c r="M546" s="98">
        <f t="shared" si="73"/>
        <v>0</v>
      </c>
      <c r="N546" s="100"/>
    </row>
    <row r="547" spans="1:14" ht="31.5" customHeight="1" x14ac:dyDescent="0.25">
      <c r="A547" s="52" t="str">
        <f t="shared" si="69"/>
        <v>TL</v>
      </c>
      <c r="B547" s="32" t="s">
        <v>864</v>
      </c>
      <c r="C547" s="33">
        <v>542</v>
      </c>
      <c r="D547" s="39" t="s">
        <v>838</v>
      </c>
      <c r="E547" s="33" t="s">
        <v>10</v>
      </c>
      <c r="F547" s="33">
        <v>309</v>
      </c>
      <c r="G547" s="33">
        <f t="shared" si="70"/>
        <v>309</v>
      </c>
      <c r="H547" s="33"/>
      <c r="I547" s="34" t="s">
        <v>250</v>
      </c>
      <c r="J547" s="99">
        <f>+'[1]Dự thầu'!$G$1199</f>
        <v>113802</v>
      </c>
      <c r="K547" s="98">
        <f t="shared" si="71"/>
        <v>35164818</v>
      </c>
      <c r="L547" s="98">
        <f t="shared" si="72"/>
        <v>35164818</v>
      </c>
      <c r="M547" s="98">
        <f t="shared" si="73"/>
        <v>0</v>
      </c>
      <c r="N547" s="100"/>
    </row>
    <row r="548" spans="1:14" ht="47.25" customHeight="1" x14ac:dyDescent="0.25">
      <c r="A548" s="52" t="str">
        <f t="shared" si="69"/>
        <v>TL</v>
      </c>
      <c r="B548" s="32" t="s">
        <v>865</v>
      </c>
      <c r="C548" s="33">
        <v>543</v>
      </c>
      <c r="D548" s="39" t="s">
        <v>571</v>
      </c>
      <c r="E548" s="33" t="s">
        <v>10</v>
      </c>
      <c r="F548" s="33">
        <v>309</v>
      </c>
      <c r="G548" s="33">
        <f t="shared" si="70"/>
        <v>309</v>
      </c>
      <c r="H548" s="33"/>
      <c r="I548" s="34" t="s">
        <v>250</v>
      </c>
      <c r="J548" s="99">
        <f>+'[1]Dự thầu'!$G$1200</f>
        <v>91827</v>
      </c>
      <c r="K548" s="98">
        <f t="shared" si="71"/>
        <v>28374543</v>
      </c>
      <c r="L548" s="98">
        <f t="shared" si="72"/>
        <v>28374543</v>
      </c>
      <c r="M548" s="98">
        <f t="shared" si="73"/>
        <v>0</v>
      </c>
      <c r="N548" s="100"/>
    </row>
    <row r="549" spans="1:14" ht="31.5" customHeight="1" x14ac:dyDescent="0.25">
      <c r="A549" s="52" t="str">
        <f t="shared" si="69"/>
        <v>TL</v>
      </c>
      <c r="B549" s="32" t="s">
        <v>866</v>
      </c>
      <c r="C549" s="33">
        <v>544</v>
      </c>
      <c r="D549" s="39" t="s">
        <v>647</v>
      </c>
      <c r="E549" s="33" t="s">
        <v>10</v>
      </c>
      <c r="F549" s="33">
        <v>93.5</v>
      </c>
      <c r="G549" s="33">
        <f t="shared" si="70"/>
        <v>93.5</v>
      </c>
      <c r="H549" s="33"/>
      <c r="I549" s="34" t="s">
        <v>253</v>
      </c>
      <c r="J549" s="99">
        <f>+'[1]Dự thầu'!$G$1201</f>
        <v>36181</v>
      </c>
      <c r="K549" s="98">
        <f t="shared" si="71"/>
        <v>3382924</v>
      </c>
      <c r="L549" s="98">
        <f t="shared" si="72"/>
        <v>3382924</v>
      </c>
      <c r="M549" s="98">
        <f t="shared" si="73"/>
        <v>0</v>
      </c>
      <c r="N549" s="100"/>
    </row>
    <row r="550" spans="1:14" ht="31.5" customHeight="1" x14ac:dyDescent="0.25">
      <c r="A550" s="52" t="str">
        <f t="shared" si="69"/>
        <v>TL</v>
      </c>
      <c r="B550" s="32" t="s">
        <v>867</v>
      </c>
      <c r="C550" s="33">
        <v>545</v>
      </c>
      <c r="D550" s="39" t="s">
        <v>859</v>
      </c>
      <c r="E550" s="33" t="s">
        <v>10</v>
      </c>
      <c r="F550" s="33">
        <v>309</v>
      </c>
      <c r="G550" s="33">
        <f t="shared" si="70"/>
        <v>309</v>
      </c>
      <c r="H550" s="33"/>
      <c r="I550" s="34" t="s">
        <v>567</v>
      </c>
      <c r="J550" s="99">
        <f>+'[1]Dự thầu'!$G$1202</f>
        <v>319273</v>
      </c>
      <c r="K550" s="98">
        <f t="shared" si="71"/>
        <v>98655357</v>
      </c>
      <c r="L550" s="98">
        <f t="shared" si="72"/>
        <v>98655357</v>
      </c>
      <c r="M550" s="98">
        <f t="shared" si="73"/>
        <v>0</v>
      </c>
      <c r="N550" s="100"/>
    </row>
    <row r="551" spans="1:14" ht="15.75" customHeight="1" x14ac:dyDescent="0.25">
      <c r="A551" s="52" t="str">
        <f t="shared" si="69"/>
        <v>TL</v>
      </c>
      <c r="B551" s="32" t="s">
        <v>868</v>
      </c>
      <c r="C551" s="33">
        <v>546</v>
      </c>
      <c r="D551" s="39" t="s">
        <v>334</v>
      </c>
      <c r="E551" s="33" t="s">
        <v>10</v>
      </c>
      <c r="F551" s="33">
        <v>3.52</v>
      </c>
      <c r="G551" s="33">
        <f t="shared" si="70"/>
        <v>3.52</v>
      </c>
      <c r="H551" s="33"/>
      <c r="I551" s="34" t="s">
        <v>16</v>
      </c>
      <c r="J551" s="99">
        <f>+'[1]Dự thầu'!$G$1204</f>
        <v>1631803</v>
      </c>
      <c r="K551" s="98">
        <f t="shared" ref="K551:K582" si="74">+ROUND(J551*F551,0)</f>
        <v>5743947</v>
      </c>
      <c r="L551" s="98">
        <f t="shared" ref="L551:L582" si="75">+ROUND(G551*J551,0)</f>
        <v>5743947</v>
      </c>
      <c r="M551" s="98">
        <f t="shared" ref="M551:M582" si="76">+ROUND(H551*J551,0)</f>
        <v>0</v>
      </c>
      <c r="N551" s="100"/>
    </row>
    <row r="552" spans="1:14" ht="31.5" customHeight="1" x14ac:dyDescent="0.25">
      <c r="A552" s="52" t="str">
        <f t="shared" si="69"/>
        <v>TL</v>
      </c>
      <c r="B552" s="32" t="s">
        <v>869</v>
      </c>
      <c r="C552" s="33">
        <v>547</v>
      </c>
      <c r="D552" s="39" t="s">
        <v>246</v>
      </c>
      <c r="E552" s="33" t="s">
        <v>10</v>
      </c>
      <c r="F552" s="33">
        <v>0.18</v>
      </c>
      <c r="G552" s="33">
        <f t="shared" si="70"/>
        <v>0.18</v>
      </c>
      <c r="H552" s="33"/>
      <c r="I552" s="34" t="s">
        <v>90</v>
      </c>
      <c r="J552" s="99">
        <f>+'[1]Dự thầu'!$G$1205</f>
        <v>27096238</v>
      </c>
      <c r="K552" s="98">
        <f t="shared" si="74"/>
        <v>4877323</v>
      </c>
      <c r="L552" s="98">
        <f t="shared" si="75"/>
        <v>4877323</v>
      </c>
      <c r="M552" s="98">
        <f t="shared" si="76"/>
        <v>0</v>
      </c>
      <c r="N552" s="100"/>
    </row>
    <row r="553" spans="1:14" ht="31.5" customHeight="1" x14ac:dyDescent="0.25">
      <c r="A553" s="52" t="str">
        <f t="shared" si="69"/>
        <v>TL</v>
      </c>
      <c r="B553" s="32" t="s">
        <v>870</v>
      </c>
      <c r="C553" s="33">
        <v>548</v>
      </c>
      <c r="D553" s="39" t="s">
        <v>871</v>
      </c>
      <c r="E553" s="33" t="s">
        <v>10</v>
      </c>
      <c r="F553" s="33">
        <v>11</v>
      </c>
      <c r="G553" s="33">
        <f t="shared" si="70"/>
        <v>11</v>
      </c>
      <c r="H553" s="33"/>
      <c r="I553" s="34" t="s">
        <v>13</v>
      </c>
      <c r="J553" s="99">
        <f>+'[1]Dự thầu'!$G$1206</f>
        <v>86606</v>
      </c>
      <c r="K553" s="98">
        <f t="shared" si="74"/>
        <v>952666</v>
      </c>
      <c r="L553" s="98">
        <f t="shared" si="75"/>
        <v>952666</v>
      </c>
      <c r="M553" s="98">
        <f t="shared" si="76"/>
        <v>0</v>
      </c>
      <c r="N553" s="100"/>
    </row>
    <row r="554" spans="1:14" ht="31.5" customHeight="1" x14ac:dyDescent="0.25">
      <c r="A554" s="52" t="str">
        <f t="shared" si="69"/>
        <v>TL</v>
      </c>
      <c r="B554" s="32" t="s">
        <v>872</v>
      </c>
      <c r="C554" s="33">
        <v>549</v>
      </c>
      <c r="D554" s="39" t="s">
        <v>240</v>
      </c>
      <c r="E554" s="33" t="s">
        <v>10</v>
      </c>
      <c r="F554" s="33">
        <v>1.3</v>
      </c>
      <c r="G554" s="33">
        <f t="shared" si="70"/>
        <v>1.3</v>
      </c>
      <c r="H554" s="33"/>
      <c r="I554" s="34" t="s">
        <v>16</v>
      </c>
      <c r="J554" s="99">
        <f>+'[1]Dự thầu'!$G$1207</f>
        <v>842139</v>
      </c>
      <c r="K554" s="98">
        <f t="shared" si="74"/>
        <v>1094781</v>
      </c>
      <c r="L554" s="98">
        <f t="shared" si="75"/>
        <v>1094781</v>
      </c>
      <c r="M554" s="98">
        <f t="shared" si="76"/>
        <v>0</v>
      </c>
      <c r="N554" s="100"/>
    </row>
    <row r="555" spans="1:14" ht="31.5" customHeight="1" x14ac:dyDescent="0.25">
      <c r="A555" s="52" t="str">
        <f t="shared" si="69"/>
        <v>TL</v>
      </c>
      <c r="B555" s="32" t="s">
        <v>873</v>
      </c>
      <c r="C555" s="33">
        <v>550</v>
      </c>
      <c r="D555" s="39" t="s">
        <v>874</v>
      </c>
      <c r="E555" s="33" t="s">
        <v>10</v>
      </c>
      <c r="F555" s="33">
        <v>10</v>
      </c>
      <c r="G555" s="33">
        <f t="shared" si="70"/>
        <v>10</v>
      </c>
      <c r="H555" s="33"/>
      <c r="I555" s="34" t="s">
        <v>250</v>
      </c>
      <c r="J555" s="99">
        <f>+'[1]Dự thầu'!$G$1208</f>
        <v>69167</v>
      </c>
      <c r="K555" s="98">
        <f t="shared" si="74"/>
        <v>691670</v>
      </c>
      <c r="L555" s="98">
        <f t="shared" si="75"/>
        <v>691670</v>
      </c>
      <c r="M555" s="98">
        <f t="shared" si="76"/>
        <v>0</v>
      </c>
      <c r="N555" s="100"/>
    </row>
    <row r="556" spans="1:14" ht="47.25" customHeight="1" x14ac:dyDescent="0.25">
      <c r="A556" s="52" t="str">
        <f t="shared" si="69"/>
        <v>TL</v>
      </c>
      <c r="B556" s="32" t="s">
        <v>875</v>
      </c>
      <c r="C556" s="33">
        <v>551</v>
      </c>
      <c r="D556" s="39" t="s">
        <v>876</v>
      </c>
      <c r="E556" s="33" t="s">
        <v>10</v>
      </c>
      <c r="F556" s="33">
        <v>10</v>
      </c>
      <c r="G556" s="33">
        <f t="shared" si="70"/>
        <v>10</v>
      </c>
      <c r="H556" s="33"/>
      <c r="I556" s="34" t="s">
        <v>250</v>
      </c>
      <c r="J556" s="99">
        <f>+'[1]Dự thầu'!$G$1209</f>
        <v>52812</v>
      </c>
      <c r="K556" s="98">
        <f t="shared" si="74"/>
        <v>528120</v>
      </c>
      <c r="L556" s="98">
        <f t="shared" si="75"/>
        <v>528120</v>
      </c>
      <c r="M556" s="98">
        <f t="shared" si="76"/>
        <v>0</v>
      </c>
      <c r="N556" s="100"/>
    </row>
    <row r="557" spans="1:14" ht="31.5" customHeight="1" x14ac:dyDescent="0.25">
      <c r="A557" s="52" t="str">
        <f t="shared" si="69"/>
        <v>TL</v>
      </c>
      <c r="B557" s="32" t="s">
        <v>877</v>
      </c>
      <c r="C557" s="33">
        <v>552</v>
      </c>
      <c r="D557" s="39" t="s">
        <v>284</v>
      </c>
      <c r="E557" s="33" t="s">
        <v>10</v>
      </c>
      <c r="F557" s="33">
        <v>0.88</v>
      </c>
      <c r="G557" s="33">
        <f t="shared" si="70"/>
        <v>0.88</v>
      </c>
      <c r="H557" s="33"/>
      <c r="I557" s="34" t="s">
        <v>274</v>
      </c>
      <c r="J557" s="99">
        <f>+'[1]Dự thầu'!$G$1210</f>
        <v>32162</v>
      </c>
      <c r="K557" s="98">
        <f t="shared" si="74"/>
        <v>28303</v>
      </c>
      <c r="L557" s="98">
        <f t="shared" si="75"/>
        <v>28303</v>
      </c>
      <c r="M557" s="98">
        <f t="shared" si="76"/>
        <v>0</v>
      </c>
      <c r="N557" s="100"/>
    </row>
    <row r="558" spans="1:14" ht="31.5" customHeight="1" x14ac:dyDescent="0.25">
      <c r="A558" s="52" t="str">
        <f t="shared" si="69"/>
        <v>TL</v>
      </c>
      <c r="B558" s="32" t="s">
        <v>878</v>
      </c>
      <c r="C558" s="33">
        <v>553</v>
      </c>
      <c r="D558" s="39" t="s">
        <v>257</v>
      </c>
      <c r="E558" s="33" t="s">
        <v>10</v>
      </c>
      <c r="F558" s="33">
        <v>10</v>
      </c>
      <c r="G558" s="33">
        <f t="shared" si="70"/>
        <v>10</v>
      </c>
      <c r="H558" s="33"/>
      <c r="I558" s="34" t="s">
        <v>258</v>
      </c>
      <c r="J558" s="99">
        <f>+'[1]Dự thầu'!$G$1211</f>
        <v>142868</v>
      </c>
      <c r="K558" s="98">
        <f t="shared" si="74"/>
        <v>1428680</v>
      </c>
      <c r="L558" s="98">
        <f t="shared" si="75"/>
        <v>1428680</v>
      </c>
      <c r="M558" s="98">
        <f t="shared" si="76"/>
        <v>0</v>
      </c>
      <c r="N558" s="100"/>
    </row>
    <row r="559" spans="1:14" ht="15.75" customHeight="1" x14ac:dyDescent="0.25">
      <c r="A559" s="52" t="str">
        <f t="shared" si="69"/>
        <v>TL</v>
      </c>
      <c r="B559" s="32" t="s">
        <v>879</v>
      </c>
      <c r="C559" s="33">
        <v>554</v>
      </c>
      <c r="D559" s="39" t="s">
        <v>334</v>
      </c>
      <c r="E559" s="33" t="s">
        <v>10</v>
      </c>
      <c r="F559" s="33">
        <v>17.95</v>
      </c>
      <c r="G559" s="33">
        <f t="shared" si="70"/>
        <v>17.95</v>
      </c>
      <c r="H559" s="33"/>
      <c r="I559" s="34" t="s">
        <v>16</v>
      </c>
      <c r="J559" s="99">
        <f>+'[1]Dự thầu'!$G$1213</f>
        <v>1471205</v>
      </c>
      <c r="K559" s="98">
        <f t="shared" si="74"/>
        <v>26408130</v>
      </c>
      <c r="L559" s="98">
        <f t="shared" si="75"/>
        <v>26408130</v>
      </c>
      <c r="M559" s="98">
        <f t="shared" si="76"/>
        <v>0</v>
      </c>
      <c r="N559" s="100"/>
    </row>
    <row r="560" spans="1:14" ht="31.5" customHeight="1" x14ac:dyDescent="0.25">
      <c r="A560" s="52" t="str">
        <f t="shared" si="69"/>
        <v>TL</v>
      </c>
      <c r="B560" s="32" t="s">
        <v>880</v>
      </c>
      <c r="C560" s="33">
        <v>555</v>
      </c>
      <c r="D560" s="39" t="s">
        <v>246</v>
      </c>
      <c r="E560" s="33" t="s">
        <v>10</v>
      </c>
      <c r="F560" s="33">
        <v>0.9</v>
      </c>
      <c r="G560" s="33">
        <f t="shared" si="70"/>
        <v>0.9</v>
      </c>
      <c r="H560" s="33"/>
      <c r="I560" s="34" t="s">
        <v>90</v>
      </c>
      <c r="J560" s="99">
        <f>+'[1]Dự thầu'!$G$1214</f>
        <v>27096238</v>
      </c>
      <c r="K560" s="98">
        <f t="shared" si="74"/>
        <v>24386614</v>
      </c>
      <c r="L560" s="98">
        <f t="shared" si="75"/>
        <v>24386614</v>
      </c>
      <c r="M560" s="98">
        <f t="shared" si="76"/>
        <v>0</v>
      </c>
      <c r="N560" s="100"/>
    </row>
    <row r="561" spans="1:14" ht="31.5" customHeight="1" x14ac:dyDescent="0.25">
      <c r="A561" s="52" t="str">
        <f t="shared" si="69"/>
        <v>TL</v>
      </c>
      <c r="B561" s="32" t="s">
        <v>881</v>
      </c>
      <c r="C561" s="33">
        <v>556</v>
      </c>
      <c r="D561" s="39" t="s">
        <v>871</v>
      </c>
      <c r="E561" s="33" t="s">
        <v>10</v>
      </c>
      <c r="F561" s="33">
        <v>44.34</v>
      </c>
      <c r="G561" s="33">
        <f t="shared" si="70"/>
        <v>44.34</v>
      </c>
      <c r="H561" s="33"/>
      <c r="I561" s="34" t="s">
        <v>13</v>
      </c>
      <c r="J561" s="99">
        <f>+'[1]Dự thầu'!$G$1215</f>
        <v>86606</v>
      </c>
      <c r="K561" s="98">
        <f t="shared" si="74"/>
        <v>3840110</v>
      </c>
      <c r="L561" s="98">
        <f t="shared" si="75"/>
        <v>3840110</v>
      </c>
      <c r="M561" s="98">
        <f t="shared" si="76"/>
        <v>0</v>
      </c>
      <c r="N561" s="100"/>
    </row>
    <row r="562" spans="1:14" ht="47.25" customHeight="1" x14ac:dyDescent="0.25">
      <c r="A562" s="52" t="str">
        <f t="shared" si="69"/>
        <v>TL</v>
      </c>
      <c r="B562" s="32" t="s">
        <v>882</v>
      </c>
      <c r="C562" s="33">
        <v>557</v>
      </c>
      <c r="D562" s="39" t="s">
        <v>349</v>
      </c>
      <c r="E562" s="33" t="s">
        <v>10</v>
      </c>
      <c r="F562" s="33">
        <v>34</v>
      </c>
      <c r="G562" s="33">
        <f t="shared" si="70"/>
        <v>34</v>
      </c>
      <c r="H562" s="33"/>
      <c r="I562" s="34" t="s">
        <v>250</v>
      </c>
      <c r="J562" s="99">
        <f>+'[1]Dự thầu'!$G$1216</f>
        <v>79217</v>
      </c>
      <c r="K562" s="98">
        <f t="shared" si="74"/>
        <v>2693378</v>
      </c>
      <c r="L562" s="98">
        <f t="shared" si="75"/>
        <v>2693378</v>
      </c>
      <c r="M562" s="98">
        <f t="shared" si="76"/>
        <v>0</v>
      </c>
      <c r="N562" s="100"/>
    </row>
    <row r="563" spans="1:14" ht="47.25" customHeight="1" x14ac:dyDescent="0.25">
      <c r="A563" s="52" t="str">
        <f t="shared" si="69"/>
        <v>TL</v>
      </c>
      <c r="B563" s="32" t="s">
        <v>883</v>
      </c>
      <c r="C563" s="33">
        <v>558</v>
      </c>
      <c r="D563" s="39" t="s">
        <v>351</v>
      </c>
      <c r="E563" s="33" t="s">
        <v>10</v>
      </c>
      <c r="F563" s="33">
        <v>34</v>
      </c>
      <c r="G563" s="33">
        <f t="shared" si="70"/>
        <v>34</v>
      </c>
      <c r="H563" s="33"/>
      <c r="I563" s="34" t="s">
        <v>250</v>
      </c>
      <c r="J563" s="99">
        <f>+'[1]Dự thầu'!$G$1217</f>
        <v>65424</v>
      </c>
      <c r="K563" s="98">
        <f t="shared" si="74"/>
        <v>2224416</v>
      </c>
      <c r="L563" s="98">
        <f t="shared" si="75"/>
        <v>2224416</v>
      </c>
      <c r="M563" s="98">
        <f t="shared" si="76"/>
        <v>0</v>
      </c>
      <c r="N563" s="100"/>
    </row>
    <row r="564" spans="1:14" ht="31.5" customHeight="1" x14ac:dyDescent="0.25">
      <c r="A564" s="52" t="str">
        <f t="shared" si="69"/>
        <v>TL</v>
      </c>
      <c r="B564" s="32" t="s">
        <v>884</v>
      </c>
      <c r="C564" s="33">
        <v>559</v>
      </c>
      <c r="D564" s="39" t="s">
        <v>284</v>
      </c>
      <c r="E564" s="33" t="s">
        <v>10</v>
      </c>
      <c r="F564" s="33">
        <v>4.49</v>
      </c>
      <c r="G564" s="33">
        <f t="shared" si="70"/>
        <v>4.49</v>
      </c>
      <c r="H564" s="33"/>
      <c r="I564" s="34" t="s">
        <v>253</v>
      </c>
      <c r="J564" s="99">
        <f>+'[1]Dự thầu'!$G$1218</f>
        <v>32162</v>
      </c>
      <c r="K564" s="98">
        <f t="shared" si="74"/>
        <v>144407</v>
      </c>
      <c r="L564" s="98">
        <f t="shared" si="75"/>
        <v>144407</v>
      </c>
      <c r="M564" s="98">
        <f t="shared" si="76"/>
        <v>0</v>
      </c>
      <c r="N564" s="100"/>
    </row>
    <row r="565" spans="1:14" ht="31.5" customHeight="1" x14ac:dyDescent="0.25">
      <c r="A565" s="52" t="str">
        <f t="shared" si="69"/>
        <v>TL</v>
      </c>
      <c r="B565" s="32" t="s">
        <v>885</v>
      </c>
      <c r="C565" s="33">
        <v>560</v>
      </c>
      <c r="D565" s="39" t="s">
        <v>355</v>
      </c>
      <c r="E565" s="33" t="s">
        <v>10</v>
      </c>
      <c r="F565" s="33">
        <v>34</v>
      </c>
      <c r="G565" s="33">
        <f t="shared" si="70"/>
        <v>34</v>
      </c>
      <c r="H565" s="33"/>
      <c r="I565" s="34" t="s">
        <v>258</v>
      </c>
      <c r="J565" s="99">
        <f>+'[1]Dự thầu'!$G$1219</f>
        <v>120701</v>
      </c>
      <c r="K565" s="98">
        <f t="shared" si="74"/>
        <v>4103834</v>
      </c>
      <c r="L565" s="98">
        <f t="shared" si="75"/>
        <v>4103834</v>
      </c>
      <c r="M565" s="98">
        <f t="shared" si="76"/>
        <v>0</v>
      </c>
      <c r="N565" s="100"/>
    </row>
    <row r="566" spans="1:14" ht="15.75" customHeight="1" x14ac:dyDescent="0.25">
      <c r="A566" s="52" t="str">
        <f t="shared" si="69"/>
        <v>TL</v>
      </c>
      <c r="B566" s="32" t="s">
        <v>886</v>
      </c>
      <c r="C566" s="33">
        <v>561</v>
      </c>
      <c r="D566" s="39" t="s">
        <v>334</v>
      </c>
      <c r="E566" s="33" t="s">
        <v>10</v>
      </c>
      <c r="F566" s="33">
        <v>2.09</v>
      </c>
      <c r="G566" s="33">
        <f t="shared" si="70"/>
        <v>2.09</v>
      </c>
      <c r="H566" s="33"/>
      <c r="I566" s="34" t="s">
        <v>16</v>
      </c>
      <c r="J566" s="99">
        <f>+'[1]Dự thầu'!$G$1221</f>
        <v>1631803</v>
      </c>
      <c r="K566" s="98">
        <f t="shared" si="74"/>
        <v>3410468</v>
      </c>
      <c r="L566" s="98">
        <f t="shared" si="75"/>
        <v>3410468</v>
      </c>
      <c r="M566" s="98">
        <f t="shared" si="76"/>
        <v>0</v>
      </c>
      <c r="N566" s="100"/>
    </row>
    <row r="567" spans="1:14" ht="31.5" customHeight="1" x14ac:dyDescent="0.25">
      <c r="A567" s="52" t="str">
        <f t="shared" si="69"/>
        <v>TL</v>
      </c>
      <c r="B567" s="32" t="s">
        <v>887</v>
      </c>
      <c r="C567" s="33">
        <v>562</v>
      </c>
      <c r="D567" s="39" t="s">
        <v>246</v>
      </c>
      <c r="E567" s="33" t="s">
        <v>10</v>
      </c>
      <c r="F567" s="33">
        <v>0.14000000000000001</v>
      </c>
      <c r="G567" s="33">
        <f t="shared" si="70"/>
        <v>0.14000000000000001</v>
      </c>
      <c r="H567" s="33"/>
      <c r="I567" s="34" t="s">
        <v>90</v>
      </c>
      <c r="J567" s="99">
        <f>+'[1]Dự thầu'!$G$1222</f>
        <v>27096238</v>
      </c>
      <c r="K567" s="98">
        <f t="shared" si="74"/>
        <v>3793473</v>
      </c>
      <c r="L567" s="98">
        <f t="shared" si="75"/>
        <v>3793473</v>
      </c>
      <c r="M567" s="98">
        <f t="shared" si="76"/>
        <v>0</v>
      </c>
      <c r="N567" s="100"/>
    </row>
    <row r="568" spans="1:14" ht="31.5" customHeight="1" x14ac:dyDescent="0.25">
      <c r="A568" s="52" t="str">
        <f t="shared" si="69"/>
        <v>TL</v>
      </c>
      <c r="B568" s="32" t="s">
        <v>888</v>
      </c>
      <c r="C568" s="33">
        <v>563</v>
      </c>
      <c r="D568" s="39" t="s">
        <v>871</v>
      </c>
      <c r="E568" s="33" t="s">
        <v>10</v>
      </c>
      <c r="F568" s="33">
        <v>6.16</v>
      </c>
      <c r="G568" s="33">
        <f t="shared" si="70"/>
        <v>6.16</v>
      </c>
      <c r="H568" s="33"/>
      <c r="I568" s="34" t="s">
        <v>13</v>
      </c>
      <c r="J568" s="99">
        <f>+'[1]Dự thầu'!$G$1223</f>
        <v>86606</v>
      </c>
      <c r="K568" s="98">
        <f t="shared" si="74"/>
        <v>533493</v>
      </c>
      <c r="L568" s="98">
        <f t="shared" si="75"/>
        <v>533493</v>
      </c>
      <c r="M568" s="98">
        <f t="shared" si="76"/>
        <v>0</v>
      </c>
      <c r="N568" s="100"/>
    </row>
    <row r="569" spans="1:14" ht="47.25" customHeight="1" x14ac:dyDescent="0.25">
      <c r="A569" s="52" t="str">
        <f t="shared" si="69"/>
        <v>TL</v>
      </c>
      <c r="B569" s="32" t="s">
        <v>889</v>
      </c>
      <c r="C569" s="33">
        <v>564</v>
      </c>
      <c r="D569" s="39" t="s">
        <v>349</v>
      </c>
      <c r="E569" s="33" t="s">
        <v>10</v>
      </c>
      <c r="F569" s="33">
        <v>5</v>
      </c>
      <c r="G569" s="33">
        <f t="shared" si="70"/>
        <v>5</v>
      </c>
      <c r="H569" s="33"/>
      <c r="I569" s="34" t="s">
        <v>250</v>
      </c>
      <c r="J569" s="99">
        <f>+'[1]Dự thầu'!$G$1224</f>
        <v>79217</v>
      </c>
      <c r="K569" s="98">
        <f t="shared" si="74"/>
        <v>396085</v>
      </c>
      <c r="L569" s="98">
        <f t="shared" si="75"/>
        <v>396085</v>
      </c>
      <c r="M569" s="98">
        <f t="shared" si="76"/>
        <v>0</v>
      </c>
      <c r="N569" s="100"/>
    </row>
    <row r="570" spans="1:14" ht="47.25" customHeight="1" x14ac:dyDescent="0.25">
      <c r="A570" s="52" t="str">
        <f t="shared" si="69"/>
        <v>TL</v>
      </c>
      <c r="B570" s="32" t="s">
        <v>890</v>
      </c>
      <c r="C570" s="33">
        <v>565</v>
      </c>
      <c r="D570" s="39" t="s">
        <v>351</v>
      </c>
      <c r="E570" s="33" t="s">
        <v>10</v>
      </c>
      <c r="F570" s="33">
        <v>5</v>
      </c>
      <c r="G570" s="33">
        <f t="shared" si="70"/>
        <v>5</v>
      </c>
      <c r="H570" s="33"/>
      <c r="I570" s="34" t="s">
        <v>250</v>
      </c>
      <c r="J570" s="99">
        <f>+'[1]Dự thầu'!$G$1225</f>
        <v>65424</v>
      </c>
      <c r="K570" s="98">
        <f t="shared" si="74"/>
        <v>327120</v>
      </c>
      <c r="L570" s="98">
        <f t="shared" si="75"/>
        <v>327120</v>
      </c>
      <c r="M570" s="98">
        <f t="shared" si="76"/>
        <v>0</v>
      </c>
      <c r="N570" s="100"/>
    </row>
    <row r="571" spans="1:14" ht="31.5" customHeight="1" x14ac:dyDescent="0.25">
      <c r="A571" s="52" t="str">
        <f t="shared" si="69"/>
        <v>TL</v>
      </c>
      <c r="B571" s="32" t="s">
        <v>891</v>
      </c>
      <c r="C571" s="33">
        <v>566</v>
      </c>
      <c r="D571" s="39" t="s">
        <v>284</v>
      </c>
      <c r="E571" s="33" t="s">
        <v>10</v>
      </c>
      <c r="F571" s="33">
        <v>0.52</v>
      </c>
      <c r="G571" s="33">
        <f t="shared" si="70"/>
        <v>0.52</v>
      </c>
      <c r="H571" s="33"/>
      <c r="I571" s="34" t="s">
        <v>274</v>
      </c>
      <c r="J571" s="99">
        <f>+'[1]Dự thầu'!$G$1226</f>
        <v>32162</v>
      </c>
      <c r="K571" s="98">
        <f t="shared" si="74"/>
        <v>16724</v>
      </c>
      <c r="L571" s="98">
        <f t="shared" si="75"/>
        <v>16724</v>
      </c>
      <c r="M571" s="98">
        <f t="shared" si="76"/>
        <v>0</v>
      </c>
      <c r="N571" s="100"/>
    </row>
    <row r="572" spans="1:14" ht="31.5" customHeight="1" x14ac:dyDescent="0.25">
      <c r="A572" s="52" t="str">
        <f t="shared" si="69"/>
        <v>TL</v>
      </c>
      <c r="B572" s="32" t="s">
        <v>892</v>
      </c>
      <c r="C572" s="33">
        <v>567</v>
      </c>
      <c r="D572" s="39" t="s">
        <v>355</v>
      </c>
      <c r="E572" s="33" t="s">
        <v>10</v>
      </c>
      <c r="F572" s="33">
        <v>5</v>
      </c>
      <c r="G572" s="33">
        <f t="shared" si="70"/>
        <v>5</v>
      </c>
      <c r="H572" s="33"/>
      <c r="I572" s="34" t="s">
        <v>258</v>
      </c>
      <c r="J572" s="99">
        <f>+'[1]Dự thầu'!$G$1227</f>
        <v>120701</v>
      </c>
      <c r="K572" s="98">
        <f t="shared" si="74"/>
        <v>603505</v>
      </c>
      <c r="L572" s="98">
        <f t="shared" si="75"/>
        <v>603505</v>
      </c>
      <c r="M572" s="98">
        <f t="shared" si="76"/>
        <v>0</v>
      </c>
      <c r="N572" s="100"/>
    </row>
    <row r="573" spans="1:14" ht="15.75" customHeight="1" x14ac:dyDescent="0.25">
      <c r="A573" s="52" t="str">
        <f t="shared" si="69"/>
        <v>TL</v>
      </c>
      <c r="B573" s="32" t="s">
        <v>893</v>
      </c>
      <c r="C573" s="33">
        <v>568</v>
      </c>
      <c r="D573" s="39" t="s">
        <v>334</v>
      </c>
      <c r="E573" s="33" t="s">
        <v>10</v>
      </c>
      <c r="F573" s="33">
        <v>140.49</v>
      </c>
      <c r="G573" s="33">
        <f t="shared" si="70"/>
        <v>140.49</v>
      </c>
      <c r="H573" s="33"/>
      <c r="I573" s="34" t="s">
        <v>16</v>
      </c>
      <c r="J573" s="99">
        <f>+'[1]Dự thầu'!$G$1229</f>
        <v>1631803</v>
      </c>
      <c r="K573" s="98">
        <f t="shared" si="74"/>
        <v>229252003</v>
      </c>
      <c r="L573" s="98">
        <f t="shared" si="75"/>
        <v>229252003</v>
      </c>
      <c r="M573" s="98">
        <f t="shared" si="76"/>
        <v>0</v>
      </c>
      <c r="N573" s="100"/>
    </row>
    <row r="574" spans="1:14" ht="31.5" customHeight="1" x14ac:dyDescent="0.25">
      <c r="A574" s="52" t="str">
        <f t="shared" si="69"/>
        <v>TL</v>
      </c>
      <c r="B574" s="32" t="s">
        <v>894</v>
      </c>
      <c r="C574" s="33">
        <v>569</v>
      </c>
      <c r="D574" s="39" t="s">
        <v>246</v>
      </c>
      <c r="E574" s="33" t="s">
        <v>10</v>
      </c>
      <c r="F574" s="33">
        <v>6.68</v>
      </c>
      <c r="G574" s="33">
        <f t="shared" si="70"/>
        <v>6.68</v>
      </c>
      <c r="H574" s="33"/>
      <c r="I574" s="34" t="s">
        <v>90</v>
      </c>
      <c r="J574" s="99">
        <f>+'[1]Dự thầu'!$G$1230</f>
        <v>27096238</v>
      </c>
      <c r="K574" s="98">
        <f t="shared" si="74"/>
        <v>181002870</v>
      </c>
      <c r="L574" s="98">
        <f t="shared" si="75"/>
        <v>181002870</v>
      </c>
      <c r="M574" s="98">
        <f t="shared" si="76"/>
        <v>0</v>
      </c>
      <c r="N574" s="100"/>
    </row>
    <row r="575" spans="1:14" ht="31.5" customHeight="1" x14ac:dyDescent="0.25">
      <c r="A575" s="52" t="str">
        <f t="shared" si="69"/>
        <v>TL</v>
      </c>
      <c r="B575" s="32" t="s">
        <v>895</v>
      </c>
      <c r="C575" s="33">
        <v>570</v>
      </c>
      <c r="D575" s="39" t="s">
        <v>871</v>
      </c>
      <c r="E575" s="33" t="s">
        <v>10</v>
      </c>
      <c r="F575" s="33">
        <v>321.66000000000003</v>
      </c>
      <c r="G575" s="33">
        <f t="shared" si="70"/>
        <v>321.66000000000003</v>
      </c>
      <c r="H575" s="33"/>
      <c r="I575" s="34" t="s">
        <v>13</v>
      </c>
      <c r="J575" s="99">
        <f>+'[1]Dự thầu'!$G$1231</f>
        <v>86606</v>
      </c>
      <c r="K575" s="98">
        <f t="shared" si="74"/>
        <v>27857686</v>
      </c>
      <c r="L575" s="98">
        <f t="shared" si="75"/>
        <v>27857686</v>
      </c>
      <c r="M575" s="98">
        <f t="shared" si="76"/>
        <v>0</v>
      </c>
      <c r="N575" s="100"/>
    </row>
    <row r="576" spans="1:14" ht="47.25" customHeight="1" x14ac:dyDescent="0.25">
      <c r="A576" s="52" t="str">
        <f t="shared" si="69"/>
        <v>TL</v>
      </c>
      <c r="B576" s="32" t="s">
        <v>896</v>
      </c>
      <c r="C576" s="33">
        <v>571</v>
      </c>
      <c r="D576" s="39" t="s">
        <v>351</v>
      </c>
      <c r="E576" s="33" t="s">
        <v>10</v>
      </c>
      <c r="F576" s="33">
        <v>224</v>
      </c>
      <c r="G576" s="33">
        <f t="shared" si="70"/>
        <v>224</v>
      </c>
      <c r="H576" s="33"/>
      <c r="I576" s="34" t="s">
        <v>250</v>
      </c>
      <c r="J576" s="99">
        <f>+'[1]Dự thầu'!$G$1232</f>
        <v>65424</v>
      </c>
      <c r="K576" s="98">
        <f t="shared" si="74"/>
        <v>14654976</v>
      </c>
      <c r="L576" s="98">
        <f t="shared" si="75"/>
        <v>14654976</v>
      </c>
      <c r="M576" s="98">
        <f t="shared" si="76"/>
        <v>0</v>
      </c>
      <c r="N576" s="100"/>
    </row>
    <row r="577" spans="1:14" ht="47.25" customHeight="1" x14ac:dyDescent="0.25">
      <c r="A577" s="52" t="str">
        <f t="shared" si="69"/>
        <v>TL</v>
      </c>
      <c r="B577" s="32" t="s">
        <v>897</v>
      </c>
      <c r="C577" s="33">
        <v>572</v>
      </c>
      <c r="D577" s="39" t="s">
        <v>351</v>
      </c>
      <c r="E577" s="33" t="s">
        <v>10</v>
      </c>
      <c r="F577" s="33">
        <v>224</v>
      </c>
      <c r="G577" s="33">
        <f t="shared" si="70"/>
        <v>224</v>
      </c>
      <c r="H577" s="33"/>
      <c r="I577" s="34" t="s">
        <v>250</v>
      </c>
      <c r="J577" s="99">
        <f>+'[1]Dự thầu'!$G$1233</f>
        <v>65424</v>
      </c>
      <c r="K577" s="98">
        <f t="shared" si="74"/>
        <v>14654976</v>
      </c>
      <c r="L577" s="98">
        <f t="shared" si="75"/>
        <v>14654976</v>
      </c>
      <c r="M577" s="98">
        <f t="shared" si="76"/>
        <v>0</v>
      </c>
      <c r="N577" s="100"/>
    </row>
    <row r="578" spans="1:14" ht="31.5" customHeight="1" x14ac:dyDescent="0.25">
      <c r="A578" s="52" t="str">
        <f t="shared" si="69"/>
        <v>TL</v>
      </c>
      <c r="B578" s="32" t="s">
        <v>898</v>
      </c>
      <c r="C578" s="33">
        <v>573</v>
      </c>
      <c r="D578" s="39" t="s">
        <v>284</v>
      </c>
      <c r="E578" s="33" t="s">
        <v>10</v>
      </c>
      <c r="F578" s="33">
        <v>35.119999999999997</v>
      </c>
      <c r="G578" s="33">
        <f t="shared" si="70"/>
        <v>35.119999999999997</v>
      </c>
      <c r="H578" s="33"/>
      <c r="I578" s="34" t="s">
        <v>253</v>
      </c>
      <c r="J578" s="99">
        <f>+'[1]Dự thầu'!$G$1234</f>
        <v>32162</v>
      </c>
      <c r="K578" s="98">
        <f t="shared" si="74"/>
        <v>1129529</v>
      </c>
      <c r="L578" s="98">
        <f t="shared" si="75"/>
        <v>1129529</v>
      </c>
      <c r="M578" s="98">
        <f t="shared" si="76"/>
        <v>0</v>
      </c>
      <c r="N578" s="100"/>
    </row>
    <row r="579" spans="1:14" ht="31.5" customHeight="1" x14ac:dyDescent="0.25">
      <c r="A579" s="52" t="str">
        <f t="shared" si="69"/>
        <v>TL</v>
      </c>
      <c r="B579" s="32" t="s">
        <v>899</v>
      </c>
      <c r="C579" s="33">
        <v>574</v>
      </c>
      <c r="D579" s="39" t="s">
        <v>355</v>
      </c>
      <c r="E579" s="33" t="s">
        <v>10</v>
      </c>
      <c r="F579" s="33">
        <v>224</v>
      </c>
      <c r="G579" s="33">
        <f t="shared" si="70"/>
        <v>224</v>
      </c>
      <c r="H579" s="33"/>
      <c r="I579" s="34" t="s">
        <v>258</v>
      </c>
      <c r="J579" s="99">
        <f>+'[1]Dự thầu'!$G$1235</f>
        <v>120701</v>
      </c>
      <c r="K579" s="98">
        <f t="shared" si="74"/>
        <v>27037024</v>
      </c>
      <c r="L579" s="98">
        <f t="shared" si="75"/>
        <v>27037024</v>
      </c>
      <c r="M579" s="98">
        <f t="shared" si="76"/>
        <v>0</v>
      </c>
      <c r="N579" s="100"/>
    </row>
    <row r="580" spans="1:14" ht="15.75" customHeight="1" x14ac:dyDescent="0.25">
      <c r="A580" s="52" t="str">
        <f t="shared" si="69"/>
        <v>TL</v>
      </c>
      <c r="B580" s="32" t="s">
        <v>900</v>
      </c>
      <c r="C580" s="33">
        <v>575</v>
      </c>
      <c r="D580" s="39" t="s">
        <v>901</v>
      </c>
      <c r="E580" s="33" t="s">
        <v>10</v>
      </c>
      <c r="F580" s="33">
        <v>2.1</v>
      </c>
      <c r="G580" s="33">
        <f t="shared" si="70"/>
        <v>2.1</v>
      </c>
      <c r="H580" s="33"/>
      <c r="I580" s="34" t="s">
        <v>16</v>
      </c>
      <c r="J580" s="99">
        <f>+'[1]Dự thầu'!$G$1237</f>
        <v>1399730</v>
      </c>
      <c r="K580" s="98">
        <f t="shared" si="74"/>
        <v>2939433</v>
      </c>
      <c r="L580" s="98">
        <f t="shared" si="75"/>
        <v>2939433</v>
      </c>
      <c r="M580" s="98">
        <f t="shared" si="76"/>
        <v>0</v>
      </c>
      <c r="N580" s="100"/>
    </row>
    <row r="581" spans="1:14" ht="15.75" customHeight="1" x14ac:dyDescent="0.25">
      <c r="A581" s="52" t="str">
        <f t="shared" si="69"/>
        <v>TL</v>
      </c>
      <c r="B581" s="32" t="s">
        <v>902</v>
      </c>
      <c r="C581" s="33">
        <v>576</v>
      </c>
      <c r="D581" s="39" t="s">
        <v>125</v>
      </c>
      <c r="E581" s="33" t="s">
        <v>10</v>
      </c>
      <c r="F581" s="33">
        <v>9.1</v>
      </c>
      <c r="G581" s="33">
        <f t="shared" si="70"/>
        <v>9.1</v>
      </c>
      <c r="H581" s="33"/>
      <c r="I581" s="34" t="s">
        <v>13</v>
      </c>
      <c r="J581" s="99">
        <f>+'[1]Dự thầu'!$G$1238</f>
        <v>65242</v>
      </c>
      <c r="K581" s="98">
        <f t="shared" si="74"/>
        <v>593702</v>
      </c>
      <c r="L581" s="98">
        <f t="shared" si="75"/>
        <v>593702</v>
      </c>
      <c r="M581" s="98">
        <f t="shared" si="76"/>
        <v>0</v>
      </c>
      <c r="N581" s="100"/>
    </row>
    <row r="582" spans="1:14" ht="31.5" customHeight="1" x14ac:dyDescent="0.25">
      <c r="A582" s="52" t="str">
        <f t="shared" si="69"/>
        <v>TL</v>
      </c>
      <c r="B582" s="32" t="s">
        <v>903</v>
      </c>
      <c r="C582" s="33">
        <v>577</v>
      </c>
      <c r="D582" s="39" t="s">
        <v>240</v>
      </c>
      <c r="E582" s="33" t="s">
        <v>10</v>
      </c>
      <c r="F582" s="33">
        <v>97.48</v>
      </c>
      <c r="G582" s="33">
        <f t="shared" si="70"/>
        <v>97.48</v>
      </c>
      <c r="H582" s="33"/>
      <c r="I582" s="34" t="s">
        <v>16</v>
      </c>
      <c r="J582" s="99">
        <f>+'[1]Dự thầu'!$G$1239</f>
        <v>842139</v>
      </c>
      <c r="K582" s="98">
        <f t="shared" si="74"/>
        <v>82091710</v>
      </c>
      <c r="L582" s="98">
        <f t="shared" si="75"/>
        <v>82091710</v>
      </c>
      <c r="M582" s="98">
        <f t="shared" si="76"/>
        <v>0</v>
      </c>
      <c r="N582" s="100"/>
    </row>
    <row r="583" spans="1:14" ht="31.5" customHeight="1" x14ac:dyDescent="0.25">
      <c r="A583" s="52" t="str">
        <f t="shared" ref="A583:A646" si="77">A582</f>
        <v>TL</v>
      </c>
      <c r="B583" s="32" t="s">
        <v>904</v>
      </c>
      <c r="C583" s="33">
        <v>578</v>
      </c>
      <c r="D583" s="39" t="s">
        <v>905</v>
      </c>
      <c r="E583" s="33" t="s">
        <v>10</v>
      </c>
      <c r="F583" s="33">
        <v>80.209999999999994</v>
      </c>
      <c r="G583" s="33">
        <f t="shared" ref="G583:G646" si="78">+F583</f>
        <v>80.209999999999994</v>
      </c>
      <c r="H583" s="33"/>
      <c r="I583" s="34" t="s">
        <v>16</v>
      </c>
      <c r="J583" s="99">
        <f>+'[1]Dự thầu'!$G$1240</f>
        <v>1631803</v>
      </c>
      <c r="K583" s="98">
        <f t="shared" ref="K583:K614" si="79">+ROUND(J583*F583,0)</f>
        <v>130886919</v>
      </c>
      <c r="L583" s="98">
        <f t="shared" ref="L583:L614" si="80">+ROUND(G583*J583,0)</f>
        <v>130886919</v>
      </c>
      <c r="M583" s="98">
        <f t="shared" ref="M583:M614" si="81">+ROUND(H583*J583,0)</f>
        <v>0</v>
      </c>
      <c r="N583" s="100"/>
    </row>
    <row r="584" spans="1:14" ht="31.5" customHeight="1" x14ac:dyDescent="0.25">
      <c r="A584" s="52" t="str">
        <f t="shared" si="77"/>
        <v>TL</v>
      </c>
      <c r="B584" s="32" t="s">
        <v>906</v>
      </c>
      <c r="C584" s="33">
        <v>579</v>
      </c>
      <c r="D584" s="39" t="s">
        <v>871</v>
      </c>
      <c r="E584" s="33" t="s">
        <v>10</v>
      </c>
      <c r="F584" s="33">
        <v>1162</v>
      </c>
      <c r="G584" s="33">
        <f t="shared" si="78"/>
        <v>1162</v>
      </c>
      <c r="H584" s="33"/>
      <c r="I584" s="34" t="s">
        <v>13</v>
      </c>
      <c r="J584" s="99">
        <f>+'[1]Dự thầu'!$G$1241</f>
        <v>250782</v>
      </c>
      <c r="K584" s="98">
        <f t="shared" si="79"/>
        <v>291408684</v>
      </c>
      <c r="L584" s="98">
        <f t="shared" si="80"/>
        <v>291408684</v>
      </c>
      <c r="M584" s="98">
        <f t="shared" si="81"/>
        <v>0</v>
      </c>
      <c r="N584" s="100"/>
    </row>
    <row r="585" spans="1:14" ht="31.5" customHeight="1" x14ac:dyDescent="0.25">
      <c r="A585" s="52" t="str">
        <f t="shared" si="77"/>
        <v>TL</v>
      </c>
      <c r="B585" s="32" t="s">
        <v>907</v>
      </c>
      <c r="C585" s="33">
        <v>580</v>
      </c>
      <c r="D585" s="39" t="s">
        <v>246</v>
      </c>
      <c r="E585" s="33" t="s">
        <v>10</v>
      </c>
      <c r="F585" s="33">
        <v>10.6</v>
      </c>
      <c r="G585" s="33">
        <f t="shared" si="78"/>
        <v>10.6</v>
      </c>
      <c r="H585" s="33"/>
      <c r="I585" s="34" t="s">
        <v>90</v>
      </c>
      <c r="J585" s="99">
        <f>+'[1]Dự thầu'!$G$1242</f>
        <v>27096238</v>
      </c>
      <c r="K585" s="98">
        <f t="shared" si="79"/>
        <v>287220123</v>
      </c>
      <c r="L585" s="98">
        <f t="shared" si="80"/>
        <v>287220123</v>
      </c>
      <c r="M585" s="98">
        <f t="shared" si="81"/>
        <v>0</v>
      </c>
      <c r="N585" s="100"/>
    </row>
    <row r="586" spans="1:14" ht="31.5" customHeight="1" x14ac:dyDescent="0.25">
      <c r="A586" s="52" t="str">
        <f t="shared" si="77"/>
        <v>TL</v>
      </c>
      <c r="B586" s="32" t="s">
        <v>908</v>
      </c>
      <c r="C586" s="33">
        <v>581</v>
      </c>
      <c r="D586" s="39" t="s">
        <v>246</v>
      </c>
      <c r="E586" s="33" t="s">
        <v>10</v>
      </c>
      <c r="F586" s="33">
        <v>8.3000000000000007</v>
      </c>
      <c r="G586" s="33">
        <f t="shared" si="78"/>
        <v>8.3000000000000007</v>
      </c>
      <c r="H586" s="33"/>
      <c r="I586" s="34" t="s">
        <v>90</v>
      </c>
      <c r="J586" s="99">
        <f>+'[1]Dự thầu'!$G$1243</f>
        <v>27096238</v>
      </c>
      <c r="K586" s="98">
        <f t="shared" si="79"/>
        <v>224898775</v>
      </c>
      <c r="L586" s="98">
        <f t="shared" si="80"/>
        <v>224898775</v>
      </c>
      <c r="M586" s="98">
        <f t="shared" si="81"/>
        <v>0</v>
      </c>
      <c r="N586" s="100"/>
    </row>
    <row r="587" spans="1:14" ht="47.25" customHeight="1" x14ac:dyDescent="0.25">
      <c r="A587" s="52" t="str">
        <f t="shared" si="77"/>
        <v>TL</v>
      </c>
      <c r="B587" s="32" t="s">
        <v>909</v>
      </c>
      <c r="C587" s="33">
        <v>582</v>
      </c>
      <c r="D587" s="39" t="s">
        <v>910</v>
      </c>
      <c r="E587" s="33" t="s">
        <v>10</v>
      </c>
      <c r="F587" s="33">
        <v>243</v>
      </c>
      <c r="G587" s="33">
        <f t="shared" si="78"/>
        <v>243</v>
      </c>
      <c r="H587" s="33"/>
      <c r="I587" s="34" t="s">
        <v>250</v>
      </c>
      <c r="J587" s="99">
        <f>+'[1]Dự thầu'!$G$1244</f>
        <v>69167</v>
      </c>
      <c r="K587" s="98">
        <f t="shared" si="79"/>
        <v>16807581</v>
      </c>
      <c r="L587" s="98">
        <f t="shared" si="80"/>
        <v>16807581</v>
      </c>
      <c r="M587" s="98">
        <f t="shared" si="81"/>
        <v>0</v>
      </c>
      <c r="N587" s="100"/>
    </row>
    <row r="588" spans="1:14" ht="47.25" customHeight="1" x14ac:dyDescent="0.25">
      <c r="A588" s="52" t="str">
        <f t="shared" si="77"/>
        <v>TL</v>
      </c>
      <c r="B588" s="32" t="s">
        <v>911</v>
      </c>
      <c r="C588" s="33">
        <v>583</v>
      </c>
      <c r="D588" s="39" t="s">
        <v>876</v>
      </c>
      <c r="E588" s="33" t="s">
        <v>10</v>
      </c>
      <c r="F588" s="33">
        <v>243</v>
      </c>
      <c r="G588" s="33">
        <f t="shared" si="78"/>
        <v>243</v>
      </c>
      <c r="H588" s="33"/>
      <c r="I588" s="34" t="s">
        <v>250</v>
      </c>
      <c r="J588" s="99">
        <f>+'[1]Dự thầu'!$G$1245</f>
        <v>52812</v>
      </c>
      <c r="K588" s="98">
        <f t="shared" si="79"/>
        <v>12833316</v>
      </c>
      <c r="L588" s="98">
        <f t="shared" si="80"/>
        <v>12833316</v>
      </c>
      <c r="M588" s="98">
        <f t="shared" si="81"/>
        <v>0</v>
      </c>
      <c r="N588" s="100"/>
    </row>
    <row r="589" spans="1:14" ht="31.5" customHeight="1" x14ac:dyDescent="0.25">
      <c r="A589" s="52" t="str">
        <f t="shared" si="77"/>
        <v>TL</v>
      </c>
      <c r="B589" s="32" t="s">
        <v>912</v>
      </c>
      <c r="C589" s="33">
        <v>584</v>
      </c>
      <c r="D589" s="39" t="s">
        <v>284</v>
      </c>
      <c r="E589" s="33" t="s">
        <v>10</v>
      </c>
      <c r="F589" s="33">
        <v>20.05</v>
      </c>
      <c r="G589" s="33">
        <f t="shared" si="78"/>
        <v>20.05</v>
      </c>
      <c r="H589" s="33"/>
      <c r="I589" s="34" t="s">
        <v>253</v>
      </c>
      <c r="J589" s="99">
        <f>+'[1]Dự thầu'!$G$1246</f>
        <v>32162</v>
      </c>
      <c r="K589" s="98">
        <f t="shared" si="79"/>
        <v>644848</v>
      </c>
      <c r="L589" s="98">
        <f t="shared" si="80"/>
        <v>644848</v>
      </c>
      <c r="M589" s="98">
        <f t="shared" si="81"/>
        <v>0</v>
      </c>
      <c r="N589" s="100"/>
    </row>
    <row r="590" spans="1:14" ht="31.5" customHeight="1" x14ac:dyDescent="0.25">
      <c r="A590" s="52" t="str">
        <f t="shared" si="77"/>
        <v>TL</v>
      </c>
      <c r="B590" s="32" t="s">
        <v>913</v>
      </c>
      <c r="C590" s="33">
        <v>585</v>
      </c>
      <c r="D590" s="39" t="s">
        <v>257</v>
      </c>
      <c r="E590" s="33" t="s">
        <v>10</v>
      </c>
      <c r="F590" s="33">
        <v>243</v>
      </c>
      <c r="G590" s="33">
        <f t="shared" si="78"/>
        <v>243</v>
      </c>
      <c r="H590" s="33"/>
      <c r="I590" s="34" t="s">
        <v>258</v>
      </c>
      <c r="J590" s="99">
        <f>+'[1]Dự thầu'!$G$1247</f>
        <v>142868</v>
      </c>
      <c r="K590" s="98">
        <f t="shared" si="79"/>
        <v>34716924</v>
      </c>
      <c r="L590" s="98">
        <f t="shared" si="80"/>
        <v>34716924</v>
      </c>
      <c r="M590" s="98">
        <f t="shared" si="81"/>
        <v>0</v>
      </c>
      <c r="N590" s="100"/>
    </row>
    <row r="591" spans="1:14" ht="31.5" customHeight="1" x14ac:dyDescent="0.25">
      <c r="A591" s="52" t="str">
        <f t="shared" si="77"/>
        <v>TL</v>
      </c>
      <c r="B591" s="32" t="s">
        <v>914</v>
      </c>
      <c r="C591" s="33">
        <v>586</v>
      </c>
      <c r="D591" s="39" t="s">
        <v>240</v>
      </c>
      <c r="E591" s="33" t="s">
        <v>10</v>
      </c>
      <c r="F591" s="33">
        <v>7.9</v>
      </c>
      <c r="G591" s="33">
        <f t="shared" si="78"/>
        <v>7.9</v>
      </c>
      <c r="H591" s="33"/>
      <c r="I591" s="34" t="s">
        <v>16</v>
      </c>
      <c r="J591" s="99">
        <f>+'[1]Dự thầu'!$G$1248</f>
        <v>842139</v>
      </c>
      <c r="K591" s="98">
        <f t="shared" si="79"/>
        <v>6652898</v>
      </c>
      <c r="L591" s="98">
        <f t="shared" si="80"/>
        <v>6652898</v>
      </c>
      <c r="M591" s="98">
        <f t="shared" si="81"/>
        <v>0</v>
      </c>
      <c r="N591" s="100"/>
    </row>
    <row r="592" spans="1:14" ht="15.75" customHeight="1" x14ac:dyDescent="0.25">
      <c r="A592" s="52" t="str">
        <f t="shared" si="77"/>
        <v>TL</v>
      </c>
      <c r="B592" s="32" t="s">
        <v>915</v>
      </c>
      <c r="C592" s="33">
        <v>587</v>
      </c>
      <c r="D592" s="39" t="s">
        <v>364</v>
      </c>
      <c r="E592" s="33" t="s">
        <v>10</v>
      </c>
      <c r="F592" s="33">
        <v>77.3</v>
      </c>
      <c r="G592" s="33">
        <f t="shared" si="78"/>
        <v>77.3</v>
      </c>
      <c r="H592" s="33"/>
      <c r="I592" s="34" t="s">
        <v>13</v>
      </c>
      <c r="J592" s="99">
        <f>+'[1]Dự thầu'!$G$1249</f>
        <v>96659</v>
      </c>
      <c r="K592" s="98">
        <f t="shared" si="79"/>
        <v>7471741</v>
      </c>
      <c r="L592" s="98">
        <f t="shared" si="80"/>
        <v>7471741</v>
      </c>
      <c r="M592" s="98">
        <f t="shared" si="81"/>
        <v>0</v>
      </c>
      <c r="N592" s="100"/>
    </row>
    <row r="593" spans="1:14" ht="31.5" customHeight="1" x14ac:dyDescent="0.25">
      <c r="A593" s="52" t="str">
        <f t="shared" si="77"/>
        <v>TL</v>
      </c>
      <c r="B593" s="32" t="s">
        <v>916</v>
      </c>
      <c r="C593" s="33">
        <v>588</v>
      </c>
      <c r="D593" s="39" t="s">
        <v>917</v>
      </c>
      <c r="E593" s="33" t="s">
        <v>10</v>
      </c>
      <c r="F593" s="33">
        <v>6.1</v>
      </c>
      <c r="G593" s="33">
        <f t="shared" si="78"/>
        <v>6.1</v>
      </c>
      <c r="H593" s="33"/>
      <c r="I593" s="34" t="s">
        <v>16</v>
      </c>
      <c r="J593" s="99">
        <f>+'[1]Dự thầu'!$G$1250</f>
        <v>610299</v>
      </c>
      <c r="K593" s="98">
        <f t="shared" si="79"/>
        <v>3722824</v>
      </c>
      <c r="L593" s="98">
        <f t="shared" si="80"/>
        <v>3722824</v>
      </c>
      <c r="M593" s="98">
        <f t="shared" si="81"/>
        <v>0</v>
      </c>
      <c r="N593" s="100"/>
    </row>
    <row r="594" spans="1:14" ht="31.5" customHeight="1" x14ac:dyDescent="0.25">
      <c r="A594" s="52" t="str">
        <f t="shared" si="77"/>
        <v>TL</v>
      </c>
      <c r="B594" s="32" t="s">
        <v>918</v>
      </c>
      <c r="C594" s="33">
        <v>589</v>
      </c>
      <c r="D594" s="39" t="s">
        <v>919</v>
      </c>
      <c r="E594" s="33" t="s">
        <v>10</v>
      </c>
      <c r="F594" s="102">
        <v>1383.98</v>
      </c>
      <c r="G594" s="102">
        <f t="shared" si="78"/>
        <v>1383.98</v>
      </c>
      <c r="H594" s="33"/>
      <c r="I594" s="34" t="s">
        <v>13</v>
      </c>
      <c r="J594" s="99">
        <f>+'[1]Dự thầu'!$G$1251</f>
        <v>236061</v>
      </c>
      <c r="K594" s="98">
        <f t="shared" si="79"/>
        <v>326703703</v>
      </c>
      <c r="L594" s="98">
        <f t="shared" si="80"/>
        <v>326703703</v>
      </c>
      <c r="M594" s="98">
        <f t="shared" si="81"/>
        <v>0</v>
      </c>
      <c r="N594" s="100"/>
    </row>
    <row r="595" spans="1:14" ht="15.75" customHeight="1" x14ac:dyDescent="0.25">
      <c r="A595" s="52" t="str">
        <f t="shared" si="77"/>
        <v>TL</v>
      </c>
      <c r="B595" s="32" t="s">
        <v>920</v>
      </c>
      <c r="C595" s="33">
        <v>590</v>
      </c>
      <c r="D595" s="39" t="s">
        <v>366</v>
      </c>
      <c r="E595" s="33" t="s">
        <v>10</v>
      </c>
      <c r="F595" s="102">
        <v>5082.66</v>
      </c>
      <c r="G595" s="102">
        <f t="shared" si="78"/>
        <v>5082.66</v>
      </c>
      <c r="H595" s="33"/>
      <c r="I595" s="34" t="s">
        <v>13</v>
      </c>
      <c r="J595" s="99">
        <f>+'[1]Dự thầu'!$G$1252</f>
        <v>72328</v>
      </c>
      <c r="K595" s="98">
        <f t="shared" si="79"/>
        <v>367618632</v>
      </c>
      <c r="L595" s="98">
        <f t="shared" si="80"/>
        <v>367618632</v>
      </c>
      <c r="M595" s="98">
        <f t="shared" si="81"/>
        <v>0</v>
      </c>
      <c r="N595" s="100"/>
    </row>
    <row r="596" spans="1:14" ht="31.5" customHeight="1" x14ac:dyDescent="0.25">
      <c r="A596" s="52" t="str">
        <f t="shared" si="77"/>
        <v>TL</v>
      </c>
      <c r="B596" s="32" t="s">
        <v>921</v>
      </c>
      <c r="C596" s="33">
        <v>591</v>
      </c>
      <c r="D596" s="39" t="s">
        <v>368</v>
      </c>
      <c r="E596" s="33" t="s">
        <v>10</v>
      </c>
      <c r="F596" s="33">
        <v>44.66</v>
      </c>
      <c r="G596" s="33">
        <f t="shared" si="78"/>
        <v>44.66</v>
      </c>
      <c r="H596" s="33"/>
      <c r="I596" s="34" t="s">
        <v>16</v>
      </c>
      <c r="J596" s="99">
        <f>+'[1]Dự thầu'!$G$1253</f>
        <v>1881449</v>
      </c>
      <c r="K596" s="98">
        <f t="shared" si="79"/>
        <v>84025512</v>
      </c>
      <c r="L596" s="98">
        <f t="shared" si="80"/>
        <v>84025512</v>
      </c>
      <c r="M596" s="98">
        <f t="shared" si="81"/>
        <v>0</v>
      </c>
      <c r="N596" s="100"/>
    </row>
    <row r="597" spans="1:14" ht="15.75" customHeight="1" x14ac:dyDescent="0.25">
      <c r="A597" s="52" t="str">
        <f t="shared" si="77"/>
        <v>TL</v>
      </c>
      <c r="B597" s="32" t="s">
        <v>922</v>
      </c>
      <c r="C597" s="33">
        <v>592</v>
      </c>
      <c r="D597" s="39" t="s">
        <v>125</v>
      </c>
      <c r="E597" s="33" t="s">
        <v>10</v>
      </c>
      <c r="F597" s="33">
        <v>214</v>
      </c>
      <c r="G597" s="33">
        <f t="shared" si="78"/>
        <v>214</v>
      </c>
      <c r="H597" s="33"/>
      <c r="I597" s="34" t="s">
        <v>13</v>
      </c>
      <c r="J597" s="99">
        <f>+'[1]Dự thầu'!$G$1254</f>
        <v>104798</v>
      </c>
      <c r="K597" s="98">
        <f t="shared" si="79"/>
        <v>22426772</v>
      </c>
      <c r="L597" s="98">
        <f t="shared" si="80"/>
        <v>22426772</v>
      </c>
      <c r="M597" s="98">
        <f t="shared" si="81"/>
        <v>0</v>
      </c>
      <c r="N597" s="100"/>
    </row>
    <row r="598" spans="1:14" ht="31.5" customHeight="1" x14ac:dyDescent="0.25">
      <c r="A598" s="52" t="str">
        <f t="shared" si="77"/>
        <v>TL</v>
      </c>
      <c r="B598" s="32" t="s">
        <v>923</v>
      </c>
      <c r="C598" s="33">
        <v>593</v>
      </c>
      <c r="D598" s="39" t="s">
        <v>368</v>
      </c>
      <c r="E598" s="33" t="s">
        <v>10</v>
      </c>
      <c r="F598" s="33">
        <v>42</v>
      </c>
      <c r="G598" s="33">
        <f t="shared" si="78"/>
        <v>42</v>
      </c>
      <c r="H598" s="33"/>
      <c r="I598" s="34" t="s">
        <v>16</v>
      </c>
      <c r="J598" s="99">
        <f>+'[1]Dự thầu'!$G$1255</f>
        <v>1881449</v>
      </c>
      <c r="K598" s="98">
        <f t="shared" si="79"/>
        <v>79020858</v>
      </c>
      <c r="L598" s="98">
        <f t="shared" si="80"/>
        <v>79020858</v>
      </c>
      <c r="M598" s="98">
        <f t="shared" si="81"/>
        <v>0</v>
      </c>
      <c r="N598" s="100"/>
    </row>
    <row r="599" spans="1:14" ht="15.75" customHeight="1" x14ac:dyDescent="0.25">
      <c r="A599" s="52" t="str">
        <f t="shared" si="77"/>
        <v>TL</v>
      </c>
      <c r="B599" s="32" t="s">
        <v>924</v>
      </c>
      <c r="C599" s="33">
        <v>594</v>
      </c>
      <c r="D599" s="39" t="s">
        <v>125</v>
      </c>
      <c r="E599" s="33" t="s">
        <v>10</v>
      </c>
      <c r="F599" s="33">
        <v>151.46</v>
      </c>
      <c r="G599" s="33">
        <f t="shared" si="78"/>
        <v>151.46</v>
      </c>
      <c r="H599" s="33"/>
      <c r="I599" s="34" t="s">
        <v>13</v>
      </c>
      <c r="J599" s="99">
        <f>+'[1]Dự thầu'!$G$1256</f>
        <v>65242</v>
      </c>
      <c r="K599" s="98">
        <f t="shared" si="79"/>
        <v>9881553</v>
      </c>
      <c r="L599" s="98">
        <f t="shared" si="80"/>
        <v>9881553</v>
      </c>
      <c r="M599" s="98">
        <f t="shared" si="81"/>
        <v>0</v>
      </c>
      <c r="N599" s="100"/>
    </row>
    <row r="600" spans="1:14" ht="47.25" customHeight="1" x14ac:dyDescent="0.25">
      <c r="A600" s="52" t="str">
        <f t="shared" si="77"/>
        <v>TL</v>
      </c>
      <c r="B600" s="32" t="s">
        <v>925</v>
      </c>
      <c r="C600" s="33">
        <v>595</v>
      </c>
      <c r="D600" s="39" t="s">
        <v>926</v>
      </c>
      <c r="E600" s="33" t="s">
        <v>10</v>
      </c>
      <c r="F600" s="33">
        <v>133</v>
      </c>
      <c r="G600" s="33">
        <f t="shared" si="78"/>
        <v>133</v>
      </c>
      <c r="H600" s="33"/>
      <c r="I600" s="34" t="s">
        <v>16</v>
      </c>
      <c r="J600" s="99">
        <f>+'[1]Dự thầu'!$G$1257</f>
        <v>1399730</v>
      </c>
      <c r="K600" s="98">
        <f t="shared" si="79"/>
        <v>186164090</v>
      </c>
      <c r="L600" s="98">
        <f t="shared" si="80"/>
        <v>186164090</v>
      </c>
      <c r="M600" s="98">
        <f t="shared" si="81"/>
        <v>0</v>
      </c>
      <c r="N600" s="100"/>
    </row>
    <row r="601" spans="1:14" ht="31.5" customHeight="1" x14ac:dyDescent="0.25">
      <c r="A601" s="52" t="str">
        <f t="shared" si="77"/>
        <v>TL</v>
      </c>
      <c r="B601" s="32" t="s">
        <v>927</v>
      </c>
      <c r="C601" s="33">
        <v>596</v>
      </c>
      <c r="D601" s="39" t="s">
        <v>240</v>
      </c>
      <c r="E601" s="33" t="s">
        <v>10</v>
      </c>
      <c r="F601" s="33">
        <v>10</v>
      </c>
      <c r="G601" s="33">
        <f t="shared" si="78"/>
        <v>10</v>
      </c>
      <c r="H601" s="33"/>
      <c r="I601" s="34" t="s">
        <v>16</v>
      </c>
      <c r="J601" s="99">
        <f>+'[1]Dự thầu'!$G$1258</f>
        <v>842139</v>
      </c>
      <c r="K601" s="98">
        <f t="shared" si="79"/>
        <v>8421390</v>
      </c>
      <c r="L601" s="98">
        <f t="shared" si="80"/>
        <v>8421390</v>
      </c>
      <c r="M601" s="98">
        <f t="shared" si="81"/>
        <v>0</v>
      </c>
      <c r="N601" s="100"/>
    </row>
    <row r="602" spans="1:14" ht="15.75" customHeight="1" x14ac:dyDescent="0.25">
      <c r="A602" s="52" t="str">
        <f t="shared" si="77"/>
        <v>TL</v>
      </c>
      <c r="B602" s="32" t="s">
        <v>928</v>
      </c>
      <c r="C602" s="33">
        <v>597</v>
      </c>
      <c r="D602" s="39" t="s">
        <v>125</v>
      </c>
      <c r="E602" s="33" t="s">
        <v>10</v>
      </c>
      <c r="F602" s="33">
        <v>297.38</v>
      </c>
      <c r="G602" s="33">
        <f t="shared" si="78"/>
        <v>297.38</v>
      </c>
      <c r="H602" s="33"/>
      <c r="I602" s="34" t="s">
        <v>13</v>
      </c>
      <c r="J602" s="99">
        <f>+'[1]Dự thầu'!$G$1259</f>
        <v>104798</v>
      </c>
      <c r="K602" s="98">
        <f t="shared" si="79"/>
        <v>31164829</v>
      </c>
      <c r="L602" s="98">
        <f t="shared" si="80"/>
        <v>31164829</v>
      </c>
      <c r="M602" s="98">
        <f t="shared" si="81"/>
        <v>0</v>
      </c>
      <c r="N602" s="100"/>
    </row>
    <row r="603" spans="1:14" ht="47.25" customHeight="1" x14ac:dyDescent="0.25">
      <c r="A603" s="52" t="str">
        <f t="shared" si="77"/>
        <v>TL</v>
      </c>
      <c r="B603" s="32" t="s">
        <v>929</v>
      </c>
      <c r="C603" s="33">
        <v>598</v>
      </c>
      <c r="D603" s="39" t="s">
        <v>926</v>
      </c>
      <c r="E603" s="33" t="s">
        <v>10</v>
      </c>
      <c r="F603" s="33">
        <v>81.77</v>
      </c>
      <c r="G603" s="33">
        <f t="shared" si="78"/>
        <v>81.77</v>
      </c>
      <c r="H603" s="33"/>
      <c r="I603" s="34" t="s">
        <v>16</v>
      </c>
      <c r="J603" s="99">
        <f>+'[1]Dự thầu'!$G$1260</f>
        <v>1399730</v>
      </c>
      <c r="K603" s="98">
        <f t="shared" si="79"/>
        <v>114455922</v>
      </c>
      <c r="L603" s="98">
        <f t="shared" si="80"/>
        <v>114455922</v>
      </c>
      <c r="M603" s="98">
        <f t="shared" si="81"/>
        <v>0</v>
      </c>
      <c r="N603" s="100"/>
    </row>
    <row r="604" spans="1:14" ht="31.5" customHeight="1" x14ac:dyDescent="0.25">
      <c r="A604" s="52" t="str">
        <f t="shared" si="77"/>
        <v>TL</v>
      </c>
      <c r="B604" s="32" t="s">
        <v>930</v>
      </c>
      <c r="C604" s="33">
        <v>599</v>
      </c>
      <c r="D604" s="39" t="s">
        <v>240</v>
      </c>
      <c r="E604" s="33" t="s">
        <v>10</v>
      </c>
      <c r="F604" s="33">
        <v>12.78</v>
      </c>
      <c r="G604" s="33">
        <f t="shared" si="78"/>
        <v>12.78</v>
      </c>
      <c r="H604" s="33"/>
      <c r="I604" s="34" t="s">
        <v>16</v>
      </c>
      <c r="J604" s="99">
        <f>+'[1]Dự thầu'!$G$1261</f>
        <v>842139</v>
      </c>
      <c r="K604" s="98">
        <f t="shared" si="79"/>
        <v>10762536</v>
      </c>
      <c r="L604" s="98">
        <f t="shared" si="80"/>
        <v>10762536</v>
      </c>
      <c r="M604" s="98">
        <f t="shared" si="81"/>
        <v>0</v>
      </c>
      <c r="N604" s="100"/>
    </row>
    <row r="605" spans="1:14" ht="15.75" customHeight="1" x14ac:dyDescent="0.25">
      <c r="A605" s="52" t="str">
        <f t="shared" si="77"/>
        <v>TL</v>
      </c>
      <c r="B605" s="32" t="s">
        <v>931</v>
      </c>
      <c r="C605" s="33">
        <v>600</v>
      </c>
      <c r="D605" s="39" t="s">
        <v>125</v>
      </c>
      <c r="E605" s="33" t="s">
        <v>10</v>
      </c>
      <c r="F605" s="33">
        <v>238.26</v>
      </c>
      <c r="G605" s="33">
        <f t="shared" si="78"/>
        <v>238.26</v>
      </c>
      <c r="H605" s="33"/>
      <c r="I605" s="34" t="s">
        <v>13</v>
      </c>
      <c r="J605" s="99">
        <f>+'[1]Dự thầu'!$G$1262</f>
        <v>104798</v>
      </c>
      <c r="K605" s="98">
        <f t="shared" si="79"/>
        <v>24969171</v>
      </c>
      <c r="L605" s="98">
        <f t="shared" si="80"/>
        <v>24969171</v>
      </c>
      <c r="M605" s="98">
        <f t="shared" si="81"/>
        <v>0</v>
      </c>
      <c r="N605" s="100"/>
    </row>
    <row r="606" spans="1:14" ht="15.75" customHeight="1" x14ac:dyDescent="0.25">
      <c r="A606" s="52" t="str">
        <f t="shared" si="77"/>
        <v>TL</v>
      </c>
      <c r="B606" s="32" t="s">
        <v>932</v>
      </c>
      <c r="C606" s="33">
        <v>601</v>
      </c>
      <c r="D606" s="39" t="s">
        <v>933</v>
      </c>
      <c r="E606" s="33" t="s">
        <v>10</v>
      </c>
      <c r="F606" s="33">
        <v>55</v>
      </c>
      <c r="G606" s="33">
        <f t="shared" si="78"/>
        <v>55</v>
      </c>
      <c r="H606" s="33"/>
      <c r="I606" s="34" t="s">
        <v>16</v>
      </c>
      <c r="J606" s="99">
        <f>+'[1]Dự thầu'!$G$1263</f>
        <v>1332575</v>
      </c>
      <c r="K606" s="98">
        <f t="shared" si="79"/>
        <v>73291625</v>
      </c>
      <c r="L606" s="98">
        <f t="shared" si="80"/>
        <v>73291625</v>
      </c>
      <c r="M606" s="98">
        <f t="shared" si="81"/>
        <v>0</v>
      </c>
      <c r="N606" s="100"/>
    </row>
    <row r="607" spans="1:14" ht="31.5" customHeight="1" x14ac:dyDescent="0.25">
      <c r="A607" s="52" t="str">
        <f t="shared" si="77"/>
        <v>TL</v>
      </c>
      <c r="B607" s="32" t="s">
        <v>934</v>
      </c>
      <c r="C607" s="33">
        <v>602</v>
      </c>
      <c r="D607" s="39" t="s">
        <v>240</v>
      </c>
      <c r="E607" s="33" t="s">
        <v>10</v>
      </c>
      <c r="F607" s="33">
        <v>22</v>
      </c>
      <c r="G607" s="33">
        <f t="shared" si="78"/>
        <v>22</v>
      </c>
      <c r="H607" s="33"/>
      <c r="I607" s="34" t="s">
        <v>16</v>
      </c>
      <c r="J607" s="99">
        <f>+'[1]Dự thầu'!$G$1264</f>
        <v>842139</v>
      </c>
      <c r="K607" s="98">
        <f t="shared" si="79"/>
        <v>18527058</v>
      </c>
      <c r="L607" s="98">
        <f t="shared" si="80"/>
        <v>18527058</v>
      </c>
      <c r="M607" s="98">
        <f t="shared" si="81"/>
        <v>0</v>
      </c>
      <c r="N607" s="100"/>
    </row>
    <row r="608" spans="1:14" ht="15.75" customHeight="1" x14ac:dyDescent="0.25">
      <c r="A608" s="52" t="str">
        <f t="shared" si="77"/>
        <v>TL</v>
      </c>
      <c r="B608" s="32" t="s">
        <v>935</v>
      </c>
      <c r="C608" s="33">
        <v>603</v>
      </c>
      <c r="D608" s="39" t="s">
        <v>933</v>
      </c>
      <c r="E608" s="33" t="s">
        <v>10</v>
      </c>
      <c r="F608" s="33">
        <v>74</v>
      </c>
      <c r="G608" s="33">
        <f t="shared" si="78"/>
        <v>74</v>
      </c>
      <c r="H608" s="33"/>
      <c r="I608" s="34" t="s">
        <v>16</v>
      </c>
      <c r="J608" s="99">
        <f>+'[1]Dự thầu'!$G$1265</f>
        <v>1299241</v>
      </c>
      <c r="K608" s="98">
        <f t="shared" si="79"/>
        <v>96143834</v>
      </c>
      <c r="L608" s="98">
        <f t="shared" si="80"/>
        <v>96143834</v>
      </c>
      <c r="M608" s="98">
        <f t="shared" si="81"/>
        <v>0</v>
      </c>
      <c r="N608" s="100"/>
    </row>
    <row r="609" spans="1:14" ht="15.75" customHeight="1" x14ac:dyDescent="0.25">
      <c r="A609" s="52" t="str">
        <f t="shared" si="77"/>
        <v>TL</v>
      </c>
      <c r="B609" s="32" t="s">
        <v>936</v>
      </c>
      <c r="C609" s="33">
        <v>604</v>
      </c>
      <c r="D609" s="39" t="s">
        <v>937</v>
      </c>
      <c r="E609" s="33" t="s">
        <v>10</v>
      </c>
      <c r="F609" s="33">
        <v>43</v>
      </c>
      <c r="G609" s="33">
        <f t="shared" si="78"/>
        <v>43</v>
      </c>
      <c r="H609" s="33"/>
      <c r="I609" s="34" t="s">
        <v>16</v>
      </c>
      <c r="J609" s="99">
        <f>+'[1]Dự thầu'!$G$1266</f>
        <v>667791</v>
      </c>
      <c r="K609" s="98">
        <f t="shared" si="79"/>
        <v>28715013</v>
      </c>
      <c r="L609" s="98">
        <f t="shared" si="80"/>
        <v>28715013</v>
      </c>
      <c r="M609" s="98">
        <f t="shared" si="81"/>
        <v>0</v>
      </c>
      <c r="N609" s="100"/>
    </row>
    <row r="610" spans="1:14" ht="31.5" customHeight="1" x14ac:dyDescent="0.25">
      <c r="A610" s="52" t="str">
        <f t="shared" si="77"/>
        <v>TL</v>
      </c>
      <c r="B610" s="32" t="s">
        <v>938</v>
      </c>
      <c r="C610" s="33">
        <v>605</v>
      </c>
      <c r="D610" s="39" t="s">
        <v>240</v>
      </c>
      <c r="E610" s="33" t="s">
        <v>10</v>
      </c>
      <c r="F610" s="33">
        <v>21</v>
      </c>
      <c r="G610" s="33">
        <f t="shared" si="78"/>
        <v>21</v>
      </c>
      <c r="H610" s="33"/>
      <c r="I610" s="34" t="s">
        <v>16</v>
      </c>
      <c r="J610" s="99">
        <f>+'[1]Dự thầu'!$G$1267</f>
        <v>842139</v>
      </c>
      <c r="K610" s="98">
        <f t="shared" si="79"/>
        <v>17684919</v>
      </c>
      <c r="L610" s="98">
        <f t="shared" si="80"/>
        <v>17684919</v>
      </c>
      <c r="M610" s="98">
        <f t="shared" si="81"/>
        <v>0</v>
      </c>
      <c r="N610" s="100"/>
    </row>
    <row r="611" spans="1:14" ht="15.75" customHeight="1" x14ac:dyDescent="0.25">
      <c r="A611" s="52" t="str">
        <f t="shared" si="77"/>
        <v>TL</v>
      </c>
      <c r="B611" s="32" t="s">
        <v>939</v>
      </c>
      <c r="C611" s="33">
        <v>606</v>
      </c>
      <c r="D611" s="39" t="s">
        <v>940</v>
      </c>
      <c r="E611" s="33" t="s">
        <v>10</v>
      </c>
      <c r="F611" s="33">
        <v>3.76</v>
      </c>
      <c r="G611" s="33">
        <f t="shared" si="78"/>
        <v>3.76</v>
      </c>
      <c r="H611" s="33"/>
      <c r="I611" s="34" t="s">
        <v>16</v>
      </c>
      <c r="J611" s="99">
        <f>+'[1]Dự thầu'!$G$1268</f>
        <v>1881449</v>
      </c>
      <c r="K611" s="98">
        <f t="shared" si="79"/>
        <v>7074248</v>
      </c>
      <c r="L611" s="98">
        <f t="shared" si="80"/>
        <v>7074248</v>
      </c>
      <c r="M611" s="98">
        <f t="shared" si="81"/>
        <v>0</v>
      </c>
      <c r="N611" s="100"/>
    </row>
    <row r="612" spans="1:14" ht="15.75" customHeight="1" x14ac:dyDescent="0.25">
      <c r="A612" s="52" t="str">
        <f t="shared" si="77"/>
        <v>TL</v>
      </c>
      <c r="B612" s="32" t="s">
        <v>941</v>
      </c>
      <c r="C612" s="33">
        <v>607</v>
      </c>
      <c r="D612" s="39" t="s">
        <v>125</v>
      </c>
      <c r="E612" s="33" t="s">
        <v>10</v>
      </c>
      <c r="F612" s="33">
        <v>11.83</v>
      </c>
      <c r="G612" s="33">
        <f t="shared" si="78"/>
        <v>11.83</v>
      </c>
      <c r="H612" s="33"/>
      <c r="I612" s="34" t="s">
        <v>13</v>
      </c>
      <c r="J612" s="99">
        <f>+'[1]Dự thầu'!$G$1269</f>
        <v>104798</v>
      </c>
      <c r="K612" s="98">
        <f t="shared" si="79"/>
        <v>1239760</v>
      </c>
      <c r="L612" s="98">
        <f t="shared" si="80"/>
        <v>1239760</v>
      </c>
      <c r="M612" s="98">
        <f t="shared" si="81"/>
        <v>0</v>
      </c>
      <c r="N612" s="100"/>
    </row>
    <row r="613" spans="1:14" ht="31.5" customHeight="1" x14ac:dyDescent="0.25">
      <c r="A613" s="52" t="str">
        <f t="shared" si="77"/>
        <v>TL</v>
      </c>
      <c r="B613" s="32" t="s">
        <v>942</v>
      </c>
      <c r="C613" s="33">
        <v>608</v>
      </c>
      <c r="D613" s="39" t="s">
        <v>368</v>
      </c>
      <c r="E613" s="33" t="s">
        <v>10</v>
      </c>
      <c r="F613" s="33">
        <v>3.69</v>
      </c>
      <c r="G613" s="33">
        <f t="shared" si="78"/>
        <v>3.69</v>
      </c>
      <c r="H613" s="33"/>
      <c r="I613" s="34" t="s">
        <v>16</v>
      </c>
      <c r="J613" s="99">
        <f>+'[1]Dự thầu'!$G$1270</f>
        <v>1881449</v>
      </c>
      <c r="K613" s="98">
        <f t="shared" si="79"/>
        <v>6942547</v>
      </c>
      <c r="L613" s="98">
        <f t="shared" si="80"/>
        <v>6942547</v>
      </c>
      <c r="M613" s="98">
        <f t="shared" si="81"/>
        <v>0</v>
      </c>
      <c r="N613" s="100"/>
    </row>
    <row r="614" spans="1:14" ht="15.75" customHeight="1" x14ac:dyDescent="0.25">
      <c r="A614" s="52" t="str">
        <f t="shared" si="77"/>
        <v>TL</v>
      </c>
      <c r="B614" s="32" t="s">
        <v>943</v>
      </c>
      <c r="C614" s="33">
        <v>609</v>
      </c>
      <c r="D614" s="39" t="s">
        <v>125</v>
      </c>
      <c r="E614" s="33" t="s">
        <v>10</v>
      </c>
      <c r="F614" s="33">
        <v>5.86</v>
      </c>
      <c r="G614" s="33">
        <f t="shared" si="78"/>
        <v>5.86</v>
      </c>
      <c r="H614" s="33"/>
      <c r="I614" s="34" t="s">
        <v>13</v>
      </c>
      <c r="J614" s="99">
        <f>+'[1]Dự thầu'!$G$1271</f>
        <v>65242</v>
      </c>
      <c r="K614" s="98">
        <f t="shared" si="79"/>
        <v>382318</v>
      </c>
      <c r="L614" s="98">
        <f t="shared" si="80"/>
        <v>382318</v>
      </c>
      <c r="M614" s="98">
        <f t="shared" si="81"/>
        <v>0</v>
      </c>
      <c r="N614" s="100"/>
    </row>
    <row r="615" spans="1:14" ht="31.5" customHeight="1" x14ac:dyDescent="0.25">
      <c r="A615" s="52" t="str">
        <f t="shared" si="77"/>
        <v>TL</v>
      </c>
      <c r="B615" s="32" t="s">
        <v>944</v>
      </c>
      <c r="C615" s="33">
        <v>610</v>
      </c>
      <c r="D615" s="39" t="s">
        <v>240</v>
      </c>
      <c r="E615" s="33" t="s">
        <v>10</v>
      </c>
      <c r="F615" s="33">
        <v>1.78</v>
      </c>
      <c r="G615" s="33">
        <f t="shared" si="78"/>
        <v>1.78</v>
      </c>
      <c r="H615" s="33"/>
      <c r="I615" s="34" t="s">
        <v>16</v>
      </c>
      <c r="J615" s="99">
        <f>+'[1]Dự thầu'!$G$1272</f>
        <v>842139</v>
      </c>
      <c r="K615" s="98">
        <f t="shared" ref="K615:K646" si="82">+ROUND(J615*F615,0)</f>
        <v>1499007</v>
      </c>
      <c r="L615" s="98">
        <f t="shared" ref="L615:L646" si="83">+ROUND(G615*J615,0)</f>
        <v>1499007</v>
      </c>
      <c r="M615" s="98">
        <f t="shared" ref="M615:M646" si="84">+ROUND(H615*J615,0)</f>
        <v>0</v>
      </c>
      <c r="N615" s="100"/>
    </row>
    <row r="616" spans="1:14" ht="15.75" customHeight="1" x14ac:dyDescent="0.25">
      <c r="A616" s="52" t="str">
        <f t="shared" si="77"/>
        <v>TL</v>
      </c>
      <c r="B616" s="32" t="s">
        <v>945</v>
      </c>
      <c r="C616" s="33">
        <v>611</v>
      </c>
      <c r="D616" s="39" t="s">
        <v>122</v>
      </c>
      <c r="E616" s="33" t="s">
        <v>10</v>
      </c>
      <c r="F616" s="33">
        <v>9.41</v>
      </c>
      <c r="G616" s="33">
        <f t="shared" si="78"/>
        <v>9.41</v>
      </c>
      <c r="H616" s="33"/>
      <c r="I616" s="34" t="s">
        <v>16</v>
      </c>
      <c r="J616" s="99">
        <f>+'[1]Dự thầu'!$G$1273</f>
        <v>1866757</v>
      </c>
      <c r="K616" s="98">
        <f t="shared" si="82"/>
        <v>17566183</v>
      </c>
      <c r="L616" s="98">
        <f t="shared" si="83"/>
        <v>17566183</v>
      </c>
      <c r="M616" s="98">
        <f t="shared" si="84"/>
        <v>0</v>
      </c>
      <c r="N616" s="100"/>
    </row>
    <row r="617" spans="1:14" ht="15.75" customHeight="1" x14ac:dyDescent="0.25">
      <c r="A617" s="52" t="str">
        <f t="shared" si="77"/>
        <v>TL</v>
      </c>
      <c r="B617" s="32" t="s">
        <v>946</v>
      </c>
      <c r="C617" s="33">
        <v>612</v>
      </c>
      <c r="D617" s="39" t="s">
        <v>947</v>
      </c>
      <c r="E617" s="33" t="s">
        <v>10</v>
      </c>
      <c r="F617" s="33">
        <v>54.1</v>
      </c>
      <c r="G617" s="33">
        <f t="shared" si="78"/>
        <v>54.1</v>
      </c>
      <c r="H617" s="33"/>
      <c r="I617" s="34" t="s">
        <v>13</v>
      </c>
      <c r="J617" s="99">
        <f>+'[1]Dự thầu'!$G$1274</f>
        <v>79477</v>
      </c>
      <c r="K617" s="98">
        <f t="shared" si="82"/>
        <v>4299706</v>
      </c>
      <c r="L617" s="98">
        <f t="shared" si="83"/>
        <v>4299706</v>
      </c>
      <c r="M617" s="98">
        <f t="shared" si="84"/>
        <v>0</v>
      </c>
      <c r="N617" s="100"/>
    </row>
    <row r="618" spans="1:14" ht="15.75" customHeight="1" x14ac:dyDescent="0.25">
      <c r="A618" s="52" t="str">
        <f t="shared" si="77"/>
        <v>TL</v>
      </c>
      <c r="B618" s="32" t="s">
        <v>948</v>
      </c>
      <c r="C618" s="33">
        <v>613</v>
      </c>
      <c r="D618" s="39" t="s">
        <v>242</v>
      </c>
      <c r="E618" s="33" t="s">
        <v>10</v>
      </c>
      <c r="F618" s="33">
        <v>0.98</v>
      </c>
      <c r="G618" s="33">
        <f t="shared" si="78"/>
        <v>0.98</v>
      </c>
      <c r="H618" s="33"/>
      <c r="I618" s="34" t="s">
        <v>16</v>
      </c>
      <c r="J618" s="99">
        <f>+'[1]Dự thầu'!$G$1275</f>
        <v>1551168</v>
      </c>
      <c r="K618" s="98">
        <f t="shared" si="82"/>
        <v>1520145</v>
      </c>
      <c r="L618" s="98">
        <f t="shared" si="83"/>
        <v>1520145</v>
      </c>
      <c r="M618" s="98">
        <f t="shared" si="84"/>
        <v>0</v>
      </c>
      <c r="N618" s="100"/>
    </row>
    <row r="619" spans="1:14" ht="31.5" customHeight="1" x14ac:dyDescent="0.25">
      <c r="A619" s="52" t="str">
        <f t="shared" si="77"/>
        <v>TL</v>
      </c>
      <c r="B619" s="32" t="s">
        <v>949</v>
      </c>
      <c r="C619" s="33">
        <v>614</v>
      </c>
      <c r="D619" s="39" t="s">
        <v>871</v>
      </c>
      <c r="E619" s="33" t="s">
        <v>10</v>
      </c>
      <c r="F619" s="33">
        <v>3.16</v>
      </c>
      <c r="G619" s="33">
        <f t="shared" si="78"/>
        <v>3.16</v>
      </c>
      <c r="H619" s="33"/>
      <c r="I619" s="34" t="s">
        <v>13</v>
      </c>
      <c r="J619" s="99">
        <f>+'[1]Dự thầu'!$G$1276</f>
        <v>86606</v>
      </c>
      <c r="K619" s="98">
        <f t="shared" si="82"/>
        <v>273675</v>
      </c>
      <c r="L619" s="98">
        <f t="shared" si="83"/>
        <v>273675</v>
      </c>
      <c r="M619" s="98">
        <f t="shared" si="84"/>
        <v>0</v>
      </c>
      <c r="N619" s="100"/>
    </row>
    <row r="620" spans="1:14" ht="31.5" customHeight="1" x14ac:dyDescent="0.25">
      <c r="A620" s="52" t="str">
        <f t="shared" si="77"/>
        <v>TL</v>
      </c>
      <c r="B620" s="32" t="s">
        <v>950</v>
      </c>
      <c r="C620" s="33">
        <v>615</v>
      </c>
      <c r="D620" s="39" t="s">
        <v>246</v>
      </c>
      <c r="E620" s="33" t="s">
        <v>10</v>
      </c>
      <c r="F620" s="33">
        <v>0.01</v>
      </c>
      <c r="G620" s="33">
        <f t="shared" si="78"/>
        <v>0.01</v>
      </c>
      <c r="H620" s="33"/>
      <c r="I620" s="34" t="s">
        <v>90</v>
      </c>
      <c r="J620" s="99">
        <f>+'[1]Dự thầu'!$G$1277</f>
        <v>27096238</v>
      </c>
      <c r="K620" s="98">
        <f t="shared" si="82"/>
        <v>270962</v>
      </c>
      <c r="L620" s="98">
        <f t="shared" si="83"/>
        <v>270962</v>
      </c>
      <c r="M620" s="98">
        <f t="shared" si="84"/>
        <v>0</v>
      </c>
      <c r="N620" s="100"/>
    </row>
    <row r="621" spans="1:14" ht="31.5" customHeight="1" x14ac:dyDescent="0.25">
      <c r="A621" s="52" t="str">
        <f t="shared" si="77"/>
        <v>TL</v>
      </c>
      <c r="B621" s="32" t="s">
        <v>951</v>
      </c>
      <c r="C621" s="33">
        <v>616</v>
      </c>
      <c r="D621" s="39" t="s">
        <v>246</v>
      </c>
      <c r="E621" s="33" t="s">
        <v>10</v>
      </c>
      <c r="F621" s="33">
        <v>0.11</v>
      </c>
      <c r="G621" s="33">
        <f t="shared" si="78"/>
        <v>0.11</v>
      </c>
      <c r="H621" s="33"/>
      <c r="I621" s="34" t="s">
        <v>90</v>
      </c>
      <c r="J621" s="99">
        <f>+'[1]Dự thầu'!$G$1278</f>
        <v>27096238</v>
      </c>
      <c r="K621" s="98">
        <f t="shared" si="82"/>
        <v>2980586</v>
      </c>
      <c r="L621" s="98">
        <f t="shared" si="83"/>
        <v>2980586</v>
      </c>
      <c r="M621" s="98">
        <f t="shared" si="84"/>
        <v>0</v>
      </c>
      <c r="N621" s="100"/>
    </row>
    <row r="622" spans="1:14" ht="47.25" customHeight="1" x14ac:dyDescent="0.25">
      <c r="A622" s="52" t="str">
        <f t="shared" si="77"/>
        <v>TL</v>
      </c>
      <c r="B622" s="32" t="s">
        <v>952</v>
      </c>
      <c r="C622" s="33">
        <v>617</v>
      </c>
      <c r="D622" s="39" t="s">
        <v>272</v>
      </c>
      <c r="E622" s="33" t="s">
        <v>10</v>
      </c>
      <c r="F622" s="33">
        <v>2.4500000000000002</v>
      </c>
      <c r="G622" s="33">
        <f t="shared" si="78"/>
        <v>2.4500000000000002</v>
      </c>
      <c r="H622" s="33"/>
      <c r="I622" s="34" t="s">
        <v>90</v>
      </c>
      <c r="J622" s="99">
        <f>+'[1]Dự thầu'!$G$1279</f>
        <v>51234</v>
      </c>
      <c r="K622" s="98">
        <f t="shared" si="82"/>
        <v>125523</v>
      </c>
      <c r="L622" s="98">
        <f t="shared" si="83"/>
        <v>125523</v>
      </c>
      <c r="M622" s="98">
        <f t="shared" si="84"/>
        <v>0</v>
      </c>
      <c r="N622" s="100"/>
    </row>
    <row r="623" spans="1:14" ht="31.5" customHeight="1" x14ac:dyDescent="0.25">
      <c r="A623" s="52" t="str">
        <f t="shared" si="77"/>
        <v>TL</v>
      </c>
      <c r="B623" s="32" t="s">
        <v>953</v>
      </c>
      <c r="C623" s="33">
        <v>618</v>
      </c>
      <c r="D623" s="39" t="s">
        <v>284</v>
      </c>
      <c r="E623" s="33" t="s">
        <v>10</v>
      </c>
      <c r="F623" s="33">
        <v>0.24</v>
      </c>
      <c r="G623" s="33">
        <f t="shared" si="78"/>
        <v>0.24</v>
      </c>
      <c r="H623" s="33"/>
      <c r="I623" s="34" t="s">
        <v>274</v>
      </c>
      <c r="J623" s="99">
        <f>+'[1]Dự thầu'!$G$1280</f>
        <v>32162</v>
      </c>
      <c r="K623" s="98">
        <f t="shared" si="82"/>
        <v>7719</v>
      </c>
      <c r="L623" s="98">
        <f t="shared" si="83"/>
        <v>7719</v>
      </c>
      <c r="M623" s="98">
        <f t="shared" si="84"/>
        <v>0</v>
      </c>
      <c r="N623" s="100"/>
    </row>
    <row r="624" spans="1:14" ht="31.5" customHeight="1" x14ac:dyDescent="0.25">
      <c r="A624" s="52" t="str">
        <f t="shared" si="77"/>
        <v>TL</v>
      </c>
      <c r="B624" s="32" t="s">
        <v>954</v>
      </c>
      <c r="C624" s="33">
        <v>619</v>
      </c>
      <c r="D624" s="39" t="s">
        <v>257</v>
      </c>
      <c r="E624" s="33" t="s">
        <v>10</v>
      </c>
      <c r="F624" s="33">
        <v>6</v>
      </c>
      <c r="G624" s="33">
        <f t="shared" si="78"/>
        <v>6</v>
      </c>
      <c r="H624" s="33"/>
      <c r="I624" s="34" t="s">
        <v>258</v>
      </c>
      <c r="J624" s="99">
        <f>+'[1]Dự thầu'!$G$1281</f>
        <v>142868</v>
      </c>
      <c r="K624" s="98">
        <f t="shared" si="82"/>
        <v>857208</v>
      </c>
      <c r="L624" s="98">
        <f t="shared" si="83"/>
        <v>857208</v>
      </c>
      <c r="M624" s="98">
        <f t="shared" si="84"/>
        <v>0</v>
      </c>
      <c r="N624" s="100"/>
    </row>
    <row r="625" spans="1:14" ht="15.75" customHeight="1" x14ac:dyDescent="0.25">
      <c r="A625" s="52" t="str">
        <f t="shared" si="77"/>
        <v>TL</v>
      </c>
      <c r="B625" s="32" t="s">
        <v>955</v>
      </c>
      <c r="C625" s="33">
        <v>620</v>
      </c>
      <c r="D625" s="39" t="s">
        <v>242</v>
      </c>
      <c r="E625" s="33" t="s">
        <v>10</v>
      </c>
      <c r="F625" s="33">
        <v>0.28000000000000003</v>
      </c>
      <c r="G625" s="33">
        <f t="shared" si="78"/>
        <v>0.28000000000000003</v>
      </c>
      <c r="H625" s="33"/>
      <c r="I625" s="34" t="s">
        <v>16</v>
      </c>
      <c r="J625" s="99">
        <f>+'[1]Dự thầu'!$G$1283</f>
        <v>1631803</v>
      </c>
      <c r="K625" s="98">
        <f t="shared" si="82"/>
        <v>456905</v>
      </c>
      <c r="L625" s="98">
        <f t="shared" si="83"/>
        <v>456905</v>
      </c>
      <c r="M625" s="98">
        <f t="shared" si="84"/>
        <v>0</v>
      </c>
      <c r="N625" s="100"/>
    </row>
    <row r="626" spans="1:14" ht="31.5" customHeight="1" x14ac:dyDescent="0.25">
      <c r="A626" s="52" t="str">
        <f t="shared" si="77"/>
        <v>TL</v>
      </c>
      <c r="B626" s="32" t="s">
        <v>956</v>
      </c>
      <c r="C626" s="33">
        <v>621</v>
      </c>
      <c r="D626" s="39" t="s">
        <v>871</v>
      </c>
      <c r="E626" s="33" t="s">
        <v>10</v>
      </c>
      <c r="F626" s="33">
        <v>5.61</v>
      </c>
      <c r="G626" s="33">
        <f t="shared" si="78"/>
        <v>5.61</v>
      </c>
      <c r="H626" s="33"/>
      <c r="I626" s="34" t="s">
        <v>13</v>
      </c>
      <c r="J626" s="99">
        <f>+'[1]Dự thầu'!$G$1284</f>
        <v>86606</v>
      </c>
      <c r="K626" s="98">
        <f t="shared" si="82"/>
        <v>485860</v>
      </c>
      <c r="L626" s="98">
        <f t="shared" si="83"/>
        <v>485860</v>
      </c>
      <c r="M626" s="98">
        <f t="shared" si="84"/>
        <v>0</v>
      </c>
      <c r="N626" s="100"/>
    </row>
    <row r="627" spans="1:14" ht="31.5" customHeight="1" x14ac:dyDescent="0.25">
      <c r="A627" s="52" t="str">
        <f t="shared" si="77"/>
        <v>TL</v>
      </c>
      <c r="B627" s="32" t="s">
        <v>957</v>
      </c>
      <c r="C627" s="33">
        <v>622</v>
      </c>
      <c r="D627" s="39" t="s">
        <v>246</v>
      </c>
      <c r="E627" s="33" t="s">
        <v>10</v>
      </c>
      <c r="F627" s="33">
        <v>0.01</v>
      </c>
      <c r="G627" s="33">
        <f t="shared" si="78"/>
        <v>0.01</v>
      </c>
      <c r="H627" s="33"/>
      <c r="I627" s="34" t="s">
        <v>90</v>
      </c>
      <c r="J627" s="99">
        <f>+'[1]Dự thầu'!$G$1285</f>
        <v>27096238</v>
      </c>
      <c r="K627" s="98">
        <f t="shared" si="82"/>
        <v>270962</v>
      </c>
      <c r="L627" s="98">
        <f t="shared" si="83"/>
        <v>270962</v>
      </c>
      <c r="M627" s="98">
        <f t="shared" si="84"/>
        <v>0</v>
      </c>
      <c r="N627" s="100"/>
    </row>
    <row r="628" spans="1:14" ht="31.5" customHeight="1" x14ac:dyDescent="0.25">
      <c r="A628" s="52" t="str">
        <f t="shared" si="77"/>
        <v>TL</v>
      </c>
      <c r="B628" s="32" t="s">
        <v>958</v>
      </c>
      <c r="C628" s="33">
        <v>623</v>
      </c>
      <c r="D628" s="39" t="s">
        <v>246</v>
      </c>
      <c r="E628" s="33" t="s">
        <v>10</v>
      </c>
      <c r="F628" s="33">
        <v>0.02</v>
      </c>
      <c r="G628" s="33">
        <f t="shared" si="78"/>
        <v>0.02</v>
      </c>
      <c r="H628" s="33"/>
      <c r="I628" s="34" t="s">
        <v>90</v>
      </c>
      <c r="J628" s="99">
        <f>+'[1]Dự thầu'!$G$1286</f>
        <v>27096238</v>
      </c>
      <c r="K628" s="98">
        <f t="shared" si="82"/>
        <v>541925</v>
      </c>
      <c r="L628" s="98">
        <f t="shared" si="83"/>
        <v>541925</v>
      </c>
      <c r="M628" s="98">
        <f t="shared" si="84"/>
        <v>0</v>
      </c>
      <c r="N628" s="100"/>
    </row>
    <row r="629" spans="1:14" ht="47.25" customHeight="1" x14ac:dyDescent="0.25">
      <c r="A629" s="52" t="str">
        <f t="shared" si="77"/>
        <v>TL</v>
      </c>
      <c r="B629" s="32" t="s">
        <v>959</v>
      </c>
      <c r="C629" s="33">
        <v>624</v>
      </c>
      <c r="D629" s="39" t="s">
        <v>249</v>
      </c>
      <c r="E629" s="33" t="s">
        <v>10</v>
      </c>
      <c r="F629" s="33">
        <v>3</v>
      </c>
      <c r="G629" s="33">
        <f t="shared" si="78"/>
        <v>3</v>
      </c>
      <c r="H629" s="33"/>
      <c r="I629" s="34" t="s">
        <v>250</v>
      </c>
      <c r="J629" s="99">
        <f>+'[1]Dự thầu'!$G$1287</f>
        <v>52812</v>
      </c>
      <c r="K629" s="98">
        <f t="shared" si="82"/>
        <v>158436</v>
      </c>
      <c r="L629" s="98">
        <f t="shared" si="83"/>
        <v>158436</v>
      </c>
      <c r="M629" s="98">
        <f t="shared" si="84"/>
        <v>0</v>
      </c>
      <c r="N629" s="100"/>
    </row>
    <row r="630" spans="1:14" ht="47.25" customHeight="1" x14ac:dyDescent="0.25">
      <c r="A630" s="52" t="str">
        <f t="shared" si="77"/>
        <v>TL</v>
      </c>
      <c r="B630" s="32" t="s">
        <v>960</v>
      </c>
      <c r="C630" s="33">
        <v>625</v>
      </c>
      <c r="D630" s="39" t="s">
        <v>255</v>
      </c>
      <c r="E630" s="33" t="s">
        <v>10</v>
      </c>
      <c r="F630" s="33">
        <v>3</v>
      </c>
      <c r="G630" s="33">
        <f t="shared" si="78"/>
        <v>3</v>
      </c>
      <c r="H630" s="33"/>
      <c r="I630" s="34" t="s">
        <v>250</v>
      </c>
      <c r="J630" s="99">
        <f>+'[1]Dự thầu'!$G$1288</f>
        <v>42761</v>
      </c>
      <c r="K630" s="98">
        <f t="shared" si="82"/>
        <v>128283</v>
      </c>
      <c r="L630" s="98">
        <f t="shared" si="83"/>
        <v>128283</v>
      </c>
      <c r="M630" s="98">
        <f t="shared" si="84"/>
        <v>0</v>
      </c>
      <c r="N630" s="100"/>
    </row>
    <row r="631" spans="1:14" ht="31.5" customHeight="1" x14ac:dyDescent="0.25">
      <c r="A631" s="52" t="str">
        <f t="shared" si="77"/>
        <v>TL</v>
      </c>
      <c r="B631" s="32" t="s">
        <v>961</v>
      </c>
      <c r="C631" s="33">
        <v>626</v>
      </c>
      <c r="D631" s="39" t="s">
        <v>284</v>
      </c>
      <c r="E631" s="33" t="s">
        <v>10</v>
      </c>
      <c r="F631" s="33">
        <v>7.0000000000000007E-2</v>
      </c>
      <c r="G631" s="33">
        <f t="shared" si="78"/>
        <v>7.0000000000000007E-2</v>
      </c>
      <c r="H631" s="33"/>
      <c r="I631" s="34" t="s">
        <v>274</v>
      </c>
      <c r="J631" s="99">
        <f>+'[1]Dự thầu'!$G$1289</f>
        <v>32162</v>
      </c>
      <c r="K631" s="98">
        <f t="shared" si="82"/>
        <v>2251</v>
      </c>
      <c r="L631" s="98">
        <f t="shared" si="83"/>
        <v>2251</v>
      </c>
      <c r="M631" s="98">
        <f t="shared" si="84"/>
        <v>0</v>
      </c>
      <c r="N631" s="100"/>
    </row>
    <row r="632" spans="1:14" ht="31.5" customHeight="1" x14ac:dyDescent="0.25">
      <c r="A632" s="52" t="str">
        <f t="shared" si="77"/>
        <v>TL</v>
      </c>
      <c r="B632" s="32" t="s">
        <v>962</v>
      </c>
      <c r="C632" s="33">
        <v>627</v>
      </c>
      <c r="D632" s="39" t="s">
        <v>257</v>
      </c>
      <c r="E632" s="33" t="s">
        <v>10</v>
      </c>
      <c r="F632" s="33">
        <v>3</v>
      </c>
      <c r="G632" s="33">
        <f t="shared" si="78"/>
        <v>3</v>
      </c>
      <c r="H632" s="33"/>
      <c r="I632" s="34" t="s">
        <v>258</v>
      </c>
      <c r="J632" s="99">
        <f>+'[1]Dự thầu'!$G$1290</f>
        <v>294187</v>
      </c>
      <c r="K632" s="98">
        <f t="shared" si="82"/>
        <v>882561</v>
      </c>
      <c r="L632" s="98">
        <f t="shared" si="83"/>
        <v>882561</v>
      </c>
      <c r="M632" s="98">
        <f t="shared" si="84"/>
        <v>0</v>
      </c>
      <c r="N632" s="100"/>
    </row>
    <row r="633" spans="1:14" ht="15.75" customHeight="1" x14ac:dyDescent="0.25">
      <c r="A633" s="52" t="str">
        <f t="shared" si="77"/>
        <v>TL</v>
      </c>
      <c r="B633" s="32" t="s">
        <v>963</v>
      </c>
      <c r="C633" s="33">
        <v>628</v>
      </c>
      <c r="D633" s="39" t="s">
        <v>299</v>
      </c>
      <c r="E633" s="33" t="s">
        <v>10</v>
      </c>
      <c r="F633" s="33">
        <v>2</v>
      </c>
      <c r="G633" s="33">
        <f t="shared" si="78"/>
        <v>2</v>
      </c>
      <c r="H633" s="33"/>
      <c r="I633" s="34" t="s">
        <v>258</v>
      </c>
      <c r="J633" s="99">
        <f>+'[1]Dự thầu'!$G$1291</f>
        <v>787114</v>
      </c>
      <c r="K633" s="98">
        <f t="shared" si="82"/>
        <v>1574228</v>
      </c>
      <c r="L633" s="98">
        <f t="shared" si="83"/>
        <v>1574228</v>
      </c>
      <c r="M633" s="98">
        <f t="shared" si="84"/>
        <v>0</v>
      </c>
      <c r="N633" s="100"/>
    </row>
    <row r="634" spans="1:14" ht="47.25" customHeight="1" x14ac:dyDescent="0.25">
      <c r="A634" s="52" t="str">
        <f t="shared" si="77"/>
        <v>TL</v>
      </c>
      <c r="B634" s="32" t="s">
        <v>964</v>
      </c>
      <c r="C634" s="33">
        <v>629</v>
      </c>
      <c r="D634" s="39" t="s">
        <v>120</v>
      </c>
      <c r="E634" s="33" t="s">
        <v>10</v>
      </c>
      <c r="F634" s="33">
        <v>0.02</v>
      </c>
      <c r="G634" s="33">
        <f t="shared" si="78"/>
        <v>0.02</v>
      </c>
      <c r="H634" s="33"/>
      <c r="I634" s="34" t="s">
        <v>16</v>
      </c>
      <c r="J634" s="99">
        <f>+'[1]Dự thầu'!$G$1292</f>
        <v>1191268</v>
      </c>
      <c r="K634" s="98">
        <f t="shared" si="82"/>
        <v>23825</v>
      </c>
      <c r="L634" s="98">
        <f t="shared" si="83"/>
        <v>23825</v>
      </c>
      <c r="M634" s="98">
        <f t="shared" si="84"/>
        <v>0</v>
      </c>
      <c r="N634" s="100"/>
    </row>
    <row r="635" spans="1:14" ht="15.75" customHeight="1" x14ac:dyDescent="0.25">
      <c r="A635" s="52" t="str">
        <f t="shared" si="77"/>
        <v>TL</v>
      </c>
      <c r="B635" s="32" t="s">
        <v>965</v>
      </c>
      <c r="C635" s="33">
        <v>630</v>
      </c>
      <c r="D635" s="39" t="s">
        <v>278</v>
      </c>
      <c r="E635" s="33" t="s">
        <v>10</v>
      </c>
      <c r="F635" s="33">
        <v>0.27</v>
      </c>
      <c r="G635" s="33">
        <f t="shared" si="78"/>
        <v>0.27</v>
      </c>
      <c r="H635" s="33"/>
      <c r="I635" s="34" t="s">
        <v>16</v>
      </c>
      <c r="J635" s="99">
        <f>+'[1]Dự thầu'!$G$1293</f>
        <v>1533135</v>
      </c>
      <c r="K635" s="98">
        <f t="shared" si="82"/>
        <v>413946</v>
      </c>
      <c r="L635" s="98">
        <f t="shared" si="83"/>
        <v>413946</v>
      </c>
      <c r="M635" s="98">
        <f t="shared" si="84"/>
        <v>0</v>
      </c>
      <c r="N635" s="100"/>
    </row>
    <row r="636" spans="1:14" ht="31.5" customHeight="1" x14ac:dyDescent="0.25">
      <c r="A636" s="52" t="str">
        <f t="shared" si="77"/>
        <v>TL</v>
      </c>
      <c r="B636" s="32" t="s">
        <v>966</v>
      </c>
      <c r="C636" s="33">
        <v>631</v>
      </c>
      <c r="D636" s="39" t="s">
        <v>871</v>
      </c>
      <c r="E636" s="33" t="s">
        <v>10</v>
      </c>
      <c r="F636" s="33">
        <v>0.53</v>
      </c>
      <c r="G636" s="33">
        <f t="shared" si="78"/>
        <v>0.53</v>
      </c>
      <c r="H636" s="33"/>
      <c r="I636" s="34" t="s">
        <v>13</v>
      </c>
      <c r="J636" s="99">
        <f>+'[1]Dự thầu'!$G$1294</f>
        <v>86606</v>
      </c>
      <c r="K636" s="98">
        <f t="shared" si="82"/>
        <v>45901</v>
      </c>
      <c r="L636" s="98">
        <f t="shared" si="83"/>
        <v>45901</v>
      </c>
      <c r="M636" s="98">
        <f t="shared" si="84"/>
        <v>0</v>
      </c>
      <c r="N636" s="100"/>
    </row>
    <row r="637" spans="1:14" ht="15.75" customHeight="1" x14ac:dyDescent="0.25">
      <c r="A637" s="52" t="str">
        <f t="shared" si="77"/>
        <v>TL</v>
      </c>
      <c r="B637" s="32" t="s">
        <v>967</v>
      </c>
      <c r="C637" s="33">
        <v>632</v>
      </c>
      <c r="D637" s="39" t="s">
        <v>968</v>
      </c>
      <c r="E637" s="33" t="s">
        <v>10</v>
      </c>
      <c r="F637" s="33">
        <v>3</v>
      </c>
      <c r="G637" s="33">
        <f t="shared" si="78"/>
        <v>3</v>
      </c>
      <c r="H637" s="33"/>
      <c r="I637" s="34" t="s">
        <v>75</v>
      </c>
      <c r="J637" s="99">
        <f>+'[1]Dự thầu'!$G$1295</f>
        <v>46054</v>
      </c>
      <c r="K637" s="98">
        <f t="shared" si="82"/>
        <v>138162</v>
      </c>
      <c r="L637" s="98">
        <f t="shared" si="83"/>
        <v>138162</v>
      </c>
      <c r="M637" s="98">
        <f t="shared" si="84"/>
        <v>0</v>
      </c>
      <c r="N637" s="100"/>
    </row>
    <row r="638" spans="1:14" ht="47.25" customHeight="1" x14ac:dyDescent="0.25">
      <c r="A638" s="52" t="str">
        <f t="shared" si="77"/>
        <v>TL</v>
      </c>
      <c r="B638" s="32" t="s">
        <v>969</v>
      </c>
      <c r="C638" s="33">
        <v>633</v>
      </c>
      <c r="D638" s="39" t="s">
        <v>272</v>
      </c>
      <c r="E638" s="33" t="s">
        <v>10</v>
      </c>
      <c r="F638" s="33">
        <v>0.68</v>
      </c>
      <c r="G638" s="33">
        <f t="shared" si="78"/>
        <v>0.68</v>
      </c>
      <c r="H638" s="33"/>
      <c r="I638" s="34" t="s">
        <v>90</v>
      </c>
      <c r="J638" s="99">
        <f>+'[1]Dự thầu'!$G$1296</f>
        <v>51234</v>
      </c>
      <c r="K638" s="98">
        <f t="shared" si="82"/>
        <v>34839</v>
      </c>
      <c r="L638" s="98">
        <f t="shared" si="83"/>
        <v>34839</v>
      </c>
      <c r="M638" s="98">
        <f t="shared" si="84"/>
        <v>0</v>
      </c>
      <c r="N638" s="100"/>
    </row>
    <row r="639" spans="1:14" ht="31.5" customHeight="1" x14ac:dyDescent="0.25">
      <c r="A639" s="52" t="str">
        <f t="shared" si="77"/>
        <v>TL</v>
      </c>
      <c r="B639" s="32" t="s">
        <v>970</v>
      </c>
      <c r="C639" s="33">
        <v>634</v>
      </c>
      <c r="D639" s="39" t="s">
        <v>284</v>
      </c>
      <c r="E639" s="33" t="s">
        <v>10</v>
      </c>
      <c r="F639" s="33">
        <v>7.0000000000000007E-2</v>
      </c>
      <c r="G639" s="33">
        <f t="shared" si="78"/>
        <v>7.0000000000000007E-2</v>
      </c>
      <c r="H639" s="33"/>
      <c r="I639" s="34" t="s">
        <v>274</v>
      </c>
      <c r="J639" s="99">
        <f>+'[1]Dự thầu'!$G$1297</f>
        <v>32162</v>
      </c>
      <c r="K639" s="98">
        <f t="shared" si="82"/>
        <v>2251</v>
      </c>
      <c r="L639" s="98">
        <f t="shared" si="83"/>
        <v>2251</v>
      </c>
      <c r="M639" s="98">
        <f t="shared" si="84"/>
        <v>0</v>
      </c>
      <c r="N639" s="100"/>
    </row>
    <row r="640" spans="1:14" ht="47.25" customHeight="1" x14ac:dyDescent="0.25">
      <c r="A640" s="52" t="str">
        <f t="shared" si="77"/>
        <v>TL</v>
      </c>
      <c r="B640" s="32" t="s">
        <v>971</v>
      </c>
      <c r="C640" s="33">
        <v>635</v>
      </c>
      <c r="D640" s="39" t="s">
        <v>120</v>
      </c>
      <c r="E640" s="33" t="s">
        <v>10</v>
      </c>
      <c r="F640" s="33">
        <v>0.03</v>
      </c>
      <c r="G640" s="33">
        <f t="shared" si="78"/>
        <v>0.03</v>
      </c>
      <c r="H640" s="33"/>
      <c r="I640" s="34" t="s">
        <v>16</v>
      </c>
      <c r="J640" s="99">
        <f>+'[1]Dự thầu'!$G$1298</f>
        <v>1191268</v>
      </c>
      <c r="K640" s="98">
        <f t="shared" si="82"/>
        <v>35738</v>
      </c>
      <c r="L640" s="98">
        <f t="shared" si="83"/>
        <v>35738</v>
      </c>
      <c r="M640" s="98">
        <f t="shared" si="84"/>
        <v>0</v>
      </c>
      <c r="N640" s="100"/>
    </row>
    <row r="641" spans="1:14" ht="31.5" customHeight="1" x14ac:dyDescent="0.25">
      <c r="A641" s="52" t="str">
        <f t="shared" si="77"/>
        <v>TL</v>
      </c>
      <c r="B641" s="32" t="s">
        <v>972</v>
      </c>
      <c r="C641" s="33">
        <v>636</v>
      </c>
      <c r="D641" s="39" t="s">
        <v>973</v>
      </c>
      <c r="E641" s="33" t="s">
        <v>10</v>
      </c>
      <c r="F641" s="33">
        <v>0.02</v>
      </c>
      <c r="G641" s="33">
        <f t="shared" si="78"/>
        <v>0.02</v>
      </c>
      <c r="H641" s="33"/>
      <c r="I641" s="34" t="s">
        <v>90</v>
      </c>
      <c r="J641" s="99">
        <f>+'[1]Dự thầu'!$G$1299</f>
        <v>26022934</v>
      </c>
      <c r="K641" s="98">
        <f t="shared" si="82"/>
        <v>520459</v>
      </c>
      <c r="L641" s="98">
        <f t="shared" si="83"/>
        <v>520459</v>
      </c>
      <c r="M641" s="98">
        <f t="shared" si="84"/>
        <v>0</v>
      </c>
      <c r="N641" s="100"/>
    </row>
    <row r="642" spans="1:14" ht="15.75" customHeight="1" x14ac:dyDescent="0.25">
      <c r="A642" s="52" t="str">
        <f t="shared" si="77"/>
        <v>TL</v>
      </c>
      <c r="B642" s="32" t="s">
        <v>974</v>
      </c>
      <c r="C642" s="33">
        <v>637</v>
      </c>
      <c r="D642" s="39" t="s">
        <v>278</v>
      </c>
      <c r="E642" s="33" t="s">
        <v>10</v>
      </c>
      <c r="F642" s="33">
        <v>0.3</v>
      </c>
      <c r="G642" s="33">
        <f t="shared" si="78"/>
        <v>0.3</v>
      </c>
      <c r="H642" s="33"/>
      <c r="I642" s="34" t="s">
        <v>16</v>
      </c>
      <c r="J642" s="99">
        <f>+'[1]Dự thầu'!$G$1300</f>
        <v>1533135</v>
      </c>
      <c r="K642" s="98">
        <f t="shared" si="82"/>
        <v>459941</v>
      </c>
      <c r="L642" s="98">
        <f t="shared" si="83"/>
        <v>459941</v>
      </c>
      <c r="M642" s="98">
        <f t="shared" si="84"/>
        <v>0</v>
      </c>
      <c r="N642" s="100"/>
    </row>
    <row r="643" spans="1:14" ht="31.5" customHeight="1" x14ac:dyDescent="0.25">
      <c r="A643" s="52" t="str">
        <f t="shared" si="77"/>
        <v>TL</v>
      </c>
      <c r="B643" s="32" t="s">
        <v>975</v>
      </c>
      <c r="C643" s="33">
        <v>638</v>
      </c>
      <c r="D643" s="39" t="s">
        <v>871</v>
      </c>
      <c r="E643" s="33" t="s">
        <v>10</v>
      </c>
      <c r="F643" s="33">
        <v>3.72</v>
      </c>
      <c r="G643" s="33">
        <f t="shared" si="78"/>
        <v>3.72</v>
      </c>
      <c r="H643" s="33"/>
      <c r="I643" s="34" t="s">
        <v>13</v>
      </c>
      <c r="J643" s="99">
        <f>+'[1]Dự thầu'!$G$1301</f>
        <v>86606</v>
      </c>
      <c r="K643" s="98">
        <f t="shared" si="82"/>
        <v>322174</v>
      </c>
      <c r="L643" s="98">
        <f t="shared" si="83"/>
        <v>322174</v>
      </c>
      <c r="M643" s="98">
        <f t="shared" si="84"/>
        <v>0</v>
      </c>
      <c r="N643" s="100"/>
    </row>
    <row r="644" spans="1:14" ht="15.75" customHeight="1" x14ac:dyDescent="0.25">
      <c r="A644" s="52" t="str">
        <f t="shared" si="77"/>
        <v>TL</v>
      </c>
      <c r="B644" s="32" t="s">
        <v>976</v>
      </c>
      <c r="C644" s="33">
        <v>639</v>
      </c>
      <c r="D644" s="39" t="s">
        <v>968</v>
      </c>
      <c r="E644" s="33" t="s">
        <v>10</v>
      </c>
      <c r="F644" s="33">
        <v>6</v>
      </c>
      <c r="G644" s="33">
        <f t="shared" si="78"/>
        <v>6</v>
      </c>
      <c r="H644" s="33"/>
      <c r="I644" s="34" t="s">
        <v>75</v>
      </c>
      <c r="J644" s="99">
        <f>+'[1]Dự thầu'!$G$1302</f>
        <v>46054</v>
      </c>
      <c r="K644" s="98">
        <f t="shared" si="82"/>
        <v>276324</v>
      </c>
      <c r="L644" s="98">
        <f t="shared" si="83"/>
        <v>276324</v>
      </c>
      <c r="M644" s="98">
        <f t="shared" si="84"/>
        <v>0</v>
      </c>
      <c r="N644" s="100"/>
    </row>
    <row r="645" spans="1:14" ht="47.25" customHeight="1" x14ac:dyDescent="0.25">
      <c r="A645" s="52" t="str">
        <f t="shared" si="77"/>
        <v>TL</v>
      </c>
      <c r="B645" s="32" t="s">
        <v>977</v>
      </c>
      <c r="C645" s="33">
        <v>640</v>
      </c>
      <c r="D645" s="39" t="s">
        <v>272</v>
      </c>
      <c r="E645" s="33" t="s">
        <v>10</v>
      </c>
      <c r="F645" s="33">
        <v>0.75</v>
      </c>
      <c r="G645" s="33">
        <f t="shared" si="78"/>
        <v>0.75</v>
      </c>
      <c r="H645" s="33"/>
      <c r="I645" s="34" t="s">
        <v>90</v>
      </c>
      <c r="J645" s="99">
        <f>+'[1]Dự thầu'!$G$1303</f>
        <v>51234</v>
      </c>
      <c r="K645" s="98">
        <f t="shared" si="82"/>
        <v>38426</v>
      </c>
      <c r="L645" s="98">
        <f t="shared" si="83"/>
        <v>38426</v>
      </c>
      <c r="M645" s="98">
        <f t="shared" si="84"/>
        <v>0</v>
      </c>
      <c r="N645" s="100"/>
    </row>
    <row r="646" spans="1:14" ht="31.5" customHeight="1" x14ac:dyDescent="0.25">
      <c r="A646" s="52" t="str">
        <f t="shared" si="77"/>
        <v>TL</v>
      </c>
      <c r="B646" s="32" t="s">
        <v>978</v>
      </c>
      <c r="C646" s="33">
        <v>641</v>
      </c>
      <c r="D646" s="39" t="s">
        <v>284</v>
      </c>
      <c r="E646" s="33" t="s">
        <v>10</v>
      </c>
      <c r="F646" s="33">
        <v>0.08</v>
      </c>
      <c r="G646" s="33">
        <f t="shared" si="78"/>
        <v>0.08</v>
      </c>
      <c r="H646" s="33"/>
      <c r="I646" s="34" t="s">
        <v>274</v>
      </c>
      <c r="J646" s="99">
        <f>+'[1]Dự thầu'!$G$1304</f>
        <v>32162</v>
      </c>
      <c r="K646" s="98">
        <f t="shared" si="82"/>
        <v>2573</v>
      </c>
      <c r="L646" s="98">
        <f t="shared" si="83"/>
        <v>2573</v>
      </c>
      <c r="M646" s="98">
        <f t="shared" si="84"/>
        <v>0</v>
      </c>
      <c r="N646" s="100"/>
    </row>
    <row r="647" spans="1:14" ht="31.5" customHeight="1" x14ac:dyDescent="0.25">
      <c r="A647" s="52" t="str">
        <f t="shared" ref="A647:A659" si="85">A646</f>
        <v>TL</v>
      </c>
      <c r="B647" s="32" t="s">
        <v>979</v>
      </c>
      <c r="C647" s="33">
        <v>642</v>
      </c>
      <c r="D647" s="39" t="s">
        <v>980</v>
      </c>
      <c r="E647" s="33" t="s">
        <v>10</v>
      </c>
      <c r="F647" s="33">
        <v>67.97</v>
      </c>
      <c r="G647" s="33">
        <f t="shared" ref="G647:G660" si="86">+F647</f>
        <v>67.97</v>
      </c>
      <c r="H647" s="33"/>
      <c r="I647" s="34" t="s">
        <v>16</v>
      </c>
      <c r="J647" s="99">
        <f>+'[1]Dự thầu'!$G$1305</f>
        <v>527970</v>
      </c>
      <c r="K647" s="98">
        <f t="shared" ref="K647:K659" si="87">+ROUND(J647*F647,0)</f>
        <v>35886121</v>
      </c>
      <c r="L647" s="98">
        <f t="shared" ref="L647:L659" si="88">+ROUND(G647*J647,0)</f>
        <v>35886121</v>
      </c>
      <c r="M647" s="98">
        <f t="shared" ref="M647:M659" si="89">+ROUND(H647*J647,0)</f>
        <v>0</v>
      </c>
      <c r="N647" s="100"/>
    </row>
    <row r="648" spans="1:14" ht="15.75" customHeight="1" x14ac:dyDescent="0.25">
      <c r="A648" s="52" t="str">
        <f t="shared" si="85"/>
        <v>TL</v>
      </c>
      <c r="B648" s="32" t="s">
        <v>981</v>
      </c>
      <c r="C648" s="33">
        <v>643</v>
      </c>
      <c r="D648" s="39" t="s">
        <v>319</v>
      </c>
      <c r="E648" s="33" t="s">
        <v>10</v>
      </c>
      <c r="F648" s="33">
        <v>31.01</v>
      </c>
      <c r="G648" s="33">
        <f t="shared" si="86"/>
        <v>31.01</v>
      </c>
      <c r="H648" s="33"/>
      <c r="I648" s="34" t="s">
        <v>16</v>
      </c>
      <c r="J648" s="99">
        <f>+'[1]Dự thầu'!$G$1306</f>
        <v>1561916</v>
      </c>
      <c r="K648" s="98">
        <f t="shared" si="87"/>
        <v>48435015</v>
      </c>
      <c r="L648" s="98">
        <f t="shared" si="88"/>
        <v>48435015</v>
      </c>
      <c r="M648" s="98">
        <f t="shared" si="89"/>
        <v>0</v>
      </c>
      <c r="N648" s="100"/>
    </row>
    <row r="649" spans="1:14" ht="15.75" customHeight="1" x14ac:dyDescent="0.25">
      <c r="A649" s="52" t="str">
        <f t="shared" si="85"/>
        <v>TL</v>
      </c>
      <c r="B649" s="32" t="s">
        <v>982</v>
      </c>
      <c r="C649" s="33">
        <v>644</v>
      </c>
      <c r="D649" s="39" t="s">
        <v>125</v>
      </c>
      <c r="E649" s="33" t="s">
        <v>10</v>
      </c>
      <c r="F649" s="33">
        <v>45.88</v>
      </c>
      <c r="G649" s="33">
        <f t="shared" si="86"/>
        <v>45.88</v>
      </c>
      <c r="H649" s="33"/>
      <c r="I649" s="34" t="s">
        <v>13</v>
      </c>
      <c r="J649" s="99">
        <f>+'[1]Dự thầu'!$G$1307</f>
        <v>104798</v>
      </c>
      <c r="K649" s="98">
        <f t="shared" si="87"/>
        <v>4808132</v>
      </c>
      <c r="L649" s="98">
        <f t="shared" si="88"/>
        <v>4808132</v>
      </c>
      <c r="M649" s="98">
        <f t="shared" si="89"/>
        <v>0</v>
      </c>
      <c r="N649" s="100"/>
    </row>
    <row r="650" spans="1:14" ht="31.5" customHeight="1" x14ac:dyDescent="0.25">
      <c r="A650" s="52" t="str">
        <f t="shared" si="85"/>
        <v>TL</v>
      </c>
      <c r="B650" s="32" t="s">
        <v>983</v>
      </c>
      <c r="C650" s="33">
        <v>645</v>
      </c>
      <c r="D650" s="39" t="s">
        <v>240</v>
      </c>
      <c r="E650" s="33" t="s">
        <v>10</v>
      </c>
      <c r="F650" s="33">
        <v>16.010000000000002</v>
      </c>
      <c r="G650" s="33">
        <f t="shared" si="86"/>
        <v>16.010000000000002</v>
      </c>
      <c r="H650" s="33"/>
      <c r="I650" s="34" t="s">
        <v>16</v>
      </c>
      <c r="J650" s="99">
        <f>+'[1]Dự thầu'!$G$1308</f>
        <v>842139</v>
      </c>
      <c r="K650" s="98">
        <f t="shared" si="87"/>
        <v>13482645</v>
      </c>
      <c r="L650" s="98">
        <f t="shared" si="88"/>
        <v>13482645</v>
      </c>
      <c r="M650" s="98">
        <f t="shared" si="89"/>
        <v>0</v>
      </c>
      <c r="N650" s="100"/>
    </row>
    <row r="651" spans="1:14" ht="15.75" customHeight="1" x14ac:dyDescent="0.25">
      <c r="A651" s="52" t="str">
        <f t="shared" si="85"/>
        <v>TL</v>
      </c>
      <c r="B651" s="32" t="s">
        <v>984</v>
      </c>
      <c r="C651" s="33">
        <v>646</v>
      </c>
      <c r="D651" s="39" t="s">
        <v>122</v>
      </c>
      <c r="E651" s="33" t="s">
        <v>10</v>
      </c>
      <c r="F651" s="33">
        <v>42.82</v>
      </c>
      <c r="G651" s="33">
        <f t="shared" si="86"/>
        <v>42.82</v>
      </c>
      <c r="H651" s="33"/>
      <c r="I651" s="34" t="s">
        <v>16</v>
      </c>
      <c r="J651" s="99">
        <f>+'[1]Dự thầu'!$G$1309</f>
        <v>1866757</v>
      </c>
      <c r="K651" s="98">
        <f t="shared" si="87"/>
        <v>79934535</v>
      </c>
      <c r="L651" s="98">
        <f t="shared" si="88"/>
        <v>79934535</v>
      </c>
      <c r="M651" s="98">
        <f t="shared" si="89"/>
        <v>0</v>
      </c>
      <c r="N651" s="100"/>
    </row>
    <row r="652" spans="1:14" ht="15.75" customHeight="1" x14ac:dyDescent="0.25">
      <c r="A652" s="52" t="str">
        <f t="shared" si="85"/>
        <v>TL</v>
      </c>
      <c r="B652" s="32" t="s">
        <v>985</v>
      </c>
      <c r="C652" s="33">
        <v>647</v>
      </c>
      <c r="D652" s="39" t="s">
        <v>947</v>
      </c>
      <c r="E652" s="33" t="s">
        <v>10</v>
      </c>
      <c r="F652" s="33">
        <v>354.6</v>
      </c>
      <c r="G652" s="33">
        <f t="shared" si="86"/>
        <v>354.6</v>
      </c>
      <c r="H652" s="33"/>
      <c r="I652" s="34" t="s">
        <v>13</v>
      </c>
      <c r="J652" s="99">
        <f>+'[1]Dự thầu'!$G$1310</f>
        <v>96659</v>
      </c>
      <c r="K652" s="98">
        <f t="shared" si="87"/>
        <v>34275281</v>
      </c>
      <c r="L652" s="98">
        <f t="shared" si="88"/>
        <v>34275281</v>
      </c>
      <c r="M652" s="98">
        <f t="shared" si="89"/>
        <v>0</v>
      </c>
      <c r="N652" s="100"/>
    </row>
    <row r="653" spans="1:14" ht="15.75" customHeight="1" x14ac:dyDescent="0.25">
      <c r="A653" s="52" t="str">
        <f t="shared" si="85"/>
        <v>TL</v>
      </c>
      <c r="B653" s="32" t="s">
        <v>986</v>
      </c>
      <c r="C653" s="33">
        <v>648</v>
      </c>
      <c r="D653" s="39" t="s">
        <v>987</v>
      </c>
      <c r="E653" s="33" t="s">
        <v>10</v>
      </c>
      <c r="F653" s="33">
        <v>0.37</v>
      </c>
      <c r="G653" s="33">
        <f t="shared" si="86"/>
        <v>0.37</v>
      </c>
      <c r="H653" s="33"/>
      <c r="I653" s="34" t="s">
        <v>16</v>
      </c>
      <c r="J653" s="99">
        <f>+'[1]Dự thầu'!$G$1311</f>
        <v>2081456</v>
      </c>
      <c r="K653" s="98">
        <f t="shared" si="87"/>
        <v>770139</v>
      </c>
      <c r="L653" s="98">
        <f t="shared" si="88"/>
        <v>770139</v>
      </c>
      <c r="M653" s="98">
        <f t="shared" si="89"/>
        <v>0</v>
      </c>
      <c r="N653" s="100"/>
    </row>
    <row r="654" spans="1:14" ht="15.75" customHeight="1" x14ac:dyDescent="0.25">
      <c r="A654" s="52" t="str">
        <f t="shared" si="85"/>
        <v>TL</v>
      </c>
      <c r="B654" s="32" t="s">
        <v>988</v>
      </c>
      <c r="C654" s="33">
        <v>649</v>
      </c>
      <c r="D654" s="39" t="s">
        <v>125</v>
      </c>
      <c r="E654" s="33" t="s">
        <v>10</v>
      </c>
      <c r="F654" s="33">
        <v>1.95</v>
      </c>
      <c r="G654" s="33">
        <f t="shared" si="86"/>
        <v>1.95</v>
      </c>
      <c r="H654" s="33"/>
      <c r="I654" s="34" t="s">
        <v>13</v>
      </c>
      <c r="J654" s="99">
        <f>+'[1]Dự thầu'!$G$1312</f>
        <v>104798</v>
      </c>
      <c r="K654" s="98">
        <f t="shared" si="87"/>
        <v>204356</v>
      </c>
      <c r="L654" s="98">
        <f t="shared" si="88"/>
        <v>204356</v>
      </c>
      <c r="M654" s="98">
        <f t="shared" si="89"/>
        <v>0</v>
      </c>
      <c r="N654" s="100"/>
    </row>
    <row r="655" spans="1:14" ht="31.5" customHeight="1" x14ac:dyDescent="0.25">
      <c r="A655" s="52" t="str">
        <f t="shared" si="85"/>
        <v>TL</v>
      </c>
      <c r="B655" s="32" t="s">
        <v>989</v>
      </c>
      <c r="C655" s="33">
        <v>650</v>
      </c>
      <c r="D655" s="39" t="s">
        <v>332</v>
      </c>
      <c r="E655" s="33" t="s">
        <v>10</v>
      </c>
      <c r="F655" s="33">
        <v>0.06</v>
      </c>
      <c r="G655" s="33">
        <f t="shared" si="86"/>
        <v>0.06</v>
      </c>
      <c r="H655" s="33"/>
      <c r="I655" s="34" t="s">
        <v>90</v>
      </c>
      <c r="J655" s="99">
        <f>+'[1]Dự thầu'!$G$1313</f>
        <v>26204757</v>
      </c>
      <c r="K655" s="98">
        <f t="shared" si="87"/>
        <v>1572285</v>
      </c>
      <c r="L655" s="98">
        <f t="shared" si="88"/>
        <v>1572285</v>
      </c>
      <c r="M655" s="98">
        <f t="shared" si="89"/>
        <v>0</v>
      </c>
      <c r="N655" s="100"/>
    </row>
    <row r="656" spans="1:14" ht="31.5" customHeight="1" x14ac:dyDescent="0.25">
      <c r="A656" s="52" t="str">
        <f t="shared" si="85"/>
        <v>TL</v>
      </c>
      <c r="B656" s="32" t="s">
        <v>990</v>
      </c>
      <c r="C656" s="33">
        <v>651</v>
      </c>
      <c r="D656" s="39" t="s">
        <v>991</v>
      </c>
      <c r="E656" s="33" t="s">
        <v>10</v>
      </c>
      <c r="F656" s="33">
        <v>406</v>
      </c>
      <c r="G656" s="33">
        <f t="shared" si="86"/>
        <v>406</v>
      </c>
      <c r="H656" s="33"/>
      <c r="I656" s="34" t="s">
        <v>16</v>
      </c>
      <c r="J656" s="99">
        <f>+'[1]Dự thầu'!$G$1314</f>
        <v>167496</v>
      </c>
      <c r="K656" s="98">
        <f t="shared" si="87"/>
        <v>68003376</v>
      </c>
      <c r="L656" s="98">
        <f t="shared" si="88"/>
        <v>68003376</v>
      </c>
      <c r="M656" s="98">
        <f t="shared" si="89"/>
        <v>0</v>
      </c>
      <c r="N656" s="100"/>
    </row>
    <row r="657" spans="1:15" ht="15.75" customHeight="1" x14ac:dyDescent="0.25">
      <c r="A657" s="52" t="str">
        <f t="shared" si="85"/>
        <v>TL</v>
      </c>
      <c r="B657" s="32" t="s">
        <v>992</v>
      </c>
      <c r="C657" s="33">
        <v>652</v>
      </c>
      <c r="D657" s="39" t="s">
        <v>993</v>
      </c>
      <c r="E657" s="33" t="s">
        <v>10</v>
      </c>
      <c r="F657" s="33">
        <v>406</v>
      </c>
      <c r="G657" s="33">
        <f t="shared" si="86"/>
        <v>406</v>
      </c>
      <c r="H657" s="33"/>
      <c r="I657" s="34" t="s">
        <v>16</v>
      </c>
      <c r="J657" s="99">
        <f>+'[1]Dự thầu'!$G$1315</f>
        <v>56948</v>
      </c>
      <c r="K657" s="98">
        <f t="shared" si="87"/>
        <v>23120888</v>
      </c>
      <c r="L657" s="98">
        <f t="shared" si="88"/>
        <v>23120888</v>
      </c>
      <c r="M657" s="98">
        <f t="shared" si="89"/>
        <v>0</v>
      </c>
      <c r="N657" s="100"/>
    </row>
    <row r="658" spans="1:15" ht="15.75" customHeight="1" x14ac:dyDescent="0.25">
      <c r="A658" s="52" t="str">
        <f t="shared" si="85"/>
        <v>TL</v>
      </c>
      <c r="B658" s="32" t="s">
        <v>994</v>
      </c>
      <c r="C658" s="33">
        <v>653</v>
      </c>
      <c r="D658" s="39" t="s">
        <v>47</v>
      </c>
      <c r="E658" s="33" t="s">
        <v>10</v>
      </c>
      <c r="F658" s="33">
        <v>406</v>
      </c>
      <c r="G658" s="33">
        <f t="shared" si="86"/>
        <v>406</v>
      </c>
      <c r="H658" s="33"/>
      <c r="I658" s="34" t="s">
        <v>16</v>
      </c>
      <c r="J658" s="99">
        <f>+'[1]Dự thầu'!$G$1319</f>
        <v>2096</v>
      </c>
      <c r="K658" s="98">
        <f t="shared" si="87"/>
        <v>850976</v>
      </c>
      <c r="L658" s="98">
        <f t="shared" si="88"/>
        <v>850976</v>
      </c>
      <c r="M658" s="98">
        <f t="shared" si="89"/>
        <v>0</v>
      </c>
      <c r="N658" s="100"/>
    </row>
    <row r="659" spans="1:15" ht="31.5" customHeight="1" x14ac:dyDescent="0.25">
      <c r="A659" s="52" t="str">
        <f t="shared" si="85"/>
        <v>TL</v>
      </c>
      <c r="B659" s="32" t="s">
        <v>995</v>
      </c>
      <c r="C659" s="33">
        <v>654</v>
      </c>
      <c r="D659" s="39" t="s">
        <v>996</v>
      </c>
      <c r="E659" s="33" t="s">
        <v>10</v>
      </c>
      <c r="F659" s="33">
        <v>461.2</v>
      </c>
      <c r="G659" s="33">
        <f t="shared" si="86"/>
        <v>461.2</v>
      </c>
      <c r="H659" s="33"/>
      <c r="I659" s="34" t="s">
        <v>13</v>
      </c>
      <c r="J659" s="99">
        <f>+'[1]Dự thầu'!$G$1320</f>
        <v>20017</v>
      </c>
      <c r="K659" s="98">
        <f t="shared" si="87"/>
        <v>9231840</v>
      </c>
      <c r="L659" s="98">
        <f t="shared" si="88"/>
        <v>9231840</v>
      </c>
      <c r="M659" s="98">
        <f t="shared" si="89"/>
        <v>0</v>
      </c>
      <c r="N659" s="100"/>
    </row>
    <row r="660" spans="1:15" s="22" customFormat="1" ht="47.25" customHeight="1" x14ac:dyDescent="0.25">
      <c r="A660" s="52" t="s">
        <v>1985</v>
      </c>
      <c r="B660" s="29">
        <v>9</v>
      </c>
      <c r="C660" s="30">
        <v>655</v>
      </c>
      <c r="D660" s="12" t="s">
        <v>997</v>
      </c>
      <c r="E660" s="30" t="s">
        <v>10</v>
      </c>
      <c r="F660" s="30"/>
      <c r="G660" s="30">
        <f t="shared" si="86"/>
        <v>0</v>
      </c>
      <c r="H660" s="30"/>
      <c r="I660" s="31"/>
      <c r="J660" s="97"/>
      <c r="K660" s="35"/>
      <c r="L660" s="104"/>
      <c r="M660" s="104"/>
      <c r="N660" s="23"/>
      <c r="O660" s="104"/>
    </row>
    <row r="661" spans="1:15" ht="15.75" customHeight="1" x14ac:dyDescent="0.25">
      <c r="A661" s="52" t="str">
        <f t="shared" ref="A661:A724" si="90">A660</f>
        <v>HT</v>
      </c>
      <c r="B661" s="32" t="s">
        <v>998</v>
      </c>
      <c r="C661" s="33">
        <v>656</v>
      </c>
      <c r="D661" s="39" t="s">
        <v>12</v>
      </c>
      <c r="E661" s="33" t="s">
        <v>10</v>
      </c>
      <c r="F661" s="98">
        <v>95711</v>
      </c>
      <c r="G661" s="98"/>
      <c r="H661" s="98">
        <f t="shared" ref="H661:H724" si="91">+F661</f>
        <v>95711</v>
      </c>
      <c r="I661" s="34" t="s">
        <v>13</v>
      </c>
      <c r="J661" s="99">
        <f>+'[2]Dự thầu'!$G6</f>
        <v>646</v>
      </c>
      <c r="K661" s="98">
        <f t="shared" ref="K661:K692" si="92">+ROUND(J661*F661,0)</f>
        <v>61829306</v>
      </c>
      <c r="L661" s="98"/>
      <c r="M661" s="98">
        <f t="shared" ref="M661:M692" si="93">+ROUND(H661*J661,0)</f>
        <v>61829306</v>
      </c>
      <c r="N661" s="100"/>
    </row>
    <row r="662" spans="1:15" ht="15.75" customHeight="1" x14ac:dyDescent="0.25">
      <c r="A662" s="52" t="str">
        <f t="shared" si="90"/>
        <v>HT</v>
      </c>
      <c r="B662" s="32" t="s">
        <v>999</v>
      </c>
      <c r="C662" s="33">
        <v>657</v>
      </c>
      <c r="D662" s="39" t="s">
        <v>1000</v>
      </c>
      <c r="E662" s="33" t="s">
        <v>10</v>
      </c>
      <c r="F662" s="33">
        <v>44.5</v>
      </c>
      <c r="G662" s="33"/>
      <c r="H662" s="33">
        <f t="shared" si="91"/>
        <v>44.5</v>
      </c>
      <c r="I662" s="34" t="s">
        <v>16</v>
      </c>
      <c r="J662" s="99">
        <f>+'[2]Dự thầu'!$G7</f>
        <v>23801</v>
      </c>
      <c r="K662" s="98">
        <f t="shared" si="92"/>
        <v>1059145</v>
      </c>
      <c r="L662" s="98"/>
      <c r="M662" s="98">
        <f t="shared" si="93"/>
        <v>1059145</v>
      </c>
      <c r="N662" s="100"/>
    </row>
    <row r="663" spans="1:15" ht="15.75" customHeight="1" x14ac:dyDescent="0.25">
      <c r="A663" s="52" t="str">
        <f t="shared" si="90"/>
        <v>HT</v>
      </c>
      <c r="B663" s="32" t="s">
        <v>1001</v>
      </c>
      <c r="C663" s="33">
        <v>658</v>
      </c>
      <c r="D663" s="39" t="s">
        <v>15</v>
      </c>
      <c r="E663" s="33" t="s">
        <v>10</v>
      </c>
      <c r="F663" s="101">
        <v>1897.6</v>
      </c>
      <c r="G663" s="101"/>
      <c r="H663" s="101">
        <f t="shared" si="91"/>
        <v>1897.6</v>
      </c>
      <c r="I663" s="34" t="s">
        <v>16</v>
      </c>
      <c r="J663" s="99">
        <f>+'[2]Dự thầu'!$G8</f>
        <v>20072</v>
      </c>
      <c r="K663" s="98">
        <f t="shared" si="92"/>
        <v>38088627</v>
      </c>
      <c r="L663" s="98"/>
      <c r="M663" s="98">
        <f t="shared" si="93"/>
        <v>38088627</v>
      </c>
      <c r="N663" s="100"/>
    </row>
    <row r="664" spans="1:15" ht="15.75" customHeight="1" x14ac:dyDescent="0.25">
      <c r="A664" s="52" t="str">
        <f t="shared" si="90"/>
        <v>HT</v>
      </c>
      <c r="B664" s="32" t="s">
        <v>1002</v>
      </c>
      <c r="C664" s="33">
        <v>659</v>
      </c>
      <c r="D664" s="39" t="s">
        <v>18</v>
      </c>
      <c r="E664" s="33" t="s">
        <v>10</v>
      </c>
      <c r="F664" s="98">
        <v>1726</v>
      </c>
      <c r="G664" s="98"/>
      <c r="H664" s="98">
        <f t="shared" si="91"/>
        <v>1726</v>
      </c>
      <c r="I664" s="34" t="s">
        <v>16</v>
      </c>
      <c r="J664" s="99">
        <f>+'[2]Dự thầu'!$G9</f>
        <v>30610</v>
      </c>
      <c r="K664" s="98">
        <f t="shared" si="92"/>
        <v>52832860</v>
      </c>
      <c r="L664" s="98"/>
      <c r="M664" s="98">
        <f t="shared" si="93"/>
        <v>52832860</v>
      </c>
      <c r="N664" s="100"/>
    </row>
    <row r="665" spans="1:15" ht="15.75" customHeight="1" x14ac:dyDescent="0.25">
      <c r="A665" s="52" t="str">
        <f t="shared" si="90"/>
        <v>HT</v>
      </c>
      <c r="B665" s="32" t="s">
        <v>1003</v>
      </c>
      <c r="C665" s="33">
        <v>660</v>
      </c>
      <c r="D665" s="39" t="s">
        <v>20</v>
      </c>
      <c r="E665" s="33" t="s">
        <v>10</v>
      </c>
      <c r="F665" s="101">
        <v>3344.1</v>
      </c>
      <c r="G665" s="101"/>
      <c r="H665" s="101">
        <f t="shared" si="91"/>
        <v>3344.1</v>
      </c>
      <c r="I665" s="34" t="s">
        <v>16</v>
      </c>
      <c r="J665" s="99">
        <f>+'[2]Dự thầu'!$G10</f>
        <v>12342</v>
      </c>
      <c r="K665" s="98">
        <f t="shared" si="92"/>
        <v>41272882</v>
      </c>
      <c r="L665" s="98"/>
      <c r="M665" s="98">
        <f t="shared" si="93"/>
        <v>41272882</v>
      </c>
      <c r="N665" s="100"/>
    </row>
    <row r="666" spans="1:15" ht="15.75" customHeight="1" x14ac:dyDescent="0.25">
      <c r="A666" s="52" t="str">
        <f t="shared" si="90"/>
        <v>HT</v>
      </c>
      <c r="B666" s="32" t="s">
        <v>1004</v>
      </c>
      <c r="C666" s="33">
        <v>661</v>
      </c>
      <c r="D666" s="39" t="s">
        <v>22</v>
      </c>
      <c r="E666" s="33" t="s">
        <v>10</v>
      </c>
      <c r="F666" s="101">
        <v>3344.1</v>
      </c>
      <c r="G666" s="101"/>
      <c r="H666" s="101">
        <f t="shared" si="91"/>
        <v>3344.1</v>
      </c>
      <c r="I666" s="34" t="s">
        <v>16</v>
      </c>
      <c r="J666" s="99">
        <f>+'[2]Dự thầu'!$G11</f>
        <v>12936</v>
      </c>
      <c r="K666" s="98">
        <f t="shared" si="92"/>
        <v>43259278</v>
      </c>
      <c r="L666" s="98"/>
      <c r="M666" s="98">
        <f t="shared" si="93"/>
        <v>43259278</v>
      </c>
      <c r="N666" s="100"/>
    </row>
    <row r="667" spans="1:15" ht="15.75" customHeight="1" x14ac:dyDescent="0.25">
      <c r="A667" s="52" t="str">
        <f t="shared" si="90"/>
        <v>HT</v>
      </c>
      <c r="B667" s="32" t="s">
        <v>1005</v>
      </c>
      <c r="C667" s="33">
        <v>662</v>
      </c>
      <c r="D667" s="39" t="s">
        <v>24</v>
      </c>
      <c r="E667" s="33" t="s">
        <v>10</v>
      </c>
      <c r="F667" s="101">
        <v>6541.1</v>
      </c>
      <c r="G667" s="101"/>
      <c r="H667" s="101">
        <f t="shared" si="91"/>
        <v>6541.1</v>
      </c>
      <c r="I667" s="34" t="s">
        <v>16</v>
      </c>
      <c r="J667" s="99">
        <f>+'[2]Dự thầu'!$G12</f>
        <v>8251</v>
      </c>
      <c r="K667" s="98">
        <f t="shared" si="92"/>
        <v>53970616</v>
      </c>
      <c r="L667" s="98"/>
      <c r="M667" s="98">
        <f t="shared" si="93"/>
        <v>53970616</v>
      </c>
      <c r="N667" s="100"/>
    </row>
    <row r="668" spans="1:15" ht="15.75" customHeight="1" x14ac:dyDescent="0.25">
      <c r="A668" s="52" t="str">
        <f t="shared" si="90"/>
        <v>HT</v>
      </c>
      <c r="B668" s="32" t="s">
        <v>1006</v>
      </c>
      <c r="C668" s="33">
        <v>663</v>
      </c>
      <c r="D668" s="39" t="s">
        <v>1007</v>
      </c>
      <c r="E668" s="33" t="s">
        <v>10</v>
      </c>
      <c r="F668" s="98">
        <v>195955</v>
      </c>
      <c r="G668" s="98"/>
      <c r="H668" s="98">
        <f t="shared" si="91"/>
        <v>195955</v>
      </c>
      <c r="I668" s="34" t="s">
        <v>16</v>
      </c>
      <c r="J668" s="99">
        <f>+'[2]Dự thầu'!$G13</f>
        <v>12936</v>
      </c>
      <c r="K668" s="98">
        <f t="shared" si="92"/>
        <v>2534873880</v>
      </c>
      <c r="L668" s="98"/>
      <c r="M668" s="98">
        <f t="shared" si="93"/>
        <v>2534873880</v>
      </c>
      <c r="N668" s="100"/>
    </row>
    <row r="669" spans="1:15" ht="31.5" customHeight="1" x14ac:dyDescent="0.25">
      <c r="A669" s="52" t="str">
        <f t="shared" si="90"/>
        <v>HT</v>
      </c>
      <c r="B669" s="32" t="s">
        <v>1008</v>
      </c>
      <c r="C669" s="33">
        <v>664</v>
      </c>
      <c r="D669" s="39" t="s">
        <v>28</v>
      </c>
      <c r="E669" s="33" t="s">
        <v>10</v>
      </c>
      <c r="F669" s="98">
        <v>34746</v>
      </c>
      <c r="G669" s="98"/>
      <c r="H669" s="98">
        <f t="shared" si="91"/>
        <v>34746</v>
      </c>
      <c r="I669" s="34" t="s">
        <v>16</v>
      </c>
      <c r="J669" s="99">
        <f>+'[2]Dự thầu'!$G14</f>
        <v>12936</v>
      </c>
      <c r="K669" s="98">
        <f t="shared" si="92"/>
        <v>449474256</v>
      </c>
      <c r="L669" s="98"/>
      <c r="M669" s="98">
        <f t="shared" si="93"/>
        <v>449474256</v>
      </c>
      <c r="N669" s="100"/>
    </row>
    <row r="670" spans="1:15" ht="47.25" customHeight="1" x14ac:dyDescent="0.25">
      <c r="A670" s="52" t="str">
        <f t="shared" si="90"/>
        <v>HT</v>
      </c>
      <c r="B670" s="32" t="s">
        <v>1009</v>
      </c>
      <c r="C670" s="33">
        <v>665</v>
      </c>
      <c r="D670" s="39" t="s">
        <v>30</v>
      </c>
      <c r="E670" s="33" t="s">
        <v>10</v>
      </c>
      <c r="F670" s="98">
        <v>15874</v>
      </c>
      <c r="G670" s="98"/>
      <c r="H670" s="98">
        <f t="shared" si="91"/>
        <v>15874</v>
      </c>
      <c r="I670" s="34" t="s">
        <v>16</v>
      </c>
      <c r="J670" s="99">
        <f>+'[2]Dự thầu'!$G15</f>
        <v>15775</v>
      </c>
      <c r="K670" s="98">
        <f t="shared" si="92"/>
        <v>250412350</v>
      </c>
      <c r="L670" s="98"/>
      <c r="M670" s="98">
        <f t="shared" si="93"/>
        <v>250412350</v>
      </c>
      <c r="N670" s="100"/>
    </row>
    <row r="671" spans="1:15" ht="15.75" customHeight="1" x14ac:dyDescent="0.25">
      <c r="A671" s="52" t="str">
        <f t="shared" si="90"/>
        <v>HT</v>
      </c>
      <c r="B671" s="32" t="s">
        <v>1010</v>
      </c>
      <c r="C671" s="33">
        <v>666</v>
      </c>
      <c r="D671" s="39" t="s">
        <v>32</v>
      </c>
      <c r="E671" s="33" t="s">
        <v>10</v>
      </c>
      <c r="F671" s="102">
        <v>272217.12</v>
      </c>
      <c r="G671" s="102"/>
      <c r="H671" s="102">
        <f t="shared" si="91"/>
        <v>272217.12</v>
      </c>
      <c r="I671" s="34" t="s">
        <v>16</v>
      </c>
      <c r="J671" s="99">
        <f>+'[2]Dự thầu'!$G16</f>
        <v>50585</v>
      </c>
      <c r="K671" s="98">
        <f t="shared" si="92"/>
        <v>13770103015</v>
      </c>
      <c r="L671" s="98"/>
      <c r="M671" s="98">
        <f t="shared" si="93"/>
        <v>13770103015</v>
      </c>
      <c r="N671" s="100"/>
    </row>
    <row r="672" spans="1:15" ht="15.75" customHeight="1" x14ac:dyDescent="0.25">
      <c r="A672" s="52" t="str">
        <f t="shared" si="90"/>
        <v>HT</v>
      </c>
      <c r="B672" s="32" t="s">
        <v>1011</v>
      </c>
      <c r="C672" s="33">
        <v>667</v>
      </c>
      <c r="D672" s="39" t="s">
        <v>34</v>
      </c>
      <c r="E672" s="33" t="s">
        <v>10</v>
      </c>
      <c r="F672" s="102">
        <v>22280.75</v>
      </c>
      <c r="G672" s="102"/>
      <c r="H672" s="102">
        <f t="shared" si="91"/>
        <v>22280.75</v>
      </c>
      <c r="I672" s="34" t="s">
        <v>16</v>
      </c>
      <c r="J672" s="99">
        <f>+'[2]Dự thầu'!$G17</f>
        <v>54405</v>
      </c>
      <c r="K672" s="98">
        <f t="shared" si="92"/>
        <v>1212184204</v>
      </c>
      <c r="L672" s="98"/>
      <c r="M672" s="98">
        <f t="shared" si="93"/>
        <v>1212184204</v>
      </c>
      <c r="N672" s="100"/>
    </row>
    <row r="673" spans="1:14" ht="15.75" customHeight="1" x14ac:dyDescent="0.25">
      <c r="A673" s="52" t="str">
        <f t="shared" si="90"/>
        <v>HT</v>
      </c>
      <c r="B673" s="32" t="s">
        <v>1012</v>
      </c>
      <c r="C673" s="33">
        <v>668</v>
      </c>
      <c r="D673" s="39" t="s">
        <v>36</v>
      </c>
      <c r="E673" s="33" t="s">
        <v>10</v>
      </c>
      <c r="F673" s="102">
        <v>29449.79</v>
      </c>
      <c r="G673" s="102"/>
      <c r="H673" s="102">
        <f t="shared" si="91"/>
        <v>29449.79</v>
      </c>
      <c r="I673" s="34" t="s">
        <v>37</v>
      </c>
      <c r="J673" s="99">
        <f>+'[2]Dự thầu'!$G18</f>
        <v>1032698</v>
      </c>
      <c r="K673" s="98">
        <f t="shared" si="92"/>
        <v>30412739233</v>
      </c>
      <c r="L673" s="98"/>
      <c r="M673" s="98">
        <f t="shared" si="93"/>
        <v>30412739233</v>
      </c>
      <c r="N673" s="100"/>
    </row>
    <row r="674" spans="1:14" ht="15.75" customHeight="1" x14ac:dyDescent="0.25">
      <c r="A674" s="52" t="str">
        <f t="shared" si="90"/>
        <v>HT</v>
      </c>
      <c r="B674" s="32" t="s">
        <v>1013</v>
      </c>
      <c r="C674" s="33">
        <v>669</v>
      </c>
      <c r="D674" s="39" t="s">
        <v>41</v>
      </c>
      <c r="E674" s="33" t="s">
        <v>10</v>
      </c>
      <c r="F674" s="102">
        <v>65786.64</v>
      </c>
      <c r="G674" s="102"/>
      <c r="H674" s="102">
        <f t="shared" si="91"/>
        <v>65786.64</v>
      </c>
      <c r="I674" s="34" t="s">
        <v>16</v>
      </c>
      <c r="J674" s="99">
        <f>+'[2]Dự thầu'!$G$26</f>
        <v>40424</v>
      </c>
      <c r="K674" s="98">
        <f t="shared" si="92"/>
        <v>2659359135</v>
      </c>
      <c r="L674" s="98"/>
      <c r="M674" s="98">
        <f t="shared" si="93"/>
        <v>2659359135</v>
      </c>
      <c r="N674" s="100"/>
    </row>
    <row r="675" spans="1:14" ht="15.75" customHeight="1" x14ac:dyDescent="0.25">
      <c r="A675" s="52" t="str">
        <f t="shared" si="90"/>
        <v>HT</v>
      </c>
      <c r="B675" s="32" t="s">
        <v>1014</v>
      </c>
      <c r="C675" s="33">
        <v>670</v>
      </c>
      <c r="D675" s="39" t="s">
        <v>43</v>
      </c>
      <c r="E675" s="33" t="s">
        <v>10</v>
      </c>
      <c r="F675" s="102">
        <v>2276.92</v>
      </c>
      <c r="G675" s="102"/>
      <c r="H675" s="102">
        <f t="shared" si="91"/>
        <v>2276.92</v>
      </c>
      <c r="I675" s="34" t="s">
        <v>16</v>
      </c>
      <c r="J675" s="99">
        <f>+'[2]Dự thầu'!$G$30</f>
        <v>45382</v>
      </c>
      <c r="K675" s="98">
        <f t="shared" si="92"/>
        <v>103331183</v>
      </c>
      <c r="L675" s="98"/>
      <c r="M675" s="98">
        <f t="shared" si="93"/>
        <v>103331183</v>
      </c>
      <c r="N675" s="100"/>
    </row>
    <row r="676" spans="1:14" ht="31.5" customHeight="1" x14ac:dyDescent="0.25">
      <c r="A676" s="52" t="str">
        <f t="shared" si="90"/>
        <v>HT</v>
      </c>
      <c r="B676" s="32" t="s">
        <v>1015</v>
      </c>
      <c r="C676" s="33">
        <v>671</v>
      </c>
      <c r="D676" s="39" t="s">
        <v>1016</v>
      </c>
      <c r="E676" s="33" t="s">
        <v>10</v>
      </c>
      <c r="F676" s="101">
        <v>1748.8</v>
      </c>
      <c r="G676" s="101"/>
      <c r="H676" s="101">
        <f t="shared" si="91"/>
        <v>1748.8</v>
      </c>
      <c r="I676" s="34" t="s">
        <v>16</v>
      </c>
      <c r="J676" s="99">
        <f>+'[2]Dự thầu'!$G$34</f>
        <v>56948</v>
      </c>
      <c r="K676" s="98">
        <f t="shared" si="92"/>
        <v>99590662</v>
      </c>
      <c r="L676" s="98"/>
      <c r="M676" s="98">
        <f t="shared" si="93"/>
        <v>99590662</v>
      </c>
      <c r="N676" s="100"/>
    </row>
    <row r="677" spans="1:14" ht="15.75" customHeight="1" x14ac:dyDescent="0.25">
      <c r="A677" s="52" t="str">
        <f t="shared" si="90"/>
        <v>HT</v>
      </c>
      <c r="B677" s="32" t="s">
        <v>1017</v>
      </c>
      <c r="C677" s="33">
        <v>672</v>
      </c>
      <c r="D677" s="39" t="s">
        <v>47</v>
      </c>
      <c r="E677" s="33" t="s">
        <v>10</v>
      </c>
      <c r="F677" s="101">
        <v>34906.18</v>
      </c>
      <c r="G677" s="101"/>
      <c r="H677" s="101">
        <f t="shared" si="91"/>
        <v>34906.18</v>
      </c>
      <c r="I677" s="34" t="s">
        <v>16</v>
      </c>
      <c r="J677" s="99">
        <f>+'[2]Dự thầu'!$G38</f>
        <v>2096</v>
      </c>
      <c r="K677" s="98">
        <f t="shared" si="92"/>
        <v>73163353</v>
      </c>
      <c r="L677" s="98"/>
      <c r="M677" s="98">
        <f t="shared" si="93"/>
        <v>73163353</v>
      </c>
      <c r="N677" s="100"/>
    </row>
    <row r="678" spans="1:14" ht="31.5" customHeight="1" x14ac:dyDescent="0.25">
      <c r="A678" s="52" t="str">
        <f t="shared" si="90"/>
        <v>HT</v>
      </c>
      <c r="B678" s="32" t="s">
        <v>1018</v>
      </c>
      <c r="C678" s="33">
        <v>673</v>
      </c>
      <c r="D678" s="39" t="s">
        <v>49</v>
      </c>
      <c r="E678" s="33" t="s">
        <v>10</v>
      </c>
      <c r="F678" s="101">
        <v>105090.8</v>
      </c>
      <c r="G678" s="101"/>
      <c r="H678" s="101">
        <f t="shared" si="91"/>
        <v>105090.8</v>
      </c>
      <c r="I678" s="34" t="s">
        <v>16</v>
      </c>
      <c r="J678" s="99">
        <f>+'[2]Dự thầu'!$G39</f>
        <v>8251</v>
      </c>
      <c r="K678" s="98">
        <f t="shared" si="92"/>
        <v>867104191</v>
      </c>
      <c r="L678" s="98"/>
      <c r="M678" s="98">
        <f t="shared" si="93"/>
        <v>867104191</v>
      </c>
      <c r="N678" s="100"/>
    </row>
    <row r="679" spans="1:14" ht="15.75" customHeight="1" x14ac:dyDescent="0.25">
      <c r="A679" s="52" t="str">
        <f t="shared" si="90"/>
        <v>HT</v>
      </c>
      <c r="B679" s="32" t="s">
        <v>1019</v>
      </c>
      <c r="C679" s="33">
        <v>674</v>
      </c>
      <c r="D679" s="39" t="s">
        <v>1020</v>
      </c>
      <c r="E679" s="33" t="s">
        <v>10</v>
      </c>
      <c r="F679" s="101">
        <v>2816.8</v>
      </c>
      <c r="G679" s="101"/>
      <c r="H679" s="101">
        <f t="shared" si="91"/>
        <v>2816.8</v>
      </c>
      <c r="I679" s="34" t="s">
        <v>16</v>
      </c>
      <c r="J679" s="99">
        <f>+'[2]Dự thầu'!$G40</f>
        <v>270205</v>
      </c>
      <c r="K679" s="98">
        <f t="shared" si="92"/>
        <v>761113444</v>
      </c>
      <c r="L679" s="98"/>
      <c r="M679" s="98">
        <f t="shared" si="93"/>
        <v>761113444</v>
      </c>
      <c r="N679" s="100"/>
    </row>
    <row r="680" spans="1:14" ht="31.5" customHeight="1" x14ac:dyDescent="0.25">
      <c r="A680" s="52" t="str">
        <f t="shared" si="90"/>
        <v>HT</v>
      </c>
      <c r="B680" s="32" t="s">
        <v>1021</v>
      </c>
      <c r="C680" s="33">
        <v>675</v>
      </c>
      <c r="D680" s="39" t="s">
        <v>51</v>
      </c>
      <c r="E680" s="33" t="s">
        <v>10</v>
      </c>
      <c r="F680" s="98">
        <v>78311</v>
      </c>
      <c r="G680" s="98"/>
      <c r="H680" s="98">
        <f t="shared" si="91"/>
        <v>78311</v>
      </c>
      <c r="I680" s="34" t="s">
        <v>13</v>
      </c>
      <c r="J680" s="99">
        <f>+'[2]Dự thầu'!$G41</f>
        <v>20017</v>
      </c>
      <c r="K680" s="98">
        <f t="shared" si="92"/>
        <v>1567551287</v>
      </c>
      <c r="L680" s="98"/>
      <c r="M680" s="98">
        <f t="shared" si="93"/>
        <v>1567551287</v>
      </c>
      <c r="N680" s="100"/>
    </row>
    <row r="681" spans="1:14" ht="31.5" customHeight="1" x14ac:dyDescent="0.25">
      <c r="A681" s="52" t="str">
        <f t="shared" si="90"/>
        <v>HT</v>
      </c>
      <c r="B681" s="32" t="s">
        <v>1022</v>
      </c>
      <c r="C681" s="33">
        <v>676</v>
      </c>
      <c r="D681" s="39" t="s">
        <v>1023</v>
      </c>
      <c r="E681" s="33" t="s">
        <v>10</v>
      </c>
      <c r="F681" s="98">
        <v>6176</v>
      </c>
      <c r="G681" s="98"/>
      <c r="H681" s="98">
        <f t="shared" si="91"/>
        <v>6176</v>
      </c>
      <c r="I681" s="34" t="s">
        <v>13</v>
      </c>
      <c r="J681" s="99">
        <f>+'[2]Dự thầu'!$G42</f>
        <v>224210</v>
      </c>
      <c r="K681" s="98">
        <f t="shared" si="92"/>
        <v>1384720960</v>
      </c>
      <c r="L681" s="98"/>
      <c r="M681" s="98">
        <f t="shared" si="93"/>
        <v>1384720960</v>
      </c>
      <c r="N681" s="100"/>
    </row>
    <row r="682" spans="1:14" ht="31.5" customHeight="1" x14ac:dyDescent="0.25">
      <c r="A682" s="52" t="str">
        <f t="shared" si="90"/>
        <v>HT</v>
      </c>
      <c r="B682" s="32" t="s">
        <v>1024</v>
      </c>
      <c r="C682" s="33">
        <v>677</v>
      </c>
      <c r="D682" s="39" t="s">
        <v>1025</v>
      </c>
      <c r="E682" s="33" t="s">
        <v>10</v>
      </c>
      <c r="F682" s="98">
        <v>295500</v>
      </c>
      <c r="G682" s="98"/>
      <c r="H682" s="98">
        <f t="shared" si="91"/>
        <v>295500</v>
      </c>
      <c r="I682" s="34" t="s">
        <v>75</v>
      </c>
      <c r="J682" s="99">
        <f>+'[2]Dự thầu'!$G43</f>
        <v>10831</v>
      </c>
      <c r="K682" s="98">
        <f t="shared" si="92"/>
        <v>3200560500</v>
      </c>
      <c r="L682" s="98"/>
      <c r="M682" s="98">
        <f t="shared" si="93"/>
        <v>3200560500</v>
      </c>
      <c r="N682" s="100"/>
    </row>
    <row r="683" spans="1:14" ht="15.75" customHeight="1" x14ac:dyDescent="0.25">
      <c r="A683" s="52" t="str">
        <f t="shared" si="90"/>
        <v>HT</v>
      </c>
      <c r="B683" s="32" t="s">
        <v>1026</v>
      </c>
      <c r="C683" s="33">
        <v>678</v>
      </c>
      <c r="D683" s="39" t="s">
        <v>55</v>
      </c>
      <c r="E683" s="33" t="s">
        <v>10</v>
      </c>
      <c r="F683" s="98">
        <v>3136</v>
      </c>
      <c r="G683" s="98"/>
      <c r="H683" s="98">
        <f t="shared" si="91"/>
        <v>3136</v>
      </c>
      <c r="I683" s="34" t="s">
        <v>16</v>
      </c>
      <c r="J683" s="99">
        <f>+'[2]Dự thầu'!$G44</f>
        <v>12936</v>
      </c>
      <c r="K683" s="98">
        <f t="shared" si="92"/>
        <v>40567296</v>
      </c>
      <c r="L683" s="98"/>
      <c r="M683" s="98">
        <f t="shared" si="93"/>
        <v>40567296</v>
      </c>
      <c r="N683" s="100"/>
    </row>
    <row r="684" spans="1:14" ht="31.5" customHeight="1" x14ac:dyDescent="0.25">
      <c r="A684" s="52" t="str">
        <f t="shared" si="90"/>
        <v>HT</v>
      </c>
      <c r="B684" s="32" t="s">
        <v>1027</v>
      </c>
      <c r="C684" s="33">
        <v>679</v>
      </c>
      <c r="D684" s="39" t="s">
        <v>64</v>
      </c>
      <c r="E684" s="33" t="s">
        <v>10</v>
      </c>
      <c r="F684" s="98">
        <v>1355</v>
      </c>
      <c r="G684" s="98"/>
      <c r="H684" s="98">
        <f t="shared" si="91"/>
        <v>1355</v>
      </c>
      <c r="I684" s="34" t="s">
        <v>16</v>
      </c>
      <c r="J684" s="99">
        <f>+'[2]Dự thầu'!$G45</f>
        <v>12936</v>
      </c>
      <c r="K684" s="98">
        <f t="shared" si="92"/>
        <v>17528280</v>
      </c>
      <c r="L684" s="98"/>
      <c r="M684" s="98">
        <f t="shared" si="93"/>
        <v>17528280</v>
      </c>
      <c r="N684" s="100"/>
    </row>
    <row r="685" spans="1:14" ht="15.75" customHeight="1" x14ac:dyDescent="0.25">
      <c r="A685" s="52" t="str">
        <f t="shared" si="90"/>
        <v>HT</v>
      </c>
      <c r="B685" s="32" t="s">
        <v>1028</v>
      </c>
      <c r="C685" s="33">
        <v>680</v>
      </c>
      <c r="D685" s="39" t="s">
        <v>59</v>
      </c>
      <c r="E685" s="33" t="s">
        <v>10</v>
      </c>
      <c r="F685" s="98">
        <v>1355</v>
      </c>
      <c r="G685" s="98"/>
      <c r="H685" s="98">
        <f t="shared" si="91"/>
        <v>1355</v>
      </c>
      <c r="I685" s="34" t="s">
        <v>16</v>
      </c>
      <c r="J685" s="99">
        <f>+'[2]Dự thầu'!$G46</f>
        <v>12342</v>
      </c>
      <c r="K685" s="98">
        <f t="shared" si="92"/>
        <v>16723410</v>
      </c>
      <c r="L685" s="98"/>
      <c r="M685" s="98">
        <f t="shared" si="93"/>
        <v>16723410</v>
      </c>
      <c r="N685" s="100"/>
    </row>
    <row r="686" spans="1:14" ht="31.5" customHeight="1" x14ac:dyDescent="0.25">
      <c r="A686" s="52" t="str">
        <f t="shared" si="90"/>
        <v>HT</v>
      </c>
      <c r="B686" s="32" t="s">
        <v>1029</v>
      </c>
      <c r="C686" s="33">
        <v>681</v>
      </c>
      <c r="D686" s="39" t="s">
        <v>1030</v>
      </c>
      <c r="E686" s="33" t="s">
        <v>10</v>
      </c>
      <c r="F686" s="102">
        <v>1531.15</v>
      </c>
      <c r="G686" s="102"/>
      <c r="H686" s="102">
        <f t="shared" si="91"/>
        <v>1531.15</v>
      </c>
      <c r="I686" s="34" t="s">
        <v>62</v>
      </c>
      <c r="J686" s="99">
        <f>+'[2]Dự thầu'!$G47</f>
        <v>6611</v>
      </c>
      <c r="K686" s="98">
        <f t="shared" si="92"/>
        <v>10122433</v>
      </c>
      <c r="L686" s="98"/>
      <c r="M686" s="98">
        <f t="shared" si="93"/>
        <v>10122433</v>
      </c>
      <c r="N686" s="100"/>
    </row>
    <row r="687" spans="1:14" ht="15.75" customHeight="1" x14ac:dyDescent="0.25">
      <c r="A687" s="52" t="str">
        <f t="shared" si="90"/>
        <v>HT</v>
      </c>
      <c r="B687" s="32" t="s">
        <v>1031</v>
      </c>
      <c r="C687" s="33">
        <v>682</v>
      </c>
      <c r="D687" s="39" t="s">
        <v>68</v>
      </c>
      <c r="E687" s="33" t="s">
        <v>10</v>
      </c>
      <c r="F687" s="98">
        <v>17</v>
      </c>
      <c r="G687" s="98"/>
      <c r="H687" s="98">
        <f t="shared" si="91"/>
        <v>17</v>
      </c>
      <c r="I687" s="34" t="s">
        <v>16</v>
      </c>
      <c r="J687" s="99">
        <f>+'[2]Dự thầu'!$G48</f>
        <v>877622</v>
      </c>
      <c r="K687" s="98">
        <f t="shared" si="92"/>
        <v>14919574</v>
      </c>
      <c r="L687" s="98"/>
      <c r="M687" s="98">
        <f t="shared" si="93"/>
        <v>14919574</v>
      </c>
      <c r="N687" s="100"/>
    </row>
    <row r="688" spans="1:14" ht="15.75" customHeight="1" x14ac:dyDescent="0.25">
      <c r="A688" s="52" t="str">
        <f t="shared" si="90"/>
        <v>HT</v>
      </c>
      <c r="B688" s="32" t="s">
        <v>1032</v>
      </c>
      <c r="C688" s="33">
        <v>683</v>
      </c>
      <c r="D688" s="39" t="s">
        <v>70</v>
      </c>
      <c r="E688" s="33" t="s">
        <v>10</v>
      </c>
      <c r="F688" s="98">
        <v>131</v>
      </c>
      <c r="G688" s="98"/>
      <c r="H688" s="98">
        <f t="shared" si="91"/>
        <v>131</v>
      </c>
      <c r="I688" s="34" t="s">
        <v>13</v>
      </c>
      <c r="J688" s="99">
        <f>+'[2]Dự thầu'!$G49</f>
        <v>26716</v>
      </c>
      <c r="K688" s="98">
        <f t="shared" si="92"/>
        <v>3499796</v>
      </c>
      <c r="L688" s="98"/>
      <c r="M688" s="98">
        <f t="shared" si="93"/>
        <v>3499796</v>
      </c>
      <c r="N688" s="100"/>
    </row>
    <row r="689" spans="1:14" ht="15.75" customHeight="1" x14ac:dyDescent="0.25">
      <c r="A689" s="52" t="str">
        <f t="shared" si="90"/>
        <v>HT</v>
      </c>
      <c r="B689" s="32" t="s">
        <v>1033</v>
      </c>
      <c r="C689" s="33">
        <v>684</v>
      </c>
      <c r="D689" s="39" t="s">
        <v>72</v>
      </c>
      <c r="E689" s="33" t="s">
        <v>10</v>
      </c>
      <c r="F689" s="98">
        <v>34</v>
      </c>
      <c r="G689" s="98"/>
      <c r="H689" s="98">
        <f t="shared" si="91"/>
        <v>34</v>
      </c>
      <c r="I689" s="34" t="s">
        <v>16</v>
      </c>
      <c r="J689" s="99">
        <f>+'[2]Dự thầu'!$G50</f>
        <v>32141</v>
      </c>
      <c r="K689" s="98">
        <f t="shared" si="92"/>
        <v>1092794</v>
      </c>
      <c r="L689" s="98"/>
      <c r="M689" s="98">
        <f t="shared" si="93"/>
        <v>1092794</v>
      </c>
      <c r="N689" s="100"/>
    </row>
    <row r="690" spans="1:14" ht="63" customHeight="1" x14ac:dyDescent="0.25">
      <c r="A690" s="52" t="str">
        <f t="shared" si="90"/>
        <v>HT</v>
      </c>
      <c r="B690" s="32" t="s">
        <v>1034</v>
      </c>
      <c r="C690" s="33">
        <v>685</v>
      </c>
      <c r="D690" s="39" t="s">
        <v>1035</v>
      </c>
      <c r="E690" s="33" t="s">
        <v>10</v>
      </c>
      <c r="F690" s="98">
        <v>10540</v>
      </c>
      <c r="G690" s="98"/>
      <c r="H690" s="98">
        <f t="shared" si="91"/>
        <v>10540</v>
      </c>
      <c r="I690" s="34" t="s">
        <v>75</v>
      </c>
      <c r="J690" s="99">
        <f>+'[2]Dự thầu'!$G51</f>
        <v>69175</v>
      </c>
      <c r="K690" s="98">
        <f t="shared" si="92"/>
        <v>729104500</v>
      </c>
      <c r="L690" s="98"/>
      <c r="M690" s="98">
        <f t="shared" si="93"/>
        <v>729104500</v>
      </c>
      <c r="N690" s="100"/>
    </row>
    <row r="691" spans="1:14" ht="31.5" customHeight="1" x14ac:dyDescent="0.25">
      <c r="A691" s="52" t="str">
        <f t="shared" si="90"/>
        <v>HT</v>
      </c>
      <c r="B691" s="32" t="s">
        <v>1036</v>
      </c>
      <c r="C691" s="33">
        <v>686</v>
      </c>
      <c r="D691" s="39" t="s">
        <v>77</v>
      </c>
      <c r="E691" s="33" t="s">
        <v>10</v>
      </c>
      <c r="F691" s="98">
        <v>2129</v>
      </c>
      <c r="G691" s="98"/>
      <c r="H691" s="98">
        <f t="shared" si="91"/>
        <v>2129</v>
      </c>
      <c r="I691" s="34" t="s">
        <v>16</v>
      </c>
      <c r="J691" s="99">
        <f>+'[2]Dự thầu'!$G52</f>
        <v>271833</v>
      </c>
      <c r="K691" s="98">
        <f t="shared" si="92"/>
        <v>578732457</v>
      </c>
      <c r="L691" s="98"/>
      <c r="M691" s="98">
        <f t="shared" si="93"/>
        <v>578732457</v>
      </c>
      <c r="N691" s="100"/>
    </row>
    <row r="692" spans="1:14" ht="15.75" customHeight="1" x14ac:dyDescent="0.25">
      <c r="A692" s="52" t="str">
        <f t="shared" si="90"/>
        <v>HT</v>
      </c>
      <c r="B692" s="32" t="s">
        <v>1037</v>
      </c>
      <c r="C692" s="33">
        <v>687</v>
      </c>
      <c r="D692" s="39" t="s">
        <v>1038</v>
      </c>
      <c r="E692" s="33" t="s">
        <v>10</v>
      </c>
      <c r="F692" s="98">
        <v>2673</v>
      </c>
      <c r="G692" s="98"/>
      <c r="H692" s="98">
        <f t="shared" si="91"/>
        <v>2673</v>
      </c>
      <c r="I692" s="34" t="s">
        <v>16</v>
      </c>
      <c r="J692" s="99">
        <f>+'[2]Dự thầu'!$G53</f>
        <v>271833</v>
      </c>
      <c r="K692" s="98">
        <f t="shared" si="92"/>
        <v>726609609</v>
      </c>
      <c r="L692" s="98"/>
      <c r="M692" s="98">
        <f t="shared" si="93"/>
        <v>726609609</v>
      </c>
      <c r="N692" s="100"/>
    </row>
    <row r="693" spans="1:14" ht="15.75" customHeight="1" x14ac:dyDescent="0.25">
      <c r="A693" s="52" t="str">
        <f t="shared" si="90"/>
        <v>HT</v>
      </c>
      <c r="B693" s="32" t="s">
        <v>1039</v>
      </c>
      <c r="C693" s="33">
        <v>688</v>
      </c>
      <c r="D693" s="39" t="s">
        <v>79</v>
      </c>
      <c r="E693" s="33" t="s">
        <v>10</v>
      </c>
      <c r="F693" s="98">
        <v>261</v>
      </c>
      <c r="G693" s="98"/>
      <c r="H693" s="98">
        <f t="shared" si="91"/>
        <v>261</v>
      </c>
      <c r="I693" s="34" t="s">
        <v>16</v>
      </c>
      <c r="J693" s="99">
        <f>+'[2]Dự thầu'!$G54</f>
        <v>20867</v>
      </c>
      <c r="K693" s="98">
        <f t="shared" ref="K693:K722" si="94">+ROUND(J693*F693,0)</f>
        <v>5446287</v>
      </c>
      <c r="L693" s="98"/>
      <c r="M693" s="98">
        <f t="shared" ref="M693:M722" si="95">+ROUND(H693*J693,0)</f>
        <v>5446287</v>
      </c>
      <c r="N693" s="100"/>
    </row>
    <row r="694" spans="1:14" ht="15.75" customHeight="1" x14ac:dyDescent="0.25">
      <c r="A694" s="52" t="str">
        <f t="shared" si="90"/>
        <v>HT</v>
      </c>
      <c r="B694" s="32" t="s">
        <v>1040</v>
      </c>
      <c r="C694" s="33">
        <v>689</v>
      </c>
      <c r="D694" s="39" t="s">
        <v>81</v>
      </c>
      <c r="E694" s="33" t="s">
        <v>10</v>
      </c>
      <c r="F694" s="98">
        <v>261</v>
      </c>
      <c r="G694" s="98"/>
      <c r="H694" s="98">
        <f t="shared" si="91"/>
        <v>261</v>
      </c>
      <c r="I694" s="34" t="s">
        <v>16</v>
      </c>
      <c r="J694" s="99">
        <f>+'[2]Dự thầu'!$G55</f>
        <v>12936</v>
      </c>
      <c r="K694" s="98">
        <f t="shared" si="94"/>
        <v>3376296</v>
      </c>
      <c r="L694" s="98"/>
      <c r="M694" s="98">
        <f t="shared" si="95"/>
        <v>3376296</v>
      </c>
      <c r="N694" s="100"/>
    </row>
    <row r="695" spans="1:14" ht="15.75" customHeight="1" x14ac:dyDescent="0.25">
      <c r="A695" s="52" t="str">
        <f t="shared" si="90"/>
        <v>HT</v>
      </c>
      <c r="B695" s="32" t="s">
        <v>1041</v>
      </c>
      <c r="C695" s="33">
        <v>690</v>
      </c>
      <c r="D695" s="39" t="s">
        <v>83</v>
      </c>
      <c r="E695" s="33" t="s">
        <v>10</v>
      </c>
      <c r="F695" s="98">
        <v>16</v>
      </c>
      <c r="G695" s="98"/>
      <c r="H695" s="98">
        <f t="shared" si="91"/>
        <v>16</v>
      </c>
      <c r="I695" s="34" t="s">
        <v>75</v>
      </c>
      <c r="J695" s="99">
        <f>+'[2]Dự thầu'!$G56</f>
        <v>301142</v>
      </c>
      <c r="K695" s="98">
        <f t="shared" si="94"/>
        <v>4818272</v>
      </c>
      <c r="L695" s="98"/>
      <c r="M695" s="98">
        <f t="shared" si="95"/>
        <v>4818272</v>
      </c>
      <c r="N695" s="100"/>
    </row>
    <row r="696" spans="1:14" ht="15.75" customHeight="1" x14ac:dyDescent="0.25">
      <c r="A696" s="52" t="str">
        <f t="shared" si="90"/>
        <v>HT</v>
      </c>
      <c r="B696" s="32" t="s">
        <v>1042</v>
      </c>
      <c r="C696" s="33">
        <v>691</v>
      </c>
      <c r="D696" s="39" t="s">
        <v>85</v>
      </c>
      <c r="E696" s="33" t="s">
        <v>10</v>
      </c>
      <c r="F696" s="98">
        <v>375</v>
      </c>
      <c r="G696" s="98"/>
      <c r="H696" s="98">
        <f t="shared" si="91"/>
        <v>375</v>
      </c>
      <c r="I696" s="34" t="s">
        <v>75</v>
      </c>
      <c r="J696" s="99">
        <f>+'[2]Dự thầu'!$G57</f>
        <v>191443</v>
      </c>
      <c r="K696" s="98">
        <f t="shared" si="94"/>
        <v>71791125</v>
      </c>
      <c r="L696" s="98"/>
      <c r="M696" s="98">
        <f t="shared" si="95"/>
        <v>71791125</v>
      </c>
      <c r="N696" s="100"/>
    </row>
    <row r="697" spans="1:14" ht="15.75" customHeight="1" x14ac:dyDescent="0.25">
      <c r="A697" s="52" t="str">
        <f t="shared" si="90"/>
        <v>HT</v>
      </c>
      <c r="B697" s="32" t="s">
        <v>1043</v>
      </c>
      <c r="C697" s="33">
        <v>692</v>
      </c>
      <c r="D697" s="39" t="s">
        <v>87</v>
      </c>
      <c r="E697" s="33" t="s">
        <v>10</v>
      </c>
      <c r="F697" s="98">
        <v>375</v>
      </c>
      <c r="G697" s="98"/>
      <c r="H697" s="98">
        <f t="shared" si="91"/>
        <v>375</v>
      </c>
      <c r="I697" s="34" t="s">
        <v>75</v>
      </c>
      <c r="J697" s="99">
        <f>+'[2]Dự thầu'!$G58</f>
        <v>184138</v>
      </c>
      <c r="K697" s="98">
        <f t="shared" si="94"/>
        <v>69051750</v>
      </c>
      <c r="L697" s="98"/>
      <c r="M697" s="98">
        <f t="shared" si="95"/>
        <v>69051750</v>
      </c>
      <c r="N697" s="100"/>
    </row>
    <row r="698" spans="1:14" ht="15.75" customHeight="1" x14ac:dyDescent="0.25">
      <c r="A698" s="52" t="str">
        <f t="shared" si="90"/>
        <v>HT</v>
      </c>
      <c r="B698" s="32" t="s">
        <v>1044</v>
      </c>
      <c r="C698" s="33">
        <v>693</v>
      </c>
      <c r="D698" s="39" t="s">
        <v>89</v>
      </c>
      <c r="E698" s="33" t="s">
        <v>10</v>
      </c>
      <c r="F698" s="33">
        <v>3.77</v>
      </c>
      <c r="G698" s="33"/>
      <c r="H698" s="33">
        <f t="shared" si="91"/>
        <v>3.77</v>
      </c>
      <c r="I698" s="34" t="s">
        <v>90</v>
      </c>
      <c r="J698" s="99">
        <f>+'[2]Dự thầu'!$G59</f>
        <v>33697650</v>
      </c>
      <c r="K698" s="98">
        <f t="shared" si="94"/>
        <v>127040141</v>
      </c>
      <c r="L698" s="98"/>
      <c r="M698" s="98">
        <f t="shared" si="95"/>
        <v>127040141</v>
      </c>
      <c r="N698" s="100"/>
    </row>
    <row r="699" spans="1:14" ht="15.75" customHeight="1" x14ac:dyDescent="0.25">
      <c r="A699" s="52" t="str">
        <f t="shared" si="90"/>
        <v>HT</v>
      </c>
      <c r="B699" s="32" t="s">
        <v>1045</v>
      </c>
      <c r="C699" s="33">
        <v>694</v>
      </c>
      <c r="D699" s="39" t="s">
        <v>92</v>
      </c>
      <c r="E699" s="33" t="s">
        <v>10</v>
      </c>
      <c r="F699" s="33">
        <v>259.8</v>
      </c>
      <c r="G699" s="33"/>
      <c r="H699" s="33">
        <f t="shared" si="91"/>
        <v>259.8</v>
      </c>
      <c r="I699" s="34" t="s">
        <v>75</v>
      </c>
      <c r="J699" s="99">
        <f>+'[2]Dự thầu'!$G60</f>
        <v>17859</v>
      </c>
      <c r="K699" s="98">
        <f t="shared" si="94"/>
        <v>4639768</v>
      </c>
      <c r="L699" s="98"/>
      <c r="M699" s="98">
        <f t="shared" si="95"/>
        <v>4639768</v>
      </c>
      <c r="N699" s="100"/>
    </row>
    <row r="700" spans="1:14" ht="47.25" customHeight="1" x14ac:dyDescent="0.25">
      <c r="A700" s="52" t="str">
        <f t="shared" si="90"/>
        <v>HT</v>
      </c>
      <c r="B700" s="32" t="s">
        <v>1046</v>
      </c>
      <c r="C700" s="33">
        <v>695</v>
      </c>
      <c r="D700" s="39" t="s">
        <v>94</v>
      </c>
      <c r="E700" s="33" t="s">
        <v>10</v>
      </c>
      <c r="F700" s="98">
        <v>51397</v>
      </c>
      <c r="G700" s="98"/>
      <c r="H700" s="98">
        <f t="shared" si="91"/>
        <v>51397</v>
      </c>
      <c r="I700" s="34" t="s">
        <v>13</v>
      </c>
      <c r="J700" s="99">
        <f>+'[2]Dự thầu'!$G61</f>
        <v>11015</v>
      </c>
      <c r="K700" s="98">
        <f t="shared" si="94"/>
        <v>566137955</v>
      </c>
      <c r="L700" s="98"/>
      <c r="M700" s="98">
        <f t="shared" si="95"/>
        <v>566137955</v>
      </c>
      <c r="N700" s="100"/>
    </row>
    <row r="701" spans="1:14" ht="31.5" customHeight="1" x14ac:dyDescent="0.25">
      <c r="A701" s="52" t="str">
        <f t="shared" si="90"/>
        <v>HT</v>
      </c>
      <c r="B701" s="32" t="s">
        <v>1047</v>
      </c>
      <c r="C701" s="33">
        <v>696</v>
      </c>
      <c r="D701" s="39" t="s">
        <v>96</v>
      </c>
      <c r="E701" s="33" t="s">
        <v>10</v>
      </c>
      <c r="F701" s="102">
        <v>7318.93</v>
      </c>
      <c r="G701" s="102"/>
      <c r="H701" s="102">
        <f t="shared" si="91"/>
        <v>7318.93</v>
      </c>
      <c r="I701" s="34" t="s">
        <v>90</v>
      </c>
      <c r="J701" s="99">
        <v>1646788</v>
      </c>
      <c r="K701" s="98">
        <f t="shared" si="94"/>
        <v>12052726097</v>
      </c>
      <c r="L701" s="98"/>
      <c r="M701" s="98">
        <f t="shared" si="95"/>
        <v>12052726097</v>
      </c>
      <c r="N701" s="100"/>
    </row>
    <row r="702" spans="1:14" ht="31.5" customHeight="1" x14ac:dyDescent="0.25">
      <c r="A702" s="52" t="str">
        <f t="shared" si="90"/>
        <v>HT</v>
      </c>
      <c r="B702" s="32" t="s">
        <v>1048</v>
      </c>
      <c r="C702" s="33">
        <v>697</v>
      </c>
      <c r="D702" s="39" t="s">
        <v>98</v>
      </c>
      <c r="E702" s="33" t="s">
        <v>10</v>
      </c>
      <c r="F702" s="102">
        <v>73.19</v>
      </c>
      <c r="G702" s="102"/>
      <c r="H702" s="102">
        <f t="shared" si="91"/>
        <v>73.19</v>
      </c>
      <c r="I702" s="34" t="s">
        <v>99</v>
      </c>
      <c r="J702" s="99">
        <f>+'[2]Dự thầu'!$G63</f>
        <v>10502023</v>
      </c>
      <c r="K702" s="98">
        <f t="shared" si="94"/>
        <v>768643063</v>
      </c>
      <c r="L702" s="98"/>
      <c r="M702" s="98">
        <f t="shared" si="95"/>
        <v>768643063</v>
      </c>
      <c r="N702" s="100"/>
    </row>
    <row r="703" spans="1:14" ht="31.5" customHeight="1" x14ac:dyDescent="0.25">
      <c r="A703" s="52" t="str">
        <f t="shared" si="90"/>
        <v>HT</v>
      </c>
      <c r="B703" s="32" t="s">
        <v>1049</v>
      </c>
      <c r="C703" s="33">
        <v>698</v>
      </c>
      <c r="D703" s="39" t="s">
        <v>101</v>
      </c>
      <c r="E703" s="33" t="s">
        <v>10</v>
      </c>
      <c r="F703" s="98">
        <v>51397</v>
      </c>
      <c r="G703" s="98"/>
      <c r="H703" s="98">
        <f t="shared" si="91"/>
        <v>51397</v>
      </c>
      <c r="I703" s="34" t="s">
        <v>13</v>
      </c>
      <c r="J703" s="99">
        <f>+'[2]Dự thầu'!$G66</f>
        <v>26753</v>
      </c>
      <c r="K703" s="98">
        <f t="shared" si="94"/>
        <v>1375023941</v>
      </c>
      <c r="L703" s="98"/>
      <c r="M703" s="98">
        <f t="shared" si="95"/>
        <v>1375023941</v>
      </c>
      <c r="N703" s="100"/>
    </row>
    <row r="704" spans="1:14" ht="15.75" customHeight="1" x14ac:dyDescent="0.25">
      <c r="A704" s="52" t="str">
        <f t="shared" si="90"/>
        <v>HT</v>
      </c>
      <c r="B704" s="32" t="s">
        <v>1050</v>
      </c>
      <c r="C704" s="33">
        <v>699</v>
      </c>
      <c r="D704" s="39" t="s">
        <v>103</v>
      </c>
      <c r="E704" s="33" t="s">
        <v>10</v>
      </c>
      <c r="F704" s="98">
        <v>12513</v>
      </c>
      <c r="G704" s="98"/>
      <c r="H704" s="98">
        <f t="shared" si="91"/>
        <v>12513</v>
      </c>
      <c r="I704" s="34" t="s">
        <v>16</v>
      </c>
      <c r="J704" s="99">
        <f>+'[2]Dự thầu'!$G67</f>
        <v>361291</v>
      </c>
      <c r="K704" s="98">
        <f t="shared" si="94"/>
        <v>4520834283</v>
      </c>
      <c r="L704" s="98"/>
      <c r="M704" s="98">
        <f t="shared" si="95"/>
        <v>4520834283</v>
      </c>
      <c r="N704" s="100"/>
    </row>
    <row r="705" spans="1:14" ht="15.75" customHeight="1" x14ac:dyDescent="0.25">
      <c r="A705" s="52" t="str">
        <f t="shared" si="90"/>
        <v>HT</v>
      </c>
      <c r="B705" s="32" t="s">
        <v>1051</v>
      </c>
      <c r="C705" s="33">
        <v>700</v>
      </c>
      <c r="D705" s="39" t="s">
        <v>105</v>
      </c>
      <c r="E705" s="33" t="s">
        <v>10</v>
      </c>
      <c r="F705" s="98">
        <v>18194</v>
      </c>
      <c r="G705" s="98"/>
      <c r="H705" s="98">
        <f t="shared" si="91"/>
        <v>18194</v>
      </c>
      <c r="I705" s="34" t="s">
        <v>16</v>
      </c>
      <c r="J705" s="99">
        <f>+'[2]Dự thầu'!$G68</f>
        <v>335812</v>
      </c>
      <c r="K705" s="98">
        <f t="shared" si="94"/>
        <v>6109763528</v>
      </c>
      <c r="L705" s="98"/>
      <c r="M705" s="98">
        <f t="shared" si="95"/>
        <v>6109763528</v>
      </c>
      <c r="N705" s="100"/>
    </row>
    <row r="706" spans="1:14" ht="15.75" customHeight="1" x14ac:dyDescent="0.25">
      <c r="A706" s="52" t="str">
        <f t="shared" si="90"/>
        <v>HT</v>
      </c>
      <c r="B706" s="32" t="s">
        <v>1052</v>
      </c>
      <c r="C706" s="33">
        <v>701</v>
      </c>
      <c r="D706" s="39" t="s">
        <v>118</v>
      </c>
      <c r="E706" s="33" t="s">
        <v>10</v>
      </c>
      <c r="F706" s="33">
        <v>434.1</v>
      </c>
      <c r="G706" s="33"/>
      <c r="H706" s="33">
        <f t="shared" si="91"/>
        <v>434.1</v>
      </c>
      <c r="I706" s="34" t="s">
        <v>13</v>
      </c>
      <c r="J706" s="99">
        <f>+'[2]Dự thầu'!$G80</f>
        <v>330389</v>
      </c>
      <c r="K706" s="98">
        <f t="shared" si="94"/>
        <v>143421865</v>
      </c>
      <c r="L706" s="98"/>
      <c r="M706" s="98">
        <f t="shared" si="95"/>
        <v>143421865</v>
      </c>
      <c r="N706" s="100"/>
    </row>
    <row r="707" spans="1:14" ht="47.25" customHeight="1" x14ac:dyDescent="0.25">
      <c r="A707" s="52" t="str">
        <f t="shared" si="90"/>
        <v>HT</v>
      </c>
      <c r="B707" s="32" t="s">
        <v>1053</v>
      </c>
      <c r="C707" s="33">
        <v>702</v>
      </c>
      <c r="D707" s="39" t="s">
        <v>120</v>
      </c>
      <c r="E707" s="33" t="s">
        <v>10</v>
      </c>
      <c r="F707" s="33">
        <v>34.5</v>
      </c>
      <c r="G707" s="33"/>
      <c r="H707" s="33">
        <f t="shared" si="91"/>
        <v>34.5</v>
      </c>
      <c r="I707" s="34" t="s">
        <v>16</v>
      </c>
      <c r="J707" s="99">
        <f>+'[2]Dự thầu'!$G81</f>
        <v>1197457</v>
      </c>
      <c r="K707" s="98">
        <f t="shared" si="94"/>
        <v>41312267</v>
      </c>
      <c r="L707" s="98"/>
      <c r="M707" s="98">
        <f t="shared" si="95"/>
        <v>41312267</v>
      </c>
      <c r="N707" s="100"/>
    </row>
    <row r="708" spans="1:14" ht="15.75" customHeight="1" x14ac:dyDescent="0.25">
      <c r="A708" s="52" t="str">
        <f t="shared" si="90"/>
        <v>HT</v>
      </c>
      <c r="B708" s="32" t="s">
        <v>1054</v>
      </c>
      <c r="C708" s="33">
        <v>703</v>
      </c>
      <c r="D708" s="39" t="s">
        <v>122</v>
      </c>
      <c r="E708" s="33" t="s">
        <v>10</v>
      </c>
      <c r="F708" s="33">
        <v>3.5</v>
      </c>
      <c r="G708" s="33"/>
      <c r="H708" s="33">
        <f t="shared" si="91"/>
        <v>3.5</v>
      </c>
      <c r="I708" s="34" t="s">
        <v>16</v>
      </c>
      <c r="J708" s="99">
        <f>+'[2]Dự thầu'!$G82</f>
        <v>1587082</v>
      </c>
      <c r="K708" s="98">
        <f t="shared" si="94"/>
        <v>5554787</v>
      </c>
      <c r="L708" s="98"/>
      <c r="M708" s="98">
        <f t="shared" si="95"/>
        <v>5554787</v>
      </c>
      <c r="N708" s="100"/>
    </row>
    <row r="709" spans="1:14" ht="47.25" customHeight="1" x14ac:dyDescent="0.25">
      <c r="A709" s="52" t="str">
        <f t="shared" si="90"/>
        <v>HT</v>
      </c>
      <c r="B709" s="32" t="s">
        <v>1055</v>
      </c>
      <c r="C709" s="33">
        <v>704</v>
      </c>
      <c r="D709" s="39" t="s">
        <v>120</v>
      </c>
      <c r="E709" s="33" t="s">
        <v>10</v>
      </c>
      <c r="F709" s="33">
        <v>1.8</v>
      </c>
      <c r="G709" s="33"/>
      <c r="H709" s="33">
        <f t="shared" si="91"/>
        <v>1.8</v>
      </c>
      <c r="I709" s="34" t="s">
        <v>16</v>
      </c>
      <c r="J709" s="99">
        <f>+'[2]Dự thầu'!$G83</f>
        <v>1197457</v>
      </c>
      <c r="K709" s="98">
        <f t="shared" si="94"/>
        <v>2155423</v>
      </c>
      <c r="L709" s="98"/>
      <c r="M709" s="98">
        <f t="shared" si="95"/>
        <v>2155423</v>
      </c>
      <c r="N709" s="100"/>
    </row>
    <row r="710" spans="1:14" ht="15.75" customHeight="1" x14ac:dyDescent="0.25">
      <c r="A710" s="52" t="str">
        <f t="shared" si="90"/>
        <v>HT</v>
      </c>
      <c r="B710" s="32" t="s">
        <v>1056</v>
      </c>
      <c r="C710" s="33">
        <v>705</v>
      </c>
      <c r="D710" s="39" t="s">
        <v>125</v>
      </c>
      <c r="E710" s="33" t="s">
        <v>10</v>
      </c>
      <c r="F710" s="33">
        <v>0.18</v>
      </c>
      <c r="G710" s="33"/>
      <c r="H710" s="33">
        <f t="shared" si="91"/>
        <v>0.18</v>
      </c>
      <c r="I710" s="34" t="s">
        <v>126</v>
      </c>
      <c r="J710" s="99">
        <f>+'[2]Dự thầu'!$G84</f>
        <v>103942.99</v>
      </c>
      <c r="K710" s="98">
        <f t="shared" si="94"/>
        <v>18710</v>
      </c>
      <c r="L710" s="98"/>
      <c r="M710" s="98">
        <f t="shared" si="95"/>
        <v>18710</v>
      </c>
      <c r="N710" s="100"/>
    </row>
    <row r="711" spans="1:14" ht="47.25" customHeight="1" x14ac:dyDescent="0.25">
      <c r="A711" s="52" t="str">
        <f t="shared" si="90"/>
        <v>HT</v>
      </c>
      <c r="B711" s="32" t="s">
        <v>1057</v>
      </c>
      <c r="C711" s="33">
        <v>706</v>
      </c>
      <c r="D711" s="39" t="s">
        <v>120</v>
      </c>
      <c r="E711" s="33" t="s">
        <v>10</v>
      </c>
      <c r="F711" s="33">
        <v>1.2</v>
      </c>
      <c r="G711" s="33"/>
      <c r="H711" s="33">
        <f t="shared" si="91"/>
        <v>1.2</v>
      </c>
      <c r="I711" s="34" t="s">
        <v>16</v>
      </c>
      <c r="J711" s="99">
        <f>+'[2]Dự thầu'!$G85</f>
        <v>1197457</v>
      </c>
      <c r="K711" s="98">
        <f t="shared" si="94"/>
        <v>1436948</v>
      </c>
      <c r="L711" s="98"/>
      <c r="M711" s="98">
        <f t="shared" si="95"/>
        <v>1436948</v>
      </c>
      <c r="N711" s="100"/>
    </row>
    <row r="712" spans="1:14" ht="31.5" customHeight="1" x14ac:dyDescent="0.25">
      <c r="A712" s="52" t="str">
        <f t="shared" si="90"/>
        <v>HT</v>
      </c>
      <c r="B712" s="32" t="s">
        <v>1058</v>
      </c>
      <c r="C712" s="33">
        <v>707</v>
      </c>
      <c r="D712" s="39" t="s">
        <v>129</v>
      </c>
      <c r="E712" s="33" t="s">
        <v>10</v>
      </c>
      <c r="F712" s="33">
        <v>99.5</v>
      </c>
      <c r="G712" s="33"/>
      <c r="H712" s="33">
        <f t="shared" si="91"/>
        <v>99.5</v>
      </c>
      <c r="I712" s="34" t="s">
        <v>75</v>
      </c>
      <c r="J712" s="99">
        <f>+'[2]Dự thầu'!$G86</f>
        <v>320960</v>
      </c>
      <c r="K712" s="98">
        <f t="shared" si="94"/>
        <v>31935520</v>
      </c>
      <c r="L712" s="98"/>
      <c r="M712" s="98">
        <f t="shared" si="95"/>
        <v>31935520</v>
      </c>
      <c r="N712" s="100"/>
    </row>
    <row r="713" spans="1:14" ht="15.75" customHeight="1" x14ac:dyDescent="0.25">
      <c r="A713" s="52" t="str">
        <f t="shared" si="90"/>
        <v>HT</v>
      </c>
      <c r="B713" s="32" t="s">
        <v>1059</v>
      </c>
      <c r="C713" s="33">
        <v>708</v>
      </c>
      <c r="D713" s="39" t="s">
        <v>125</v>
      </c>
      <c r="E713" s="33" t="s">
        <v>10</v>
      </c>
      <c r="F713" s="33">
        <v>15.2</v>
      </c>
      <c r="G713" s="33"/>
      <c r="H713" s="33">
        <f t="shared" si="91"/>
        <v>15.2</v>
      </c>
      <c r="I713" s="34" t="s">
        <v>126</v>
      </c>
      <c r="J713" s="99">
        <f>+'[2]Dự thầu'!$G87</f>
        <v>10394299</v>
      </c>
      <c r="K713" s="98">
        <f t="shared" si="94"/>
        <v>157993345</v>
      </c>
      <c r="L713" s="98"/>
      <c r="M713" s="98">
        <f t="shared" si="95"/>
        <v>157993345</v>
      </c>
      <c r="N713" s="100"/>
    </row>
    <row r="714" spans="1:14" ht="47.25" customHeight="1" x14ac:dyDescent="0.25">
      <c r="A714" s="52" t="str">
        <f t="shared" si="90"/>
        <v>HT</v>
      </c>
      <c r="B714" s="32" t="s">
        <v>1060</v>
      </c>
      <c r="C714" s="33">
        <v>709</v>
      </c>
      <c r="D714" s="39" t="s">
        <v>120</v>
      </c>
      <c r="E714" s="33" t="s">
        <v>10</v>
      </c>
      <c r="F714" s="33">
        <v>116.28</v>
      </c>
      <c r="G714" s="33"/>
      <c r="H714" s="33">
        <f t="shared" si="91"/>
        <v>116.28</v>
      </c>
      <c r="I714" s="34" t="s">
        <v>16</v>
      </c>
      <c r="J714" s="99">
        <f>+'[2]Dự thầu'!$G88</f>
        <v>1197457</v>
      </c>
      <c r="K714" s="98">
        <f t="shared" si="94"/>
        <v>139240300</v>
      </c>
      <c r="L714" s="98"/>
      <c r="M714" s="98">
        <f t="shared" si="95"/>
        <v>139240300</v>
      </c>
      <c r="N714" s="100"/>
    </row>
    <row r="715" spans="1:14" ht="15.75" customHeight="1" x14ac:dyDescent="0.25">
      <c r="A715" s="52" t="str">
        <f t="shared" si="90"/>
        <v>HT</v>
      </c>
      <c r="B715" s="32" t="s">
        <v>1061</v>
      </c>
      <c r="C715" s="33">
        <v>710</v>
      </c>
      <c r="D715" s="39" t="s">
        <v>137</v>
      </c>
      <c r="E715" s="33" t="s">
        <v>10</v>
      </c>
      <c r="F715" s="33">
        <v>6080</v>
      </c>
      <c r="G715" s="33"/>
      <c r="H715" s="33">
        <f t="shared" si="91"/>
        <v>6080</v>
      </c>
      <c r="I715" s="34" t="s">
        <v>75</v>
      </c>
      <c r="J715" s="99">
        <f>+'[2]Dự thầu'!$G89</f>
        <v>388691</v>
      </c>
      <c r="K715" s="98">
        <f t="shared" si="94"/>
        <v>2363241280</v>
      </c>
      <c r="L715" s="98"/>
      <c r="M715" s="98">
        <f t="shared" si="95"/>
        <v>2363241280</v>
      </c>
      <c r="N715" s="100"/>
    </row>
    <row r="716" spans="1:14" ht="15.75" customHeight="1" x14ac:dyDescent="0.25">
      <c r="A716" s="52" t="str">
        <f t="shared" si="90"/>
        <v>HT</v>
      </c>
      <c r="B716" s="32" t="s">
        <v>1062</v>
      </c>
      <c r="C716" s="33">
        <v>711</v>
      </c>
      <c r="D716" s="39" t="s">
        <v>125</v>
      </c>
      <c r="E716" s="33" t="s">
        <v>10</v>
      </c>
      <c r="F716" s="33">
        <v>0.47</v>
      </c>
      <c r="G716" s="33"/>
      <c r="H716" s="33">
        <f t="shared" si="91"/>
        <v>0.47</v>
      </c>
      <c r="I716" s="34" t="s">
        <v>126</v>
      </c>
      <c r="J716" s="99">
        <f>+'[2]Dự thầu'!$G90</f>
        <v>10394299</v>
      </c>
      <c r="K716" s="98">
        <f t="shared" si="94"/>
        <v>4885321</v>
      </c>
      <c r="L716" s="98"/>
      <c r="M716" s="98">
        <f t="shared" si="95"/>
        <v>4885321</v>
      </c>
      <c r="N716" s="100"/>
    </row>
    <row r="717" spans="1:14" ht="47.25" customHeight="1" x14ac:dyDescent="0.25">
      <c r="A717" s="52" t="str">
        <f t="shared" si="90"/>
        <v>HT</v>
      </c>
      <c r="B717" s="32" t="s">
        <v>1063</v>
      </c>
      <c r="C717" s="33">
        <v>712</v>
      </c>
      <c r="D717" s="39" t="s">
        <v>120</v>
      </c>
      <c r="E717" s="33" t="s">
        <v>10</v>
      </c>
      <c r="F717" s="33">
        <v>0.28000000000000003</v>
      </c>
      <c r="G717" s="33"/>
      <c r="H717" s="33">
        <f t="shared" si="91"/>
        <v>0.28000000000000003</v>
      </c>
      <c r="I717" s="34" t="s">
        <v>16</v>
      </c>
      <c r="J717" s="99">
        <f>+'[2]Dự thầu'!$G91</f>
        <v>1197457</v>
      </c>
      <c r="K717" s="98">
        <f t="shared" si="94"/>
        <v>335288</v>
      </c>
      <c r="L717" s="98"/>
      <c r="M717" s="98">
        <f t="shared" si="95"/>
        <v>335288</v>
      </c>
      <c r="N717" s="100"/>
    </row>
    <row r="718" spans="1:14" ht="15.75" customHeight="1" x14ac:dyDescent="0.25">
      <c r="A718" s="52" t="str">
        <f t="shared" si="90"/>
        <v>HT</v>
      </c>
      <c r="B718" s="32" t="s">
        <v>1064</v>
      </c>
      <c r="C718" s="33">
        <v>713</v>
      </c>
      <c r="D718" s="39" t="s">
        <v>141</v>
      </c>
      <c r="E718" s="33" t="s">
        <v>10</v>
      </c>
      <c r="F718" s="33">
        <v>46.6</v>
      </c>
      <c r="G718" s="33"/>
      <c r="H718" s="33">
        <f t="shared" si="91"/>
        <v>46.6</v>
      </c>
      <c r="I718" s="34" t="s">
        <v>75</v>
      </c>
      <c r="J718" s="99">
        <f>+'[2]Dự thầu'!$G92</f>
        <v>169013</v>
      </c>
      <c r="K718" s="98">
        <f t="shared" si="94"/>
        <v>7876006</v>
      </c>
      <c r="L718" s="98"/>
      <c r="M718" s="98">
        <f t="shared" si="95"/>
        <v>7876006</v>
      </c>
      <c r="N718" s="100"/>
    </row>
    <row r="719" spans="1:14" ht="15.75" customHeight="1" x14ac:dyDescent="0.25">
      <c r="A719" s="52" t="str">
        <f t="shared" si="90"/>
        <v>HT</v>
      </c>
      <c r="B719" s="32" t="s">
        <v>1065</v>
      </c>
      <c r="C719" s="33">
        <v>714</v>
      </c>
      <c r="D719" s="39" t="s">
        <v>143</v>
      </c>
      <c r="E719" s="33" t="s">
        <v>10</v>
      </c>
      <c r="F719" s="33">
        <v>48.48</v>
      </c>
      <c r="G719" s="33"/>
      <c r="H719" s="33">
        <f t="shared" si="91"/>
        <v>48.48</v>
      </c>
      <c r="I719" s="34" t="s">
        <v>37</v>
      </c>
      <c r="J719" s="99">
        <f>+'[2]Dự thầu'!$G93</f>
        <v>646440</v>
      </c>
      <c r="K719" s="98">
        <f t="shared" si="94"/>
        <v>31339411</v>
      </c>
      <c r="L719" s="98"/>
      <c r="M719" s="98">
        <f t="shared" si="95"/>
        <v>31339411</v>
      </c>
      <c r="N719" s="100"/>
    </row>
    <row r="720" spans="1:14" ht="15.75" customHeight="1" x14ac:dyDescent="0.25">
      <c r="A720" s="52" t="str">
        <f t="shared" si="90"/>
        <v>HT</v>
      </c>
      <c r="B720" s="32" t="s">
        <v>1066</v>
      </c>
      <c r="C720" s="33">
        <v>715</v>
      </c>
      <c r="D720" s="39" t="s">
        <v>145</v>
      </c>
      <c r="E720" s="33" t="s">
        <v>10</v>
      </c>
      <c r="F720" s="33">
        <v>7</v>
      </c>
      <c r="G720" s="33"/>
      <c r="H720" s="33">
        <f t="shared" si="91"/>
        <v>7</v>
      </c>
      <c r="I720" s="34" t="s">
        <v>146</v>
      </c>
      <c r="J720" s="99">
        <f>+'[2]Dự thầu'!$G97</f>
        <v>1909908</v>
      </c>
      <c r="K720" s="98">
        <f t="shared" si="94"/>
        <v>13369356</v>
      </c>
      <c r="L720" s="98"/>
      <c r="M720" s="98">
        <f t="shared" si="95"/>
        <v>13369356</v>
      </c>
      <c r="N720" s="100"/>
    </row>
    <row r="721" spans="1:15" ht="15.75" customHeight="1" x14ac:dyDescent="0.25">
      <c r="A721" s="52" t="str">
        <f t="shared" si="90"/>
        <v>HT</v>
      </c>
      <c r="B721" s="32" t="s">
        <v>1067</v>
      </c>
      <c r="C721" s="33">
        <v>716</v>
      </c>
      <c r="D721" s="39" t="s">
        <v>47</v>
      </c>
      <c r="E721" s="33" t="s">
        <v>10</v>
      </c>
      <c r="F721" s="33">
        <v>1501.7</v>
      </c>
      <c r="G721" s="33"/>
      <c r="H721" s="33">
        <f t="shared" si="91"/>
        <v>1501.7</v>
      </c>
      <c r="I721" s="34" t="s">
        <v>16</v>
      </c>
      <c r="J721" s="99">
        <f>+'[2]Dự thầu'!$G98</f>
        <v>2096</v>
      </c>
      <c r="K721" s="98">
        <f t="shared" si="94"/>
        <v>3147563</v>
      </c>
      <c r="L721" s="98"/>
      <c r="M721" s="98">
        <f t="shared" si="95"/>
        <v>3147563</v>
      </c>
      <c r="N721" s="100"/>
    </row>
    <row r="722" spans="1:15" ht="47.25" customHeight="1" x14ac:dyDescent="0.25">
      <c r="A722" s="52" t="str">
        <f t="shared" si="90"/>
        <v>HT</v>
      </c>
      <c r="B722" s="32" t="s">
        <v>1068</v>
      </c>
      <c r="C722" s="33">
        <v>717</v>
      </c>
      <c r="D722" s="39" t="s">
        <v>1069</v>
      </c>
      <c r="E722" s="33" t="s">
        <v>10</v>
      </c>
      <c r="F722" s="33">
        <v>21.34</v>
      </c>
      <c r="G722" s="33"/>
      <c r="H722" s="33">
        <f t="shared" si="91"/>
        <v>21.34</v>
      </c>
      <c r="I722" s="34" t="s">
        <v>150</v>
      </c>
      <c r="J722" s="99">
        <f>+'[2]Dự thầu'!$G99</f>
        <v>963779</v>
      </c>
      <c r="K722" s="98">
        <f t="shared" si="94"/>
        <v>20567044</v>
      </c>
      <c r="L722" s="98"/>
      <c r="M722" s="98">
        <f t="shared" si="95"/>
        <v>20567044</v>
      </c>
      <c r="N722" s="100"/>
    </row>
    <row r="723" spans="1:15" s="22" customFormat="1" ht="47.25" customHeight="1" x14ac:dyDescent="0.25">
      <c r="A723" s="52" t="str">
        <f t="shared" si="90"/>
        <v>HT</v>
      </c>
      <c r="B723" s="29">
        <v>10</v>
      </c>
      <c r="C723" s="30">
        <v>718</v>
      </c>
      <c r="D723" s="12" t="s">
        <v>1070</v>
      </c>
      <c r="E723" s="30" t="s">
        <v>10</v>
      </c>
      <c r="F723" s="30"/>
      <c r="G723" s="30"/>
      <c r="H723" s="30">
        <f t="shared" si="91"/>
        <v>0</v>
      </c>
      <c r="I723" s="31"/>
      <c r="J723" s="97"/>
      <c r="K723" s="35"/>
      <c r="L723" s="104"/>
      <c r="M723" s="104"/>
      <c r="N723" s="23"/>
      <c r="O723" s="104"/>
    </row>
    <row r="724" spans="1:15" ht="15.75" customHeight="1" x14ac:dyDescent="0.25">
      <c r="A724" s="52" t="str">
        <f t="shared" si="90"/>
        <v>HT</v>
      </c>
      <c r="B724" s="32" t="s">
        <v>1071</v>
      </c>
      <c r="C724" s="33">
        <v>719</v>
      </c>
      <c r="D724" s="39" t="s">
        <v>1072</v>
      </c>
      <c r="E724" s="33" t="s">
        <v>10</v>
      </c>
      <c r="F724" s="33">
        <v>3.87</v>
      </c>
      <c r="G724" s="33"/>
      <c r="H724" s="33">
        <f t="shared" si="91"/>
        <v>3.87</v>
      </c>
      <c r="I724" s="34" t="s">
        <v>16</v>
      </c>
      <c r="J724" s="99">
        <f>+'[2]Dự thầu'!$G180</f>
        <v>20072</v>
      </c>
      <c r="K724" s="98">
        <f t="shared" ref="K724:K750" si="96">+ROUND(J724*F724,0)</f>
        <v>77679</v>
      </c>
      <c r="L724" s="98">
        <f t="shared" ref="L724:L750" si="97">+ROUND(G724*J724,0)</f>
        <v>0</v>
      </c>
      <c r="M724" s="98">
        <f t="shared" ref="M724:M750" si="98">+ROUND(H724*J724,0)</f>
        <v>77679</v>
      </c>
      <c r="N724" s="100"/>
    </row>
    <row r="725" spans="1:15" ht="15.75" customHeight="1" x14ac:dyDescent="0.25">
      <c r="A725" s="52" t="str">
        <f t="shared" ref="A725:A788" si="99">A724</f>
        <v>HT</v>
      </c>
      <c r="B725" s="32" t="s">
        <v>1073</v>
      </c>
      <c r="C725" s="33">
        <v>720</v>
      </c>
      <c r="D725" s="39" t="s">
        <v>183</v>
      </c>
      <c r="E725" s="33" t="s">
        <v>10</v>
      </c>
      <c r="F725" s="33">
        <v>8.76</v>
      </c>
      <c r="G725" s="33"/>
      <c r="H725" s="33">
        <f t="shared" ref="H725:H788" si="100">+F725</f>
        <v>8.76</v>
      </c>
      <c r="I725" s="34" t="s">
        <v>16</v>
      </c>
      <c r="J725" s="99">
        <f>+'[2]Dự thầu'!$G181</f>
        <v>23801</v>
      </c>
      <c r="K725" s="98">
        <f t="shared" si="96"/>
        <v>208497</v>
      </c>
      <c r="L725" s="98">
        <f t="shared" si="97"/>
        <v>0</v>
      </c>
      <c r="M725" s="98">
        <f t="shared" si="98"/>
        <v>208497</v>
      </c>
      <c r="N725" s="100"/>
    </row>
    <row r="726" spans="1:15" ht="15.75" customHeight="1" x14ac:dyDescent="0.25">
      <c r="A726" s="52" t="str">
        <f t="shared" si="99"/>
        <v>HT</v>
      </c>
      <c r="B726" s="32" t="s">
        <v>1074</v>
      </c>
      <c r="C726" s="33">
        <v>721</v>
      </c>
      <c r="D726" s="39" t="s">
        <v>185</v>
      </c>
      <c r="E726" s="33" t="s">
        <v>10</v>
      </c>
      <c r="F726" s="33">
        <v>322.19</v>
      </c>
      <c r="G726" s="33"/>
      <c r="H726" s="33">
        <f t="shared" si="100"/>
        <v>322.19</v>
      </c>
      <c r="I726" s="34" t="s">
        <v>16</v>
      </c>
      <c r="J726" s="99">
        <f>+'[2]Dự thầu'!$G182</f>
        <v>23801</v>
      </c>
      <c r="K726" s="98">
        <f t="shared" si="96"/>
        <v>7668444</v>
      </c>
      <c r="L726" s="98">
        <f t="shared" si="97"/>
        <v>0</v>
      </c>
      <c r="M726" s="98">
        <f t="shared" si="98"/>
        <v>7668444</v>
      </c>
      <c r="N726" s="100"/>
    </row>
    <row r="727" spans="1:15" ht="15.75" customHeight="1" x14ac:dyDescent="0.25">
      <c r="A727" s="52" t="str">
        <f t="shared" si="99"/>
        <v>HT</v>
      </c>
      <c r="B727" s="32" t="s">
        <v>1075</v>
      </c>
      <c r="C727" s="33">
        <v>722</v>
      </c>
      <c r="D727" s="39" t="s">
        <v>155</v>
      </c>
      <c r="E727" s="33" t="s">
        <v>10</v>
      </c>
      <c r="F727" s="33">
        <v>22.8</v>
      </c>
      <c r="G727" s="33"/>
      <c r="H727" s="33">
        <f t="shared" si="100"/>
        <v>22.8</v>
      </c>
      <c r="I727" s="34" t="s">
        <v>16</v>
      </c>
      <c r="J727" s="99">
        <f>+'[2]Dự thầu'!$G183</f>
        <v>30610</v>
      </c>
      <c r="K727" s="98">
        <f t="shared" si="96"/>
        <v>697908</v>
      </c>
      <c r="L727" s="98">
        <f t="shared" si="97"/>
        <v>0</v>
      </c>
      <c r="M727" s="98">
        <f t="shared" si="98"/>
        <v>697908</v>
      </c>
      <c r="N727" s="100"/>
    </row>
    <row r="728" spans="1:15" ht="15.75" customHeight="1" x14ac:dyDescent="0.25">
      <c r="A728" s="52" t="str">
        <f t="shared" si="99"/>
        <v>HT</v>
      </c>
      <c r="B728" s="32" t="s">
        <v>1076</v>
      </c>
      <c r="C728" s="33">
        <v>723</v>
      </c>
      <c r="D728" s="39" t="s">
        <v>20</v>
      </c>
      <c r="E728" s="33" t="s">
        <v>10</v>
      </c>
      <c r="F728" s="33">
        <v>43</v>
      </c>
      <c r="G728" s="33"/>
      <c r="H728" s="33">
        <f t="shared" si="100"/>
        <v>43</v>
      </c>
      <c r="I728" s="34" t="s">
        <v>16</v>
      </c>
      <c r="J728" s="99">
        <f>+'[2]Dự thầu'!$G184</f>
        <v>12342</v>
      </c>
      <c r="K728" s="98">
        <f t="shared" si="96"/>
        <v>530706</v>
      </c>
      <c r="L728" s="98">
        <f t="shared" si="97"/>
        <v>0</v>
      </c>
      <c r="M728" s="98">
        <f t="shared" si="98"/>
        <v>530706</v>
      </c>
      <c r="N728" s="100"/>
    </row>
    <row r="729" spans="1:15" ht="31.5" customHeight="1" x14ac:dyDescent="0.25">
      <c r="A729" s="52" t="str">
        <f t="shared" si="99"/>
        <v>HT</v>
      </c>
      <c r="B729" s="32" t="s">
        <v>1077</v>
      </c>
      <c r="C729" s="33">
        <v>724</v>
      </c>
      <c r="D729" s="39" t="s">
        <v>158</v>
      </c>
      <c r="E729" s="33" t="s">
        <v>10</v>
      </c>
      <c r="F729" s="33">
        <v>43</v>
      </c>
      <c r="G729" s="33"/>
      <c r="H729" s="33">
        <f t="shared" si="100"/>
        <v>43</v>
      </c>
      <c r="I729" s="34" t="s">
        <v>16</v>
      </c>
      <c r="J729" s="99">
        <f>+'[2]Dự thầu'!$G185</f>
        <v>12936</v>
      </c>
      <c r="K729" s="98">
        <f t="shared" si="96"/>
        <v>556248</v>
      </c>
      <c r="L729" s="98">
        <f t="shared" si="97"/>
        <v>0</v>
      </c>
      <c r="M729" s="98">
        <f t="shared" si="98"/>
        <v>556248</v>
      </c>
      <c r="N729" s="100"/>
    </row>
    <row r="730" spans="1:15" ht="15.75" customHeight="1" x14ac:dyDescent="0.25">
      <c r="A730" s="52" t="str">
        <f t="shared" si="99"/>
        <v>HT</v>
      </c>
      <c r="B730" s="32" t="s">
        <v>1078</v>
      </c>
      <c r="C730" s="33">
        <v>725</v>
      </c>
      <c r="D730" s="39" t="s">
        <v>190</v>
      </c>
      <c r="E730" s="33" t="s">
        <v>10</v>
      </c>
      <c r="F730" s="33">
        <v>1059</v>
      </c>
      <c r="G730" s="33"/>
      <c r="H730" s="33">
        <f t="shared" si="100"/>
        <v>1059</v>
      </c>
      <c r="I730" s="34" t="s">
        <v>16</v>
      </c>
      <c r="J730" s="99">
        <f>+'[2]Dự thầu'!$G186</f>
        <v>8251</v>
      </c>
      <c r="K730" s="98">
        <f t="shared" si="96"/>
        <v>8737809</v>
      </c>
      <c r="L730" s="98">
        <f t="shared" si="97"/>
        <v>0</v>
      </c>
      <c r="M730" s="98">
        <f t="shared" si="98"/>
        <v>8737809</v>
      </c>
      <c r="N730" s="100"/>
    </row>
    <row r="731" spans="1:15" ht="15.75" customHeight="1" x14ac:dyDescent="0.25">
      <c r="A731" s="52" t="str">
        <f t="shared" si="99"/>
        <v>HT</v>
      </c>
      <c r="B731" s="32" t="s">
        <v>1079</v>
      </c>
      <c r="C731" s="33">
        <v>726</v>
      </c>
      <c r="D731" s="39" t="s">
        <v>192</v>
      </c>
      <c r="E731" s="33" t="s">
        <v>10</v>
      </c>
      <c r="F731" s="33">
        <v>5744</v>
      </c>
      <c r="G731" s="33"/>
      <c r="H731" s="33">
        <f t="shared" si="100"/>
        <v>5744</v>
      </c>
      <c r="I731" s="34" t="s">
        <v>16</v>
      </c>
      <c r="J731" s="99">
        <f>+'[2]Dự thầu'!$G187</f>
        <v>32141</v>
      </c>
      <c r="K731" s="98">
        <f t="shared" si="96"/>
        <v>184617904</v>
      </c>
      <c r="L731" s="98">
        <f t="shared" si="97"/>
        <v>0</v>
      </c>
      <c r="M731" s="98">
        <f t="shared" si="98"/>
        <v>184617904</v>
      </c>
      <c r="N731" s="100"/>
    </row>
    <row r="732" spans="1:15" ht="31.5" customHeight="1" x14ac:dyDescent="0.25">
      <c r="A732" s="52" t="str">
        <f t="shared" si="99"/>
        <v>HT</v>
      </c>
      <c r="B732" s="32" t="s">
        <v>1080</v>
      </c>
      <c r="C732" s="33">
        <v>727</v>
      </c>
      <c r="D732" s="39" t="s">
        <v>160</v>
      </c>
      <c r="E732" s="33" t="s">
        <v>10</v>
      </c>
      <c r="F732" s="33">
        <v>566</v>
      </c>
      <c r="G732" s="33"/>
      <c r="H732" s="33">
        <f t="shared" si="100"/>
        <v>566</v>
      </c>
      <c r="I732" s="34" t="s">
        <v>16</v>
      </c>
      <c r="J732" s="99">
        <f>+'[2]Dự thầu'!$G188</f>
        <v>12936</v>
      </c>
      <c r="K732" s="98">
        <f t="shared" si="96"/>
        <v>7321776</v>
      </c>
      <c r="L732" s="98">
        <f t="shared" si="97"/>
        <v>0</v>
      </c>
      <c r="M732" s="98">
        <f t="shared" si="98"/>
        <v>7321776</v>
      </c>
      <c r="N732" s="100"/>
    </row>
    <row r="733" spans="1:15" ht="15.75" customHeight="1" x14ac:dyDescent="0.25">
      <c r="A733" s="52" t="str">
        <f t="shared" si="99"/>
        <v>HT</v>
      </c>
      <c r="B733" s="32" t="s">
        <v>1081</v>
      </c>
      <c r="C733" s="33">
        <v>728</v>
      </c>
      <c r="D733" s="39" t="s">
        <v>195</v>
      </c>
      <c r="E733" s="33" t="s">
        <v>10</v>
      </c>
      <c r="F733" s="102">
        <v>7645.26</v>
      </c>
      <c r="G733" s="102"/>
      <c r="H733" s="102">
        <f t="shared" si="100"/>
        <v>7645.26</v>
      </c>
      <c r="I733" s="34" t="s">
        <v>16</v>
      </c>
      <c r="J733" s="99">
        <f>+'[2]Dự thầu'!$G189</f>
        <v>50585</v>
      </c>
      <c r="K733" s="98">
        <f t="shared" si="96"/>
        <v>386735477</v>
      </c>
      <c r="L733" s="98">
        <f t="shared" si="97"/>
        <v>0</v>
      </c>
      <c r="M733" s="98">
        <f t="shared" si="98"/>
        <v>386735477</v>
      </c>
      <c r="N733" s="100"/>
    </row>
    <row r="734" spans="1:15" ht="15.75" customHeight="1" x14ac:dyDescent="0.25">
      <c r="A734" s="52" t="str">
        <f t="shared" si="99"/>
        <v>HT</v>
      </c>
      <c r="B734" s="32" t="s">
        <v>1082</v>
      </c>
      <c r="C734" s="33">
        <v>729</v>
      </c>
      <c r="D734" s="39" t="s">
        <v>32</v>
      </c>
      <c r="E734" s="33" t="s">
        <v>10</v>
      </c>
      <c r="F734" s="33">
        <v>773.89</v>
      </c>
      <c r="G734" s="33"/>
      <c r="H734" s="33">
        <f t="shared" si="100"/>
        <v>773.89</v>
      </c>
      <c r="I734" s="34" t="s">
        <v>16</v>
      </c>
      <c r="J734" s="99">
        <f>+'[2]Dự thầu'!$G190</f>
        <v>50585</v>
      </c>
      <c r="K734" s="98">
        <f t="shared" si="96"/>
        <v>39147226</v>
      </c>
      <c r="L734" s="98">
        <f t="shared" si="97"/>
        <v>0</v>
      </c>
      <c r="M734" s="98">
        <f t="shared" si="98"/>
        <v>39147226</v>
      </c>
      <c r="N734" s="100"/>
    </row>
    <row r="735" spans="1:15" ht="15.75" customHeight="1" x14ac:dyDescent="0.25">
      <c r="A735" s="52" t="str">
        <f t="shared" si="99"/>
        <v>HT</v>
      </c>
      <c r="B735" s="32" t="s">
        <v>1083</v>
      </c>
      <c r="C735" s="33">
        <v>730</v>
      </c>
      <c r="D735" s="39" t="s">
        <v>36</v>
      </c>
      <c r="E735" s="33" t="s">
        <v>10</v>
      </c>
      <c r="F735" s="33">
        <v>841.92</v>
      </c>
      <c r="G735" s="33"/>
      <c r="H735" s="33">
        <f t="shared" si="100"/>
        <v>841.92</v>
      </c>
      <c r="I735" s="34" t="s">
        <v>37</v>
      </c>
      <c r="J735" s="99">
        <f>+'[2]Dự thầu'!$G191</f>
        <v>1032698</v>
      </c>
      <c r="K735" s="98">
        <f t="shared" si="96"/>
        <v>869449100</v>
      </c>
      <c r="L735" s="98">
        <f t="shared" si="97"/>
        <v>0</v>
      </c>
      <c r="M735" s="98">
        <f t="shared" si="98"/>
        <v>869449100</v>
      </c>
      <c r="N735" s="100"/>
    </row>
    <row r="736" spans="1:15" ht="47.25" customHeight="1" x14ac:dyDescent="0.25">
      <c r="A736" s="52" t="str">
        <f t="shared" si="99"/>
        <v>HT</v>
      </c>
      <c r="B736" s="32" t="s">
        <v>1084</v>
      </c>
      <c r="C736" s="33">
        <v>731</v>
      </c>
      <c r="D736" s="39" t="s">
        <v>94</v>
      </c>
      <c r="E736" s="33" t="s">
        <v>10</v>
      </c>
      <c r="F736" s="33">
        <v>175</v>
      </c>
      <c r="G736" s="33"/>
      <c r="H736" s="33">
        <f t="shared" si="100"/>
        <v>175</v>
      </c>
      <c r="I736" s="34" t="s">
        <v>13</v>
      </c>
      <c r="J736" s="99">
        <f>+'[2]Dự thầu'!$G195</f>
        <v>11015</v>
      </c>
      <c r="K736" s="98">
        <f t="shared" si="96"/>
        <v>1927625</v>
      </c>
      <c r="L736" s="98">
        <f t="shared" si="97"/>
        <v>0</v>
      </c>
      <c r="M736" s="98">
        <f t="shared" si="98"/>
        <v>1927625</v>
      </c>
      <c r="N736" s="100"/>
    </row>
    <row r="737" spans="1:15" ht="47.25" customHeight="1" x14ac:dyDescent="0.25">
      <c r="A737" s="52" t="str">
        <f t="shared" si="99"/>
        <v>HT</v>
      </c>
      <c r="B737" s="32" t="s">
        <v>1085</v>
      </c>
      <c r="C737" s="33">
        <v>732</v>
      </c>
      <c r="D737" s="39" t="s">
        <v>200</v>
      </c>
      <c r="E737" s="33" t="s">
        <v>10</v>
      </c>
      <c r="F737" s="33">
        <v>66</v>
      </c>
      <c r="G737" s="33"/>
      <c r="H737" s="33">
        <f t="shared" si="100"/>
        <v>66</v>
      </c>
      <c r="I737" s="34" t="s">
        <v>13</v>
      </c>
      <c r="J737" s="99">
        <f>+'[2]Dự thầu'!$G196</f>
        <v>9552</v>
      </c>
      <c r="K737" s="98">
        <f t="shared" si="96"/>
        <v>630432</v>
      </c>
      <c r="L737" s="98">
        <f t="shared" si="97"/>
        <v>0</v>
      </c>
      <c r="M737" s="98">
        <f t="shared" si="98"/>
        <v>630432</v>
      </c>
      <c r="N737" s="100"/>
    </row>
    <row r="738" spans="1:15" ht="31.5" customHeight="1" x14ac:dyDescent="0.25">
      <c r="A738" s="52" t="str">
        <f t="shared" si="99"/>
        <v>HT</v>
      </c>
      <c r="B738" s="32" t="s">
        <v>1086</v>
      </c>
      <c r="C738" s="33">
        <v>733</v>
      </c>
      <c r="D738" s="39" t="s">
        <v>96</v>
      </c>
      <c r="E738" s="33" t="s">
        <v>10</v>
      </c>
      <c r="F738" s="33">
        <v>32.75</v>
      </c>
      <c r="G738" s="33"/>
      <c r="H738" s="33">
        <f t="shared" si="100"/>
        <v>32.75</v>
      </c>
      <c r="I738" s="34" t="s">
        <v>90</v>
      </c>
      <c r="J738" s="99">
        <v>1646788</v>
      </c>
      <c r="K738" s="98">
        <f t="shared" si="96"/>
        <v>53932307</v>
      </c>
      <c r="L738" s="98">
        <f t="shared" si="97"/>
        <v>0</v>
      </c>
      <c r="M738" s="98">
        <f t="shared" si="98"/>
        <v>53932307</v>
      </c>
      <c r="N738" s="100"/>
    </row>
    <row r="739" spans="1:15" ht="31.5" customHeight="1" x14ac:dyDescent="0.25">
      <c r="A739" s="52" t="str">
        <f t="shared" si="99"/>
        <v>HT</v>
      </c>
      <c r="B739" s="32" t="s">
        <v>1087</v>
      </c>
      <c r="C739" s="33">
        <v>734</v>
      </c>
      <c r="D739" s="39" t="s">
        <v>98</v>
      </c>
      <c r="E739" s="33" t="s">
        <v>10</v>
      </c>
      <c r="F739" s="33">
        <v>0.33</v>
      </c>
      <c r="G739" s="33"/>
      <c r="H739" s="33">
        <f t="shared" si="100"/>
        <v>0.33</v>
      </c>
      <c r="I739" s="34" t="s">
        <v>99</v>
      </c>
      <c r="J739" s="99">
        <f>+'[2]Dự thầu'!$G198</f>
        <v>10502023</v>
      </c>
      <c r="K739" s="98">
        <f t="shared" si="96"/>
        <v>3465668</v>
      </c>
      <c r="L739" s="98">
        <f t="shared" si="97"/>
        <v>0</v>
      </c>
      <c r="M739" s="98">
        <f t="shared" si="98"/>
        <v>3465668</v>
      </c>
      <c r="N739" s="100"/>
    </row>
    <row r="740" spans="1:15" ht="31.5" customHeight="1" x14ac:dyDescent="0.25">
      <c r="A740" s="52" t="str">
        <f t="shared" si="99"/>
        <v>HT</v>
      </c>
      <c r="B740" s="32" t="s">
        <v>1088</v>
      </c>
      <c r="C740" s="33">
        <v>735</v>
      </c>
      <c r="D740" s="39" t="s">
        <v>110</v>
      </c>
      <c r="E740" s="33" t="s">
        <v>10</v>
      </c>
      <c r="F740" s="33">
        <v>175</v>
      </c>
      <c r="G740" s="33"/>
      <c r="H740" s="33">
        <f t="shared" si="100"/>
        <v>175</v>
      </c>
      <c r="I740" s="34" t="s">
        <v>13</v>
      </c>
      <c r="J740" s="99">
        <f>+'[2]Dự thầu'!$G201</f>
        <v>15319</v>
      </c>
      <c r="K740" s="98">
        <f t="shared" si="96"/>
        <v>2680825</v>
      </c>
      <c r="L740" s="98">
        <f t="shared" si="97"/>
        <v>0</v>
      </c>
      <c r="M740" s="98">
        <f t="shared" si="98"/>
        <v>2680825</v>
      </c>
      <c r="N740" s="100"/>
    </row>
    <row r="741" spans="1:15" ht="47.25" customHeight="1" x14ac:dyDescent="0.25">
      <c r="A741" s="52" t="str">
        <f t="shared" si="99"/>
        <v>HT</v>
      </c>
      <c r="B741" s="32" t="s">
        <v>1089</v>
      </c>
      <c r="C741" s="33">
        <v>736</v>
      </c>
      <c r="D741" s="39" t="s">
        <v>94</v>
      </c>
      <c r="E741" s="33" t="s">
        <v>10</v>
      </c>
      <c r="F741" s="33">
        <v>263</v>
      </c>
      <c r="G741" s="33"/>
      <c r="H741" s="33">
        <f t="shared" si="100"/>
        <v>263</v>
      </c>
      <c r="I741" s="34" t="s">
        <v>13</v>
      </c>
      <c r="J741" s="99">
        <f>+'[2]Dự thầu'!$G202</f>
        <v>11015</v>
      </c>
      <c r="K741" s="98">
        <f t="shared" si="96"/>
        <v>2896945</v>
      </c>
      <c r="L741" s="98">
        <f t="shared" si="97"/>
        <v>0</v>
      </c>
      <c r="M741" s="98">
        <f t="shared" si="98"/>
        <v>2896945</v>
      </c>
      <c r="N741" s="100"/>
    </row>
    <row r="742" spans="1:15" ht="31.5" customHeight="1" x14ac:dyDescent="0.25">
      <c r="A742" s="52" t="str">
        <f t="shared" si="99"/>
        <v>HT</v>
      </c>
      <c r="B742" s="32" t="s">
        <v>1090</v>
      </c>
      <c r="C742" s="33">
        <v>737</v>
      </c>
      <c r="D742" s="39" t="s">
        <v>96</v>
      </c>
      <c r="E742" s="33" t="s">
        <v>10</v>
      </c>
      <c r="F742" s="33">
        <v>37.450000000000003</v>
      </c>
      <c r="G742" s="33"/>
      <c r="H742" s="33">
        <f t="shared" si="100"/>
        <v>37.450000000000003</v>
      </c>
      <c r="I742" s="34" t="s">
        <v>90</v>
      </c>
      <c r="J742" s="99">
        <v>1646788</v>
      </c>
      <c r="K742" s="98">
        <f t="shared" si="96"/>
        <v>61672211</v>
      </c>
      <c r="L742" s="98">
        <f t="shared" si="97"/>
        <v>0</v>
      </c>
      <c r="M742" s="98">
        <f t="shared" si="98"/>
        <v>61672211</v>
      </c>
      <c r="N742" s="100"/>
    </row>
    <row r="743" spans="1:15" ht="31.5" customHeight="1" x14ac:dyDescent="0.25">
      <c r="A743" s="52" t="str">
        <f t="shared" si="99"/>
        <v>HT</v>
      </c>
      <c r="B743" s="32" t="s">
        <v>1091</v>
      </c>
      <c r="C743" s="33">
        <v>738</v>
      </c>
      <c r="D743" s="39" t="s">
        <v>98</v>
      </c>
      <c r="E743" s="33" t="s">
        <v>10</v>
      </c>
      <c r="F743" s="33">
        <v>0.37</v>
      </c>
      <c r="G743" s="33"/>
      <c r="H743" s="33">
        <f t="shared" si="100"/>
        <v>0.37</v>
      </c>
      <c r="I743" s="34" t="s">
        <v>99</v>
      </c>
      <c r="J743" s="99">
        <f>+'[2]Dự thầu'!$G204</f>
        <v>10502023</v>
      </c>
      <c r="K743" s="98">
        <f t="shared" si="96"/>
        <v>3885749</v>
      </c>
      <c r="L743" s="98">
        <f t="shared" si="97"/>
        <v>0</v>
      </c>
      <c r="M743" s="98">
        <f t="shared" si="98"/>
        <v>3885749</v>
      </c>
      <c r="N743" s="100"/>
    </row>
    <row r="744" spans="1:15" ht="31.5" customHeight="1" x14ac:dyDescent="0.25">
      <c r="A744" s="52" t="str">
        <f t="shared" si="99"/>
        <v>HT</v>
      </c>
      <c r="B744" s="32" t="s">
        <v>1092</v>
      </c>
      <c r="C744" s="33">
        <v>739</v>
      </c>
      <c r="D744" s="39" t="s">
        <v>208</v>
      </c>
      <c r="E744" s="33" t="s">
        <v>10</v>
      </c>
      <c r="F744" s="33">
        <v>263</v>
      </c>
      <c r="G744" s="33"/>
      <c r="H744" s="33">
        <f t="shared" si="100"/>
        <v>263</v>
      </c>
      <c r="I744" s="34" t="s">
        <v>13</v>
      </c>
      <c r="J744" s="99">
        <f>+'[2]Dự thầu'!$G207</f>
        <v>26753</v>
      </c>
      <c r="K744" s="98">
        <f t="shared" si="96"/>
        <v>7036039</v>
      </c>
      <c r="L744" s="98">
        <f t="shared" si="97"/>
        <v>0</v>
      </c>
      <c r="M744" s="98">
        <f t="shared" si="98"/>
        <v>7036039</v>
      </c>
      <c r="N744" s="100"/>
    </row>
    <row r="745" spans="1:15" ht="15.75" customHeight="1" x14ac:dyDescent="0.25">
      <c r="A745" s="52" t="str">
        <f t="shared" si="99"/>
        <v>HT</v>
      </c>
      <c r="B745" s="32" t="s">
        <v>1093</v>
      </c>
      <c r="C745" s="33">
        <v>740</v>
      </c>
      <c r="D745" s="39" t="s">
        <v>210</v>
      </c>
      <c r="E745" s="33" t="s">
        <v>10</v>
      </c>
      <c r="F745" s="33">
        <v>38.56</v>
      </c>
      <c r="G745" s="33"/>
      <c r="H745" s="33">
        <f t="shared" si="100"/>
        <v>38.56</v>
      </c>
      <c r="I745" s="34" t="s">
        <v>16</v>
      </c>
      <c r="J745" s="99">
        <f>+'[2]Dự thầu'!$G208</f>
        <v>361291</v>
      </c>
      <c r="K745" s="98">
        <f t="shared" si="96"/>
        <v>13931381</v>
      </c>
      <c r="L745" s="98">
        <f t="shared" si="97"/>
        <v>0</v>
      </c>
      <c r="M745" s="98">
        <f t="shared" si="98"/>
        <v>13931381</v>
      </c>
      <c r="N745" s="100"/>
    </row>
    <row r="746" spans="1:15" ht="47.25" customHeight="1" x14ac:dyDescent="0.25">
      <c r="A746" s="52" t="str">
        <f t="shared" si="99"/>
        <v>HT</v>
      </c>
      <c r="B746" s="32" t="s">
        <v>1094</v>
      </c>
      <c r="C746" s="33">
        <v>741</v>
      </c>
      <c r="D746" s="39" t="s">
        <v>94</v>
      </c>
      <c r="E746" s="33" t="s">
        <v>10</v>
      </c>
      <c r="F746" s="33">
        <v>2529</v>
      </c>
      <c r="G746" s="33"/>
      <c r="H746" s="33">
        <f t="shared" si="100"/>
        <v>2529</v>
      </c>
      <c r="I746" s="34" t="s">
        <v>13</v>
      </c>
      <c r="J746" s="99">
        <f>+'[2]Dự thầu'!$G209</f>
        <v>11015</v>
      </c>
      <c r="K746" s="98">
        <f t="shared" si="96"/>
        <v>27856935</v>
      </c>
      <c r="L746" s="98">
        <f t="shared" si="97"/>
        <v>0</v>
      </c>
      <c r="M746" s="98">
        <f t="shared" si="98"/>
        <v>27856935</v>
      </c>
      <c r="N746" s="100"/>
    </row>
    <row r="747" spans="1:15" ht="31.5" customHeight="1" x14ac:dyDescent="0.25">
      <c r="A747" s="52" t="str">
        <f t="shared" si="99"/>
        <v>HT</v>
      </c>
      <c r="B747" s="32" t="s">
        <v>1095</v>
      </c>
      <c r="C747" s="33">
        <v>742</v>
      </c>
      <c r="D747" s="39" t="s">
        <v>96</v>
      </c>
      <c r="E747" s="33" t="s">
        <v>10</v>
      </c>
      <c r="F747" s="33">
        <v>360.13</v>
      </c>
      <c r="G747" s="33"/>
      <c r="H747" s="33">
        <f t="shared" si="100"/>
        <v>360.13</v>
      </c>
      <c r="I747" s="34" t="s">
        <v>90</v>
      </c>
      <c r="J747" s="99">
        <v>1646788</v>
      </c>
      <c r="K747" s="98">
        <f t="shared" si="96"/>
        <v>593057762</v>
      </c>
      <c r="L747" s="98">
        <f t="shared" si="97"/>
        <v>0</v>
      </c>
      <c r="M747" s="98">
        <f t="shared" si="98"/>
        <v>593057762</v>
      </c>
      <c r="N747" s="100"/>
    </row>
    <row r="748" spans="1:15" ht="31.5" customHeight="1" x14ac:dyDescent="0.25">
      <c r="A748" s="52" t="str">
        <f t="shared" si="99"/>
        <v>HT</v>
      </c>
      <c r="B748" s="32" t="s">
        <v>1096</v>
      </c>
      <c r="C748" s="33">
        <v>743</v>
      </c>
      <c r="D748" s="39" t="s">
        <v>98</v>
      </c>
      <c r="E748" s="33" t="s">
        <v>10</v>
      </c>
      <c r="F748" s="33">
        <v>3.6</v>
      </c>
      <c r="G748" s="33"/>
      <c r="H748" s="33">
        <f t="shared" si="100"/>
        <v>3.6</v>
      </c>
      <c r="I748" s="34" t="s">
        <v>99</v>
      </c>
      <c r="J748" s="99">
        <f>+'[2]Dự thầu'!$G211</f>
        <v>10502023</v>
      </c>
      <c r="K748" s="98">
        <f t="shared" si="96"/>
        <v>37807283</v>
      </c>
      <c r="L748" s="98">
        <f t="shared" si="97"/>
        <v>0</v>
      </c>
      <c r="M748" s="98">
        <f t="shared" si="98"/>
        <v>37807283</v>
      </c>
      <c r="N748" s="100"/>
    </row>
    <row r="749" spans="1:15" ht="31.5" customHeight="1" x14ac:dyDescent="0.25">
      <c r="A749" s="52" t="str">
        <f t="shared" si="99"/>
        <v>HT</v>
      </c>
      <c r="B749" s="32" t="s">
        <v>1097</v>
      </c>
      <c r="C749" s="33">
        <v>744</v>
      </c>
      <c r="D749" s="39" t="s">
        <v>208</v>
      </c>
      <c r="E749" s="33" t="s">
        <v>10</v>
      </c>
      <c r="F749" s="33">
        <v>2529</v>
      </c>
      <c r="G749" s="33"/>
      <c r="H749" s="33">
        <f t="shared" si="100"/>
        <v>2529</v>
      </c>
      <c r="I749" s="34" t="s">
        <v>13</v>
      </c>
      <c r="J749" s="99">
        <f>+'[2]Dự thầu'!$G214</f>
        <v>26753</v>
      </c>
      <c r="K749" s="98">
        <f t="shared" si="96"/>
        <v>67658337</v>
      </c>
      <c r="L749" s="98">
        <f t="shared" si="97"/>
        <v>0</v>
      </c>
      <c r="M749" s="98">
        <f t="shared" si="98"/>
        <v>67658337</v>
      </c>
      <c r="N749" s="100"/>
    </row>
    <row r="750" spans="1:15" ht="15.75" customHeight="1" x14ac:dyDescent="0.25">
      <c r="A750" s="52" t="str">
        <f t="shared" si="99"/>
        <v>HT</v>
      </c>
      <c r="B750" s="32" t="s">
        <v>1098</v>
      </c>
      <c r="C750" s="33">
        <v>745</v>
      </c>
      <c r="D750" s="39" t="s">
        <v>210</v>
      </c>
      <c r="E750" s="33" t="s">
        <v>10</v>
      </c>
      <c r="F750" s="33">
        <v>379</v>
      </c>
      <c r="G750" s="33"/>
      <c r="H750" s="33">
        <f t="shared" si="100"/>
        <v>379</v>
      </c>
      <c r="I750" s="34" t="s">
        <v>16</v>
      </c>
      <c r="J750" s="99">
        <f>+'[2]Dự thầu'!$G215</f>
        <v>361291</v>
      </c>
      <c r="K750" s="98">
        <f t="shared" si="96"/>
        <v>136929289</v>
      </c>
      <c r="L750" s="98">
        <f t="shared" si="97"/>
        <v>0</v>
      </c>
      <c r="M750" s="98">
        <f t="shared" si="98"/>
        <v>136929289</v>
      </c>
      <c r="N750" s="100"/>
    </row>
    <row r="751" spans="1:15" s="22" customFormat="1" ht="31.5" customHeight="1" x14ac:dyDescent="0.25">
      <c r="A751" s="52" t="str">
        <f t="shared" si="99"/>
        <v>HT</v>
      </c>
      <c r="B751" s="29">
        <v>11</v>
      </c>
      <c r="C751" s="30">
        <v>746</v>
      </c>
      <c r="D751" s="12" t="s">
        <v>1099</v>
      </c>
      <c r="E751" s="30" t="s">
        <v>10</v>
      </c>
      <c r="F751" s="30"/>
      <c r="G751" s="30"/>
      <c r="H751" s="30">
        <f t="shared" si="100"/>
        <v>0</v>
      </c>
      <c r="I751" s="31"/>
      <c r="J751" s="97"/>
      <c r="K751" s="35"/>
      <c r="L751" s="104"/>
      <c r="M751" s="104"/>
      <c r="N751" s="23"/>
      <c r="O751" s="104"/>
    </row>
    <row r="752" spans="1:15" ht="15.75" customHeight="1" x14ac:dyDescent="0.25">
      <c r="A752" s="52" t="str">
        <f t="shared" si="99"/>
        <v>HT</v>
      </c>
      <c r="B752" s="32" t="s">
        <v>1100</v>
      </c>
      <c r="C752" s="33">
        <v>747</v>
      </c>
      <c r="D752" s="39" t="s">
        <v>218</v>
      </c>
      <c r="E752" s="33" t="s">
        <v>10</v>
      </c>
      <c r="F752" s="33">
        <v>991.54</v>
      </c>
      <c r="G752" s="33"/>
      <c r="H752" s="33">
        <f t="shared" si="100"/>
        <v>991.54</v>
      </c>
      <c r="I752" s="34" t="s">
        <v>16</v>
      </c>
      <c r="J752" s="99">
        <f>+'[2]Dự thầu'!$G$235</f>
        <v>17057</v>
      </c>
      <c r="K752" s="98">
        <f t="shared" ref="K752:K787" si="101">+ROUND(J752*F752,0)</f>
        <v>16912698</v>
      </c>
      <c r="L752" s="98">
        <f t="shared" ref="L752:L787" si="102">+ROUND(G752*J752,0)</f>
        <v>0</v>
      </c>
      <c r="M752" s="98">
        <f t="shared" ref="M752:M787" si="103">+ROUND(H752*J752,0)</f>
        <v>16912698</v>
      </c>
      <c r="N752" s="100"/>
    </row>
    <row r="753" spans="1:14" ht="15.75" customHeight="1" x14ac:dyDescent="0.25">
      <c r="A753" s="52" t="str">
        <f t="shared" si="99"/>
        <v>HT</v>
      </c>
      <c r="B753" s="32" t="s">
        <v>1101</v>
      </c>
      <c r="C753" s="33">
        <v>748</v>
      </c>
      <c r="D753" s="39" t="s">
        <v>222</v>
      </c>
      <c r="E753" s="33" t="s">
        <v>10</v>
      </c>
      <c r="F753" s="33">
        <v>152.56</v>
      </c>
      <c r="G753" s="33"/>
      <c r="H753" s="33">
        <f t="shared" si="100"/>
        <v>152.56</v>
      </c>
      <c r="I753" s="34" t="s">
        <v>16</v>
      </c>
      <c r="J753" s="99">
        <f>+'[2]Dự thầu'!$G$237</f>
        <v>7229</v>
      </c>
      <c r="K753" s="98">
        <f t="shared" si="101"/>
        <v>1102856</v>
      </c>
      <c r="L753" s="98">
        <f t="shared" si="102"/>
        <v>0</v>
      </c>
      <c r="M753" s="98">
        <f t="shared" si="103"/>
        <v>1102856</v>
      </c>
      <c r="N753" s="100"/>
    </row>
    <row r="754" spans="1:14" ht="15.75" customHeight="1" x14ac:dyDescent="0.25">
      <c r="A754" s="52" t="str">
        <f t="shared" si="99"/>
        <v>HT</v>
      </c>
      <c r="B754" s="32" t="s">
        <v>1102</v>
      </c>
      <c r="C754" s="33">
        <v>749</v>
      </c>
      <c r="D754" s="39" t="s">
        <v>41</v>
      </c>
      <c r="E754" s="33" t="s">
        <v>10</v>
      </c>
      <c r="F754" s="33">
        <v>991.54</v>
      </c>
      <c r="G754" s="33"/>
      <c r="H754" s="33">
        <f t="shared" si="100"/>
        <v>991.54</v>
      </c>
      <c r="I754" s="34" t="s">
        <v>16</v>
      </c>
      <c r="J754" s="99">
        <f>+'[2]Dự thầu'!$G$238</f>
        <v>40424</v>
      </c>
      <c r="K754" s="98">
        <f t="shared" si="101"/>
        <v>40082013</v>
      </c>
      <c r="L754" s="98">
        <f t="shared" si="102"/>
        <v>0</v>
      </c>
      <c r="M754" s="98">
        <f t="shared" si="103"/>
        <v>40082013</v>
      </c>
      <c r="N754" s="100"/>
    </row>
    <row r="755" spans="1:14" ht="31.5" customHeight="1" x14ac:dyDescent="0.25">
      <c r="A755" s="52" t="str">
        <f t="shared" si="99"/>
        <v>HT</v>
      </c>
      <c r="B755" s="32" t="s">
        <v>1103</v>
      </c>
      <c r="C755" s="33">
        <v>750</v>
      </c>
      <c r="D755" s="39" t="s">
        <v>228</v>
      </c>
      <c r="E755" s="33" t="s">
        <v>10</v>
      </c>
      <c r="F755" s="33">
        <v>991.54</v>
      </c>
      <c r="G755" s="33"/>
      <c r="H755" s="33">
        <f t="shared" si="100"/>
        <v>991.54</v>
      </c>
      <c r="I755" s="34" t="s">
        <v>16</v>
      </c>
      <c r="J755" s="99">
        <f>+'[2]Dự thầu'!$G$246</f>
        <v>2096</v>
      </c>
      <c r="K755" s="98">
        <f t="shared" si="101"/>
        <v>2078268</v>
      </c>
      <c r="L755" s="98">
        <f t="shared" si="102"/>
        <v>0</v>
      </c>
      <c r="M755" s="98">
        <f t="shared" si="103"/>
        <v>2078268</v>
      </c>
      <c r="N755" s="100"/>
    </row>
    <row r="756" spans="1:14" ht="31.5" customHeight="1" x14ac:dyDescent="0.25">
      <c r="A756" s="52" t="str">
        <f t="shared" si="99"/>
        <v>HT</v>
      </c>
      <c r="B756" s="32" t="s">
        <v>1104</v>
      </c>
      <c r="C756" s="33">
        <v>751</v>
      </c>
      <c r="D756" s="39" t="s">
        <v>232</v>
      </c>
      <c r="E756" s="33" t="s">
        <v>10</v>
      </c>
      <c r="F756" s="33">
        <v>360.74</v>
      </c>
      <c r="G756" s="33"/>
      <c r="H756" s="33">
        <f t="shared" si="100"/>
        <v>360.74</v>
      </c>
      <c r="I756" s="34" t="s">
        <v>16</v>
      </c>
      <c r="J756" s="99">
        <f>+'[2]Dự thầu'!$G$248</f>
        <v>359304</v>
      </c>
      <c r="K756" s="98">
        <f t="shared" si="101"/>
        <v>129615325</v>
      </c>
      <c r="L756" s="98">
        <f t="shared" si="102"/>
        <v>0</v>
      </c>
      <c r="M756" s="98">
        <f t="shared" si="103"/>
        <v>129615325</v>
      </c>
      <c r="N756" s="100"/>
    </row>
    <row r="757" spans="1:14" ht="31.5" customHeight="1" x14ac:dyDescent="0.25">
      <c r="A757" s="52" t="str">
        <f t="shared" si="99"/>
        <v>HT</v>
      </c>
      <c r="B757" s="32" t="s">
        <v>1105</v>
      </c>
      <c r="C757" s="33">
        <v>752</v>
      </c>
      <c r="D757" s="39" t="s">
        <v>160</v>
      </c>
      <c r="E757" s="33" t="s">
        <v>10</v>
      </c>
      <c r="F757" s="33">
        <v>1842.9</v>
      </c>
      <c r="G757" s="33"/>
      <c r="H757" s="33">
        <f t="shared" si="100"/>
        <v>1842.9</v>
      </c>
      <c r="I757" s="34" t="s">
        <v>16</v>
      </c>
      <c r="J757" s="99">
        <f>+'[2]Dự thầu'!$G249</f>
        <v>12936</v>
      </c>
      <c r="K757" s="98">
        <f t="shared" si="101"/>
        <v>23839754</v>
      </c>
      <c r="L757" s="98">
        <f t="shared" si="102"/>
        <v>0</v>
      </c>
      <c r="M757" s="98">
        <f t="shared" si="103"/>
        <v>23839754</v>
      </c>
      <c r="N757" s="100"/>
    </row>
    <row r="758" spans="1:14" ht="15.75" customHeight="1" x14ac:dyDescent="0.25">
      <c r="A758" s="52" t="str">
        <f t="shared" si="99"/>
        <v>HT</v>
      </c>
      <c r="B758" s="32" t="s">
        <v>1106</v>
      </c>
      <c r="C758" s="33">
        <v>753</v>
      </c>
      <c r="D758" s="39" t="s">
        <v>32</v>
      </c>
      <c r="E758" s="33" t="s">
        <v>10</v>
      </c>
      <c r="F758" s="33">
        <v>2519.8000000000002</v>
      </c>
      <c r="G758" s="33"/>
      <c r="H758" s="33">
        <f t="shared" si="100"/>
        <v>2519.8000000000002</v>
      </c>
      <c r="I758" s="34" t="s">
        <v>16</v>
      </c>
      <c r="J758" s="99">
        <f>+'[2]Dự thầu'!$G250</f>
        <v>50585</v>
      </c>
      <c r="K758" s="98">
        <f t="shared" si="101"/>
        <v>127464083</v>
      </c>
      <c r="L758" s="98">
        <f t="shared" si="102"/>
        <v>0</v>
      </c>
      <c r="M758" s="98">
        <f t="shared" si="103"/>
        <v>127464083</v>
      </c>
      <c r="N758" s="100"/>
    </row>
    <row r="759" spans="1:14" ht="15.75" customHeight="1" x14ac:dyDescent="0.25">
      <c r="A759" s="52" t="str">
        <f t="shared" si="99"/>
        <v>HT</v>
      </c>
      <c r="B759" s="32" t="s">
        <v>1107</v>
      </c>
      <c r="C759" s="33">
        <v>754</v>
      </c>
      <c r="D759" s="39" t="s">
        <v>36</v>
      </c>
      <c r="E759" s="33" t="s">
        <v>10</v>
      </c>
      <c r="F759" s="33">
        <v>251.98</v>
      </c>
      <c r="G759" s="33"/>
      <c r="H759" s="33">
        <f t="shared" si="100"/>
        <v>251.98</v>
      </c>
      <c r="I759" s="34" t="s">
        <v>37</v>
      </c>
      <c r="J759" s="99">
        <f>+'[2]Dự thầu'!$G251</f>
        <v>1032698</v>
      </c>
      <c r="K759" s="98">
        <f t="shared" si="101"/>
        <v>260219242</v>
      </c>
      <c r="L759" s="98">
        <f t="shared" si="102"/>
        <v>0</v>
      </c>
      <c r="M759" s="98">
        <f t="shared" si="103"/>
        <v>260219242</v>
      </c>
      <c r="N759" s="100"/>
    </row>
    <row r="760" spans="1:14" ht="15.75" customHeight="1" x14ac:dyDescent="0.25">
      <c r="A760" s="52" t="str">
        <f t="shared" si="99"/>
        <v>HT</v>
      </c>
      <c r="B760" s="32" t="s">
        <v>1108</v>
      </c>
      <c r="C760" s="33">
        <v>755</v>
      </c>
      <c r="D760" s="39" t="s">
        <v>301</v>
      </c>
      <c r="E760" s="33" t="s">
        <v>10</v>
      </c>
      <c r="F760" s="33">
        <v>1.1000000000000001</v>
      </c>
      <c r="G760" s="33"/>
      <c r="H760" s="33">
        <f t="shared" si="100"/>
        <v>1.1000000000000001</v>
      </c>
      <c r="I760" s="34" t="s">
        <v>16</v>
      </c>
      <c r="J760" s="99">
        <f>+'[2]Dự thầu'!$G297</f>
        <v>1557317</v>
      </c>
      <c r="K760" s="98">
        <f t="shared" si="101"/>
        <v>1713049</v>
      </c>
      <c r="L760" s="98">
        <f t="shared" si="102"/>
        <v>0</v>
      </c>
      <c r="M760" s="98">
        <f t="shared" si="103"/>
        <v>1713049</v>
      </c>
      <c r="N760" s="100"/>
    </row>
    <row r="761" spans="1:14" ht="47.25" customHeight="1" x14ac:dyDescent="0.25">
      <c r="A761" s="52" t="str">
        <f t="shared" si="99"/>
        <v>HT</v>
      </c>
      <c r="B761" s="32" t="s">
        <v>1109</v>
      </c>
      <c r="C761" s="33">
        <v>756</v>
      </c>
      <c r="D761" s="39" t="s">
        <v>120</v>
      </c>
      <c r="E761" s="33" t="s">
        <v>10</v>
      </c>
      <c r="F761" s="33">
        <v>4.0999999999999996</v>
      </c>
      <c r="G761" s="33"/>
      <c r="H761" s="33">
        <f t="shared" si="100"/>
        <v>4.0999999999999996</v>
      </c>
      <c r="I761" s="34" t="s">
        <v>16</v>
      </c>
      <c r="J761" s="99">
        <f>+'[2]Dự thầu'!$G298</f>
        <v>1197457</v>
      </c>
      <c r="K761" s="98">
        <f t="shared" si="101"/>
        <v>4909574</v>
      </c>
      <c r="L761" s="98">
        <f t="shared" si="102"/>
        <v>0</v>
      </c>
      <c r="M761" s="98">
        <f t="shared" si="103"/>
        <v>4909574</v>
      </c>
      <c r="N761" s="100"/>
    </row>
    <row r="762" spans="1:14" ht="15.75" customHeight="1" x14ac:dyDescent="0.25">
      <c r="A762" s="52" t="str">
        <f t="shared" si="99"/>
        <v>HT</v>
      </c>
      <c r="B762" s="32" t="s">
        <v>1110</v>
      </c>
      <c r="C762" s="33">
        <v>757</v>
      </c>
      <c r="D762" s="39" t="s">
        <v>125</v>
      </c>
      <c r="E762" s="33" t="s">
        <v>10</v>
      </c>
      <c r="F762" s="33">
        <v>0.43</v>
      </c>
      <c r="G762" s="33"/>
      <c r="H762" s="33">
        <f t="shared" si="100"/>
        <v>0.43</v>
      </c>
      <c r="I762" s="34" t="s">
        <v>126</v>
      </c>
      <c r="J762" s="99">
        <f>+'[2]Dự thầu'!$G299</f>
        <v>10479792</v>
      </c>
      <c r="K762" s="98">
        <f t="shared" si="101"/>
        <v>4506311</v>
      </c>
      <c r="L762" s="98">
        <f t="shared" si="102"/>
        <v>0</v>
      </c>
      <c r="M762" s="98">
        <f t="shared" si="103"/>
        <v>4506311</v>
      </c>
      <c r="N762" s="100"/>
    </row>
    <row r="763" spans="1:14" ht="15.75" customHeight="1" x14ac:dyDescent="0.25">
      <c r="A763" s="52" t="str">
        <f t="shared" si="99"/>
        <v>HT</v>
      </c>
      <c r="B763" s="32" t="s">
        <v>1111</v>
      </c>
      <c r="C763" s="33">
        <v>758</v>
      </c>
      <c r="D763" s="39" t="s">
        <v>305</v>
      </c>
      <c r="E763" s="33" t="s">
        <v>10</v>
      </c>
      <c r="F763" s="33">
        <v>25.6</v>
      </c>
      <c r="G763" s="33"/>
      <c r="H763" s="33">
        <f t="shared" si="100"/>
        <v>25.6</v>
      </c>
      <c r="I763" s="34" t="s">
        <v>13</v>
      </c>
      <c r="J763" s="99">
        <f>+'[2]Dự thầu'!$G300</f>
        <v>43066</v>
      </c>
      <c r="K763" s="98">
        <f t="shared" si="101"/>
        <v>1102490</v>
      </c>
      <c r="L763" s="98">
        <f t="shared" si="102"/>
        <v>0</v>
      </c>
      <c r="M763" s="98">
        <f t="shared" si="103"/>
        <v>1102490</v>
      </c>
      <c r="N763" s="100"/>
    </row>
    <row r="764" spans="1:14" ht="47.25" customHeight="1" x14ac:dyDescent="0.25">
      <c r="A764" s="52" t="str">
        <f t="shared" si="99"/>
        <v>HT</v>
      </c>
      <c r="B764" s="32" t="s">
        <v>1112</v>
      </c>
      <c r="C764" s="33">
        <v>759</v>
      </c>
      <c r="D764" s="39" t="s">
        <v>272</v>
      </c>
      <c r="E764" s="33" t="s">
        <v>10</v>
      </c>
      <c r="F764" s="33">
        <v>2.75</v>
      </c>
      <c r="G764" s="33"/>
      <c r="H764" s="33">
        <f t="shared" si="100"/>
        <v>2.75</v>
      </c>
      <c r="I764" s="34" t="s">
        <v>90</v>
      </c>
      <c r="J764" s="99">
        <f>+'[2]Dự thầu'!$G301</f>
        <v>51234</v>
      </c>
      <c r="K764" s="98">
        <f t="shared" si="101"/>
        <v>140894</v>
      </c>
      <c r="L764" s="98">
        <f t="shared" si="102"/>
        <v>0</v>
      </c>
      <c r="M764" s="98">
        <f t="shared" si="103"/>
        <v>140894</v>
      </c>
      <c r="N764" s="100"/>
    </row>
    <row r="765" spans="1:14" ht="47.25" customHeight="1" x14ac:dyDescent="0.25">
      <c r="A765" s="52" t="str">
        <f t="shared" si="99"/>
        <v>HT</v>
      </c>
      <c r="B765" s="32" t="s">
        <v>1113</v>
      </c>
      <c r="C765" s="33">
        <v>760</v>
      </c>
      <c r="D765" s="39" t="s">
        <v>293</v>
      </c>
      <c r="E765" s="33" t="s">
        <v>10</v>
      </c>
      <c r="F765" s="33">
        <v>2.75</v>
      </c>
      <c r="G765" s="33"/>
      <c r="H765" s="33">
        <f t="shared" si="100"/>
        <v>2.75</v>
      </c>
      <c r="I765" s="34" t="s">
        <v>90</v>
      </c>
      <c r="J765" s="99">
        <f>+'[2]Dự thầu'!$G302</f>
        <v>33301</v>
      </c>
      <c r="K765" s="98">
        <f t="shared" si="101"/>
        <v>91578</v>
      </c>
      <c r="L765" s="98">
        <f t="shared" si="102"/>
        <v>0</v>
      </c>
      <c r="M765" s="98">
        <f t="shared" si="103"/>
        <v>91578</v>
      </c>
      <c r="N765" s="100"/>
    </row>
    <row r="766" spans="1:14" ht="31.5" customHeight="1" x14ac:dyDescent="0.25">
      <c r="A766" s="52" t="str">
        <f t="shared" si="99"/>
        <v>HT</v>
      </c>
      <c r="B766" s="32" t="s">
        <v>1114</v>
      </c>
      <c r="C766" s="33">
        <v>761</v>
      </c>
      <c r="D766" s="39" t="s">
        <v>284</v>
      </c>
      <c r="E766" s="33" t="s">
        <v>10</v>
      </c>
      <c r="F766" s="33">
        <v>0.28000000000000003</v>
      </c>
      <c r="G766" s="33"/>
      <c r="H766" s="33">
        <f t="shared" si="100"/>
        <v>0.28000000000000003</v>
      </c>
      <c r="I766" s="34" t="s">
        <v>274</v>
      </c>
      <c r="J766" s="99">
        <f>+'[2]Dự thầu'!$G303</f>
        <v>32162</v>
      </c>
      <c r="K766" s="98">
        <f t="shared" si="101"/>
        <v>9005</v>
      </c>
      <c r="L766" s="98">
        <f t="shared" si="102"/>
        <v>0</v>
      </c>
      <c r="M766" s="98">
        <f t="shared" si="103"/>
        <v>9005</v>
      </c>
      <c r="N766" s="100"/>
    </row>
    <row r="767" spans="1:14" ht="31.5" customHeight="1" x14ac:dyDescent="0.25">
      <c r="A767" s="52" t="str">
        <f t="shared" si="99"/>
        <v>HT</v>
      </c>
      <c r="B767" s="32" t="s">
        <v>1115</v>
      </c>
      <c r="C767" s="33">
        <v>762</v>
      </c>
      <c r="D767" s="39" t="s">
        <v>310</v>
      </c>
      <c r="E767" s="33" t="s">
        <v>10</v>
      </c>
      <c r="F767" s="33">
        <v>100</v>
      </c>
      <c r="G767" s="33"/>
      <c r="H767" s="33">
        <f t="shared" si="100"/>
        <v>100</v>
      </c>
      <c r="I767" s="34" t="s">
        <v>250</v>
      </c>
      <c r="J767" s="99">
        <f>+'[2]Dự thầu'!$G304</f>
        <v>9700</v>
      </c>
      <c r="K767" s="98">
        <f t="shared" si="101"/>
        <v>970000</v>
      </c>
      <c r="L767" s="98">
        <f t="shared" si="102"/>
        <v>0</v>
      </c>
      <c r="M767" s="98">
        <f t="shared" si="103"/>
        <v>970000</v>
      </c>
      <c r="N767" s="100"/>
    </row>
    <row r="768" spans="1:14" ht="15.75" customHeight="1" x14ac:dyDescent="0.25">
      <c r="A768" s="52" t="str">
        <f t="shared" si="99"/>
        <v>HT</v>
      </c>
      <c r="B768" s="32" t="s">
        <v>1116</v>
      </c>
      <c r="C768" s="33">
        <v>763</v>
      </c>
      <c r="D768" s="39" t="s">
        <v>125</v>
      </c>
      <c r="E768" s="33" t="s">
        <v>10</v>
      </c>
      <c r="F768" s="33">
        <v>7.0000000000000007E-2</v>
      </c>
      <c r="G768" s="33"/>
      <c r="H768" s="33">
        <f t="shared" si="100"/>
        <v>7.0000000000000007E-2</v>
      </c>
      <c r="I768" s="34" t="s">
        <v>126</v>
      </c>
      <c r="J768" s="99">
        <f>+'[2]Dự thầu'!$G305</f>
        <v>10479792</v>
      </c>
      <c r="K768" s="98">
        <f t="shared" si="101"/>
        <v>733585</v>
      </c>
      <c r="L768" s="98">
        <f t="shared" si="102"/>
        <v>0</v>
      </c>
      <c r="M768" s="98">
        <f t="shared" si="103"/>
        <v>733585</v>
      </c>
      <c r="N768" s="100"/>
    </row>
    <row r="769" spans="1:14" ht="31.5" customHeight="1" x14ac:dyDescent="0.25">
      <c r="A769" s="52" t="str">
        <f t="shared" si="99"/>
        <v>HT</v>
      </c>
      <c r="B769" s="32" t="s">
        <v>1117</v>
      </c>
      <c r="C769" s="33">
        <v>764</v>
      </c>
      <c r="D769" s="39" t="s">
        <v>1118</v>
      </c>
      <c r="E769" s="33" t="s">
        <v>10</v>
      </c>
      <c r="F769" s="33">
        <v>1.6</v>
      </c>
      <c r="G769" s="33"/>
      <c r="H769" s="33">
        <f t="shared" si="100"/>
        <v>1.6</v>
      </c>
      <c r="I769" s="34" t="s">
        <v>16</v>
      </c>
      <c r="J769" s="99">
        <f>+'[2]Dự thầu'!$G306</f>
        <v>1649892</v>
      </c>
      <c r="K769" s="98">
        <f t="shared" si="101"/>
        <v>2639827</v>
      </c>
      <c r="L769" s="98">
        <f t="shared" si="102"/>
        <v>0</v>
      </c>
      <c r="M769" s="98">
        <f t="shared" si="103"/>
        <v>2639827</v>
      </c>
      <c r="N769" s="100"/>
    </row>
    <row r="770" spans="1:14" ht="31.5" customHeight="1" x14ac:dyDescent="0.25">
      <c r="A770" s="52" t="str">
        <f t="shared" si="99"/>
        <v>HT</v>
      </c>
      <c r="B770" s="32" t="s">
        <v>1119</v>
      </c>
      <c r="C770" s="33">
        <v>765</v>
      </c>
      <c r="D770" s="39" t="s">
        <v>240</v>
      </c>
      <c r="E770" s="33" t="s">
        <v>10</v>
      </c>
      <c r="F770" s="33">
        <v>6.9</v>
      </c>
      <c r="G770" s="33"/>
      <c r="H770" s="33">
        <f t="shared" si="100"/>
        <v>6.9</v>
      </c>
      <c r="I770" s="34" t="s">
        <v>16</v>
      </c>
      <c r="J770" s="99">
        <f>+'[2]Dự thầu'!$G307</f>
        <v>851305</v>
      </c>
      <c r="K770" s="98">
        <f t="shared" si="101"/>
        <v>5874005</v>
      </c>
      <c r="L770" s="98">
        <f t="shared" si="102"/>
        <v>0</v>
      </c>
      <c r="M770" s="98">
        <f t="shared" si="103"/>
        <v>5874005</v>
      </c>
      <c r="N770" s="100"/>
    </row>
    <row r="771" spans="1:14" ht="31.5" customHeight="1" x14ac:dyDescent="0.25">
      <c r="A771" s="52" t="str">
        <f t="shared" si="99"/>
        <v>HT</v>
      </c>
      <c r="B771" s="32" t="s">
        <v>1120</v>
      </c>
      <c r="C771" s="33">
        <v>766</v>
      </c>
      <c r="D771" s="39" t="s">
        <v>1121</v>
      </c>
      <c r="E771" s="33" t="s">
        <v>10</v>
      </c>
      <c r="F771" s="33">
        <v>0.1</v>
      </c>
      <c r="G771" s="33"/>
      <c r="H771" s="33">
        <f t="shared" si="100"/>
        <v>0.1</v>
      </c>
      <c r="I771" s="34" t="s">
        <v>90</v>
      </c>
      <c r="J771" s="99">
        <f>+'[2]Dự thầu'!$G308</f>
        <v>24850511</v>
      </c>
      <c r="K771" s="98">
        <f t="shared" si="101"/>
        <v>2485051</v>
      </c>
      <c r="L771" s="98">
        <f t="shared" si="102"/>
        <v>0</v>
      </c>
      <c r="M771" s="98">
        <f t="shared" si="103"/>
        <v>2485051</v>
      </c>
      <c r="N771" s="100"/>
    </row>
    <row r="772" spans="1:14" ht="31.5" customHeight="1" x14ac:dyDescent="0.25">
      <c r="A772" s="52" t="str">
        <f t="shared" si="99"/>
        <v>HT</v>
      </c>
      <c r="B772" s="32" t="s">
        <v>1122</v>
      </c>
      <c r="C772" s="33">
        <v>767</v>
      </c>
      <c r="D772" s="39" t="s">
        <v>1123</v>
      </c>
      <c r="E772" s="33" t="s">
        <v>10</v>
      </c>
      <c r="F772" s="33">
        <v>0.2</v>
      </c>
      <c r="G772" s="33"/>
      <c r="H772" s="33">
        <f t="shared" si="100"/>
        <v>0.2</v>
      </c>
      <c r="I772" s="34" t="s">
        <v>90</v>
      </c>
      <c r="J772" s="99">
        <f>+'[2]Dự thầu'!$G309</f>
        <v>24510303</v>
      </c>
      <c r="K772" s="98">
        <f t="shared" si="101"/>
        <v>4902061</v>
      </c>
      <c r="L772" s="98">
        <f t="shared" si="102"/>
        <v>0</v>
      </c>
      <c r="M772" s="98">
        <f t="shared" si="103"/>
        <v>4902061</v>
      </c>
      <c r="N772" s="100"/>
    </row>
    <row r="773" spans="1:14" ht="31.5" customHeight="1" x14ac:dyDescent="0.25">
      <c r="A773" s="52" t="str">
        <f t="shared" si="99"/>
        <v>HT</v>
      </c>
      <c r="B773" s="32" t="s">
        <v>1124</v>
      </c>
      <c r="C773" s="33">
        <v>768</v>
      </c>
      <c r="D773" s="39" t="s">
        <v>312</v>
      </c>
      <c r="E773" s="33" t="s">
        <v>10</v>
      </c>
      <c r="F773" s="33">
        <v>21.8</v>
      </c>
      <c r="G773" s="33"/>
      <c r="H773" s="33">
        <f t="shared" si="100"/>
        <v>21.8</v>
      </c>
      <c r="I773" s="34" t="s">
        <v>16</v>
      </c>
      <c r="J773" s="99">
        <f>+'[2]Dự thầu'!$G310</f>
        <v>1568156</v>
      </c>
      <c r="K773" s="98">
        <f t="shared" si="101"/>
        <v>34185801</v>
      </c>
      <c r="L773" s="98">
        <f t="shared" si="102"/>
        <v>0</v>
      </c>
      <c r="M773" s="98">
        <f t="shared" si="103"/>
        <v>34185801</v>
      </c>
      <c r="N773" s="100"/>
    </row>
    <row r="774" spans="1:14" ht="31.5" customHeight="1" x14ac:dyDescent="0.25">
      <c r="A774" s="52" t="str">
        <f t="shared" si="99"/>
        <v>HT</v>
      </c>
      <c r="B774" s="32" t="s">
        <v>1125</v>
      </c>
      <c r="C774" s="33">
        <v>769</v>
      </c>
      <c r="D774" s="39" t="s">
        <v>240</v>
      </c>
      <c r="E774" s="33" t="s">
        <v>10</v>
      </c>
      <c r="F774" s="33">
        <v>16.3</v>
      </c>
      <c r="G774" s="33"/>
      <c r="H774" s="33">
        <f t="shared" si="100"/>
        <v>16.3</v>
      </c>
      <c r="I774" s="34" t="s">
        <v>16</v>
      </c>
      <c r="J774" s="99">
        <f>+'[2]Dự thầu'!$G311</f>
        <v>851305</v>
      </c>
      <c r="K774" s="98">
        <f t="shared" si="101"/>
        <v>13876272</v>
      </c>
      <c r="L774" s="98">
        <f t="shared" si="102"/>
        <v>0</v>
      </c>
      <c r="M774" s="98">
        <f t="shared" si="103"/>
        <v>13876272</v>
      </c>
      <c r="N774" s="100"/>
    </row>
    <row r="775" spans="1:14" ht="31.5" customHeight="1" x14ac:dyDescent="0.25">
      <c r="A775" s="52" t="str">
        <f t="shared" si="99"/>
        <v>HT</v>
      </c>
      <c r="B775" s="32" t="s">
        <v>1126</v>
      </c>
      <c r="C775" s="33">
        <v>770</v>
      </c>
      <c r="D775" s="39" t="s">
        <v>315</v>
      </c>
      <c r="E775" s="33" t="s">
        <v>10</v>
      </c>
      <c r="F775" s="102">
        <v>1449.24</v>
      </c>
      <c r="G775" s="102"/>
      <c r="H775" s="102">
        <f t="shared" si="100"/>
        <v>1449.24</v>
      </c>
      <c r="I775" s="34" t="s">
        <v>16</v>
      </c>
      <c r="J775" s="99">
        <f>+'[2]Dự thầu'!$G312</f>
        <v>23993</v>
      </c>
      <c r="K775" s="98">
        <f t="shared" si="101"/>
        <v>34771615</v>
      </c>
      <c r="L775" s="98">
        <f t="shared" si="102"/>
        <v>0</v>
      </c>
      <c r="M775" s="98">
        <f t="shared" si="103"/>
        <v>34771615</v>
      </c>
      <c r="N775" s="100"/>
    </row>
    <row r="776" spans="1:14" ht="31.5" customHeight="1" x14ac:dyDescent="0.25">
      <c r="A776" s="52" t="str">
        <f t="shared" si="99"/>
        <v>HT</v>
      </c>
      <c r="B776" s="32" t="s">
        <v>1127</v>
      </c>
      <c r="C776" s="33">
        <v>771</v>
      </c>
      <c r="D776" s="39" t="s">
        <v>317</v>
      </c>
      <c r="E776" s="33" t="s">
        <v>10</v>
      </c>
      <c r="F776" s="102">
        <v>4959.1099999999997</v>
      </c>
      <c r="G776" s="102"/>
      <c r="H776" s="102">
        <f t="shared" si="100"/>
        <v>4959.1099999999997</v>
      </c>
      <c r="I776" s="34" t="s">
        <v>16</v>
      </c>
      <c r="J776" s="99">
        <f>+'[2]Dự thầu'!$G313</f>
        <v>32141</v>
      </c>
      <c r="K776" s="98">
        <f t="shared" si="101"/>
        <v>159390755</v>
      </c>
      <c r="L776" s="98">
        <f t="shared" si="102"/>
        <v>0</v>
      </c>
      <c r="M776" s="98">
        <f t="shared" si="103"/>
        <v>159390755</v>
      </c>
      <c r="N776" s="100"/>
    </row>
    <row r="777" spans="1:14" ht="15.75" customHeight="1" x14ac:dyDescent="0.25">
      <c r="A777" s="52" t="str">
        <f t="shared" si="99"/>
        <v>HT</v>
      </c>
      <c r="B777" s="32" t="s">
        <v>1128</v>
      </c>
      <c r="C777" s="33">
        <v>772</v>
      </c>
      <c r="D777" s="39" t="s">
        <v>1129</v>
      </c>
      <c r="E777" s="33" t="s">
        <v>10</v>
      </c>
      <c r="F777" s="33">
        <v>4.7</v>
      </c>
      <c r="G777" s="33"/>
      <c r="H777" s="33">
        <f t="shared" si="100"/>
        <v>4.7</v>
      </c>
      <c r="I777" s="34" t="s">
        <v>16</v>
      </c>
      <c r="J777" s="99">
        <f>+'[2]Dự thầu'!$G314</f>
        <v>1915334</v>
      </c>
      <c r="K777" s="98">
        <f t="shared" si="101"/>
        <v>9002070</v>
      </c>
      <c r="L777" s="98">
        <f t="shared" si="102"/>
        <v>0</v>
      </c>
      <c r="M777" s="98">
        <f t="shared" si="103"/>
        <v>9002070</v>
      </c>
      <c r="N777" s="100"/>
    </row>
    <row r="778" spans="1:14" ht="15.75" customHeight="1" x14ac:dyDescent="0.25">
      <c r="A778" s="52" t="str">
        <f t="shared" si="99"/>
        <v>HT</v>
      </c>
      <c r="B778" s="32" t="s">
        <v>1130</v>
      </c>
      <c r="C778" s="33">
        <v>773</v>
      </c>
      <c r="D778" s="39" t="s">
        <v>319</v>
      </c>
      <c r="E778" s="33" t="s">
        <v>10</v>
      </c>
      <c r="F778" s="33">
        <v>96.2</v>
      </c>
      <c r="G778" s="33"/>
      <c r="H778" s="33">
        <f t="shared" si="100"/>
        <v>96.2</v>
      </c>
      <c r="I778" s="34" t="s">
        <v>16</v>
      </c>
      <c r="J778" s="99">
        <f>+'[2]Dự thầu'!$G315</f>
        <v>1568156</v>
      </c>
      <c r="K778" s="98">
        <f t="shared" si="101"/>
        <v>150856607</v>
      </c>
      <c r="L778" s="98">
        <f t="shared" si="102"/>
        <v>0</v>
      </c>
      <c r="M778" s="98">
        <f t="shared" si="103"/>
        <v>150856607</v>
      </c>
      <c r="N778" s="100"/>
    </row>
    <row r="779" spans="1:14" ht="31.5" customHeight="1" x14ac:dyDescent="0.25">
      <c r="A779" s="52" t="str">
        <f t="shared" si="99"/>
        <v>HT</v>
      </c>
      <c r="B779" s="32" t="s">
        <v>1131</v>
      </c>
      <c r="C779" s="33">
        <v>774</v>
      </c>
      <c r="D779" s="39" t="s">
        <v>1132</v>
      </c>
      <c r="E779" s="33" t="s">
        <v>10</v>
      </c>
      <c r="F779" s="33">
        <v>0.8</v>
      </c>
      <c r="G779" s="33"/>
      <c r="H779" s="33">
        <f t="shared" si="100"/>
        <v>0.8</v>
      </c>
      <c r="I779" s="34" t="s">
        <v>90</v>
      </c>
      <c r="J779" s="99">
        <f>+'[2]Dự thầu'!$G316</f>
        <v>25286847</v>
      </c>
      <c r="K779" s="98">
        <f t="shared" si="101"/>
        <v>20229478</v>
      </c>
      <c r="L779" s="98">
        <f t="shared" si="102"/>
        <v>0</v>
      </c>
      <c r="M779" s="98">
        <f t="shared" si="103"/>
        <v>20229478</v>
      </c>
      <c r="N779" s="100"/>
    </row>
    <row r="780" spans="1:14" ht="15.75" customHeight="1" x14ac:dyDescent="0.25">
      <c r="A780" s="52" t="str">
        <f t="shared" si="99"/>
        <v>HT</v>
      </c>
      <c r="B780" s="32" t="s">
        <v>1133</v>
      </c>
      <c r="C780" s="33">
        <v>775</v>
      </c>
      <c r="D780" s="39" t="s">
        <v>125</v>
      </c>
      <c r="E780" s="33" t="s">
        <v>10</v>
      </c>
      <c r="F780" s="33">
        <v>181.3</v>
      </c>
      <c r="G780" s="33"/>
      <c r="H780" s="33">
        <f t="shared" si="100"/>
        <v>181.3</v>
      </c>
      <c r="I780" s="34" t="s">
        <v>13</v>
      </c>
      <c r="J780" s="99">
        <f>+'[2]Dự thầu'!$G317</f>
        <v>104798</v>
      </c>
      <c r="K780" s="98">
        <f t="shared" si="101"/>
        <v>18999877</v>
      </c>
      <c r="L780" s="98">
        <f t="shared" si="102"/>
        <v>0</v>
      </c>
      <c r="M780" s="98">
        <f t="shared" si="103"/>
        <v>18999877</v>
      </c>
      <c r="N780" s="100"/>
    </row>
    <row r="781" spans="1:14" ht="31.5" customHeight="1" x14ac:dyDescent="0.25">
      <c r="A781" s="52" t="str">
        <f t="shared" si="99"/>
        <v>HT</v>
      </c>
      <c r="B781" s="32" t="s">
        <v>1134</v>
      </c>
      <c r="C781" s="33">
        <v>776</v>
      </c>
      <c r="D781" s="39" t="s">
        <v>240</v>
      </c>
      <c r="E781" s="33" t="s">
        <v>10</v>
      </c>
      <c r="F781" s="33">
        <v>44.8</v>
      </c>
      <c r="G781" s="33"/>
      <c r="H781" s="33">
        <f t="shared" si="100"/>
        <v>44.8</v>
      </c>
      <c r="I781" s="34" t="s">
        <v>16</v>
      </c>
      <c r="J781" s="99">
        <f>+'[2]Dự thầu'!$G318</f>
        <v>851305</v>
      </c>
      <c r="K781" s="98">
        <f t="shared" si="101"/>
        <v>38138464</v>
      </c>
      <c r="L781" s="98">
        <f t="shared" si="102"/>
        <v>0</v>
      </c>
      <c r="M781" s="98">
        <f t="shared" si="103"/>
        <v>38138464</v>
      </c>
      <c r="N781" s="100"/>
    </row>
    <row r="782" spans="1:14" ht="15.75" customHeight="1" x14ac:dyDescent="0.25">
      <c r="A782" s="52" t="str">
        <f t="shared" si="99"/>
        <v>HT</v>
      </c>
      <c r="B782" s="32" t="s">
        <v>1135</v>
      </c>
      <c r="C782" s="33">
        <v>777</v>
      </c>
      <c r="D782" s="39" t="s">
        <v>323</v>
      </c>
      <c r="E782" s="33" t="s">
        <v>10</v>
      </c>
      <c r="F782" s="33">
        <v>96.4</v>
      </c>
      <c r="G782" s="33"/>
      <c r="H782" s="33">
        <f t="shared" si="100"/>
        <v>96.4</v>
      </c>
      <c r="I782" s="34" t="s">
        <v>16</v>
      </c>
      <c r="J782" s="99">
        <f>+'[2]Dự thầu'!$G319</f>
        <v>1850255</v>
      </c>
      <c r="K782" s="98">
        <f t="shared" si="101"/>
        <v>178364582</v>
      </c>
      <c r="L782" s="98">
        <f t="shared" si="102"/>
        <v>0</v>
      </c>
      <c r="M782" s="98">
        <f t="shared" si="103"/>
        <v>178364582</v>
      </c>
      <c r="N782" s="100"/>
    </row>
    <row r="783" spans="1:14" ht="31.5" customHeight="1" x14ac:dyDescent="0.25">
      <c r="A783" s="52" t="str">
        <f t="shared" si="99"/>
        <v>HT</v>
      </c>
      <c r="B783" s="32" t="s">
        <v>1136</v>
      </c>
      <c r="C783" s="33">
        <v>778</v>
      </c>
      <c r="D783" s="39" t="s">
        <v>325</v>
      </c>
      <c r="E783" s="33" t="s">
        <v>10</v>
      </c>
      <c r="F783" s="101">
        <v>1014.4</v>
      </c>
      <c r="G783" s="101"/>
      <c r="H783" s="101">
        <f t="shared" si="100"/>
        <v>1014.4</v>
      </c>
      <c r="I783" s="34" t="s">
        <v>13</v>
      </c>
      <c r="J783" s="99">
        <f>+'[2]Dự thầu'!$G320</f>
        <v>96763</v>
      </c>
      <c r="K783" s="98">
        <f t="shared" si="101"/>
        <v>98156387</v>
      </c>
      <c r="L783" s="98">
        <f t="shared" si="102"/>
        <v>0</v>
      </c>
      <c r="M783" s="98">
        <f t="shared" si="103"/>
        <v>98156387</v>
      </c>
      <c r="N783" s="100"/>
    </row>
    <row r="784" spans="1:14" ht="31.5" customHeight="1" x14ac:dyDescent="0.25">
      <c r="A784" s="52" t="str">
        <f t="shared" si="99"/>
        <v>HT</v>
      </c>
      <c r="B784" s="32" t="s">
        <v>1137</v>
      </c>
      <c r="C784" s="33">
        <v>779</v>
      </c>
      <c r="D784" s="39" t="s">
        <v>1025</v>
      </c>
      <c r="E784" s="33" t="s">
        <v>10</v>
      </c>
      <c r="F784" s="33">
        <v>161</v>
      </c>
      <c r="G784" s="33"/>
      <c r="H784" s="33">
        <f t="shared" si="100"/>
        <v>161</v>
      </c>
      <c r="I784" s="34" t="s">
        <v>75</v>
      </c>
      <c r="J784" s="99">
        <f>+'[2]Dự thầu'!$G321</f>
        <v>10831</v>
      </c>
      <c r="K784" s="98">
        <f t="shared" si="101"/>
        <v>1743791</v>
      </c>
      <c r="L784" s="98">
        <f t="shared" si="102"/>
        <v>0</v>
      </c>
      <c r="M784" s="98">
        <f t="shared" si="103"/>
        <v>1743791</v>
      </c>
      <c r="N784" s="100"/>
    </row>
    <row r="785" spans="1:15" ht="15.75" customHeight="1" x14ac:dyDescent="0.25">
      <c r="A785" s="52" t="str">
        <f t="shared" si="99"/>
        <v>HT</v>
      </c>
      <c r="B785" s="32" t="s">
        <v>1138</v>
      </c>
      <c r="C785" s="33">
        <v>780</v>
      </c>
      <c r="D785" s="39" t="s">
        <v>329</v>
      </c>
      <c r="E785" s="33" t="s">
        <v>10</v>
      </c>
      <c r="F785" s="33">
        <v>1.58</v>
      </c>
      <c r="G785" s="33"/>
      <c r="H785" s="33">
        <f t="shared" si="100"/>
        <v>1.58</v>
      </c>
      <c r="I785" s="34" t="s">
        <v>16</v>
      </c>
      <c r="J785" s="99">
        <f>+'[2]Dự thầu'!$G322</f>
        <v>2087940</v>
      </c>
      <c r="K785" s="98">
        <f t="shared" si="101"/>
        <v>3298945</v>
      </c>
      <c r="L785" s="98">
        <f t="shared" si="102"/>
        <v>0</v>
      </c>
      <c r="M785" s="98">
        <f t="shared" si="103"/>
        <v>3298945</v>
      </c>
      <c r="N785" s="100"/>
    </row>
    <row r="786" spans="1:15" ht="15.75" customHeight="1" x14ac:dyDescent="0.25">
      <c r="A786" s="52" t="str">
        <f t="shared" si="99"/>
        <v>HT</v>
      </c>
      <c r="B786" s="32" t="s">
        <v>1139</v>
      </c>
      <c r="C786" s="33">
        <v>781</v>
      </c>
      <c r="D786" s="39" t="s">
        <v>125</v>
      </c>
      <c r="E786" s="33" t="s">
        <v>10</v>
      </c>
      <c r="F786" s="33">
        <v>13.39</v>
      </c>
      <c r="G786" s="33"/>
      <c r="H786" s="33">
        <f t="shared" si="100"/>
        <v>13.39</v>
      </c>
      <c r="I786" s="34" t="s">
        <v>13</v>
      </c>
      <c r="J786" s="99">
        <f>+'[2]Dự thầu'!$G323</f>
        <v>104798</v>
      </c>
      <c r="K786" s="98">
        <f t="shared" si="101"/>
        <v>1403245</v>
      </c>
      <c r="L786" s="98">
        <f t="shared" si="102"/>
        <v>0</v>
      </c>
      <c r="M786" s="98">
        <f t="shared" si="103"/>
        <v>1403245</v>
      </c>
      <c r="N786" s="100"/>
    </row>
    <row r="787" spans="1:15" ht="31.5" customHeight="1" x14ac:dyDescent="0.25">
      <c r="A787" s="52" t="str">
        <f t="shared" si="99"/>
        <v>HT</v>
      </c>
      <c r="B787" s="32" t="s">
        <v>1140</v>
      </c>
      <c r="C787" s="33">
        <v>782</v>
      </c>
      <c r="D787" s="39" t="s">
        <v>332</v>
      </c>
      <c r="E787" s="33" t="s">
        <v>10</v>
      </c>
      <c r="F787" s="33">
        <v>0.16</v>
      </c>
      <c r="G787" s="33"/>
      <c r="H787" s="33">
        <f t="shared" si="100"/>
        <v>0.16</v>
      </c>
      <c r="I787" s="34" t="s">
        <v>90</v>
      </c>
      <c r="J787" s="99">
        <f>+'[2]Dự thầu'!$G324</f>
        <v>26211154</v>
      </c>
      <c r="K787" s="98">
        <f t="shared" si="101"/>
        <v>4193785</v>
      </c>
      <c r="L787" s="98">
        <f t="shared" si="102"/>
        <v>0</v>
      </c>
      <c r="M787" s="98">
        <f t="shared" si="103"/>
        <v>4193785</v>
      </c>
      <c r="N787" s="100"/>
    </row>
    <row r="788" spans="1:15" s="22" customFormat="1" ht="47.25" customHeight="1" x14ac:dyDescent="0.25">
      <c r="A788" s="52" t="str">
        <f t="shared" si="99"/>
        <v>HT</v>
      </c>
      <c r="B788" s="29">
        <v>12</v>
      </c>
      <c r="C788" s="30">
        <v>783</v>
      </c>
      <c r="D788" s="12" t="s">
        <v>1141</v>
      </c>
      <c r="E788" s="30" t="s">
        <v>10</v>
      </c>
      <c r="F788" s="30"/>
      <c r="G788" s="30"/>
      <c r="H788" s="30">
        <f t="shared" si="100"/>
        <v>0</v>
      </c>
      <c r="I788" s="31"/>
      <c r="J788" s="97"/>
      <c r="K788" s="35"/>
      <c r="L788" s="104"/>
      <c r="M788" s="104"/>
      <c r="N788" s="23"/>
      <c r="O788" s="104"/>
    </row>
    <row r="789" spans="1:15" ht="31.5" customHeight="1" x14ac:dyDescent="0.25">
      <c r="A789" s="52" t="str">
        <f t="shared" ref="A789:A852" si="104">A788</f>
        <v>HT</v>
      </c>
      <c r="B789" s="32" t="s">
        <v>1142</v>
      </c>
      <c r="C789" s="33">
        <v>784</v>
      </c>
      <c r="D789" s="39" t="s">
        <v>510</v>
      </c>
      <c r="E789" s="33" t="s">
        <v>10</v>
      </c>
      <c r="F789" s="98">
        <v>2599</v>
      </c>
      <c r="G789" s="98"/>
      <c r="H789" s="98">
        <f t="shared" ref="H789:H852" si="105">+F789</f>
        <v>2599</v>
      </c>
      <c r="I789" s="34" t="s">
        <v>13</v>
      </c>
      <c r="J789" s="99">
        <f>+'[2]Dự thầu'!$G488</f>
        <v>519576</v>
      </c>
      <c r="K789" s="98">
        <f t="shared" ref="K789:K809" si="106">+ROUND(J789*F789,0)</f>
        <v>1350378024</v>
      </c>
      <c r="L789" s="98">
        <f t="shared" ref="L789:L809" si="107">+ROUND(G789*J789,0)</f>
        <v>0</v>
      </c>
      <c r="M789" s="98">
        <f t="shared" ref="M789:M809" si="108">+ROUND(H789*J789,0)</f>
        <v>1350378024</v>
      </c>
      <c r="N789" s="100"/>
    </row>
    <row r="790" spans="1:15" ht="15.75" customHeight="1" x14ac:dyDescent="0.25">
      <c r="A790" s="52" t="str">
        <f t="shared" si="104"/>
        <v>HT</v>
      </c>
      <c r="B790" s="32" t="s">
        <v>1143</v>
      </c>
      <c r="C790" s="33">
        <v>785</v>
      </c>
      <c r="D790" s="39" t="s">
        <v>512</v>
      </c>
      <c r="E790" s="33" t="s">
        <v>10</v>
      </c>
      <c r="F790" s="33">
        <v>136.82</v>
      </c>
      <c r="G790" s="33"/>
      <c r="H790" s="33">
        <f t="shared" si="105"/>
        <v>136.82</v>
      </c>
      <c r="I790" s="34" t="s">
        <v>13</v>
      </c>
      <c r="J790" s="99">
        <f>+'[2]Dự thầu'!$G489</f>
        <v>1113651</v>
      </c>
      <c r="K790" s="98">
        <f t="shared" si="106"/>
        <v>152369730</v>
      </c>
      <c r="L790" s="98">
        <f t="shared" si="107"/>
        <v>0</v>
      </c>
      <c r="M790" s="98">
        <f t="shared" si="108"/>
        <v>152369730</v>
      </c>
      <c r="N790" s="100"/>
    </row>
    <row r="791" spans="1:15" ht="31.5" customHeight="1" x14ac:dyDescent="0.25">
      <c r="A791" s="52" t="str">
        <f t="shared" si="104"/>
        <v>HT</v>
      </c>
      <c r="B791" s="32" t="s">
        <v>1144</v>
      </c>
      <c r="C791" s="33">
        <v>786</v>
      </c>
      <c r="D791" s="39" t="s">
        <v>514</v>
      </c>
      <c r="E791" s="33" t="s">
        <v>10</v>
      </c>
      <c r="F791" s="33">
        <v>94</v>
      </c>
      <c r="G791" s="33"/>
      <c r="H791" s="33">
        <f t="shared" si="105"/>
        <v>94</v>
      </c>
      <c r="I791" s="34" t="s">
        <v>515</v>
      </c>
      <c r="J791" s="99">
        <f>+'[2]Dự thầu'!$G490</f>
        <v>56885</v>
      </c>
      <c r="K791" s="98">
        <f t="shared" si="106"/>
        <v>5347190</v>
      </c>
      <c r="L791" s="98">
        <f t="shared" si="107"/>
        <v>0</v>
      </c>
      <c r="M791" s="98">
        <f t="shared" si="108"/>
        <v>5347190</v>
      </c>
      <c r="N791" s="100"/>
    </row>
    <row r="792" spans="1:15" ht="47.25" customHeight="1" x14ac:dyDescent="0.25">
      <c r="A792" s="52" t="str">
        <f t="shared" si="104"/>
        <v>HT</v>
      </c>
      <c r="B792" s="32" t="s">
        <v>1145</v>
      </c>
      <c r="C792" s="33">
        <v>787</v>
      </c>
      <c r="D792" s="39" t="s">
        <v>517</v>
      </c>
      <c r="E792" s="33" t="s">
        <v>10</v>
      </c>
      <c r="F792" s="33">
        <v>44</v>
      </c>
      <c r="G792" s="33"/>
      <c r="H792" s="33">
        <f t="shared" si="105"/>
        <v>44</v>
      </c>
      <c r="I792" s="34" t="s">
        <v>258</v>
      </c>
      <c r="J792" s="99">
        <f>+'[2]Dự thầu'!$G491</f>
        <v>305237</v>
      </c>
      <c r="K792" s="98">
        <f t="shared" si="106"/>
        <v>13430428</v>
      </c>
      <c r="L792" s="98">
        <f t="shared" si="107"/>
        <v>0</v>
      </c>
      <c r="M792" s="98">
        <f t="shared" si="108"/>
        <v>13430428</v>
      </c>
      <c r="N792" s="100"/>
    </row>
    <row r="793" spans="1:15" ht="47.25" customHeight="1" x14ac:dyDescent="0.25">
      <c r="A793" s="52" t="str">
        <f t="shared" si="104"/>
        <v>HT</v>
      </c>
      <c r="B793" s="32" t="s">
        <v>1146</v>
      </c>
      <c r="C793" s="33">
        <v>788</v>
      </c>
      <c r="D793" s="39" t="s">
        <v>519</v>
      </c>
      <c r="E793" s="33" t="s">
        <v>10</v>
      </c>
      <c r="F793" s="33">
        <v>33</v>
      </c>
      <c r="G793" s="33"/>
      <c r="H793" s="33">
        <f t="shared" si="105"/>
        <v>33</v>
      </c>
      <c r="I793" s="34" t="s">
        <v>258</v>
      </c>
      <c r="J793" s="99">
        <f>+'[2]Dự thầu'!$G492</f>
        <v>320389</v>
      </c>
      <c r="K793" s="98">
        <f t="shared" si="106"/>
        <v>10572837</v>
      </c>
      <c r="L793" s="98">
        <f t="shared" si="107"/>
        <v>0</v>
      </c>
      <c r="M793" s="98">
        <f t="shared" si="108"/>
        <v>10572837</v>
      </c>
      <c r="N793" s="100"/>
    </row>
    <row r="794" spans="1:15" ht="47.25" customHeight="1" x14ac:dyDescent="0.25">
      <c r="A794" s="52" t="str">
        <f t="shared" si="104"/>
        <v>HT</v>
      </c>
      <c r="B794" s="32" t="s">
        <v>1147</v>
      </c>
      <c r="C794" s="33">
        <v>789</v>
      </c>
      <c r="D794" s="39" t="s">
        <v>521</v>
      </c>
      <c r="E794" s="33" t="s">
        <v>10</v>
      </c>
      <c r="F794" s="33">
        <v>10</v>
      </c>
      <c r="G794" s="33"/>
      <c r="H794" s="33">
        <f t="shared" si="105"/>
        <v>10</v>
      </c>
      <c r="I794" s="34" t="s">
        <v>258</v>
      </c>
      <c r="J794" s="99">
        <f>+'[2]Dự thầu'!$G493</f>
        <v>314327</v>
      </c>
      <c r="K794" s="98">
        <f t="shared" si="106"/>
        <v>3143270</v>
      </c>
      <c r="L794" s="98">
        <f t="shared" si="107"/>
        <v>0</v>
      </c>
      <c r="M794" s="98">
        <f t="shared" si="108"/>
        <v>3143270</v>
      </c>
      <c r="N794" s="100"/>
    </row>
    <row r="795" spans="1:15" ht="47.25" customHeight="1" x14ac:dyDescent="0.25">
      <c r="A795" s="52" t="str">
        <f t="shared" si="104"/>
        <v>HT</v>
      </c>
      <c r="B795" s="32" t="s">
        <v>1148</v>
      </c>
      <c r="C795" s="33">
        <v>790</v>
      </c>
      <c r="D795" s="39" t="s">
        <v>1149</v>
      </c>
      <c r="E795" s="33" t="s">
        <v>10</v>
      </c>
      <c r="F795" s="33">
        <v>1</v>
      </c>
      <c r="G795" s="33"/>
      <c r="H795" s="33">
        <f t="shared" si="105"/>
        <v>1</v>
      </c>
      <c r="I795" s="34" t="s">
        <v>258</v>
      </c>
      <c r="J795" s="99">
        <f>+'[2]Dự thầu'!$G494</f>
        <v>314327</v>
      </c>
      <c r="K795" s="98">
        <f t="shared" si="106"/>
        <v>314327</v>
      </c>
      <c r="L795" s="98">
        <f t="shared" si="107"/>
        <v>0</v>
      </c>
      <c r="M795" s="98">
        <f t="shared" si="108"/>
        <v>314327</v>
      </c>
      <c r="N795" s="100"/>
    </row>
    <row r="796" spans="1:15" ht="47.25" customHeight="1" x14ac:dyDescent="0.25">
      <c r="A796" s="52" t="str">
        <f t="shared" si="104"/>
        <v>HT</v>
      </c>
      <c r="B796" s="32" t="s">
        <v>1150</v>
      </c>
      <c r="C796" s="33">
        <v>791</v>
      </c>
      <c r="D796" s="39" t="s">
        <v>523</v>
      </c>
      <c r="E796" s="33" t="s">
        <v>10</v>
      </c>
      <c r="F796" s="33">
        <v>3</v>
      </c>
      <c r="G796" s="33"/>
      <c r="H796" s="33">
        <f t="shared" si="105"/>
        <v>3</v>
      </c>
      <c r="I796" s="34" t="s">
        <v>258</v>
      </c>
      <c r="J796" s="99">
        <f>+'[2]Dự thầu'!$G495</f>
        <v>314327</v>
      </c>
      <c r="K796" s="98">
        <f t="shared" si="106"/>
        <v>942981</v>
      </c>
      <c r="L796" s="98">
        <f t="shared" si="107"/>
        <v>0</v>
      </c>
      <c r="M796" s="98">
        <f t="shared" si="108"/>
        <v>942981</v>
      </c>
      <c r="N796" s="100"/>
    </row>
    <row r="797" spans="1:15" ht="15.75" customHeight="1" x14ac:dyDescent="0.25">
      <c r="A797" s="52" t="str">
        <f t="shared" si="104"/>
        <v>HT</v>
      </c>
      <c r="B797" s="32" t="s">
        <v>1151</v>
      </c>
      <c r="C797" s="33">
        <v>792</v>
      </c>
      <c r="D797" s="39" t="s">
        <v>527</v>
      </c>
      <c r="E797" s="33" t="s">
        <v>10</v>
      </c>
      <c r="F797" s="33">
        <v>44</v>
      </c>
      <c r="G797" s="33"/>
      <c r="H797" s="33">
        <f t="shared" si="105"/>
        <v>44</v>
      </c>
      <c r="I797" s="34" t="s">
        <v>258</v>
      </c>
      <c r="J797" s="99">
        <f>+'[2]Dự thầu'!$G496</f>
        <v>492731</v>
      </c>
      <c r="K797" s="98">
        <f t="shared" si="106"/>
        <v>21680164</v>
      </c>
      <c r="L797" s="98">
        <f t="shared" si="107"/>
        <v>0</v>
      </c>
      <c r="M797" s="98">
        <f t="shared" si="108"/>
        <v>21680164</v>
      </c>
      <c r="N797" s="100"/>
    </row>
    <row r="798" spans="1:15" ht="15.75" customHeight="1" x14ac:dyDescent="0.25">
      <c r="A798" s="52" t="str">
        <f t="shared" si="104"/>
        <v>HT</v>
      </c>
      <c r="B798" s="32" t="s">
        <v>1152</v>
      </c>
      <c r="C798" s="33">
        <v>793</v>
      </c>
      <c r="D798" s="39" t="s">
        <v>529</v>
      </c>
      <c r="E798" s="33" t="s">
        <v>10</v>
      </c>
      <c r="F798" s="33">
        <v>33</v>
      </c>
      <c r="G798" s="33"/>
      <c r="H798" s="33">
        <f t="shared" si="105"/>
        <v>33</v>
      </c>
      <c r="I798" s="34" t="s">
        <v>258</v>
      </c>
      <c r="J798" s="99">
        <f>+'[2]Dự thầu'!$G497</f>
        <v>1021897</v>
      </c>
      <c r="K798" s="98">
        <f t="shared" si="106"/>
        <v>33722601</v>
      </c>
      <c r="L798" s="98">
        <f t="shared" si="107"/>
        <v>0</v>
      </c>
      <c r="M798" s="98">
        <f t="shared" si="108"/>
        <v>33722601</v>
      </c>
      <c r="N798" s="100"/>
    </row>
    <row r="799" spans="1:15" ht="15.75" customHeight="1" x14ac:dyDescent="0.25">
      <c r="A799" s="52" t="str">
        <f t="shared" si="104"/>
        <v>HT</v>
      </c>
      <c r="B799" s="32" t="s">
        <v>1153</v>
      </c>
      <c r="C799" s="33">
        <v>794</v>
      </c>
      <c r="D799" s="39" t="s">
        <v>531</v>
      </c>
      <c r="E799" s="33" t="s">
        <v>10</v>
      </c>
      <c r="F799" s="33">
        <v>10</v>
      </c>
      <c r="G799" s="33"/>
      <c r="H799" s="33">
        <f t="shared" si="105"/>
        <v>10</v>
      </c>
      <c r="I799" s="34" t="s">
        <v>258</v>
      </c>
      <c r="J799" s="99">
        <f>+'[2]Dự thầu'!$G498</f>
        <v>1021897</v>
      </c>
      <c r="K799" s="98">
        <f t="shared" si="106"/>
        <v>10218970</v>
      </c>
      <c r="L799" s="98">
        <f t="shared" si="107"/>
        <v>0</v>
      </c>
      <c r="M799" s="98">
        <f t="shared" si="108"/>
        <v>10218970</v>
      </c>
      <c r="N799" s="100"/>
    </row>
    <row r="800" spans="1:15" ht="15.75" customHeight="1" x14ac:dyDescent="0.25">
      <c r="A800" s="52" t="str">
        <f t="shared" si="104"/>
        <v>HT</v>
      </c>
      <c r="B800" s="32" t="s">
        <v>1154</v>
      </c>
      <c r="C800" s="33">
        <v>795</v>
      </c>
      <c r="D800" s="39" t="s">
        <v>1155</v>
      </c>
      <c r="E800" s="33" t="s">
        <v>10</v>
      </c>
      <c r="F800" s="33">
        <v>1</v>
      </c>
      <c r="G800" s="33"/>
      <c r="H800" s="33">
        <f t="shared" si="105"/>
        <v>1</v>
      </c>
      <c r="I800" s="34" t="s">
        <v>258</v>
      </c>
      <c r="J800" s="99">
        <f>+'[2]Dự thầu'!$G499</f>
        <v>1021897</v>
      </c>
      <c r="K800" s="98">
        <f t="shared" si="106"/>
        <v>1021897</v>
      </c>
      <c r="L800" s="98">
        <f t="shared" si="107"/>
        <v>0</v>
      </c>
      <c r="M800" s="98">
        <f t="shared" si="108"/>
        <v>1021897</v>
      </c>
      <c r="N800" s="100"/>
    </row>
    <row r="801" spans="1:15" ht="15.75" customHeight="1" x14ac:dyDescent="0.25">
      <c r="A801" s="52" t="str">
        <f t="shared" si="104"/>
        <v>HT</v>
      </c>
      <c r="B801" s="32" t="s">
        <v>1156</v>
      </c>
      <c r="C801" s="33">
        <v>796</v>
      </c>
      <c r="D801" s="39" t="s">
        <v>535</v>
      </c>
      <c r="E801" s="33" t="s">
        <v>10</v>
      </c>
      <c r="F801" s="33">
        <v>3</v>
      </c>
      <c r="G801" s="33"/>
      <c r="H801" s="33">
        <f t="shared" si="105"/>
        <v>3</v>
      </c>
      <c r="I801" s="34" t="s">
        <v>258</v>
      </c>
      <c r="J801" s="99">
        <f>+'[2]Dự thầu'!$G500</f>
        <v>804708</v>
      </c>
      <c r="K801" s="98">
        <f t="shared" si="106"/>
        <v>2414124</v>
      </c>
      <c r="L801" s="98">
        <f t="shared" si="107"/>
        <v>0</v>
      </c>
      <c r="M801" s="98">
        <f t="shared" si="108"/>
        <v>2414124</v>
      </c>
      <c r="N801" s="100"/>
    </row>
    <row r="802" spans="1:15" ht="15.75" customHeight="1" x14ac:dyDescent="0.25">
      <c r="A802" s="52" t="str">
        <f t="shared" si="104"/>
        <v>HT</v>
      </c>
      <c r="B802" s="32" t="s">
        <v>1157</v>
      </c>
      <c r="C802" s="33">
        <v>797</v>
      </c>
      <c r="D802" s="39" t="s">
        <v>537</v>
      </c>
      <c r="E802" s="33" t="s">
        <v>10</v>
      </c>
      <c r="F802" s="33">
        <v>275</v>
      </c>
      <c r="G802" s="33"/>
      <c r="H802" s="33">
        <f t="shared" si="105"/>
        <v>275</v>
      </c>
      <c r="I802" s="34" t="s">
        <v>75</v>
      </c>
      <c r="J802" s="99">
        <f>+'[2]Dự thầu'!$G501</f>
        <v>171892</v>
      </c>
      <c r="K802" s="98">
        <f t="shared" si="106"/>
        <v>47270300</v>
      </c>
      <c r="L802" s="98">
        <f t="shared" si="107"/>
        <v>0</v>
      </c>
      <c r="M802" s="98">
        <f t="shared" si="108"/>
        <v>47270300</v>
      </c>
      <c r="N802" s="100"/>
    </row>
    <row r="803" spans="1:15" ht="15.75" customHeight="1" x14ac:dyDescent="0.25">
      <c r="A803" s="52" t="str">
        <f t="shared" si="104"/>
        <v>HT</v>
      </c>
      <c r="B803" s="32" t="s">
        <v>1158</v>
      </c>
      <c r="C803" s="33">
        <v>798</v>
      </c>
      <c r="D803" s="39" t="s">
        <v>1159</v>
      </c>
      <c r="E803" s="33" t="s">
        <v>10</v>
      </c>
      <c r="F803" s="33">
        <v>4.3499999999999996</v>
      </c>
      <c r="G803" s="33"/>
      <c r="H803" s="33">
        <f t="shared" si="105"/>
        <v>4.3499999999999996</v>
      </c>
      <c r="I803" s="34" t="s">
        <v>1160</v>
      </c>
      <c r="J803" s="99">
        <f>+'[2]Dự thầu'!$G502</f>
        <v>9382399</v>
      </c>
      <c r="K803" s="98">
        <f t="shared" si="106"/>
        <v>40813436</v>
      </c>
      <c r="L803" s="98">
        <f t="shared" si="107"/>
        <v>0</v>
      </c>
      <c r="M803" s="98">
        <f t="shared" si="108"/>
        <v>40813436</v>
      </c>
      <c r="N803" s="100"/>
    </row>
    <row r="804" spans="1:15" ht="15.75" customHeight="1" x14ac:dyDescent="0.25">
      <c r="A804" s="52" t="str">
        <f t="shared" si="104"/>
        <v>HT</v>
      </c>
      <c r="B804" s="32" t="s">
        <v>1161</v>
      </c>
      <c r="C804" s="33">
        <v>799</v>
      </c>
      <c r="D804" s="39" t="s">
        <v>1162</v>
      </c>
      <c r="E804" s="33" t="s">
        <v>10</v>
      </c>
      <c r="F804" s="33">
        <v>435</v>
      </c>
      <c r="G804" s="33"/>
      <c r="H804" s="33">
        <f t="shared" si="105"/>
        <v>435</v>
      </c>
      <c r="I804" s="34" t="s">
        <v>75</v>
      </c>
      <c r="J804" s="99">
        <f>+'[2]Dự thầu'!$G503</f>
        <v>856508</v>
      </c>
      <c r="K804" s="98">
        <f t="shared" si="106"/>
        <v>372580980</v>
      </c>
      <c r="L804" s="98">
        <f t="shared" si="107"/>
        <v>0</v>
      </c>
      <c r="M804" s="98">
        <f t="shared" si="108"/>
        <v>372580980</v>
      </c>
      <c r="N804" s="100"/>
    </row>
    <row r="805" spans="1:15" ht="15.75" customHeight="1" x14ac:dyDescent="0.25">
      <c r="A805" s="52" t="str">
        <f t="shared" si="104"/>
        <v>HT</v>
      </c>
      <c r="B805" s="32" t="s">
        <v>1163</v>
      </c>
      <c r="C805" s="33">
        <v>800</v>
      </c>
      <c r="D805" s="39" t="s">
        <v>539</v>
      </c>
      <c r="E805" s="33" t="s">
        <v>10</v>
      </c>
      <c r="F805" s="33">
        <v>2</v>
      </c>
      <c r="G805" s="33"/>
      <c r="H805" s="33">
        <f t="shared" si="105"/>
        <v>2</v>
      </c>
      <c r="I805" s="34" t="s">
        <v>258</v>
      </c>
      <c r="J805" s="99">
        <f>+'[2]Dự thầu'!$G504</f>
        <v>383011</v>
      </c>
      <c r="K805" s="98">
        <f t="shared" si="106"/>
        <v>766022</v>
      </c>
      <c r="L805" s="98">
        <f t="shared" si="107"/>
        <v>0</v>
      </c>
      <c r="M805" s="98">
        <f t="shared" si="108"/>
        <v>766022</v>
      </c>
      <c r="N805" s="100"/>
    </row>
    <row r="806" spans="1:15" ht="15.75" customHeight="1" x14ac:dyDescent="0.25">
      <c r="A806" s="52" t="str">
        <f t="shared" si="104"/>
        <v>HT</v>
      </c>
      <c r="B806" s="32" t="s">
        <v>1164</v>
      </c>
      <c r="C806" s="33">
        <v>801</v>
      </c>
      <c r="D806" s="39" t="s">
        <v>541</v>
      </c>
      <c r="E806" s="33" t="s">
        <v>10</v>
      </c>
      <c r="F806" s="33">
        <v>21</v>
      </c>
      <c r="G806" s="33"/>
      <c r="H806" s="33">
        <f t="shared" si="105"/>
        <v>21</v>
      </c>
      <c r="I806" s="34" t="s">
        <v>258</v>
      </c>
      <c r="J806" s="99">
        <f>+'[2]Dự thầu'!$G505</f>
        <v>308087</v>
      </c>
      <c r="K806" s="98">
        <f t="shared" si="106"/>
        <v>6469827</v>
      </c>
      <c r="L806" s="98">
        <f t="shared" si="107"/>
        <v>0</v>
      </c>
      <c r="M806" s="98">
        <f t="shared" si="108"/>
        <v>6469827</v>
      </c>
      <c r="N806" s="100"/>
    </row>
    <row r="807" spans="1:15" ht="15.75" customHeight="1" x14ac:dyDescent="0.25">
      <c r="A807" s="52" t="str">
        <f t="shared" si="104"/>
        <v>HT</v>
      </c>
      <c r="B807" s="32" t="s">
        <v>1165</v>
      </c>
      <c r="C807" s="33">
        <v>802</v>
      </c>
      <c r="D807" s="39" t="s">
        <v>1166</v>
      </c>
      <c r="E807" s="33" t="s">
        <v>10</v>
      </c>
      <c r="F807" s="33">
        <v>1</v>
      </c>
      <c r="G807" s="33"/>
      <c r="H807" s="33">
        <f t="shared" si="105"/>
        <v>1</v>
      </c>
      <c r="I807" s="34" t="s">
        <v>515</v>
      </c>
      <c r="J807" s="99">
        <f>+'[2]Dự thầu'!$G506</f>
        <v>40152</v>
      </c>
      <c r="K807" s="98">
        <f t="shared" si="106"/>
        <v>40152</v>
      </c>
      <c r="L807" s="98">
        <f t="shared" si="107"/>
        <v>0</v>
      </c>
      <c r="M807" s="98">
        <f t="shared" si="108"/>
        <v>40152</v>
      </c>
      <c r="N807" s="100"/>
    </row>
    <row r="808" spans="1:15" ht="15.75" customHeight="1" x14ac:dyDescent="0.25">
      <c r="A808" s="52" t="str">
        <f t="shared" si="104"/>
        <v>HT</v>
      </c>
      <c r="B808" s="32" t="s">
        <v>1167</v>
      </c>
      <c r="C808" s="33">
        <v>803</v>
      </c>
      <c r="D808" s="39" t="s">
        <v>543</v>
      </c>
      <c r="E808" s="33" t="s">
        <v>10</v>
      </c>
      <c r="F808" s="33">
        <v>359</v>
      </c>
      <c r="G808" s="33"/>
      <c r="H808" s="33">
        <f t="shared" si="105"/>
        <v>359</v>
      </c>
      <c r="I808" s="34" t="s">
        <v>258</v>
      </c>
      <c r="J808" s="99">
        <f>+'[2]Dự thầu'!$G507</f>
        <v>266456</v>
      </c>
      <c r="K808" s="98">
        <f t="shared" si="106"/>
        <v>95657704</v>
      </c>
      <c r="L808" s="98">
        <f t="shared" si="107"/>
        <v>0</v>
      </c>
      <c r="M808" s="98">
        <f t="shared" si="108"/>
        <v>95657704</v>
      </c>
      <c r="N808" s="100"/>
    </row>
    <row r="809" spans="1:15" ht="15.75" customHeight="1" x14ac:dyDescent="0.25">
      <c r="A809" s="52" t="str">
        <f t="shared" si="104"/>
        <v>HT</v>
      </c>
      <c r="B809" s="32" t="s">
        <v>1168</v>
      </c>
      <c r="C809" s="33">
        <v>804</v>
      </c>
      <c r="D809" s="39" t="s">
        <v>545</v>
      </c>
      <c r="E809" s="33" t="s">
        <v>10</v>
      </c>
      <c r="F809" s="33">
        <v>89</v>
      </c>
      <c r="G809" s="33"/>
      <c r="H809" s="33">
        <f t="shared" si="105"/>
        <v>89</v>
      </c>
      <c r="I809" s="34" t="s">
        <v>258</v>
      </c>
      <c r="J809" s="99">
        <f>+'[2]Dự thầu'!$G508</f>
        <v>50931</v>
      </c>
      <c r="K809" s="98">
        <f t="shared" si="106"/>
        <v>4532859</v>
      </c>
      <c r="L809" s="98">
        <f t="shared" si="107"/>
        <v>0</v>
      </c>
      <c r="M809" s="98">
        <f t="shared" si="108"/>
        <v>4532859</v>
      </c>
      <c r="N809" s="100"/>
    </row>
    <row r="810" spans="1:15" s="22" customFormat="1" ht="31.5" customHeight="1" x14ac:dyDescent="0.25">
      <c r="A810" s="52" t="str">
        <f t="shared" si="104"/>
        <v>HT</v>
      </c>
      <c r="B810" s="29">
        <v>13</v>
      </c>
      <c r="C810" s="30">
        <v>805</v>
      </c>
      <c r="D810" s="12" t="s">
        <v>1169</v>
      </c>
      <c r="E810" s="30" t="s">
        <v>10</v>
      </c>
      <c r="F810" s="30"/>
      <c r="G810" s="30"/>
      <c r="H810" s="30">
        <f t="shared" si="105"/>
        <v>0</v>
      </c>
      <c r="I810" s="31"/>
      <c r="J810" s="97"/>
      <c r="K810" s="35"/>
      <c r="L810" s="104"/>
      <c r="M810" s="104"/>
      <c r="N810" s="23"/>
      <c r="O810" s="104"/>
    </row>
    <row r="811" spans="1:15" ht="15.75" customHeight="1" x14ac:dyDescent="0.25">
      <c r="A811" s="52" t="str">
        <f t="shared" si="104"/>
        <v>HT</v>
      </c>
      <c r="B811" s="32" t="s">
        <v>1170</v>
      </c>
      <c r="C811" s="33">
        <v>806</v>
      </c>
      <c r="D811" s="39" t="s">
        <v>554</v>
      </c>
      <c r="E811" s="33" t="s">
        <v>10</v>
      </c>
      <c r="F811" s="33">
        <v>1.03</v>
      </c>
      <c r="G811" s="33"/>
      <c r="H811" s="33">
        <f t="shared" si="105"/>
        <v>1.03</v>
      </c>
      <c r="I811" s="34" t="s">
        <v>90</v>
      </c>
      <c r="J811" s="99">
        <f>+'[2]Dự thầu'!$G912</f>
        <v>28771832</v>
      </c>
      <c r="K811" s="98">
        <f t="shared" ref="K811:K842" si="109">+ROUND(J811*F811,0)</f>
        <v>29634987</v>
      </c>
      <c r="L811" s="98">
        <f t="shared" ref="L811:L842" si="110">+ROUND(G811*J811,0)</f>
        <v>0</v>
      </c>
      <c r="M811" s="98">
        <f t="shared" ref="M811:M842" si="111">+ROUND(H811*J811,0)</f>
        <v>29634987</v>
      </c>
      <c r="N811" s="100"/>
    </row>
    <row r="812" spans="1:15" ht="15.75" customHeight="1" x14ac:dyDescent="0.25">
      <c r="A812" s="52" t="str">
        <f t="shared" si="104"/>
        <v>HT</v>
      </c>
      <c r="B812" s="32" t="s">
        <v>1171</v>
      </c>
      <c r="C812" s="33">
        <v>807</v>
      </c>
      <c r="D812" s="39" t="s">
        <v>556</v>
      </c>
      <c r="E812" s="33" t="s">
        <v>10</v>
      </c>
      <c r="F812" s="33">
        <v>11.03</v>
      </c>
      <c r="G812" s="33"/>
      <c r="H812" s="33">
        <f t="shared" si="105"/>
        <v>11.03</v>
      </c>
      <c r="I812" s="34" t="s">
        <v>90</v>
      </c>
      <c r="J812" s="99">
        <f>+'[2]Dự thầu'!$G913</f>
        <v>27010601</v>
      </c>
      <c r="K812" s="98">
        <f t="shared" si="109"/>
        <v>297926929</v>
      </c>
      <c r="L812" s="98">
        <f t="shared" si="110"/>
        <v>0</v>
      </c>
      <c r="M812" s="98">
        <f t="shared" si="111"/>
        <v>297926929</v>
      </c>
      <c r="N812" s="100"/>
    </row>
    <row r="813" spans="1:15" ht="15.75" customHeight="1" x14ac:dyDescent="0.25">
      <c r="A813" s="52" t="str">
        <f t="shared" si="104"/>
        <v>HT</v>
      </c>
      <c r="B813" s="32" t="s">
        <v>1172</v>
      </c>
      <c r="C813" s="33">
        <v>808</v>
      </c>
      <c r="D813" s="39" t="s">
        <v>1173</v>
      </c>
      <c r="E813" s="33" t="s">
        <v>10</v>
      </c>
      <c r="F813" s="33">
        <v>0.19</v>
      </c>
      <c r="G813" s="33"/>
      <c r="H813" s="33">
        <f t="shared" si="105"/>
        <v>0.19</v>
      </c>
      <c r="I813" s="34" t="s">
        <v>90</v>
      </c>
      <c r="J813" s="99">
        <f>+'[2]Dự thầu'!$G914</f>
        <v>27010601</v>
      </c>
      <c r="K813" s="98">
        <f t="shared" si="109"/>
        <v>5132014</v>
      </c>
      <c r="L813" s="98">
        <f t="shared" si="110"/>
        <v>0</v>
      </c>
      <c r="M813" s="98">
        <f t="shared" si="111"/>
        <v>5132014</v>
      </c>
      <c r="N813" s="100"/>
    </row>
    <row r="814" spans="1:15" ht="15.75" customHeight="1" x14ac:dyDescent="0.25">
      <c r="A814" s="52" t="str">
        <f t="shared" si="104"/>
        <v>HT</v>
      </c>
      <c r="B814" s="32" t="s">
        <v>1174</v>
      </c>
      <c r="C814" s="33">
        <v>809</v>
      </c>
      <c r="D814" s="39" t="s">
        <v>558</v>
      </c>
      <c r="E814" s="33" t="s">
        <v>10</v>
      </c>
      <c r="F814" s="33">
        <v>85.68</v>
      </c>
      <c r="G814" s="33"/>
      <c r="H814" s="33">
        <f t="shared" si="105"/>
        <v>85.68</v>
      </c>
      <c r="I814" s="34" t="s">
        <v>16</v>
      </c>
      <c r="J814" s="99">
        <f>+'[2]Dự thầu'!$G915</f>
        <v>1877466</v>
      </c>
      <c r="K814" s="98">
        <f t="shared" si="109"/>
        <v>160861287</v>
      </c>
      <c r="L814" s="98">
        <f t="shared" si="110"/>
        <v>0</v>
      </c>
      <c r="M814" s="98">
        <f t="shared" si="111"/>
        <v>160861287</v>
      </c>
      <c r="N814" s="100"/>
    </row>
    <row r="815" spans="1:15" ht="15.75" customHeight="1" x14ac:dyDescent="0.25">
      <c r="A815" s="52" t="str">
        <f t="shared" si="104"/>
        <v>HT</v>
      </c>
      <c r="B815" s="32" t="s">
        <v>1175</v>
      </c>
      <c r="C815" s="33">
        <v>810</v>
      </c>
      <c r="D815" s="39" t="s">
        <v>641</v>
      </c>
      <c r="E815" s="33" t="s">
        <v>10</v>
      </c>
      <c r="F815" s="33">
        <v>620.16</v>
      </c>
      <c r="G815" s="33"/>
      <c r="H815" s="33">
        <f t="shared" si="105"/>
        <v>620.16</v>
      </c>
      <c r="I815" s="34" t="s">
        <v>13</v>
      </c>
      <c r="J815" s="99">
        <f>+'[2]Dự thầu'!$G916</f>
        <v>115728</v>
      </c>
      <c r="K815" s="98">
        <f t="shared" si="109"/>
        <v>71769876</v>
      </c>
      <c r="L815" s="98">
        <f t="shared" si="110"/>
        <v>0</v>
      </c>
      <c r="M815" s="98">
        <f t="shared" si="111"/>
        <v>71769876</v>
      </c>
      <c r="N815" s="100"/>
    </row>
    <row r="816" spans="1:15" ht="31.5" customHeight="1" x14ac:dyDescent="0.25">
      <c r="A816" s="52" t="str">
        <f t="shared" si="104"/>
        <v>HT</v>
      </c>
      <c r="B816" s="32" t="s">
        <v>1176</v>
      </c>
      <c r="C816" s="33">
        <v>811</v>
      </c>
      <c r="D816" s="39" t="s">
        <v>643</v>
      </c>
      <c r="E816" s="33" t="s">
        <v>10</v>
      </c>
      <c r="F816" s="33">
        <v>34</v>
      </c>
      <c r="G816" s="33"/>
      <c r="H816" s="33">
        <f t="shared" si="105"/>
        <v>34</v>
      </c>
      <c r="I816" s="34" t="s">
        <v>567</v>
      </c>
      <c r="J816" s="99">
        <f>+'[2]Dự thầu'!$G917</f>
        <v>561271</v>
      </c>
      <c r="K816" s="98">
        <f t="shared" si="109"/>
        <v>19083214</v>
      </c>
      <c r="L816" s="98">
        <f t="shared" si="110"/>
        <v>0</v>
      </c>
      <c r="M816" s="98">
        <f t="shared" si="111"/>
        <v>19083214</v>
      </c>
      <c r="N816" s="100"/>
    </row>
    <row r="817" spans="1:14" ht="47.25" customHeight="1" x14ac:dyDescent="0.25">
      <c r="A817" s="52" t="str">
        <f t="shared" si="104"/>
        <v>HT</v>
      </c>
      <c r="B817" s="32" t="s">
        <v>1177</v>
      </c>
      <c r="C817" s="33">
        <v>812</v>
      </c>
      <c r="D817" s="39" t="s">
        <v>569</v>
      </c>
      <c r="E817" s="33" t="s">
        <v>10</v>
      </c>
      <c r="F817" s="33">
        <v>34</v>
      </c>
      <c r="G817" s="33"/>
      <c r="H817" s="33">
        <f t="shared" si="105"/>
        <v>34</v>
      </c>
      <c r="I817" s="34" t="s">
        <v>250</v>
      </c>
      <c r="J817" s="99">
        <f>+'[2]Dự thầu'!$G918</f>
        <v>129899</v>
      </c>
      <c r="K817" s="98">
        <f t="shared" si="109"/>
        <v>4416566</v>
      </c>
      <c r="L817" s="98">
        <f t="shared" si="110"/>
        <v>0</v>
      </c>
      <c r="M817" s="98">
        <f t="shared" si="111"/>
        <v>4416566</v>
      </c>
      <c r="N817" s="100"/>
    </row>
    <row r="818" spans="1:14" ht="47.25" customHeight="1" x14ac:dyDescent="0.25">
      <c r="A818" s="52" t="str">
        <f t="shared" si="104"/>
        <v>HT</v>
      </c>
      <c r="B818" s="32" t="s">
        <v>1178</v>
      </c>
      <c r="C818" s="33">
        <v>813</v>
      </c>
      <c r="D818" s="39" t="s">
        <v>571</v>
      </c>
      <c r="E818" s="33" t="s">
        <v>10</v>
      </c>
      <c r="F818" s="33">
        <v>34</v>
      </c>
      <c r="G818" s="33"/>
      <c r="H818" s="33">
        <f t="shared" si="105"/>
        <v>34</v>
      </c>
      <c r="I818" s="34" t="s">
        <v>250</v>
      </c>
      <c r="J818" s="99">
        <f>+'[2]Dự thầu'!$G919</f>
        <v>91827</v>
      </c>
      <c r="K818" s="98">
        <f t="shared" si="109"/>
        <v>3122118</v>
      </c>
      <c r="L818" s="98">
        <f t="shared" si="110"/>
        <v>0</v>
      </c>
      <c r="M818" s="98">
        <f t="shared" si="111"/>
        <v>3122118</v>
      </c>
      <c r="N818" s="100"/>
    </row>
    <row r="819" spans="1:14" ht="31.5" customHeight="1" x14ac:dyDescent="0.25">
      <c r="A819" s="52" t="str">
        <f t="shared" si="104"/>
        <v>HT</v>
      </c>
      <c r="B819" s="32" t="s">
        <v>1179</v>
      </c>
      <c r="C819" s="33">
        <v>814</v>
      </c>
      <c r="D819" s="39" t="s">
        <v>647</v>
      </c>
      <c r="E819" s="33" t="s">
        <v>10</v>
      </c>
      <c r="F819" s="33">
        <v>21.42</v>
      </c>
      <c r="G819" s="33"/>
      <c r="H819" s="33">
        <f t="shared" si="105"/>
        <v>21.42</v>
      </c>
      <c r="I819" s="34" t="s">
        <v>253</v>
      </c>
      <c r="J819" s="99">
        <f>+'[2]Dự thầu'!$G920</f>
        <v>36181</v>
      </c>
      <c r="K819" s="98">
        <f t="shared" si="109"/>
        <v>774997</v>
      </c>
      <c r="L819" s="98">
        <f t="shared" si="110"/>
        <v>0</v>
      </c>
      <c r="M819" s="98">
        <f t="shared" si="111"/>
        <v>774997</v>
      </c>
      <c r="N819" s="100"/>
    </row>
    <row r="820" spans="1:14" ht="15.75" customHeight="1" x14ac:dyDescent="0.25">
      <c r="A820" s="52" t="str">
        <f t="shared" si="104"/>
        <v>HT</v>
      </c>
      <c r="B820" s="32" t="s">
        <v>1180</v>
      </c>
      <c r="C820" s="33">
        <v>815</v>
      </c>
      <c r="D820" s="39" t="s">
        <v>576</v>
      </c>
      <c r="E820" s="33" t="s">
        <v>10</v>
      </c>
      <c r="F820" s="33">
        <v>18.27</v>
      </c>
      <c r="G820" s="33"/>
      <c r="H820" s="33">
        <f t="shared" si="105"/>
        <v>18.27</v>
      </c>
      <c r="I820" s="34" t="s">
        <v>16</v>
      </c>
      <c r="J820" s="99">
        <f>+'[2]Dự thầu'!$G921</f>
        <v>1731173</v>
      </c>
      <c r="K820" s="98">
        <f t="shared" si="109"/>
        <v>31628531</v>
      </c>
      <c r="L820" s="98">
        <f t="shared" si="110"/>
        <v>0</v>
      </c>
      <c r="M820" s="98">
        <f t="shared" si="111"/>
        <v>31628531</v>
      </c>
      <c r="N820" s="100"/>
    </row>
    <row r="821" spans="1:14" ht="15.75" customHeight="1" x14ac:dyDescent="0.25">
      <c r="A821" s="52" t="str">
        <f t="shared" si="104"/>
        <v>HT</v>
      </c>
      <c r="B821" s="32" t="s">
        <v>1181</v>
      </c>
      <c r="C821" s="33">
        <v>816</v>
      </c>
      <c r="D821" s="39" t="s">
        <v>578</v>
      </c>
      <c r="E821" s="33" t="s">
        <v>10</v>
      </c>
      <c r="F821" s="33">
        <v>1.08</v>
      </c>
      <c r="G821" s="33"/>
      <c r="H821" s="33">
        <f t="shared" si="105"/>
        <v>1.08</v>
      </c>
      <c r="I821" s="34" t="s">
        <v>90</v>
      </c>
      <c r="J821" s="99">
        <f>+'[2]Dự thầu'!$G922</f>
        <v>28103452</v>
      </c>
      <c r="K821" s="98">
        <f t="shared" si="109"/>
        <v>30351728</v>
      </c>
      <c r="L821" s="98">
        <f t="shared" si="110"/>
        <v>0</v>
      </c>
      <c r="M821" s="98">
        <f t="shared" si="111"/>
        <v>30351728</v>
      </c>
      <c r="N821" s="100"/>
    </row>
    <row r="822" spans="1:14" ht="15.75" customHeight="1" x14ac:dyDescent="0.25">
      <c r="A822" s="52" t="str">
        <f t="shared" si="104"/>
        <v>HT</v>
      </c>
      <c r="B822" s="32" t="s">
        <v>1182</v>
      </c>
      <c r="C822" s="33">
        <v>817</v>
      </c>
      <c r="D822" s="39" t="s">
        <v>651</v>
      </c>
      <c r="E822" s="33" t="s">
        <v>10</v>
      </c>
      <c r="F822" s="33">
        <v>36.96</v>
      </c>
      <c r="G822" s="33"/>
      <c r="H822" s="33">
        <f t="shared" si="105"/>
        <v>36.96</v>
      </c>
      <c r="I822" s="34" t="s">
        <v>13</v>
      </c>
      <c r="J822" s="99">
        <f>+'[2]Dự thầu'!$G923</f>
        <v>86606</v>
      </c>
      <c r="K822" s="98">
        <f t="shared" si="109"/>
        <v>3200958</v>
      </c>
      <c r="L822" s="98">
        <f t="shared" si="110"/>
        <v>0</v>
      </c>
      <c r="M822" s="98">
        <f t="shared" si="111"/>
        <v>3200958</v>
      </c>
      <c r="N822" s="100"/>
    </row>
    <row r="823" spans="1:14" ht="31.5" customHeight="1" x14ac:dyDescent="0.25">
      <c r="A823" s="52" t="str">
        <f t="shared" si="104"/>
        <v>HT</v>
      </c>
      <c r="B823" s="32" t="s">
        <v>1183</v>
      </c>
      <c r="C823" s="33">
        <v>818</v>
      </c>
      <c r="D823" s="39" t="s">
        <v>653</v>
      </c>
      <c r="E823" s="33" t="s">
        <v>10</v>
      </c>
      <c r="F823" s="33">
        <v>21</v>
      </c>
      <c r="G823" s="33"/>
      <c r="H823" s="33">
        <f t="shared" si="105"/>
        <v>21</v>
      </c>
      <c r="I823" s="34" t="s">
        <v>258</v>
      </c>
      <c r="J823" s="99">
        <f>+'[2]Dự thầu'!$G924</f>
        <v>231535</v>
      </c>
      <c r="K823" s="98">
        <f t="shared" si="109"/>
        <v>4862235</v>
      </c>
      <c r="L823" s="98">
        <f t="shared" si="110"/>
        <v>0</v>
      </c>
      <c r="M823" s="98">
        <f t="shared" si="111"/>
        <v>4862235</v>
      </c>
      <c r="N823" s="100"/>
    </row>
    <row r="824" spans="1:14" ht="47.25" customHeight="1" x14ac:dyDescent="0.25">
      <c r="A824" s="52" t="str">
        <f t="shared" si="104"/>
        <v>HT</v>
      </c>
      <c r="B824" s="32" t="s">
        <v>1184</v>
      </c>
      <c r="C824" s="33">
        <v>819</v>
      </c>
      <c r="D824" s="39" t="s">
        <v>569</v>
      </c>
      <c r="E824" s="33" t="s">
        <v>10</v>
      </c>
      <c r="F824" s="33">
        <v>21</v>
      </c>
      <c r="G824" s="33"/>
      <c r="H824" s="33">
        <f t="shared" si="105"/>
        <v>21</v>
      </c>
      <c r="I824" s="34" t="s">
        <v>250</v>
      </c>
      <c r="J824" s="99">
        <f>+'[2]Dự thầu'!$G925</f>
        <v>113802</v>
      </c>
      <c r="K824" s="98">
        <f t="shared" si="109"/>
        <v>2389842</v>
      </c>
      <c r="L824" s="98">
        <f t="shared" si="110"/>
        <v>0</v>
      </c>
      <c r="M824" s="98">
        <f t="shared" si="111"/>
        <v>2389842</v>
      </c>
      <c r="N824" s="100"/>
    </row>
    <row r="825" spans="1:14" ht="47.25" customHeight="1" x14ac:dyDescent="0.25">
      <c r="A825" s="52" t="str">
        <f t="shared" si="104"/>
        <v>HT</v>
      </c>
      <c r="B825" s="32" t="s">
        <v>1185</v>
      </c>
      <c r="C825" s="33">
        <v>820</v>
      </c>
      <c r="D825" s="39" t="s">
        <v>571</v>
      </c>
      <c r="E825" s="33" t="s">
        <v>10</v>
      </c>
      <c r="F825" s="33">
        <v>21</v>
      </c>
      <c r="G825" s="33"/>
      <c r="H825" s="33">
        <f t="shared" si="105"/>
        <v>21</v>
      </c>
      <c r="I825" s="34" t="s">
        <v>250</v>
      </c>
      <c r="J825" s="99">
        <f>+'[2]Dự thầu'!$G926</f>
        <v>91827</v>
      </c>
      <c r="K825" s="98">
        <f t="shared" si="109"/>
        <v>1928367</v>
      </c>
      <c r="L825" s="98">
        <f t="shared" si="110"/>
        <v>0</v>
      </c>
      <c r="M825" s="98">
        <f t="shared" si="111"/>
        <v>1928367</v>
      </c>
      <c r="N825" s="100"/>
    </row>
    <row r="826" spans="1:14" ht="31.5" customHeight="1" x14ac:dyDescent="0.25">
      <c r="A826" s="52" t="str">
        <f t="shared" si="104"/>
        <v>HT</v>
      </c>
      <c r="B826" s="32" t="s">
        <v>1186</v>
      </c>
      <c r="C826" s="33">
        <v>821</v>
      </c>
      <c r="D826" s="39" t="s">
        <v>573</v>
      </c>
      <c r="E826" s="33" t="s">
        <v>10</v>
      </c>
      <c r="F826" s="33">
        <v>4.57</v>
      </c>
      <c r="G826" s="33"/>
      <c r="H826" s="33">
        <f t="shared" si="105"/>
        <v>4.57</v>
      </c>
      <c r="I826" s="34" t="s">
        <v>253</v>
      </c>
      <c r="J826" s="99">
        <f>+'[2]Dự thầu'!$G927</f>
        <v>36181</v>
      </c>
      <c r="K826" s="98">
        <f t="shared" si="109"/>
        <v>165347</v>
      </c>
      <c r="L826" s="98">
        <f t="shared" si="110"/>
        <v>0</v>
      </c>
      <c r="M826" s="98">
        <f t="shared" si="111"/>
        <v>165347</v>
      </c>
      <c r="N826" s="100"/>
    </row>
    <row r="827" spans="1:14" ht="15.75" customHeight="1" x14ac:dyDescent="0.25">
      <c r="A827" s="52" t="str">
        <f t="shared" si="104"/>
        <v>HT</v>
      </c>
      <c r="B827" s="32" t="s">
        <v>1187</v>
      </c>
      <c r="C827" s="33">
        <v>822</v>
      </c>
      <c r="D827" s="39" t="s">
        <v>587</v>
      </c>
      <c r="E827" s="33" t="s">
        <v>10</v>
      </c>
      <c r="F827" s="33">
        <v>11.28</v>
      </c>
      <c r="G827" s="33"/>
      <c r="H827" s="33">
        <f t="shared" si="105"/>
        <v>11.28</v>
      </c>
      <c r="I827" s="34" t="s">
        <v>16</v>
      </c>
      <c r="J827" s="99">
        <f>+'[2]Dự thầu'!$G928</f>
        <v>851305</v>
      </c>
      <c r="K827" s="98">
        <f t="shared" si="109"/>
        <v>9602720</v>
      </c>
      <c r="L827" s="98">
        <f t="shared" si="110"/>
        <v>0</v>
      </c>
      <c r="M827" s="98">
        <f t="shared" si="111"/>
        <v>9602720</v>
      </c>
      <c r="N827" s="100"/>
    </row>
    <row r="828" spans="1:14" ht="15.75" customHeight="1" x14ac:dyDescent="0.25">
      <c r="A828" s="52" t="str">
        <f t="shared" si="104"/>
        <v>HT</v>
      </c>
      <c r="B828" s="32" t="s">
        <v>1188</v>
      </c>
      <c r="C828" s="33">
        <v>823</v>
      </c>
      <c r="D828" s="39" t="s">
        <v>744</v>
      </c>
      <c r="E828" s="33" t="s">
        <v>10</v>
      </c>
      <c r="F828" s="33">
        <v>20.79</v>
      </c>
      <c r="G828" s="33"/>
      <c r="H828" s="33">
        <f t="shared" si="105"/>
        <v>20.79</v>
      </c>
      <c r="I828" s="34" t="s">
        <v>16</v>
      </c>
      <c r="J828" s="99">
        <f>+'[2]Dự thầu'!$G929</f>
        <v>1713814</v>
      </c>
      <c r="K828" s="98">
        <f t="shared" si="109"/>
        <v>35630193</v>
      </c>
      <c r="L828" s="98">
        <f t="shared" si="110"/>
        <v>0</v>
      </c>
      <c r="M828" s="98">
        <f t="shared" si="111"/>
        <v>35630193</v>
      </c>
      <c r="N828" s="100"/>
    </row>
    <row r="829" spans="1:14" ht="15.75" customHeight="1" x14ac:dyDescent="0.25">
      <c r="A829" s="52" t="str">
        <f t="shared" si="104"/>
        <v>HT</v>
      </c>
      <c r="B829" s="32" t="s">
        <v>1189</v>
      </c>
      <c r="C829" s="33">
        <v>824</v>
      </c>
      <c r="D829" s="39" t="s">
        <v>746</v>
      </c>
      <c r="E829" s="33" t="s">
        <v>10</v>
      </c>
      <c r="F829" s="33">
        <v>0.59</v>
      </c>
      <c r="G829" s="33"/>
      <c r="H829" s="33">
        <f t="shared" si="105"/>
        <v>0.59</v>
      </c>
      <c r="I829" s="34" t="s">
        <v>90</v>
      </c>
      <c r="J829" s="99">
        <f>+'[2]Dự thầu'!$G930</f>
        <v>28103452</v>
      </c>
      <c r="K829" s="98">
        <f t="shared" si="109"/>
        <v>16581037</v>
      </c>
      <c r="L829" s="98">
        <f t="shared" si="110"/>
        <v>0</v>
      </c>
      <c r="M829" s="98">
        <f t="shared" si="111"/>
        <v>16581037</v>
      </c>
      <c r="N829" s="100"/>
    </row>
    <row r="830" spans="1:14" ht="15.75" customHeight="1" x14ac:dyDescent="0.25">
      <c r="A830" s="52" t="str">
        <f t="shared" si="104"/>
        <v>HT</v>
      </c>
      <c r="B830" s="32" t="s">
        <v>1190</v>
      </c>
      <c r="C830" s="33">
        <v>825</v>
      </c>
      <c r="D830" s="39" t="s">
        <v>748</v>
      </c>
      <c r="E830" s="33" t="s">
        <v>10</v>
      </c>
      <c r="F830" s="33">
        <v>2.57</v>
      </c>
      <c r="G830" s="33"/>
      <c r="H830" s="33">
        <f t="shared" si="105"/>
        <v>2.57</v>
      </c>
      <c r="I830" s="34" t="s">
        <v>90</v>
      </c>
      <c r="J830" s="99">
        <f>+'[2]Dự thầu'!$G931</f>
        <v>26818404</v>
      </c>
      <c r="K830" s="98">
        <f t="shared" si="109"/>
        <v>68923298</v>
      </c>
      <c r="L830" s="98">
        <f t="shared" si="110"/>
        <v>0</v>
      </c>
      <c r="M830" s="98">
        <f t="shared" si="111"/>
        <v>68923298</v>
      </c>
      <c r="N830" s="100"/>
    </row>
    <row r="831" spans="1:14" ht="15.75" customHeight="1" x14ac:dyDescent="0.25">
      <c r="A831" s="52" t="str">
        <f t="shared" si="104"/>
        <v>HT</v>
      </c>
      <c r="B831" s="32" t="s">
        <v>1191</v>
      </c>
      <c r="C831" s="33">
        <v>826</v>
      </c>
      <c r="D831" s="39" t="s">
        <v>752</v>
      </c>
      <c r="E831" s="33" t="s">
        <v>10</v>
      </c>
      <c r="F831" s="33">
        <v>62.79</v>
      </c>
      <c r="G831" s="33"/>
      <c r="H831" s="33">
        <f t="shared" si="105"/>
        <v>62.79</v>
      </c>
      <c r="I831" s="34" t="s">
        <v>13</v>
      </c>
      <c r="J831" s="99">
        <f>+'[2]Dự thầu'!$G932</f>
        <v>86606</v>
      </c>
      <c r="K831" s="98">
        <f t="shared" si="109"/>
        <v>5437991</v>
      </c>
      <c r="L831" s="98">
        <f t="shared" si="110"/>
        <v>0</v>
      </c>
      <c r="M831" s="98">
        <f t="shared" si="111"/>
        <v>5437991</v>
      </c>
      <c r="N831" s="100"/>
    </row>
    <row r="832" spans="1:14" ht="15.75" customHeight="1" x14ac:dyDescent="0.25">
      <c r="A832" s="52" t="str">
        <f t="shared" si="104"/>
        <v>HT</v>
      </c>
      <c r="B832" s="32" t="s">
        <v>1192</v>
      </c>
      <c r="C832" s="33">
        <v>827</v>
      </c>
      <c r="D832" s="39" t="s">
        <v>581</v>
      </c>
      <c r="E832" s="33" t="s">
        <v>10</v>
      </c>
      <c r="F832" s="33">
        <v>42</v>
      </c>
      <c r="G832" s="33"/>
      <c r="H832" s="33">
        <f t="shared" si="105"/>
        <v>42</v>
      </c>
      <c r="I832" s="34" t="s">
        <v>297</v>
      </c>
      <c r="J832" s="99">
        <f>+'[2]Dự thầu'!$G933</f>
        <v>36395</v>
      </c>
      <c r="K832" s="98">
        <f t="shared" si="109"/>
        <v>1528590</v>
      </c>
      <c r="L832" s="98">
        <f t="shared" si="110"/>
        <v>0</v>
      </c>
      <c r="M832" s="98">
        <f t="shared" si="111"/>
        <v>1528590</v>
      </c>
      <c r="N832" s="100"/>
    </row>
    <row r="833" spans="1:14" ht="47.25" customHeight="1" x14ac:dyDescent="0.25">
      <c r="A833" s="52" t="str">
        <f t="shared" si="104"/>
        <v>HT</v>
      </c>
      <c r="B833" s="32" t="s">
        <v>1193</v>
      </c>
      <c r="C833" s="33">
        <v>828</v>
      </c>
      <c r="D833" s="39" t="s">
        <v>349</v>
      </c>
      <c r="E833" s="33" t="s">
        <v>10</v>
      </c>
      <c r="F833" s="33">
        <v>42</v>
      </c>
      <c r="G833" s="33"/>
      <c r="H833" s="33">
        <f t="shared" si="105"/>
        <v>42</v>
      </c>
      <c r="I833" s="34" t="s">
        <v>250</v>
      </c>
      <c r="J833" s="99">
        <f>+'[2]Dự thầu'!$G934</f>
        <v>79217</v>
      </c>
      <c r="K833" s="98">
        <f t="shared" si="109"/>
        <v>3327114</v>
      </c>
      <c r="L833" s="98">
        <f t="shared" si="110"/>
        <v>0</v>
      </c>
      <c r="M833" s="98">
        <f t="shared" si="111"/>
        <v>3327114</v>
      </c>
      <c r="N833" s="100"/>
    </row>
    <row r="834" spans="1:14" ht="47.25" customHeight="1" x14ac:dyDescent="0.25">
      <c r="A834" s="52" t="str">
        <f t="shared" si="104"/>
        <v>HT</v>
      </c>
      <c r="B834" s="32" t="s">
        <v>1194</v>
      </c>
      <c r="C834" s="33">
        <v>829</v>
      </c>
      <c r="D834" s="39" t="s">
        <v>351</v>
      </c>
      <c r="E834" s="33" t="s">
        <v>10</v>
      </c>
      <c r="F834" s="33">
        <v>42</v>
      </c>
      <c r="G834" s="33"/>
      <c r="H834" s="33">
        <f t="shared" si="105"/>
        <v>42</v>
      </c>
      <c r="I834" s="34" t="s">
        <v>250</v>
      </c>
      <c r="J834" s="99">
        <f>+'[2]Dự thầu'!$G935</f>
        <v>65424</v>
      </c>
      <c r="K834" s="98">
        <f t="shared" si="109"/>
        <v>2747808</v>
      </c>
      <c r="L834" s="98">
        <f t="shared" si="110"/>
        <v>0</v>
      </c>
      <c r="M834" s="98">
        <f t="shared" si="111"/>
        <v>2747808</v>
      </c>
      <c r="N834" s="100"/>
    </row>
    <row r="835" spans="1:14" ht="31.5" customHeight="1" x14ac:dyDescent="0.25">
      <c r="A835" s="52" t="str">
        <f t="shared" si="104"/>
        <v>HT</v>
      </c>
      <c r="B835" s="32" t="s">
        <v>1195</v>
      </c>
      <c r="C835" s="33">
        <v>830</v>
      </c>
      <c r="D835" s="39" t="s">
        <v>647</v>
      </c>
      <c r="E835" s="33" t="s">
        <v>10</v>
      </c>
      <c r="F835" s="33">
        <v>5.2</v>
      </c>
      <c r="G835" s="33"/>
      <c r="H835" s="33">
        <f t="shared" si="105"/>
        <v>5.2</v>
      </c>
      <c r="I835" s="34" t="s">
        <v>253</v>
      </c>
      <c r="J835" s="99">
        <f>+'[2]Dự thầu'!$G936</f>
        <v>36181</v>
      </c>
      <c r="K835" s="98">
        <f t="shared" si="109"/>
        <v>188141</v>
      </c>
      <c r="L835" s="98">
        <f t="shared" si="110"/>
        <v>0</v>
      </c>
      <c r="M835" s="98">
        <f t="shared" si="111"/>
        <v>188141</v>
      </c>
      <c r="N835" s="100"/>
    </row>
    <row r="836" spans="1:14" ht="15.75" customHeight="1" x14ac:dyDescent="0.25">
      <c r="A836" s="52" t="str">
        <f t="shared" si="104"/>
        <v>HT</v>
      </c>
      <c r="B836" s="32" t="s">
        <v>1196</v>
      </c>
      <c r="C836" s="33">
        <v>831</v>
      </c>
      <c r="D836" s="39" t="s">
        <v>661</v>
      </c>
      <c r="E836" s="33" t="s">
        <v>10</v>
      </c>
      <c r="F836" s="33">
        <v>1.0900000000000001</v>
      </c>
      <c r="G836" s="33"/>
      <c r="H836" s="33">
        <f t="shared" si="105"/>
        <v>1.0900000000000001</v>
      </c>
      <c r="I836" s="34" t="s">
        <v>13</v>
      </c>
      <c r="J836" s="99">
        <f>+'[2]Dự thầu'!$G937</f>
        <v>43066</v>
      </c>
      <c r="K836" s="98">
        <f t="shared" si="109"/>
        <v>46942</v>
      </c>
      <c r="L836" s="98">
        <f t="shared" si="110"/>
        <v>0</v>
      </c>
      <c r="M836" s="98">
        <f t="shared" si="111"/>
        <v>46942</v>
      </c>
      <c r="N836" s="100"/>
    </row>
    <row r="837" spans="1:14" ht="15.75" customHeight="1" x14ac:dyDescent="0.25">
      <c r="A837" s="52" t="str">
        <f t="shared" si="104"/>
        <v>HT</v>
      </c>
      <c r="B837" s="32" t="s">
        <v>1197</v>
      </c>
      <c r="C837" s="33">
        <v>832</v>
      </c>
      <c r="D837" s="39" t="s">
        <v>591</v>
      </c>
      <c r="E837" s="33" t="s">
        <v>10</v>
      </c>
      <c r="F837" s="33">
        <v>255</v>
      </c>
      <c r="G837" s="33"/>
      <c r="H837" s="33">
        <f t="shared" si="105"/>
        <v>255</v>
      </c>
      <c r="I837" s="34" t="s">
        <v>13</v>
      </c>
      <c r="J837" s="99">
        <f>+'[2]Dự thầu'!$G938</f>
        <v>76805</v>
      </c>
      <c r="K837" s="98">
        <f t="shared" si="109"/>
        <v>19585275</v>
      </c>
      <c r="L837" s="98">
        <f t="shared" si="110"/>
        <v>0</v>
      </c>
      <c r="M837" s="98">
        <f t="shared" si="111"/>
        <v>19585275</v>
      </c>
      <c r="N837" s="100"/>
    </row>
    <row r="838" spans="1:14" ht="15.75" customHeight="1" x14ac:dyDescent="0.25">
      <c r="A838" s="52" t="str">
        <f t="shared" si="104"/>
        <v>HT</v>
      </c>
      <c r="B838" s="32" t="s">
        <v>1198</v>
      </c>
      <c r="C838" s="33">
        <v>833</v>
      </c>
      <c r="D838" s="39" t="s">
        <v>664</v>
      </c>
      <c r="E838" s="33" t="s">
        <v>10</v>
      </c>
      <c r="F838" s="33">
        <v>14.96</v>
      </c>
      <c r="G838" s="33"/>
      <c r="H838" s="33">
        <f t="shared" si="105"/>
        <v>14.96</v>
      </c>
      <c r="I838" s="34" t="s">
        <v>16</v>
      </c>
      <c r="J838" s="99">
        <f>+'[2]Dự thầu'!$G939</f>
        <v>1830356</v>
      </c>
      <c r="K838" s="98">
        <f t="shared" si="109"/>
        <v>27382126</v>
      </c>
      <c r="L838" s="98">
        <f t="shared" si="110"/>
        <v>0</v>
      </c>
      <c r="M838" s="98">
        <f t="shared" si="111"/>
        <v>27382126</v>
      </c>
      <c r="N838" s="100"/>
    </row>
    <row r="839" spans="1:14" ht="15.75" customHeight="1" x14ac:dyDescent="0.25">
      <c r="A839" s="52" t="str">
        <f t="shared" si="104"/>
        <v>HT</v>
      </c>
      <c r="B839" s="32" t="s">
        <v>1199</v>
      </c>
      <c r="C839" s="33">
        <v>834</v>
      </c>
      <c r="D839" s="39" t="s">
        <v>595</v>
      </c>
      <c r="E839" s="33" t="s">
        <v>10</v>
      </c>
      <c r="F839" s="33">
        <v>36.130000000000003</v>
      </c>
      <c r="G839" s="33"/>
      <c r="H839" s="33">
        <f t="shared" si="105"/>
        <v>36.130000000000003</v>
      </c>
      <c r="I839" s="34" t="s">
        <v>16</v>
      </c>
      <c r="J839" s="99">
        <f>+'[2]Dự thầu'!$G940</f>
        <v>1152109</v>
      </c>
      <c r="K839" s="98">
        <f t="shared" si="109"/>
        <v>41625698</v>
      </c>
      <c r="L839" s="98">
        <f t="shared" si="110"/>
        <v>0</v>
      </c>
      <c r="M839" s="98">
        <f t="shared" si="111"/>
        <v>41625698</v>
      </c>
      <c r="N839" s="100"/>
    </row>
    <row r="840" spans="1:14" ht="15.75" customHeight="1" x14ac:dyDescent="0.25">
      <c r="A840" s="52" t="str">
        <f t="shared" si="104"/>
        <v>HT</v>
      </c>
      <c r="B840" s="32" t="s">
        <v>1200</v>
      </c>
      <c r="C840" s="33">
        <v>835</v>
      </c>
      <c r="D840" s="39" t="s">
        <v>597</v>
      </c>
      <c r="E840" s="33" t="s">
        <v>10</v>
      </c>
      <c r="F840" s="33">
        <v>55.52</v>
      </c>
      <c r="G840" s="33"/>
      <c r="H840" s="33">
        <f t="shared" si="105"/>
        <v>55.52</v>
      </c>
      <c r="I840" s="34" t="s">
        <v>13</v>
      </c>
      <c r="J840" s="99">
        <f>+'[2]Dự thầu'!$G941</f>
        <v>103945</v>
      </c>
      <c r="K840" s="98">
        <f t="shared" si="109"/>
        <v>5771026</v>
      </c>
      <c r="L840" s="98">
        <f t="shared" si="110"/>
        <v>0</v>
      </c>
      <c r="M840" s="98">
        <f t="shared" si="111"/>
        <v>5771026</v>
      </c>
      <c r="N840" s="100"/>
    </row>
    <row r="841" spans="1:14" ht="15.75" customHeight="1" x14ac:dyDescent="0.25">
      <c r="A841" s="52" t="str">
        <f t="shared" si="104"/>
        <v>HT</v>
      </c>
      <c r="B841" s="32" t="s">
        <v>1201</v>
      </c>
      <c r="C841" s="33">
        <v>836</v>
      </c>
      <c r="D841" s="39" t="s">
        <v>599</v>
      </c>
      <c r="E841" s="33" t="s">
        <v>10</v>
      </c>
      <c r="F841" s="33">
        <v>84.33</v>
      </c>
      <c r="G841" s="33"/>
      <c r="H841" s="33">
        <f t="shared" si="105"/>
        <v>84.33</v>
      </c>
      <c r="I841" s="34" t="s">
        <v>13</v>
      </c>
      <c r="J841" s="99">
        <f>+'[2]Dự thầu'!$G942</f>
        <v>141724</v>
      </c>
      <c r="K841" s="98">
        <f t="shared" si="109"/>
        <v>11951585</v>
      </c>
      <c r="L841" s="98">
        <f t="shared" si="110"/>
        <v>0</v>
      </c>
      <c r="M841" s="98">
        <f t="shared" si="111"/>
        <v>11951585</v>
      </c>
      <c r="N841" s="100"/>
    </row>
    <row r="842" spans="1:14" ht="15.75" customHeight="1" x14ac:dyDescent="0.25">
      <c r="A842" s="52" t="str">
        <f t="shared" si="104"/>
        <v>HT</v>
      </c>
      <c r="B842" s="32" t="s">
        <v>1202</v>
      </c>
      <c r="C842" s="33">
        <v>837</v>
      </c>
      <c r="D842" s="39" t="s">
        <v>587</v>
      </c>
      <c r="E842" s="33" t="s">
        <v>10</v>
      </c>
      <c r="F842" s="33">
        <v>4.0199999999999996</v>
      </c>
      <c r="G842" s="33"/>
      <c r="H842" s="33">
        <f t="shared" si="105"/>
        <v>4.0199999999999996</v>
      </c>
      <c r="I842" s="34" t="s">
        <v>16</v>
      </c>
      <c r="J842" s="99">
        <f>+'[2]Dự thầu'!$G943</f>
        <v>851305</v>
      </c>
      <c r="K842" s="98">
        <f t="shared" si="109"/>
        <v>3422246</v>
      </c>
      <c r="L842" s="98">
        <f t="shared" si="110"/>
        <v>0</v>
      </c>
      <c r="M842" s="98">
        <f t="shared" si="111"/>
        <v>3422246</v>
      </c>
      <c r="N842" s="100"/>
    </row>
    <row r="843" spans="1:14" ht="15.75" customHeight="1" x14ac:dyDescent="0.25">
      <c r="A843" s="52" t="str">
        <f t="shared" si="104"/>
        <v>HT</v>
      </c>
      <c r="B843" s="32" t="s">
        <v>1203</v>
      </c>
      <c r="C843" s="33">
        <v>838</v>
      </c>
      <c r="D843" s="39" t="s">
        <v>670</v>
      </c>
      <c r="E843" s="33" t="s">
        <v>10</v>
      </c>
      <c r="F843" s="33">
        <v>46.43</v>
      </c>
      <c r="G843" s="33"/>
      <c r="H843" s="33">
        <f t="shared" si="105"/>
        <v>46.43</v>
      </c>
      <c r="I843" s="34" t="s">
        <v>16</v>
      </c>
      <c r="J843" s="99">
        <f>+'[2]Dự thầu'!$G944</f>
        <v>1252250</v>
      </c>
      <c r="K843" s="98">
        <f t="shared" ref="K843:K874" si="112">+ROUND(J843*F843,0)</f>
        <v>58141968</v>
      </c>
      <c r="L843" s="98">
        <f t="shared" ref="L843:L874" si="113">+ROUND(G843*J843,0)</f>
        <v>0</v>
      </c>
      <c r="M843" s="98">
        <f t="shared" ref="M843:M874" si="114">+ROUND(H843*J843,0)</f>
        <v>58141968</v>
      </c>
      <c r="N843" s="100"/>
    </row>
    <row r="844" spans="1:14" ht="15.75" customHeight="1" x14ac:dyDescent="0.25">
      <c r="A844" s="52" t="str">
        <f t="shared" si="104"/>
        <v>HT</v>
      </c>
      <c r="B844" s="32" t="s">
        <v>1204</v>
      </c>
      <c r="C844" s="33">
        <v>839</v>
      </c>
      <c r="D844" s="39" t="s">
        <v>587</v>
      </c>
      <c r="E844" s="33" t="s">
        <v>10</v>
      </c>
      <c r="F844" s="33">
        <v>18.57</v>
      </c>
      <c r="G844" s="33"/>
      <c r="H844" s="33">
        <f t="shared" si="105"/>
        <v>18.57</v>
      </c>
      <c r="I844" s="34" t="s">
        <v>16</v>
      </c>
      <c r="J844" s="99">
        <f>+'[2]Dự thầu'!$G945</f>
        <v>851305</v>
      </c>
      <c r="K844" s="98">
        <f t="shared" si="112"/>
        <v>15808734</v>
      </c>
      <c r="L844" s="98">
        <f t="shared" si="113"/>
        <v>0</v>
      </c>
      <c r="M844" s="98">
        <f t="shared" si="114"/>
        <v>15808734</v>
      </c>
      <c r="N844" s="100"/>
    </row>
    <row r="845" spans="1:14" ht="15.75" customHeight="1" x14ac:dyDescent="0.25">
      <c r="A845" s="52" t="str">
        <f t="shared" si="104"/>
        <v>HT</v>
      </c>
      <c r="B845" s="32" t="s">
        <v>1205</v>
      </c>
      <c r="C845" s="33">
        <v>840</v>
      </c>
      <c r="D845" s="39" t="s">
        <v>670</v>
      </c>
      <c r="E845" s="33" t="s">
        <v>10</v>
      </c>
      <c r="F845" s="33">
        <v>9.3000000000000007</v>
      </c>
      <c r="G845" s="33"/>
      <c r="H845" s="33">
        <f t="shared" si="105"/>
        <v>9.3000000000000007</v>
      </c>
      <c r="I845" s="34" t="s">
        <v>16</v>
      </c>
      <c r="J845" s="99">
        <f>+'[2]Dự thầu'!$G946</f>
        <v>1252250</v>
      </c>
      <c r="K845" s="98">
        <f t="shared" si="112"/>
        <v>11645925</v>
      </c>
      <c r="L845" s="98">
        <f t="shared" si="113"/>
        <v>0</v>
      </c>
      <c r="M845" s="98">
        <f t="shared" si="114"/>
        <v>11645925</v>
      </c>
      <c r="N845" s="100"/>
    </row>
    <row r="846" spans="1:14" ht="15.75" customHeight="1" x14ac:dyDescent="0.25">
      <c r="A846" s="52" t="str">
        <f t="shared" si="104"/>
        <v>HT</v>
      </c>
      <c r="B846" s="32" t="s">
        <v>1206</v>
      </c>
      <c r="C846" s="33">
        <v>841</v>
      </c>
      <c r="D846" s="39" t="s">
        <v>587</v>
      </c>
      <c r="E846" s="33" t="s">
        <v>10</v>
      </c>
      <c r="F846" s="33">
        <v>3.72</v>
      </c>
      <c r="G846" s="33"/>
      <c r="H846" s="33">
        <f t="shared" si="105"/>
        <v>3.72</v>
      </c>
      <c r="I846" s="34" t="s">
        <v>16</v>
      </c>
      <c r="J846" s="99">
        <f>+'[2]Dự thầu'!$G947</f>
        <v>851305</v>
      </c>
      <c r="K846" s="98">
        <f t="shared" si="112"/>
        <v>3166855</v>
      </c>
      <c r="L846" s="98">
        <f t="shared" si="113"/>
        <v>0</v>
      </c>
      <c r="M846" s="98">
        <f t="shared" si="114"/>
        <v>3166855</v>
      </c>
      <c r="N846" s="100"/>
    </row>
    <row r="847" spans="1:14" ht="15.75" customHeight="1" x14ac:dyDescent="0.25">
      <c r="A847" s="52" t="str">
        <f t="shared" si="104"/>
        <v>HT</v>
      </c>
      <c r="B847" s="32" t="s">
        <v>1207</v>
      </c>
      <c r="C847" s="33">
        <v>842</v>
      </c>
      <c r="D847" s="39" t="s">
        <v>608</v>
      </c>
      <c r="E847" s="33" t="s">
        <v>10</v>
      </c>
      <c r="F847" s="33">
        <v>848.75</v>
      </c>
      <c r="G847" s="33"/>
      <c r="H847" s="33">
        <f t="shared" si="105"/>
        <v>848.75</v>
      </c>
      <c r="I847" s="34" t="s">
        <v>16</v>
      </c>
      <c r="J847" s="99">
        <f>+'[2]Dự thầu'!$G948</f>
        <v>20867</v>
      </c>
      <c r="K847" s="98">
        <f t="shared" si="112"/>
        <v>17710866</v>
      </c>
      <c r="L847" s="98">
        <f t="shared" si="113"/>
        <v>0</v>
      </c>
      <c r="M847" s="98">
        <f t="shared" si="114"/>
        <v>17710866</v>
      </c>
      <c r="N847" s="100"/>
    </row>
    <row r="848" spans="1:14" ht="15.75" customHeight="1" x14ac:dyDescent="0.25">
      <c r="A848" s="52" t="str">
        <f t="shared" si="104"/>
        <v>HT</v>
      </c>
      <c r="B848" s="32" t="s">
        <v>1208</v>
      </c>
      <c r="C848" s="33">
        <v>843</v>
      </c>
      <c r="D848" s="39" t="s">
        <v>610</v>
      </c>
      <c r="E848" s="33" t="s">
        <v>10</v>
      </c>
      <c r="F848" s="33">
        <v>462.36</v>
      </c>
      <c r="G848" s="33"/>
      <c r="H848" s="33">
        <f t="shared" si="105"/>
        <v>462.36</v>
      </c>
      <c r="I848" s="34" t="s">
        <v>16</v>
      </c>
      <c r="J848" s="99">
        <f>+'[2]Dự thầu'!$G949</f>
        <v>12936</v>
      </c>
      <c r="K848" s="98">
        <f t="shared" si="112"/>
        <v>5981089</v>
      </c>
      <c r="L848" s="98">
        <f t="shared" si="113"/>
        <v>0</v>
      </c>
      <c r="M848" s="98">
        <f t="shared" si="114"/>
        <v>5981089</v>
      </c>
      <c r="N848" s="100"/>
    </row>
    <row r="849" spans="1:14" ht="15.75" customHeight="1" x14ac:dyDescent="0.25">
      <c r="A849" s="52" t="str">
        <f t="shared" si="104"/>
        <v>HT</v>
      </c>
      <c r="B849" s="32" t="s">
        <v>1209</v>
      </c>
      <c r="C849" s="33">
        <v>844</v>
      </c>
      <c r="D849" s="39" t="s">
        <v>32</v>
      </c>
      <c r="E849" s="33" t="s">
        <v>10</v>
      </c>
      <c r="F849" s="33">
        <v>632.17999999999995</v>
      </c>
      <c r="G849" s="33"/>
      <c r="H849" s="33">
        <f t="shared" si="105"/>
        <v>632.17999999999995</v>
      </c>
      <c r="I849" s="34" t="s">
        <v>16</v>
      </c>
      <c r="J849" s="99">
        <f>+'[2]Dự thầu'!$G950</f>
        <v>50585</v>
      </c>
      <c r="K849" s="98">
        <f t="shared" si="112"/>
        <v>31978825</v>
      </c>
      <c r="L849" s="98">
        <f t="shared" si="113"/>
        <v>0</v>
      </c>
      <c r="M849" s="98">
        <f t="shared" si="114"/>
        <v>31978825</v>
      </c>
      <c r="N849" s="100"/>
    </row>
    <row r="850" spans="1:14" ht="15.75" customHeight="1" x14ac:dyDescent="0.25">
      <c r="A850" s="52" t="str">
        <f t="shared" si="104"/>
        <v>HT</v>
      </c>
      <c r="B850" s="32" t="s">
        <v>1210</v>
      </c>
      <c r="C850" s="33">
        <v>845</v>
      </c>
      <c r="D850" s="39" t="s">
        <v>36</v>
      </c>
      <c r="E850" s="33" t="s">
        <v>10</v>
      </c>
      <c r="F850" s="33">
        <v>63.22</v>
      </c>
      <c r="G850" s="33"/>
      <c r="H850" s="33">
        <f t="shared" si="105"/>
        <v>63.22</v>
      </c>
      <c r="I850" s="34" t="s">
        <v>37</v>
      </c>
      <c r="J850" s="99">
        <f>+'[2]Dự thầu'!$G951</f>
        <v>1032698</v>
      </c>
      <c r="K850" s="98">
        <f t="shared" si="112"/>
        <v>65287168</v>
      </c>
      <c r="L850" s="98">
        <f t="shared" si="113"/>
        <v>0</v>
      </c>
      <c r="M850" s="98">
        <f t="shared" si="114"/>
        <v>65287168</v>
      </c>
      <c r="N850" s="100"/>
    </row>
    <row r="851" spans="1:14" ht="15.75" customHeight="1" x14ac:dyDescent="0.25">
      <c r="A851" s="52" t="str">
        <f t="shared" si="104"/>
        <v>HT</v>
      </c>
      <c r="B851" s="32" t="s">
        <v>1211</v>
      </c>
      <c r="C851" s="33">
        <v>846</v>
      </c>
      <c r="D851" s="39" t="s">
        <v>624</v>
      </c>
      <c r="E851" s="33" t="s">
        <v>10</v>
      </c>
      <c r="F851" s="33">
        <v>349.88</v>
      </c>
      <c r="G851" s="33"/>
      <c r="H851" s="33">
        <f t="shared" si="105"/>
        <v>349.88</v>
      </c>
      <c r="I851" s="34" t="s">
        <v>16</v>
      </c>
      <c r="J851" s="99">
        <f>+'[2]Dự thầu'!$G955</f>
        <v>271833</v>
      </c>
      <c r="K851" s="98">
        <f t="shared" si="112"/>
        <v>95108930</v>
      </c>
      <c r="L851" s="98">
        <f t="shared" si="113"/>
        <v>0</v>
      </c>
      <c r="M851" s="98">
        <f t="shared" si="114"/>
        <v>95108930</v>
      </c>
      <c r="N851" s="100"/>
    </row>
    <row r="852" spans="1:14" ht="15.75" customHeight="1" x14ac:dyDescent="0.25">
      <c r="A852" s="52" t="str">
        <f t="shared" si="104"/>
        <v>HT</v>
      </c>
      <c r="B852" s="32" t="s">
        <v>1212</v>
      </c>
      <c r="C852" s="33">
        <v>847</v>
      </c>
      <c r="D852" s="39" t="s">
        <v>618</v>
      </c>
      <c r="E852" s="33" t="s">
        <v>10</v>
      </c>
      <c r="F852" s="33">
        <v>75.319999999999993</v>
      </c>
      <c r="G852" s="33"/>
      <c r="H852" s="33">
        <f t="shared" si="105"/>
        <v>75.319999999999993</v>
      </c>
      <c r="I852" s="34" t="s">
        <v>16</v>
      </c>
      <c r="J852" s="99">
        <f>+'[2]Dự thầu'!$G956</f>
        <v>281325</v>
      </c>
      <c r="K852" s="98">
        <f t="shared" si="112"/>
        <v>21189399</v>
      </c>
      <c r="L852" s="98">
        <f t="shared" si="113"/>
        <v>0</v>
      </c>
      <c r="M852" s="98">
        <f t="shared" si="114"/>
        <v>21189399</v>
      </c>
      <c r="N852" s="100"/>
    </row>
    <row r="853" spans="1:14" ht="15.75" customHeight="1" x14ac:dyDescent="0.25">
      <c r="A853" s="52" t="str">
        <f t="shared" ref="A853:A916" si="115">A852</f>
        <v>HT</v>
      </c>
      <c r="B853" s="32" t="s">
        <v>1213</v>
      </c>
      <c r="C853" s="33">
        <v>848</v>
      </c>
      <c r="D853" s="39" t="s">
        <v>620</v>
      </c>
      <c r="E853" s="33" t="s">
        <v>10</v>
      </c>
      <c r="F853" s="102">
        <v>18829.13</v>
      </c>
      <c r="G853" s="102"/>
      <c r="H853" s="102">
        <f t="shared" ref="H853:H916" si="116">+F853</f>
        <v>18829.13</v>
      </c>
      <c r="I853" s="34" t="s">
        <v>75</v>
      </c>
      <c r="J853" s="99">
        <f>+'[2]Dự thầu'!$G957</f>
        <v>11223</v>
      </c>
      <c r="K853" s="98">
        <f t="shared" si="112"/>
        <v>211319326</v>
      </c>
      <c r="L853" s="98">
        <f t="shared" si="113"/>
        <v>0</v>
      </c>
      <c r="M853" s="98">
        <f t="shared" si="114"/>
        <v>211319326</v>
      </c>
      <c r="N853" s="100"/>
    </row>
    <row r="854" spans="1:14" ht="15.75" customHeight="1" x14ac:dyDescent="0.25">
      <c r="A854" s="52" t="str">
        <f t="shared" si="115"/>
        <v>HT</v>
      </c>
      <c r="B854" s="32" t="s">
        <v>1214</v>
      </c>
      <c r="C854" s="33">
        <v>849</v>
      </c>
      <c r="D854" s="39" t="s">
        <v>622</v>
      </c>
      <c r="E854" s="33" t="s">
        <v>10</v>
      </c>
      <c r="F854" s="33">
        <v>376.88</v>
      </c>
      <c r="G854" s="33"/>
      <c r="H854" s="33">
        <f t="shared" si="116"/>
        <v>376.88</v>
      </c>
      <c r="I854" s="34" t="s">
        <v>13</v>
      </c>
      <c r="J854" s="99">
        <f>+'[2]Dự thầu'!$G958</f>
        <v>19714</v>
      </c>
      <c r="K854" s="98">
        <f t="shared" si="112"/>
        <v>7429812</v>
      </c>
      <c r="L854" s="98">
        <f t="shared" si="113"/>
        <v>0</v>
      </c>
      <c r="M854" s="98">
        <f t="shared" si="114"/>
        <v>7429812</v>
      </c>
      <c r="N854" s="100"/>
    </row>
    <row r="855" spans="1:14" ht="15.75" customHeight="1" x14ac:dyDescent="0.25">
      <c r="A855" s="52" t="str">
        <f t="shared" si="115"/>
        <v>HT</v>
      </c>
      <c r="B855" s="32" t="s">
        <v>1215</v>
      </c>
      <c r="C855" s="33">
        <v>850</v>
      </c>
      <c r="D855" s="39" t="s">
        <v>626</v>
      </c>
      <c r="E855" s="33" t="s">
        <v>10</v>
      </c>
      <c r="F855" s="33">
        <v>848.75</v>
      </c>
      <c r="G855" s="33"/>
      <c r="H855" s="33">
        <f t="shared" si="116"/>
        <v>848.75</v>
      </c>
      <c r="I855" s="34" t="s">
        <v>16</v>
      </c>
      <c r="J855" s="99">
        <f>+'[2]Dự thầu'!$G959</f>
        <v>45382</v>
      </c>
      <c r="K855" s="98">
        <f t="shared" si="112"/>
        <v>38517973</v>
      </c>
      <c r="L855" s="98">
        <f t="shared" si="113"/>
        <v>0</v>
      </c>
      <c r="M855" s="98">
        <f t="shared" si="114"/>
        <v>38517973</v>
      </c>
      <c r="N855" s="100"/>
    </row>
    <row r="856" spans="1:14" ht="15.75" customHeight="1" x14ac:dyDescent="0.25">
      <c r="A856" s="52" t="str">
        <f t="shared" si="115"/>
        <v>HT</v>
      </c>
      <c r="B856" s="32" t="s">
        <v>1216</v>
      </c>
      <c r="C856" s="33">
        <v>851</v>
      </c>
      <c r="D856" s="39" t="s">
        <v>692</v>
      </c>
      <c r="E856" s="33" t="s">
        <v>10</v>
      </c>
      <c r="F856" s="33">
        <v>57.9</v>
      </c>
      <c r="G856" s="33"/>
      <c r="H856" s="33">
        <f t="shared" si="116"/>
        <v>57.9</v>
      </c>
      <c r="I856" s="34" t="s">
        <v>16</v>
      </c>
      <c r="J856" s="99">
        <f>+'[2]Dự thầu'!$G$1034</f>
        <v>2101184</v>
      </c>
      <c r="K856" s="98">
        <f t="shared" si="112"/>
        <v>121658554</v>
      </c>
      <c r="L856" s="98">
        <f t="shared" si="113"/>
        <v>0</v>
      </c>
      <c r="M856" s="98">
        <f t="shared" si="114"/>
        <v>121658554</v>
      </c>
      <c r="N856" s="100"/>
    </row>
    <row r="857" spans="1:14" ht="15.75" customHeight="1" x14ac:dyDescent="0.25">
      <c r="A857" s="52" t="str">
        <f t="shared" si="115"/>
        <v>HT</v>
      </c>
      <c r="B857" s="32" t="s">
        <v>1217</v>
      </c>
      <c r="C857" s="33">
        <v>852</v>
      </c>
      <c r="D857" s="39" t="s">
        <v>560</v>
      </c>
      <c r="E857" s="33" t="s">
        <v>10</v>
      </c>
      <c r="F857" s="33">
        <v>59.34</v>
      </c>
      <c r="G857" s="33"/>
      <c r="H857" s="33">
        <f t="shared" si="116"/>
        <v>59.34</v>
      </c>
      <c r="I857" s="34" t="s">
        <v>16</v>
      </c>
      <c r="J857" s="99">
        <f>+'[2]Dự thầu'!$G$1035</f>
        <v>57102</v>
      </c>
      <c r="K857" s="98">
        <f t="shared" si="112"/>
        <v>3388433</v>
      </c>
      <c r="L857" s="98">
        <f t="shared" si="113"/>
        <v>0</v>
      </c>
      <c r="M857" s="98">
        <f t="shared" si="114"/>
        <v>3388433</v>
      </c>
      <c r="N857" s="100"/>
    </row>
    <row r="858" spans="1:14" ht="15.75" customHeight="1" x14ac:dyDescent="0.25">
      <c r="A858" s="52" t="str">
        <f t="shared" si="115"/>
        <v>HT</v>
      </c>
      <c r="B858" s="32" t="s">
        <v>1218</v>
      </c>
      <c r="C858" s="33">
        <v>853</v>
      </c>
      <c r="D858" s="39" t="s">
        <v>562</v>
      </c>
      <c r="E858" s="33" t="s">
        <v>10</v>
      </c>
      <c r="F858" s="33">
        <v>59.34</v>
      </c>
      <c r="G858" s="33"/>
      <c r="H858" s="33">
        <f t="shared" si="116"/>
        <v>59.34</v>
      </c>
      <c r="I858" s="34" t="s">
        <v>16</v>
      </c>
      <c r="J858" s="99">
        <f>+'[2]Dự thầu'!$G$1036+'[2]Dự thầu'!$G$1037</f>
        <v>266680</v>
      </c>
      <c r="K858" s="98">
        <f t="shared" si="112"/>
        <v>15824791</v>
      </c>
      <c r="L858" s="98">
        <f t="shared" si="113"/>
        <v>0</v>
      </c>
      <c r="M858" s="98">
        <f t="shared" si="114"/>
        <v>15824791</v>
      </c>
      <c r="N858" s="100"/>
    </row>
    <row r="859" spans="1:14" ht="15.75" customHeight="1" x14ac:dyDescent="0.25">
      <c r="A859" s="52" t="str">
        <f t="shared" si="115"/>
        <v>HT</v>
      </c>
      <c r="B859" s="32" t="s">
        <v>1219</v>
      </c>
      <c r="C859" s="33">
        <v>854</v>
      </c>
      <c r="D859" s="39" t="s">
        <v>696</v>
      </c>
      <c r="E859" s="33" t="s">
        <v>10</v>
      </c>
      <c r="F859" s="33">
        <v>0.17</v>
      </c>
      <c r="G859" s="33"/>
      <c r="H859" s="33">
        <f t="shared" si="116"/>
        <v>0.17</v>
      </c>
      <c r="I859" s="34" t="s">
        <v>90</v>
      </c>
      <c r="J859" s="99">
        <f>+'[2]Dự thầu'!$G1038</f>
        <v>25850539</v>
      </c>
      <c r="K859" s="98">
        <f t="shared" si="112"/>
        <v>4394592</v>
      </c>
      <c r="L859" s="98">
        <f t="shared" si="113"/>
        <v>0</v>
      </c>
      <c r="M859" s="98">
        <f t="shared" si="114"/>
        <v>4394592</v>
      </c>
      <c r="N859" s="100"/>
    </row>
    <row r="860" spans="1:14" ht="15.75" customHeight="1" x14ac:dyDescent="0.25">
      <c r="A860" s="52" t="str">
        <f t="shared" si="115"/>
        <v>HT</v>
      </c>
      <c r="B860" s="32" t="s">
        <v>1220</v>
      </c>
      <c r="C860" s="33">
        <v>855</v>
      </c>
      <c r="D860" s="39" t="s">
        <v>698</v>
      </c>
      <c r="E860" s="33" t="s">
        <v>10</v>
      </c>
      <c r="F860" s="33">
        <v>2.66</v>
      </c>
      <c r="G860" s="33"/>
      <c r="H860" s="33">
        <f t="shared" si="116"/>
        <v>2.66</v>
      </c>
      <c r="I860" s="34" t="s">
        <v>90</v>
      </c>
      <c r="J860" s="99">
        <f>+'[2]Dự thầu'!$G1039</f>
        <v>25593806</v>
      </c>
      <c r="K860" s="98">
        <f t="shared" si="112"/>
        <v>68079524</v>
      </c>
      <c r="L860" s="98">
        <f t="shared" si="113"/>
        <v>0</v>
      </c>
      <c r="M860" s="98">
        <f t="shared" si="114"/>
        <v>68079524</v>
      </c>
      <c r="N860" s="100"/>
    </row>
    <row r="861" spans="1:14" ht="15.75" customHeight="1" x14ac:dyDescent="0.25">
      <c r="A861" s="52" t="str">
        <f t="shared" si="115"/>
        <v>HT</v>
      </c>
      <c r="B861" s="32" t="s">
        <v>1221</v>
      </c>
      <c r="C861" s="33">
        <v>856</v>
      </c>
      <c r="D861" s="39" t="s">
        <v>1222</v>
      </c>
      <c r="E861" s="33" t="s">
        <v>10</v>
      </c>
      <c r="F861" s="33">
        <v>5.74</v>
      </c>
      <c r="G861" s="33"/>
      <c r="H861" s="33">
        <f t="shared" si="116"/>
        <v>5.74</v>
      </c>
      <c r="I861" s="34" t="s">
        <v>90</v>
      </c>
      <c r="J861" s="99">
        <f>+'[2]Dự thầu'!$G1040</f>
        <v>24899152</v>
      </c>
      <c r="K861" s="98">
        <f t="shared" si="112"/>
        <v>142921132</v>
      </c>
      <c r="L861" s="98">
        <f t="shared" si="113"/>
        <v>0</v>
      </c>
      <c r="M861" s="98">
        <f t="shared" si="114"/>
        <v>142921132</v>
      </c>
      <c r="N861" s="100"/>
    </row>
    <row r="862" spans="1:14" ht="15.75" customHeight="1" x14ac:dyDescent="0.25">
      <c r="A862" s="52" t="str">
        <f t="shared" si="115"/>
        <v>HT</v>
      </c>
      <c r="B862" s="32" t="s">
        <v>1223</v>
      </c>
      <c r="C862" s="33">
        <v>857</v>
      </c>
      <c r="D862" s="39" t="s">
        <v>700</v>
      </c>
      <c r="E862" s="33" t="s">
        <v>10</v>
      </c>
      <c r="F862" s="33">
        <v>34.56</v>
      </c>
      <c r="G862" s="33"/>
      <c r="H862" s="33">
        <f t="shared" si="116"/>
        <v>34.56</v>
      </c>
      <c r="I862" s="34" t="s">
        <v>16</v>
      </c>
      <c r="J862" s="99">
        <f>+'[2]Dự thầu'!$G1041</f>
        <v>1147575</v>
      </c>
      <c r="K862" s="98">
        <f t="shared" si="112"/>
        <v>39660192</v>
      </c>
      <c r="L862" s="98">
        <f t="shared" si="113"/>
        <v>0</v>
      </c>
      <c r="M862" s="98">
        <f t="shared" si="114"/>
        <v>39660192</v>
      </c>
      <c r="N862" s="100"/>
    </row>
    <row r="863" spans="1:14" ht="15.75" customHeight="1" x14ac:dyDescent="0.25">
      <c r="A863" s="52" t="str">
        <f t="shared" si="115"/>
        <v>HT</v>
      </c>
      <c r="B863" s="32" t="s">
        <v>1224</v>
      </c>
      <c r="C863" s="33">
        <v>858</v>
      </c>
      <c r="D863" s="39" t="s">
        <v>702</v>
      </c>
      <c r="E863" s="33" t="s">
        <v>10</v>
      </c>
      <c r="F863" s="33">
        <v>266.81</v>
      </c>
      <c r="G863" s="33"/>
      <c r="H863" s="33">
        <f t="shared" si="116"/>
        <v>266.81</v>
      </c>
      <c r="I863" s="34" t="s">
        <v>13</v>
      </c>
      <c r="J863" s="99">
        <f>+'[2]Dự thầu'!$G1042</f>
        <v>141724</v>
      </c>
      <c r="K863" s="98">
        <f t="shared" si="112"/>
        <v>37813380</v>
      </c>
      <c r="L863" s="98">
        <f t="shared" si="113"/>
        <v>0</v>
      </c>
      <c r="M863" s="98">
        <f t="shared" si="114"/>
        <v>37813380</v>
      </c>
      <c r="N863" s="100"/>
    </row>
    <row r="864" spans="1:14" ht="15.75" customHeight="1" x14ac:dyDescent="0.25">
      <c r="A864" s="52" t="str">
        <f t="shared" si="115"/>
        <v>HT</v>
      </c>
      <c r="B864" s="32" t="s">
        <v>1225</v>
      </c>
      <c r="C864" s="33">
        <v>859</v>
      </c>
      <c r="D864" s="39" t="s">
        <v>704</v>
      </c>
      <c r="E864" s="33" t="s">
        <v>10</v>
      </c>
      <c r="F864" s="33">
        <v>568.73</v>
      </c>
      <c r="G864" s="33"/>
      <c r="H864" s="33">
        <f t="shared" si="116"/>
        <v>568.73</v>
      </c>
      <c r="I864" s="34" t="s">
        <v>13</v>
      </c>
      <c r="J864" s="99">
        <f>+'[2]Dự thầu'!$G1043</f>
        <v>76805</v>
      </c>
      <c r="K864" s="98">
        <f t="shared" si="112"/>
        <v>43681308</v>
      </c>
      <c r="L864" s="98">
        <f t="shared" si="113"/>
        <v>0</v>
      </c>
      <c r="M864" s="98">
        <f t="shared" si="114"/>
        <v>43681308</v>
      </c>
      <c r="N864" s="100"/>
    </row>
    <row r="865" spans="1:14" ht="15.75" customHeight="1" x14ac:dyDescent="0.25">
      <c r="A865" s="52" t="str">
        <f t="shared" si="115"/>
        <v>HT</v>
      </c>
      <c r="B865" s="32" t="s">
        <v>1226</v>
      </c>
      <c r="C865" s="33">
        <v>860</v>
      </c>
      <c r="D865" s="39" t="s">
        <v>587</v>
      </c>
      <c r="E865" s="33" t="s">
        <v>10</v>
      </c>
      <c r="F865" s="33">
        <v>45.32</v>
      </c>
      <c r="G865" s="33"/>
      <c r="H865" s="33">
        <f t="shared" si="116"/>
        <v>45.32</v>
      </c>
      <c r="I865" s="34" t="s">
        <v>16</v>
      </c>
      <c r="J865" s="99">
        <f>+'[2]Dự thầu'!$G1044</f>
        <v>851305</v>
      </c>
      <c r="K865" s="98">
        <f t="shared" si="112"/>
        <v>38581143</v>
      </c>
      <c r="L865" s="98">
        <f t="shared" si="113"/>
        <v>0</v>
      </c>
      <c r="M865" s="98">
        <f t="shared" si="114"/>
        <v>38581143</v>
      </c>
      <c r="N865" s="100"/>
    </row>
    <row r="866" spans="1:14" ht="15.75" customHeight="1" x14ac:dyDescent="0.25">
      <c r="A866" s="52" t="str">
        <f t="shared" si="115"/>
        <v>HT</v>
      </c>
      <c r="B866" s="32" t="s">
        <v>1227</v>
      </c>
      <c r="C866" s="33">
        <v>861</v>
      </c>
      <c r="D866" s="39" t="s">
        <v>707</v>
      </c>
      <c r="E866" s="33" t="s">
        <v>10</v>
      </c>
      <c r="F866" s="33">
        <v>0.02</v>
      </c>
      <c r="G866" s="33"/>
      <c r="H866" s="33">
        <f t="shared" si="116"/>
        <v>0.02</v>
      </c>
      <c r="I866" s="34" t="s">
        <v>90</v>
      </c>
      <c r="J866" s="99">
        <f>+'[2]Dự thầu'!$G1045</f>
        <v>25850539</v>
      </c>
      <c r="K866" s="98">
        <f t="shared" si="112"/>
        <v>517011</v>
      </c>
      <c r="L866" s="98">
        <f t="shared" si="113"/>
        <v>0</v>
      </c>
      <c r="M866" s="98">
        <f t="shared" si="114"/>
        <v>517011</v>
      </c>
      <c r="N866" s="100"/>
    </row>
    <row r="867" spans="1:14" ht="15.75" customHeight="1" x14ac:dyDescent="0.25">
      <c r="A867" s="52" t="str">
        <f t="shared" si="115"/>
        <v>HT</v>
      </c>
      <c r="B867" s="32" t="s">
        <v>1228</v>
      </c>
      <c r="C867" s="33">
        <v>862</v>
      </c>
      <c r="D867" s="39" t="s">
        <v>709</v>
      </c>
      <c r="E867" s="33" t="s">
        <v>10</v>
      </c>
      <c r="F867" s="33">
        <v>0.22</v>
      </c>
      <c r="G867" s="33"/>
      <c r="H867" s="33">
        <f t="shared" si="116"/>
        <v>0.22</v>
      </c>
      <c r="I867" s="34" t="s">
        <v>90</v>
      </c>
      <c r="J867" s="99">
        <f>+'[2]Dự thầu'!$G1046</f>
        <v>24899152</v>
      </c>
      <c r="K867" s="98">
        <f t="shared" si="112"/>
        <v>5477813</v>
      </c>
      <c r="L867" s="98">
        <f t="shared" si="113"/>
        <v>0</v>
      </c>
      <c r="M867" s="98">
        <f t="shared" si="114"/>
        <v>5477813</v>
      </c>
      <c r="N867" s="100"/>
    </row>
    <row r="868" spans="1:14" ht="15.75" customHeight="1" x14ac:dyDescent="0.25">
      <c r="A868" s="52" t="str">
        <f t="shared" si="115"/>
        <v>HT</v>
      </c>
      <c r="B868" s="32" t="s">
        <v>1229</v>
      </c>
      <c r="C868" s="33">
        <v>863</v>
      </c>
      <c r="D868" s="39" t="s">
        <v>1230</v>
      </c>
      <c r="E868" s="33" t="s">
        <v>10</v>
      </c>
      <c r="F868" s="33">
        <v>0.22</v>
      </c>
      <c r="G868" s="33"/>
      <c r="H868" s="33">
        <f t="shared" si="116"/>
        <v>0.22</v>
      </c>
      <c r="I868" s="34" t="s">
        <v>90</v>
      </c>
      <c r="J868" s="99">
        <f>+'[2]Dự thầu'!$G1047</f>
        <v>9028655</v>
      </c>
      <c r="K868" s="98">
        <f t="shared" si="112"/>
        <v>1986304</v>
      </c>
      <c r="L868" s="98">
        <f t="shared" si="113"/>
        <v>0</v>
      </c>
      <c r="M868" s="98">
        <f t="shared" si="114"/>
        <v>1986304</v>
      </c>
      <c r="N868" s="100"/>
    </row>
    <row r="869" spans="1:14" ht="15.75" customHeight="1" x14ac:dyDescent="0.25">
      <c r="A869" s="52" t="str">
        <f t="shared" si="115"/>
        <v>HT</v>
      </c>
      <c r="B869" s="32" t="s">
        <v>1231</v>
      </c>
      <c r="C869" s="33">
        <v>864</v>
      </c>
      <c r="D869" s="39" t="s">
        <v>711</v>
      </c>
      <c r="E869" s="33" t="s">
        <v>10</v>
      </c>
      <c r="F869" s="33">
        <v>29.12</v>
      </c>
      <c r="G869" s="33"/>
      <c r="H869" s="33">
        <f t="shared" si="116"/>
        <v>29.12</v>
      </c>
      <c r="I869" s="34" t="s">
        <v>75</v>
      </c>
      <c r="J869" s="99">
        <f>+'[2]Dự thầu'!$G1048</f>
        <v>23353</v>
      </c>
      <c r="K869" s="98">
        <f t="shared" si="112"/>
        <v>680039</v>
      </c>
      <c r="L869" s="98">
        <f t="shared" si="113"/>
        <v>0</v>
      </c>
      <c r="M869" s="98">
        <f t="shared" si="114"/>
        <v>680039</v>
      </c>
      <c r="N869" s="100"/>
    </row>
    <row r="870" spans="1:14" ht="15.75" customHeight="1" x14ac:dyDescent="0.25">
      <c r="A870" s="52" t="str">
        <f t="shared" si="115"/>
        <v>HT</v>
      </c>
      <c r="B870" s="32" t="s">
        <v>1232</v>
      </c>
      <c r="C870" s="33">
        <v>865</v>
      </c>
      <c r="D870" s="39" t="s">
        <v>713</v>
      </c>
      <c r="E870" s="33" t="s">
        <v>10</v>
      </c>
      <c r="F870" s="33">
        <v>0.75</v>
      </c>
      <c r="G870" s="33"/>
      <c r="H870" s="33">
        <f t="shared" si="116"/>
        <v>0.75</v>
      </c>
      <c r="I870" s="34" t="s">
        <v>13</v>
      </c>
      <c r="J870" s="99">
        <f>+'[2]Dự thầu'!$G1049</f>
        <v>370346</v>
      </c>
      <c r="K870" s="98">
        <f t="shared" si="112"/>
        <v>277760</v>
      </c>
      <c r="L870" s="98">
        <f t="shared" si="113"/>
        <v>0</v>
      </c>
      <c r="M870" s="98">
        <f t="shared" si="114"/>
        <v>277760</v>
      </c>
      <c r="N870" s="100"/>
    </row>
    <row r="871" spans="1:14" ht="15.75" customHeight="1" x14ac:dyDescent="0.25">
      <c r="A871" s="52" t="str">
        <f t="shared" si="115"/>
        <v>HT</v>
      </c>
      <c r="B871" s="32" t="s">
        <v>1233</v>
      </c>
      <c r="C871" s="33">
        <v>866</v>
      </c>
      <c r="D871" s="39" t="s">
        <v>715</v>
      </c>
      <c r="E871" s="33" t="s">
        <v>10</v>
      </c>
      <c r="F871" s="33">
        <v>27.2</v>
      </c>
      <c r="G871" s="33"/>
      <c r="H871" s="33">
        <f t="shared" si="116"/>
        <v>27.2</v>
      </c>
      <c r="I871" s="34" t="s">
        <v>75</v>
      </c>
      <c r="J871" s="99">
        <f>+'[2]Dự thầu'!$G1050</f>
        <v>126388</v>
      </c>
      <c r="K871" s="98">
        <f t="shared" si="112"/>
        <v>3437754</v>
      </c>
      <c r="L871" s="98">
        <f t="shared" si="113"/>
        <v>0</v>
      </c>
      <c r="M871" s="98">
        <f t="shared" si="114"/>
        <v>3437754</v>
      </c>
      <c r="N871" s="100"/>
    </row>
    <row r="872" spans="1:14" ht="15.75" customHeight="1" x14ac:dyDescent="0.25">
      <c r="A872" s="52" t="str">
        <f t="shared" si="115"/>
        <v>HT</v>
      </c>
      <c r="B872" s="32" t="s">
        <v>1234</v>
      </c>
      <c r="C872" s="33">
        <v>867</v>
      </c>
      <c r="D872" s="39" t="s">
        <v>717</v>
      </c>
      <c r="E872" s="33" t="s">
        <v>10</v>
      </c>
      <c r="F872" s="33">
        <v>75.97</v>
      </c>
      <c r="G872" s="33"/>
      <c r="H872" s="33">
        <f t="shared" si="116"/>
        <v>75.97</v>
      </c>
      <c r="I872" s="34" t="s">
        <v>16</v>
      </c>
      <c r="J872" s="99">
        <f>+'[2]Dự thầu'!$G1051</f>
        <v>1724716</v>
      </c>
      <c r="K872" s="98">
        <f t="shared" si="112"/>
        <v>131026675</v>
      </c>
      <c r="L872" s="98">
        <f t="shared" si="113"/>
        <v>0</v>
      </c>
      <c r="M872" s="98">
        <f t="shared" si="114"/>
        <v>131026675</v>
      </c>
      <c r="N872" s="100"/>
    </row>
    <row r="873" spans="1:14" ht="15.75" customHeight="1" x14ac:dyDescent="0.25">
      <c r="A873" s="52" t="str">
        <f t="shared" si="115"/>
        <v>HT</v>
      </c>
      <c r="B873" s="32" t="s">
        <v>1235</v>
      </c>
      <c r="C873" s="33">
        <v>868</v>
      </c>
      <c r="D873" s="39" t="s">
        <v>560</v>
      </c>
      <c r="E873" s="33" t="s">
        <v>10</v>
      </c>
      <c r="F873" s="33">
        <v>77.11</v>
      </c>
      <c r="G873" s="33"/>
      <c r="H873" s="33">
        <f t="shared" si="116"/>
        <v>77.11</v>
      </c>
      <c r="I873" s="34" t="s">
        <v>16</v>
      </c>
      <c r="J873" s="99">
        <f>+'[2]Dự thầu'!$G1052</f>
        <v>57102</v>
      </c>
      <c r="K873" s="98">
        <f t="shared" si="112"/>
        <v>4403135</v>
      </c>
      <c r="L873" s="98">
        <f t="shared" si="113"/>
        <v>0</v>
      </c>
      <c r="M873" s="98">
        <f t="shared" si="114"/>
        <v>4403135</v>
      </c>
      <c r="N873" s="100"/>
    </row>
    <row r="874" spans="1:14" ht="15.75" customHeight="1" x14ac:dyDescent="0.25">
      <c r="A874" s="52" t="str">
        <f t="shared" si="115"/>
        <v>HT</v>
      </c>
      <c r="B874" s="32" t="s">
        <v>1236</v>
      </c>
      <c r="C874" s="33">
        <v>869</v>
      </c>
      <c r="D874" s="39" t="s">
        <v>562</v>
      </c>
      <c r="E874" s="33" t="s">
        <v>10</v>
      </c>
      <c r="F874" s="33">
        <v>77.11</v>
      </c>
      <c r="G874" s="33"/>
      <c r="H874" s="33">
        <f t="shared" si="116"/>
        <v>77.11</v>
      </c>
      <c r="I874" s="34" t="s">
        <v>16</v>
      </c>
      <c r="J874" s="99">
        <f>+'[2]Dự thầu'!$G$1053+'[2]Dự thầu'!$G$1054</f>
        <v>266680</v>
      </c>
      <c r="K874" s="98">
        <f t="shared" si="112"/>
        <v>20563695</v>
      </c>
      <c r="L874" s="98">
        <f t="shared" si="113"/>
        <v>0</v>
      </c>
      <c r="M874" s="98">
        <f t="shared" si="114"/>
        <v>20563695</v>
      </c>
      <c r="N874" s="100"/>
    </row>
    <row r="875" spans="1:14" ht="15.75" customHeight="1" x14ac:dyDescent="0.25">
      <c r="A875" s="52" t="str">
        <f t="shared" si="115"/>
        <v>HT</v>
      </c>
      <c r="B875" s="32" t="s">
        <v>1237</v>
      </c>
      <c r="C875" s="33">
        <v>870</v>
      </c>
      <c r="D875" s="39" t="s">
        <v>721</v>
      </c>
      <c r="E875" s="33" t="s">
        <v>10</v>
      </c>
      <c r="F875" s="33">
        <v>0.19</v>
      </c>
      <c r="G875" s="33"/>
      <c r="H875" s="33">
        <f t="shared" si="116"/>
        <v>0.19</v>
      </c>
      <c r="I875" s="34" t="s">
        <v>90</v>
      </c>
      <c r="J875" s="99">
        <f>+'[2]Dự thầu'!$G1055</f>
        <v>25183853</v>
      </c>
      <c r="K875" s="98">
        <f t="shared" ref="K875:K906" si="117">+ROUND(J875*F875,0)</f>
        <v>4784932</v>
      </c>
      <c r="L875" s="98">
        <f t="shared" ref="L875:L906" si="118">+ROUND(G875*J875,0)</f>
        <v>0</v>
      </c>
      <c r="M875" s="98">
        <f t="shared" ref="M875:M906" si="119">+ROUND(H875*J875,0)</f>
        <v>4784932</v>
      </c>
      <c r="N875" s="100"/>
    </row>
    <row r="876" spans="1:14" ht="15.75" customHeight="1" x14ac:dyDescent="0.25">
      <c r="A876" s="52" t="str">
        <f t="shared" si="115"/>
        <v>HT</v>
      </c>
      <c r="B876" s="32" t="s">
        <v>1238</v>
      </c>
      <c r="C876" s="33">
        <v>871</v>
      </c>
      <c r="D876" s="39" t="s">
        <v>723</v>
      </c>
      <c r="E876" s="33" t="s">
        <v>10</v>
      </c>
      <c r="F876" s="33">
        <v>2.4700000000000002</v>
      </c>
      <c r="G876" s="33"/>
      <c r="H876" s="33">
        <f t="shared" si="116"/>
        <v>2.4700000000000002</v>
      </c>
      <c r="I876" s="34" t="s">
        <v>90</v>
      </c>
      <c r="J876" s="99">
        <f>+'[2]Dự thầu'!$G1056</f>
        <v>24802876</v>
      </c>
      <c r="K876" s="98">
        <f t="shared" si="117"/>
        <v>61263104</v>
      </c>
      <c r="L876" s="98">
        <f t="shared" si="118"/>
        <v>0</v>
      </c>
      <c r="M876" s="98">
        <f t="shared" si="119"/>
        <v>61263104</v>
      </c>
      <c r="N876" s="100"/>
    </row>
    <row r="877" spans="1:14" ht="15.75" customHeight="1" x14ac:dyDescent="0.25">
      <c r="A877" s="52" t="str">
        <f t="shared" si="115"/>
        <v>HT</v>
      </c>
      <c r="B877" s="32" t="s">
        <v>1239</v>
      </c>
      <c r="C877" s="33">
        <v>872</v>
      </c>
      <c r="D877" s="39" t="s">
        <v>1240</v>
      </c>
      <c r="E877" s="33" t="s">
        <v>10</v>
      </c>
      <c r="F877" s="33">
        <v>5.46</v>
      </c>
      <c r="G877" s="33"/>
      <c r="H877" s="33">
        <f t="shared" si="116"/>
        <v>5.46</v>
      </c>
      <c r="I877" s="34" t="s">
        <v>90</v>
      </c>
      <c r="J877" s="99">
        <f>+'[2]Dự thầu'!$G1057</f>
        <v>24165799</v>
      </c>
      <c r="K877" s="98">
        <f t="shared" si="117"/>
        <v>131945263</v>
      </c>
      <c r="L877" s="98">
        <f t="shared" si="118"/>
        <v>0</v>
      </c>
      <c r="M877" s="98">
        <f t="shared" si="119"/>
        <v>131945263</v>
      </c>
      <c r="N877" s="100"/>
    </row>
    <row r="878" spans="1:14" ht="15.75" customHeight="1" x14ac:dyDescent="0.25">
      <c r="A878" s="52" t="str">
        <f t="shared" si="115"/>
        <v>HT</v>
      </c>
      <c r="B878" s="32" t="s">
        <v>1241</v>
      </c>
      <c r="C878" s="33">
        <v>873</v>
      </c>
      <c r="D878" s="39" t="s">
        <v>651</v>
      </c>
      <c r="E878" s="33" t="s">
        <v>10</v>
      </c>
      <c r="F878" s="33">
        <v>64.63</v>
      </c>
      <c r="G878" s="33"/>
      <c r="H878" s="33">
        <f t="shared" si="116"/>
        <v>64.63</v>
      </c>
      <c r="I878" s="34" t="s">
        <v>13</v>
      </c>
      <c r="J878" s="99">
        <f>+'[2]Dự thầu'!$G1058</f>
        <v>103945</v>
      </c>
      <c r="K878" s="98">
        <f t="shared" si="117"/>
        <v>6717965</v>
      </c>
      <c r="L878" s="98">
        <f t="shared" si="118"/>
        <v>0</v>
      </c>
      <c r="M878" s="98">
        <f t="shared" si="119"/>
        <v>6717965</v>
      </c>
      <c r="N878" s="100"/>
    </row>
    <row r="879" spans="1:14" ht="15.75" customHeight="1" x14ac:dyDescent="0.25">
      <c r="A879" s="52" t="str">
        <f t="shared" si="115"/>
        <v>HT</v>
      </c>
      <c r="B879" s="32" t="s">
        <v>1242</v>
      </c>
      <c r="C879" s="33">
        <v>874</v>
      </c>
      <c r="D879" s="39" t="s">
        <v>725</v>
      </c>
      <c r="E879" s="33" t="s">
        <v>10</v>
      </c>
      <c r="F879" s="33">
        <v>66.5</v>
      </c>
      <c r="G879" s="33"/>
      <c r="H879" s="33">
        <f t="shared" si="116"/>
        <v>66.5</v>
      </c>
      <c r="I879" s="34" t="s">
        <v>16</v>
      </c>
      <c r="J879" s="99">
        <f>+'[2]Dự thầu'!$G1059</f>
        <v>2045945</v>
      </c>
      <c r="K879" s="98">
        <f t="shared" si="117"/>
        <v>136055343</v>
      </c>
      <c r="L879" s="98">
        <f t="shared" si="118"/>
        <v>0</v>
      </c>
      <c r="M879" s="98">
        <f t="shared" si="119"/>
        <v>136055343</v>
      </c>
      <c r="N879" s="100"/>
    </row>
    <row r="880" spans="1:14" ht="15.75" customHeight="1" x14ac:dyDescent="0.25">
      <c r="A880" s="52" t="str">
        <f t="shared" si="115"/>
        <v>HT</v>
      </c>
      <c r="B880" s="32" t="s">
        <v>1243</v>
      </c>
      <c r="C880" s="33">
        <v>875</v>
      </c>
      <c r="D880" s="39" t="s">
        <v>560</v>
      </c>
      <c r="E880" s="33" t="s">
        <v>10</v>
      </c>
      <c r="F880" s="33">
        <v>67.5</v>
      </c>
      <c r="G880" s="33"/>
      <c r="H880" s="33">
        <f t="shared" si="116"/>
        <v>67.5</v>
      </c>
      <c r="I880" s="34" t="s">
        <v>16</v>
      </c>
      <c r="J880" s="99">
        <f>+'[2]Dự thầu'!$G1060</f>
        <v>57102</v>
      </c>
      <c r="K880" s="98">
        <f t="shared" si="117"/>
        <v>3854385</v>
      </c>
      <c r="L880" s="98">
        <f t="shared" si="118"/>
        <v>0</v>
      </c>
      <c r="M880" s="98">
        <f t="shared" si="119"/>
        <v>3854385</v>
      </c>
      <c r="N880" s="100"/>
    </row>
    <row r="881" spans="1:14" ht="15.75" customHeight="1" x14ac:dyDescent="0.25">
      <c r="A881" s="52" t="str">
        <f t="shared" si="115"/>
        <v>HT</v>
      </c>
      <c r="B881" s="32" t="s">
        <v>1244</v>
      </c>
      <c r="C881" s="33">
        <v>876</v>
      </c>
      <c r="D881" s="39" t="s">
        <v>562</v>
      </c>
      <c r="E881" s="33" t="s">
        <v>10</v>
      </c>
      <c r="F881" s="33">
        <v>67.5</v>
      </c>
      <c r="G881" s="33"/>
      <c r="H881" s="33">
        <f t="shared" si="116"/>
        <v>67.5</v>
      </c>
      <c r="I881" s="34" t="s">
        <v>16</v>
      </c>
      <c r="J881" s="99">
        <f>+'[2]Dự thầu'!$G$1061+'[2]Dự thầu'!$G$1062</f>
        <v>266680</v>
      </c>
      <c r="K881" s="98">
        <f t="shared" si="117"/>
        <v>18000900</v>
      </c>
      <c r="L881" s="98">
        <f t="shared" si="118"/>
        <v>0</v>
      </c>
      <c r="M881" s="98">
        <f t="shared" si="119"/>
        <v>18000900</v>
      </c>
      <c r="N881" s="100"/>
    </row>
    <row r="882" spans="1:14" ht="15.75" customHeight="1" x14ac:dyDescent="0.25">
      <c r="A882" s="52" t="str">
        <f t="shared" si="115"/>
        <v>HT</v>
      </c>
      <c r="B882" s="32" t="s">
        <v>1245</v>
      </c>
      <c r="C882" s="33">
        <v>877</v>
      </c>
      <c r="D882" s="39" t="s">
        <v>729</v>
      </c>
      <c r="E882" s="33" t="s">
        <v>10</v>
      </c>
      <c r="F882" s="33">
        <v>0.17</v>
      </c>
      <c r="G882" s="33"/>
      <c r="H882" s="33">
        <f t="shared" si="116"/>
        <v>0.17</v>
      </c>
      <c r="I882" s="34" t="s">
        <v>90</v>
      </c>
      <c r="J882" s="99">
        <f>+'[2]Dự thầu'!$G1063</f>
        <v>26208453</v>
      </c>
      <c r="K882" s="98">
        <f t="shared" si="117"/>
        <v>4455437</v>
      </c>
      <c r="L882" s="98">
        <f t="shared" si="118"/>
        <v>0</v>
      </c>
      <c r="M882" s="98">
        <f t="shared" si="119"/>
        <v>4455437</v>
      </c>
      <c r="N882" s="100"/>
    </row>
    <row r="883" spans="1:14" ht="15.75" customHeight="1" x14ac:dyDescent="0.25">
      <c r="A883" s="52" t="str">
        <f t="shared" si="115"/>
        <v>HT</v>
      </c>
      <c r="B883" s="32" t="s">
        <v>1246</v>
      </c>
      <c r="C883" s="33">
        <v>878</v>
      </c>
      <c r="D883" s="39" t="s">
        <v>731</v>
      </c>
      <c r="E883" s="33" t="s">
        <v>10</v>
      </c>
      <c r="F883" s="33">
        <v>7.23</v>
      </c>
      <c r="G883" s="33"/>
      <c r="H883" s="33">
        <f t="shared" si="116"/>
        <v>7.23</v>
      </c>
      <c r="I883" s="34" t="s">
        <v>90</v>
      </c>
      <c r="J883" s="99">
        <f>+'[2]Dự thầu'!$G1064</f>
        <v>25594083</v>
      </c>
      <c r="K883" s="98">
        <f t="shared" si="117"/>
        <v>185045220</v>
      </c>
      <c r="L883" s="98">
        <f t="shared" si="118"/>
        <v>0</v>
      </c>
      <c r="M883" s="98">
        <f t="shared" si="119"/>
        <v>185045220</v>
      </c>
      <c r="N883" s="100"/>
    </row>
    <row r="884" spans="1:14" ht="15.75" customHeight="1" x14ac:dyDescent="0.25">
      <c r="A884" s="52" t="str">
        <f t="shared" si="115"/>
        <v>HT</v>
      </c>
      <c r="B884" s="32" t="s">
        <v>1247</v>
      </c>
      <c r="C884" s="33">
        <v>879</v>
      </c>
      <c r="D884" s="39" t="s">
        <v>733</v>
      </c>
      <c r="E884" s="33" t="s">
        <v>10</v>
      </c>
      <c r="F884" s="33">
        <v>159.80000000000001</v>
      </c>
      <c r="G884" s="33"/>
      <c r="H884" s="33">
        <f t="shared" si="116"/>
        <v>159.80000000000001</v>
      </c>
      <c r="I884" s="34" t="s">
        <v>13</v>
      </c>
      <c r="J884" s="99">
        <f>+'[2]Dự thầu'!$G1065</f>
        <v>111276</v>
      </c>
      <c r="K884" s="98">
        <f t="shared" si="117"/>
        <v>17781905</v>
      </c>
      <c r="L884" s="98">
        <f t="shared" si="118"/>
        <v>0</v>
      </c>
      <c r="M884" s="98">
        <f t="shared" si="119"/>
        <v>17781905</v>
      </c>
      <c r="N884" s="100"/>
    </row>
    <row r="885" spans="1:14" ht="15.75" customHeight="1" x14ac:dyDescent="0.25">
      <c r="A885" s="52" t="str">
        <f t="shared" si="115"/>
        <v>HT</v>
      </c>
      <c r="B885" s="32" t="s">
        <v>1248</v>
      </c>
      <c r="C885" s="33">
        <v>880</v>
      </c>
      <c r="D885" s="39" t="s">
        <v>735</v>
      </c>
      <c r="E885" s="33" t="s">
        <v>10</v>
      </c>
      <c r="F885" s="33">
        <v>4.9400000000000004</v>
      </c>
      <c r="G885" s="33"/>
      <c r="H885" s="33">
        <f t="shared" si="116"/>
        <v>4.9400000000000004</v>
      </c>
      <c r="I885" s="34" t="s">
        <v>16</v>
      </c>
      <c r="J885" s="99">
        <f>+'[2]Dự thầu'!$G1066</f>
        <v>1884040</v>
      </c>
      <c r="K885" s="98">
        <f t="shared" si="117"/>
        <v>9307158</v>
      </c>
      <c r="L885" s="98">
        <f t="shared" si="118"/>
        <v>0</v>
      </c>
      <c r="M885" s="98">
        <f t="shared" si="119"/>
        <v>9307158</v>
      </c>
      <c r="N885" s="100"/>
    </row>
    <row r="886" spans="1:14" ht="15.75" customHeight="1" x14ac:dyDescent="0.25">
      <c r="A886" s="52" t="str">
        <f t="shared" si="115"/>
        <v>HT</v>
      </c>
      <c r="B886" s="32" t="s">
        <v>1249</v>
      </c>
      <c r="C886" s="33">
        <v>881</v>
      </c>
      <c r="D886" s="39" t="s">
        <v>560</v>
      </c>
      <c r="E886" s="33" t="s">
        <v>10</v>
      </c>
      <c r="F886" s="33">
        <v>20.59</v>
      </c>
      <c r="G886" s="33"/>
      <c r="H886" s="33">
        <f t="shared" si="116"/>
        <v>20.59</v>
      </c>
      <c r="I886" s="34" t="s">
        <v>16</v>
      </c>
      <c r="J886" s="99">
        <f>+'[2]Dự thầu'!$G1067</f>
        <v>57102</v>
      </c>
      <c r="K886" s="98">
        <f t="shared" si="117"/>
        <v>1175730</v>
      </c>
      <c r="L886" s="98">
        <f t="shared" si="118"/>
        <v>0</v>
      </c>
      <c r="M886" s="98">
        <f t="shared" si="119"/>
        <v>1175730</v>
      </c>
      <c r="N886" s="100"/>
    </row>
    <row r="887" spans="1:14" ht="15.75" customHeight="1" x14ac:dyDescent="0.25">
      <c r="A887" s="52" t="str">
        <f t="shared" si="115"/>
        <v>HT</v>
      </c>
      <c r="B887" s="32" t="s">
        <v>1250</v>
      </c>
      <c r="C887" s="33">
        <v>882</v>
      </c>
      <c r="D887" s="39" t="s">
        <v>562</v>
      </c>
      <c r="E887" s="33" t="s">
        <v>10</v>
      </c>
      <c r="F887" s="33">
        <v>20.59</v>
      </c>
      <c r="G887" s="33"/>
      <c r="H887" s="33">
        <f t="shared" si="116"/>
        <v>20.59</v>
      </c>
      <c r="I887" s="34" t="s">
        <v>16</v>
      </c>
      <c r="J887" s="99">
        <f>+'[2]Dự thầu'!$G$1068+'[2]Dự thầu'!$G$1069</f>
        <v>266680</v>
      </c>
      <c r="K887" s="98">
        <f t="shared" si="117"/>
        <v>5490941</v>
      </c>
      <c r="L887" s="98">
        <f t="shared" si="118"/>
        <v>0</v>
      </c>
      <c r="M887" s="98">
        <f t="shared" si="119"/>
        <v>5490941</v>
      </c>
      <c r="N887" s="100"/>
    </row>
    <row r="888" spans="1:14" ht="15.75" customHeight="1" x14ac:dyDescent="0.25">
      <c r="A888" s="52" t="str">
        <f t="shared" si="115"/>
        <v>HT</v>
      </c>
      <c r="B888" s="32" t="s">
        <v>1251</v>
      </c>
      <c r="C888" s="33">
        <v>883</v>
      </c>
      <c r="D888" s="39" t="s">
        <v>1252</v>
      </c>
      <c r="E888" s="33" t="s">
        <v>10</v>
      </c>
      <c r="F888" s="33">
        <v>0.02</v>
      </c>
      <c r="G888" s="33"/>
      <c r="H888" s="33">
        <f t="shared" si="116"/>
        <v>0.02</v>
      </c>
      <c r="I888" s="34" t="s">
        <v>90</v>
      </c>
      <c r="J888" s="99">
        <f>+'[2]Dự thầu'!$G1070</f>
        <v>25850539</v>
      </c>
      <c r="K888" s="98">
        <f t="shared" si="117"/>
        <v>517011</v>
      </c>
      <c r="L888" s="98">
        <f t="shared" si="118"/>
        <v>0</v>
      </c>
      <c r="M888" s="98">
        <f t="shared" si="119"/>
        <v>517011</v>
      </c>
      <c r="N888" s="100"/>
    </row>
    <row r="889" spans="1:14" ht="15.75" customHeight="1" x14ac:dyDescent="0.25">
      <c r="A889" s="52" t="str">
        <f t="shared" si="115"/>
        <v>HT</v>
      </c>
      <c r="B889" s="32" t="s">
        <v>1253</v>
      </c>
      <c r="C889" s="33">
        <v>884</v>
      </c>
      <c r="D889" s="39" t="s">
        <v>740</v>
      </c>
      <c r="E889" s="33" t="s">
        <v>10</v>
      </c>
      <c r="F889" s="33">
        <v>0.56000000000000005</v>
      </c>
      <c r="G889" s="33"/>
      <c r="H889" s="33">
        <f t="shared" si="116"/>
        <v>0.56000000000000005</v>
      </c>
      <c r="I889" s="34" t="s">
        <v>90</v>
      </c>
      <c r="J889" s="99">
        <f>+'[2]Dự thầu'!$G1071</f>
        <v>25593806</v>
      </c>
      <c r="K889" s="98">
        <f t="shared" si="117"/>
        <v>14332531</v>
      </c>
      <c r="L889" s="98">
        <f t="shared" si="118"/>
        <v>0</v>
      </c>
      <c r="M889" s="98">
        <f t="shared" si="119"/>
        <v>14332531</v>
      </c>
      <c r="N889" s="100"/>
    </row>
    <row r="890" spans="1:14" ht="15.75" customHeight="1" x14ac:dyDescent="0.25">
      <c r="A890" s="52" t="str">
        <f t="shared" si="115"/>
        <v>HT</v>
      </c>
      <c r="B890" s="32" t="s">
        <v>1254</v>
      </c>
      <c r="C890" s="33">
        <v>885</v>
      </c>
      <c r="D890" s="39" t="s">
        <v>1255</v>
      </c>
      <c r="E890" s="33" t="s">
        <v>10</v>
      </c>
      <c r="F890" s="33">
        <v>15.34</v>
      </c>
      <c r="G890" s="33"/>
      <c r="H890" s="33">
        <f t="shared" si="116"/>
        <v>15.34</v>
      </c>
      <c r="I890" s="34" t="s">
        <v>16</v>
      </c>
      <c r="J890" s="99">
        <f>+'[2]Dự thầu'!$G1072</f>
        <v>1649986</v>
      </c>
      <c r="K890" s="98">
        <f t="shared" si="117"/>
        <v>25310785</v>
      </c>
      <c r="L890" s="98">
        <f t="shared" si="118"/>
        <v>0</v>
      </c>
      <c r="M890" s="98">
        <f t="shared" si="119"/>
        <v>25310785</v>
      </c>
      <c r="N890" s="100"/>
    </row>
    <row r="891" spans="1:14" ht="15.75" customHeight="1" x14ac:dyDescent="0.25">
      <c r="A891" s="52" t="str">
        <f t="shared" si="115"/>
        <v>HT</v>
      </c>
      <c r="B891" s="32" t="s">
        <v>1256</v>
      </c>
      <c r="C891" s="33">
        <v>886</v>
      </c>
      <c r="D891" s="39" t="s">
        <v>723</v>
      </c>
      <c r="E891" s="33" t="s">
        <v>10</v>
      </c>
      <c r="F891" s="33">
        <v>1.1399999999999999</v>
      </c>
      <c r="G891" s="33"/>
      <c r="H891" s="33">
        <f t="shared" si="116"/>
        <v>1.1399999999999999</v>
      </c>
      <c r="I891" s="34" t="s">
        <v>90</v>
      </c>
      <c r="J891" s="99">
        <f>+'[2]Dự thầu'!$G1073</f>
        <v>24802876</v>
      </c>
      <c r="K891" s="98">
        <f t="shared" si="117"/>
        <v>28275279</v>
      </c>
      <c r="L891" s="98">
        <f t="shared" si="118"/>
        <v>0</v>
      </c>
      <c r="M891" s="98">
        <f t="shared" si="119"/>
        <v>28275279</v>
      </c>
      <c r="N891" s="100"/>
    </row>
    <row r="892" spans="1:14" ht="15.75" customHeight="1" x14ac:dyDescent="0.25">
      <c r="A892" s="52" t="str">
        <f t="shared" si="115"/>
        <v>HT</v>
      </c>
      <c r="B892" s="32" t="s">
        <v>1257</v>
      </c>
      <c r="C892" s="33">
        <v>887</v>
      </c>
      <c r="D892" s="39" t="s">
        <v>1258</v>
      </c>
      <c r="E892" s="33" t="s">
        <v>10</v>
      </c>
      <c r="F892" s="33">
        <v>15.7</v>
      </c>
      <c r="G892" s="33"/>
      <c r="H892" s="33">
        <f t="shared" si="116"/>
        <v>15.7</v>
      </c>
      <c r="I892" s="34" t="s">
        <v>13</v>
      </c>
      <c r="J892" s="99">
        <f>+'[2]Dự thầu'!$G1074</f>
        <v>103945</v>
      </c>
      <c r="K892" s="98">
        <f t="shared" si="117"/>
        <v>1631937</v>
      </c>
      <c r="L892" s="98">
        <f t="shared" si="118"/>
        <v>0</v>
      </c>
      <c r="M892" s="98">
        <f t="shared" si="119"/>
        <v>1631937</v>
      </c>
      <c r="N892" s="100"/>
    </row>
    <row r="893" spans="1:14" ht="15.75" customHeight="1" x14ac:dyDescent="0.25">
      <c r="A893" s="52" t="str">
        <f t="shared" si="115"/>
        <v>HT</v>
      </c>
      <c r="B893" s="32" t="s">
        <v>1259</v>
      </c>
      <c r="C893" s="33">
        <v>888</v>
      </c>
      <c r="D893" s="39" t="s">
        <v>742</v>
      </c>
      <c r="E893" s="33" t="s">
        <v>10</v>
      </c>
      <c r="F893" s="33">
        <v>40.14</v>
      </c>
      <c r="G893" s="33"/>
      <c r="H893" s="33">
        <f t="shared" si="116"/>
        <v>40.14</v>
      </c>
      <c r="I893" s="34" t="s">
        <v>13</v>
      </c>
      <c r="J893" s="99">
        <f>+'[2]Dự thầu'!$G1075</f>
        <v>141724</v>
      </c>
      <c r="K893" s="98">
        <f t="shared" si="117"/>
        <v>5688801</v>
      </c>
      <c r="L893" s="98">
        <f t="shared" si="118"/>
        <v>0</v>
      </c>
      <c r="M893" s="98">
        <f t="shared" si="119"/>
        <v>5688801</v>
      </c>
      <c r="N893" s="100"/>
    </row>
    <row r="894" spans="1:14" ht="15.75" customHeight="1" x14ac:dyDescent="0.25">
      <c r="A894" s="52" t="str">
        <f t="shared" si="115"/>
        <v>HT</v>
      </c>
      <c r="B894" s="32" t="s">
        <v>1260</v>
      </c>
      <c r="C894" s="33">
        <v>889</v>
      </c>
      <c r="D894" s="39" t="s">
        <v>744</v>
      </c>
      <c r="E894" s="33" t="s">
        <v>10</v>
      </c>
      <c r="F894" s="33">
        <v>41.58</v>
      </c>
      <c r="G894" s="33"/>
      <c r="H894" s="33">
        <f t="shared" si="116"/>
        <v>41.58</v>
      </c>
      <c r="I894" s="34" t="s">
        <v>16</v>
      </c>
      <c r="J894" s="99">
        <f>+'[2]Dự thầu'!$G1076</f>
        <v>1725529</v>
      </c>
      <c r="K894" s="98">
        <f t="shared" si="117"/>
        <v>71747496</v>
      </c>
      <c r="L894" s="98">
        <f t="shared" si="118"/>
        <v>0</v>
      </c>
      <c r="M894" s="98">
        <f t="shared" si="119"/>
        <v>71747496</v>
      </c>
      <c r="N894" s="100"/>
    </row>
    <row r="895" spans="1:14" ht="15.75" customHeight="1" x14ac:dyDescent="0.25">
      <c r="A895" s="52" t="str">
        <f t="shared" si="115"/>
        <v>HT</v>
      </c>
      <c r="B895" s="32" t="s">
        <v>1261</v>
      </c>
      <c r="C895" s="33">
        <v>890</v>
      </c>
      <c r="D895" s="39" t="s">
        <v>746</v>
      </c>
      <c r="E895" s="33" t="s">
        <v>10</v>
      </c>
      <c r="F895" s="33">
        <v>0.03</v>
      </c>
      <c r="G895" s="33"/>
      <c r="H895" s="33">
        <f t="shared" si="116"/>
        <v>0.03</v>
      </c>
      <c r="I895" s="34" t="s">
        <v>90</v>
      </c>
      <c r="J895" s="99">
        <f>+'[2]Dự thầu'!$G1077</f>
        <v>28103452</v>
      </c>
      <c r="K895" s="98">
        <f t="shared" si="117"/>
        <v>843104</v>
      </c>
      <c r="L895" s="98">
        <f t="shared" si="118"/>
        <v>0</v>
      </c>
      <c r="M895" s="98">
        <f t="shared" si="119"/>
        <v>843104</v>
      </c>
      <c r="N895" s="100"/>
    </row>
    <row r="896" spans="1:14" ht="15.75" customHeight="1" x14ac:dyDescent="0.25">
      <c r="A896" s="52" t="str">
        <f t="shared" si="115"/>
        <v>HT</v>
      </c>
      <c r="B896" s="32" t="s">
        <v>1262</v>
      </c>
      <c r="C896" s="33">
        <v>891</v>
      </c>
      <c r="D896" s="39" t="s">
        <v>748</v>
      </c>
      <c r="E896" s="33" t="s">
        <v>10</v>
      </c>
      <c r="F896" s="33">
        <v>5.14</v>
      </c>
      <c r="G896" s="33"/>
      <c r="H896" s="33">
        <f t="shared" si="116"/>
        <v>5.14</v>
      </c>
      <c r="I896" s="34" t="s">
        <v>90</v>
      </c>
      <c r="J896" s="99">
        <f>+'[2]Dự thầu'!$G1078</f>
        <v>25312818</v>
      </c>
      <c r="K896" s="98">
        <f t="shared" si="117"/>
        <v>130107885</v>
      </c>
      <c r="L896" s="98">
        <f t="shared" si="118"/>
        <v>0</v>
      </c>
      <c r="M896" s="98">
        <f t="shared" si="119"/>
        <v>130107885</v>
      </c>
      <c r="N896" s="100"/>
    </row>
    <row r="897" spans="1:14" ht="15.75" customHeight="1" x14ac:dyDescent="0.25">
      <c r="A897" s="52" t="str">
        <f t="shared" si="115"/>
        <v>HT</v>
      </c>
      <c r="B897" s="32" t="s">
        <v>1263</v>
      </c>
      <c r="C897" s="33">
        <v>892</v>
      </c>
      <c r="D897" s="39" t="s">
        <v>750</v>
      </c>
      <c r="E897" s="33" t="s">
        <v>10</v>
      </c>
      <c r="F897" s="33">
        <v>0.12</v>
      </c>
      <c r="G897" s="33"/>
      <c r="H897" s="33">
        <f t="shared" si="116"/>
        <v>0.12</v>
      </c>
      <c r="I897" s="34" t="s">
        <v>90</v>
      </c>
      <c r="J897" s="99">
        <f>+'[2]Dự thầu'!$G1079</f>
        <v>24559750</v>
      </c>
      <c r="K897" s="98">
        <f t="shared" si="117"/>
        <v>2947170</v>
      </c>
      <c r="L897" s="98">
        <f t="shared" si="118"/>
        <v>0</v>
      </c>
      <c r="M897" s="98">
        <f t="shared" si="119"/>
        <v>2947170</v>
      </c>
      <c r="N897" s="100"/>
    </row>
    <row r="898" spans="1:14" ht="15.75" customHeight="1" x14ac:dyDescent="0.25">
      <c r="A898" s="52" t="str">
        <f t="shared" si="115"/>
        <v>HT</v>
      </c>
      <c r="B898" s="32" t="s">
        <v>1264</v>
      </c>
      <c r="C898" s="33">
        <v>893</v>
      </c>
      <c r="D898" s="39" t="s">
        <v>752</v>
      </c>
      <c r="E898" s="33" t="s">
        <v>10</v>
      </c>
      <c r="F898" s="33">
        <v>28.92</v>
      </c>
      <c r="G898" s="33"/>
      <c r="H898" s="33">
        <f t="shared" si="116"/>
        <v>28.92</v>
      </c>
      <c r="I898" s="34" t="s">
        <v>13</v>
      </c>
      <c r="J898" s="99">
        <f>+'[2]Dự thầu'!$G1080</f>
        <v>103945</v>
      </c>
      <c r="K898" s="98">
        <f t="shared" si="117"/>
        <v>3006089</v>
      </c>
      <c r="L898" s="98">
        <f t="shared" si="118"/>
        <v>0</v>
      </c>
      <c r="M898" s="98">
        <f t="shared" si="119"/>
        <v>3006089</v>
      </c>
      <c r="N898" s="100"/>
    </row>
    <row r="899" spans="1:14" ht="15.75" customHeight="1" x14ac:dyDescent="0.25">
      <c r="A899" s="52" t="str">
        <f t="shared" si="115"/>
        <v>HT</v>
      </c>
      <c r="B899" s="32" t="s">
        <v>1265</v>
      </c>
      <c r="C899" s="33">
        <v>894</v>
      </c>
      <c r="D899" s="39" t="s">
        <v>670</v>
      </c>
      <c r="E899" s="33" t="s">
        <v>10</v>
      </c>
      <c r="F899" s="33">
        <v>28.93</v>
      </c>
      <c r="G899" s="33"/>
      <c r="H899" s="33">
        <f t="shared" si="116"/>
        <v>28.93</v>
      </c>
      <c r="I899" s="34" t="s">
        <v>16</v>
      </c>
      <c r="J899" s="99">
        <f>+'[2]Dự thầu'!$G1081</f>
        <v>1252250</v>
      </c>
      <c r="K899" s="98">
        <f t="shared" si="117"/>
        <v>36227593</v>
      </c>
      <c r="L899" s="98">
        <f t="shared" si="118"/>
        <v>0</v>
      </c>
      <c r="M899" s="98">
        <f t="shared" si="119"/>
        <v>36227593</v>
      </c>
      <c r="N899" s="100"/>
    </row>
    <row r="900" spans="1:14" ht="15.75" customHeight="1" x14ac:dyDescent="0.25">
      <c r="A900" s="52" t="str">
        <f t="shared" si="115"/>
        <v>HT</v>
      </c>
      <c r="B900" s="32" t="s">
        <v>1266</v>
      </c>
      <c r="C900" s="33">
        <v>895</v>
      </c>
      <c r="D900" s="39" t="s">
        <v>754</v>
      </c>
      <c r="E900" s="33" t="s">
        <v>10</v>
      </c>
      <c r="F900" s="102">
        <v>1279.8599999999999</v>
      </c>
      <c r="G900" s="102"/>
      <c r="H900" s="102">
        <f t="shared" si="116"/>
        <v>1279.8599999999999</v>
      </c>
      <c r="I900" s="34" t="s">
        <v>16</v>
      </c>
      <c r="J900" s="99">
        <f>+'[2]Dự thầu'!$G1082</f>
        <v>20867</v>
      </c>
      <c r="K900" s="98">
        <f t="shared" si="117"/>
        <v>26706839</v>
      </c>
      <c r="L900" s="98">
        <f t="shared" si="118"/>
        <v>0</v>
      </c>
      <c r="M900" s="98">
        <f t="shared" si="119"/>
        <v>26706839</v>
      </c>
      <c r="N900" s="100"/>
    </row>
    <row r="901" spans="1:14" ht="15.75" customHeight="1" x14ac:dyDescent="0.25">
      <c r="A901" s="52" t="str">
        <f t="shared" si="115"/>
        <v>HT</v>
      </c>
      <c r="B901" s="32" t="s">
        <v>1267</v>
      </c>
      <c r="C901" s="33">
        <v>896</v>
      </c>
      <c r="D901" s="39" t="s">
        <v>610</v>
      </c>
      <c r="E901" s="33" t="s">
        <v>10</v>
      </c>
      <c r="F901" s="33">
        <v>42.22</v>
      </c>
      <c r="G901" s="33"/>
      <c r="H901" s="33">
        <f t="shared" si="116"/>
        <v>42.22</v>
      </c>
      <c r="I901" s="34" t="s">
        <v>16</v>
      </c>
      <c r="J901" s="99">
        <f>+'[2]Dự thầu'!$G1083</f>
        <v>12936</v>
      </c>
      <c r="K901" s="98">
        <f t="shared" si="117"/>
        <v>546158</v>
      </c>
      <c r="L901" s="98">
        <f t="shared" si="118"/>
        <v>0</v>
      </c>
      <c r="M901" s="98">
        <f t="shared" si="119"/>
        <v>546158</v>
      </c>
      <c r="N901" s="100"/>
    </row>
    <row r="902" spans="1:14" ht="15.75" customHeight="1" x14ac:dyDescent="0.25">
      <c r="A902" s="52" t="str">
        <f t="shared" si="115"/>
        <v>HT</v>
      </c>
      <c r="B902" s="32" t="s">
        <v>1268</v>
      </c>
      <c r="C902" s="33">
        <v>897</v>
      </c>
      <c r="D902" s="39" t="s">
        <v>32</v>
      </c>
      <c r="E902" s="33" t="s">
        <v>10</v>
      </c>
      <c r="F902" s="33">
        <v>57.73</v>
      </c>
      <c r="G902" s="33"/>
      <c r="H902" s="33">
        <f t="shared" si="116"/>
        <v>57.73</v>
      </c>
      <c r="I902" s="34" t="s">
        <v>16</v>
      </c>
      <c r="J902" s="99">
        <f>+'[2]Dự thầu'!$G1084</f>
        <v>50585</v>
      </c>
      <c r="K902" s="98">
        <f t="shared" si="117"/>
        <v>2920272</v>
      </c>
      <c r="L902" s="98">
        <f t="shared" si="118"/>
        <v>0</v>
      </c>
      <c r="M902" s="98">
        <f t="shared" si="119"/>
        <v>2920272</v>
      </c>
      <c r="N902" s="100"/>
    </row>
    <row r="903" spans="1:14" ht="15.75" customHeight="1" x14ac:dyDescent="0.25">
      <c r="A903" s="52" t="str">
        <f t="shared" si="115"/>
        <v>HT</v>
      </c>
      <c r="B903" s="32" t="s">
        <v>1269</v>
      </c>
      <c r="C903" s="33">
        <v>898</v>
      </c>
      <c r="D903" s="39" t="s">
        <v>36</v>
      </c>
      <c r="E903" s="33" t="s">
        <v>10</v>
      </c>
      <c r="F903" s="33">
        <v>5.77</v>
      </c>
      <c r="G903" s="33"/>
      <c r="H903" s="33">
        <f t="shared" si="116"/>
        <v>5.77</v>
      </c>
      <c r="I903" s="34" t="s">
        <v>37</v>
      </c>
      <c r="J903" s="99">
        <f>+'[2]Dự thầu'!$G$1085+'[2]Dự thầu'!$G$1086+'[2]Dự thầu'!$G$1087</f>
        <v>1032698</v>
      </c>
      <c r="K903" s="98">
        <f t="shared" si="117"/>
        <v>5958667</v>
      </c>
      <c r="L903" s="98">
        <f t="shared" si="118"/>
        <v>0</v>
      </c>
      <c r="M903" s="98">
        <f t="shared" si="119"/>
        <v>5958667</v>
      </c>
      <c r="N903" s="100"/>
    </row>
    <row r="904" spans="1:14" ht="15.75" customHeight="1" x14ac:dyDescent="0.25">
      <c r="A904" s="52" t="str">
        <f t="shared" si="115"/>
        <v>HT</v>
      </c>
      <c r="B904" s="32" t="s">
        <v>1270</v>
      </c>
      <c r="C904" s="33">
        <v>899</v>
      </c>
      <c r="D904" s="39" t="s">
        <v>624</v>
      </c>
      <c r="E904" s="33" t="s">
        <v>10</v>
      </c>
      <c r="F904" s="33">
        <v>387.89</v>
      </c>
      <c r="G904" s="33"/>
      <c r="H904" s="33">
        <f t="shared" si="116"/>
        <v>387.89</v>
      </c>
      <c r="I904" s="34" t="s">
        <v>16</v>
      </c>
      <c r="J904" s="99">
        <f>+'[2]Dự thầu'!$G1088</f>
        <v>271833</v>
      </c>
      <c r="K904" s="98">
        <f t="shared" si="117"/>
        <v>105441302</v>
      </c>
      <c r="L904" s="98">
        <f t="shared" si="118"/>
        <v>0</v>
      </c>
      <c r="M904" s="98">
        <f t="shared" si="119"/>
        <v>105441302</v>
      </c>
      <c r="N904" s="100"/>
    </row>
    <row r="905" spans="1:14" ht="15.75" customHeight="1" x14ac:dyDescent="0.25">
      <c r="A905" s="52" t="str">
        <f t="shared" si="115"/>
        <v>HT</v>
      </c>
      <c r="B905" s="32" t="s">
        <v>1271</v>
      </c>
      <c r="C905" s="33">
        <v>900</v>
      </c>
      <c r="D905" s="39" t="s">
        <v>620</v>
      </c>
      <c r="E905" s="33" t="s">
        <v>10</v>
      </c>
      <c r="F905" s="102">
        <v>16303.22</v>
      </c>
      <c r="G905" s="102"/>
      <c r="H905" s="102">
        <f t="shared" si="116"/>
        <v>16303.22</v>
      </c>
      <c r="I905" s="34" t="s">
        <v>75</v>
      </c>
      <c r="J905" s="99">
        <f>+'[2]Dự thầu'!$G1089</f>
        <v>11223</v>
      </c>
      <c r="K905" s="98">
        <f t="shared" si="117"/>
        <v>182971038</v>
      </c>
      <c r="L905" s="98">
        <f t="shared" si="118"/>
        <v>0</v>
      </c>
      <c r="M905" s="98">
        <f t="shared" si="119"/>
        <v>182971038</v>
      </c>
      <c r="N905" s="100"/>
    </row>
    <row r="906" spans="1:14" ht="15.75" customHeight="1" x14ac:dyDescent="0.25">
      <c r="A906" s="52" t="str">
        <f t="shared" si="115"/>
        <v>HT</v>
      </c>
      <c r="B906" s="32" t="s">
        <v>1272</v>
      </c>
      <c r="C906" s="33">
        <v>901</v>
      </c>
      <c r="D906" s="39" t="s">
        <v>622</v>
      </c>
      <c r="E906" s="33" t="s">
        <v>10</v>
      </c>
      <c r="F906" s="102">
        <v>1361.95</v>
      </c>
      <c r="G906" s="102"/>
      <c r="H906" s="102">
        <f t="shared" si="116"/>
        <v>1361.95</v>
      </c>
      <c r="I906" s="34" t="s">
        <v>13</v>
      </c>
      <c r="J906" s="99">
        <f>+'[2]Dự thầu'!$G1090</f>
        <v>19714</v>
      </c>
      <c r="K906" s="98">
        <f t="shared" si="117"/>
        <v>26849482</v>
      </c>
      <c r="L906" s="98">
        <f t="shared" si="118"/>
        <v>0</v>
      </c>
      <c r="M906" s="98">
        <f t="shared" si="119"/>
        <v>26849482</v>
      </c>
      <c r="N906" s="100"/>
    </row>
    <row r="907" spans="1:14" ht="15.75" customHeight="1" x14ac:dyDescent="0.25">
      <c r="A907" s="52" t="str">
        <f t="shared" si="115"/>
        <v>HT</v>
      </c>
      <c r="B907" s="32" t="s">
        <v>1273</v>
      </c>
      <c r="C907" s="33">
        <v>902</v>
      </c>
      <c r="D907" s="39" t="s">
        <v>626</v>
      </c>
      <c r="E907" s="33" t="s">
        <v>10</v>
      </c>
      <c r="F907" s="102">
        <v>1232.1600000000001</v>
      </c>
      <c r="G907" s="102"/>
      <c r="H907" s="102">
        <f t="shared" si="116"/>
        <v>1232.1600000000001</v>
      </c>
      <c r="I907" s="34" t="s">
        <v>16</v>
      </c>
      <c r="J907" s="99">
        <f>+'[2]Dự thầu'!$G1091</f>
        <v>45382</v>
      </c>
      <c r="K907" s="98">
        <f t="shared" ref="K907:K913" si="120">+ROUND(J907*F907,0)</f>
        <v>55917885</v>
      </c>
      <c r="L907" s="98">
        <f t="shared" ref="L907:L913" si="121">+ROUND(G907*J907,0)</f>
        <v>0</v>
      </c>
      <c r="M907" s="98">
        <f t="shared" ref="M907:M913" si="122">+ROUND(H907*J907,0)</f>
        <v>55917885</v>
      </c>
      <c r="N907" s="100"/>
    </row>
    <row r="908" spans="1:14" ht="15.75" customHeight="1" x14ac:dyDescent="0.25">
      <c r="A908" s="52" t="str">
        <f t="shared" si="115"/>
        <v>HT</v>
      </c>
      <c r="B908" s="32" t="s">
        <v>1274</v>
      </c>
      <c r="C908" s="33">
        <v>903</v>
      </c>
      <c r="D908" s="39" t="s">
        <v>770</v>
      </c>
      <c r="E908" s="33" t="s">
        <v>10</v>
      </c>
      <c r="F908" s="33">
        <v>4.6214000000000004</v>
      </c>
      <c r="G908" s="33"/>
      <c r="H908" s="33">
        <f t="shared" si="116"/>
        <v>4.6214000000000004</v>
      </c>
      <c r="I908" s="34" t="s">
        <v>90</v>
      </c>
      <c r="J908" s="99">
        <f>+'[2]Dự thầu'!$G1095</f>
        <v>10406267</v>
      </c>
      <c r="K908" s="98">
        <f t="shared" si="120"/>
        <v>48091522</v>
      </c>
      <c r="L908" s="98">
        <f t="shared" si="121"/>
        <v>0</v>
      </c>
      <c r="M908" s="98">
        <f t="shared" si="122"/>
        <v>48091522</v>
      </c>
      <c r="N908" s="100"/>
    </row>
    <row r="909" spans="1:14" ht="15.75" customHeight="1" x14ac:dyDescent="0.25">
      <c r="A909" s="52" t="str">
        <f t="shared" si="115"/>
        <v>HT</v>
      </c>
      <c r="B909" s="32" t="s">
        <v>1275</v>
      </c>
      <c r="C909" s="33">
        <v>904</v>
      </c>
      <c r="D909" s="39" t="s">
        <v>772</v>
      </c>
      <c r="E909" s="33" t="s">
        <v>10</v>
      </c>
      <c r="F909" s="33">
        <v>4.6214000000000004</v>
      </c>
      <c r="G909" s="33"/>
      <c r="H909" s="33">
        <f t="shared" si="116"/>
        <v>4.6214000000000004</v>
      </c>
      <c r="I909" s="34" t="s">
        <v>90</v>
      </c>
      <c r="J909" s="99">
        <f>+'[2]Dự thầu'!$G1096</f>
        <v>2675122</v>
      </c>
      <c r="K909" s="98">
        <f t="shared" si="120"/>
        <v>12362809</v>
      </c>
      <c r="L909" s="98">
        <f t="shared" si="121"/>
        <v>0</v>
      </c>
      <c r="M909" s="98">
        <f t="shared" si="122"/>
        <v>12362809</v>
      </c>
      <c r="N909" s="100"/>
    </row>
    <row r="910" spans="1:14" ht="15.75" customHeight="1" x14ac:dyDescent="0.25">
      <c r="A910" s="52" t="str">
        <f t="shared" si="115"/>
        <v>HT</v>
      </c>
      <c r="B910" s="32" t="s">
        <v>1276</v>
      </c>
      <c r="C910" s="33">
        <v>905</v>
      </c>
      <c r="D910" s="39" t="s">
        <v>628</v>
      </c>
      <c r="E910" s="33" t="s">
        <v>10</v>
      </c>
      <c r="F910" s="33">
        <v>426</v>
      </c>
      <c r="G910" s="33"/>
      <c r="H910" s="33">
        <f t="shared" si="116"/>
        <v>426</v>
      </c>
      <c r="I910" s="34" t="s">
        <v>16</v>
      </c>
      <c r="J910" s="99">
        <f>+'[2]Dự thầu'!$G1097</f>
        <v>23993</v>
      </c>
      <c r="K910" s="98">
        <f t="shared" si="120"/>
        <v>10221018</v>
      </c>
      <c r="L910" s="98">
        <f t="shared" si="121"/>
        <v>0</v>
      </c>
      <c r="M910" s="98">
        <f t="shared" si="122"/>
        <v>10221018</v>
      </c>
      <c r="N910" s="100"/>
    </row>
    <row r="911" spans="1:14" ht="31.5" customHeight="1" x14ac:dyDescent="0.25">
      <c r="A911" s="52" t="str">
        <f t="shared" si="115"/>
        <v>HT</v>
      </c>
      <c r="B911" s="32" t="s">
        <v>1277</v>
      </c>
      <c r="C911" s="33">
        <v>906</v>
      </c>
      <c r="D911" s="39" t="s">
        <v>630</v>
      </c>
      <c r="E911" s="33" t="s">
        <v>10</v>
      </c>
      <c r="F911" s="33">
        <v>72.8</v>
      </c>
      <c r="G911" s="33"/>
      <c r="H911" s="33">
        <f t="shared" si="116"/>
        <v>72.8</v>
      </c>
      <c r="I911" s="34" t="s">
        <v>16</v>
      </c>
      <c r="J911" s="99">
        <f>+'[2]Dự thầu'!$G1098</f>
        <v>7229</v>
      </c>
      <c r="K911" s="98">
        <f t="shared" si="120"/>
        <v>526271</v>
      </c>
      <c r="L911" s="98">
        <f t="shared" si="121"/>
        <v>0</v>
      </c>
      <c r="M911" s="98">
        <f t="shared" si="122"/>
        <v>526271</v>
      </c>
      <c r="N911" s="100"/>
    </row>
    <row r="912" spans="1:14" ht="15.75" customHeight="1" x14ac:dyDescent="0.25">
      <c r="A912" s="52" t="str">
        <f t="shared" si="115"/>
        <v>HT</v>
      </c>
      <c r="B912" s="32" t="s">
        <v>1278</v>
      </c>
      <c r="C912" s="33">
        <v>907</v>
      </c>
      <c r="D912" s="39" t="s">
        <v>632</v>
      </c>
      <c r="E912" s="33" t="s">
        <v>10</v>
      </c>
      <c r="F912" s="33">
        <v>426</v>
      </c>
      <c r="G912" s="33"/>
      <c r="H912" s="33">
        <f t="shared" si="116"/>
        <v>426</v>
      </c>
      <c r="I912" s="34" t="s">
        <v>16</v>
      </c>
      <c r="J912" s="99">
        <f>+'[2]Dự thầu'!$G1099</f>
        <v>19746</v>
      </c>
      <c r="K912" s="98">
        <f t="shared" si="120"/>
        <v>8411796</v>
      </c>
      <c r="L912" s="98">
        <f t="shared" si="121"/>
        <v>0</v>
      </c>
      <c r="M912" s="98">
        <f t="shared" si="122"/>
        <v>8411796</v>
      </c>
      <c r="N912" s="100"/>
    </row>
    <row r="913" spans="1:15" ht="15.75" customHeight="1" x14ac:dyDescent="0.25">
      <c r="A913" s="52" t="str">
        <f t="shared" si="115"/>
        <v>HT</v>
      </c>
      <c r="B913" s="32" t="s">
        <v>1279</v>
      </c>
      <c r="C913" s="33">
        <v>908</v>
      </c>
      <c r="D913" s="39" t="s">
        <v>685</v>
      </c>
      <c r="E913" s="33" t="s">
        <v>10</v>
      </c>
      <c r="F913" s="33">
        <v>426</v>
      </c>
      <c r="G913" s="33"/>
      <c r="H913" s="33">
        <f t="shared" si="116"/>
        <v>426</v>
      </c>
      <c r="I913" s="34" t="s">
        <v>16</v>
      </c>
      <c r="J913" s="99">
        <f>+'[2]Dự thầu'!$G1100</f>
        <v>45382</v>
      </c>
      <c r="K913" s="98">
        <f t="shared" si="120"/>
        <v>19332732</v>
      </c>
      <c r="L913" s="98">
        <f t="shared" si="121"/>
        <v>0</v>
      </c>
      <c r="M913" s="98">
        <f t="shared" si="122"/>
        <v>19332732</v>
      </c>
      <c r="N913" s="100"/>
    </row>
    <row r="914" spans="1:15" s="22" customFormat="1" ht="47.25" customHeight="1" x14ac:dyDescent="0.25">
      <c r="A914" s="52" t="str">
        <f t="shared" si="115"/>
        <v>HT</v>
      </c>
      <c r="B914" s="29">
        <v>14</v>
      </c>
      <c r="C914" s="30">
        <v>909</v>
      </c>
      <c r="D914" s="12" t="s">
        <v>1280</v>
      </c>
      <c r="E914" s="30" t="s">
        <v>10</v>
      </c>
      <c r="F914" s="30"/>
      <c r="G914" s="30"/>
      <c r="H914" s="30">
        <f t="shared" si="116"/>
        <v>0</v>
      </c>
      <c r="I914" s="31"/>
      <c r="J914" s="97"/>
      <c r="K914" s="35"/>
      <c r="L914" s="104"/>
      <c r="M914" s="104"/>
      <c r="N914" s="23"/>
      <c r="O914" s="104"/>
    </row>
    <row r="915" spans="1:15" ht="15.75" customHeight="1" x14ac:dyDescent="0.25">
      <c r="A915" s="52" t="str">
        <f t="shared" si="115"/>
        <v>HT</v>
      </c>
      <c r="B915" s="32" t="s">
        <v>1281</v>
      </c>
      <c r="C915" s="33">
        <v>910</v>
      </c>
      <c r="D915" s="39" t="s">
        <v>831</v>
      </c>
      <c r="E915" s="33" t="s">
        <v>10</v>
      </c>
      <c r="F915" s="33">
        <v>29.25</v>
      </c>
      <c r="G915" s="33"/>
      <c r="H915" s="33">
        <f t="shared" si="116"/>
        <v>29.25</v>
      </c>
      <c r="I915" s="34" t="s">
        <v>16</v>
      </c>
      <c r="J915" s="99">
        <f>+'[2]Dự thầu'!$G1190</f>
        <v>1688075</v>
      </c>
      <c r="K915" s="98">
        <f t="shared" ref="K915:K946" si="123">+ROUND(J915*F915,0)</f>
        <v>49376194</v>
      </c>
      <c r="L915" s="98">
        <f t="shared" ref="L915:L946" si="124">+ROUND(G915*J915,0)</f>
        <v>0</v>
      </c>
      <c r="M915" s="98">
        <f t="shared" ref="M915:M946" si="125">+ROUND(H915*J915,0)</f>
        <v>49376194</v>
      </c>
      <c r="N915" s="100"/>
    </row>
    <row r="916" spans="1:15" ht="31.5" customHeight="1" x14ac:dyDescent="0.25">
      <c r="A916" s="52" t="str">
        <f t="shared" si="115"/>
        <v>HT</v>
      </c>
      <c r="B916" s="32" t="s">
        <v>1282</v>
      </c>
      <c r="C916" s="33">
        <v>911</v>
      </c>
      <c r="D916" s="39" t="s">
        <v>833</v>
      </c>
      <c r="E916" s="33" t="s">
        <v>10</v>
      </c>
      <c r="F916" s="33">
        <v>0.19</v>
      </c>
      <c r="G916" s="33"/>
      <c r="H916" s="33">
        <f t="shared" si="116"/>
        <v>0.19</v>
      </c>
      <c r="I916" s="34" t="s">
        <v>90</v>
      </c>
      <c r="J916" s="99">
        <f>+'[2]Dự thầu'!$G1191</f>
        <v>28771832</v>
      </c>
      <c r="K916" s="98">
        <f t="shared" si="123"/>
        <v>5466648</v>
      </c>
      <c r="L916" s="98">
        <f t="shared" si="124"/>
        <v>0</v>
      </c>
      <c r="M916" s="98">
        <f t="shared" si="125"/>
        <v>5466648</v>
      </c>
      <c r="N916" s="100"/>
    </row>
    <row r="917" spans="1:15" ht="31.5" customHeight="1" x14ac:dyDescent="0.25">
      <c r="A917" s="52" t="str">
        <f t="shared" ref="A917:A980" si="126">A916</f>
        <v>HT</v>
      </c>
      <c r="B917" s="32" t="s">
        <v>1283</v>
      </c>
      <c r="C917" s="33">
        <v>912</v>
      </c>
      <c r="D917" s="39" t="s">
        <v>835</v>
      </c>
      <c r="E917" s="33" t="s">
        <v>10</v>
      </c>
      <c r="F917" s="33">
        <v>4.5599999999999996</v>
      </c>
      <c r="G917" s="33"/>
      <c r="H917" s="33">
        <f t="shared" ref="H917:H980" si="127">+F917</f>
        <v>4.5599999999999996</v>
      </c>
      <c r="I917" s="34" t="s">
        <v>90</v>
      </c>
      <c r="J917" s="99">
        <f>+'[2]Dự thầu'!$G1192</f>
        <v>27010601</v>
      </c>
      <c r="K917" s="98">
        <f t="shared" si="123"/>
        <v>123168341</v>
      </c>
      <c r="L917" s="98">
        <f t="shared" si="124"/>
        <v>0</v>
      </c>
      <c r="M917" s="98">
        <f t="shared" si="125"/>
        <v>123168341</v>
      </c>
      <c r="N917" s="100"/>
    </row>
    <row r="918" spans="1:15" ht="31.5" customHeight="1" x14ac:dyDescent="0.25">
      <c r="A918" s="52" t="str">
        <f t="shared" si="126"/>
        <v>HT</v>
      </c>
      <c r="B918" s="32" t="s">
        <v>1284</v>
      </c>
      <c r="C918" s="33">
        <v>913</v>
      </c>
      <c r="D918" s="39" t="s">
        <v>336</v>
      </c>
      <c r="E918" s="33" t="s">
        <v>10</v>
      </c>
      <c r="F918" s="33">
        <v>259.39999999999998</v>
      </c>
      <c r="G918" s="33"/>
      <c r="H918" s="33">
        <f t="shared" si="127"/>
        <v>259.39999999999998</v>
      </c>
      <c r="I918" s="34" t="s">
        <v>13</v>
      </c>
      <c r="J918" s="99">
        <f>+'[2]Dự thầu'!$G1193</f>
        <v>102621</v>
      </c>
      <c r="K918" s="98">
        <f t="shared" si="123"/>
        <v>26619887</v>
      </c>
      <c r="L918" s="98">
        <f t="shared" si="124"/>
        <v>0</v>
      </c>
      <c r="M918" s="98">
        <f t="shared" si="125"/>
        <v>26619887</v>
      </c>
      <c r="N918" s="100"/>
    </row>
    <row r="919" spans="1:15" ht="31.5" customHeight="1" x14ac:dyDescent="0.25">
      <c r="A919" s="52" t="str">
        <f t="shared" si="126"/>
        <v>HT</v>
      </c>
      <c r="B919" s="32" t="s">
        <v>1285</v>
      </c>
      <c r="C919" s="33">
        <v>914</v>
      </c>
      <c r="D919" s="39" t="s">
        <v>838</v>
      </c>
      <c r="E919" s="33" t="s">
        <v>10</v>
      </c>
      <c r="F919" s="33">
        <v>22</v>
      </c>
      <c r="G919" s="33"/>
      <c r="H919" s="33">
        <f t="shared" si="127"/>
        <v>22</v>
      </c>
      <c r="I919" s="34" t="s">
        <v>250</v>
      </c>
      <c r="J919" s="99">
        <f>+'[2]Dự thầu'!$G1194</f>
        <v>113802</v>
      </c>
      <c r="K919" s="98">
        <f t="shared" si="123"/>
        <v>2503644</v>
      </c>
      <c r="L919" s="98">
        <f t="shared" si="124"/>
        <v>0</v>
      </c>
      <c r="M919" s="98">
        <f t="shared" si="125"/>
        <v>2503644</v>
      </c>
      <c r="N919" s="100"/>
    </row>
    <row r="920" spans="1:15" ht="47.25" customHeight="1" x14ac:dyDescent="0.25">
      <c r="A920" s="52" t="str">
        <f t="shared" si="126"/>
        <v>HT</v>
      </c>
      <c r="B920" s="32" t="s">
        <v>1286</v>
      </c>
      <c r="C920" s="33">
        <v>915</v>
      </c>
      <c r="D920" s="39" t="s">
        <v>571</v>
      </c>
      <c r="E920" s="33" t="s">
        <v>10</v>
      </c>
      <c r="F920" s="33">
        <v>22</v>
      </c>
      <c r="G920" s="33"/>
      <c r="H920" s="33">
        <f t="shared" si="127"/>
        <v>22</v>
      </c>
      <c r="I920" s="34" t="s">
        <v>250</v>
      </c>
      <c r="J920" s="99">
        <f>+'[2]Dự thầu'!$G1195</f>
        <v>91827</v>
      </c>
      <c r="K920" s="98">
        <f t="shared" si="123"/>
        <v>2020194</v>
      </c>
      <c r="L920" s="98">
        <f t="shared" si="124"/>
        <v>0</v>
      </c>
      <c r="M920" s="98">
        <f t="shared" si="125"/>
        <v>2020194</v>
      </c>
      <c r="N920" s="100"/>
    </row>
    <row r="921" spans="1:15" ht="31.5" customHeight="1" x14ac:dyDescent="0.25">
      <c r="A921" s="52" t="str">
        <f t="shared" si="126"/>
        <v>HT</v>
      </c>
      <c r="B921" s="32" t="s">
        <v>1287</v>
      </c>
      <c r="C921" s="33">
        <v>916</v>
      </c>
      <c r="D921" s="39" t="s">
        <v>647</v>
      </c>
      <c r="E921" s="33" t="s">
        <v>10</v>
      </c>
      <c r="F921" s="33">
        <v>7.31</v>
      </c>
      <c r="G921" s="33"/>
      <c r="H921" s="33">
        <f t="shared" si="127"/>
        <v>7.31</v>
      </c>
      <c r="I921" s="34" t="s">
        <v>253</v>
      </c>
      <c r="J921" s="99">
        <f>+'[2]Dự thầu'!$G1196</f>
        <v>36181</v>
      </c>
      <c r="K921" s="98">
        <f t="shared" si="123"/>
        <v>264483</v>
      </c>
      <c r="L921" s="98">
        <f t="shared" si="124"/>
        <v>0</v>
      </c>
      <c r="M921" s="98">
        <f t="shared" si="125"/>
        <v>264483</v>
      </c>
      <c r="N921" s="100"/>
    </row>
    <row r="922" spans="1:15" ht="31.5" customHeight="1" x14ac:dyDescent="0.25">
      <c r="A922" s="52" t="str">
        <f t="shared" si="126"/>
        <v>HT</v>
      </c>
      <c r="B922" s="32" t="s">
        <v>1288</v>
      </c>
      <c r="C922" s="33">
        <v>917</v>
      </c>
      <c r="D922" s="39" t="s">
        <v>859</v>
      </c>
      <c r="E922" s="33" t="s">
        <v>10</v>
      </c>
      <c r="F922" s="33">
        <v>22</v>
      </c>
      <c r="G922" s="33"/>
      <c r="H922" s="33">
        <f t="shared" si="127"/>
        <v>22</v>
      </c>
      <c r="I922" s="34" t="s">
        <v>567</v>
      </c>
      <c r="J922" s="99">
        <f>+'[2]Dự thầu'!$G1197</f>
        <v>319273</v>
      </c>
      <c r="K922" s="98">
        <f t="shared" si="123"/>
        <v>7024006</v>
      </c>
      <c r="L922" s="98">
        <f t="shared" si="124"/>
        <v>0</v>
      </c>
      <c r="M922" s="98">
        <f t="shared" si="125"/>
        <v>7024006</v>
      </c>
      <c r="N922" s="100"/>
    </row>
    <row r="923" spans="1:15" ht="15.75" customHeight="1" x14ac:dyDescent="0.25">
      <c r="A923" s="52" t="str">
        <f t="shared" si="126"/>
        <v>HT</v>
      </c>
      <c r="B923" s="32" t="s">
        <v>1289</v>
      </c>
      <c r="C923" s="33">
        <v>918</v>
      </c>
      <c r="D923" s="39" t="s">
        <v>831</v>
      </c>
      <c r="E923" s="33" t="s">
        <v>10</v>
      </c>
      <c r="F923" s="33">
        <v>332.6</v>
      </c>
      <c r="G923" s="33"/>
      <c r="H923" s="33">
        <f t="shared" si="127"/>
        <v>332.6</v>
      </c>
      <c r="I923" s="34" t="s">
        <v>16</v>
      </c>
      <c r="J923" s="99">
        <f>+'[2]Dự thầu'!$G1199</f>
        <v>1688075</v>
      </c>
      <c r="K923" s="98">
        <f t="shared" si="123"/>
        <v>561453745</v>
      </c>
      <c r="L923" s="98">
        <f t="shared" si="124"/>
        <v>0</v>
      </c>
      <c r="M923" s="98">
        <f t="shared" si="125"/>
        <v>561453745</v>
      </c>
      <c r="N923" s="100"/>
    </row>
    <row r="924" spans="1:15" ht="31.5" customHeight="1" x14ac:dyDescent="0.25">
      <c r="A924" s="52" t="str">
        <f t="shared" si="126"/>
        <v>HT</v>
      </c>
      <c r="B924" s="32" t="s">
        <v>1290</v>
      </c>
      <c r="C924" s="33">
        <v>919</v>
      </c>
      <c r="D924" s="39" t="s">
        <v>833</v>
      </c>
      <c r="E924" s="33" t="s">
        <v>10</v>
      </c>
      <c r="F924" s="33">
        <v>2.6</v>
      </c>
      <c r="G924" s="33"/>
      <c r="H924" s="33">
        <f t="shared" si="127"/>
        <v>2.6</v>
      </c>
      <c r="I924" s="34" t="s">
        <v>90</v>
      </c>
      <c r="J924" s="99">
        <f>+'[2]Dự thầu'!$G1200</f>
        <v>28771832</v>
      </c>
      <c r="K924" s="98">
        <f t="shared" si="123"/>
        <v>74806763</v>
      </c>
      <c r="L924" s="98">
        <f t="shared" si="124"/>
        <v>0</v>
      </c>
      <c r="M924" s="98">
        <f t="shared" si="125"/>
        <v>74806763</v>
      </c>
      <c r="N924" s="100"/>
    </row>
    <row r="925" spans="1:15" ht="31.5" customHeight="1" x14ac:dyDescent="0.25">
      <c r="A925" s="52" t="str">
        <f t="shared" si="126"/>
        <v>HT</v>
      </c>
      <c r="B925" s="32" t="s">
        <v>1291</v>
      </c>
      <c r="C925" s="33">
        <v>920</v>
      </c>
      <c r="D925" s="39" t="s">
        <v>835</v>
      </c>
      <c r="E925" s="33" t="s">
        <v>10</v>
      </c>
      <c r="F925" s="33">
        <v>50.55</v>
      </c>
      <c r="G925" s="33"/>
      <c r="H925" s="33">
        <f t="shared" si="127"/>
        <v>50.55</v>
      </c>
      <c r="I925" s="34" t="s">
        <v>90</v>
      </c>
      <c r="J925" s="99">
        <f>+'[2]Dự thầu'!$G1201</f>
        <v>27010601</v>
      </c>
      <c r="K925" s="98">
        <f t="shared" si="123"/>
        <v>1365385881</v>
      </c>
      <c r="L925" s="98">
        <f t="shared" si="124"/>
        <v>0</v>
      </c>
      <c r="M925" s="98">
        <f t="shared" si="125"/>
        <v>1365385881</v>
      </c>
      <c r="N925" s="100"/>
    </row>
    <row r="926" spans="1:15" ht="31.5" customHeight="1" x14ac:dyDescent="0.25">
      <c r="A926" s="52" t="str">
        <f t="shared" si="126"/>
        <v>HT</v>
      </c>
      <c r="B926" s="32" t="s">
        <v>1292</v>
      </c>
      <c r="C926" s="33">
        <v>921</v>
      </c>
      <c r="D926" s="39" t="s">
        <v>336</v>
      </c>
      <c r="E926" s="33" t="s">
        <v>10</v>
      </c>
      <c r="F926" s="98">
        <v>3094</v>
      </c>
      <c r="G926" s="98"/>
      <c r="H926" s="98">
        <f t="shared" si="127"/>
        <v>3094</v>
      </c>
      <c r="I926" s="34" t="s">
        <v>13</v>
      </c>
      <c r="J926" s="99">
        <f>+'[2]Dự thầu'!$G1202</f>
        <v>102621</v>
      </c>
      <c r="K926" s="98">
        <f t="shared" si="123"/>
        <v>317509374</v>
      </c>
      <c r="L926" s="98">
        <f t="shared" si="124"/>
        <v>0</v>
      </c>
      <c r="M926" s="98">
        <f t="shared" si="125"/>
        <v>317509374</v>
      </c>
      <c r="N926" s="100"/>
    </row>
    <row r="927" spans="1:15" ht="31.5" customHeight="1" x14ac:dyDescent="0.25">
      <c r="A927" s="52" t="str">
        <f t="shared" si="126"/>
        <v>HT</v>
      </c>
      <c r="B927" s="32" t="s">
        <v>1293</v>
      </c>
      <c r="C927" s="33">
        <v>922</v>
      </c>
      <c r="D927" s="39" t="s">
        <v>838</v>
      </c>
      <c r="E927" s="33" t="s">
        <v>10</v>
      </c>
      <c r="F927" s="33">
        <v>275</v>
      </c>
      <c r="G927" s="33"/>
      <c r="H927" s="33">
        <f t="shared" si="127"/>
        <v>275</v>
      </c>
      <c r="I927" s="34" t="s">
        <v>250</v>
      </c>
      <c r="J927" s="99">
        <f>+'[2]Dự thầu'!$G1203</f>
        <v>113802</v>
      </c>
      <c r="K927" s="98">
        <f t="shared" si="123"/>
        <v>31295550</v>
      </c>
      <c r="L927" s="98">
        <f t="shared" si="124"/>
        <v>0</v>
      </c>
      <c r="M927" s="98">
        <f t="shared" si="125"/>
        <v>31295550</v>
      </c>
      <c r="N927" s="100"/>
    </row>
    <row r="928" spans="1:15" ht="47.25" customHeight="1" x14ac:dyDescent="0.25">
      <c r="A928" s="52" t="str">
        <f t="shared" si="126"/>
        <v>HT</v>
      </c>
      <c r="B928" s="32" t="s">
        <v>1294</v>
      </c>
      <c r="C928" s="33">
        <v>923</v>
      </c>
      <c r="D928" s="39" t="s">
        <v>571</v>
      </c>
      <c r="E928" s="33" t="s">
        <v>10</v>
      </c>
      <c r="F928" s="33">
        <v>275</v>
      </c>
      <c r="G928" s="33"/>
      <c r="H928" s="33">
        <f t="shared" si="127"/>
        <v>275</v>
      </c>
      <c r="I928" s="34" t="s">
        <v>250</v>
      </c>
      <c r="J928" s="99">
        <f>+'[2]Dự thầu'!$G1204</f>
        <v>91827</v>
      </c>
      <c r="K928" s="98">
        <f t="shared" si="123"/>
        <v>25252425</v>
      </c>
      <c r="L928" s="98">
        <f t="shared" si="124"/>
        <v>0</v>
      </c>
      <c r="M928" s="98">
        <f t="shared" si="125"/>
        <v>25252425</v>
      </c>
      <c r="N928" s="100"/>
    </row>
    <row r="929" spans="1:14" ht="31.5" customHeight="1" x14ac:dyDescent="0.25">
      <c r="A929" s="52" t="str">
        <f t="shared" si="126"/>
        <v>HT</v>
      </c>
      <c r="B929" s="32" t="s">
        <v>1295</v>
      </c>
      <c r="C929" s="33">
        <v>924</v>
      </c>
      <c r="D929" s="39" t="s">
        <v>647</v>
      </c>
      <c r="E929" s="33" t="s">
        <v>10</v>
      </c>
      <c r="F929" s="33">
        <v>83.15</v>
      </c>
      <c r="G929" s="33"/>
      <c r="H929" s="33">
        <f t="shared" si="127"/>
        <v>83.15</v>
      </c>
      <c r="I929" s="34" t="s">
        <v>253</v>
      </c>
      <c r="J929" s="99">
        <f>+'[2]Dự thầu'!$G1205</f>
        <v>36181</v>
      </c>
      <c r="K929" s="98">
        <f t="shared" si="123"/>
        <v>3008450</v>
      </c>
      <c r="L929" s="98">
        <f t="shared" si="124"/>
        <v>0</v>
      </c>
      <c r="M929" s="98">
        <f t="shared" si="125"/>
        <v>3008450</v>
      </c>
      <c r="N929" s="100"/>
    </row>
    <row r="930" spans="1:14" ht="31.5" customHeight="1" x14ac:dyDescent="0.25">
      <c r="A930" s="52" t="str">
        <f t="shared" si="126"/>
        <v>HT</v>
      </c>
      <c r="B930" s="32" t="s">
        <v>1296</v>
      </c>
      <c r="C930" s="33">
        <v>925</v>
      </c>
      <c r="D930" s="39" t="s">
        <v>859</v>
      </c>
      <c r="E930" s="33" t="s">
        <v>10</v>
      </c>
      <c r="F930" s="33">
        <v>275</v>
      </c>
      <c r="G930" s="33"/>
      <c r="H930" s="33">
        <f t="shared" si="127"/>
        <v>275</v>
      </c>
      <c r="I930" s="34" t="s">
        <v>567</v>
      </c>
      <c r="J930" s="99">
        <f>+'[2]Dự thầu'!$G1206</f>
        <v>319273</v>
      </c>
      <c r="K930" s="98">
        <f t="shared" si="123"/>
        <v>87800075</v>
      </c>
      <c r="L930" s="98">
        <f t="shared" si="124"/>
        <v>0</v>
      </c>
      <c r="M930" s="98">
        <f t="shared" si="125"/>
        <v>87800075</v>
      </c>
      <c r="N930" s="100"/>
    </row>
    <row r="931" spans="1:14" ht="15.75" customHeight="1" x14ac:dyDescent="0.25">
      <c r="A931" s="52" t="str">
        <f t="shared" si="126"/>
        <v>HT</v>
      </c>
      <c r="B931" s="32" t="s">
        <v>1297</v>
      </c>
      <c r="C931" s="33">
        <v>926</v>
      </c>
      <c r="D931" s="39" t="s">
        <v>334</v>
      </c>
      <c r="E931" s="33" t="s">
        <v>10</v>
      </c>
      <c r="F931" s="33">
        <v>3.31</v>
      </c>
      <c r="G931" s="33"/>
      <c r="H931" s="33">
        <f t="shared" si="127"/>
        <v>3.31</v>
      </c>
      <c r="I931" s="34" t="s">
        <v>16</v>
      </c>
      <c r="J931" s="99">
        <f>+'[2]Dự thầu'!$G1225</f>
        <v>1637840</v>
      </c>
      <c r="K931" s="98">
        <f t="shared" si="123"/>
        <v>5421250</v>
      </c>
      <c r="L931" s="98">
        <f t="shared" si="124"/>
        <v>0</v>
      </c>
      <c r="M931" s="98">
        <f t="shared" si="125"/>
        <v>5421250</v>
      </c>
      <c r="N931" s="100"/>
    </row>
    <row r="932" spans="1:14" ht="31.5" customHeight="1" x14ac:dyDescent="0.25">
      <c r="A932" s="52" t="str">
        <f t="shared" si="126"/>
        <v>HT</v>
      </c>
      <c r="B932" s="32" t="s">
        <v>1298</v>
      </c>
      <c r="C932" s="33">
        <v>927</v>
      </c>
      <c r="D932" s="39" t="s">
        <v>246</v>
      </c>
      <c r="E932" s="33" t="s">
        <v>10</v>
      </c>
      <c r="F932" s="33">
        <v>0.16</v>
      </c>
      <c r="G932" s="33"/>
      <c r="H932" s="33">
        <f t="shared" si="127"/>
        <v>0.16</v>
      </c>
      <c r="I932" s="34" t="s">
        <v>90</v>
      </c>
      <c r="J932" s="99">
        <f>+'[2]Dự thầu'!$G1226</f>
        <v>27102732</v>
      </c>
      <c r="K932" s="98">
        <f t="shared" si="123"/>
        <v>4336437</v>
      </c>
      <c r="L932" s="98">
        <f t="shared" si="124"/>
        <v>0</v>
      </c>
      <c r="M932" s="98">
        <f t="shared" si="125"/>
        <v>4336437</v>
      </c>
      <c r="N932" s="100"/>
    </row>
    <row r="933" spans="1:14" ht="31.5" customHeight="1" x14ac:dyDescent="0.25">
      <c r="A933" s="52" t="str">
        <f t="shared" si="126"/>
        <v>HT</v>
      </c>
      <c r="B933" s="32" t="s">
        <v>1299</v>
      </c>
      <c r="C933" s="33">
        <v>928</v>
      </c>
      <c r="D933" s="39" t="s">
        <v>871</v>
      </c>
      <c r="E933" s="33" t="s">
        <v>10</v>
      </c>
      <c r="F933" s="33">
        <v>9.84</v>
      </c>
      <c r="G933" s="33"/>
      <c r="H933" s="33">
        <f t="shared" si="127"/>
        <v>9.84</v>
      </c>
      <c r="I933" s="34" t="s">
        <v>13</v>
      </c>
      <c r="J933" s="99">
        <f>+'[2]Dự thầu'!$G1227</f>
        <v>86606</v>
      </c>
      <c r="K933" s="98">
        <f t="shared" si="123"/>
        <v>852203</v>
      </c>
      <c r="L933" s="98">
        <f t="shared" si="124"/>
        <v>0</v>
      </c>
      <c r="M933" s="98">
        <f t="shared" si="125"/>
        <v>852203</v>
      </c>
      <c r="N933" s="100"/>
    </row>
    <row r="934" spans="1:14" ht="47.25" customHeight="1" x14ac:dyDescent="0.25">
      <c r="A934" s="52" t="str">
        <f t="shared" si="126"/>
        <v>HT</v>
      </c>
      <c r="B934" s="32" t="s">
        <v>1300</v>
      </c>
      <c r="C934" s="33">
        <v>929</v>
      </c>
      <c r="D934" s="39" t="s">
        <v>349</v>
      </c>
      <c r="E934" s="33" t="s">
        <v>10</v>
      </c>
      <c r="F934" s="33">
        <v>8</v>
      </c>
      <c r="G934" s="33"/>
      <c r="H934" s="33">
        <f t="shared" si="127"/>
        <v>8</v>
      </c>
      <c r="I934" s="34" t="s">
        <v>250</v>
      </c>
      <c r="J934" s="99">
        <f>+'[2]Dự thầu'!$G1228</f>
        <v>79217</v>
      </c>
      <c r="K934" s="98">
        <f t="shared" si="123"/>
        <v>633736</v>
      </c>
      <c r="L934" s="98">
        <f t="shared" si="124"/>
        <v>0</v>
      </c>
      <c r="M934" s="98">
        <f t="shared" si="125"/>
        <v>633736</v>
      </c>
      <c r="N934" s="100"/>
    </row>
    <row r="935" spans="1:14" ht="47.25" customHeight="1" x14ac:dyDescent="0.25">
      <c r="A935" s="52" t="str">
        <f t="shared" si="126"/>
        <v>HT</v>
      </c>
      <c r="B935" s="32" t="s">
        <v>1301</v>
      </c>
      <c r="C935" s="33">
        <v>930</v>
      </c>
      <c r="D935" s="39" t="s">
        <v>351</v>
      </c>
      <c r="E935" s="33" t="s">
        <v>10</v>
      </c>
      <c r="F935" s="33">
        <v>8</v>
      </c>
      <c r="G935" s="33"/>
      <c r="H935" s="33">
        <f t="shared" si="127"/>
        <v>8</v>
      </c>
      <c r="I935" s="34" t="s">
        <v>250</v>
      </c>
      <c r="J935" s="99">
        <f>+'[2]Dự thầu'!$G1229</f>
        <v>65424</v>
      </c>
      <c r="K935" s="98">
        <f t="shared" si="123"/>
        <v>523392</v>
      </c>
      <c r="L935" s="98">
        <f t="shared" si="124"/>
        <v>0</v>
      </c>
      <c r="M935" s="98">
        <f t="shared" si="125"/>
        <v>523392</v>
      </c>
      <c r="N935" s="100"/>
    </row>
    <row r="936" spans="1:14" ht="31.5" customHeight="1" x14ac:dyDescent="0.25">
      <c r="A936" s="52" t="str">
        <f t="shared" si="126"/>
        <v>HT</v>
      </c>
      <c r="B936" s="32" t="s">
        <v>1302</v>
      </c>
      <c r="C936" s="33">
        <v>931</v>
      </c>
      <c r="D936" s="39" t="s">
        <v>284</v>
      </c>
      <c r="E936" s="33" t="s">
        <v>10</v>
      </c>
      <c r="F936" s="33">
        <v>0.83</v>
      </c>
      <c r="G936" s="33"/>
      <c r="H936" s="33">
        <f t="shared" si="127"/>
        <v>0.83</v>
      </c>
      <c r="I936" s="34" t="s">
        <v>274</v>
      </c>
      <c r="J936" s="99">
        <f>+'[2]Dự thầu'!$G1230</f>
        <v>32162</v>
      </c>
      <c r="K936" s="98">
        <f t="shared" si="123"/>
        <v>26694</v>
      </c>
      <c r="L936" s="98">
        <f t="shared" si="124"/>
        <v>0</v>
      </c>
      <c r="M936" s="98">
        <f t="shared" si="125"/>
        <v>26694</v>
      </c>
      <c r="N936" s="100"/>
    </row>
    <row r="937" spans="1:14" ht="31.5" customHeight="1" x14ac:dyDescent="0.25">
      <c r="A937" s="52" t="str">
        <f t="shared" si="126"/>
        <v>HT</v>
      </c>
      <c r="B937" s="32" t="s">
        <v>1303</v>
      </c>
      <c r="C937" s="33">
        <v>932</v>
      </c>
      <c r="D937" s="39" t="s">
        <v>355</v>
      </c>
      <c r="E937" s="33" t="s">
        <v>10</v>
      </c>
      <c r="F937" s="33">
        <v>8</v>
      </c>
      <c r="G937" s="33"/>
      <c r="H937" s="33">
        <f t="shared" si="127"/>
        <v>8</v>
      </c>
      <c r="I937" s="34" t="s">
        <v>258</v>
      </c>
      <c r="J937" s="99">
        <f>+'[2]Dự thầu'!$G1231</f>
        <v>120701</v>
      </c>
      <c r="K937" s="98">
        <f t="shared" si="123"/>
        <v>965608</v>
      </c>
      <c r="L937" s="98">
        <f t="shared" si="124"/>
        <v>0</v>
      </c>
      <c r="M937" s="98">
        <f t="shared" si="125"/>
        <v>965608</v>
      </c>
      <c r="N937" s="100"/>
    </row>
    <row r="938" spans="1:14" ht="15.75" customHeight="1" x14ac:dyDescent="0.25">
      <c r="A938" s="52" t="str">
        <f t="shared" si="126"/>
        <v>HT</v>
      </c>
      <c r="B938" s="32" t="s">
        <v>1304</v>
      </c>
      <c r="C938" s="33">
        <v>933</v>
      </c>
      <c r="D938" s="39" t="s">
        <v>334</v>
      </c>
      <c r="E938" s="33" t="s">
        <v>10</v>
      </c>
      <c r="F938" s="33">
        <v>114.11</v>
      </c>
      <c r="G938" s="33"/>
      <c r="H938" s="33">
        <f t="shared" si="127"/>
        <v>114.11</v>
      </c>
      <c r="I938" s="34" t="s">
        <v>16</v>
      </c>
      <c r="J938" s="99">
        <f>+'[2]Dự thầu'!$G1233</f>
        <v>1637840</v>
      </c>
      <c r="K938" s="98">
        <f t="shared" si="123"/>
        <v>186893922</v>
      </c>
      <c r="L938" s="98">
        <f t="shared" si="124"/>
        <v>0</v>
      </c>
      <c r="M938" s="98">
        <f t="shared" si="125"/>
        <v>186893922</v>
      </c>
      <c r="N938" s="100"/>
    </row>
    <row r="939" spans="1:14" ht="31.5" customHeight="1" x14ac:dyDescent="0.25">
      <c r="A939" s="52" t="str">
        <f t="shared" si="126"/>
        <v>HT</v>
      </c>
      <c r="B939" s="32" t="s">
        <v>1305</v>
      </c>
      <c r="C939" s="33">
        <v>934</v>
      </c>
      <c r="D939" s="39" t="s">
        <v>246</v>
      </c>
      <c r="E939" s="33" t="s">
        <v>10</v>
      </c>
      <c r="F939" s="33">
        <v>5.42</v>
      </c>
      <c r="G939" s="33"/>
      <c r="H939" s="33">
        <f t="shared" si="127"/>
        <v>5.42</v>
      </c>
      <c r="I939" s="34" t="s">
        <v>90</v>
      </c>
      <c r="J939" s="99">
        <f>+'[2]Dự thầu'!$G1234</f>
        <v>27102732</v>
      </c>
      <c r="K939" s="98">
        <f t="shared" si="123"/>
        <v>146896807</v>
      </c>
      <c r="L939" s="98">
        <f t="shared" si="124"/>
        <v>0</v>
      </c>
      <c r="M939" s="98">
        <f t="shared" si="125"/>
        <v>146896807</v>
      </c>
      <c r="N939" s="100"/>
    </row>
    <row r="940" spans="1:14" ht="31.5" customHeight="1" x14ac:dyDescent="0.25">
      <c r="A940" s="52" t="str">
        <f t="shared" si="126"/>
        <v>HT</v>
      </c>
      <c r="B940" s="32" t="s">
        <v>1306</v>
      </c>
      <c r="C940" s="33">
        <v>935</v>
      </c>
      <c r="D940" s="39" t="s">
        <v>871</v>
      </c>
      <c r="E940" s="33" t="s">
        <v>10</v>
      </c>
      <c r="F940" s="33">
        <v>261.33999999999997</v>
      </c>
      <c r="G940" s="33"/>
      <c r="H940" s="33">
        <f t="shared" si="127"/>
        <v>261.33999999999997</v>
      </c>
      <c r="I940" s="34" t="s">
        <v>13</v>
      </c>
      <c r="J940" s="99">
        <f>+'[2]Dự thầu'!$G1235</f>
        <v>86606</v>
      </c>
      <c r="K940" s="98">
        <f t="shared" si="123"/>
        <v>22633612</v>
      </c>
      <c r="L940" s="98">
        <f t="shared" si="124"/>
        <v>0</v>
      </c>
      <c r="M940" s="98">
        <f t="shared" si="125"/>
        <v>22633612</v>
      </c>
      <c r="N940" s="100"/>
    </row>
    <row r="941" spans="1:14" ht="47.25" customHeight="1" x14ac:dyDescent="0.25">
      <c r="A941" s="52" t="str">
        <f t="shared" si="126"/>
        <v>HT</v>
      </c>
      <c r="B941" s="32" t="s">
        <v>1307</v>
      </c>
      <c r="C941" s="33">
        <v>936</v>
      </c>
      <c r="D941" s="39" t="s">
        <v>351</v>
      </c>
      <c r="E941" s="33" t="s">
        <v>10</v>
      </c>
      <c r="F941" s="33">
        <v>182</v>
      </c>
      <c r="G941" s="33"/>
      <c r="H941" s="33">
        <f t="shared" si="127"/>
        <v>182</v>
      </c>
      <c r="I941" s="34" t="s">
        <v>250</v>
      </c>
      <c r="J941" s="99">
        <f>+'[2]Dự thầu'!$G1236</f>
        <v>65424</v>
      </c>
      <c r="K941" s="98">
        <f t="shared" si="123"/>
        <v>11907168</v>
      </c>
      <c r="L941" s="98">
        <f t="shared" si="124"/>
        <v>0</v>
      </c>
      <c r="M941" s="98">
        <f t="shared" si="125"/>
        <v>11907168</v>
      </c>
      <c r="N941" s="100"/>
    </row>
    <row r="942" spans="1:14" ht="47.25" customHeight="1" x14ac:dyDescent="0.25">
      <c r="A942" s="52" t="str">
        <f t="shared" si="126"/>
        <v>HT</v>
      </c>
      <c r="B942" s="32" t="s">
        <v>1308</v>
      </c>
      <c r="C942" s="33">
        <v>937</v>
      </c>
      <c r="D942" s="39" t="s">
        <v>351</v>
      </c>
      <c r="E942" s="33" t="s">
        <v>10</v>
      </c>
      <c r="F942" s="33">
        <v>182</v>
      </c>
      <c r="G942" s="33"/>
      <c r="H942" s="33">
        <f t="shared" si="127"/>
        <v>182</v>
      </c>
      <c r="I942" s="34" t="s">
        <v>250</v>
      </c>
      <c r="J942" s="99">
        <f>+'[2]Dự thầu'!$G1237</f>
        <v>65424</v>
      </c>
      <c r="K942" s="98">
        <f t="shared" si="123"/>
        <v>11907168</v>
      </c>
      <c r="L942" s="98">
        <f t="shared" si="124"/>
        <v>0</v>
      </c>
      <c r="M942" s="98">
        <f t="shared" si="125"/>
        <v>11907168</v>
      </c>
      <c r="N942" s="100"/>
    </row>
    <row r="943" spans="1:14" ht="31.5" customHeight="1" x14ac:dyDescent="0.25">
      <c r="A943" s="52" t="str">
        <f t="shared" si="126"/>
        <v>HT</v>
      </c>
      <c r="B943" s="32" t="s">
        <v>1309</v>
      </c>
      <c r="C943" s="33">
        <v>938</v>
      </c>
      <c r="D943" s="39" t="s">
        <v>284</v>
      </c>
      <c r="E943" s="33" t="s">
        <v>10</v>
      </c>
      <c r="F943" s="33">
        <v>28.53</v>
      </c>
      <c r="G943" s="33"/>
      <c r="H943" s="33">
        <f t="shared" si="127"/>
        <v>28.53</v>
      </c>
      <c r="I943" s="34" t="s">
        <v>253</v>
      </c>
      <c r="J943" s="99">
        <f>+'[2]Dự thầu'!$G1238</f>
        <v>32162</v>
      </c>
      <c r="K943" s="98">
        <f t="shared" si="123"/>
        <v>917582</v>
      </c>
      <c r="L943" s="98">
        <f t="shared" si="124"/>
        <v>0</v>
      </c>
      <c r="M943" s="98">
        <f t="shared" si="125"/>
        <v>917582</v>
      </c>
      <c r="N943" s="100"/>
    </row>
    <row r="944" spans="1:14" ht="31.5" customHeight="1" x14ac:dyDescent="0.25">
      <c r="A944" s="52" t="str">
        <f t="shared" si="126"/>
        <v>HT</v>
      </c>
      <c r="B944" s="32" t="s">
        <v>1310</v>
      </c>
      <c r="C944" s="33">
        <v>939</v>
      </c>
      <c r="D944" s="39" t="s">
        <v>355</v>
      </c>
      <c r="E944" s="33" t="s">
        <v>10</v>
      </c>
      <c r="F944" s="33">
        <v>182</v>
      </c>
      <c r="G944" s="33"/>
      <c r="H944" s="33">
        <f t="shared" si="127"/>
        <v>182</v>
      </c>
      <c r="I944" s="34" t="s">
        <v>258</v>
      </c>
      <c r="J944" s="99">
        <f>+'[2]Dự thầu'!$G1239</f>
        <v>120701</v>
      </c>
      <c r="K944" s="98">
        <f t="shared" si="123"/>
        <v>21967582</v>
      </c>
      <c r="L944" s="98">
        <f t="shared" si="124"/>
        <v>0</v>
      </c>
      <c r="M944" s="98">
        <f t="shared" si="125"/>
        <v>21967582</v>
      </c>
      <c r="N944" s="100"/>
    </row>
    <row r="945" spans="1:14" ht="31.5" customHeight="1" x14ac:dyDescent="0.25">
      <c r="A945" s="52" t="str">
        <f t="shared" si="126"/>
        <v>HT</v>
      </c>
      <c r="B945" s="32" t="s">
        <v>1311</v>
      </c>
      <c r="C945" s="33">
        <v>940</v>
      </c>
      <c r="D945" s="39" t="s">
        <v>240</v>
      </c>
      <c r="E945" s="33" t="s">
        <v>10</v>
      </c>
      <c r="F945" s="33">
        <v>71.62</v>
      </c>
      <c r="G945" s="33"/>
      <c r="H945" s="33">
        <f t="shared" si="127"/>
        <v>71.62</v>
      </c>
      <c r="I945" s="34" t="s">
        <v>16</v>
      </c>
      <c r="J945" s="99">
        <f>+'[2]Dự thầu'!$G1243</f>
        <v>851305</v>
      </c>
      <c r="K945" s="98">
        <f t="shared" si="123"/>
        <v>60970464</v>
      </c>
      <c r="L945" s="98">
        <f t="shared" si="124"/>
        <v>0</v>
      </c>
      <c r="M945" s="98">
        <f t="shared" si="125"/>
        <v>60970464</v>
      </c>
      <c r="N945" s="100"/>
    </row>
    <row r="946" spans="1:14" ht="31.5" customHeight="1" x14ac:dyDescent="0.25">
      <c r="A946" s="52" t="str">
        <f t="shared" si="126"/>
        <v>HT</v>
      </c>
      <c r="B946" s="32" t="s">
        <v>1312</v>
      </c>
      <c r="C946" s="33">
        <v>941</v>
      </c>
      <c r="D946" s="39" t="s">
        <v>905</v>
      </c>
      <c r="E946" s="33" t="s">
        <v>10</v>
      </c>
      <c r="F946" s="33">
        <v>14.19</v>
      </c>
      <c r="G946" s="33"/>
      <c r="H946" s="33">
        <f t="shared" si="127"/>
        <v>14.19</v>
      </c>
      <c r="I946" s="34" t="s">
        <v>16</v>
      </c>
      <c r="J946" s="99">
        <f>+'[2]Dự thầu'!$G1244</f>
        <v>1637840</v>
      </c>
      <c r="K946" s="98">
        <f t="shared" si="123"/>
        <v>23240950</v>
      </c>
      <c r="L946" s="98">
        <f t="shared" si="124"/>
        <v>0</v>
      </c>
      <c r="M946" s="98">
        <f t="shared" si="125"/>
        <v>23240950</v>
      </c>
      <c r="N946" s="100"/>
    </row>
    <row r="947" spans="1:14" ht="31.5" customHeight="1" x14ac:dyDescent="0.25">
      <c r="A947" s="52" t="str">
        <f t="shared" si="126"/>
        <v>HT</v>
      </c>
      <c r="B947" s="32" t="s">
        <v>1313</v>
      </c>
      <c r="C947" s="33">
        <v>942</v>
      </c>
      <c r="D947" s="39" t="s">
        <v>871</v>
      </c>
      <c r="E947" s="33" t="s">
        <v>10</v>
      </c>
      <c r="F947" s="33">
        <v>205.1</v>
      </c>
      <c r="G947" s="33"/>
      <c r="H947" s="33">
        <f t="shared" si="127"/>
        <v>205.1</v>
      </c>
      <c r="I947" s="34" t="s">
        <v>13</v>
      </c>
      <c r="J947" s="99">
        <f>+'[2]Dự thầu'!$G1245</f>
        <v>250782</v>
      </c>
      <c r="K947" s="98">
        <f t="shared" ref="K947:K978" si="128">+ROUND(J947*F947,0)</f>
        <v>51435388</v>
      </c>
      <c r="L947" s="98">
        <f t="shared" ref="L947:L983" si="129">+ROUND(G947*J947,0)</f>
        <v>0</v>
      </c>
      <c r="M947" s="98">
        <f t="shared" ref="M947:M983" si="130">+ROUND(H947*J947,0)</f>
        <v>51435388</v>
      </c>
      <c r="N947" s="100"/>
    </row>
    <row r="948" spans="1:14" ht="31.5" customHeight="1" x14ac:dyDescent="0.25">
      <c r="A948" s="52" t="str">
        <f t="shared" si="126"/>
        <v>HT</v>
      </c>
      <c r="B948" s="32" t="s">
        <v>1314</v>
      </c>
      <c r="C948" s="33">
        <v>943</v>
      </c>
      <c r="D948" s="39" t="s">
        <v>246</v>
      </c>
      <c r="E948" s="33" t="s">
        <v>10</v>
      </c>
      <c r="F948" s="33">
        <v>1.9</v>
      </c>
      <c r="G948" s="33"/>
      <c r="H948" s="33">
        <f t="shared" si="127"/>
        <v>1.9</v>
      </c>
      <c r="I948" s="34" t="s">
        <v>90</v>
      </c>
      <c r="J948" s="99">
        <f>+'[2]Dự thầu'!$G1246</f>
        <v>27102732</v>
      </c>
      <c r="K948" s="98">
        <f t="shared" si="128"/>
        <v>51495191</v>
      </c>
      <c r="L948" s="98">
        <f t="shared" si="129"/>
        <v>0</v>
      </c>
      <c r="M948" s="98">
        <f t="shared" si="130"/>
        <v>51495191</v>
      </c>
      <c r="N948" s="100"/>
    </row>
    <row r="949" spans="1:14" ht="31.5" customHeight="1" x14ac:dyDescent="0.25">
      <c r="A949" s="52" t="str">
        <f t="shared" si="126"/>
        <v>HT</v>
      </c>
      <c r="B949" s="32" t="s">
        <v>1315</v>
      </c>
      <c r="C949" s="33">
        <v>944</v>
      </c>
      <c r="D949" s="39" t="s">
        <v>246</v>
      </c>
      <c r="E949" s="33" t="s">
        <v>10</v>
      </c>
      <c r="F949" s="33">
        <v>1.5</v>
      </c>
      <c r="G949" s="33"/>
      <c r="H949" s="33">
        <f t="shared" si="127"/>
        <v>1.5</v>
      </c>
      <c r="I949" s="34" t="s">
        <v>90</v>
      </c>
      <c r="J949" s="99">
        <f>+'[2]Dự thầu'!$G1247</f>
        <v>27102732</v>
      </c>
      <c r="K949" s="98">
        <f t="shared" si="128"/>
        <v>40654098</v>
      </c>
      <c r="L949" s="98">
        <f t="shared" si="129"/>
        <v>0</v>
      </c>
      <c r="M949" s="98">
        <f t="shared" si="130"/>
        <v>40654098</v>
      </c>
      <c r="N949" s="100"/>
    </row>
    <row r="950" spans="1:14" ht="47.25" customHeight="1" x14ac:dyDescent="0.25">
      <c r="A950" s="52" t="str">
        <f t="shared" si="126"/>
        <v>HT</v>
      </c>
      <c r="B950" s="32" t="s">
        <v>1316</v>
      </c>
      <c r="C950" s="33">
        <v>945</v>
      </c>
      <c r="D950" s="39" t="s">
        <v>910</v>
      </c>
      <c r="E950" s="33" t="s">
        <v>10</v>
      </c>
      <c r="F950" s="33">
        <v>43</v>
      </c>
      <c r="G950" s="33"/>
      <c r="H950" s="33">
        <f t="shared" si="127"/>
        <v>43</v>
      </c>
      <c r="I950" s="34" t="s">
        <v>250</v>
      </c>
      <c r="J950" s="99">
        <f>+'[2]Dự thầu'!$G1248</f>
        <v>69167</v>
      </c>
      <c r="K950" s="98">
        <f t="shared" si="128"/>
        <v>2974181</v>
      </c>
      <c r="L950" s="98">
        <f t="shared" si="129"/>
        <v>0</v>
      </c>
      <c r="M950" s="98">
        <f t="shared" si="130"/>
        <v>2974181</v>
      </c>
      <c r="N950" s="100"/>
    </row>
    <row r="951" spans="1:14" ht="47.25" customHeight="1" x14ac:dyDescent="0.25">
      <c r="A951" s="52" t="str">
        <f t="shared" si="126"/>
        <v>HT</v>
      </c>
      <c r="B951" s="32" t="s">
        <v>1317</v>
      </c>
      <c r="C951" s="33">
        <v>946</v>
      </c>
      <c r="D951" s="39" t="s">
        <v>876</v>
      </c>
      <c r="E951" s="33" t="s">
        <v>10</v>
      </c>
      <c r="F951" s="33">
        <v>43</v>
      </c>
      <c r="G951" s="33"/>
      <c r="H951" s="33">
        <f t="shared" si="127"/>
        <v>43</v>
      </c>
      <c r="I951" s="34" t="s">
        <v>250</v>
      </c>
      <c r="J951" s="99">
        <f>+'[2]Dự thầu'!$G1249</f>
        <v>52812</v>
      </c>
      <c r="K951" s="98">
        <f t="shared" si="128"/>
        <v>2270916</v>
      </c>
      <c r="L951" s="98">
        <f t="shared" si="129"/>
        <v>0</v>
      </c>
      <c r="M951" s="98">
        <f t="shared" si="130"/>
        <v>2270916</v>
      </c>
      <c r="N951" s="100"/>
    </row>
    <row r="952" spans="1:14" ht="31.5" customHeight="1" x14ac:dyDescent="0.25">
      <c r="A952" s="52" t="str">
        <f t="shared" si="126"/>
        <v>HT</v>
      </c>
      <c r="B952" s="32" t="s">
        <v>1318</v>
      </c>
      <c r="C952" s="33">
        <v>947</v>
      </c>
      <c r="D952" s="39" t="s">
        <v>284</v>
      </c>
      <c r="E952" s="33" t="s">
        <v>10</v>
      </c>
      <c r="F952" s="33">
        <v>3.55</v>
      </c>
      <c r="G952" s="33"/>
      <c r="H952" s="33">
        <f t="shared" si="127"/>
        <v>3.55</v>
      </c>
      <c r="I952" s="34" t="s">
        <v>253</v>
      </c>
      <c r="J952" s="99">
        <f>+'[2]Dự thầu'!$G1250</f>
        <v>32162</v>
      </c>
      <c r="K952" s="98">
        <f t="shared" si="128"/>
        <v>114175</v>
      </c>
      <c r="L952" s="98">
        <f t="shared" si="129"/>
        <v>0</v>
      </c>
      <c r="M952" s="98">
        <f t="shared" si="130"/>
        <v>114175</v>
      </c>
      <c r="N952" s="100"/>
    </row>
    <row r="953" spans="1:14" ht="31.5" customHeight="1" x14ac:dyDescent="0.25">
      <c r="A953" s="52" t="str">
        <f t="shared" si="126"/>
        <v>HT</v>
      </c>
      <c r="B953" s="32" t="s">
        <v>1319</v>
      </c>
      <c r="C953" s="33">
        <v>948</v>
      </c>
      <c r="D953" s="39" t="s">
        <v>257</v>
      </c>
      <c r="E953" s="33" t="s">
        <v>10</v>
      </c>
      <c r="F953" s="33">
        <v>43</v>
      </c>
      <c r="G953" s="33"/>
      <c r="H953" s="33">
        <f t="shared" si="127"/>
        <v>43</v>
      </c>
      <c r="I953" s="34" t="s">
        <v>258</v>
      </c>
      <c r="J953" s="99">
        <f>+'[2]Dự thầu'!$G1251</f>
        <v>142868</v>
      </c>
      <c r="K953" s="98">
        <f t="shared" si="128"/>
        <v>6143324</v>
      </c>
      <c r="L953" s="98">
        <f t="shared" si="129"/>
        <v>0</v>
      </c>
      <c r="M953" s="98">
        <f t="shared" si="130"/>
        <v>6143324</v>
      </c>
      <c r="N953" s="100"/>
    </row>
    <row r="954" spans="1:14" ht="15.75" customHeight="1" x14ac:dyDescent="0.25">
      <c r="A954" s="52" t="str">
        <f t="shared" si="126"/>
        <v>HT</v>
      </c>
      <c r="B954" s="32" t="s">
        <v>1320</v>
      </c>
      <c r="C954" s="33">
        <v>949</v>
      </c>
      <c r="D954" s="39" t="s">
        <v>364</v>
      </c>
      <c r="E954" s="33" t="s">
        <v>10</v>
      </c>
      <c r="F954" s="33">
        <v>47.9</v>
      </c>
      <c r="G954" s="33"/>
      <c r="H954" s="33">
        <f t="shared" si="127"/>
        <v>47.9</v>
      </c>
      <c r="I954" s="34" t="s">
        <v>13</v>
      </c>
      <c r="J954" s="99">
        <f>+'[2]Dự thầu'!$G1252</f>
        <v>96763</v>
      </c>
      <c r="K954" s="98">
        <f t="shared" si="128"/>
        <v>4634948</v>
      </c>
      <c r="L954" s="98">
        <f t="shared" si="129"/>
        <v>0</v>
      </c>
      <c r="M954" s="98">
        <f t="shared" si="130"/>
        <v>4634948</v>
      </c>
      <c r="N954" s="100"/>
    </row>
    <row r="955" spans="1:14" ht="31.5" customHeight="1" x14ac:dyDescent="0.25">
      <c r="A955" s="52" t="str">
        <f t="shared" si="126"/>
        <v>HT</v>
      </c>
      <c r="B955" s="32" t="s">
        <v>1321</v>
      </c>
      <c r="C955" s="33">
        <v>950</v>
      </c>
      <c r="D955" s="39" t="s">
        <v>917</v>
      </c>
      <c r="E955" s="33" t="s">
        <v>10</v>
      </c>
      <c r="F955" s="33">
        <v>3.2</v>
      </c>
      <c r="G955" s="33"/>
      <c r="H955" s="33">
        <f t="shared" si="127"/>
        <v>3.2</v>
      </c>
      <c r="I955" s="34" t="s">
        <v>16</v>
      </c>
      <c r="J955" s="99">
        <f>+'[2]Dự thầu'!$G1253</f>
        <v>610299</v>
      </c>
      <c r="K955" s="98">
        <f t="shared" si="128"/>
        <v>1952957</v>
      </c>
      <c r="L955" s="98">
        <f t="shared" si="129"/>
        <v>0</v>
      </c>
      <c r="M955" s="98">
        <f t="shared" si="130"/>
        <v>1952957</v>
      </c>
      <c r="N955" s="100"/>
    </row>
    <row r="956" spans="1:14" ht="31.5" customHeight="1" x14ac:dyDescent="0.25">
      <c r="A956" s="52" t="str">
        <f t="shared" si="126"/>
        <v>HT</v>
      </c>
      <c r="B956" s="32" t="s">
        <v>1322</v>
      </c>
      <c r="C956" s="33">
        <v>951</v>
      </c>
      <c r="D956" s="39" t="s">
        <v>919</v>
      </c>
      <c r="E956" s="33" t="s">
        <v>10</v>
      </c>
      <c r="F956" s="102">
        <v>1054.32</v>
      </c>
      <c r="G956" s="102"/>
      <c r="H956" s="102">
        <f t="shared" si="127"/>
        <v>1054.32</v>
      </c>
      <c r="I956" s="34" t="s">
        <v>13</v>
      </c>
      <c r="J956" s="99">
        <f>+'[2]Dự thầu'!$G1254</f>
        <v>242779</v>
      </c>
      <c r="K956" s="98">
        <f t="shared" si="128"/>
        <v>255966755</v>
      </c>
      <c r="L956" s="98">
        <f t="shared" si="129"/>
        <v>0</v>
      </c>
      <c r="M956" s="98">
        <f t="shared" si="130"/>
        <v>255966755</v>
      </c>
      <c r="N956" s="100"/>
    </row>
    <row r="957" spans="1:14" ht="15.75" customHeight="1" x14ac:dyDescent="0.25">
      <c r="A957" s="52" t="str">
        <f t="shared" si="126"/>
        <v>HT</v>
      </c>
      <c r="B957" s="32" t="s">
        <v>1323</v>
      </c>
      <c r="C957" s="33">
        <v>952</v>
      </c>
      <c r="D957" s="39" t="s">
        <v>366</v>
      </c>
      <c r="E957" s="33" t="s">
        <v>10</v>
      </c>
      <c r="F957" s="102">
        <v>3643.24</v>
      </c>
      <c r="G957" s="102"/>
      <c r="H957" s="102">
        <f t="shared" si="127"/>
        <v>3643.24</v>
      </c>
      <c r="I957" s="34" t="s">
        <v>13</v>
      </c>
      <c r="J957" s="99">
        <f>+'[2]Dự thầu'!$G1255</f>
        <v>76805</v>
      </c>
      <c r="K957" s="98">
        <f t="shared" si="128"/>
        <v>279819048</v>
      </c>
      <c r="L957" s="98">
        <f t="shared" si="129"/>
        <v>0</v>
      </c>
      <c r="M957" s="98">
        <f t="shared" si="130"/>
        <v>279819048</v>
      </c>
      <c r="N957" s="100"/>
    </row>
    <row r="958" spans="1:14" ht="31.5" customHeight="1" x14ac:dyDescent="0.25">
      <c r="A958" s="52" t="str">
        <f t="shared" si="126"/>
        <v>HT</v>
      </c>
      <c r="B958" s="32" t="s">
        <v>1324</v>
      </c>
      <c r="C958" s="33">
        <v>953</v>
      </c>
      <c r="D958" s="39" t="s">
        <v>368</v>
      </c>
      <c r="E958" s="33" t="s">
        <v>10</v>
      </c>
      <c r="F958" s="33">
        <v>30.54</v>
      </c>
      <c r="G958" s="33"/>
      <c r="H958" s="33">
        <f t="shared" si="127"/>
        <v>30.54</v>
      </c>
      <c r="I958" s="34" t="s">
        <v>16</v>
      </c>
      <c r="J958" s="99">
        <f>+'[2]Dự thầu'!$G1256</f>
        <v>1887933</v>
      </c>
      <c r="K958" s="98">
        <f t="shared" si="128"/>
        <v>57657474</v>
      </c>
      <c r="L958" s="98">
        <f t="shared" si="129"/>
        <v>0</v>
      </c>
      <c r="M958" s="98">
        <f t="shared" si="130"/>
        <v>57657474</v>
      </c>
      <c r="N958" s="100"/>
    </row>
    <row r="959" spans="1:14" ht="15.75" customHeight="1" x14ac:dyDescent="0.25">
      <c r="A959" s="52" t="str">
        <f t="shared" si="126"/>
        <v>HT</v>
      </c>
      <c r="B959" s="32" t="s">
        <v>1325</v>
      </c>
      <c r="C959" s="33">
        <v>954</v>
      </c>
      <c r="D959" s="39" t="s">
        <v>125</v>
      </c>
      <c r="E959" s="33" t="s">
        <v>10</v>
      </c>
      <c r="F959" s="33">
        <v>149.19999999999999</v>
      </c>
      <c r="G959" s="33"/>
      <c r="H959" s="33">
        <f t="shared" si="127"/>
        <v>149.19999999999999</v>
      </c>
      <c r="I959" s="34" t="s">
        <v>13</v>
      </c>
      <c r="J959" s="99">
        <f>+'[2]Dự thầu'!$G1257</f>
        <v>103945</v>
      </c>
      <c r="K959" s="98">
        <f t="shared" si="128"/>
        <v>15508594</v>
      </c>
      <c r="L959" s="98">
        <f t="shared" si="129"/>
        <v>0</v>
      </c>
      <c r="M959" s="98">
        <f t="shared" si="130"/>
        <v>15508594</v>
      </c>
      <c r="N959" s="100"/>
    </row>
    <row r="960" spans="1:14" ht="31.5" customHeight="1" x14ac:dyDescent="0.25">
      <c r="A960" s="52" t="str">
        <f t="shared" si="126"/>
        <v>HT</v>
      </c>
      <c r="B960" s="32" t="s">
        <v>1326</v>
      </c>
      <c r="C960" s="33">
        <v>955</v>
      </c>
      <c r="D960" s="39" t="s">
        <v>368</v>
      </c>
      <c r="E960" s="33" t="s">
        <v>10</v>
      </c>
      <c r="F960" s="33">
        <v>35</v>
      </c>
      <c r="G960" s="33"/>
      <c r="H960" s="33">
        <f t="shared" si="127"/>
        <v>35</v>
      </c>
      <c r="I960" s="34" t="s">
        <v>16</v>
      </c>
      <c r="J960" s="99">
        <f>+'[2]Dự thầu'!$G1258</f>
        <v>1887933</v>
      </c>
      <c r="K960" s="98">
        <f t="shared" si="128"/>
        <v>66077655</v>
      </c>
      <c r="L960" s="98">
        <f t="shared" si="129"/>
        <v>0</v>
      </c>
      <c r="M960" s="98">
        <f t="shared" si="130"/>
        <v>66077655</v>
      </c>
      <c r="N960" s="100"/>
    </row>
    <row r="961" spans="1:14" ht="15.75" customHeight="1" x14ac:dyDescent="0.25">
      <c r="A961" s="52" t="str">
        <f t="shared" si="126"/>
        <v>HT</v>
      </c>
      <c r="B961" s="32" t="s">
        <v>1327</v>
      </c>
      <c r="C961" s="33">
        <v>956</v>
      </c>
      <c r="D961" s="39" t="s">
        <v>125</v>
      </c>
      <c r="E961" s="33" t="s">
        <v>10</v>
      </c>
      <c r="F961" s="33">
        <v>124.74</v>
      </c>
      <c r="G961" s="33"/>
      <c r="H961" s="33">
        <f t="shared" si="127"/>
        <v>124.74</v>
      </c>
      <c r="I961" s="34" t="s">
        <v>13</v>
      </c>
      <c r="J961" s="99">
        <f>+'[2]Dự thầu'!$G1259</f>
        <v>103945</v>
      </c>
      <c r="K961" s="98">
        <f t="shared" si="128"/>
        <v>12966099</v>
      </c>
      <c r="L961" s="98">
        <f t="shared" si="129"/>
        <v>0</v>
      </c>
      <c r="M961" s="98">
        <f t="shared" si="130"/>
        <v>12966099</v>
      </c>
      <c r="N961" s="100"/>
    </row>
    <row r="962" spans="1:14" ht="47.25" customHeight="1" x14ac:dyDescent="0.25">
      <c r="A962" s="52" t="str">
        <f t="shared" si="126"/>
        <v>HT</v>
      </c>
      <c r="B962" s="32" t="s">
        <v>1328</v>
      </c>
      <c r="C962" s="33">
        <v>957</v>
      </c>
      <c r="D962" s="39" t="s">
        <v>926</v>
      </c>
      <c r="E962" s="33" t="s">
        <v>10</v>
      </c>
      <c r="F962" s="33">
        <v>84.9</v>
      </c>
      <c r="G962" s="33"/>
      <c r="H962" s="33">
        <f t="shared" si="127"/>
        <v>84.9</v>
      </c>
      <c r="I962" s="34" t="s">
        <v>16</v>
      </c>
      <c r="J962" s="99">
        <f>+'[2]Dự thầu'!$G1260</f>
        <v>1405969</v>
      </c>
      <c r="K962" s="98">
        <f t="shared" si="128"/>
        <v>119366768</v>
      </c>
      <c r="L962" s="98">
        <f t="shared" si="129"/>
        <v>0</v>
      </c>
      <c r="M962" s="98">
        <f t="shared" si="130"/>
        <v>119366768</v>
      </c>
      <c r="N962" s="100"/>
    </row>
    <row r="963" spans="1:14" ht="31.5" customHeight="1" x14ac:dyDescent="0.25">
      <c r="A963" s="52" t="str">
        <f t="shared" si="126"/>
        <v>HT</v>
      </c>
      <c r="B963" s="32" t="s">
        <v>1329</v>
      </c>
      <c r="C963" s="33">
        <v>958</v>
      </c>
      <c r="D963" s="39" t="s">
        <v>240</v>
      </c>
      <c r="E963" s="33" t="s">
        <v>10</v>
      </c>
      <c r="F963" s="33">
        <v>6.4</v>
      </c>
      <c r="G963" s="33"/>
      <c r="H963" s="33">
        <f t="shared" si="127"/>
        <v>6.4</v>
      </c>
      <c r="I963" s="34" t="s">
        <v>16</v>
      </c>
      <c r="J963" s="99">
        <f>+'[2]Dự thầu'!$G1261</f>
        <v>851305</v>
      </c>
      <c r="K963" s="98">
        <f t="shared" si="128"/>
        <v>5448352</v>
      </c>
      <c r="L963" s="98">
        <f t="shared" si="129"/>
        <v>0</v>
      </c>
      <c r="M963" s="98">
        <f t="shared" si="130"/>
        <v>5448352</v>
      </c>
      <c r="N963" s="100"/>
    </row>
    <row r="964" spans="1:14" ht="15.75" customHeight="1" x14ac:dyDescent="0.25">
      <c r="A964" s="52" t="str">
        <f t="shared" si="126"/>
        <v>HT</v>
      </c>
      <c r="B964" s="32" t="s">
        <v>1330</v>
      </c>
      <c r="C964" s="33">
        <v>959</v>
      </c>
      <c r="D964" s="39" t="s">
        <v>125</v>
      </c>
      <c r="E964" s="33" t="s">
        <v>10</v>
      </c>
      <c r="F964" s="33">
        <v>188.12</v>
      </c>
      <c r="G964" s="33"/>
      <c r="H964" s="33">
        <f t="shared" si="127"/>
        <v>188.12</v>
      </c>
      <c r="I964" s="34" t="s">
        <v>13</v>
      </c>
      <c r="J964" s="99">
        <f>+'[2]Dự thầu'!$G1262</f>
        <v>103945</v>
      </c>
      <c r="K964" s="98">
        <f t="shared" si="128"/>
        <v>19554133</v>
      </c>
      <c r="L964" s="98">
        <f t="shared" si="129"/>
        <v>0</v>
      </c>
      <c r="M964" s="98">
        <f t="shared" si="130"/>
        <v>19554133</v>
      </c>
      <c r="N964" s="100"/>
    </row>
    <row r="965" spans="1:14" ht="47.25" customHeight="1" x14ac:dyDescent="0.25">
      <c r="A965" s="52" t="str">
        <f t="shared" si="126"/>
        <v>HT</v>
      </c>
      <c r="B965" s="32" t="s">
        <v>1331</v>
      </c>
      <c r="C965" s="33">
        <v>960</v>
      </c>
      <c r="D965" s="39" t="s">
        <v>926</v>
      </c>
      <c r="E965" s="33" t="s">
        <v>10</v>
      </c>
      <c r="F965" s="33">
        <v>73.33</v>
      </c>
      <c r="G965" s="33"/>
      <c r="H965" s="33">
        <f t="shared" si="127"/>
        <v>73.33</v>
      </c>
      <c r="I965" s="34" t="s">
        <v>16</v>
      </c>
      <c r="J965" s="99">
        <f>+'[2]Dự thầu'!$G1263</f>
        <v>1405969</v>
      </c>
      <c r="K965" s="98">
        <f t="shared" si="128"/>
        <v>103099707</v>
      </c>
      <c r="L965" s="98">
        <f t="shared" si="129"/>
        <v>0</v>
      </c>
      <c r="M965" s="98">
        <f t="shared" si="130"/>
        <v>103099707</v>
      </c>
      <c r="N965" s="100"/>
    </row>
    <row r="966" spans="1:14" ht="31.5" customHeight="1" x14ac:dyDescent="0.25">
      <c r="A966" s="52" t="str">
        <f t="shared" si="126"/>
        <v>HT</v>
      </c>
      <c r="B966" s="32" t="s">
        <v>1332</v>
      </c>
      <c r="C966" s="33">
        <v>961</v>
      </c>
      <c r="D966" s="39" t="s">
        <v>240</v>
      </c>
      <c r="E966" s="33" t="s">
        <v>10</v>
      </c>
      <c r="F966" s="33">
        <v>10.92</v>
      </c>
      <c r="G966" s="33"/>
      <c r="H966" s="33">
        <f t="shared" si="127"/>
        <v>10.92</v>
      </c>
      <c r="I966" s="34" t="s">
        <v>16</v>
      </c>
      <c r="J966" s="99">
        <f>+'[2]Dự thầu'!$G1264</f>
        <v>851305</v>
      </c>
      <c r="K966" s="98">
        <f t="shared" si="128"/>
        <v>9296251</v>
      </c>
      <c r="L966" s="98">
        <f t="shared" si="129"/>
        <v>0</v>
      </c>
      <c r="M966" s="98">
        <f t="shared" si="130"/>
        <v>9296251</v>
      </c>
      <c r="N966" s="100"/>
    </row>
    <row r="967" spans="1:14" ht="15.75" customHeight="1" x14ac:dyDescent="0.25">
      <c r="A967" s="52" t="str">
        <f t="shared" si="126"/>
        <v>HT</v>
      </c>
      <c r="B967" s="32" t="s">
        <v>1333</v>
      </c>
      <c r="C967" s="33">
        <v>962</v>
      </c>
      <c r="D967" s="39" t="s">
        <v>125</v>
      </c>
      <c r="E967" s="33" t="s">
        <v>10</v>
      </c>
      <c r="F967" s="33">
        <v>199.74</v>
      </c>
      <c r="G967" s="33"/>
      <c r="H967" s="33">
        <f t="shared" si="127"/>
        <v>199.74</v>
      </c>
      <c r="I967" s="34" t="s">
        <v>13</v>
      </c>
      <c r="J967" s="99">
        <f>+'[2]Dự thầu'!$G1265</f>
        <v>103945</v>
      </c>
      <c r="K967" s="98">
        <f t="shared" si="128"/>
        <v>20761974</v>
      </c>
      <c r="L967" s="98">
        <f t="shared" si="129"/>
        <v>0</v>
      </c>
      <c r="M967" s="98">
        <f t="shared" si="130"/>
        <v>20761974</v>
      </c>
      <c r="N967" s="100"/>
    </row>
    <row r="968" spans="1:14" ht="15.75" customHeight="1" x14ac:dyDescent="0.25">
      <c r="A968" s="52" t="str">
        <f t="shared" si="126"/>
        <v>HT</v>
      </c>
      <c r="B968" s="32" t="s">
        <v>1334</v>
      </c>
      <c r="C968" s="33">
        <v>963</v>
      </c>
      <c r="D968" s="39" t="s">
        <v>933</v>
      </c>
      <c r="E968" s="33" t="s">
        <v>10</v>
      </c>
      <c r="F968" s="33">
        <v>51</v>
      </c>
      <c r="G968" s="33"/>
      <c r="H968" s="33">
        <f t="shared" si="127"/>
        <v>51</v>
      </c>
      <c r="I968" s="34" t="s">
        <v>16</v>
      </c>
      <c r="J968" s="99">
        <f>+'[2]Dự thầu'!$G1266</f>
        <v>1339251</v>
      </c>
      <c r="K968" s="98">
        <f t="shared" si="128"/>
        <v>68301801</v>
      </c>
      <c r="L968" s="98">
        <f t="shared" si="129"/>
        <v>0</v>
      </c>
      <c r="M968" s="98">
        <f t="shared" si="130"/>
        <v>68301801</v>
      </c>
      <c r="N968" s="100"/>
    </row>
    <row r="969" spans="1:14" ht="31.5" customHeight="1" x14ac:dyDescent="0.25">
      <c r="A969" s="52" t="str">
        <f t="shared" si="126"/>
        <v>HT</v>
      </c>
      <c r="B969" s="32" t="s">
        <v>1335</v>
      </c>
      <c r="C969" s="33">
        <v>964</v>
      </c>
      <c r="D969" s="39" t="s">
        <v>240</v>
      </c>
      <c r="E969" s="33" t="s">
        <v>10</v>
      </c>
      <c r="F969" s="33">
        <v>20.399999999999999</v>
      </c>
      <c r="G969" s="33"/>
      <c r="H969" s="33">
        <f t="shared" si="127"/>
        <v>20.399999999999999</v>
      </c>
      <c r="I969" s="34" t="s">
        <v>16</v>
      </c>
      <c r="J969" s="99">
        <f>+'[2]Dự thầu'!$G1267</f>
        <v>851305</v>
      </c>
      <c r="K969" s="98">
        <f t="shared" si="128"/>
        <v>17366622</v>
      </c>
      <c r="L969" s="98">
        <f t="shared" si="129"/>
        <v>0</v>
      </c>
      <c r="M969" s="98">
        <f t="shared" si="130"/>
        <v>17366622</v>
      </c>
      <c r="N969" s="100"/>
    </row>
    <row r="970" spans="1:14" ht="15.75" customHeight="1" x14ac:dyDescent="0.25">
      <c r="A970" s="52" t="str">
        <f t="shared" si="126"/>
        <v>HT</v>
      </c>
      <c r="B970" s="32" t="s">
        <v>1336</v>
      </c>
      <c r="C970" s="33">
        <v>965</v>
      </c>
      <c r="D970" s="39" t="s">
        <v>933</v>
      </c>
      <c r="E970" s="33" t="s">
        <v>10</v>
      </c>
      <c r="F970" s="33">
        <v>83.7</v>
      </c>
      <c r="G970" s="33"/>
      <c r="H970" s="33">
        <f t="shared" si="127"/>
        <v>83.7</v>
      </c>
      <c r="I970" s="34" t="s">
        <v>16</v>
      </c>
      <c r="J970" s="99">
        <f>+'[2]Dự thầu'!$G1268</f>
        <v>1305918</v>
      </c>
      <c r="K970" s="98">
        <f t="shared" si="128"/>
        <v>109305337</v>
      </c>
      <c r="L970" s="98">
        <f t="shared" si="129"/>
        <v>0</v>
      </c>
      <c r="M970" s="98">
        <f t="shared" si="130"/>
        <v>109305337</v>
      </c>
      <c r="N970" s="100"/>
    </row>
    <row r="971" spans="1:14" ht="15.75" customHeight="1" x14ac:dyDescent="0.25">
      <c r="A971" s="52" t="str">
        <f t="shared" si="126"/>
        <v>HT</v>
      </c>
      <c r="B971" s="32" t="s">
        <v>1337</v>
      </c>
      <c r="C971" s="33">
        <v>966</v>
      </c>
      <c r="D971" s="39" t="s">
        <v>937</v>
      </c>
      <c r="E971" s="33" t="s">
        <v>10</v>
      </c>
      <c r="F971" s="33">
        <v>42.9</v>
      </c>
      <c r="G971" s="33"/>
      <c r="H971" s="33">
        <f t="shared" si="127"/>
        <v>42.9</v>
      </c>
      <c r="I971" s="34" t="s">
        <v>16</v>
      </c>
      <c r="J971" s="99">
        <f>+'[2]Dự thầu'!$G1269</f>
        <v>672112</v>
      </c>
      <c r="K971" s="98">
        <f t="shared" si="128"/>
        <v>28833605</v>
      </c>
      <c r="L971" s="98">
        <f t="shared" si="129"/>
        <v>0</v>
      </c>
      <c r="M971" s="98">
        <f t="shared" si="130"/>
        <v>28833605</v>
      </c>
      <c r="N971" s="100"/>
    </row>
    <row r="972" spans="1:14" ht="31.5" customHeight="1" x14ac:dyDescent="0.25">
      <c r="A972" s="52" t="str">
        <f t="shared" si="126"/>
        <v>HT</v>
      </c>
      <c r="B972" s="32" t="s">
        <v>1338</v>
      </c>
      <c r="C972" s="33">
        <v>967</v>
      </c>
      <c r="D972" s="39" t="s">
        <v>240</v>
      </c>
      <c r="E972" s="33" t="s">
        <v>10</v>
      </c>
      <c r="F972" s="33">
        <v>27.3</v>
      </c>
      <c r="G972" s="33"/>
      <c r="H972" s="33">
        <f t="shared" si="127"/>
        <v>27.3</v>
      </c>
      <c r="I972" s="34" t="s">
        <v>16</v>
      </c>
      <c r="J972" s="99">
        <f>+'[2]Dự thầu'!$G1270</f>
        <v>851305</v>
      </c>
      <c r="K972" s="98">
        <f t="shared" si="128"/>
        <v>23240627</v>
      </c>
      <c r="L972" s="98">
        <f t="shared" si="129"/>
        <v>0</v>
      </c>
      <c r="M972" s="98">
        <f t="shared" si="130"/>
        <v>23240627</v>
      </c>
      <c r="N972" s="100"/>
    </row>
    <row r="973" spans="1:14" ht="15.75" customHeight="1" x14ac:dyDescent="0.25">
      <c r="A973" s="52" t="str">
        <f t="shared" si="126"/>
        <v>HT</v>
      </c>
      <c r="B973" s="32" t="s">
        <v>1339</v>
      </c>
      <c r="C973" s="33">
        <v>968</v>
      </c>
      <c r="D973" s="39" t="s">
        <v>319</v>
      </c>
      <c r="E973" s="33" t="s">
        <v>10</v>
      </c>
      <c r="F973" s="33">
        <v>11.09</v>
      </c>
      <c r="G973" s="33"/>
      <c r="H973" s="33">
        <f t="shared" si="127"/>
        <v>11.09</v>
      </c>
      <c r="I973" s="34" t="s">
        <v>16</v>
      </c>
      <c r="J973" s="99">
        <f>+'[2]Dự thầu'!$G1309</f>
        <v>1568156</v>
      </c>
      <c r="K973" s="98">
        <f t="shared" si="128"/>
        <v>17390850</v>
      </c>
      <c r="L973" s="98">
        <f t="shared" si="129"/>
        <v>0</v>
      </c>
      <c r="M973" s="98">
        <f t="shared" si="130"/>
        <v>17390850</v>
      </c>
      <c r="N973" s="100"/>
    </row>
    <row r="974" spans="1:14" ht="15.75" customHeight="1" x14ac:dyDescent="0.25">
      <c r="A974" s="52" t="str">
        <f t="shared" si="126"/>
        <v>HT</v>
      </c>
      <c r="B974" s="32" t="s">
        <v>1340</v>
      </c>
      <c r="C974" s="33">
        <v>969</v>
      </c>
      <c r="D974" s="39" t="s">
        <v>125</v>
      </c>
      <c r="E974" s="33" t="s">
        <v>10</v>
      </c>
      <c r="F974" s="33">
        <v>18.920000000000002</v>
      </c>
      <c r="G974" s="33"/>
      <c r="H974" s="33">
        <f t="shared" si="127"/>
        <v>18.920000000000002</v>
      </c>
      <c r="I974" s="34" t="s">
        <v>13</v>
      </c>
      <c r="J974" s="99">
        <f>+'[2]Dự thầu'!$G1310</f>
        <v>103945</v>
      </c>
      <c r="K974" s="98">
        <f t="shared" si="128"/>
        <v>1966639</v>
      </c>
      <c r="L974" s="98">
        <f t="shared" si="129"/>
        <v>0</v>
      </c>
      <c r="M974" s="98">
        <f t="shared" si="130"/>
        <v>1966639</v>
      </c>
      <c r="N974" s="100"/>
    </row>
    <row r="975" spans="1:14" ht="31.5" customHeight="1" x14ac:dyDescent="0.25">
      <c r="A975" s="52" t="str">
        <f t="shared" si="126"/>
        <v>HT</v>
      </c>
      <c r="B975" s="32" t="s">
        <v>1341</v>
      </c>
      <c r="C975" s="33">
        <v>970</v>
      </c>
      <c r="D975" s="39" t="s">
        <v>240</v>
      </c>
      <c r="E975" s="33" t="s">
        <v>10</v>
      </c>
      <c r="F975" s="33">
        <v>5.49</v>
      </c>
      <c r="G975" s="33"/>
      <c r="H975" s="33">
        <f t="shared" si="127"/>
        <v>5.49</v>
      </c>
      <c r="I975" s="34" t="s">
        <v>16</v>
      </c>
      <c r="J975" s="99">
        <f>+'[2]Dự thầu'!$G1311</f>
        <v>851305</v>
      </c>
      <c r="K975" s="98">
        <f t="shared" si="128"/>
        <v>4673664</v>
      </c>
      <c r="L975" s="98">
        <f t="shared" si="129"/>
        <v>0</v>
      </c>
      <c r="M975" s="98">
        <f t="shared" si="130"/>
        <v>4673664</v>
      </c>
      <c r="N975" s="100"/>
    </row>
    <row r="976" spans="1:14" ht="15.75" customHeight="1" x14ac:dyDescent="0.25">
      <c r="A976" s="52" t="str">
        <f t="shared" si="126"/>
        <v>HT</v>
      </c>
      <c r="B976" s="32" t="s">
        <v>1342</v>
      </c>
      <c r="C976" s="33">
        <v>971</v>
      </c>
      <c r="D976" s="39" t="s">
        <v>122</v>
      </c>
      <c r="E976" s="33" t="s">
        <v>10</v>
      </c>
      <c r="F976" s="33">
        <v>6.28</v>
      </c>
      <c r="G976" s="33"/>
      <c r="H976" s="33">
        <f t="shared" si="127"/>
        <v>6.28</v>
      </c>
      <c r="I976" s="34" t="s">
        <v>16</v>
      </c>
      <c r="J976" s="99">
        <f>+'[2]Dự thầu'!$G1312</f>
        <v>1868221</v>
      </c>
      <c r="K976" s="98">
        <f t="shared" si="128"/>
        <v>11732428</v>
      </c>
      <c r="L976" s="98">
        <f t="shared" si="129"/>
        <v>0</v>
      </c>
      <c r="M976" s="98">
        <f t="shared" si="130"/>
        <v>11732428</v>
      </c>
      <c r="N976" s="100"/>
    </row>
    <row r="977" spans="1:15" ht="15.75" customHeight="1" x14ac:dyDescent="0.25">
      <c r="A977" s="52" t="str">
        <f t="shared" si="126"/>
        <v>HT</v>
      </c>
      <c r="B977" s="32" t="s">
        <v>1343</v>
      </c>
      <c r="C977" s="33">
        <v>972</v>
      </c>
      <c r="D977" s="39" t="s">
        <v>947</v>
      </c>
      <c r="E977" s="33" t="s">
        <v>10</v>
      </c>
      <c r="F977" s="33">
        <v>60.7</v>
      </c>
      <c r="G977" s="33"/>
      <c r="H977" s="33">
        <f t="shared" si="127"/>
        <v>60.7</v>
      </c>
      <c r="I977" s="34" t="s">
        <v>13</v>
      </c>
      <c r="J977" s="99">
        <f>+'[2]Dự thầu'!$G1313</f>
        <v>96763</v>
      </c>
      <c r="K977" s="98">
        <f t="shared" si="128"/>
        <v>5873514</v>
      </c>
      <c r="L977" s="98">
        <f t="shared" si="129"/>
        <v>0</v>
      </c>
      <c r="M977" s="98">
        <f t="shared" si="130"/>
        <v>5873514</v>
      </c>
      <c r="N977" s="100"/>
    </row>
    <row r="978" spans="1:15" ht="15.75" customHeight="1" x14ac:dyDescent="0.25">
      <c r="A978" s="52" t="str">
        <f t="shared" si="126"/>
        <v>HT</v>
      </c>
      <c r="B978" s="32" t="s">
        <v>1344</v>
      </c>
      <c r="C978" s="33">
        <v>973</v>
      </c>
      <c r="D978" s="39" t="s">
        <v>987</v>
      </c>
      <c r="E978" s="33" t="s">
        <v>10</v>
      </c>
      <c r="F978" s="33">
        <v>0.13</v>
      </c>
      <c r="G978" s="33"/>
      <c r="H978" s="33">
        <f t="shared" si="127"/>
        <v>0.13</v>
      </c>
      <c r="I978" s="34" t="s">
        <v>16</v>
      </c>
      <c r="J978" s="99">
        <f>+'[2]Dự thầu'!$G1314</f>
        <v>2087940</v>
      </c>
      <c r="K978" s="98">
        <f t="shared" si="128"/>
        <v>271432</v>
      </c>
      <c r="L978" s="98">
        <f t="shared" si="129"/>
        <v>0</v>
      </c>
      <c r="M978" s="98">
        <f t="shared" si="130"/>
        <v>271432</v>
      </c>
      <c r="N978" s="100"/>
    </row>
    <row r="979" spans="1:15" ht="15.75" customHeight="1" x14ac:dyDescent="0.25">
      <c r="A979" s="52" t="str">
        <f t="shared" si="126"/>
        <v>HT</v>
      </c>
      <c r="B979" s="32" t="s">
        <v>1345</v>
      </c>
      <c r="C979" s="33">
        <v>974</v>
      </c>
      <c r="D979" s="39" t="s">
        <v>125</v>
      </c>
      <c r="E979" s="33" t="s">
        <v>10</v>
      </c>
      <c r="F979" s="33">
        <v>1.1499999999999999</v>
      </c>
      <c r="G979" s="33"/>
      <c r="H979" s="33">
        <f t="shared" si="127"/>
        <v>1.1499999999999999</v>
      </c>
      <c r="I979" s="34" t="s">
        <v>13</v>
      </c>
      <c r="J979" s="99">
        <f>+'[2]Dự thầu'!$G1315</f>
        <v>103945</v>
      </c>
      <c r="K979" s="98">
        <f t="shared" ref="K979:K983" si="131">+ROUND(J979*F979,0)</f>
        <v>119537</v>
      </c>
      <c r="L979" s="98">
        <f t="shared" si="129"/>
        <v>0</v>
      </c>
      <c r="M979" s="98">
        <f t="shared" si="130"/>
        <v>119537</v>
      </c>
      <c r="N979" s="100"/>
    </row>
    <row r="980" spans="1:15" ht="31.5" customHeight="1" x14ac:dyDescent="0.25">
      <c r="A980" s="52" t="str">
        <f t="shared" si="126"/>
        <v>HT</v>
      </c>
      <c r="B980" s="32" t="s">
        <v>1346</v>
      </c>
      <c r="C980" s="33">
        <v>975</v>
      </c>
      <c r="D980" s="39" t="s">
        <v>332</v>
      </c>
      <c r="E980" s="33" t="s">
        <v>10</v>
      </c>
      <c r="F980" s="33">
        <v>0.04</v>
      </c>
      <c r="G980" s="33"/>
      <c r="H980" s="33">
        <f t="shared" si="127"/>
        <v>0.04</v>
      </c>
      <c r="I980" s="34" t="s">
        <v>90</v>
      </c>
      <c r="J980" s="99">
        <f>+'[2]Dự thầu'!$G1316</f>
        <v>26211154</v>
      </c>
      <c r="K980" s="98">
        <f t="shared" si="131"/>
        <v>1048446</v>
      </c>
      <c r="L980" s="98">
        <f t="shared" si="129"/>
        <v>0</v>
      </c>
      <c r="M980" s="98">
        <f t="shared" si="130"/>
        <v>1048446</v>
      </c>
      <c r="N980" s="100"/>
    </row>
    <row r="981" spans="1:15" ht="31.5" customHeight="1" x14ac:dyDescent="0.25">
      <c r="A981" s="52" t="str">
        <f t="shared" ref="A981:A1044" si="132">A980</f>
        <v>HT</v>
      </c>
      <c r="B981" s="32" t="s">
        <v>1347</v>
      </c>
      <c r="C981" s="33">
        <v>976</v>
      </c>
      <c r="D981" s="39" t="s">
        <v>991</v>
      </c>
      <c r="E981" s="33" t="s">
        <v>10</v>
      </c>
      <c r="F981" s="33">
        <v>86.1</v>
      </c>
      <c r="G981" s="33"/>
      <c r="H981" s="33">
        <f t="shared" ref="H981:H1044" si="133">+F981</f>
        <v>86.1</v>
      </c>
      <c r="I981" s="34" t="s">
        <v>16</v>
      </c>
      <c r="J981" s="99">
        <f>+'[2]Dự thầu'!$G1317</f>
        <v>167496</v>
      </c>
      <c r="K981" s="98">
        <f t="shared" si="131"/>
        <v>14421406</v>
      </c>
      <c r="L981" s="98">
        <f t="shared" si="129"/>
        <v>0</v>
      </c>
      <c r="M981" s="98">
        <f t="shared" si="130"/>
        <v>14421406</v>
      </c>
      <c r="N981" s="100"/>
    </row>
    <row r="982" spans="1:15" ht="15.75" customHeight="1" x14ac:dyDescent="0.25">
      <c r="A982" s="52" t="str">
        <f t="shared" si="132"/>
        <v>HT</v>
      </c>
      <c r="B982" s="32" t="s">
        <v>1348</v>
      </c>
      <c r="C982" s="33">
        <v>977</v>
      </c>
      <c r="D982" s="39" t="s">
        <v>993</v>
      </c>
      <c r="E982" s="33" t="s">
        <v>10</v>
      </c>
      <c r="F982" s="33">
        <v>86.1</v>
      </c>
      <c r="G982" s="33"/>
      <c r="H982" s="33">
        <f t="shared" si="133"/>
        <v>86.1</v>
      </c>
      <c r="I982" s="34" t="s">
        <v>16</v>
      </c>
      <c r="J982" s="99">
        <f>+'[2]Dự thầu'!$G$1318</f>
        <v>56948</v>
      </c>
      <c r="K982" s="98">
        <f t="shared" si="131"/>
        <v>4903223</v>
      </c>
      <c r="L982" s="98">
        <f t="shared" si="129"/>
        <v>0</v>
      </c>
      <c r="M982" s="98">
        <f t="shared" si="130"/>
        <v>4903223</v>
      </c>
      <c r="N982" s="100"/>
    </row>
    <row r="983" spans="1:15" ht="15.75" customHeight="1" x14ac:dyDescent="0.25">
      <c r="A983" s="52" t="str">
        <f t="shared" si="132"/>
        <v>HT</v>
      </c>
      <c r="B983" s="32" t="s">
        <v>1349</v>
      </c>
      <c r="C983" s="33">
        <v>978</v>
      </c>
      <c r="D983" s="39" t="s">
        <v>47</v>
      </c>
      <c r="E983" s="33" t="s">
        <v>10</v>
      </c>
      <c r="F983" s="33">
        <v>86.1</v>
      </c>
      <c r="G983" s="33"/>
      <c r="H983" s="33">
        <f t="shared" si="133"/>
        <v>86.1</v>
      </c>
      <c r="I983" s="34" t="s">
        <v>16</v>
      </c>
      <c r="J983" s="99">
        <f>+'[2]Dự thầu'!$G$1322</f>
        <v>2096</v>
      </c>
      <c r="K983" s="98">
        <f t="shared" si="131"/>
        <v>180466</v>
      </c>
      <c r="L983" s="98">
        <f t="shared" si="129"/>
        <v>0</v>
      </c>
      <c r="M983" s="98">
        <f t="shared" si="130"/>
        <v>180466</v>
      </c>
      <c r="N983" s="100"/>
    </row>
    <row r="984" spans="1:15" s="22" customFormat="1" ht="31.5" customHeight="1" x14ac:dyDescent="0.25">
      <c r="A984" s="52" t="str">
        <f t="shared" si="132"/>
        <v>HT</v>
      </c>
      <c r="B984" s="29">
        <v>15</v>
      </c>
      <c r="C984" s="30">
        <v>979</v>
      </c>
      <c r="D984" s="12" t="s">
        <v>1350</v>
      </c>
      <c r="E984" s="30" t="s">
        <v>10</v>
      </c>
      <c r="F984" s="30"/>
      <c r="G984" s="30"/>
      <c r="H984" s="30">
        <f t="shared" si="133"/>
        <v>0</v>
      </c>
      <c r="I984" s="31"/>
      <c r="J984" s="97"/>
      <c r="K984" s="35"/>
      <c r="L984" s="104"/>
      <c r="M984" s="104"/>
      <c r="N984" s="23"/>
      <c r="O984" s="104"/>
    </row>
    <row r="985" spans="1:15" ht="15.75" customHeight="1" x14ac:dyDescent="0.25">
      <c r="A985" s="52" t="str">
        <f t="shared" si="132"/>
        <v>HT</v>
      </c>
      <c r="B985" s="32" t="s">
        <v>1351</v>
      </c>
      <c r="C985" s="33">
        <v>980</v>
      </c>
      <c r="D985" s="39" t="s">
        <v>12</v>
      </c>
      <c r="E985" s="33" t="s">
        <v>10</v>
      </c>
      <c r="F985" s="98">
        <v>2314</v>
      </c>
      <c r="G985" s="98"/>
      <c r="H985" s="98">
        <f t="shared" si="133"/>
        <v>2314</v>
      </c>
      <c r="I985" s="34" t="s">
        <v>13</v>
      </c>
      <c r="J985" s="99">
        <f>+'[3]Dự thầu'!$G6</f>
        <v>646</v>
      </c>
      <c r="K985" s="98">
        <f t="shared" ref="K985:K1029" si="134">+ROUND(J985*F985,0)</f>
        <v>1494844</v>
      </c>
      <c r="L985" s="98">
        <f t="shared" ref="L985:L1029" si="135">+ROUND(G985*J985,0)</f>
        <v>0</v>
      </c>
      <c r="M985" s="98">
        <f t="shared" ref="M985:M1029" si="136">+ROUND(H985*J985,0)</f>
        <v>1494844</v>
      </c>
      <c r="N985" s="100"/>
    </row>
    <row r="986" spans="1:15" ht="15.75" customHeight="1" x14ac:dyDescent="0.25">
      <c r="A986" s="52" t="str">
        <f t="shared" si="132"/>
        <v>HT</v>
      </c>
      <c r="B986" s="32" t="s">
        <v>1352</v>
      </c>
      <c r="C986" s="33">
        <v>981</v>
      </c>
      <c r="D986" s="39" t="s">
        <v>18</v>
      </c>
      <c r="E986" s="33" t="s">
        <v>10</v>
      </c>
      <c r="F986" s="33">
        <v>35.799999999999997</v>
      </c>
      <c r="G986" s="33"/>
      <c r="H986" s="33">
        <f t="shared" si="133"/>
        <v>35.799999999999997</v>
      </c>
      <c r="I986" s="34" t="s">
        <v>16</v>
      </c>
      <c r="J986" s="99">
        <f>+'[3]Dự thầu'!$G7</f>
        <v>30610</v>
      </c>
      <c r="K986" s="98">
        <f t="shared" si="134"/>
        <v>1095838</v>
      </c>
      <c r="L986" s="98">
        <f t="shared" si="135"/>
        <v>0</v>
      </c>
      <c r="M986" s="98">
        <f t="shared" si="136"/>
        <v>1095838</v>
      </c>
      <c r="N986" s="100"/>
    </row>
    <row r="987" spans="1:15" ht="47.25" customHeight="1" x14ac:dyDescent="0.25">
      <c r="A987" s="52" t="str">
        <f t="shared" si="132"/>
        <v>HT</v>
      </c>
      <c r="B987" s="32" t="s">
        <v>1353</v>
      </c>
      <c r="C987" s="33">
        <v>982</v>
      </c>
      <c r="D987" s="39" t="s">
        <v>26</v>
      </c>
      <c r="E987" s="33" t="s">
        <v>10</v>
      </c>
      <c r="F987" s="102">
        <v>6794.84</v>
      </c>
      <c r="G987" s="102"/>
      <c r="H987" s="102">
        <f t="shared" si="133"/>
        <v>6794.84</v>
      </c>
      <c r="I987" s="34" t="s">
        <v>16</v>
      </c>
      <c r="J987" s="99">
        <f>+'[3]Dự thầu'!$G8</f>
        <v>12936</v>
      </c>
      <c r="K987" s="98">
        <f t="shared" si="134"/>
        <v>87898050</v>
      </c>
      <c r="L987" s="98">
        <f t="shared" si="135"/>
        <v>0</v>
      </c>
      <c r="M987" s="98">
        <f t="shared" si="136"/>
        <v>87898050</v>
      </c>
      <c r="N987" s="100"/>
    </row>
    <row r="988" spans="1:15" ht="31.5" customHeight="1" x14ac:dyDescent="0.25">
      <c r="A988" s="52" t="str">
        <f t="shared" si="132"/>
        <v>HT</v>
      </c>
      <c r="B988" s="32" t="s">
        <v>1354</v>
      </c>
      <c r="C988" s="33">
        <v>983</v>
      </c>
      <c r="D988" s="39" t="s">
        <v>28</v>
      </c>
      <c r="E988" s="33" t="s">
        <v>10</v>
      </c>
      <c r="F988" s="98">
        <v>1228</v>
      </c>
      <c r="G988" s="98"/>
      <c r="H988" s="98">
        <f t="shared" si="133"/>
        <v>1228</v>
      </c>
      <c r="I988" s="34" t="s">
        <v>16</v>
      </c>
      <c r="J988" s="99">
        <f>+'[3]Dự thầu'!$G9</f>
        <v>12936</v>
      </c>
      <c r="K988" s="98">
        <f t="shared" si="134"/>
        <v>15885408</v>
      </c>
      <c r="L988" s="98">
        <f t="shared" si="135"/>
        <v>0</v>
      </c>
      <c r="M988" s="98">
        <f t="shared" si="136"/>
        <v>15885408</v>
      </c>
      <c r="N988" s="100"/>
    </row>
    <row r="989" spans="1:15" ht="47.25" customHeight="1" x14ac:dyDescent="0.25">
      <c r="A989" s="52" t="str">
        <f t="shared" si="132"/>
        <v>HT</v>
      </c>
      <c r="B989" s="32" t="s">
        <v>1355</v>
      </c>
      <c r="C989" s="33">
        <v>984</v>
      </c>
      <c r="D989" s="39" t="s">
        <v>30</v>
      </c>
      <c r="E989" s="33" t="s">
        <v>10</v>
      </c>
      <c r="F989" s="33">
        <v>321.39999999999998</v>
      </c>
      <c r="G989" s="33"/>
      <c r="H989" s="33">
        <f t="shared" si="133"/>
        <v>321.39999999999998</v>
      </c>
      <c r="I989" s="34" t="s">
        <v>16</v>
      </c>
      <c r="J989" s="99">
        <f>+'[3]Dự thầu'!$G10</f>
        <v>15775</v>
      </c>
      <c r="K989" s="98">
        <f t="shared" si="134"/>
        <v>5070085</v>
      </c>
      <c r="L989" s="98">
        <f t="shared" si="135"/>
        <v>0</v>
      </c>
      <c r="M989" s="98">
        <f t="shared" si="136"/>
        <v>5070085</v>
      </c>
      <c r="N989" s="100"/>
    </row>
    <row r="990" spans="1:15" ht="15.75" customHeight="1" x14ac:dyDescent="0.25">
      <c r="A990" s="52" t="str">
        <f t="shared" si="132"/>
        <v>HT</v>
      </c>
      <c r="B990" s="32" t="s">
        <v>1356</v>
      </c>
      <c r="C990" s="33">
        <v>985</v>
      </c>
      <c r="D990" s="39" t="s">
        <v>32</v>
      </c>
      <c r="E990" s="33" t="s">
        <v>10</v>
      </c>
      <c r="F990" s="102">
        <v>16016.47</v>
      </c>
      <c r="G990" s="102"/>
      <c r="H990" s="102">
        <f t="shared" si="133"/>
        <v>16016.47</v>
      </c>
      <c r="I990" s="34" t="s">
        <v>16</v>
      </c>
      <c r="J990" s="99">
        <f>+'[3]Dự thầu'!$G11</f>
        <v>50585</v>
      </c>
      <c r="K990" s="98">
        <f t="shared" si="134"/>
        <v>810193135</v>
      </c>
      <c r="L990" s="98">
        <f t="shared" si="135"/>
        <v>0</v>
      </c>
      <c r="M990" s="98">
        <f t="shared" si="136"/>
        <v>810193135</v>
      </c>
      <c r="N990" s="100"/>
    </row>
    <row r="991" spans="1:15" ht="15.75" customHeight="1" x14ac:dyDescent="0.25">
      <c r="A991" s="52" t="str">
        <f t="shared" si="132"/>
        <v>HT</v>
      </c>
      <c r="B991" s="32" t="s">
        <v>1357</v>
      </c>
      <c r="C991" s="33">
        <v>986</v>
      </c>
      <c r="D991" s="39" t="s">
        <v>34</v>
      </c>
      <c r="E991" s="33" t="s">
        <v>10</v>
      </c>
      <c r="F991" s="33">
        <v>451.12</v>
      </c>
      <c r="G991" s="33"/>
      <c r="H991" s="33">
        <f t="shared" si="133"/>
        <v>451.12</v>
      </c>
      <c r="I991" s="34" t="s">
        <v>16</v>
      </c>
      <c r="J991" s="99">
        <f>+'[3]Dự thầu'!$G12</f>
        <v>54405</v>
      </c>
      <c r="K991" s="98">
        <f t="shared" si="134"/>
        <v>24543184</v>
      </c>
      <c r="L991" s="98">
        <f t="shared" si="135"/>
        <v>0</v>
      </c>
      <c r="M991" s="98">
        <f t="shared" si="136"/>
        <v>24543184</v>
      </c>
      <c r="N991" s="100"/>
    </row>
    <row r="992" spans="1:15" ht="15.75" customHeight="1" x14ac:dyDescent="0.25">
      <c r="A992" s="52" t="str">
        <f t="shared" si="132"/>
        <v>HT</v>
      </c>
      <c r="B992" s="32" t="s">
        <v>1358</v>
      </c>
      <c r="C992" s="33">
        <v>987</v>
      </c>
      <c r="D992" s="39" t="s">
        <v>36</v>
      </c>
      <c r="E992" s="33" t="s">
        <v>10</v>
      </c>
      <c r="F992" s="102">
        <v>1646.76</v>
      </c>
      <c r="G992" s="102"/>
      <c r="H992" s="102">
        <f t="shared" si="133"/>
        <v>1646.76</v>
      </c>
      <c r="I992" s="34" t="s">
        <v>37</v>
      </c>
      <c r="J992" s="99">
        <f>+'[3]Dự thầu'!$G13</f>
        <v>1064000</v>
      </c>
      <c r="K992" s="98">
        <f t="shared" si="134"/>
        <v>1752152640</v>
      </c>
      <c r="L992" s="98">
        <f t="shared" si="135"/>
        <v>0</v>
      </c>
      <c r="M992" s="98">
        <f t="shared" si="136"/>
        <v>1752152640</v>
      </c>
      <c r="N992" s="100"/>
    </row>
    <row r="993" spans="1:14" ht="15.75" customHeight="1" x14ac:dyDescent="0.25">
      <c r="A993" s="52" t="str">
        <f t="shared" si="132"/>
        <v>HT</v>
      </c>
      <c r="B993" s="32" t="s">
        <v>1359</v>
      </c>
      <c r="C993" s="33">
        <v>988</v>
      </c>
      <c r="D993" s="39" t="s">
        <v>41</v>
      </c>
      <c r="E993" s="33" t="s">
        <v>10</v>
      </c>
      <c r="F993" s="102">
        <v>4123.3500000000004</v>
      </c>
      <c r="G993" s="102"/>
      <c r="H993" s="102">
        <f t="shared" si="133"/>
        <v>4123.3500000000004</v>
      </c>
      <c r="I993" s="34" t="s">
        <v>16</v>
      </c>
      <c r="J993" s="99">
        <f>+'[3]Dự thầu'!$G$21</f>
        <v>40424</v>
      </c>
      <c r="K993" s="98">
        <f t="shared" si="134"/>
        <v>166682300</v>
      </c>
      <c r="L993" s="98">
        <f t="shared" si="135"/>
        <v>0</v>
      </c>
      <c r="M993" s="98">
        <f t="shared" si="136"/>
        <v>166682300</v>
      </c>
      <c r="N993" s="100"/>
    </row>
    <row r="994" spans="1:14" ht="15.75" customHeight="1" x14ac:dyDescent="0.25">
      <c r="A994" s="52" t="str">
        <f t="shared" si="132"/>
        <v>HT</v>
      </c>
      <c r="B994" s="32" t="s">
        <v>1360</v>
      </c>
      <c r="C994" s="33">
        <v>989</v>
      </c>
      <c r="D994" s="39" t="s">
        <v>43</v>
      </c>
      <c r="E994" s="33" t="s">
        <v>10</v>
      </c>
      <c r="F994" s="33">
        <v>198.4</v>
      </c>
      <c r="G994" s="33"/>
      <c r="H994" s="33">
        <f t="shared" si="133"/>
        <v>198.4</v>
      </c>
      <c r="I994" s="34" t="s">
        <v>16</v>
      </c>
      <c r="J994" s="99">
        <f>+'[3]Dự thầu'!$G$25</f>
        <v>45382</v>
      </c>
      <c r="K994" s="98">
        <f t="shared" si="134"/>
        <v>9003789</v>
      </c>
      <c r="L994" s="98">
        <f t="shared" si="135"/>
        <v>0</v>
      </c>
      <c r="M994" s="98">
        <f t="shared" si="136"/>
        <v>9003789</v>
      </c>
      <c r="N994" s="100"/>
    </row>
    <row r="995" spans="1:14" ht="31.5" customHeight="1" x14ac:dyDescent="0.25">
      <c r="A995" s="52" t="str">
        <f t="shared" si="132"/>
        <v>HT</v>
      </c>
      <c r="B995" s="32" t="s">
        <v>1361</v>
      </c>
      <c r="C995" s="33">
        <v>990</v>
      </c>
      <c r="D995" s="39" t="s">
        <v>1362</v>
      </c>
      <c r="E995" s="33" t="s">
        <v>10</v>
      </c>
      <c r="F995" s="33">
        <v>49.6</v>
      </c>
      <c r="G995" s="33"/>
      <c r="H995" s="33">
        <f t="shared" si="133"/>
        <v>49.6</v>
      </c>
      <c r="I995" s="34" t="s">
        <v>16</v>
      </c>
      <c r="J995" s="99">
        <f>+'[3]Dự thầu'!$G$29</f>
        <v>56948</v>
      </c>
      <c r="K995" s="98">
        <f t="shared" si="134"/>
        <v>2824621</v>
      </c>
      <c r="L995" s="98">
        <f t="shared" si="135"/>
        <v>0</v>
      </c>
      <c r="M995" s="98">
        <f t="shared" si="136"/>
        <v>2824621</v>
      </c>
      <c r="N995" s="100"/>
    </row>
    <row r="996" spans="1:14" ht="15.75" customHeight="1" x14ac:dyDescent="0.25">
      <c r="A996" s="52" t="str">
        <f t="shared" si="132"/>
        <v>HT</v>
      </c>
      <c r="B996" s="32" t="s">
        <v>1363</v>
      </c>
      <c r="C996" s="33">
        <v>991</v>
      </c>
      <c r="D996" s="39" t="s">
        <v>47</v>
      </c>
      <c r="E996" s="33" t="s">
        <v>10</v>
      </c>
      <c r="F996" s="102">
        <v>2185.6799999999998</v>
      </c>
      <c r="G996" s="102"/>
      <c r="H996" s="102">
        <f t="shared" si="133"/>
        <v>2185.6799999999998</v>
      </c>
      <c r="I996" s="34" t="s">
        <v>16</v>
      </c>
      <c r="J996" s="99">
        <f>+'[3]Dự thầu'!$G33</f>
        <v>2096</v>
      </c>
      <c r="K996" s="98">
        <f t="shared" si="134"/>
        <v>4581185</v>
      </c>
      <c r="L996" s="98">
        <f t="shared" si="135"/>
        <v>0</v>
      </c>
      <c r="M996" s="98">
        <f t="shared" si="136"/>
        <v>4581185</v>
      </c>
      <c r="N996" s="100"/>
    </row>
    <row r="997" spans="1:14" ht="31.5" customHeight="1" x14ac:dyDescent="0.25">
      <c r="A997" s="52" t="str">
        <f t="shared" si="132"/>
        <v>HT</v>
      </c>
      <c r="B997" s="32" t="s">
        <v>1364</v>
      </c>
      <c r="C997" s="33">
        <v>992</v>
      </c>
      <c r="D997" s="39" t="s">
        <v>49</v>
      </c>
      <c r="E997" s="33" t="s">
        <v>10</v>
      </c>
      <c r="F997" s="101">
        <v>3557.6</v>
      </c>
      <c r="G997" s="101"/>
      <c r="H997" s="101">
        <f t="shared" si="133"/>
        <v>3557.6</v>
      </c>
      <c r="I997" s="34" t="s">
        <v>16</v>
      </c>
      <c r="J997" s="99">
        <f>+'[3]Dự thầu'!$G34</f>
        <v>8251</v>
      </c>
      <c r="K997" s="98">
        <f t="shared" si="134"/>
        <v>29353758</v>
      </c>
      <c r="L997" s="98">
        <f t="shared" si="135"/>
        <v>0</v>
      </c>
      <c r="M997" s="98">
        <f t="shared" si="136"/>
        <v>29353758</v>
      </c>
      <c r="N997" s="100"/>
    </row>
    <row r="998" spans="1:14" ht="31.5" customHeight="1" x14ac:dyDescent="0.25">
      <c r="A998" s="52" t="str">
        <f t="shared" si="132"/>
        <v>HT</v>
      </c>
      <c r="B998" s="32" t="s">
        <v>1365</v>
      </c>
      <c r="C998" s="33">
        <v>993</v>
      </c>
      <c r="D998" s="39" t="s">
        <v>51</v>
      </c>
      <c r="E998" s="33" t="s">
        <v>10</v>
      </c>
      <c r="F998" s="101">
        <v>2869.5</v>
      </c>
      <c r="G998" s="101"/>
      <c r="H998" s="101">
        <f t="shared" si="133"/>
        <v>2869.5</v>
      </c>
      <c r="I998" s="34" t="s">
        <v>13</v>
      </c>
      <c r="J998" s="99">
        <f>+'[3]Dự thầu'!$G35</f>
        <v>20017</v>
      </c>
      <c r="K998" s="98">
        <f t="shared" si="134"/>
        <v>57438782</v>
      </c>
      <c r="L998" s="98">
        <f t="shared" si="135"/>
        <v>0</v>
      </c>
      <c r="M998" s="98">
        <f t="shared" si="136"/>
        <v>57438782</v>
      </c>
      <c r="N998" s="100"/>
    </row>
    <row r="999" spans="1:14" ht="31.5" customHeight="1" x14ac:dyDescent="0.25">
      <c r="A999" s="52" t="str">
        <f t="shared" si="132"/>
        <v>HT</v>
      </c>
      <c r="B999" s="32" t="s">
        <v>1366</v>
      </c>
      <c r="C999" s="33">
        <v>994</v>
      </c>
      <c r="D999" s="39" t="s">
        <v>1023</v>
      </c>
      <c r="E999" s="33" t="s">
        <v>10</v>
      </c>
      <c r="F999" s="101">
        <v>6405.1</v>
      </c>
      <c r="G999" s="101"/>
      <c r="H999" s="101">
        <f t="shared" si="133"/>
        <v>6405.1</v>
      </c>
      <c r="I999" s="34" t="s">
        <v>13</v>
      </c>
      <c r="J999" s="99">
        <f>+'[3]Dự thầu'!$G36</f>
        <v>224210</v>
      </c>
      <c r="K999" s="98">
        <f t="shared" si="134"/>
        <v>1436087471</v>
      </c>
      <c r="L999" s="98">
        <f t="shared" si="135"/>
        <v>0</v>
      </c>
      <c r="M999" s="98">
        <f t="shared" si="136"/>
        <v>1436087471</v>
      </c>
      <c r="N999" s="100"/>
    </row>
    <row r="1000" spans="1:14" ht="15.75" customHeight="1" x14ac:dyDescent="0.25">
      <c r="A1000" s="52" t="str">
        <f t="shared" si="132"/>
        <v>HT</v>
      </c>
      <c r="B1000" s="32" t="s">
        <v>1367</v>
      </c>
      <c r="C1000" s="33">
        <v>995</v>
      </c>
      <c r="D1000" s="39" t="s">
        <v>55</v>
      </c>
      <c r="E1000" s="33" t="s">
        <v>10</v>
      </c>
      <c r="F1000" s="101">
        <v>4919.1000000000004</v>
      </c>
      <c r="G1000" s="101"/>
      <c r="H1000" s="101">
        <f t="shared" si="133"/>
        <v>4919.1000000000004</v>
      </c>
      <c r="I1000" s="34" t="s">
        <v>16</v>
      </c>
      <c r="J1000" s="99">
        <f>+'[3]Dự thầu'!$G37</f>
        <v>12936</v>
      </c>
      <c r="K1000" s="98">
        <f t="shared" si="134"/>
        <v>63633478</v>
      </c>
      <c r="L1000" s="98">
        <f t="shared" si="135"/>
        <v>0</v>
      </c>
      <c r="M1000" s="98">
        <f t="shared" si="136"/>
        <v>63633478</v>
      </c>
      <c r="N1000" s="100"/>
    </row>
    <row r="1001" spans="1:14" ht="31.5" customHeight="1" x14ac:dyDescent="0.25">
      <c r="A1001" s="52" t="str">
        <f t="shared" si="132"/>
        <v>HT</v>
      </c>
      <c r="B1001" s="32" t="s">
        <v>1368</v>
      </c>
      <c r="C1001" s="33">
        <v>996</v>
      </c>
      <c r="D1001" s="39" t="s">
        <v>64</v>
      </c>
      <c r="E1001" s="33" t="s">
        <v>10</v>
      </c>
      <c r="F1001" s="101">
        <v>1914.6</v>
      </c>
      <c r="G1001" s="101"/>
      <c r="H1001" s="101">
        <f t="shared" si="133"/>
        <v>1914.6</v>
      </c>
      <c r="I1001" s="34" t="s">
        <v>16</v>
      </c>
      <c r="J1001" s="99">
        <f>+'[3]Dự thầu'!$G38</f>
        <v>12936</v>
      </c>
      <c r="K1001" s="98">
        <f t="shared" si="134"/>
        <v>24767266</v>
      </c>
      <c r="L1001" s="98">
        <f t="shared" si="135"/>
        <v>0</v>
      </c>
      <c r="M1001" s="98">
        <f t="shared" si="136"/>
        <v>24767266</v>
      </c>
      <c r="N1001" s="100"/>
    </row>
    <row r="1002" spans="1:14" ht="15.75" customHeight="1" x14ac:dyDescent="0.25">
      <c r="A1002" s="52" t="str">
        <f t="shared" si="132"/>
        <v>HT</v>
      </c>
      <c r="B1002" s="32" t="s">
        <v>1369</v>
      </c>
      <c r="C1002" s="33">
        <v>997</v>
      </c>
      <c r="D1002" s="39" t="s">
        <v>59</v>
      </c>
      <c r="E1002" s="33" t="s">
        <v>10</v>
      </c>
      <c r="F1002" s="101">
        <v>1914.6</v>
      </c>
      <c r="G1002" s="101"/>
      <c r="H1002" s="101">
        <f t="shared" si="133"/>
        <v>1914.6</v>
      </c>
      <c r="I1002" s="34" t="s">
        <v>16</v>
      </c>
      <c r="J1002" s="99">
        <f>+'[3]Dự thầu'!$G39</f>
        <v>12342</v>
      </c>
      <c r="K1002" s="98">
        <f t="shared" si="134"/>
        <v>23629993</v>
      </c>
      <c r="L1002" s="98">
        <f t="shared" si="135"/>
        <v>0</v>
      </c>
      <c r="M1002" s="98">
        <f t="shared" si="136"/>
        <v>23629993</v>
      </c>
      <c r="N1002" s="100"/>
    </row>
    <row r="1003" spans="1:14" ht="15.75" customHeight="1" x14ac:dyDescent="0.25">
      <c r="A1003" s="52" t="str">
        <f t="shared" si="132"/>
        <v>HT</v>
      </c>
      <c r="B1003" s="32" t="s">
        <v>1370</v>
      </c>
      <c r="C1003" s="33">
        <v>998</v>
      </c>
      <c r="D1003" s="39" t="s">
        <v>61</v>
      </c>
      <c r="E1003" s="33" t="s">
        <v>10</v>
      </c>
      <c r="F1003" s="101">
        <v>2163.5</v>
      </c>
      <c r="G1003" s="101"/>
      <c r="H1003" s="101">
        <f t="shared" si="133"/>
        <v>2163.5</v>
      </c>
      <c r="I1003" s="34" t="s">
        <v>62</v>
      </c>
      <c r="J1003" s="99">
        <f>+'[3]Dự thầu'!$G40</f>
        <v>6611</v>
      </c>
      <c r="K1003" s="98">
        <f t="shared" si="134"/>
        <v>14302899</v>
      </c>
      <c r="L1003" s="98">
        <f t="shared" si="135"/>
        <v>0</v>
      </c>
      <c r="M1003" s="98">
        <f t="shared" si="136"/>
        <v>14302899</v>
      </c>
      <c r="N1003" s="100"/>
    </row>
    <row r="1004" spans="1:14" ht="15.75" customHeight="1" x14ac:dyDescent="0.25">
      <c r="A1004" s="52" t="str">
        <f t="shared" si="132"/>
        <v>HT</v>
      </c>
      <c r="B1004" s="32" t="s">
        <v>1371</v>
      </c>
      <c r="C1004" s="33">
        <v>999</v>
      </c>
      <c r="D1004" s="39" t="s">
        <v>68</v>
      </c>
      <c r="E1004" s="33" t="s">
        <v>10</v>
      </c>
      <c r="F1004" s="101">
        <v>130.19999999999999</v>
      </c>
      <c r="G1004" s="101"/>
      <c r="H1004" s="101">
        <f t="shared" si="133"/>
        <v>130.19999999999999</v>
      </c>
      <c r="I1004" s="34" t="s">
        <v>16</v>
      </c>
      <c r="J1004" s="99">
        <f>+'[3]Dự thầu'!$G41</f>
        <v>882587</v>
      </c>
      <c r="K1004" s="98">
        <f t="shared" si="134"/>
        <v>114912827</v>
      </c>
      <c r="L1004" s="98">
        <f t="shared" si="135"/>
        <v>0</v>
      </c>
      <c r="M1004" s="98">
        <f t="shared" si="136"/>
        <v>114912827</v>
      </c>
      <c r="N1004" s="100"/>
    </row>
    <row r="1005" spans="1:14" ht="15.75" customHeight="1" x14ac:dyDescent="0.25">
      <c r="A1005" s="52" t="str">
        <f t="shared" si="132"/>
        <v>HT</v>
      </c>
      <c r="B1005" s="32" t="s">
        <v>1372</v>
      </c>
      <c r="C1005" s="33">
        <v>1000</v>
      </c>
      <c r="D1005" s="39" t="s">
        <v>70</v>
      </c>
      <c r="E1005" s="33" t="s">
        <v>10</v>
      </c>
      <c r="F1005" s="101">
        <v>204.9</v>
      </c>
      <c r="G1005" s="101"/>
      <c r="H1005" s="101">
        <f t="shared" si="133"/>
        <v>204.9</v>
      </c>
      <c r="I1005" s="34" t="s">
        <v>13</v>
      </c>
      <c r="J1005" s="99">
        <f>+'[3]Dự thầu'!$G42</f>
        <v>26716</v>
      </c>
      <c r="K1005" s="98">
        <f t="shared" si="134"/>
        <v>5474108</v>
      </c>
      <c r="L1005" s="98">
        <f t="shared" si="135"/>
        <v>0</v>
      </c>
      <c r="M1005" s="98">
        <f t="shared" si="136"/>
        <v>5474108</v>
      </c>
      <c r="N1005" s="100"/>
    </row>
    <row r="1006" spans="1:14" ht="15.75" customHeight="1" x14ac:dyDescent="0.25">
      <c r="A1006" s="52" t="str">
        <f t="shared" si="132"/>
        <v>HT</v>
      </c>
      <c r="B1006" s="32" t="s">
        <v>1373</v>
      </c>
      <c r="C1006" s="33">
        <v>1001</v>
      </c>
      <c r="D1006" s="39" t="s">
        <v>72</v>
      </c>
      <c r="E1006" s="33" t="s">
        <v>10</v>
      </c>
      <c r="F1006" s="101">
        <v>44.8</v>
      </c>
      <c r="G1006" s="101"/>
      <c r="H1006" s="101">
        <f t="shared" si="133"/>
        <v>44.8</v>
      </c>
      <c r="I1006" s="34" t="s">
        <v>16</v>
      </c>
      <c r="J1006" s="99">
        <f>+'[3]Dự thầu'!$G43</f>
        <v>32141</v>
      </c>
      <c r="K1006" s="98">
        <f t="shared" si="134"/>
        <v>1439917</v>
      </c>
      <c r="L1006" s="98">
        <f t="shared" si="135"/>
        <v>0</v>
      </c>
      <c r="M1006" s="98">
        <f t="shared" si="136"/>
        <v>1439917</v>
      </c>
      <c r="N1006" s="100"/>
    </row>
    <row r="1007" spans="1:14" ht="63" customHeight="1" x14ac:dyDescent="0.25">
      <c r="A1007" s="52" t="str">
        <f t="shared" si="132"/>
        <v>HT</v>
      </c>
      <c r="B1007" s="32" t="s">
        <v>1374</v>
      </c>
      <c r="C1007" s="33">
        <v>1002</v>
      </c>
      <c r="D1007" s="39" t="s">
        <v>1035</v>
      </c>
      <c r="E1007" s="33" t="s">
        <v>10</v>
      </c>
      <c r="F1007" s="98">
        <v>15536</v>
      </c>
      <c r="G1007" s="98"/>
      <c r="H1007" s="98">
        <f t="shared" si="133"/>
        <v>15536</v>
      </c>
      <c r="I1007" s="34" t="s">
        <v>75</v>
      </c>
      <c r="J1007" s="99">
        <f>+'[3]Dự thầu'!$G44</f>
        <v>70225</v>
      </c>
      <c r="K1007" s="98">
        <f t="shared" si="134"/>
        <v>1091015600</v>
      </c>
      <c r="L1007" s="98">
        <f t="shared" si="135"/>
        <v>0</v>
      </c>
      <c r="M1007" s="98">
        <f t="shared" si="136"/>
        <v>1091015600</v>
      </c>
      <c r="N1007" s="100"/>
    </row>
    <row r="1008" spans="1:14" ht="31.5" customHeight="1" x14ac:dyDescent="0.25">
      <c r="A1008" s="52" t="str">
        <f t="shared" si="132"/>
        <v>HT</v>
      </c>
      <c r="B1008" s="32" t="s">
        <v>1375</v>
      </c>
      <c r="C1008" s="33">
        <v>1003</v>
      </c>
      <c r="D1008" s="39" t="s">
        <v>77</v>
      </c>
      <c r="E1008" s="33" t="s">
        <v>10</v>
      </c>
      <c r="F1008" s="101">
        <v>1550.4</v>
      </c>
      <c r="G1008" s="101"/>
      <c r="H1008" s="101">
        <f t="shared" si="133"/>
        <v>1550.4</v>
      </c>
      <c r="I1008" s="34" t="s">
        <v>16</v>
      </c>
      <c r="J1008" s="99">
        <f>+'[3]Dự thầu'!$G45</f>
        <v>274941</v>
      </c>
      <c r="K1008" s="98">
        <f t="shared" si="134"/>
        <v>426268526</v>
      </c>
      <c r="L1008" s="98">
        <f t="shared" si="135"/>
        <v>0</v>
      </c>
      <c r="M1008" s="98">
        <f t="shared" si="136"/>
        <v>426268526</v>
      </c>
      <c r="N1008" s="100"/>
    </row>
    <row r="1009" spans="1:14" ht="15.75" customHeight="1" x14ac:dyDescent="0.25">
      <c r="A1009" s="52" t="str">
        <f t="shared" si="132"/>
        <v>HT</v>
      </c>
      <c r="B1009" s="32" t="s">
        <v>1376</v>
      </c>
      <c r="C1009" s="33">
        <v>1004</v>
      </c>
      <c r="D1009" s="39" t="s">
        <v>1038</v>
      </c>
      <c r="E1009" s="33" t="s">
        <v>10</v>
      </c>
      <c r="F1009" s="101">
        <v>2525.4</v>
      </c>
      <c r="G1009" s="101"/>
      <c r="H1009" s="101">
        <f t="shared" si="133"/>
        <v>2525.4</v>
      </c>
      <c r="I1009" s="34" t="s">
        <v>16</v>
      </c>
      <c r="J1009" s="99">
        <f>+'[3]Dự thầu'!$G46</f>
        <v>274941</v>
      </c>
      <c r="K1009" s="98">
        <f t="shared" si="134"/>
        <v>694336001</v>
      </c>
      <c r="L1009" s="98">
        <f t="shared" si="135"/>
        <v>0</v>
      </c>
      <c r="M1009" s="98">
        <f t="shared" si="136"/>
        <v>694336001</v>
      </c>
      <c r="N1009" s="100"/>
    </row>
    <row r="1010" spans="1:14" ht="15.75" customHeight="1" x14ac:dyDescent="0.25">
      <c r="A1010" s="52" t="str">
        <f t="shared" si="132"/>
        <v>HT</v>
      </c>
      <c r="B1010" s="32" t="s">
        <v>1377</v>
      </c>
      <c r="C1010" s="33">
        <v>1005</v>
      </c>
      <c r="D1010" s="39" t="s">
        <v>79</v>
      </c>
      <c r="E1010" s="33" t="s">
        <v>10</v>
      </c>
      <c r="F1010" s="101">
        <v>200.2</v>
      </c>
      <c r="G1010" s="101"/>
      <c r="H1010" s="101">
        <f t="shared" si="133"/>
        <v>200.2</v>
      </c>
      <c r="I1010" s="34" t="s">
        <v>16</v>
      </c>
      <c r="J1010" s="99">
        <f>+'[3]Dự thầu'!$G47</f>
        <v>20867</v>
      </c>
      <c r="K1010" s="98">
        <f t="shared" si="134"/>
        <v>4177573</v>
      </c>
      <c r="L1010" s="98">
        <f t="shared" si="135"/>
        <v>0</v>
      </c>
      <c r="M1010" s="98">
        <f t="shared" si="136"/>
        <v>4177573</v>
      </c>
      <c r="N1010" s="100"/>
    </row>
    <row r="1011" spans="1:14" ht="15.75" customHeight="1" x14ac:dyDescent="0.25">
      <c r="A1011" s="52" t="str">
        <f t="shared" si="132"/>
        <v>HT</v>
      </c>
      <c r="B1011" s="32" t="s">
        <v>1378</v>
      </c>
      <c r="C1011" s="33">
        <v>1006</v>
      </c>
      <c r="D1011" s="39" t="s">
        <v>81</v>
      </c>
      <c r="E1011" s="33" t="s">
        <v>10</v>
      </c>
      <c r="F1011" s="101">
        <v>200.2</v>
      </c>
      <c r="G1011" s="101"/>
      <c r="H1011" s="101">
        <f t="shared" si="133"/>
        <v>200.2</v>
      </c>
      <c r="I1011" s="34" t="s">
        <v>16</v>
      </c>
      <c r="J1011" s="99">
        <f>+'[3]Dự thầu'!$G48</f>
        <v>12936</v>
      </c>
      <c r="K1011" s="98">
        <f t="shared" si="134"/>
        <v>2589787</v>
      </c>
      <c r="L1011" s="98">
        <f t="shared" si="135"/>
        <v>0</v>
      </c>
      <c r="M1011" s="98">
        <f t="shared" si="136"/>
        <v>2589787</v>
      </c>
      <c r="N1011" s="100"/>
    </row>
    <row r="1012" spans="1:14" ht="15.75" customHeight="1" x14ac:dyDescent="0.25">
      <c r="A1012" s="52" t="str">
        <f t="shared" si="132"/>
        <v>HT</v>
      </c>
      <c r="B1012" s="32" t="s">
        <v>1379</v>
      </c>
      <c r="C1012" s="33">
        <v>1007</v>
      </c>
      <c r="D1012" s="39" t="s">
        <v>83</v>
      </c>
      <c r="E1012" s="33" t="s">
        <v>10</v>
      </c>
      <c r="F1012" s="101">
        <v>22.4</v>
      </c>
      <c r="G1012" s="101"/>
      <c r="H1012" s="101">
        <f t="shared" si="133"/>
        <v>22.4</v>
      </c>
      <c r="I1012" s="34" t="s">
        <v>75</v>
      </c>
      <c r="J1012" s="99">
        <f>+'[3]Dự thầu'!$G49</f>
        <v>301142</v>
      </c>
      <c r="K1012" s="98">
        <f t="shared" si="134"/>
        <v>6745581</v>
      </c>
      <c r="L1012" s="98">
        <f t="shared" si="135"/>
        <v>0</v>
      </c>
      <c r="M1012" s="98">
        <f t="shared" si="136"/>
        <v>6745581</v>
      </c>
      <c r="N1012" s="100"/>
    </row>
    <row r="1013" spans="1:14" ht="15.75" customHeight="1" x14ac:dyDescent="0.25">
      <c r="A1013" s="52" t="str">
        <f t="shared" si="132"/>
        <v>HT</v>
      </c>
      <c r="B1013" s="32" t="s">
        <v>1380</v>
      </c>
      <c r="C1013" s="33">
        <v>1008</v>
      </c>
      <c r="D1013" s="39" t="s">
        <v>85</v>
      </c>
      <c r="E1013" s="33" t="s">
        <v>10</v>
      </c>
      <c r="F1013" s="33">
        <v>50</v>
      </c>
      <c r="G1013" s="33"/>
      <c r="H1013" s="33">
        <f t="shared" si="133"/>
        <v>50</v>
      </c>
      <c r="I1013" s="34" t="s">
        <v>75</v>
      </c>
      <c r="J1013" s="99">
        <f>+'[3]Dự thầu'!$G50</f>
        <v>191443</v>
      </c>
      <c r="K1013" s="98">
        <f t="shared" si="134"/>
        <v>9572150</v>
      </c>
      <c r="L1013" s="98">
        <f t="shared" si="135"/>
        <v>0</v>
      </c>
      <c r="M1013" s="98">
        <f t="shared" si="136"/>
        <v>9572150</v>
      </c>
      <c r="N1013" s="100"/>
    </row>
    <row r="1014" spans="1:14" ht="15.75" customHeight="1" x14ac:dyDescent="0.25">
      <c r="A1014" s="52" t="str">
        <f t="shared" si="132"/>
        <v>HT</v>
      </c>
      <c r="B1014" s="32" t="s">
        <v>1381</v>
      </c>
      <c r="C1014" s="33">
        <v>1009</v>
      </c>
      <c r="D1014" s="39" t="s">
        <v>87</v>
      </c>
      <c r="E1014" s="33" t="s">
        <v>10</v>
      </c>
      <c r="F1014" s="33">
        <v>50</v>
      </c>
      <c r="G1014" s="33"/>
      <c r="H1014" s="33">
        <f t="shared" si="133"/>
        <v>50</v>
      </c>
      <c r="I1014" s="34" t="s">
        <v>75</v>
      </c>
      <c r="J1014" s="99">
        <f>+'[3]Dự thầu'!$G51</f>
        <v>184138</v>
      </c>
      <c r="K1014" s="98">
        <f t="shared" si="134"/>
        <v>9206900</v>
      </c>
      <c r="L1014" s="98">
        <f t="shared" si="135"/>
        <v>0</v>
      </c>
      <c r="M1014" s="98">
        <f t="shared" si="136"/>
        <v>9206900</v>
      </c>
      <c r="N1014" s="100"/>
    </row>
    <row r="1015" spans="1:14" ht="15.75" customHeight="1" x14ac:dyDescent="0.25">
      <c r="A1015" s="52" t="str">
        <f t="shared" si="132"/>
        <v>HT</v>
      </c>
      <c r="B1015" s="32" t="s">
        <v>1382</v>
      </c>
      <c r="C1015" s="33">
        <v>1010</v>
      </c>
      <c r="D1015" s="39" t="s">
        <v>89</v>
      </c>
      <c r="E1015" s="33" t="s">
        <v>10</v>
      </c>
      <c r="F1015" s="33">
        <v>0.47</v>
      </c>
      <c r="G1015" s="33"/>
      <c r="H1015" s="33">
        <f t="shared" si="133"/>
        <v>0.47</v>
      </c>
      <c r="I1015" s="34" t="s">
        <v>90</v>
      </c>
      <c r="J1015" s="99">
        <f>+'[3]Dự thầu'!$G52</f>
        <v>33697650</v>
      </c>
      <c r="K1015" s="98">
        <f t="shared" si="134"/>
        <v>15837896</v>
      </c>
      <c r="L1015" s="98">
        <f t="shared" si="135"/>
        <v>0</v>
      </c>
      <c r="M1015" s="98">
        <f t="shared" si="136"/>
        <v>15837896</v>
      </c>
      <c r="N1015" s="100"/>
    </row>
    <row r="1016" spans="1:14" ht="15.75" customHeight="1" x14ac:dyDescent="0.25">
      <c r="A1016" s="52" t="str">
        <f t="shared" si="132"/>
        <v>HT</v>
      </c>
      <c r="B1016" s="32" t="s">
        <v>1383</v>
      </c>
      <c r="C1016" s="33">
        <v>1011</v>
      </c>
      <c r="D1016" s="39" t="s">
        <v>92</v>
      </c>
      <c r="E1016" s="33" t="s">
        <v>10</v>
      </c>
      <c r="F1016" s="33">
        <v>36</v>
      </c>
      <c r="G1016" s="33"/>
      <c r="H1016" s="33">
        <f t="shared" si="133"/>
        <v>36</v>
      </c>
      <c r="I1016" s="34" t="s">
        <v>75</v>
      </c>
      <c r="J1016" s="99">
        <f>+'[3]Dự thầu'!$G53</f>
        <v>17859</v>
      </c>
      <c r="K1016" s="98">
        <f t="shared" si="134"/>
        <v>642924</v>
      </c>
      <c r="L1016" s="98">
        <f t="shared" si="135"/>
        <v>0</v>
      </c>
      <c r="M1016" s="98">
        <f t="shared" si="136"/>
        <v>642924</v>
      </c>
      <c r="N1016" s="100"/>
    </row>
    <row r="1017" spans="1:14" ht="47.25" customHeight="1" x14ac:dyDescent="0.25">
      <c r="A1017" s="52" t="str">
        <f t="shared" si="132"/>
        <v>HT</v>
      </c>
      <c r="B1017" s="32" t="s">
        <v>1384</v>
      </c>
      <c r="C1017" s="33">
        <v>1012</v>
      </c>
      <c r="D1017" s="39" t="s">
        <v>94</v>
      </c>
      <c r="E1017" s="33" t="s">
        <v>10</v>
      </c>
      <c r="F1017" s="101">
        <v>1035.5</v>
      </c>
      <c r="G1017" s="101"/>
      <c r="H1017" s="101">
        <f t="shared" si="133"/>
        <v>1035.5</v>
      </c>
      <c r="I1017" s="34" t="s">
        <v>13</v>
      </c>
      <c r="J1017" s="99">
        <f>+'[3]Dự thầu'!$G54</f>
        <v>11015</v>
      </c>
      <c r="K1017" s="98">
        <f t="shared" si="134"/>
        <v>11406033</v>
      </c>
      <c r="L1017" s="98">
        <f t="shared" si="135"/>
        <v>0</v>
      </c>
      <c r="M1017" s="98">
        <f t="shared" si="136"/>
        <v>11406033</v>
      </c>
      <c r="N1017" s="100"/>
    </row>
    <row r="1018" spans="1:14" ht="31.5" customHeight="1" x14ac:dyDescent="0.25">
      <c r="A1018" s="52" t="str">
        <f t="shared" si="132"/>
        <v>HT</v>
      </c>
      <c r="B1018" s="32" t="s">
        <v>1385</v>
      </c>
      <c r="C1018" s="33">
        <v>1013</v>
      </c>
      <c r="D1018" s="39" t="s">
        <v>96</v>
      </c>
      <c r="E1018" s="33" t="s">
        <v>10</v>
      </c>
      <c r="F1018" s="33">
        <v>147.46</v>
      </c>
      <c r="G1018" s="33"/>
      <c r="H1018" s="33">
        <f t="shared" si="133"/>
        <v>147.46</v>
      </c>
      <c r="I1018" s="34" t="s">
        <v>90</v>
      </c>
      <c r="J1018" s="99">
        <v>1646788</v>
      </c>
      <c r="K1018" s="98">
        <f t="shared" si="134"/>
        <v>242835358</v>
      </c>
      <c r="L1018" s="98">
        <f t="shared" si="135"/>
        <v>0</v>
      </c>
      <c r="M1018" s="98">
        <f t="shared" si="136"/>
        <v>242835358</v>
      </c>
      <c r="N1018" s="100"/>
    </row>
    <row r="1019" spans="1:14" ht="31.5" customHeight="1" x14ac:dyDescent="0.25">
      <c r="A1019" s="52" t="str">
        <f t="shared" si="132"/>
        <v>HT</v>
      </c>
      <c r="B1019" s="32" t="s">
        <v>1386</v>
      </c>
      <c r="C1019" s="33">
        <v>1014</v>
      </c>
      <c r="D1019" s="39" t="s">
        <v>98</v>
      </c>
      <c r="E1019" s="33" t="s">
        <v>10</v>
      </c>
      <c r="F1019" s="33">
        <v>1.47</v>
      </c>
      <c r="G1019" s="33"/>
      <c r="H1019" s="33">
        <f t="shared" si="133"/>
        <v>1.47</v>
      </c>
      <c r="I1019" s="34" t="s">
        <v>99</v>
      </c>
      <c r="J1019" s="99">
        <f>+'[3]Dự thầu'!$G$56+'[3]Dự thầu'!$G$57</f>
        <v>11384261</v>
      </c>
      <c r="K1019" s="98">
        <f t="shared" si="134"/>
        <v>16734864</v>
      </c>
      <c r="L1019" s="98">
        <f t="shared" si="135"/>
        <v>0</v>
      </c>
      <c r="M1019" s="98">
        <f t="shared" si="136"/>
        <v>16734864</v>
      </c>
      <c r="N1019" s="100"/>
    </row>
    <row r="1020" spans="1:14" ht="31.5" customHeight="1" x14ac:dyDescent="0.25">
      <c r="A1020" s="52" t="str">
        <f t="shared" si="132"/>
        <v>HT</v>
      </c>
      <c r="B1020" s="32" t="s">
        <v>1387</v>
      </c>
      <c r="C1020" s="33">
        <v>1015</v>
      </c>
      <c r="D1020" s="39" t="s">
        <v>101</v>
      </c>
      <c r="E1020" s="33" t="s">
        <v>10</v>
      </c>
      <c r="F1020" s="101">
        <v>1035.5</v>
      </c>
      <c r="G1020" s="101"/>
      <c r="H1020" s="101">
        <f t="shared" si="133"/>
        <v>1035.5</v>
      </c>
      <c r="I1020" s="34" t="s">
        <v>13</v>
      </c>
      <c r="J1020" s="99">
        <f>+'[3]Dự thầu'!$G58</f>
        <v>26753</v>
      </c>
      <c r="K1020" s="98">
        <f t="shared" si="134"/>
        <v>27702732</v>
      </c>
      <c r="L1020" s="98">
        <f t="shared" si="135"/>
        <v>0</v>
      </c>
      <c r="M1020" s="98">
        <f t="shared" si="136"/>
        <v>27702732</v>
      </c>
      <c r="N1020" s="100"/>
    </row>
    <row r="1021" spans="1:14" ht="15.75" customHeight="1" x14ac:dyDescent="0.25">
      <c r="A1021" s="52" t="str">
        <f t="shared" si="132"/>
        <v>HT</v>
      </c>
      <c r="B1021" s="32" t="s">
        <v>1388</v>
      </c>
      <c r="C1021" s="33">
        <v>1016</v>
      </c>
      <c r="D1021" s="39" t="s">
        <v>103</v>
      </c>
      <c r="E1021" s="33" t="s">
        <v>10</v>
      </c>
      <c r="F1021" s="33">
        <v>250.7</v>
      </c>
      <c r="G1021" s="33"/>
      <c r="H1021" s="33">
        <f t="shared" si="133"/>
        <v>250.7</v>
      </c>
      <c r="I1021" s="34" t="s">
        <v>16</v>
      </c>
      <c r="J1021" s="99">
        <f>+'[3]Dự thầu'!$G59</f>
        <v>364704</v>
      </c>
      <c r="K1021" s="98">
        <f t="shared" si="134"/>
        <v>91431293</v>
      </c>
      <c r="L1021" s="98">
        <f t="shared" si="135"/>
        <v>0</v>
      </c>
      <c r="M1021" s="98">
        <f t="shared" si="136"/>
        <v>91431293</v>
      </c>
      <c r="N1021" s="100"/>
    </row>
    <row r="1022" spans="1:14" ht="15.75" customHeight="1" x14ac:dyDescent="0.25">
      <c r="A1022" s="52" t="str">
        <f t="shared" si="132"/>
        <v>HT</v>
      </c>
      <c r="B1022" s="32" t="s">
        <v>1389</v>
      </c>
      <c r="C1022" s="33">
        <v>1017</v>
      </c>
      <c r="D1022" s="39" t="s">
        <v>105</v>
      </c>
      <c r="E1022" s="33" t="s">
        <v>10</v>
      </c>
      <c r="F1022" s="33">
        <v>362.7</v>
      </c>
      <c r="G1022" s="33"/>
      <c r="H1022" s="33">
        <f t="shared" si="133"/>
        <v>362.7</v>
      </c>
      <c r="I1022" s="34" t="s">
        <v>16</v>
      </c>
      <c r="J1022" s="99">
        <f>+'[3]Dự thầu'!$G60</f>
        <v>344284</v>
      </c>
      <c r="K1022" s="98">
        <f t="shared" si="134"/>
        <v>124871807</v>
      </c>
      <c r="L1022" s="98">
        <f t="shared" si="135"/>
        <v>0</v>
      </c>
      <c r="M1022" s="98">
        <f t="shared" si="136"/>
        <v>124871807</v>
      </c>
      <c r="N1022" s="100"/>
    </row>
    <row r="1023" spans="1:14" ht="15.75" customHeight="1" x14ac:dyDescent="0.25">
      <c r="A1023" s="52" t="str">
        <f t="shared" si="132"/>
        <v>HT</v>
      </c>
      <c r="B1023" s="32" t="s">
        <v>1390</v>
      </c>
      <c r="C1023" s="33">
        <v>1018</v>
      </c>
      <c r="D1023" s="39" t="s">
        <v>125</v>
      </c>
      <c r="E1023" s="33" t="s">
        <v>10</v>
      </c>
      <c r="F1023" s="33">
        <v>0.27</v>
      </c>
      <c r="G1023" s="33"/>
      <c r="H1023" s="33">
        <f t="shared" si="133"/>
        <v>0.27</v>
      </c>
      <c r="I1023" s="34" t="s">
        <v>126</v>
      </c>
      <c r="J1023" s="99">
        <f>+'[3]Dự thầu'!$G82</f>
        <v>10394299</v>
      </c>
      <c r="K1023" s="98">
        <f t="shared" si="134"/>
        <v>2806461</v>
      </c>
      <c r="L1023" s="98">
        <f t="shared" si="135"/>
        <v>0</v>
      </c>
      <c r="M1023" s="98">
        <f t="shared" si="136"/>
        <v>2806461</v>
      </c>
      <c r="N1023" s="100"/>
    </row>
    <row r="1024" spans="1:14" ht="47.25" customHeight="1" x14ac:dyDescent="0.25">
      <c r="A1024" s="52" t="str">
        <f t="shared" si="132"/>
        <v>HT</v>
      </c>
      <c r="B1024" s="32" t="s">
        <v>1391</v>
      </c>
      <c r="C1024" s="33">
        <v>1019</v>
      </c>
      <c r="D1024" s="39" t="s">
        <v>120</v>
      </c>
      <c r="E1024" s="33" t="s">
        <v>10</v>
      </c>
      <c r="F1024" s="33">
        <v>13.1</v>
      </c>
      <c r="G1024" s="33"/>
      <c r="H1024" s="33">
        <f t="shared" si="133"/>
        <v>13.1</v>
      </c>
      <c r="I1024" s="34" t="s">
        <v>16</v>
      </c>
      <c r="J1024" s="99">
        <f>+'[3]Dự thầu'!$G83</f>
        <v>1202607</v>
      </c>
      <c r="K1024" s="98">
        <f t="shared" si="134"/>
        <v>15754152</v>
      </c>
      <c r="L1024" s="98">
        <f t="shared" si="135"/>
        <v>0</v>
      </c>
      <c r="M1024" s="98">
        <f t="shared" si="136"/>
        <v>15754152</v>
      </c>
      <c r="N1024" s="100"/>
    </row>
    <row r="1025" spans="1:15" ht="15.75" customHeight="1" x14ac:dyDescent="0.25">
      <c r="A1025" s="52" t="str">
        <f t="shared" si="132"/>
        <v>HT</v>
      </c>
      <c r="B1025" s="32" t="s">
        <v>1392</v>
      </c>
      <c r="C1025" s="33">
        <v>1020</v>
      </c>
      <c r="D1025" s="39" t="s">
        <v>137</v>
      </c>
      <c r="E1025" s="33" t="s">
        <v>10</v>
      </c>
      <c r="F1025" s="33">
        <v>106.8</v>
      </c>
      <c r="G1025" s="33"/>
      <c r="H1025" s="33">
        <f t="shared" si="133"/>
        <v>106.8</v>
      </c>
      <c r="I1025" s="34" t="s">
        <v>75</v>
      </c>
      <c r="J1025" s="99">
        <f>+'[3]Dự thầu'!$G84</f>
        <v>388691</v>
      </c>
      <c r="K1025" s="98">
        <f t="shared" si="134"/>
        <v>41512199</v>
      </c>
      <c r="L1025" s="98">
        <f t="shared" si="135"/>
        <v>0</v>
      </c>
      <c r="M1025" s="98">
        <f t="shared" si="136"/>
        <v>41512199</v>
      </c>
      <c r="N1025" s="100"/>
    </row>
    <row r="1026" spans="1:15" ht="15.75" customHeight="1" x14ac:dyDescent="0.25">
      <c r="A1026" s="52" t="str">
        <f t="shared" si="132"/>
        <v>HT</v>
      </c>
      <c r="B1026" s="32" t="s">
        <v>1393</v>
      </c>
      <c r="C1026" s="33">
        <v>1021</v>
      </c>
      <c r="D1026" s="39" t="s">
        <v>143</v>
      </c>
      <c r="E1026" s="33" t="s">
        <v>10</v>
      </c>
      <c r="F1026" s="33">
        <v>1.53</v>
      </c>
      <c r="G1026" s="33"/>
      <c r="H1026" s="33">
        <f t="shared" si="133"/>
        <v>1.53</v>
      </c>
      <c r="I1026" s="34" t="s">
        <v>37</v>
      </c>
      <c r="J1026" s="99">
        <f>+'[3]Dự thầu'!$G89</f>
        <v>669649</v>
      </c>
      <c r="K1026" s="98">
        <f t="shared" si="134"/>
        <v>1024563</v>
      </c>
      <c r="L1026" s="98">
        <f t="shared" si="135"/>
        <v>0</v>
      </c>
      <c r="M1026" s="98">
        <f t="shared" si="136"/>
        <v>1024563</v>
      </c>
      <c r="N1026" s="100"/>
    </row>
    <row r="1027" spans="1:15" ht="15.75" customHeight="1" x14ac:dyDescent="0.25">
      <c r="A1027" s="52" t="str">
        <f t="shared" si="132"/>
        <v>HT</v>
      </c>
      <c r="B1027" s="32" t="s">
        <v>1394</v>
      </c>
      <c r="C1027" s="33">
        <v>1022</v>
      </c>
      <c r="D1027" s="39" t="s">
        <v>145</v>
      </c>
      <c r="E1027" s="33" t="s">
        <v>10</v>
      </c>
      <c r="F1027" s="33">
        <v>3</v>
      </c>
      <c r="G1027" s="33"/>
      <c r="H1027" s="33">
        <f t="shared" si="133"/>
        <v>3</v>
      </c>
      <c r="I1027" s="34" t="s">
        <v>146</v>
      </c>
      <c r="J1027" s="99">
        <f>+'[3]Dự thầu'!$G93</f>
        <v>1909908</v>
      </c>
      <c r="K1027" s="98">
        <f t="shared" si="134"/>
        <v>5729724</v>
      </c>
      <c r="L1027" s="98">
        <f t="shared" si="135"/>
        <v>0</v>
      </c>
      <c r="M1027" s="98">
        <f t="shared" si="136"/>
        <v>5729724</v>
      </c>
      <c r="N1027" s="100"/>
    </row>
    <row r="1028" spans="1:15" ht="15.75" customHeight="1" x14ac:dyDescent="0.25">
      <c r="A1028" s="52" t="str">
        <f t="shared" si="132"/>
        <v>HT</v>
      </c>
      <c r="B1028" s="32" t="s">
        <v>1395</v>
      </c>
      <c r="C1028" s="33">
        <v>1023</v>
      </c>
      <c r="D1028" s="39" t="s">
        <v>47</v>
      </c>
      <c r="E1028" s="33" t="s">
        <v>10</v>
      </c>
      <c r="F1028" s="33">
        <v>26.4</v>
      </c>
      <c r="G1028" s="33"/>
      <c r="H1028" s="33">
        <f t="shared" si="133"/>
        <v>26.4</v>
      </c>
      <c r="I1028" s="34" t="s">
        <v>16</v>
      </c>
      <c r="J1028" s="99">
        <f>+'[3]Dự thầu'!$G94</f>
        <v>2096</v>
      </c>
      <c r="K1028" s="98">
        <f t="shared" si="134"/>
        <v>55334</v>
      </c>
      <c r="L1028" s="98">
        <f t="shared" si="135"/>
        <v>0</v>
      </c>
      <c r="M1028" s="98">
        <f t="shared" si="136"/>
        <v>55334</v>
      </c>
      <c r="N1028" s="100"/>
    </row>
    <row r="1029" spans="1:15" ht="31.5" customHeight="1" x14ac:dyDescent="0.25">
      <c r="A1029" s="52" t="str">
        <f t="shared" si="132"/>
        <v>HT</v>
      </c>
      <c r="B1029" s="32" t="s">
        <v>1396</v>
      </c>
      <c r="C1029" s="33">
        <v>1024</v>
      </c>
      <c r="D1029" s="39" t="s">
        <v>1397</v>
      </c>
      <c r="E1029" s="33" t="s">
        <v>10</v>
      </c>
      <c r="F1029" s="33">
        <v>0.38</v>
      </c>
      <c r="G1029" s="33"/>
      <c r="H1029" s="33">
        <f t="shared" si="133"/>
        <v>0.38</v>
      </c>
      <c r="I1029" s="34" t="s">
        <v>150</v>
      </c>
      <c r="J1029" s="99">
        <f>+'[3]Dự thầu'!$G95</f>
        <v>963779</v>
      </c>
      <c r="K1029" s="98">
        <f t="shared" si="134"/>
        <v>366236</v>
      </c>
      <c r="L1029" s="98">
        <f t="shared" si="135"/>
        <v>0</v>
      </c>
      <c r="M1029" s="98">
        <f t="shared" si="136"/>
        <v>366236</v>
      </c>
      <c r="N1029" s="100"/>
    </row>
    <row r="1030" spans="1:15" s="22" customFormat="1" ht="31.5" customHeight="1" x14ac:dyDescent="0.25">
      <c r="A1030" s="52" t="str">
        <f t="shared" si="132"/>
        <v>HT</v>
      </c>
      <c r="B1030" s="29">
        <v>16</v>
      </c>
      <c r="C1030" s="30">
        <v>1025</v>
      </c>
      <c r="D1030" s="12" t="s">
        <v>1398</v>
      </c>
      <c r="E1030" s="30" t="s">
        <v>10</v>
      </c>
      <c r="F1030" s="30"/>
      <c r="G1030" s="30"/>
      <c r="H1030" s="30">
        <f t="shared" si="133"/>
        <v>0</v>
      </c>
      <c r="I1030" s="31"/>
      <c r="J1030" s="97"/>
      <c r="K1030" s="35"/>
      <c r="L1030" s="104"/>
      <c r="M1030" s="104"/>
      <c r="N1030" s="23"/>
      <c r="O1030" s="104"/>
    </row>
    <row r="1031" spans="1:15" ht="15.75" customHeight="1" x14ac:dyDescent="0.25">
      <c r="A1031" s="52" t="str">
        <f t="shared" si="132"/>
        <v>HT</v>
      </c>
      <c r="B1031" s="32" t="s">
        <v>1399</v>
      </c>
      <c r="C1031" s="33">
        <v>1026</v>
      </c>
      <c r="D1031" s="39" t="s">
        <v>185</v>
      </c>
      <c r="E1031" s="33" t="s">
        <v>10</v>
      </c>
      <c r="F1031" s="33">
        <v>2.6</v>
      </c>
      <c r="G1031" s="33"/>
      <c r="H1031" s="33">
        <f t="shared" si="133"/>
        <v>2.6</v>
      </c>
      <c r="I1031" s="34" t="s">
        <v>16</v>
      </c>
      <c r="J1031" s="99">
        <f>+'[3]Dự thầu'!$G115</f>
        <v>23801</v>
      </c>
      <c r="K1031" s="98">
        <f t="shared" ref="K1031:K1051" si="137">+ROUND(J1031*F1031,0)</f>
        <v>61883</v>
      </c>
      <c r="L1031" s="98">
        <f t="shared" ref="L1031:L1051" si="138">+ROUND(G1031*J1031,0)</f>
        <v>0</v>
      </c>
      <c r="M1031" s="98">
        <f t="shared" ref="M1031:M1051" si="139">+ROUND(H1031*J1031,0)</f>
        <v>61883</v>
      </c>
      <c r="N1031" s="100"/>
    </row>
    <row r="1032" spans="1:15" ht="15.75" customHeight="1" x14ac:dyDescent="0.25">
      <c r="A1032" s="52" t="str">
        <f t="shared" si="132"/>
        <v>HT</v>
      </c>
      <c r="B1032" s="32" t="s">
        <v>1400</v>
      </c>
      <c r="C1032" s="33">
        <v>1027</v>
      </c>
      <c r="D1032" s="39" t="s">
        <v>155</v>
      </c>
      <c r="E1032" s="33" t="s">
        <v>10</v>
      </c>
      <c r="F1032" s="33">
        <v>13.8</v>
      </c>
      <c r="G1032" s="33"/>
      <c r="H1032" s="33">
        <f t="shared" si="133"/>
        <v>13.8</v>
      </c>
      <c r="I1032" s="34" t="s">
        <v>16</v>
      </c>
      <c r="J1032" s="99">
        <f>+'[3]Dự thầu'!$G116</f>
        <v>30610</v>
      </c>
      <c r="K1032" s="98">
        <f t="shared" si="137"/>
        <v>422418</v>
      </c>
      <c r="L1032" s="98">
        <f t="shared" si="138"/>
        <v>0</v>
      </c>
      <c r="M1032" s="98">
        <f t="shared" si="139"/>
        <v>422418</v>
      </c>
      <c r="N1032" s="100"/>
    </row>
    <row r="1033" spans="1:15" ht="15.75" customHeight="1" x14ac:dyDescent="0.25">
      <c r="A1033" s="52" t="str">
        <f t="shared" si="132"/>
        <v>HT</v>
      </c>
      <c r="B1033" s="32" t="s">
        <v>1401</v>
      </c>
      <c r="C1033" s="33">
        <v>1028</v>
      </c>
      <c r="D1033" s="39" t="s">
        <v>24</v>
      </c>
      <c r="E1033" s="33" t="s">
        <v>10</v>
      </c>
      <c r="F1033" s="33">
        <v>1213</v>
      </c>
      <c r="G1033" s="33"/>
      <c r="H1033" s="33">
        <f t="shared" si="133"/>
        <v>1213</v>
      </c>
      <c r="I1033" s="34" t="s">
        <v>16</v>
      </c>
      <c r="J1033" s="99">
        <f>+'[3]Dự thầu'!$G117</f>
        <v>8251</v>
      </c>
      <c r="K1033" s="98">
        <f t="shared" si="137"/>
        <v>10008463</v>
      </c>
      <c r="L1033" s="98">
        <f t="shared" si="138"/>
        <v>0</v>
      </c>
      <c r="M1033" s="98">
        <f t="shared" si="139"/>
        <v>10008463</v>
      </c>
      <c r="N1033" s="100"/>
    </row>
    <row r="1034" spans="1:15" ht="31.5" customHeight="1" x14ac:dyDescent="0.25">
      <c r="A1034" s="52" t="str">
        <f t="shared" si="132"/>
        <v>HT</v>
      </c>
      <c r="B1034" s="32" t="s">
        <v>1402</v>
      </c>
      <c r="C1034" s="33">
        <v>1029</v>
      </c>
      <c r="D1034" s="39" t="s">
        <v>160</v>
      </c>
      <c r="E1034" s="33" t="s">
        <v>10</v>
      </c>
      <c r="F1034" s="101">
        <v>5849.5</v>
      </c>
      <c r="G1034" s="101"/>
      <c r="H1034" s="101">
        <f t="shared" si="133"/>
        <v>5849.5</v>
      </c>
      <c r="I1034" s="34" t="s">
        <v>16</v>
      </c>
      <c r="J1034" s="99">
        <f>+'[3]Dự thầu'!$G118</f>
        <v>12936</v>
      </c>
      <c r="K1034" s="98">
        <f t="shared" si="137"/>
        <v>75669132</v>
      </c>
      <c r="L1034" s="98">
        <f t="shared" si="138"/>
        <v>0</v>
      </c>
      <c r="M1034" s="98">
        <f t="shared" si="139"/>
        <v>75669132</v>
      </c>
      <c r="N1034" s="100"/>
    </row>
    <row r="1035" spans="1:15" ht="31.5" customHeight="1" x14ac:dyDescent="0.25">
      <c r="A1035" s="52" t="str">
        <f t="shared" si="132"/>
        <v>HT</v>
      </c>
      <c r="B1035" s="32" t="s">
        <v>1403</v>
      </c>
      <c r="C1035" s="33">
        <v>1030</v>
      </c>
      <c r="D1035" s="39" t="s">
        <v>162</v>
      </c>
      <c r="E1035" s="33" t="s">
        <v>10</v>
      </c>
      <c r="F1035" s="33">
        <v>570</v>
      </c>
      <c r="G1035" s="33"/>
      <c r="H1035" s="33">
        <f t="shared" si="133"/>
        <v>570</v>
      </c>
      <c r="I1035" s="34" t="s">
        <v>16</v>
      </c>
      <c r="J1035" s="99">
        <f>+'[3]Dự thầu'!$G119</f>
        <v>15775</v>
      </c>
      <c r="K1035" s="98">
        <f t="shared" si="137"/>
        <v>8991750</v>
      </c>
      <c r="L1035" s="98">
        <f t="shared" si="138"/>
        <v>0</v>
      </c>
      <c r="M1035" s="98">
        <f t="shared" si="139"/>
        <v>8991750</v>
      </c>
      <c r="N1035" s="100"/>
    </row>
    <row r="1036" spans="1:15" ht="15.75" customHeight="1" x14ac:dyDescent="0.25">
      <c r="A1036" s="52" t="str">
        <f t="shared" si="132"/>
        <v>HT</v>
      </c>
      <c r="B1036" s="32" t="s">
        <v>1404</v>
      </c>
      <c r="C1036" s="33">
        <v>1031</v>
      </c>
      <c r="D1036" s="39" t="s">
        <v>32</v>
      </c>
      <c r="E1036" s="33" t="s">
        <v>10</v>
      </c>
      <c r="F1036" s="102">
        <v>7998.02</v>
      </c>
      <c r="G1036" s="102"/>
      <c r="H1036" s="102">
        <f t="shared" si="133"/>
        <v>7998.02</v>
      </c>
      <c r="I1036" s="34" t="s">
        <v>16</v>
      </c>
      <c r="J1036" s="99">
        <f>+'[3]Dự thầu'!$G120</f>
        <v>50585</v>
      </c>
      <c r="K1036" s="98">
        <f t="shared" si="137"/>
        <v>404579842</v>
      </c>
      <c r="L1036" s="98">
        <f t="shared" si="138"/>
        <v>0</v>
      </c>
      <c r="M1036" s="98">
        <f t="shared" si="139"/>
        <v>404579842</v>
      </c>
      <c r="N1036" s="100"/>
    </row>
    <row r="1037" spans="1:15" ht="15.75" customHeight="1" x14ac:dyDescent="0.25">
      <c r="A1037" s="52" t="str">
        <f t="shared" si="132"/>
        <v>HT</v>
      </c>
      <c r="B1037" s="32" t="s">
        <v>1405</v>
      </c>
      <c r="C1037" s="33">
        <v>1032</v>
      </c>
      <c r="D1037" s="39" t="s">
        <v>34</v>
      </c>
      <c r="E1037" s="33" t="s">
        <v>10</v>
      </c>
      <c r="F1037" s="33">
        <v>800.05</v>
      </c>
      <c r="G1037" s="33"/>
      <c r="H1037" s="33">
        <f t="shared" si="133"/>
        <v>800.05</v>
      </c>
      <c r="I1037" s="34" t="s">
        <v>16</v>
      </c>
      <c r="J1037" s="99">
        <f>+'[3]Dự thầu'!$G121</f>
        <v>54405</v>
      </c>
      <c r="K1037" s="98">
        <f t="shared" si="137"/>
        <v>43526720</v>
      </c>
      <c r="L1037" s="98">
        <f t="shared" si="138"/>
        <v>0</v>
      </c>
      <c r="M1037" s="98">
        <f t="shared" si="139"/>
        <v>43526720</v>
      </c>
      <c r="N1037" s="100"/>
    </row>
    <row r="1038" spans="1:15" ht="15.75" customHeight="1" x14ac:dyDescent="0.25">
      <c r="A1038" s="52" t="str">
        <f t="shared" si="132"/>
        <v>HT</v>
      </c>
      <c r="B1038" s="32" t="s">
        <v>1406</v>
      </c>
      <c r="C1038" s="33">
        <v>1033</v>
      </c>
      <c r="D1038" s="39" t="s">
        <v>36</v>
      </c>
      <c r="E1038" s="33" t="s">
        <v>10</v>
      </c>
      <c r="F1038" s="33">
        <v>879.81</v>
      </c>
      <c r="G1038" s="33"/>
      <c r="H1038" s="33">
        <f t="shared" si="133"/>
        <v>879.81</v>
      </c>
      <c r="I1038" s="34" t="s">
        <v>37</v>
      </c>
      <c r="J1038" s="99">
        <f>+'[3]Dự thầu'!$G$122+'[3]Dự thầu'!$G$123+'[3]Dự thầu'!$G$124</f>
        <v>1064000</v>
      </c>
      <c r="K1038" s="98">
        <f t="shared" si="137"/>
        <v>936117840</v>
      </c>
      <c r="L1038" s="98">
        <f t="shared" si="138"/>
        <v>0</v>
      </c>
      <c r="M1038" s="98">
        <f t="shared" si="139"/>
        <v>936117840</v>
      </c>
      <c r="N1038" s="100"/>
    </row>
    <row r="1039" spans="1:15" ht="15.75" customHeight="1" x14ac:dyDescent="0.25">
      <c r="A1039" s="52" t="str">
        <f t="shared" si="132"/>
        <v>HT</v>
      </c>
      <c r="B1039" s="32" t="s">
        <v>1407</v>
      </c>
      <c r="C1039" s="33">
        <v>1034</v>
      </c>
      <c r="D1039" s="39" t="s">
        <v>190</v>
      </c>
      <c r="E1039" s="33" t="s">
        <v>10</v>
      </c>
      <c r="F1039" s="33">
        <v>464.5</v>
      </c>
      <c r="G1039" s="33"/>
      <c r="H1039" s="33">
        <f t="shared" si="133"/>
        <v>464.5</v>
      </c>
      <c r="I1039" s="34" t="s">
        <v>16</v>
      </c>
      <c r="J1039" s="99">
        <f>+'[3]Dự thầu'!$G125</f>
        <v>8251</v>
      </c>
      <c r="K1039" s="98">
        <f t="shared" si="137"/>
        <v>3832590</v>
      </c>
      <c r="L1039" s="98">
        <f t="shared" si="138"/>
        <v>0</v>
      </c>
      <c r="M1039" s="98">
        <f t="shared" si="139"/>
        <v>3832590</v>
      </c>
      <c r="N1039" s="100"/>
    </row>
    <row r="1040" spans="1:15" ht="31.5" customHeight="1" x14ac:dyDescent="0.25">
      <c r="A1040" s="52" t="str">
        <f t="shared" si="132"/>
        <v>HT</v>
      </c>
      <c r="B1040" s="32" t="s">
        <v>1408</v>
      </c>
      <c r="C1040" s="33">
        <v>1035</v>
      </c>
      <c r="D1040" s="39" t="s">
        <v>1409</v>
      </c>
      <c r="E1040" s="33" t="s">
        <v>10</v>
      </c>
      <c r="F1040" s="33">
        <v>560</v>
      </c>
      <c r="G1040" s="33"/>
      <c r="H1040" s="33">
        <f t="shared" si="133"/>
        <v>560</v>
      </c>
      <c r="I1040" s="34" t="s">
        <v>16</v>
      </c>
      <c r="J1040" s="99">
        <f>+'[3]Dự thầu'!$G126</f>
        <v>274941</v>
      </c>
      <c r="K1040" s="98">
        <f t="shared" si="137"/>
        <v>153966960</v>
      </c>
      <c r="L1040" s="98">
        <f t="shared" si="138"/>
        <v>0</v>
      </c>
      <c r="M1040" s="98">
        <f t="shared" si="139"/>
        <v>153966960</v>
      </c>
      <c r="N1040" s="100"/>
    </row>
    <row r="1041" spans="1:15" ht="15.75" customHeight="1" x14ac:dyDescent="0.25">
      <c r="A1041" s="52" t="str">
        <f t="shared" si="132"/>
        <v>HT</v>
      </c>
      <c r="B1041" s="32" t="s">
        <v>1410</v>
      </c>
      <c r="C1041" s="33">
        <v>1036</v>
      </c>
      <c r="D1041" s="39" t="s">
        <v>1038</v>
      </c>
      <c r="E1041" s="33" t="s">
        <v>10</v>
      </c>
      <c r="F1041" s="33">
        <v>242.4</v>
      </c>
      <c r="G1041" s="33"/>
      <c r="H1041" s="33">
        <f t="shared" si="133"/>
        <v>242.4</v>
      </c>
      <c r="I1041" s="34" t="s">
        <v>16</v>
      </c>
      <c r="J1041" s="99">
        <f>+'[3]Dự thầu'!$G127</f>
        <v>274941</v>
      </c>
      <c r="K1041" s="98">
        <f t="shared" si="137"/>
        <v>66645698</v>
      </c>
      <c r="L1041" s="98">
        <f t="shared" si="138"/>
        <v>0</v>
      </c>
      <c r="M1041" s="98">
        <f t="shared" si="139"/>
        <v>66645698</v>
      </c>
      <c r="N1041" s="100"/>
    </row>
    <row r="1042" spans="1:15" ht="31.5" customHeight="1" x14ac:dyDescent="0.25">
      <c r="A1042" s="52" t="str">
        <f t="shared" si="132"/>
        <v>HT</v>
      </c>
      <c r="B1042" s="32" t="s">
        <v>1411</v>
      </c>
      <c r="C1042" s="33">
        <v>1037</v>
      </c>
      <c r="D1042" s="39" t="s">
        <v>51</v>
      </c>
      <c r="E1042" s="33" t="s">
        <v>10</v>
      </c>
      <c r="F1042" s="33">
        <v>975.7</v>
      </c>
      <c r="G1042" s="33"/>
      <c r="H1042" s="33">
        <f t="shared" si="133"/>
        <v>975.7</v>
      </c>
      <c r="I1042" s="34" t="s">
        <v>13</v>
      </c>
      <c r="J1042" s="99">
        <f>+'[3]Dự thầu'!$G128</f>
        <v>20017</v>
      </c>
      <c r="K1042" s="98">
        <f t="shared" si="137"/>
        <v>19530587</v>
      </c>
      <c r="L1042" s="98">
        <f t="shared" si="138"/>
        <v>0</v>
      </c>
      <c r="M1042" s="98">
        <f t="shared" si="139"/>
        <v>19530587</v>
      </c>
      <c r="N1042" s="100"/>
    </row>
    <row r="1043" spans="1:15" ht="31.5" customHeight="1" x14ac:dyDescent="0.25">
      <c r="A1043" s="52" t="str">
        <f t="shared" si="132"/>
        <v>HT</v>
      </c>
      <c r="B1043" s="32" t="s">
        <v>1412</v>
      </c>
      <c r="C1043" s="33">
        <v>1038</v>
      </c>
      <c r="D1043" s="39" t="s">
        <v>53</v>
      </c>
      <c r="E1043" s="33" t="s">
        <v>10</v>
      </c>
      <c r="F1043" s="33">
        <v>859.6</v>
      </c>
      <c r="G1043" s="33"/>
      <c r="H1043" s="33">
        <f t="shared" si="133"/>
        <v>859.6</v>
      </c>
      <c r="I1043" s="34" t="s">
        <v>13</v>
      </c>
      <c r="J1043" s="99">
        <f>+'[3]Dự thầu'!$G129</f>
        <v>36456</v>
      </c>
      <c r="K1043" s="98">
        <f t="shared" si="137"/>
        <v>31337578</v>
      </c>
      <c r="L1043" s="98">
        <f t="shared" si="138"/>
        <v>0</v>
      </c>
      <c r="M1043" s="98">
        <f t="shared" si="139"/>
        <v>31337578</v>
      </c>
      <c r="N1043" s="100"/>
    </row>
    <row r="1044" spans="1:15" ht="15.75" customHeight="1" x14ac:dyDescent="0.25">
      <c r="A1044" s="52" t="str">
        <f t="shared" si="132"/>
        <v>HT</v>
      </c>
      <c r="B1044" s="32" t="s">
        <v>1413</v>
      </c>
      <c r="C1044" s="33">
        <v>1039</v>
      </c>
      <c r="D1044" s="39" t="s">
        <v>79</v>
      </c>
      <c r="E1044" s="33" t="s">
        <v>10</v>
      </c>
      <c r="F1044" s="33">
        <v>10.4</v>
      </c>
      <c r="G1044" s="33"/>
      <c r="H1044" s="33">
        <f t="shared" si="133"/>
        <v>10.4</v>
      </c>
      <c r="I1044" s="34" t="s">
        <v>16</v>
      </c>
      <c r="J1044" s="99">
        <f>+'[3]Dự thầu'!$G130</f>
        <v>20867</v>
      </c>
      <c r="K1044" s="98">
        <f t="shared" si="137"/>
        <v>217017</v>
      </c>
      <c r="L1044" s="98">
        <f t="shared" si="138"/>
        <v>0</v>
      </c>
      <c r="M1044" s="98">
        <f t="shared" si="139"/>
        <v>217017</v>
      </c>
      <c r="N1044" s="100"/>
    </row>
    <row r="1045" spans="1:15" ht="15.75" customHeight="1" x14ac:dyDescent="0.25">
      <c r="A1045" s="52" t="str">
        <f t="shared" ref="A1045:A1108" si="140">A1044</f>
        <v>HT</v>
      </c>
      <c r="B1045" s="32" t="s">
        <v>1414</v>
      </c>
      <c r="C1045" s="33">
        <v>1040</v>
      </c>
      <c r="D1045" s="39" t="s">
        <v>81</v>
      </c>
      <c r="E1045" s="33" t="s">
        <v>10</v>
      </c>
      <c r="F1045" s="33">
        <v>10.4</v>
      </c>
      <c r="G1045" s="33"/>
      <c r="H1045" s="33">
        <f t="shared" ref="H1045:H1108" si="141">+F1045</f>
        <v>10.4</v>
      </c>
      <c r="I1045" s="34" t="s">
        <v>16</v>
      </c>
      <c r="J1045" s="99">
        <f>+'[3]Dự thầu'!$G131</f>
        <v>12936</v>
      </c>
      <c r="K1045" s="98">
        <f t="shared" si="137"/>
        <v>134534</v>
      </c>
      <c r="L1045" s="98">
        <f t="shared" si="138"/>
        <v>0</v>
      </c>
      <c r="M1045" s="98">
        <f t="shared" si="139"/>
        <v>134534</v>
      </c>
      <c r="N1045" s="100"/>
    </row>
    <row r="1046" spans="1:15" ht="47.25" customHeight="1" x14ac:dyDescent="0.25">
      <c r="A1046" s="52" t="str">
        <f t="shared" si="140"/>
        <v>HT</v>
      </c>
      <c r="B1046" s="32" t="s">
        <v>1415</v>
      </c>
      <c r="C1046" s="33">
        <v>1041</v>
      </c>
      <c r="D1046" s="39" t="s">
        <v>94</v>
      </c>
      <c r="E1046" s="33" t="s">
        <v>10</v>
      </c>
      <c r="F1046" s="101">
        <v>1986.6</v>
      </c>
      <c r="G1046" s="101"/>
      <c r="H1046" s="101">
        <f t="shared" si="141"/>
        <v>1986.6</v>
      </c>
      <c r="I1046" s="34" t="s">
        <v>13</v>
      </c>
      <c r="J1046" s="99">
        <f>+'[3]Dự thầu'!$G132</f>
        <v>11015</v>
      </c>
      <c r="K1046" s="98">
        <f t="shared" si="137"/>
        <v>21882399</v>
      </c>
      <c r="L1046" s="98">
        <f t="shared" si="138"/>
        <v>0</v>
      </c>
      <c r="M1046" s="98">
        <f t="shared" si="139"/>
        <v>21882399</v>
      </c>
      <c r="N1046" s="100"/>
    </row>
    <row r="1047" spans="1:15" ht="31.5" customHeight="1" x14ac:dyDescent="0.25">
      <c r="A1047" s="52" t="str">
        <f t="shared" si="140"/>
        <v>HT</v>
      </c>
      <c r="B1047" s="32" t="s">
        <v>1416</v>
      </c>
      <c r="C1047" s="33">
        <v>1042</v>
      </c>
      <c r="D1047" s="39" t="s">
        <v>96</v>
      </c>
      <c r="E1047" s="33" t="s">
        <v>10</v>
      </c>
      <c r="F1047" s="33">
        <v>282.89</v>
      </c>
      <c r="G1047" s="33"/>
      <c r="H1047" s="33">
        <f t="shared" si="141"/>
        <v>282.89</v>
      </c>
      <c r="I1047" s="34" t="s">
        <v>90</v>
      </c>
      <c r="J1047" s="99">
        <v>1646788</v>
      </c>
      <c r="K1047" s="98">
        <f t="shared" si="137"/>
        <v>465859857</v>
      </c>
      <c r="L1047" s="98">
        <f t="shared" si="138"/>
        <v>0</v>
      </c>
      <c r="M1047" s="98">
        <f t="shared" si="139"/>
        <v>465859857</v>
      </c>
      <c r="N1047" s="100"/>
    </row>
    <row r="1048" spans="1:15" ht="31.5" customHeight="1" x14ac:dyDescent="0.25">
      <c r="A1048" s="52" t="str">
        <f t="shared" si="140"/>
        <v>HT</v>
      </c>
      <c r="B1048" s="32" t="s">
        <v>1417</v>
      </c>
      <c r="C1048" s="33">
        <v>1043</v>
      </c>
      <c r="D1048" s="39" t="s">
        <v>98</v>
      </c>
      <c r="E1048" s="33" t="s">
        <v>10</v>
      </c>
      <c r="F1048" s="33">
        <v>2.83</v>
      </c>
      <c r="G1048" s="33"/>
      <c r="H1048" s="33">
        <f t="shared" si="141"/>
        <v>2.83</v>
      </c>
      <c r="I1048" s="34" t="s">
        <v>99</v>
      </c>
      <c r="J1048" s="99">
        <f>+'[3]Dự thầu'!$G$134+'[3]Dự thầu'!$G$135</f>
        <v>11384261</v>
      </c>
      <c r="K1048" s="98">
        <f t="shared" si="137"/>
        <v>32217459</v>
      </c>
      <c r="L1048" s="98">
        <f t="shared" si="138"/>
        <v>0</v>
      </c>
      <c r="M1048" s="98">
        <f t="shared" si="139"/>
        <v>32217459</v>
      </c>
      <c r="N1048" s="100"/>
    </row>
    <row r="1049" spans="1:15" ht="31.5" customHeight="1" x14ac:dyDescent="0.25">
      <c r="A1049" s="52" t="str">
        <f t="shared" si="140"/>
        <v>HT</v>
      </c>
      <c r="B1049" s="32" t="s">
        <v>1418</v>
      </c>
      <c r="C1049" s="33">
        <v>1044</v>
      </c>
      <c r="D1049" s="39" t="s">
        <v>110</v>
      </c>
      <c r="E1049" s="33" t="s">
        <v>10</v>
      </c>
      <c r="F1049" s="101">
        <v>1986.6</v>
      </c>
      <c r="G1049" s="101"/>
      <c r="H1049" s="101">
        <f t="shared" si="141"/>
        <v>1986.6</v>
      </c>
      <c r="I1049" s="34" t="s">
        <v>13</v>
      </c>
      <c r="J1049" s="99">
        <f>+'[3]Dự thầu'!$G$136</f>
        <v>15319</v>
      </c>
      <c r="K1049" s="98">
        <f t="shared" si="137"/>
        <v>30432725</v>
      </c>
      <c r="L1049" s="98">
        <f t="shared" si="138"/>
        <v>0</v>
      </c>
      <c r="M1049" s="98">
        <f t="shared" si="139"/>
        <v>30432725</v>
      </c>
      <c r="N1049" s="100"/>
    </row>
    <row r="1050" spans="1:15" ht="15.75" customHeight="1" x14ac:dyDescent="0.25">
      <c r="A1050" s="52" t="str">
        <f t="shared" si="140"/>
        <v>HT</v>
      </c>
      <c r="B1050" s="32" t="s">
        <v>1419</v>
      </c>
      <c r="C1050" s="33">
        <v>1045</v>
      </c>
      <c r="D1050" s="39" t="s">
        <v>210</v>
      </c>
      <c r="E1050" s="33" t="s">
        <v>10</v>
      </c>
      <c r="F1050" s="33">
        <v>476.8</v>
      </c>
      <c r="G1050" s="33"/>
      <c r="H1050" s="33">
        <f t="shared" si="141"/>
        <v>476.8</v>
      </c>
      <c r="I1050" s="34" t="s">
        <v>16</v>
      </c>
      <c r="J1050" s="99">
        <f>+'[3]Dự thầu'!$G$143</f>
        <v>364704</v>
      </c>
      <c r="K1050" s="98">
        <f t="shared" si="137"/>
        <v>173890867</v>
      </c>
      <c r="L1050" s="98">
        <f t="shared" si="138"/>
        <v>0</v>
      </c>
      <c r="M1050" s="98">
        <f t="shared" si="139"/>
        <v>173890867</v>
      </c>
      <c r="N1050" s="100"/>
    </row>
    <row r="1051" spans="1:15" ht="15.75" customHeight="1" x14ac:dyDescent="0.25">
      <c r="A1051" s="52" t="str">
        <f t="shared" si="140"/>
        <v>HT</v>
      </c>
      <c r="B1051" s="32" t="s">
        <v>1420</v>
      </c>
      <c r="C1051" s="33">
        <v>1046</v>
      </c>
      <c r="D1051" s="39" t="s">
        <v>1421</v>
      </c>
      <c r="E1051" s="33" t="s">
        <v>10</v>
      </c>
      <c r="F1051" s="33">
        <v>675.5</v>
      </c>
      <c r="G1051" s="33"/>
      <c r="H1051" s="33">
        <f t="shared" si="141"/>
        <v>675.5</v>
      </c>
      <c r="I1051" s="34" t="s">
        <v>16</v>
      </c>
      <c r="J1051" s="99">
        <f>+'[3]Dự thầu'!$G$144</f>
        <v>344284</v>
      </c>
      <c r="K1051" s="98">
        <f t="shared" si="137"/>
        <v>232563842</v>
      </c>
      <c r="L1051" s="98">
        <f t="shared" si="138"/>
        <v>0</v>
      </c>
      <c r="M1051" s="98">
        <f t="shared" si="139"/>
        <v>232563842</v>
      </c>
      <c r="N1051" s="100"/>
    </row>
    <row r="1052" spans="1:15" s="22" customFormat="1" ht="31.5" customHeight="1" x14ac:dyDescent="0.25">
      <c r="A1052" s="52" t="str">
        <f t="shared" si="140"/>
        <v>HT</v>
      </c>
      <c r="B1052" s="29">
        <v>17</v>
      </c>
      <c r="C1052" s="30">
        <v>1047</v>
      </c>
      <c r="D1052" s="12" t="s">
        <v>1422</v>
      </c>
      <c r="E1052" s="30" t="s">
        <v>10</v>
      </c>
      <c r="F1052" s="30"/>
      <c r="G1052" s="30"/>
      <c r="H1052" s="30">
        <f t="shared" si="141"/>
        <v>0</v>
      </c>
      <c r="I1052" s="31"/>
      <c r="J1052" s="97"/>
      <c r="K1052" s="35"/>
      <c r="L1052" s="104"/>
      <c r="M1052" s="104"/>
      <c r="N1052" s="23"/>
      <c r="O1052" s="104"/>
    </row>
    <row r="1053" spans="1:15" ht="15.75" customHeight="1" x14ac:dyDescent="0.25">
      <c r="A1053" s="52" t="str">
        <f t="shared" si="140"/>
        <v>HT</v>
      </c>
      <c r="B1053" s="32" t="s">
        <v>1423</v>
      </c>
      <c r="C1053" s="33">
        <v>1048</v>
      </c>
      <c r="D1053" s="39" t="s">
        <v>1072</v>
      </c>
      <c r="E1053" s="33" t="s">
        <v>10</v>
      </c>
      <c r="F1053" s="33">
        <v>3.83</v>
      </c>
      <c r="G1053" s="33"/>
      <c r="H1053" s="33">
        <f t="shared" si="141"/>
        <v>3.83</v>
      </c>
      <c r="I1053" s="34" t="s">
        <v>16</v>
      </c>
      <c r="J1053" s="99">
        <f>+'[3]Dự thầu'!$G173</f>
        <v>20072</v>
      </c>
      <c r="K1053" s="98">
        <f t="shared" ref="K1053:K1073" si="142">+ROUND(J1053*F1053,0)</f>
        <v>76876</v>
      </c>
      <c r="L1053" s="98">
        <f t="shared" ref="L1053:L1073" si="143">+ROUND(G1053*J1053,0)</f>
        <v>0</v>
      </c>
      <c r="M1053" s="98">
        <f t="shared" ref="M1053:M1073" si="144">+ROUND(H1053*J1053,0)</f>
        <v>76876</v>
      </c>
      <c r="N1053" s="100"/>
    </row>
    <row r="1054" spans="1:15" ht="15.75" customHeight="1" x14ac:dyDescent="0.25">
      <c r="A1054" s="52" t="str">
        <f t="shared" si="140"/>
        <v>HT</v>
      </c>
      <c r="B1054" s="32" t="s">
        <v>1424</v>
      </c>
      <c r="C1054" s="33">
        <v>1049</v>
      </c>
      <c r="D1054" s="39" t="s">
        <v>183</v>
      </c>
      <c r="E1054" s="33" t="s">
        <v>10</v>
      </c>
      <c r="F1054" s="33">
        <v>0.56999999999999995</v>
      </c>
      <c r="G1054" s="33"/>
      <c r="H1054" s="33">
        <f t="shared" si="141"/>
        <v>0.56999999999999995</v>
      </c>
      <c r="I1054" s="34" t="s">
        <v>16</v>
      </c>
      <c r="J1054" s="99">
        <f>+'[3]Dự thầu'!$G174</f>
        <v>23801</v>
      </c>
      <c r="K1054" s="98">
        <f t="shared" si="142"/>
        <v>13567</v>
      </c>
      <c r="L1054" s="98">
        <f t="shared" si="143"/>
        <v>0</v>
      </c>
      <c r="M1054" s="98">
        <f t="shared" si="144"/>
        <v>13567</v>
      </c>
      <c r="N1054" s="100"/>
    </row>
    <row r="1055" spans="1:15" ht="15.75" customHeight="1" x14ac:dyDescent="0.25">
      <c r="A1055" s="52" t="str">
        <f t="shared" si="140"/>
        <v>HT</v>
      </c>
      <c r="B1055" s="32" t="s">
        <v>1425</v>
      </c>
      <c r="C1055" s="33">
        <v>1050</v>
      </c>
      <c r="D1055" s="39" t="s">
        <v>185</v>
      </c>
      <c r="E1055" s="33" t="s">
        <v>10</v>
      </c>
      <c r="F1055" s="33">
        <v>191.4</v>
      </c>
      <c r="G1055" s="33"/>
      <c r="H1055" s="33">
        <f t="shared" si="141"/>
        <v>191.4</v>
      </c>
      <c r="I1055" s="34" t="s">
        <v>16</v>
      </c>
      <c r="J1055" s="99">
        <f>+'[3]Dự thầu'!$G175</f>
        <v>23801</v>
      </c>
      <c r="K1055" s="98">
        <f t="shared" si="142"/>
        <v>4555511</v>
      </c>
      <c r="L1055" s="98">
        <f t="shared" si="143"/>
        <v>0</v>
      </c>
      <c r="M1055" s="98">
        <f t="shared" si="144"/>
        <v>4555511</v>
      </c>
      <c r="N1055" s="100"/>
    </row>
    <row r="1056" spans="1:15" ht="15.75" customHeight="1" x14ac:dyDescent="0.25">
      <c r="A1056" s="52" t="str">
        <f t="shared" si="140"/>
        <v>HT</v>
      </c>
      <c r="B1056" s="32" t="s">
        <v>1426</v>
      </c>
      <c r="C1056" s="33">
        <v>1051</v>
      </c>
      <c r="D1056" s="39" t="s">
        <v>20</v>
      </c>
      <c r="E1056" s="33" t="s">
        <v>10</v>
      </c>
      <c r="F1056" s="33">
        <v>2.5</v>
      </c>
      <c r="G1056" s="33"/>
      <c r="H1056" s="33">
        <f t="shared" si="141"/>
        <v>2.5</v>
      </c>
      <c r="I1056" s="34" t="s">
        <v>16</v>
      </c>
      <c r="J1056" s="99">
        <f>+'[3]Dự thầu'!$G176</f>
        <v>12342</v>
      </c>
      <c r="K1056" s="98">
        <f t="shared" si="142"/>
        <v>30855</v>
      </c>
      <c r="L1056" s="98">
        <f t="shared" si="143"/>
        <v>0</v>
      </c>
      <c r="M1056" s="98">
        <f t="shared" si="144"/>
        <v>30855</v>
      </c>
      <c r="N1056" s="100"/>
    </row>
    <row r="1057" spans="1:14" ht="31.5" customHeight="1" x14ac:dyDescent="0.25">
      <c r="A1057" s="52" t="str">
        <f t="shared" si="140"/>
        <v>HT</v>
      </c>
      <c r="B1057" s="32" t="s">
        <v>1427</v>
      </c>
      <c r="C1057" s="33">
        <v>1052</v>
      </c>
      <c r="D1057" s="39" t="s">
        <v>158</v>
      </c>
      <c r="E1057" s="33" t="s">
        <v>10</v>
      </c>
      <c r="F1057" s="33">
        <v>2.5</v>
      </c>
      <c r="G1057" s="33"/>
      <c r="H1057" s="33">
        <f t="shared" si="141"/>
        <v>2.5</v>
      </c>
      <c r="I1057" s="34" t="s">
        <v>16</v>
      </c>
      <c r="J1057" s="99">
        <f>+'[3]Dự thầu'!$G177</f>
        <v>12936</v>
      </c>
      <c r="K1057" s="98">
        <f t="shared" si="142"/>
        <v>32340</v>
      </c>
      <c r="L1057" s="98">
        <f t="shared" si="143"/>
        <v>0</v>
      </c>
      <c r="M1057" s="98">
        <f t="shared" si="144"/>
        <v>32340</v>
      </c>
      <c r="N1057" s="100"/>
    </row>
    <row r="1058" spans="1:14" ht="15.75" customHeight="1" x14ac:dyDescent="0.25">
      <c r="A1058" s="52" t="str">
        <f t="shared" si="140"/>
        <v>HT</v>
      </c>
      <c r="B1058" s="32" t="s">
        <v>1428</v>
      </c>
      <c r="C1058" s="33">
        <v>1053</v>
      </c>
      <c r="D1058" s="39" t="s">
        <v>190</v>
      </c>
      <c r="E1058" s="33" t="s">
        <v>10</v>
      </c>
      <c r="F1058" s="33">
        <v>340.2</v>
      </c>
      <c r="G1058" s="33"/>
      <c r="H1058" s="33">
        <f t="shared" si="141"/>
        <v>340.2</v>
      </c>
      <c r="I1058" s="34" t="s">
        <v>16</v>
      </c>
      <c r="J1058" s="99">
        <f>+'[3]Dự thầu'!$G178</f>
        <v>8251</v>
      </c>
      <c r="K1058" s="98">
        <f t="shared" si="142"/>
        <v>2806990</v>
      </c>
      <c r="L1058" s="98">
        <f t="shared" si="143"/>
        <v>0</v>
      </c>
      <c r="M1058" s="98">
        <f t="shared" si="144"/>
        <v>2806990</v>
      </c>
      <c r="N1058" s="100"/>
    </row>
    <row r="1059" spans="1:14" ht="15.75" customHeight="1" x14ac:dyDescent="0.25">
      <c r="A1059" s="52" t="str">
        <f t="shared" si="140"/>
        <v>HT</v>
      </c>
      <c r="B1059" s="32" t="s">
        <v>1429</v>
      </c>
      <c r="C1059" s="33">
        <v>1054</v>
      </c>
      <c r="D1059" s="39" t="s">
        <v>192</v>
      </c>
      <c r="E1059" s="33" t="s">
        <v>10</v>
      </c>
      <c r="F1059" s="101">
        <v>2229.9</v>
      </c>
      <c r="G1059" s="101"/>
      <c r="H1059" s="101">
        <f t="shared" si="141"/>
        <v>2229.9</v>
      </c>
      <c r="I1059" s="34" t="s">
        <v>16</v>
      </c>
      <c r="J1059" s="99">
        <f>+'[3]Dự thầu'!$G179</f>
        <v>32141</v>
      </c>
      <c r="K1059" s="98">
        <f t="shared" si="142"/>
        <v>71671216</v>
      </c>
      <c r="L1059" s="98">
        <f t="shared" si="143"/>
        <v>0</v>
      </c>
      <c r="M1059" s="98">
        <f t="shared" si="144"/>
        <v>71671216</v>
      </c>
      <c r="N1059" s="100"/>
    </row>
    <row r="1060" spans="1:14" ht="31.5" customHeight="1" x14ac:dyDescent="0.25">
      <c r="A1060" s="52" t="str">
        <f t="shared" si="140"/>
        <v>HT</v>
      </c>
      <c r="B1060" s="32" t="s">
        <v>1430</v>
      </c>
      <c r="C1060" s="33">
        <v>1055</v>
      </c>
      <c r="D1060" s="39" t="s">
        <v>160</v>
      </c>
      <c r="E1060" s="33" t="s">
        <v>10</v>
      </c>
      <c r="F1060" s="33">
        <v>127</v>
      </c>
      <c r="G1060" s="33"/>
      <c r="H1060" s="33">
        <f t="shared" si="141"/>
        <v>127</v>
      </c>
      <c r="I1060" s="34" t="s">
        <v>16</v>
      </c>
      <c r="J1060" s="99">
        <f>+'[3]Dự thầu'!$G180</f>
        <v>12936</v>
      </c>
      <c r="K1060" s="98">
        <f t="shared" si="142"/>
        <v>1642872</v>
      </c>
      <c r="L1060" s="98">
        <f t="shared" si="143"/>
        <v>0</v>
      </c>
      <c r="M1060" s="98">
        <f t="shared" si="144"/>
        <v>1642872</v>
      </c>
      <c r="N1060" s="100"/>
    </row>
    <row r="1061" spans="1:14" ht="15.75" customHeight="1" x14ac:dyDescent="0.25">
      <c r="A1061" s="52" t="str">
        <f t="shared" si="140"/>
        <v>HT</v>
      </c>
      <c r="B1061" s="32" t="s">
        <v>1431</v>
      </c>
      <c r="C1061" s="33">
        <v>1056</v>
      </c>
      <c r="D1061" s="39" t="s">
        <v>195</v>
      </c>
      <c r="E1061" s="33" t="s">
        <v>10</v>
      </c>
      <c r="F1061" s="98">
        <v>2968</v>
      </c>
      <c r="G1061" s="98"/>
      <c r="H1061" s="98">
        <f t="shared" si="141"/>
        <v>2968</v>
      </c>
      <c r="I1061" s="34" t="s">
        <v>16</v>
      </c>
      <c r="J1061" s="99">
        <f>+'[3]Dự thầu'!$G181</f>
        <v>50585</v>
      </c>
      <c r="K1061" s="98">
        <f t="shared" si="142"/>
        <v>150136280</v>
      </c>
      <c r="L1061" s="98">
        <f t="shared" si="143"/>
        <v>0</v>
      </c>
      <c r="M1061" s="98">
        <f t="shared" si="144"/>
        <v>150136280</v>
      </c>
      <c r="N1061" s="100"/>
    </row>
    <row r="1062" spans="1:14" ht="15.75" customHeight="1" x14ac:dyDescent="0.25">
      <c r="A1062" s="52" t="str">
        <f t="shared" si="140"/>
        <v>HT</v>
      </c>
      <c r="B1062" s="32" t="s">
        <v>1432</v>
      </c>
      <c r="C1062" s="33">
        <v>1057</v>
      </c>
      <c r="D1062" s="39" t="s">
        <v>32</v>
      </c>
      <c r="E1062" s="33" t="s">
        <v>10</v>
      </c>
      <c r="F1062" s="33">
        <v>173.65</v>
      </c>
      <c r="G1062" s="33"/>
      <c r="H1062" s="33">
        <f t="shared" si="141"/>
        <v>173.65</v>
      </c>
      <c r="I1062" s="34" t="s">
        <v>16</v>
      </c>
      <c r="J1062" s="99">
        <f>+'[3]Dự thầu'!$G182</f>
        <v>54405</v>
      </c>
      <c r="K1062" s="98">
        <f t="shared" si="142"/>
        <v>9447428</v>
      </c>
      <c r="L1062" s="98">
        <f t="shared" si="143"/>
        <v>0</v>
      </c>
      <c r="M1062" s="98">
        <f t="shared" si="144"/>
        <v>9447428</v>
      </c>
      <c r="N1062" s="100"/>
    </row>
    <row r="1063" spans="1:14" ht="15.75" customHeight="1" x14ac:dyDescent="0.25">
      <c r="A1063" s="52" t="str">
        <f t="shared" si="140"/>
        <v>HT</v>
      </c>
      <c r="B1063" s="32" t="s">
        <v>1433</v>
      </c>
      <c r="C1063" s="33">
        <v>1058</v>
      </c>
      <c r="D1063" s="39" t="s">
        <v>36</v>
      </c>
      <c r="E1063" s="33" t="s">
        <v>10</v>
      </c>
      <c r="F1063" s="33">
        <v>314.16000000000003</v>
      </c>
      <c r="G1063" s="33"/>
      <c r="H1063" s="33">
        <f t="shared" si="141"/>
        <v>314.16000000000003</v>
      </c>
      <c r="I1063" s="34" t="s">
        <v>37</v>
      </c>
      <c r="J1063" s="99">
        <f>+'[3]Dự thầu'!$G$183+'[3]Dự thầu'!$G$184+'[3]Dự thầu'!$G$185</f>
        <v>1064000</v>
      </c>
      <c r="K1063" s="98">
        <f t="shared" si="142"/>
        <v>334266240</v>
      </c>
      <c r="L1063" s="98">
        <f t="shared" si="143"/>
        <v>0</v>
      </c>
      <c r="M1063" s="98">
        <f t="shared" si="144"/>
        <v>334266240</v>
      </c>
      <c r="N1063" s="100"/>
    </row>
    <row r="1064" spans="1:14" ht="47.25" customHeight="1" x14ac:dyDescent="0.25">
      <c r="A1064" s="52" t="str">
        <f t="shared" si="140"/>
        <v>HT</v>
      </c>
      <c r="B1064" s="32" t="s">
        <v>1434</v>
      </c>
      <c r="C1064" s="33">
        <v>1059</v>
      </c>
      <c r="D1064" s="39" t="s">
        <v>94</v>
      </c>
      <c r="E1064" s="33" t="s">
        <v>10</v>
      </c>
      <c r="F1064" s="33">
        <v>42.4</v>
      </c>
      <c r="G1064" s="33"/>
      <c r="H1064" s="33">
        <f t="shared" si="141"/>
        <v>42.4</v>
      </c>
      <c r="I1064" s="34" t="s">
        <v>13</v>
      </c>
      <c r="J1064" s="99">
        <f>+'[3]Dự thầu'!$G$192</f>
        <v>11015</v>
      </c>
      <c r="K1064" s="98">
        <f t="shared" si="142"/>
        <v>467036</v>
      </c>
      <c r="L1064" s="98">
        <f t="shared" si="143"/>
        <v>0</v>
      </c>
      <c r="M1064" s="98">
        <f t="shared" si="144"/>
        <v>467036</v>
      </c>
      <c r="N1064" s="100"/>
    </row>
    <row r="1065" spans="1:14" ht="31.5" customHeight="1" x14ac:dyDescent="0.25">
      <c r="A1065" s="52" t="str">
        <f t="shared" si="140"/>
        <v>HT</v>
      </c>
      <c r="B1065" s="32" t="s">
        <v>1435</v>
      </c>
      <c r="C1065" s="33">
        <v>1060</v>
      </c>
      <c r="D1065" s="39" t="s">
        <v>96</v>
      </c>
      <c r="E1065" s="33" t="s">
        <v>10</v>
      </c>
      <c r="F1065" s="33">
        <v>6.04</v>
      </c>
      <c r="G1065" s="33"/>
      <c r="H1065" s="33">
        <f t="shared" si="141"/>
        <v>6.04</v>
      </c>
      <c r="I1065" s="34" t="s">
        <v>90</v>
      </c>
      <c r="J1065" s="99">
        <v>1646788</v>
      </c>
      <c r="K1065" s="98">
        <f t="shared" si="142"/>
        <v>9946600</v>
      </c>
      <c r="L1065" s="98">
        <f t="shared" si="143"/>
        <v>0</v>
      </c>
      <c r="M1065" s="98">
        <f t="shared" si="144"/>
        <v>9946600</v>
      </c>
      <c r="N1065" s="100"/>
    </row>
    <row r="1066" spans="1:14" ht="31.5" customHeight="1" x14ac:dyDescent="0.25">
      <c r="A1066" s="52" t="str">
        <f t="shared" si="140"/>
        <v>HT</v>
      </c>
      <c r="B1066" s="32" t="s">
        <v>1436</v>
      </c>
      <c r="C1066" s="33">
        <v>1061</v>
      </c>
      <c r="D1066" s="39" t="s">
        <v>98</v>
      </c>
      <c r="E1066" s="33" t="s">
        <v>10</v>
      </c>
      <c r="F1066" s="33">
        <v>0.06</v>
      </c>
      <c r="G1066" s="33"/>
      <c r="H1066" s="33">
        <f t="shared" si="141"/>
        <v>0.06</v>
      </c>
      <c r="I1066" s="34" t="s">
        <v>99</v>
      </c>
      <c r="J1066" s="99">
        <f>+'[3]Dự thầu'!$G$194+'[3]Dự thầu'!$G$195</f>
        <v>11384261</v>
      </c>
      <c r="K1066" s="98">
        <f t="shared" si="142"/>
        <v>683056</v>
      </c>
      <c r="L1066" s="98">
        <f t="shared" si="143"/>
        <v>0</v>
      </c>
      <c r="M1066" s="98">
        <f t="shared" si="144"/>
        <v>683056</v>
      </c>
      <c r="N1066" s="100"/>
    </row>
    <row r="1067" spans="1:14" ht="31.5" customHeight="1" x14ac:dyDescent="0.25">
      <c r="A1067" s="52" t="str">
        <f t="shared" si="140"/>
        <v>HT</v>
      </c>
      <c r="B1067" s="32" t="s">
        <v>1437</v>
      </c>
      <c r="C1067" s="33">
        <v>1062</v>
      </c>
      <c r="D1067" s="39" t="s">
        <v>208</v>
      </c>
      <c r="E1067" s="33" t="s">
        <v>10</v>
      </c>
      <c r="F1067" s="33">
        <v>42</v>
      </c>
      <c r="G1067" s="33"/>
      <c r="H1067" s="33">
        <f t="shared" si="141"/>
        <v>42</v>
      </c>
      <c r="I1067" s="34" t="s">
        <v>13</v>
      </c>
      <c r="J1067" s="99">
        <f>+'[3]Dự thầu'!$G$196</f>
        <v>26753</v>
      </c>
      <c r="K1067" s="98">
        <f t="shared" si="142"/>
        <v>1123626</v>
      </c>
      <c r="L1067" s="98">
        <f t="shared" si="143"/>
        <v>0</v>
      </c>
      <c r="M1067" s="98">
        <f t="shared" si="144"/>
        <v>1123626</v>
      </c>
      <c r="N1067" s="100"/>
    </row>
    <row r="1068" spans="1:14" ht="15.75" customHeight="1" x14ac:dyDescent="0.25">
      <c r="A1068" s="52" t="str">
        <f t="shared" si="140"/>
        <v>HT</v>
      </c>
      <c r="B1068" s="32" t="s">
        <v>1438</v>
      </c>
      <c r="C1068" s="33">
        <v>1063</v>
      </c>
      <c r="D1068" s="39" t="s">
        <v>210</v>
      </c>
      <c r="E1068" s="33" t="s">
        <v>10</v>
      </c>
      <c r="F1068" s="33">
        <v>2.2999999999999998</v>
      </c>
      <c r="G1068" s="33"/>
      <c r="H1068" s="33">
        <f t="shared" si="141"/>
        <v>2.2999999999999998</v>
      </c>
      <c r="I1068" s="34" t="s">
        <v>16</v>
      </c>
      <c r="J1068" s="99">
        <f>+'[3]Dự thầu'!$G$197</f>
        <v>364704</v>
      </c>
      <c r="K1068" s="98">
        <f t="shared" si="142"/>
        <v>838819</v>
      </c>
      <c r="L1068" s="98">
        <f t="shared" si="143"/>
        <v>0</v>
      </c>
      <c r="M1068" s="98">
        <f t="shared" si="144"/>
        <v>838819</v>
      </c>
      <c r="N1068" s="100"/>
    </row>
    <row r="1069" spans="1:14" ht="47.25" customHeight="1" x14ac:dyDescent="0.25">
      <c r="A1069" s="52" t="str">
        <f t="shared" si="140"/>
        <v>HT</v>
      </c>
      <c r="B1069" s="32" t="s">
        <v>1439</v>
      </c>
      <c r="C1069" s="33">
        <v>1064</v>
      </c>
      <c r="D1069" s="39" t="s">
        <v>94</v>
      </c>
      <c r="E1069" s="33" t="s">
        <v>10</v>
      </c>
      <c r="F1069" s="33">
        <v>482</v>
      </c>
      <c r="G1069" s="33"/>
      <c r="H1069" s="33">
        <f t="shared" si="141"/>
        <v>482</v>
      </c>
      <c r="I1069" s="34" t="s">
        <v>13</v>
      </c>
      <c r="J1069" s="99">
        <f>+'[3]Dự thầu'!$G$198</f>
        <v>11015</v>
      </c>
      <c r="K1069" s="98">
        <f t="shared" si="142"/>
        <v>5309230</v>
      </c>
      <c r="L1069" s="98">
        <f t="shared" si="143"/>
        <v>0</v>
      </c>
      <c r="M1069" s="98">
        <f t="shared" si="144"/>
        <v>5309230</v>
      </c>
      <c r="N1069" s="100"/>
    </row>
    <row r="1070" spans="1:14" ht="31.5" customHeight="1" x14ac:dyDescent="0.25">
      <c r="A1070" s="52" t="str">
        <f t="shared" si="140"/>
        <v>HT</v>
      </c>
      <c r="B1070" s="32" t="s">
        <v>1440</v>
      </c>
      <c r="C1070" s="33">
        <v>1065</v>
      </c>
      <c r="D1070" s="39" t="s">
        <v>96</v>
      </c>
      <c r="E1070" s="33" t="s">
        <v>10</v>
      </c>
      <c r="F1070" s="33">
        <v>68.64</v>
      </c>
      <c r="G1070" s="33"/>
      <c r="H1070" s="33">
        <f t="shared" si="141"/>
        <v>68.64</v>
      </c>
      <c r="I1070" s="34" t="s">
        <v>90</v>
      </c>
      <c r="J1070" s="99">
        <v>1646788</v>
      </c>
      <c r="K1070" s="98">
        <f t="shared" si="142"/>
        <v>113035528</v>
      </c>
      <c r="L1070" s="98">
        <f t="shared" si="143"/>
        <v>0</v>
      </c>
      <c r="M1070" s="98">
        <f t="shared" si="144"/>
        <v>113035528</v>
      </c>
      <c r="N1070" s="100"/>
    </row>
    <row r="1071" spans="1:14" ht="31.5" customHeight="1" x14ac:dyDescent="0.25">
      <c r="A1071" s="52" t="str">
        <f t="shared" si="140"/>
        <v>HT</v>
      </c>
      <c r="B1071" s="32" t="s">
        <v>1441</v>
      </c>
      <c r="C1071" s="33">
        <v>1066</v>
      </c>
      <c r="D1071" s="39" t="s">
        <v>98</v>
      </c>
      <c r="E1071" s="33" t="s">
        <v>10</v>
      </c>
      <c r="F1071" s="33">
        <v>0.69</v>
      </c>
      <c r="G1071" s="33"/>
      <c r="H1071" s="33">
        <f t="shared" si="141"/>
        <v>0.69</v>
      </c>
      <c r="I1071" s="34" t="s">
        <v>99</v>
      </c>
      <c r="J1071" s="99">
        <f>+'[3]Dự thầu'!$G$200+'[3]Dự thầu'!$G$201</f>
        <v>11384261</v>
      </c>
      <c r="K1071" s="98">
        <f t="shared" si="142"/>
        <v>7855140</v>
      </c>
      <c r="L1071" s="98">
        <f t="shared" si="143"/>
        <v>0</v>
      </c>
      <c r="M1071" s="98">
        <f t="shared" si="144"/>
        <v>7855140</v>
      </c>
      <c r="N1071" s="100"/>
    </row>
    <row r="1072" spans="1:14" ht="31.5" customHeight="1" x14ac:dyDescent="0.25">
      <c r="A1072" s="52" t="str">
        <f t="shared" si="140"/>
        <v>HT</v>
      </c>
      <c r="B1072" s="32" t="s">
        <v>1442</v>
      </c>
      <c r="C1072" s="33">
        <v>1067</v>
      </c>
      <c r="D1072" s="39" t="s">
        <v>208</v>
      </c>
      <c r="E1072" s="33" t="s">
        <v>10</v>
      </c>
      <c r="F1072" s="33">
        <v>482</v>
      </c>
      <c r="G1072" s="33"/>
      <c r="H1072" s="33">
        <f t="shared" si="141"/>
        <v>482</v>
      </c>
      <c r="I1072" s="34" t="s">
        <v>13</v>
      </c>
      <c r="J1072" s="99">
        <f>+'[3]Dự thầu'!$G$202</f>
        <v>26753</v>
      </c>
      <c r="K1072" s="98">
        <f t="shared" si="142"/>
        <v>12894946</v>
      </c>
      <c r="L1072" s="98">
        <f t="shared" si="143"/>
        <v>0</v>
      </c>
      <c r="M1072" s="98">
        <f t="shared" si="144"/>
        <v>12894946</v>
      </c>
      <c r="N1072" s="100"/>
    </row>
    <row r="1073" spans="1:15" ht="15.75" customHeight="1" x14ac:dyDescent="0.25">
      <c r="A1073" s="52" t="str">
        <f t="shared" si="140"/>
        <v>HT</v>
      </c>
      <c r="B1073" s="32" t="s">
        <v>1443</v>
      </c>
      <c r="C1073" s="33">
        <v>1068</v>
      </c>
      <c r="D1073" s="39" t="s">
        <v>210</v>
      </c>
      <c r="E1073" s="33" t="s">
        <v>10</v>
      </c>
      <c r="F1073" s="33">
        <v>73.2</v>
      </c>
      <c r="G1073" s="33"/>
      <c r="H1073" s="33">
        <f t="shared" si="141"/>
        <v>73.2</v>
      </c>
      <c r="I1073" s="34" t="s">
        <v>16</v>
      </c>
      <c r="J1073" s="99">
        <f>+'[3]Dự thầu'!$G$203</f>
        <v>364704</v>
      </c>
      <c r="K1073" s="98">
        <f t="shared" si="142"/>
        <v>26696333</v>
      </c>
      <c r="L1073" s="98">
        <f t="shared" si="143"/>
        <v>0</v>
      </c>
      <c r="M1073" s="98">
        <f t="shared" si="144"/>
        <v>26696333</v>
      </c>
      <c r="N1073" s="100"/>
    </row>
    <row r="1074" spans="1:15" s="22" customFormat="1" ht="31.5" customHeight="1" x14ac:dyDescent="0.25">
      <c r="A1074" s="52" t="str">
        <f t="shared" si="140"/>
        <v>HT</v>
      </c>
      <c r="B1074" s="29">
        <v>18</v>
      </c>
      <c r="C1074" s="30">
        <v>1069</v>
      </c>
      <c r="D1074" s="12" t="s">
        <v>1444</v>
      </c>
      <c r="E1074" s="30" t="s">
        <v>10</v>
      </c>
      <c r="F1074" s="30"/>
      <c r="G1074" s="30"/>
      <c r="H1074" s="30">
        <f t="shared" si="141"/>
        <v>0</v>
      </c>
      <c r="I1074" s="31"/>
      <c r="J1074" s="97"/>
      <c r="K1074" s="35"/>
      <c r="L1074" s="104"/>
      <c r="M1074" s="104"/>
      <c r="N1074" s="23"/>
      <c r="O1074" s="104"/>
    </row>
    <row r="1075" spans="1:15" ht="31.5" customHeight="1" x14ac:dyDescent="0.25">
      <c r="A1075" s="52" t="str">
        <f t="shared" si="140"/>
        <v>HT</v>
      </c>
      <c r="B1075" s="32" t="s">
        <v>1445</v>
      </c>
      <c r="C1075" s="33">
        <v>1070</v>
      </c>
      <c r="D1075" s="39" t="s">
        <v>510</v>
      </c>
      <c r="E1075" s="33" t="s">
        <v>10</v>
      </c>
      <c r="F1075" s="33">
        <v>220</v>
      </c>
      <c r="G1075" s="33"/>
      <c r="H1075" s="33">
        <f t="shared" si="141"/>
        <v>220</v>
      </c>
      <c r="I1075" s="34" t="s">
        <v>13</v>
      </c>
      <c r="J1075" s="99">
        <f>+'[3]Dự thầu'!$G475</f>
        <v>519576</v>
      </c>
      <c r="K1075" s="98">
        <f t="shared" ref="K1075:K1093" si="145">+ROUND(J1075*F1075,0)</f>
        <v>114306720</v>
      </c>
      <c r="L1075" s="98">
        <f t="shared" ref="L1075:L1138" si="146">+ROUND(G1075*J1075,0)</f>
        <v>0</v>
      </c>
      <c r="M1075" s="98">
        <f t="shared" ref="M1075:M1093" si="147">+ROUND(H1075*J1075,0)</f>
        <v>114306720</v>
      </c>
      <c r="N1075" s="100"/>
    </row>
    <row r="1076" spans="1:15" ht="15.75" customHeight="1" x14ac:dyDescent="0.25">
      <c r="A1076" s="52" t="str">
        <f t="shared" si="140"/>
        <v>HT</v>
      </c>
      <c r="B1076" s="32" t="s">
        <v>1446</v>
      </c>
      <c r="C1076" s="33">
        <v>1071</v>
      </c>
      <c r="D1076" s="39" t="s">
        <v>512</v>
      </c>
      <c r="E1076" s="33" t="s">
        <v>10</v>
      </c>
      <c r="F1076" s="33">
        <v>6.61</v>
      </c>
      <c r="G1076" s="33"/>
      <c r="H1076" s="33">
        <f t="shared" si="141"/>
        <v>6.61</v>
      </c>
      <c r="I1076" s="34" t="s">
        <v>13</v>
      </c>
      <c r="J1076" s="99">
        <f>+'[3]Dự thầu'!$G476</f>
        <v>1113651</v>
      </c>
      <c r="K1076" s="98">
        <f t="shared" si="145"/>
        <v>7361233</v>
      </c>
      <c r="L1076" s="98">
        <f t="shared" si="146"/>
        <v>0</v>
      </c>
      <c r="M1076" s="98">
        <f t="shared" si="147"/>
        <v>7361233</v>
      </c>
      <c r="N1076" s="100"/>
    </row>
    <row r="1077" spans="1:15" ht="31.5" customHeight="1" x14ac:dyDescent="0.25">
      <c r="A1077" s="52" t="str">
        <f t="shared" si="140"/>
        <v>HT</v>
      </c>
      <c r="B1077" s="32" t="s">
        <v>1447</v>
      </c>
      <c r="C1077" s="33">
        <v>1072</v>
      </c>
      <c r="D1077" s="39" t="s">
        <v>514</v>
      </c>
      <c r="E1077" s="33" t="s">
        <v>10</v>
      </c>
      <c r="F1077" s="33">
        <v>93</v>
      </c>
      <c r="G1077" s="33"/>
      <c r="H1077" s="33">
        <f t="shared" si="141"/>
        <v>93</v>
      </c>
      <c r="I1077" s="34" t="s">
        <v>515</v>
      </c>
      <c r="J1077" s="99">
        <f>+'[3]Dự thầu'!$G477</f>
        <v>56885</v>
      </c>
      <c r="K1077" s="98">
        <f t="shared" si="145"/>
        <v>5290305</v>
      </c>
      <c r="L1077" s="98">
        <f t="shared" si="146"/>
        <v>0</v>
      </c>
      <c r="M1077" s="98">
        <f t="shared" si="147"/>
        <v>5290305</v>
      </c>
      <c r="N1077" s="100"/>
    </row>
    <row r="1078" spans="1:15" ht="47.25" customHeight="1" x14ac:dyDescent="0.25">
      <c r="A1078" s="52" t="str">
        <f t="shared" si="140"/>
        <v>HT</v>
      </c>
      <c r="B1078" s="32" t="s">
        <v>1448</v>
      </c>
      <c r="C1078" s="33">
        <v>1073</v>
      </c>
      <c r="D1078" s="39" t="s">
        <v>517</v>
      </c>
      <c r="E1078" s="33" t="s">
        <v>10</v>
      </c>
      <c r="F1078" s="33">
        <v>5</v>
      </c>
      <c r="G1078" s="33"/>
      <c r="H1078" s="33">
        <f t="shared" si="141"/>
        <v>5</v>
      </c>
      <c r="I1078" s="34" t="s">
        <v>258</v>
      </c>
      <c r="J1078" s="99">
        <f>+'[3]Dự thầu'!$G478</f>
        <v>305773</v>
      </c>
      <c r="K1078" s="98">
        <f t="shared" si="145"/>
        <v>1528865</v>
      </c>
      <c r="L1078" s="98">
        <f t="shared" si="146"/>
        <v>0</v>
      </c>
      <c r="M1078" s="98">
        <f t="shared" si="147"/>
        <v>1528865</v>
      </c>
      <c r="N1078" s="100"/>
    </row>
    <row r="1079" spans="1:15" ht="47.25" customHeight="1" x14ac:dyDescent="0.25">
      <c r="A1079" s="52" t="str">
        <f t="shared" si="140"/>
        <v>HT</v>
      </c>
      <c r="B1079" s="32" t="s">
        <v>1449</v>
      </c>
      <c r="C1079" s="33">
        <v>1074</v>
      </c>
      <c r="D1079" s="39" t="s">
        <v>519</v>
      </c>
      <c r="E1079" s="33" t="s">
        <v>10</v>
      </c>
      <c r="F1079" s="33">
        <v>4</v>
      </c>
      <c r="G1079" s="33"/>
      <c r="H1079" s="33">
        <f t="shared" si="141"/>
        <v>4</v>
      </c>
      <c r="I1079" s="34" t="s">
        <v>258</v>
      </c>
      <c r="J1079" s="99">
        <f>+'[3]Dự thầu'!$G479</f>
        <v>320924</v>
      </c>
      <c r="K1079" s="98">
        <f t="shared" si="145"/>
        <v>1283696</v>
      </c>
      <c r="L1079" s="98">
        <f t="shared" si="146"/>
        <v>0</v>
      </c>
      <c r="M1079" s="98">
        <f t="shared" si="147"/>
        <v>1283696</v>
      </c>
      <c r="N1079" s="100"/>
    </row>
    <row r="1080" spans="1:15" ht="47.25" customHeight="1" x14ac:dyDescent="0.25">
      <c r="A1080" s="52" t="str">
        <f t="shared" si="140"/>
        <v>HT</v>
      </c>
      <c r="B1080" s="32" t="s">
        <v>1450</v>
      </c>
      <c r="C1080" s="33">
        <v>1075</v>
      </c>
      <c r="D1080" s="39" t="s">
        <v>1149</v>
      </c>
      <c r="E1080" s="33" t="s">
        <v>10</v>
      </c>
      <c r="F1080" s="33">
        <v>1</v>
      </c>
      <c r="G1080" s="33"/>
      <c r="H1080" s="33">
        <f t="shared" si="141"/>
        <v>1</v>
      </c>
      <c r="I1080" s="34" t="s">
        <v>258</v>
      </c>
      <c r="J1080" s="99">
        <f>+'[3]Dự thầu'!$G480</f>
        <v>314863</v>
      </c>
      <c r="K1080" s="98">
        <f t="shared" si="145"/>
        <v>314863</v>
      </c>
      <c r="L1080" s="98">
        <f t="shared" si="146"/>
        <v>0</v>
      </c>
      <c r="M1080" s="98">
        <f t="shared" si="147"/>
        <v>314863</v>
      </c>
      <c r="N1080" s="100"/>
    </row>
    <row r="1081" spans="1:15" ht="47.25" customHeight="1" x14ac:dyDescent="0.25">
      <c r="A1081" s="52" t="str">
        <f t="shared" si="140"/>
        <v>HT</v>
      </c>
      <c r="B1081" s="32" t="s">
        <v>1451</v>
      </c>
      <c r="C1081" s="33">
        <v>1076</v>
      </c>
      <c r="D1081" s="39" t="s">
        <v>523</v>
      </c>
      <c r="E1081" s="33" t="s">
        <v>10</v>
      </c>
      <c r="F1081" s="33">
        <v>1</v>
      </c>
      <c r="G1081" s="33"/>
      <c r="H1081" s="33">
        <f t="shared" si="141"/>
        <v>1</v>
      </c>
      <c r="I1081" s="34" t="s">
        <v>258</v>
      </c>
      <c r="J1081" s="99">
        <f>+'[3]Dự thầu'!$G481</f>
        <v>314863</v>
      </c>
      <c r="K1081" s="98">
        <f t="shared" si="145"/>
        <v>314863</v>
      </c>
      <c r="L1081" s="98">
        <f t="shared" si="146"/>
        <v>0</v>
      </c>
      <c r="M1081" s="98">
        <f t="shared" si="147"/>
        <v>314863</v>
      </c>
      <c r="N1081" s="100"/>
    </row>
    <row r="1082" spans="1:15" ht="47.25" customHeight="1" x14ac:dyDescent="0.25">
      <c r="A1082" s="52" t="str">
        <f t="shared" si="140"/>
        <v>HT</v>
      </c>
      <c r="B1082" s="32" t="s">
        <v>1452</v>
      </c>
      <c r="C1082" s="33">
        <v>1077</v>
      </c>
      <c r="D1082" s="39" t="s">
        <v>525</v>
      </c>
      <c r="E1082" s="33" t="s">
        <v>10</v>
      </c>
      <c r="F1082" s="33">
        <v>1</v>
      </c>
      <c r="G1082" s="33"/>
      <c r="H1082" s="33">
        <f t="shared" si="141"/>
        <v>1</v>
      </c>
      <c r="I1082" s="34" t="s">
        <v>258</v>
      </c>
      <c r="J1082" s="99">
        <f>+'[3]Dự thầu'!$G482</f>
        <v>314863</v>
      </c>
      <c r="K1082" s="98">
        <f t="shared" si="145"/>
        <v>314863</v>
      </c>
      <c r="L1082" s="98">
        <f t="shared" si="146"/>
        <v>0</v>
      </c>
      <c r="M1082" s="98">
        <f t="shared" si="147"/>
        <v>314863</v>
      </c>
      <c r="N1082" s="100"/>
    </row>
    <row r="1083" spans="1:15" ht="15.75" customHeight="1" x14ac:dyDescent="0.25">
      <c r="A1083" s="52" t="str">
        <f t="shared" si="140"/>
        <v>HT</v>
      </c>
      <c r="B1083" s="32" t="s">
        <v>1453</v>
      </c>
      <c r="C1083" s="33">
        <v>1078</v>
      </c>
      <c r="D1083" s="39" t="s">
        <v>527</v>
      </c>
      <c r="E1083" s="33" t="s">
        <v>10</v>
      </c>
      <c r="F1083" s="33">
        <v>5</v>
      </c>
      <c r="G1083" s="33"/>
      <c r="H1083" s="33">
        <f t="shared" si="141"/>
        <v>5</v>
      </c>
      <c r="I1083" s="34" t="s">
        <v>258</v>
      </c>
      <c r="J1083" s="99">
        <f>+'[3]Dự thầu'!$G483</f>
        <v>492731</v>
      </c>
      <c r="K1083" s="98">
        <f t="shared" si="145"/>
        <v>2463655</v>
      </c>
      <c r="L1083" s="98">
        <f t="shared" si="146"/>
        <v>0</v>
      </c>
      <c r="M1083" s="98">
        <f t="shared" si="147"/>
        <v>2463655</v>
      </c>
      <c r="N1083" s="100"/>
    </row>
    <row r="1084" spans="1:15" ht="15.75" customHeight="1" x14ac:dyDescent="0.25">
      <c r="A1084" s="52" t="str">
        <f t="shared" si="140"/>
        <v>HT</v>
      </c>
      <c r="B1084" s="32" t="s">
        <v>1454</v>
      </c>
      <c r="C1084" s="33">
        <v>1079</v>
      </c>
      <c r="D1084" s="39" t="s">
        <v>529</v>
      </c>
      <c r="E1084" s="33" t="s">
        <v>10</v>
      </c>
      <c r="F1084" s="33">
        <v>4</v>
      </c>
      <c r="G1084" s="33"/>
      <c r="H1084" s="33">
        <f t="shared" si="141"/>
        <v>4</v>
      </c>
      <c r="I1084" s="34" t="s">
        <v>258</v>
      </c>
      <c r="J1084" s="99">
        <f>+'[3]Dự thầu'!$G484</f>
        <v>1021897</v>
      </c>
      <c r="K1084" s="98">
        <f t="shared" si="145"/>
        <v>4087588</v>
      </c>
      <c r="L1084" s="98">
        <f t="shared" si="146"/>
        <v>0</v>
      </c>
      <c r="M1084" s="98">
        <f t="shared" si="147"/>
        <v>4087588</v>
      </c>
      <c r="N1084" s="100"/>
    </row>
    <row r="1085" spans="1:15" ht="15.75" customHeight="1" x14ac:dyDescent="0.25">
      <c r="A1085" s="52" t="str">
        <f t="shared" si="140"/>
        <v>HT</v>
      </c>
      <c r="B1085" s="32" t="s">
        <v>1455</v>
      </c>
      <c r="C1085" s="33">
        <v>1080</v>
      </c>
      <c r="D1085" s="39" t="s">
        <v>1155</v>
      </c>
      <c r="E1085" s="33" t="s">
        <v>10</v>
      </c>
      <c r="F1085" s="33">
        <v>1</v>
      </c>
      <c r="G1085" s="33"/>
      <c r="H1085" s="33">
        <f t="shared" si="141"/>
        <v>1</v>
      </c>
      <c r="I1085" s="34" t="s">
        <v>258</v>
      </c>
      <c r="J1085" s="99">
        <f>+'[3]Dự thầu'!$G485</f>
        <v>1021897</v>
      </c>
      <c r="K1085" s="98">
        <f t="shared" si="145"/>
        <v>1021897</v>
      </c>
      <c r="L1085" s="98">
        <f t="shared" si="146"/>
        <v>0</v>
      </c>
      <c r="M1085" s="98">
        <f t="shared" si="147"/>
        <v>1021897</v>
      </c>
      <c r="N1085" s="100"/>
    </row>
    <row r="1086" spans="1:15" ht="15.75" customHeight="1" x14ac:dyDescent="0.25">
      <c r="A1086" s="52" t="str">
        <f t="shared" si="140"/>
        <v>HT</v>
      </c>
      <c r="B1086" s="32" t="s">
        <v>1456</v>
      </c>
      <c r="C1086" s="33">
        <v>1081</v>
      </c>
      <c r="D1086" s="39" t="s">
        <v>533</v>
      </c>
      <c r="E1086" s="33" t="s">
        <v>10</v>
      </c>
      <c r="F1086" s="33">
        <v>1</v>
      </c>
      <c r="G1086" s="33"/>
      <c r="H1086" s="33">
        <f t="shared" si="141"/>
        <v>1</v>
      </c>
      <c r="I1086" s="34" t="s">
        <v>258</v>
      </c>
      <c r="J1086" s="99">
        <f>+'[3]Dự thầu'!$G486</f>
        <v>1755842</v>
      </c>
      <c r="K1086" s="98">
        <f t="shared" si="145"/>
        <v>1755842</v>
      </c>
      <c r="L1086" s="98">
        <f t="shared" si="146"/>
        <v>0</v>
      </c>
      <c r="M1086" s="98">
        <f t="shared" si="147"/>
        <v>1755842</v>
      </c>
      <c r="N1086" s="100"/>
    </row>
    <row r="1087" spans="1:15" ht="15.75" customHeight="1" x14ac:dyDescent="0.25">
      <c r="A1087" s="52" t="str">
        <f t="shared" si="140"/>
        <v>HT</v>
      </c>
      <c r="B1087" s="32" t="s">
        <v>1457</v>
      </c>
      <c r="C1087" s="33">
        <v>1082</v>
      </c>
      <c r="D1087" s="39" t="s">
        <v>535</v>
      </c>
      <c r="E1087" s="33" t="s">
        <v>10</v>
      </c>
      <c r="F1087" s="33">
        <v>1</v>
      </c>
      <c r="G1087" s="33"/>
      <c r="H1087" s="33">
        <f t="shared" si="141"/>
        <v>1</v>
      </c>
      <c r="I1087" s="34" t="s">
        <v>258</v>
      </c>
      <c r="J1087" s="99">
        <f>+'[3]Dự thầu'!$G487</f>
        <v>804708</v>
      </c>
      <c r="K1087" s="98">
        <f t="shared" si="145"/>
        <v>804708</v>
      </c>
      <c r="L1087" s="98">
        <f t="shared" si="146"/>
        <v>0</v>
      </c>
      <c r="M1087" s="98">
        <f t="shared" si="147"/>
        <v>804708</v>
      </c>
      <c r="N1087" s="100"/>
    </row>
    <row r="1088" spans="1:15" ht="15.75" customHeight="1" x14ac:dyDescent="0.25">
      <c r="A1088" s="52" t="str">
        <f t="shared" si="140"/>
        <v>HT</v>
      </c>
      <c r="B1088" s="32" t="s">
        <v>1458</v>
      </c>
      <c r="C1088" s="33">
        <v>1083</v>
      </c>
      <c r="D1088" s="39" t="s">
        <v>537</v>
      </c>
      <c r="E1088" s="33" t="s">
        <v>10</v>
      </c>
      <c r="F1088" s="33">
        <v>39.799999999999997</v>
      </c>
      <c r="G1088" s="33"/>
      <c r="H1088" s="33">
        <f t="shared" si="141"/>
        <v>39.799999999999997</v>
      </c>
      <c r="I1088" s="34" t="s">
        <v>75</v>
      </c>
      <c r="J1088" s="99">
        <f>+'[3]Dự thầu'!$G488</f>
        <v>171892</v>
      </c>
      <c r="K1088" s="98">
        <f t="shared" si="145"/>
        <v>6841302</v>
      </c>
      <c r="L1088" s="98">
        <f t="shared" si="146"/>
        <v>0</v>
      </c>
      <c r="M1088" s="98">
        <f t="shared" si="147"/>
        <v>6841302</v>
      </c>
      <c r="N1088" s="100"/>
    </row>
    <row r="1089" spans="1:15" ht="15.75" customHeight="1" x14ac:dyDescent="0.25">
      <c r="A1089" s="52" t="str">
        <f t="shared" si="140"/>
        <v>HT</v>
      </c>
      <c r="B1089" s="32" t="s">
        <v>1459</v>
      </c>
      <c r="C1089" s="33">
        <v>1084</v>
      </c>
      <c r="D1089" s="39" t="s">
        <v>1159</v>
      </c>
      <c r="E1089" s="33" t="s">
        <v>10</v>
      </c>
      <c r="F1089" s="33">
        <v>1.94</v>
      </c>
      <c r="G1089" s="33"/>
      <c r="H1089" s="33">
        <f t="shared" si="141"/>
        <v>1.94</v>
      </c>
      <c r="I1089" s="34" t="s">
        <v>1160</v>
      </c>
      <c r="J1089" s="99">
        <f>+'[3]Dự thầu'!$G489</f>
        <v>9382399</v>
      </c>
      <c r="K1089" s="98">
        <f t="shared" si="145"/>
        <v>18201854</v>
      </c>
      <c r="L1089" s="98">
        <f t="shared" si="146"/>
        <v>0</v>
      </c>
      <c r="M1089" s="98">
        <f t="shared" si="147"/>
        <v>18201854</v>
      </c>
      <c r="N1089" s="100"/>
    </row>
    <row r="1090" spans="1:15" ht="15.75" customHeight="1" x14ac:dyDescent="0.25">
      <c r="A1090" s="52" t="str">
        <f t="shared" si="140"/>
        <v>HT</v>
      </c>
      <c r="B1090" s="32" t="s">
        <v>1460</v>
      </c>
      <c r="C1090" s="33">
        <v>1085</v>
      </c>
      <c r="D1090" s="39" t="s">
        <v>1162</v>
      </c>
      <c r="E1090" s="33" t="s">
        <v>10</v>
      </c>
      <c r="F1090" s="33">
        <v>194</v>
      </c>
      <c r="G1090" s="33"/>
      <c r="H1090" s="33">
        <f t="shared" si="141"/>
        <v>194</v>
      </c>
      <c r="I1090" s="34" t="s">
        <v>75</v>
      </c>
      <c r="J1090" s="99">
        <f>+'[3]Dự thầu'!$G490</f>
        <v>856508</v>
      </c>
      <c r="K1090" s="98">
        <f t="shared" si="145"/>
        <v>166162552</v>
      </c>
      <c r="L1090" s="98">
        <f t="shared" si="146"/>
        <v>0</v>
      </c>
      <c r="M1090" s="98">
        <f t="shared" si="147"/>
        <v>166162552</v>
      </c>
      <c r="N1090" s="100"/>
    </row>
    <row r="1091" spans="1:15" ht="15.75" customHeight="1" x14ac:dyDescent="0.25">
      <c r="A1091" s="52" t="str">
        <f t="shared" si="140"/>
        <v>HT</v>
      </c>
      <c r="B1091" s="32" t="s">
        <v>1461</v>
      </c>
      <c r="C1091" s="33">
        <v>1086</v>
      </c>
      <c r="D1091" s="39" t="s">
        <v>541</v>
      </c>
      <c r="E1091" s="33" t="s">
        <v>10</v>
      </c>
      <c r="F1091" s="33">
        <v>1</v>
      </c>
      <c r="G1091" s="33"/>
      <c r="H1091" s="33">
        <f t="shared" si="141"/>
        <v>1</v>
      </c>
      <c r="I1091" s="34" t="s">
        <v>258</v>
      </c>
      <c r="J1091" s="99">
        <f>+'[3]Dự thầu'!$G491</f>
        <v>308087</v>
      </c>
      <c r="K1091" s="98">
        <f t="shared" si="145"/>
        <v>308087</v>
      </c>
      <c r="L1091" s="98">
        <f t="shared" si="146"/>
        <v>0</v>
      </c>
      <c r="M1091" s="98">
        <f t="shared" si="147"/>
        <v>308087</v>
      </c>
      <c r="N1091" s="100"/>
    </row>
    <row r="1092" spans="1:15" ht="15.75" customHeight="1" x14ac:dyDescent="0.25">
      <c r="A1092" s="52" t="str">
        <f t="shared" si="140"/>
        <v>HT</v>
      </c>
      <c r="B1092" s="32" t="s">
        <v>1462</v>
      </c>
      <c r="C1092" s="33">
        <v>1087</v>
      </c>
      <c r="D1092" s="39" t="s">
        <v>1463</v>
      </c>
      <c r="E1092" s="33" t="s">
        <v>10</v>
      </c>
      <c r="F1092" s="33">
        <v>1</v>
      </c>
      <c r="G1092" s="33"/>
      <c r="H1092" s="33">
        <f t="shared" si="141"/>
        <v>1</v>
      </c>
      <c r="I1092" s="34" t="s">
        <v>515</v>
      </c>
      <c r="J1092" s="99">
        <f>+'[3]Dự thầu'!$G492</f>
        <v>40152</v>
      </c>
      <c r="K1092" s="98">
        <f t="shared" si="145"/>
        <v>40152</v>
      </c>
      <c r="L1092" s="98">
        <f t="shared" si="146"/>
        <v>0</v>
      </c>
      <c r="M1092" s="98">
        <f t="shared" si="147"/>
        <v>40152</v>
      </c>
      <c r="N1092" s="100"/>
    </row>
    <row r="1093" spans="1:15" ht="15.75" customHeight="1" x14ac:dyDescent="0.25">
      <c r="A1093" s="52" t="str">
        <f t="shared" si="140"/>
        <v>HT</v>
      </c>
      <c r="B1093" s="32" t="s">
        <v>1464</v>
      </c>
      <c r="C1093" s="33">
        <v>1088</v>
      </c>
      <c r="D1093" s="39" t="s">
        <v>545</v>
      </c>
      <c r="E1093" s="33" t="s">
        <v>10</v>
      </c>
      <c r="F1093" s="33">
        <v>54</v>
      </c>
      <c r="G1093" s="33"/>
      <c r="H1093" s="33">
        <f t="shared" si="141"/>
        <v>54</v>
      </c>
      <c r="I1093" s="34" t="s">
        <v>258</v>
      </c>
      <c r="J1093" s="99">
        <f>+'[3]Dự thầu'!$G493</f>
        <v>50931</v>
      </c>
      <c r="K1093" s="98">
        <f t="shared" si="145"/>
        <v>2750274</v>
      </c>
      <c r="L1093" s="98">
        <f t="shared" si="146"/>
        <v>0</v>
      </c>
      <c r="M1093" s="98">
        <f t="shared" si="147"/>
        <v>2750274</v>
      </c>
      <c r="N1093" s="100"/>
    </row>
    <row r="1094" spans="1:15" s="22" customFormat="1" ht="31.5" customHeight="1" x14ac:dyDescent="0.25">
      <c r="A1094" s="52" t="str">
        <f t="shared" si="140"/>
        <v>HT</v>
      </c>
      <c r="B1094" s="29">
        <v>19</v>
      </c>
      <c r="C1094" s="30">
        <v>1089</v>
      </c>
      <c r="D1094" s="12" t="s">
        <v>1465</v>
      </c>
      <c r="E1094" s="30" t="s">
        <v>10</v>
      </c>
      <c r="F1094" s="30"/>
      <c r="G1094" s="30"/>
      <c r="H1094" s="30">
        <f t="shared" si="141"/>
        <v>0</v>
      </c>
      <c r="I1094" s="31"/>
      <c r="J1094" s="97"/>
      <c r="K1094" s="35"/>
      <c r="L1094" s="104">
        <f t="shared" si="146"/>
        <v>0</v>
      </c>
      <c r="M1094" s="104"/>
      <c r="N1094" s="23"/>
      <c r="O1094" s="104"/>
    </row>
    <row r="1095" spans="1:15" ht="15.75" customHeight="1" x14ac:dyDescent="0.25">
      <c r="A1095" s="52" t="str">
        <f t="shared" si="140"/>
        <v>HT</v>
      </c>
      <c r="B1095" s="32" t="s">
        <v>1466</v>
      </c>
      <c r="C1095" s="33">
        <v>1090</v>
      </c>
      <c r="D1095" s="39" t="s">
        <v>1467</v>
      </c>
      <c r="E1095" s="33" t="s">
        <v>10</v>
      </c>
      <c r="F1095" s="33">
        <v>12.1738</v>
      </c>
      <c r="G1095" s="33"/>
      <c r="H1095" s="33">
        <f t="shared" si="141"/>
        <v>12.1738</v>
      </c>
      <c r="I1095" s="34" t="s">
        <v>90</v>
      </c>
      <c r="J1095" s="99">
        <f>+'[3]Dự thầu'!$G531</f>
        <v>61004533</v>
      </c>
      <c r="K1095" s="98">
        <f t="shared" ref="K1095:K1158" si="148">+ROUND(J1095*F1095,0)</f>
        <v>742656984</v>
      </c>
      <c r="L1095" s="98">
        <f t="shared" si="146"/>
        <v>0</v>
      </c>
      <c r="M1095" s="98">
        <f t="shared" ref="M1095:M1158" si="149">+ROUND(H1095*J1095,0)</f>
        <v>742656984</v>
      </c>
      <c r="N1095" s="100"/>
    </row>
    <row r="1096" spans="1:15" ht="15.75" customHeight="1" x14ac:dyDescent="0.25">
      <c r="A1096" s="52" t="str">
        <f t="shared" si="140"/>
        <v>HT</v>
      </c>
      <c r="B1096" s="32" t="s">
        <v>1468</v>
      </c>
      <c r="C1096" s="33">
        <v>1091</v>
      </c>
      <c r="D1096" s="39" t="s">
        <v>1469</v>
      </c>
      <c r="E1096" s="33" t="s">
        <v>10</v>
      </c>
      <c r="F1096" s="33">
        <v>38.422400000000003</v>
      </c>
      <c r="G1096" s="33"/>
      <c r="H1096" s="33">
        <f t="shared" si="141"/>
        <v>38.422400000000003</v>
      </c>
      <c r="I1096" s="34" t="s">
        <v>90</v>
      </c>
      <c r="J1096" s="99">
        <f>+'[3]Dự thầu'!$G532</f>
        <v>24716117</v>
      </c>
      <c r="K1096" s="98">
        <f t="shared" si="148"/>
        <v>949652534</v>
      </c>
      <c r="L1096" s="98">
        <f t="shared" si="146"/>
        <v>0</v>
      </c>
      <c r="M1096" s="98">
        <f t="shared" si="149"/>
        <v>949652534</v>
      </c>
      <c r="N1096" s="100"/>
    </row>
    <row r="1097" spans="1:15" ht="15.75" customHeight="1" x14ac:dyDescent="0.25">
      <c r="A1097" s="52" t="str">
        <f t="shared" si="140"/>
        <v>HT</v>
      </c>
      <c r="B1097" s="32" t="s">
        <v>1470</v>
      </c>
      <c r="C1097" s="33">
        <v>1092</v>
      </c>
      <c r="D1097" s="39" t="s">
        <v>1471</v>
      </c>
      <c r="E1097" s="33" t="s">
        <v>10</v>
      </c>
      <c r="F1097" s="33">
        <v>1.8906000000000001</v>
      </c>
      <c r="G1097" s="33"/>
      <c r="H1097" s="33">
        <f t="shared" si="141"/>
        <v>1.8906000000000001</v>
      </c>
      <c r="I1097" s="34" t="s">
        <v>90</v>
      </c>
      <c r="J1097" s="99">
        <f>+'[3]Dự thầu'!$G533</f>
        <v>23857393</v>
      </c>
      <c r="K1097" s="98">
        <f t="shared" si="148"/>
        <v>45104787</v>
      </c>
      <c r="L1097" s="98">
        <f t="shared" si="146"/>
        <v>0</v>
      </c>
      <c r="M1097" s="98">
        <f t="shared" si="149"/>
        <v>45104787</v>
      </c>
      <c r="N1097" s="100"/>
    </row>
    <row r="1098" spans="1:15" ht="15.75" customHeight="1" x14ac:dyDescent="0.25">
      <c r="A1098" s="52" t="str">
        <f t="shared" si="140"/>
        <v>HT</v>
      </c>
      <c r="B1098" s="32" t="s">
        <v>1472</v>
      </c>
      <c r="C1098" s="33">
        <v>1093</v>
      </c>
      <c r="D1098" s="39" t="s">
        <v>1473</v>
      </c>
      <c r="E1098" s="33" t="s">
        <v>10</v>
      </c>
      <c r="F1098" s="33">
        <v>280.43680000000001</v>
      </c>
      <c r="G1098" s="33"/>
      <c r="H1098" s="33">
        <f t="shared" si="141"/>
        <v>280.43680000000001</v>
      </c>
      <c r="I1098" s="34" t="s">
        <v>16</v>
      </c>
      <c r="J1098" s="99">
        <f>+'[3]Dự thầu'!$G534</f>
        <v>2500986</v>
      </c>
      <c r="K1098" s="98">
        <f t="shared" si="148"/>
        <v>701368511</v>
      </c>
      <c r="L1098" s="98">
        <f t="shared" si="146"/>
        <v>0</v>
      </c>
      <c r="M1098" s="98">
        <f t="shared" si="149"/>
        <v>701368511</v>
      </c>
      <c r="N1098" s="100"/>
    </row>
    <row r="1099" spans="1:15" ht="15.75" customHeight="1" x14ac:dyDescent="0.25">
      <c r="A1099" s="52" t="str">
        <f t="shared" si="140"/>
        <v>HT</v>
      </c>
      <c r="B1099" s="32" t="s">
        <v>1474</v>
      </c>
      <c r="C1099" s="33">
        <v>1094</v>
      </c>
      <c r="D1099" s="39" t="s">
        <v>1475</v>
      </c>
      <c r="E1099" s="33" t="s">
        <v>10</v>
      </c>
      <c r="F1099" s="33">
        <v>1436.4</v>
      </c>
      <c r="G1099" s="33"/>
      <c r="H1099" s="33">
        <f t="shared" si="141"/>
        <v>1436.4</v>
      </c>
      <c r="I1099" s="34" t="s">
        <v>13</v>
      </c>
      <c r="J1099" s="99">
        <f>+'[3]Dự thầu'!$G535</f>
        <v>276887</v>
      </c>
      <c r="K1099" s="98">
        <f t="shared" si="148"/>
        <v>397720487</v>
      </c>
      <c r="L1099" s="98">
        <f t="shared" si="146"/>
        <v>0</v>
      </c>
      <c r="M1099" s="98">
        <f t="shared" si="149"/>
        <v>397720487</v>
      </c>
      <c r="N1099" s="100"/>
    </row>
    <row r="1100" spans="1:15" ht="15.75" customHeight="1" x14ac:dyDescent="0.25">
      <c r="A1100" s="52" t="str">
        <f t="shared" si="140"/>
        <v>HT</v>
      </c>
      <c r="B1100" s="32" t="s">
        <v>1476</v>
      </c>
      <c r="C1100" s="33">
        <v>1095</v>
      </c>
      <c r="D1100" s="39" t="s">
        <v>1477</v>
      </c>
      <c r="E1100" s="33" t="s">
        <v>10</v>
      </c>
      <c r="F1100" s="33">
        <v>284.64339999999999</v>
      </c>
      <c r="G1100" s="33"/>
      <c r="H1100" s="33">
        <f t="shared" si="141"/>
        <v>284.64339999999999</v>
      </c>
      <c r="I1100" s="34" t="s">
        <v>16</v>
      </c>
      <c r="J1100" s="99">
        <f>+'[3]Dự thầu'!$G536</f>
        <v>57102</v>
      </c>
      <c r="K1100" s="98">
        <f t="shared" si="148"/>
        <v>16253707</v>
      </c>
      <c r="L1100" s="98">
        <f t="shared" si="146"/>
        <v>0</v>
      </c>
      <c r="M1100" s="98">
        <f t="shared" si="149"/>
        <v>16253707</v>
      </c>
      <c r="N1100" s="100"/>
    </row>
    <row r="1101" spans="1:15" ht="15.75" customHeight="1" x14ac:dyDescent="0.25">
      <c r="A1101" s="52" t="str">
        <f t="shared" si="140"/>
        <v>HT</v>
      </c>
      <c r="B1101" s="32" t="s">
        <v>1478</v>
      </c>
      <c r="C1101" s="33">
        <v>1096</v>
      </c>
      <c r="D1101" s="39" t="s">
        <v>562</v>
      </c>
      <c r="E1101" s="33" t="s">
        <v>10</v>
      </c>
      <c r="F1101" s="33">
        <v>284.64339999999999</v>
      </c>
      <c r="G1101" s="33"/>
      <c r="H1101" s="33">
        <f t="shared" si="141"/>
        <v>284.64339999999999</v>
      </c>
      <c r="I1101" s="34" t="s">
        <v>16</v>
      </c>
      <c r="J1101" s="99">
        <f>+'[3]Dự thầu'!$G$537+'[3]Dự thầu'!$G$538</f>
        <v>285443</v>
      </c>
      <c r="K1101" s="98">
        <f t="shared" si="148"/>
        <v>81249466</v>
      </c>
      <c r="L1101" s="98">
        <f t="shared" si="146"/>
        <v>0</v>
      </c>
      <c r="M1101" s="98">
        <f t="shared" si="149"/>
        <v>81249466</v>
      </c>
      <c r="N1101" s="100"/>
    </row>
    <row r="1102" spans="1:15" ht="15.75" customHeight="1" x14ac:dyDescent="0.25">
      <c r="A1102" s="52" t="str">
        <f t="shared" si="140"/>
        <v>HT</v>
      </c>
      <c r="B1102" s="32" t="s">
        <v>1479</v>
      </c>
      <c r="C1102" s="33">
        <v>1097</v>
      </c>
      <c r="D1102" s="39" t="s">
        <v>1480</v>
      </c>
      <c r="E1102" s="33" t="s">
        <v>10</v>
      </c>
      <c r="F1102" s="103">
        <v>1964.0262</v>
      </c>
      <c r="G1102" s="103"/>
      <c r="H1102" s="103">
        <f t="shared" si="141"/>
        <v>1964.0262</v>
      </c>
      <c r="I1102" s="34" t="s">
        <v>75</v>
      </c>
      <c r="J1102" s="99">
        <f>+'[3]Dự thầu'!$G539</f>
        <v>193720</v>
      </c>
      <c r="K1102" s="98">
        <f t="shared" si="148"/>
        <v>380471155</v>
      </c>
      <c r="L1102" s="98">
        <f t="shared" si="146"/>
        <v>0</v>
      </c>
      <c r="M1102" s="98">
        <f t="shared" si="149"/>
        <v>380471155</v>
      </c>
      <c r="N1102" s="100"/>
    </row>
    <row r="1103" spans="1:15" ht="15.75" customHeight="1" x14ac:dyDescent="0.25">
      <c r="A1103" s="52" t="str">
        <f t="shared" si="140"/>
        <v>HT</v>
      </c>
      <c r="B1103" s="32" t="s">
        <v>1481</v>
      </c>
      <c r="C1103" s="33">
        <v>1098</v>
      </c>
      <c r="D1103" s="39" t="s">
        <v>1482</v>
      </c>
      <c r="E1103" s="33" t="s">
        <v>10</v>
      </c>
      <c r="F1103" s="33">
        <v>4.1962000000000002</v>
      </c>
      <c r="G1103" s="33"/>
      <c r="H1103" s="33">
        <f t="shared" si="141"/>
        <v>4.1962000000000002</v>
      </c>
      <c r="I1103" s="34" t="s">
        <v>16</v>
      </c>
      <c r="J1103" s="99">
        <f>+'[3]Dự thầu'!$G540</f>
        <v>17104447</v>
      </c>
      <c r="K1103" s="98">
        <f t="shared" si="148"/>
        <v>71773681</v>
      </c>
      <c r="L1103" s="98">
        <f t="shared" si="146"/>
        <v>0</v>
      </c>
      <c r="M1103" s="98">
        <f t="shared" si="149"/>
        <v>71773681</v>
      </c>
      <c r="N1103" s="100"/>
    </row>
    <row r="1104" spans="1:15" ht="15.75" customHeight="1" x14ac:dyDescent="0.25">
      <c r="A1104" s="52" t="str">
        <f t="shared" si="140"/>
        <v>HT</v>
      </c>
      <c r="B1104" s="32" t="s">
        <v>1483</v>
      </c>
      <c r="C1104" s="33">
        <v>1099</v>
      </c>
      <c r="D1104" s="39" t="s">
        <v>1484</v>
      </c>
      <c r="E1104" s="33" t="s">
        <v>10</v>
      </c>
      <c r="F1104" s="33">
        <v>224</v>
      </c>
      <c r="G1104" s="33"/>
      <c r="H1104" s="33">
        <f t="shared" si="141"/>
        <v>224</v>
      </c>
      <c r="I1104" s="34" t="s">
        <v>1485</v>
      </c>
      <c r="J1104" s="99">
        <f>+'[3]Dự thầu'!$G541</f>
        <v>746213</v>
      </c>
      <c r="K1104" s="98">
        <f t="shared" si="148"/>
        <v>167151712</v>
      </c>
      <c r="L1104" s="98">
        <f t="shared" si="146"/>
        <v>0</v>
      </c>
      <c r="M1104" s="98">
        <f t="shared" si="149"/>
        <v>167151712</v>
      </c>
      <c r="N1104" s="100"/>
    </row>
    <row r="1105" spans="1:14" ht="15.75" customHeight="1" x14ac:dyDescent="0.25">
      <c r="A1105" s="52" t="str">
        <f t="shared" si="140"/>
        <v>HT</v>
      </c>
      <c r="B1105" s="32" t="s">
        <v>1486</v>
      </c>
      <c r="C1105" s="33">
        <v>1100</v>
      </c>
      <c r="D1105" s="39" t="s">
        <v>1487</v>
      </c>
      <c r="E1105" s="33" t="s">
        <v>10</v>
      </c>
      <c r="F1105" s="33">
        <v>1.7584</v>
      </c>
      <c r="G1105" s="33"/>
      <c r="H1105" s="33">
        <f t="shared" si="141"/>
        <v>1.7584</v>
      </c>
      <c r="I1105" s="34" t="s">
        <v>90</v>
      </c>
      <c r="J1105" s="99">
        <f>+'[3]Dự thầu'!$G542</f>
        <v>31912360</v>
      </c>
      <c r="K1105" s="98">
        <f t="shared" si="148"/>
        <v>56114694</v>
      </c>
      <c r="L1105" s="98">
        <f t="shared" si="146"/>
        <v>0</v>
      </c>
      <c r="M1105" s="98">
        <f t="shared" si="149"/>
        <v>56114694</v>
      </c>
      <c r="N1105" s="100"/>
    </row>
    <row r="1106" spans="1:14" ht="15.75" customHeight="1" x14ac:dyDescent="0.25">
      <c r="A1106" s="52" t="str">
        <f t="shared" si="140"/>
        <v>HT</v>
      </c>
      <c r="B1106" s="32" t="s">
        <v>1488</v>
      </c>
      <c r="C1106" s="33">
        <v>1101</v>
      </c>
      <c r="D1106" s="39" t="s">
        <v>1489</v>
      </c>
      <c r="E1106" s="33" t="s">
        <v>10</v>
      </c>
      <c r="F1106" s="33">
        <v>1.7584</v>
      </c>
      <c r="G1106" s="33"/>
      <c r="H1106" s="33">
        <f t="shared" si="141"/>
        <v>1.7584</v>
      </c>
      <c r="I1106" s="34" t="s">
        <v>90</v>
      </c>
      <c r="J1106" s="99">
        <f>+'[3]Dự thầu'!$G543</f>
        <v>5329201</v>
      </c>
      <c r="K1106" s="98">
        <f t="shared" si="148"/>
        <v>9370867</v>
      </c>
      <c r="L1106" s="98">
        <f t="shared" si="146"/>
        <v>0</v>
      </c>
      <c r="M1106" s="98">
        <f t="shared" si="149"/>
        <v>9370867</v>
      </c>
      <c r="N1106" s="100"/>
    </row>
    <row r="1107" spans="1:14" ht="15.75" customHeight="1" x14ac:dyDescent="0.25">
      <c r="A1107" s="52" t="str">
        <f t="shared" si="140"/>
        <v>HT</v>
      </c>
      <c r="B1107" s="32" t="s">
        <v>1490</v>
      </c>
      <c r="C1107" s="33">
        <v>1102</v>
      </c>
      <c r="D1107" s="39" t="s">
        <v>1467</v>
      </c>
      <c r="E1107" s="33" t="s">
        <v>10</v>
      </c>
      <c r="F1107" s="33">
        <v>22.616299999999999</v>
      </c>
      <c r="G1107" s="33"/>
      <c r="H1107" s="33">
        <f t="shared" si="141"/>
        <v>22.616299999999999</v>
      </c>
      <c r="I1107" s="34" t="s">
        <v>90</v>
      </c>
      <c r="J1107" s="99">
        <f>+'[3]Dự thầu'!$G544</f>
        <v>61004533</v>
      </c>
      <c r="K1107" s="98">
        <f t="shared" si="148"/>
        <v>1379696820</v>
      </c>
      <c r="L1107" s="98">
        <f t="shared" si="146"/>
        <v>0</v>
      </c>
      <c r="M1107" s="98">
        <f t="shared" si="149"/>
        <v>1379696820</v>
      </c>
      <c r="N1107" s="100"/>
    </row>
    <row r="1108" spans="1:14" ht="15.75" customHeight="1" x14ac:dyDescent="0.25">
      <c r="A1108" s="52" t="str">
        <f t="shared" si="140"/>
        <v>HT</v>
      </c>
      <c r="B1108" s="32" t="s">
        <v>1491</v>
      </c>
      <c r="C1108" s="33">
        <v>1103</v>
      </c>
      <c r="D1108" s="39" t="s">
        <v>1469</v>
      </c>
      <c r="E1108" s="33" t="s">
        <v>10</v>
      </c>
      <c r="F1108" s="33">
        <v>52.357999999999997</v>
      </c>
      <c r="G1108" s="33"/>
      <c r="H1108" s="33">
        <f t="shared" si="141"/>
        <v>52.357999999999997</v>
      </c>
      <c r="I1108" s="34" t="s">
        <v>90</v>
      </c>
      <c r="J1108" s="99">
        <f>+'[3]Dự thầu'!$G545</f>
        <v>24716117</v>
      </c>
      <c r="K1108" s="98">
        <f t="shared" si="148"/>
        <v>1294086454</v>
      </c>
      <c r="L1108" s="98">
        <f t="shared" si="146"/>
        <v>0</v>
      </c>
      <c r="M1108" s="98">
        <f t="shared" si="149"/>
        <v>1294086454</v>
      </c>
      <c r="N1108" s="100"/>
    </row>
    <row r="1109" spans="1:14" ht="15.75" customHeight="1" x14ac:dyDescent="0.25">
      <c r="A1109" s="52" t="str">
        <f t="shared" ref="A1109:A1172" si="150">A1108</f>
        <v>HT</v>
      </c>
      <c r="B1109" s="32" t="s">
        <v>1492</v>
      </c>
      <c r="C1109" s="33">
        <v>1104</v>
      </c>
      <c r="D1109" s="39" t="s">
        <v>1471</v>
      </c>
      <c r="E1109" s="33" t="s">
        <v>10</v>
      </c>
      <c r="F1109" s="33">
        <v>1.2211000000000001</v>
      </c>
      <c r="G1109" s="33"/>
      <c r="H1109" s="33">
        <f t="shared" ref="H1109:H1172" si="151">+F1109</f>
        <v>1.2211000000000001</v>
      </c>
      <c r="I1109" s="34" t="s">
        <v>90</v>
      </c>
      <c r="J1109" s="99">
        <f>+'[3]Dự thầu'!$G546</f>
        <v>23857393</v>
      </c>
      <c r="K1109" s="98">
        <f t="shared" si="148"/>
        <v>29132263</v>
      </c>
      <c r="L1109" s="98">
        <f t="shared" si="146"/>
        <v>0</v>
      </c>
      <c r="M1109" s="98">
        <f t="shared" si="149"/>
        <v>29132263</v>
      </c>
      <c r="N1109" s="100"/>
    </row>
    <row r="1110" spans="1:14" ht="15.75" customHeight="1" x14ac:dyDescent="0.25">
      <c r="A1110" s="52" t="str">
        <f t="shared" si="150"/>
        <v>HT</v>
      </c>
      <c r="B1110" s="32" t="s">
        <v>1493</v>
      </c>
      <c r="C1110" s="33">
        <v>1105</v>
      </c>
      <c r="D1110" s="39" t="s">
        <v>1473</v>
      </c>
      <c r="E1110" s="33" t="s">
        <v>10</v>
      </c>
      <c r="F1110" s="33">
        <v>345.8</v>
      </c>
      <c r="G1110" s="33"/>
      <c r="H1110" s="33">
        <f t="shared" si="151"/>
        <v>345.8</v>
      </c>
      <c r="I1110" s="34" t="s">
        <v>16</v>
      </c>
      <c r="J1110" s="99">
        <f>+'[3]Dự thầu'!$G547</f>
        <v>2500986</v>
      </c>
      <c r="K1110" s="98">
        <f t="shared" si="148"/>
        <v>864840959</v>
      </c>
      <c r="L1110" s="98">
        <f t="shared" si="146"/>
        <v>0</v>
      </c>
      <c r="M1110" s="98">
        <f t="shared" si="149"/>
        <v>864840959</v>
      </c>
      <c r="N1110" s="100"/>
    </row>
    <row r="1111" spans="1:14" ht="15.75" customHeight="1" x14ac:dyDescent="0.25">
      <c r="A1111" s="52" t="str">
        <f t="shared" si="150"/>
        <v>HT</v>
      </c>
      <c r="B1111" s="32" t="s">
        <v>1494</v>
      </c>
      <c r="C1111" s="33">
        <v>1106</v>
      </c>
      <c r="D1111" s="39" t="s">
        <v>1475</v>
      </c>
      <c r="E1111" s="33" t="s">
        <v>10</v>
      </c>
      <c r="F1111" s="103">
        <v>1888.6438000000001</v>
      </c>
      <c r="G1111" s="103"/>
      <c r="H1111" s="103">
        <f t="shared" si="151"/>
        <v>1888.6438000000001</v>
      </c>
      <c r="I1111" s="34" t="s">
        <v>13</v>
      </c>
      <c r="J1111" s="99">
        <f>+'[3]Dự thầu'!$G548</f>
        <v>276887</v>
      </c>
      <c r="K1111" s="98">
        <f t="shared" si="148"/>
        <v>522940916</v>
      </c>
      <c r="L1111" s="98">
        <f t="shared" si="146"/>
        <v>0</v>
      </c>
      <c r="M1111" s="98">
        <f t="shared" si="149"/>
        <v>522940916</v>
      </c>
      <c r="N1111" s="100"/>
    </row>
    <row r="1112" spans="1:14" ht="15.75" customHeight="1" x14ac:dyDescent="0.25">
      <c r="A1112" s="52" t="str">
        <f t="shared" si="150"/>
        <v>HT</v>
      </c>
      <c r="B1112" s="32" t="s">
        <v>1495</v>
      </c>
      <c r="C1112" s="33">
        <v>1107</v>
      </c>
      <c r="D1112" s="39" t="s">
        <v>1477</v>
      </c>
      <c r="E1112" s="33" t="s">
        <v>10</v>
      </c>
      <c r="F1112" s="33">
        <v>350.98700000000002</v>
      </c>
      <c r="G1112" s="33"/>
      <c r="H1112" s="33">
        <f t="shared" si="151"/>
        <v>350.98700000000002</v>
      </c>
      <c r="I1112" s="34" t="s">
        <v>16</v>
      </c>
      <c r="J1112" s="99">
        <f>+'[3]Dự thầu'!$G549</f>
        <v>57102</v>
      </c>
      <c r="K1112" s="98">
        <f t="shared" si="148"/>
        <v>20042060</v>
      </c>
      <c r="L1112" s="98">
        <f t="shared" si="146"/>
        <v>0</v>
      </c>
      <c r="M1112" s="98">
        <f t="shared" si="149"/>
        <v>20042060</v>
      </c>
      <c r="N1112" s="100"/>
    </row>
    <row r="1113" spans="1:14" ht="15.75" customHeight="1" x14ac:dyDescent="0.25">
      <c r="A1113" s="52" t="str">
        <f t="shared" si="150"/>
        <v>HT</v>
      </c>
      <c r="B1113" s="32" t="s">
        <v>1496</v>
      </c>
      <c r="C1113" s="33">
        <v>1108</v>
      </c>
      <c r="D1113" s="39" t="s">
        <v>562</v>
      </c>
      <c r="E1113" s="33" t="s">
        <v>10</v>
      </c>
      <c r="F1113" s="33">
        <v>350.99</v>
      </c>
      <c r="G1113" s="33"/>
      <c r="H1113" s="33">
        <f t="shared" si="151"/>
        <v>350.99</v>
      </c>
      <c r="I1113" s="34" t="s">
        <v>16</v>
      </c>
      <c r="J1113" s="99">
        <f>+'[3]Dự thầu'!$G$550+'[3]Dự thầu'!$G$551</f>
        <v>285443</v>
      </c>
      <c r="K1113" s="98">
        <f t="shared" si="148"/>
        <v>100187639</v>
      </c>
      <c r="L1113" s="98">
        <f t="shared" si="146"/>
        <v>0</v>
      </c>
      <c r="M1113" s="98">
        <f t="shared" si="149"/>
        <v>100187639</v>
      </c>
      <c r="N1113" s="100"/>
    </row>
    <row r="1114" spans="1:14" ht="15.75" customHeight="1" x14ac:dyDescent="0.25">
      <c r="A1114" s="52" t="str">
        <f t="shared" si="150"/>
        <v>HT</v>
      </c>
      <c r="B1114" s="32" t="s">
        <v>1497</v>
      </c>
      <c r="C1114" s="33">
        <v>1109</v>
      </c>
      <c r="D1114" s="39" t="s">
        <v>1498</v>
      </c>
      <c r="E1114" s="33" t="s">
        <v>10</v>
      </c>
      <c r="F1114" s="36">
        <v>2291.8560000000002</v>
      </c>
      <c r="G1114" s="36"/>
      <c r="H1114" s="36">
        <f t="shared" si="151"/>
        <v>2291.8560000000002</v>
      </c>
      <c r="I1114" s="34" t="s">
        <v>75</v>
      </c>
      <c r="J1114" s="99">
        <f>+'[3]Dự thầu'!$G552</f>
        <v>193720</v>
      </c>
      <c r="K1114" s="98">
        <f t="shared" si="148"/>
        <v>443978344</v>
      </c>
      <c r="L1114" s="98">
        <f t="shared" si="146"/>
        <v>0</v>
      </c>
      <c r="M1114" s="98">
        <f t="shared" si="149"/>
        <v>443978344</v>
      </c>
      <c r="N1114" s="100"/>
    </row>
    <row r="1115" spans="1:14" ht="15.75" customHeight="1" x14ac:dyDescent="0.25">
      <c r="A1115" s="52" t="str">
        <f t="shared" si="150"/>
        <v>HT</v>
      </c>
      <c r="B1115" s="32" t="s">
        <v>1499</v>
      </c>
      <c r="C1115" s="33">
        <v>1110</v>
      </c>
      <c r="D1115" s="39" t="s">
        <v>1482</v>
      </c>
      <c r="E1115" s="33" t="s">
        <v>10</v>
      </c>
      <c r="F1115" s="33">
        <v>10.122</v>
      </c>
      <c r="G1115" s="33"/>
      <c r="H1115" s="33">
        <f t="shared" si="151"/>
        <v>10.122</v>
      </c>
      <c r="I1115" s="34" t="s">
        <v>16</v>
      </c>
      <c r="J1115" s="99">
        <f>+'[3]Dự thầu'!$G553</f>
        <v>17104447</v>
      </c>
      <c r="K1115" s="98">
        <f t="shared" si="148"/>
        <v>173131213</v>
      </c>
      <c r="L1115" s="98">
        <f t="shared" si="146"/>
        <v>0</v>
      </c>
      <c r="M1115" s="98">
        <f t="shared" si="149"/>
        <v>173131213</v>
      </c>
      <c r="N1115" s="100"/>
    </row>
    <row r="1116" spans="1:14" ht="15.75" customHeight="1" x14ac:dyDescent="0.25">
      <c r="A1116" s="52" t="str">
        <f t="shared" si="150"/>
        <v>HT</v>
      </c>
      <c r="B1116" s="32" t="s">
        <v>1500</v>
      </c>
      <c r="C1116" s="33">
        <v>1111</v>
      </c>
      <c r="D1116" s="39" t="s">
        <v>1501</v>
      </c>
      <c r="E1116" s="33" t="s">
        <v>10</v>
      </c>
      <c r="F1116" s="33">
        <v>140</v>
      </c>
      <c r="G1116" s="33"/>
      <c r="H1116" s="33">
        <f t="shared" si="151"/>
        <v>140</v>
      </c>
      <c r="I1116" s="34" t="s">
        <v>1485</v>
      </c>
      <c r="J1116" s="99">
        <f>+'[3]Dự thầu'!$G554</f>
        <v>1265707</v>
      </c>
      <c r="K1116" s="98">
        <f t="shared" si="148"/>
        <v>177198980</v>
      </c>
      <c r="L1116" s="98">
        <f t="shared" si="146"/>
        <v>0</v>
      </c>
      <c r="M1116" s="98">
        <f t="shared" si="149"/>
        <v>177198980</v>
      </c>
      <c r="N1116" s="100"/>
    </row>
    <row r="1117" spans="1:14" ht="15.75" customHeight="1" x14ac:dyDescent="0.25">
      <c r="A1117" s="52" t="str">
        <f t="shared" si="150"/>
        <v>HT</v>
      </c>
      <c r="B1117" s="32" t="s">
        <v>1502</v>
      </c>
      <c r="C1117" s="33">
        <v>1112</v>
      </c>
      <c r="D1117" s="39" t="s">
        <v>1487</v>
      </c>
      <c r="E1117" s="33" t="s">
        <v>10</v>
      </c>
      <c r="F1117" s="33">
        <v>1.8133999999999999</v>
      </c>
      <c r="G1117" s="33"/>
      <c r="H1117" s="33">
        <f t="shared" si="151"/>
        <v>1.8133999999999999</v>
      </c>
      <c r="I1117" s="34" t="s">
        <v>90</v>
      </c>
      <c r="J1117" s="99">
        <f>+'[3]Dự thầu'!$G555</f>
        <v>31912360</v>
      </c>
      <c r="K1117" s="98">
        <f t="shared" si="148"/>
        <v>57869874</v>
      </c>
      <c r="L1117" s="98">
        <f t="shared" si="146"/>
        <v>0</v>
      </c>
      <c r="M1117" s="98">
        <f t="shared" si="149"/>
        <v>57869874</v>
      </c>
      <c r="N1117" s="100"/>
    </row>
    <row r="1118" spans="1:14" ht="15.75" customHeight="1" x14ac:dyDescent="0.25">
      <c r="A1118" s="52" t="str">
        <f t="shared" si="150"/>
        <v>HT</v>
      </c>
      <c r="B1118" s="32" t="s">
        <v>1503</v>
      </c>
      <c r="C1118" s="33">
        <v>1113</v>
      </c>
      <c r="D1118" s="39" t="s">
        <v>1489</v>
      </c>
      <c r="E1118" s="33" t="s">
        <v>10</v>
      </c>
      <c r="F1118" s="33">
        <v>1.8133999999999999</v>
      </c>
      <c r="G1118" s="33"/>
      <c r="H1118" s="33">
        <f t="shared" si="151"/>
        <v>1.8133999999999999</v>
      </c>
      <c r="I1118" s="34" t="s">
        <v>90</v>
      </c>
      <c r="J1118" s="99">
        <f>+'[3]Dự thầu'!$G556</f>
        <v>5329201</v>
      </c>
      <c r="K1118" s="98">
        <f t="shared" si="148"/>
        <v>9663973</v>
      </c>
      <c r="L1118" s="98">
        <f t="shared" si="146"/>
        <v>0</v>
      </c>
      <c r="M1118" s="98">
        <f t="shared" si="149"/>
        <v>9663973</v>
      </c>
      <c r="N1118" s="100"/>
    </row>
    <row r="1119" spans="1:14" ht="15.75" customHeight="1" x14ac:dyDescent="0.25">
      <c r="A1119" s="52" t="str">
        <f t="shared" si="150"/>
        <v>HT</v>
      </c>
      <c r="B1119" s="32" t="s">
        <v>1504</v>
      </c>
      <c r="C1119" s="33">
        <v>1114</v>
      </c>
      <c r="D1119" s="39" t="s">
        <v>1505</v>
      </c>
      <c r="E1119" s="33" t="s">
        <v>10</v>
      </c>
      <c r="F1119" s="33">
        <v>71.193600000000004</v>
      </c>
      <c r="G1119" s="33"/>
      <c r="H1119" s="33">
        <f t="shared" si="151"/>
        <v>71.193600000000004</v>
      </c>
      <c r="I1119" s="34" t="s">
        <v>16</v>
      </c>
      <c r="J1119" s="99">
        <f>+'[3]Dự thầu'!$G557</f>
        <v>2021360</v>
      </c>
      <c r="K1119" s="98">
        <f t="shared" si="148"/>
        <v>143907895</v>
      </c>
      <c r="L1119" s="98">
        <f t="shared" si="146"/>
        <v>0</v>
      </c>
      <c r="M1119" s="98">
        <f t="shared" si="149"/>
        <v>143907895</v>
      </c>
      <c r="N1119" s="100"/>
    </row>
    <row r="1120" spans="1:14" ht="15.75" customHeight="1" x14ac:dyDescent="0.25">
      <c r="A1120" s="52" t="str">
        <f t="shared" si="150"/>
        <v>HT</v>
      </c>
      <c r="B1120" s="32" t="s">
        <v>1506</v>
      </c>
      <c r="C1120" s="33">
        <v>1115</v>
      </c>
      <c r="D1120" s="39" t="s">
        <v>1477</v>
      </c>
      <c r="E1120" s="33" t="s">
        <v>10</v>
      </c>
      <c r="F1120" s="33">
        <v>72.261499999999998</v>
      </c>
      <c r="G1120" s="33"/>
      <c r="H1120" s="33">
        <f t="shared" si="151"/>
        <v>72.261499999999998</v>
      </c>
      <c r="I1120" s="34" t="s">
        <v>16</v>
      </c>
      <c r="J1120" s="99">
        <f>+'[3]Dự thầu'!$G558</f>
        <v>57102</v>
      </c>
      <c r="K1120" s="98">
        <f t="shared" si="148"/>
        <v>4126276</v>
      </c>
      <c r="L1120" s="98">
        <f t="shared" si="146"/>
        <v>0</v>
      </c>
      <c r="M1120" s="98">
        <f t="shared" si="149"/>
        <v>4126276</v>
      </c>
      <c r="N1120" s="100"/>
    </row>
    <row r="1121" spans="1:14" ht="15.75" customHeight="1" x14ac:dyDescent="0.25">
      <c r="A1121" s="52" t="str">
        <f t="shared" si="150"/>
        <v>HT</v>
      </c>
      <c r="B1121" s="32" t="s">
        <v>1507</v>
      </c>
      <c r="C1121" s="33">
        <v>1116</v>
      </c>
      <c r="D1121" s="39" t="s">
        <v>562</v>
      </c>
      <c r="E1121" s="33" t="s">
        <v>10</v>
      </c>
      <c r="F1121" s="33">
        <v>72.261499999999998</v>
      </c>
      <c r="G1121" s="33"/>
      <c r="H1121" s="33">
        <f t="shared" si="151"/>
        <v>72.261499999999998</v>
      </c>
      <c r="I1121" s="34" t="s">
        <v>16</v>
      </c>
      <c r="J1121" s="99">
        <f>+'[3]Dự thầu'!$G559+'[3]Dự thầu'!$G$560</f>
        <v>285443</v>
      </c>
      <c r="K1121" s="98">
        <f t="shared" si="148"/>
        <v>20626539</v>
      </c>
      <c r="L1121" s="98">
        <f t="shared" si="146"/>
        <v>0</v>
      </c>
      <c r="M1121" s="98">
        <f t="shared" si="149"/>
        <v>20626539</v>
      </c>
      <c r="N1121" s="100"/>
    </row>
    <row r="1122" spans="1:14" ht="31.5" customHeight="1" x14ac:dyDescent="0.25">
      <c r="A1122" s="52" t="str">
        <f t="shared" si="150"/>
        <v>HT</v>
      </c>
      <c r="B1122" s="32" t="s">
        <v>1508</v>
      </c>
      <c r="C1122" s="33">
        <v>1117</v>
      </c>
      <c r="D1122" s="39" t="s">
        <v>1509</v>
      </c>
      <c r="E1122" s="33" t="s">
        <v>10</v>
      </c>
      <c r="F1122" s="33">
        <v>96.896000000000001</v>
      </c>
      <c r="G1122" s="33"/>
      <c r="H1122" s="33">
        <f t="shared" si="151"/>
        <v>96.896000000000001</v>
      </c>
      <c r="I1122" s="34" t="s">
        <v>13</v>
      </c>
      <c r="J1122" s="99">
        <f>+'[3]Dự thầu'!$G561</f>
        <v>65242</v>
      </c>
      <c r="K1122" s="98">
        <f t="shared" si="148"/>
        <v>6321689</v>
      </c>
      <c r="L1122" s="98">
        <f t="shared" si="146"/>
        <v>0</v>
      </c>
      <c r="M1122" s="98">
        <f t="shared" si="149"/>
        <v>6321689</v>
      </c>
      <c r="N1122" s="100"/>
    </row>
    <row r="1123" spans="1:14" ht="15.75" customHeight="1" x14ac:dyDescent="0.25">
      <c r="A1123" s="52" t="str">
        <f t="shared" si="150"/>
        <v>HT</v>
      </c>
      <c r="B1123" s="32" t="s">
        <v>1510</v>
      </c>
      <c r="C1123" s="33">
        <v>1118</v>
      </c>
      <c r="D1123" s="39" t="s">
        <v>1511</v>
      </c>
      <c r="E1123" s="33" t="s">
        <v>10</v>
      </c>
      <c r="F1123" s="33">
        <v>9.2763000000000009</v>
      </c>
      <c r="G1123" s="33"/>
      <c r="H1123" s="33">
        <f t="shared" si="151"/>
        <v>9.2763000000000009</v>
      </c>
      <c r="I1123" s="34" t="s">
        <v>90</v>
      </c>
      <c r="J1123" s="99">
        <f>+'[3]Dự thầu'!$G562</f>
        <v>25285548</v>
      </c>
      <c r="K1123" s="98">
        <f t="shared" si="148"/>
        <v>234556329</v>
      </c>
      <c r="L1123" s="98">
        <f t="shared" si="146"/>
        <v>0</v>
      </c>
      <c r="M1123" s="98">
        <f t="shared" si="149"/>
        <v>234556329</v>
      </c>
      <c r="N1123" s="100"/>
    </row>
    <row r="1124" spans="1:14" ht="15.75" customHeight="1" x14ac:dyDescent="0.25">
      <c r="A1124" s="52" t="str">
        <f t="shared" si="150"/>
        <v>HT</v>
      </c>
      <c r="B1124" s="32" t="s">
        <v>1512</v>
      </c>
      <c r="C1124" s="33">
        <v>1119</v>
      </c>
      <c r="D1124" s="39" t="s">
        <v>1513</v>
      </c>
      <c r="E1124" s="33" t="s">
        <v>10</v>
      </c>
      <c r="F1124" s="33">
        <v>3.1655000000000002</v>
      </c>
      <c r="G1124" s="33"/>
      <c r="H1124" s="33">
        <f t="shared" si="151"/>
        <v>3.1655000000000002</v>
      </c>
      <c r="I1124" s="34" t="s">
        <v>90</v>
      </c>
      <c r="J1124" s="99">
        <f>+'[3]Dự thầu'!$G563</f>
        <v>25011283</v>
      </c>
      <c r="K1124" s="98">
        <f t="shared" si="148"/>
        <v>79173216</v>
      </c>
      <c r="L1124" s="98">
        <f t="shared" si="146"/>
        <v>0</v>
      </c>
      <c r="M1124" s="98">
        <f t="shared" si="149"/>
        <v>79173216</v>
      </c>
      <c r="N1124" s="100"/>
    </row>
    <row r="1125" spans="1:14" ht="15.75" customHeight="1" x14ac:dyDescent="0.25">
      <c r="A1125" s="52" t="str">
        <f t="shared" si="150"/>
        <v>HT</v>
      </c>
      <c r="B1125" s="32" t="s">
        <v>1514</v>
      </c>
      <c r="C1125" s="33">
        <v>1120</v>
      </c>
      <c r="D1125" s="39" t="s">
        <v>1515</v>
      </c>
      <c r="E1125" s="33" t="s">
        <v>10</v>
      </c>
      <c r="F1125" s="33">
        <v>97.241900000000001</v>
      </c>
      <c r="G1125" s="33"/>
      <c r="H1125" s="33">
        <f t="shared" si="151"/>
        <v>97.241900000000001</v>
      </c>
      <c r="I1125" s="34" t="s">
        <v>16</v>
      </c>
      <c r="J1125" s="99">
        <f>+'[3]Dự thầu'!$G564</f>
        <v>1719728</v>
      </c>
      <c r="K1125" s="98">
        <f t="shared" si="148"/>
        <v>167229618</v>
      </c>
      <c r="L1125" s="98">
        <f t="shared" si="146"/>
        <v>0</v>
      </c>
      <c r="M1125" s="98">
        <f t="shared" si="149"/>
        <v>167229618</v>
      </c>
      <c r="N1125" s="100"/>
    </row>
    <row r="1126" spans="1:14" ht="15.75" customHeight="1" x14ac:dyDescent="0.25">
      <c r="A1126" s="52" t="str">
        <f t="shared" si="150"/>
        <v>HT</v>
      </c>
      <c r="B1126" s="32" t="s">
        <v>1516</v>
      </c>
      <c r="C1126" s="33">
        <v>1121</v>
      </c>
      <c r="D1126" s="39" t="s">
        <v>1517</v>
      </c>
      <c r="E1126" s="33" t="s">
        <v>10</v>
      </c>
      <c r="F1126" s="33">
        <v>15.8626</v>
      </c>
      <c r="G1126" s="33"/>
      <c r="H1126" s="33">
        <f t="shared" si="151"/>
        <v>15.8626</v>
      </c>
      <c r="I1126" s="34" t="s">
        <v>90</v>
      </c>
      <c r="J1126" s="99">
        <f>+'[3]Dự thầu'!$G565</f>
        <v>27101433</v>
      </c>
      <c r="K1126" s="98">
        <f t="shared" si="148"/>
        <v>429899191</v>
      </c>
      <c r="L1126" s="98">
        <f t="shared" si="146"/>
        <v>0</v>
      </c>
      <c r="M1126" s="98">
        <f t="shared" si="149"/>
        <v>429899191</v>
      </c>
      <c r="N1126" s="100"/>
    </row>
    <row r="1127" spans="1:14" ht="15.75" customHeight="1" x14ac:dyDescent="0.25">
      <c r="A1127" s="52" t="str">
        <f t="shared" si="150"/>
        <v>HT</v>
      </c>
      <c r="B1127" s="32" t="s">
        <v>1518</v>
      </c>
      <c r="C1127" s="33">
        <v>1122</v>
      </c>
      <c r="D1127" s="39" t="s">
        <v>1519</v>
      </c>
      <c r="E1127" s="33" t="s">
        <v>10</v>
      </c>
      <c r="F1127" s="33">
        <v>519.3048</v>
      </c>
      <c r="G1127" s="33"/>
      <c r="H1127" s="33">
        <f t="shared" si="151"/>
        <v>519.3048</v>
      </c>
      <c r="I1127" s="34" t="s">
        <v>13</v>
      </c>
      <c r="J1127" s="99">
        <f>+'[3]Dự thầu'!$G566</f>
        <v>86606</v>
      </c>
      <c r="K1127" s="98">
        <f t="shared" si="148"/>
        <v>44974912</v>
      </c>
      <c r="L1127" s="98">
        <f t="shared" si="146"/>
        <v>0</v>
      </c>
      <c r="M1127" s="98">
        <f t="shared" si="149"/>
        <v>44974912</v>
      </c>
      <c r="N1127" s="100"/>
    </row>
    <row r="1128" spans="1:14" ht="15.75" customHeight="1" x14ac:dyDescent="0.25">
      <c r="A1128" s="52" t="str">
        <f t="shared" si="150"/>
        <v>HT</v>
      </c>
      <c r="B1128" s="32" t="s">
        <v>1520</v>
      </c>
      <c r="C1128" s="33">
        <v>1123</v>
      </c>
      <c r="D1128" s="39" t="s">
        <v>1521</v>
      </c>
      <c r="E1128" s="33" t="s">
        <v>10</v>
      </c>
      <c r="F1128" s="98">
        <v>1584</v>
      </c>
      <c r="G1128" s="98"/>
      <c r="H1128" s="98">
        <f t="shared" si="151"/>
        <v>1584</v>
      </c>
      <c r="I1128" s="34" t="s">
        <v>297</v>
      </c>
      <c r="J1128" s="99">
        <f>+'[3]Dự thầu'!$G567</f>
        <v>36395</v>
      </c>
      <c r="K1128" s="98">
        <f t="shared" si="148"/>
        <v>57649680</v>
      </c>
      <c r="L1128" s="98">
        <f t="shared" si="146"/>
        <v>0</v>
      </c>
      <c r="M1128" s="98">
        <f t="shared" si="149"/>
        <v>57649680</v>
      </c>
      <c r="N1128" s="100"/>
    </row>
    <row r="1129" spans="1:14" ht="47.25" customHeight="1" x14ac:dyDescent="0.25">
      <c r="A1129" s="52" t="str">
        <f t="shared" si="150"/>
        <v>HT</v>
      </c>
      <c r="B1129" s="32" t="s">
        <v>1522</v>
      </c>
      <c r="C1129" s="33">
        <v>1124</v>
      </c>
      <c r="D1129" s="39" t="s">
        <v>249</v>
      </c>
      <c r="E1129" s="33" t="s">
        <v>10</v>
      </c>
      <c r="F1129" s="98">
        <v>1584</v>
      </c>
      <c r="G1129" s="98"/>
      <c r="H1129" s="98">
        <f t="shared" si="151"/>
        <v>1584</v>
      </c>
      <c r="I1129" s="34" t="s">
        <v>250</v>
      </c>
      <c r="J1129" s="99">
        <f>+'[3]Dự thầu'!$G568</f>
        <v>52812</v>
      </c>
      <c r="K1129" s="98">
        <f t="shared" si="148"/>
        <v>83654208</v>
      </c>
      <c r="L1129" s="98">
        <f t="shared" si="146"/>
        <v>0</v>
      </c>
      <c r="M1129" s="98">
        <f t="shared" si="149"/>
        <v>83654208</v>
      </c>
      <c r="N1129" s="100"/>
    </row>
    <row r="1130" spans="1:14" ht="47.25" customHeight="1" x14ac:dyDescent="0.25">
      <c r="A1130" s="52" t="str">
        <f t="shared" si="150"/>
        <v>HT</v>
      </c>
      <c r="B1130" s="32" t="s">
        <v>1523</v>
      </c>
      <c r="C1130" s="33">
        <v>1125</v>
      </c>
      <c r="D1130" s="39" t="s">
        <v>255</v>
      </c>
      <c r="E1130" s="33" t="s">
        <v>10</v>
      </c>
      <c r="F1130" s="98">
        <v>1584</v>
      </c>
      <c r="G1130" s="98"/>
      <c r="H1130" s="98">
        <f t="shared" si="151"/>
        <v>1584</v>
      </c>
      <c r="I1130" s="34" t="s">
        <v>250</v>
      </c>
      <c r="J1130" s="99">
        <f>+'[3]Dự thầu'!$G569</f>
        <v>42761</v>
      </c>
      <c r="K1130" s="98">
        <f t="shared" si="148"/>
        <v>67733424</v>
      </c>
      <c r="L1130" s="98">
        <f t="shared" si="146"/>
        <v>0</v>
      </c>
      <c r="M1130" s="98">
        <f t="shared" si="149"/>
        <v>67733424</v>
      </c>
      <c r="N1130" s="100"/>
    </row>
    <row r="1131" spans="1:14" ht="31.5" customHeight="1" x14ac:dyDescent="0.25">
      <c r="A1131" s="52" t="str">
        <f t="shared" si="150"/>
        <v>HT</v>
      </c>
      <c r="B1131" s="32" t="s">
        <v>1524</v>
      </c>
      <c r="C1131" s="33">
        <v>1126</v>
      </c>
      <c r="D1131" s="39" t="s">
        <v>284</v>
      </c>
      <c r="E1131" s="33" t="s">
        <v>10</v>
      </c>
      <c r="F1131" s="33">
        <v>24.310500000000001</v>
      </c>
      <c r="G1131" s="33"/>
      <c r="H1131" s="33">
        <f t="shared" si="151"/>
        <v>24.310500000000001</v>
      </c>
      <c r="I1131" s="34" t="s">
        <v>253</v>
      </c>
      <c r="J1131" s="99">
        <f>+'[3]Dự thầu'!$G570</f>
        <v>36271</v>
      </c>
      <c r="K1131" s="98">
        <f t="shared" si="148"/>
        <v>881766</v>
      </c>
      <c r="L1131" s="98">
        <f t="shared" si="146"/>
        <v>0</v>
      </c>
      <c r="M1131" s="98">
        <f t="shared" si="149"/>
        <v>881766</v>
      </c>
      <c r="N1131" s="100"/>
    </row>
    <row r="1132" spans="1:14" ht="31.5" customHeight="1" x14ac:dyDescent="0.25">
      <c r="A1132" s="52" t="str">
        <f t="shared" si="150"/>
        <v>HT</v>
      </c>
      <c r="B1132" s="32" t="s">
        <v>1525</v>
      </c>
      <c r="C1132" s="33">
        <v>1127</v>
      </c>
      <c r="D1132" s="39" t="s">
        <v>1526</v>
      </c>
      <c r="E1132" s="33" t="s">
        <v>10</v>
      </c>
      <c r="F1132" s="33">
        <v>438.16590000000002</v>
      </c>
      <c r="G1132" s="33"/>
      <c r="H1132" s="33">
        <f t="shared" si="151"/>
        <v>438.16590000000002</v>
      </c>
      <c r="I1132" s="34" t="s">
        <v>16</v>
      </c>
      <c r="J1132" s="99">
        <f>+'[3]Dự thầu'!$G571</f>
        <v>1785388</v>
      </c>
      <c r="K1132" s="98">
        <f t="shared" si="148"/>
        <v>782296140</v>
      </c>
      <c r="L1132" s="98">
        <f t="shared" si="146"/>
        <v>0</v>
      </c>
      <c r="M1132" s="98">
        <f t="shared" si="149"/>
        <v>782296140</v>
      </c>
      <c r="N1132" s="100"/>
    </row>
    <row r="1133" spans="1:14" ht="15.75" customHeight="1" x14ac:dyDescent="0.25">
      <c r="A1133" s="52" t="str">
        <f t="shared" si="150"/>
        <v>HT</v>
      </c>
      <c r="B1133" s="32" t="s">
        <v>1527</v>
      </c>
      <c r="C1133" s="33">
        <v>1128</v>
      </c>
      <c r="D1133" s="39" t="s">
        <v>1477</v>
      </c>
      <c r="E1133" s="33" t="s">
        <v>10</v>
      </c>
      <c r="F1133" s="33">
        <v>444.73840000000001</v>
      </c>
      <c r="G1133" s="33"/>
      <c r="H1133" s="33">
        <f t="shared" si="151"/>
        <v>444.73840000000001</v>
      </c>
      <c r="I1133" s="34" t="s">
        <v>16</v>
      </c>
      <c r="J1133" s="99">
        <f>+'[3]Dự thầu'!$G572</f>
        <v>57102</v>
      </c>
      <c r="K1133" s="98">
        <f t="shared" si="148"/>
        <v>25395452</v>
      </c>
      <c r="L1133" s="98">
        <f t="shared" si="146"/>
        <v>0</v>
      </c>
      <c r="M1133" s="98">
        <f t="shared" si="149"/>
        <v>25395452</v>
      </c>
      <c r="N1133" s="100"/>
    </row>
    <row r="1134" spans="1:14" ht="15.75" customHeight="1" x14ac:dyDescent="0.25">
      <c r="A1134" s="52" t="str">
        <f t="shared" si="150"/>
        <v>HT</v>
      </c>
      <c r="B1134" s="32" t="s">
        <v>1528</v>
      </c>
      <c r="C1134" s="33">
        <v>1129</v>
      </c>
      <c r="D1134" s="39" t="s">
        <v>562</v>
      </c>
      <c r="E1134" s="33" t="s">
        <v>10</v>
      </c>
      <c r="F1134" s="33">
        <v>444.73840000000001</v>
      </c>
      <c r="G1134" s="33"/>
      <c r="H1134" s="33">
        <f t="shared" si="151"/>
        <v>444.73840000000001</v>
      </c>
      <c r="I1134" s="34" t="s">
        <v>16</v>
      </c>
      <c r="J1134" s="99">
        <f>+'[3]Dự thầu'!$G$573+'[3]Dự thầu'!$G$574</f>
        <v>285443</v>
      </c>
      <c r="K1134" s="98">
        <f t="shared" si="148"/>
        <v>126947463</v>
      </c>
      <c r="L1134" s="98">
        <f t="shared" si="146"/>
        <v>0</v>
      </c>
      <c r="M1134" s="98">
        <f t="shared" si="149"/>
        <v>126947463</v>
      </c>
      <c r="N1134" s="100"/>
    </row>
    <row r="1135" spans="1:14" ht="15.75" customHeight="1" x14ac:dyDescent="0.25">
      <c r="A1135" s="52" t="str">
        <f t="shared" si="150"/>
        <v>HT</v>
      </c>
      <c r="B1135" s="32" t="s">
        <v>1529</v>
      </c>
      <c r="C1135" s="33">
        <v>1130</v>
      </c>
      <c r="D1135" s="39" t="s">
        <v>1530</v>
      </c>
      <c r="E1135" s="33" t="s">
        <v>10</v>
      </c>
      <c r="F1135" s="33">
        <v>0.97</v>
      </c>
      <c r="G1135" s="33"/>
      <c r="H1135" s="33">
        <f t="shared" si="151"/>
        <v>0.97</v>
      </c>
      <c r="I1135" s="34" t="s">
        <v>90</v>
      </c>
      <c r="J1135" s="99">
        <f>+'[3]Dự thầu'!$G575</f>
        <v>25032847</v>
      </c>
      <c r="K1135" s="98">
        <f t="shared" si="148"/>
        <v>24281862</v>
      </c>
      <c r="L1135" s="98">
        <f t="shared" si="146"/>
        <v>0</v>
      </c>
      <c r="M1135" s="98">
        <f t="shared" si="149"/>
        <v>24281862</v>
      </c>
      <c r="N1135" s="100"/>
    </row>
    <row r="1136" spans="1:14" ht="15.75" customHeight="1" x14ac:dyDescent="0.25">
      <c r="A1136" s="52" t="str">
        <f t="shared" si="150"/>
        <v>HT</v>
      </c>
      <c r="B1136" s="32" t="s">
        <v>1531</v>
      </c>
      <c r="C1136" s="33">
        <v>1131</v>
      </c>
      <c r="D1136" s="39" t="s">
        <v>1532</v>
      </c>
      <c r="E1136" s="33" t="s">
        <v>10</v>
      </c>
      <c r="F1136" s="33">
        <v>92.544399999999996</v>
      </c>
      <c r="G1136" s="33"/>
      <c r="H1136" s="33">
        <f t="shared" si="151"/>
        <v>92.544399999999996</v>
      </c>
      <c r="I1136" s="34" t="s">
        <v>90</v>
      </c>
      <c r="J1136" s="99">
        <f>+'[3]Dự thầu'!$G576</f>
        <v>25032847</v>
      </c>
      <c r="K1136" s="98">
        <f t="shared" si="148"/>
        <v>2316649806</v>
      </c>
      <c r="L1136" s="98">
        <f t="shared" si="146"/>
        <v>0</v>
      </c>
      <c r="M1136" s="98">
        <f t="shared" si="149"/>
        <v>2316649806</v>
      </c>
      <c r="N1136" s="100"/>
    </row>
    <row r="1137" spans="1:14" ht="15.75" customHeight="1" x14ac:dyDescent="0.25">
      <c r="A1137" s="52" t="str">
        <f t="shared" si="150"/>
        <v>HT</v>
      </c>
      <c r="B1137" s="32" t="s">
        <v>1533</v>
      </c>
      <c r="C1137" s="33">
        <v>1132</v>
      </c>
      <c r="D1137" s="39" t="s">
        <v>1534</v>
      </c>
      <c r="E1137" s="33" t="s">
        <v>10</v>
      </c>
      <c r="F1137" s="33">
        <v>9.2481000000000009</v>
      </c>
      <c r="G1137" s="33"/>
      <c r="H1137" s="33">
        <f t="shared" si="151"/>
        <v>9.2481000000000009</v>
      </c>
      <c r="I1137" s="34" t="s">
        <v>90</v>
      </c>
      <c r="J1137" s="99">
        <f>+'[3]Dự thầu'!$G577</f>
        <v>24337233</v>
      </c>
      <c r="K1137" s="98">
        <f t="shared" si="148"/>
        <v>225073165</v>
      </c>
      <c r="L1137" s="98">
        <f t="shared" si="146"/>
        <v>0</v>
      </c>
      <c r="M1137" s="98">
        <f t="shared" si="149"/>
        <v>225073165</v>
      </c>
      <c r="N1137" s="100"/>
    </row>
    <row r="1138" spans="1:14" ht="15.75" customHeight="1" x14ac:dyDescent="0.25">
      <c r="A1138" s="52" t="str">
        <f t="shared" si="150"/>
        <v>HT</v>
      </c>
      <c r="B1138" s="32" t="s">
        <v>1535</v>
      </c>
      <c r="C1138" s="33">
        <v>1133</v>
      </c>
      <c r="D1138" s="39" t="s">
        <v>1536</v>
      </c>
      <c r="E1138" s="33" t="s">
        <v>10</v>
      </c>
      <c r="F1138" s="33">
        <v>557.02480000000003</v>
      </c>
      <c r="G1138" s="33"/>
      <c r="H1138" s="33">
        <f t="shared" si="151"/>
        <v>557.02480000000003</v>
      </c>
      <c r="I1138" s="34" t="s">
        <v>13</v>
      </c>
      <c r="J1138" s="99">
        <f>+'[3]Dự thầu'!$G578</f>
        <v>65242</v>
      </c>
      <c r="K1138" s="98">
        <f t="shared" si="148"/>
        <v>36341412</v>
      </c>
      <c r="L1138" s="98">
        <f t="shared" si="146"/>
        <v>0</v>
      </c>
      <c r="M1138" s="98">
        <f t="shared" si="149"/>
        <v>36341412</v>
      </c>
      <c r="N1138" s="100"/>
    </row>
    <row r="1139" spans="1:14" ht="15.75" customHeight="1" x14ac:dyDescent="0.25">
      <c r="A1139" s="52" t="str">
        <f t="shared" si="150"/>
        <v>HT</v>
      </c>
      <c r="B1139" s="32" t="s">
        <v>1537</v>
      </c>
      <c r="C1139" s="33">
        <v>1134</v>
      </c>
      <c r="D1139" s="39" t="s">
        <v>1538</v>
      </c>
      <c r="E1139" s="33" t="s">
        <v>10</v>
      </c>
      <c r="F1139" s="33">
        <v>168</v>
      </c>
      <c r="G1139" s="33"/>
      <c r="H1139" s="33">
        <f t="shared" si="151"/>
        <v>168</v>
      </c>
      <c r="I1139" s="34" t="s">
        <v>13</v>
      </c>
      <c r="J1139" s="99">
        <f>+'[3]Dự thầu'!$G579</f>
        <v>103984</v>
      </c>
      <c r="K1139" s="98">
        <f t="shared" si="148"/>
        <v>17469312</v>
      </c>
      <c r="L1139" s="98">
        <f t="shared" ref="L1139:L1202" si="152">+ROUND(G1139*J1139,0)</f>
        <v>0</v>
      </c>
      <c r="M1139" s="98">
        <f t="shared" si="149"/>
        <v>17469312</v>
      </c>
      <c r="N1139" s="100"/>
    </row>
    <row r="1140" spans="1:14" ht="15.75" customHeight="1" x14ac:dyDescent="0.25">
      <c r="A1140" s="52" t="str">
        <f t="shared" si="150"/>
        <v>HT</v>
      </c>
      <c r="B1140" s="32" t="s">
        <v>1539</v>
      </c>
      <c r="C1140" s="33">
        <v>1135</v>
      </c>
      <c r="D1140" s="39" t="s">
        <v>1540</v>
      </c>
      <c r="E1140" s="33" t="s">
        <v>10</v>
      </c>
      <c r="F1140" s="102">
        <v>1453.62</v>
      </c>
      <c r="G1140" s="102"/>
      <c r="H1140" s="102">
        <f t="shared" si="151"/>
        <v>1453.62</v>
      </c>
      <c r="I1140" s="34" t="s">
        <v>13</v>
      </c>
      <c r="J1140" s="99">
        <f>+'[3]Dự thầu'!$G580</f>
        <v>178258</v>
      </c>
      <c r="K1140" s="98">
        <f t="shared" si="148"/>
        <v>259119394</v>
      </c>
      <c r="L1140" s="98">
        <f t="shared" si="152"/>
        <v>0</v>
      </c>
      <c r="M1140" s="98">
        <f t="shared" si="149"/>
        <v>259119394</v>
      </c>
      <c r="N1140" s="100"/>
    </row>
    <row r="1141" spans="1:14" ht="15.75" customHeight="1" x14ac:dyDescent="0.25">
      <c r="A1141" s="52" t="str">
        <f t="shared" si="150"/>
        <v>HT</v>
      </c>
      <c r="B1141" s="32" t="s">
        <v>1541</v>
      </c>
      <c r="C1141" s="33">
        <v>1136</v>
      </c>
      <c r="D1141" s="39" t="s">
        <v>1542</v>
      </c>
      <c r="E1141" s="33" t="s">
        <v>10</v>
      </c>
      <c r="F1141" s="102">
        <v>1453.62</v>
      </c>
      <c r="G1141" s="102"/>
      <c r="H1141" s="102">
        <f t="shared" si="151"/>
        <v>1453.62</v>
      </c>
      <c r="I1141" s="34" t="s">
        <v>13</v>
      </c>
      <c r="J1141" s="99">
        <f>+'[3]Dự thầu'!$G581</f>
        <v>15319</v>
      </c>
      <c r="K1141" s="98">
        <f t="shared" si="148"/>
        <v>22268005</v>
      </c>
      <c r="L1141" s="98">
        <f t="shared" si="152"/>
        <v>0</v>
      </c>
      <c r="M1141" s="98">
        <f t="shared" si="149"/>
        <v>22268005</v>
      </c>
      <c r="N1141" s="100"/>
    </row>
    <row r="1142" spans="1:14" ht="15.75" customHeight="1" x14ac:dyDescent="0.25">
      <c r="A1142" s="52" t="str">
        <f t="shared" si="150"/>
        <v>HT</v>
      </c>
      <c r="B1142" s="32" t="s">
        <v>1543</v>
      </c>
      <c r="C1142" s="33">
        <v>1137</v>
      </c>
      <c r="D1142" s="39" t="s">
        <v>1544</v>
      </c>
      <c r="E1142" s="33" t="s">
        <v>10</v>
      </c>
      <c r="F1142" s="102">
        <v>1453.62</v>
      </c>
      <c r="G1142" s="102"/>
      <c r="H1142" s="102">
        <f t="shared" si="151"/>
        <v>1453.62</v>
      </c>
      <c r="I1142" s="34" t="s">
        <v>13</v>
      </c>
      <c r="J1142" s="99">
        <f>+'[3]Dự thầu'!$G582</f>
        <v>12540</v>
      </c>
      <c r="K1142" s="98">
        <f t="shared" si="148"/>
        <v>18228395</v>
      </c>
      <c r="L1142" s="98">
        <f t="shared" si="152"/>
        <v>0</v>
      </c>
      <c r="M1142" s="98">
        <f t="shared" si="149"/>
        <v>18228395</v>
      </c>
      <c r="N1142" s="100"/>
    </row>
    <row r="1143" spans="1:14" ht="31.5" customHeight="1" x14ac:dyDescent="0.25">
      <c r="A1143" s="52" t="str">
        <f t="shared" si="150"/>
        <v>HT</v>
      </c>
      <c r="B1143" s="32" t="s">
        <v>1545</v>
      </c>
      <c r="C1143" s="33">
        <v>1138</v>
      </c>
      <c r="D1143" s="39" t="s">
        <v>96</v>
      </c>
      <c r="E1143" s="33" t="s">
        <v>10</v>
      </c>
      <c r="F1143" s="33">
        <v>2.4159000000000002</v>
      </c>
      <c r="G1143" s="33"/>
      <c r="H1143" s="33">
        <f t="shared" si="151"/>
        <v>2.4159000000000002</v>
      </c>
      <c r="I1143" s="34" t="s">
        <v>99</v>
      </c>
      <c r="J1143" s="99">
        <f>100*1646788</f>
        <v>164678800</v>
      </c>
      <c r="K1143" s="98">
        <f t="shared" si="148"/>
        <v>397847513</v>
      </c>
      <c r="L1143" s="98">
        <f t="shared" si="152"/>
        <v>0</v>
      </c>
      <c r="M1143" s="98">
        <f t="shared" si="149"/>
        <v>397847513</v>
      </c>
      <c r="N1143" s="100"/>
    </row>
    <row r="1144" spans="1:14" ht="31.5" customHeight="1" x14ac:dyDescent="0.25">
      <c r="A1144" s="52" t="str">
        <f t="shared" si="150"/>
        <v>HT</v>
      </c>
      <c r="B1144" s="32" t="s">
        <v>1546</v>
      </c>
      <c r="C1144" s="33">
        <v>1139</v>
      </c>
      <c r="D1144" s="39" t="s">
        <v>1547</v>
      </c>
      <c r="E1144" s="33" t="s">
        <v>10</v>
      </c>
      <c r="F1144" s="33">
        <v>241.59</v>
      </c>
      <c r="G1144" s="33"/>
      <c r="H1144" s="33">
        <f t="shared" si="151"/>
        <v>241.59</v>
      </c>
      <c r="I1144" s="34" t="s">
        <v>90</v>
      </c>
      <c r="J1144" s="99">
        <f>+'[3]Dự thầu'!$G$584+'[3]Dự thầu'!$G$585</f>
        <v>113841</v>
      </c>
      <c r="K1144" s="98">
        <f t="shared" si="148"/>
        <v>27502847</v>
      </c>
      <c r="L1144" s="98">
        <f t="shared" si="152"/>
        <v>0</v>
      </c>
      <c r="M1144" s="98">
        <f t="shared" si="149"/>
        <v>27502847</v>
      </c>
      <c r="N1144" s="100"/>
    </row>
    <row r="1145" spans="1:14" ht="15.75" customHeight="1" x14ac:dyDescent="0.25">
      <c r="A1145" s="52" t="str">
        <f t="shared" si="150"/>
        <v>HT</v>
      </c>
      <c r="B1145" s="32" t="s">
        <v>1548</v>
      </c>
      <c r="C1145" s="33">
        <v>1140</v>
      </c>
      <c r="D1145" s="39" t="s">
        <v>1549</v>
      </c>
      <c r="E1145" s="33" t="s">
        <v>10</v>
      </c>
      <c r="F1145" s="33">
        <v>28</v>
      </c>
      <c r="G1145" s="33"/>
      <c r="H1145" s="33">
        <f t="shared" si="151"/>
        <v>28</v>
      </c>
      <c r="I1145" s="34" t="s">
        <v>258</v>
      </c>
      <c r="J1145" s="99">
        <f>+'[3]Dự thầu'!$G586</f>
        <v>5175851</v>
      </c>
      <c r="K1145" s="98">
        <f t="shared" si="148"/>
        <v>144923828</v>
      </c>
      <c r="L1145" s="98">
        <f t="shared" si="152"/>
        <v>0</v>
      </c>
      <c r="M1145" s="98">
        <f t="shared" si="149"/>
        <v>144923828</v>
      </c>
      <c r="N1145" s="100"/>
    </row>
    <row r="1146" spans="1:14" ht="15.75" customHeight="1" x14ac:dyDescent="0.25">
      <c r="A1146" s="52" t="str">
        <f t="shared" si="150"/>
        <v>HT</v>
      </c>
      <c r="B1146" s="32" t="s">
        <v>1550</v>
      </c>
      <c r="C1146" s="33">
        <v>1141</v>
      </c>
      <c r="D1146" s="39" t="s">
        <v>1551</v>
      </c>
      <c r="E1146" s="33" t="s">
        <v>10</v>
      </c>
      <c r="F1146" s="33">
        <v>28</v>
      </c>
      <c r="G1146" s="33"/>
      <c r="H1146" s="33">
        <f t="shared" si="151"/>
        <v>28</v>
      </c>
      <c r="I1146" s="34" t="s">
        <v>258</v>
      </c>
      <c r="J1146" s="99">
        <f>+'[3]Dự thầu'!$G587</f>
        <v>6590456</v>
      </c>
      <c r="K1146" s="98">
        <f t="shared" si="148"/>
        <v>184532768</v>
      </c>
      <c r="L1146" s="98">
        <f t="shared" si="152"/>
        <v>0</v>
      </c>
      <c r="M1146" s="98">
        <f t="shared" si="149"/>
        <v>184532768</v>
      </c>
      <c r="N1146" s="100"/>
    </row>
    <row r="1147" spans="1:14" ht="15.75" customHeight="1" x14ac:dyDescent="0.25">
      <c r="A1147" s="52" t="str">
        <f t="shared" si="150"/>
        <v>HT</v>
      </c>
      <c r="B1147" s="32" t="s">
        <v>1552</v>
      </c>
      <c r="C1147" s="33">
        <v>1142</v>
      </c>
      <c r="D1147" s="39" t="s">
        <v>1553</v>
      </c>
      <c r="E1147" s="33" t="s">
        <v>10</v>
      </c>
      <c r="F1147" s="33">
        <v>14</v>
      </c>
      <c r="G1147" s="33"/>
      <c r="H1147" s="33">
        <f t="shared" si="151"/>
        <v>14</v>
      </c>
      <c r="I1147" s="34" t="s">
        <v>258</v>
      </c>
      <c r="J1147" s="99">
        <f>+'[3]Dự thầu'!$G588</f>
        <v>11477274</v>
      </c>
      <c r="K1147" s="98">
        <f t="shared" si="148"/>
        <v>160681836</v>
      </c>
      <c r="L1147" s="98">
        <f t="shared" si="152"/>
        <v>0</v>
      </c>
      <c r="M1147" s="98">
        <f t="shared" si="149"/>
        <v>160681836</v>
      </c>
      <c r="N1147" s="100"/>
    </row>
    <row r="1148" spans="1:14" ht="15.75" customHeight="1" x14ac:dyDescent="0.25">
      <c r="A1148" s="52" t="str">
        <f t="shared" si="150"/>
        <v>HT</v>
      </c>
      <c r="B1148" s="32" t="s">
        <v>1554</v>
      </c>
      <c r="C1148" s="33">
        <v>1143</v>
      </c>
      <c r="D1148" s="39" t="s">
        <v>1555</v>
      </c>
      <c r="E1148" s="33" t="s">
        <v>10</v>
      </c>
      <c r="F1148" s="33">
        <v>14</v>
      </c>
      <c r="G1148" s="33"/>
      <c r="H1148" s="33">
        <f t="shared" si="151"/>
        <v>14</v>
      </c>
      <c r="I1148" s="34" t="s">
        <v>258</v>
      </c>
      <c r="J1148" s="99">
        <f>+'[3]Dự thầu'!$G589</f>
        <v>13779223</v>
      </c>
      <c r="K1148" s="98">
        <f t="shared" si="148"/>
        <v>192909122</v>
      </c>
      <c r="L1148" s="98">
        <f t="shared" si="152"/>
        <v>0</v>
      </c>
      <c r="M1148" s="98">
        <f t="shared" si="149"/>
        <v>192909122</v>
      </c>
      <c r="N1148" s="100"/>
    </row>
    <row r="1149" spans="1:14" ht="15.75" customHeight="1" x14ac:dyDescent="0.25">
      <c r="A1149" s="52" t="str">
        <f t="shared" si="150"/>
        <v>HT</v>
      </c>
      <c r="B1149" s="32" t="s">
        <v>1556</v>
      </c>
      <c r="C1149" s="33">
        <v>1144</v>
      </c>
      <c r="D1149" s="39" t="s">
        <v>1557</v>
      </c>
      <c r="E1149" s="33" t="s">
        <v>10</v>
      </c>
      <c r="F1149" s="33">
        <v>4.4509999999999996</v>
      </c>
      <c r="G1149" s="33"/>
      <c r="H1149" s="33">
        <f t="shared" si="151"/>
        <v>4.4509999999999996</v>
      </c>
      <c r="I1149" s="34" t="s">
        <v>90</v>
      </c>
      <c r="J1149" s="99">
        <f>+'[3]Dự thầu'!$G590</f>
        <v>31922068</v>
      </c>
      <c r="K1149" s="98">
        <f t="shared" si="148"/>
        <v>142085125</v>
      </c>
      <c r="L1149" s="98">
        <f t="shared" si="152"/>
        <v>0</v>
      </c>
      <c r="M1149" s="98">
        <f t="shared" si="149"/>
        <v>142085125</v>
      </c>
      <c r="N1149" s="100"/>
    </row>
    <row r="1150" spans="1:14" ht="15.75" customHeight="1" x14ac:dyDescent="0.25">
      <c r="A1150" s="52" t="str">
        <f t="shared" si="150"/>
        <v>HT</v>
      </c>
      <c r="B1150" s="32" t="s">
        <v>1558</v>
      </c>
      <c r="C1150" s="33">
        <v>1145</v>
      </c>
      <c r="D1150" s="39" t="s">
        <v>1559</v>
      </c>
      <c r="E1150" s="33" t="s">
        <v>10</v>
      </c>
      <c r="F1150" s="33">
        <v>4.4509999999999996</v>
      </c>
      <c r="G1150" s="33"/>
      <c r="H1150" s="33">
        <f t="shared" si="151"/>
        <v>4.4509999999999996</v>
      </c>
      <c r="I1150" s="34" t="s">
        <v>90</v>
      </c>
      <c r="J1150" s="99">
        <f>+'[3]Dự thầu'!$G591</f>
        <v>5329201</v>
      </c>
      <c r="K1150" s="98">
        <f t="shared" si="148"/>
        <v>23720274</v>
      </c>
      <c r="L1150" s="98">
        <f t="shared" si="152"/>
        <v>0</v>
      </c>
      <c r="M1150" s="98">
        <f t="shared" si="149"/>
        <v>23720274</v>
      </c>
      <c r="N1150" s="100"/>
    </row>
    <row r="1151" spans="1:14" ht="15.75" customHeight="1" x14ac:dyDescent="0.25">
      <c r="A1151" s="52" t="str">
        <f t="shared" si="150"/>
        <v>HT</v>
      </c>
      <c r="B1151" s="32" t="s">
        <v>1560</v>
      </c>
      <c r="C1151" s="33">
        <v>1146</v>
      </c>
      <c r="D1151" s="39" t="s">
        <v>1561</v>
      </c>
      <c r="E1151" s="33" t="s">
        <v>10</v>
      </c>
      <c r="F1151" s="33">
        <v>29.4</v>
      </c>
      <c r="G1151" s="33"/>
      <c r="H1151" s="33">
        <f t="shared" si="151"/>
        <v>29.4</v>
      </c>
      <c r="I1151" s="34" t="s">
        <v>1562</v>
      </c>
      <c r="J1151" s="99">
        <f>+'[3]Dự thầu'!$G592</f>
        <v>39471</v>
      </c>
      <c r="K1151" s="98">
        <f t="shared" si="148"/>
        <v>1160447</v>
      </c>
      <c r="L1151" s="98">
        <f t="shared" si="152"/>
        <v>0</v>
      </c>
      <c r="M1151" s="98">
        <f t="shared" si="149"/>
        <v>1160447</v>
      </c>
      <c r="N1151" s="100"/>
    </row>
    <row r="1152" spans="1:14" ht="15.75" customHeight="1" x14ac:dyDescent="0.25">
      <c r="A1152" s="52" t="str">
        <f t="shared" si="150"/>
        <v>HT</v>
      </c>
      <c r="B1152" s="32" t="s">
        <v>1563</v>
      </c>
      <c r="C1152" s="33">
        <v>1147</v>
      </c>
      <c r="D1152" s="39" t="s">
        <v>1564</v>
      </c>
      <c r="E1152" s="33" t="s">
        <v>10</v>
      </c>
      <c r="F1152" s="33">
        <v>42</v>
      </c>
      <c r="G1152" s="33"/>
      <c r="H1152" s="33">
        <f t="shared" si="151"/>
        <v>42</v>
      </c>
      <c r="I1152" s="34" t="s">
        <v>1565</v>
      </c>
      <c r="J1152" s="99">
        <f>+'[3]Dự thầu'!$G593</f>
        <v>17204605</v>
      </c>
      <c r="K1152" s="98">
        <f t="shared" si="148"/>
        <v>722593410</v>
      </c>
      <c r="L1152" s="98">
        <f t="shared" si="152"/>
        <v>0</v>
      </c>
      <c r="M1152" s="98">
        <f t="shared" si="149"/>
        <v>722593410</v>
      </c>
      <c r="N1152" s="100"/>
    </row>
    <row r="1153" spans="1:14" ht="15.75" customHeight="1" x14ac:dyDescent="0.25">
      <c r="A1153" s="52" t="str">
        <f t="shared" si="150"/>
        <v>HT</v>
      </c>
      <c r="B1153" s="32" t="s">
        <v>1566</v>
      </c>
      <c r="C1153" s="33">
        <v>1148</v>
      </c>
      <c r="D1153" s="39" t="s">
        <v>1567</v>
      </c>
      <c r="E1153" s="33" t="s">
        <v>10</v>
      </c>
      <c r="F1153" s="33">
        <v>7.9710999999999999</v>
      </c>
      <c r="G1153" s="33"/>
      <c r="H1153" s="33">
        <f t="shared" si="151"/>
        <v>7.9710999999999999</v>
      </c>
      <c r="I1153" s="34" t="s">
        <v>16</v>
      </c>
      <c r="J1153" s="99">
        <f>+'[3]Dự thầu'!$G594</f>
        <v>2080172</v>
      </c>
      <c r="K1153" s="98">
        <f t="shared" si="148"/>
        <v>16581259</v>
      </c>
      <c r="L1153" s="98">
        <f t="shared" si="152"/>
        <v>0</v>
      </c>
      <c r="M1153" s="98">
        <f t="shared" si="149"/>
        <v>16581259</v>
      </c>
      <c r="N1153" s="100"/>
    </row>
    <row r="1154" spans="1:14" ht="15.75" customHeight="1" x14ac:dyDescent="0.25">
      <c r="A1154" s="52" t="str">
        <f t="shared" si="150"/>
        <v>HT</v>
      </c>
      <c r="B1154" s="32" t="s">
        <v>1568</v>
      </c>
      <c r="C1154" s="33">
        <v>1149</v>
      </c>
      <c r="D1154" s="39" t="s">
        <v>1569</v>
      </c>
      <c r="E1154" s="33" t="s">
        <v>10</v>
      </c>
      <c r="F1154" s="33">
        <v>0.93</v>
      </c>
      <c r="G1154" s="33"/>
      <c r="H1154" s="33">
        <f t="shared" si="151"/>
        <v>0.93</v>
      </c>
      <c r="I1154" s="34" t="s">
        <v>90</v>
      </c>
      <c r="J1154" s="99">
        <f>+'[3]Dự thầu'!$G595</f>
        <v>25311519</v>
      </c>
      <c r="K1154" s="98">
        <f t="shared" si="148"/>
        <v>23539713</v>
      </c>
      <c r="L1154" s="98">
        <f t="shared" si="152"/>
        <v>0</v>
      </c>
      <c r="M1154" s="98">
        <f t="shared" si="149"/>
        <v>23539713</v>
      </c>
      <c r="N1154" s="100"/>
    </row>
    <row r="1155" spans="1:14" ht="15.75" customHeight="1" x14ac:dyDescent="0.25">
      <c r="A1155" s="52" t="str">
        <f t="shared" si="150"/>
        <v>HT</v>
      </c>
      <c r="B1155" s="32" t="s">
        <v>1570</v>
      </c>
      <c r="C1155" s="33">
        <v>1150</v>
      </c>
      <c r="D1155" s="39" t="s">
        <v>497</v>
      </c>
      <c r="E1155" s="33" t="s">
        <v>10</v>
      </c>
      <c r="F1155" s="33">
        <v>8.4</v>
      </c>
      <c r="G1155" s="33"/>
      <c r="H1155" s="33">
        <f t="shared" si="151"/>
        <v>8.4</v>
      </c>
      <c r="I1155" s="34" t="s">
        <v>13</v>
      </c>
      <c r="J1155" s="99">
        <f>+'[3]Dự thầu'!$G596</f>
        <v>65242</v>
      </c>
      <c r="K1155" s="98">
        <f t="shared" si="148"/>
        <v>548033</v>
      </c>
      <c r="L1155" s="98">
        <f t="shared" si="152"/>
        <v>0</v>
      </c>
      <c r="M1155" s="98">
        <f t="shared" si="149"/>
        <v>548033</v>
      </c>
      <c r="N1155" s="100"/>
    </row>
    <row r="1156" spans="1:14" ht="15.75" customHeight="1" x14ac:dyDescent="0.25">
      <c r="A1156" s="52" t="str">
        <f t="shared" si="150"/>
        <v>HT</v>
      </c>
      <c r="B1156" s="32" t="s">
        <v>1571</v>
      </c>
      <c r="C1156" s="33">
        <v>1151</v>
      </c>
      <c r="D1156" s="39" t="s">
        <v>1572</v>
      </c>
      <c r="E1156" s="33" t="s">
        <v>10</v>
      </c>
      <c r="F1156" s="33">
        <v>392</v>
      </c>
      <c r="G1156" s="33"/>
      <c r="H1156" s="33">
        <f t="shared" si="151"/>
        <v>392</v>
      </c>
      <c r="I1156" s="34" t="s">
        <v>258</v>
      </c>
      <c r="J1156" s="99">
        <f>+'[3]Dự thầu'!$G597</f>
        <v>6367</v>
      </c>
      <c r="K1156" s="98">
        <f t="shared" si="148"/>
        <v>2495864</v>
      </c>
      <c r="L1156" s="98">
        <f t="shared" si="152"/>
        <v>0</v>
      </c>
      <c r="M1156" s="98">
        <f t="shared" si="149"/>
        <v>2495864</v>
      </c>
      <c r="N1156" s="100"/>
    </row>
    <row r="1157" spans="1:14" ht="15.75" customHeight="1" x14ac:dyDescent="0.25">
      <c r="A1157" s="52" t="str">
        <f t="shared" si="150"/>
        <v>HT</v>
      </c>
      <c r="B1157" s="32" t="s">
        <v>1573</v>
      </c>
      <c r="C1157" s="33">
        <v>1152</v>
      </c>
      <c r="D1157" s="39" t="s">
        <v>1574</v>
      </c>
      <c r="E1157" s="33" t="s">
        <v>10</v>
      </c>
      <c r="F1157" s="33">
        <v>0.56999999999999995</v>
      </c>
      <c r="G1157" s="33"/>
      <c r="H1157" s="33">
        <f t="shared" si="151"/>
        <v>0.56999999999999995</v>
      </c>
      <c r="I1157" s="34" t="s">
        <v>90</v>
      </c>
      <c r="J1157" s="99">
        <f>+'[3]Dự thầu'!$G598</f>
        <v>31922068</v>
      </c>
      <c r="K1157" s="98">
        <f t="shared" si="148"/>
        <v>18195579</v>
      </c>
      <c r="L1157" s="98">
        <f t="shared" si="152"/>
        <v>0</v>
      </c>
      <c r="M1157" s="98">
        <f t="shared" si="149"/>
        <v>18195579</v>
      </c>
      <c r="N1157" s="100"/>
    </row>
    <row r="1158" spans="1:14" ht="15.75" customHeight="1" x14ac:dyDescent="0.25">
      <c r="A1158" s="52" t="str">
        <f t="shared" si="150"/>
        <v>HT</v>
      </c>
      <c r="B1158" s="32" t="s">
        <v>1575</v>
      </c>
      <c r="C1158" s="33">
        <v>1153</v>
      </c>
      <c r="D1158" s="39" t="s">
        <v>1576</v>
      </c>
      <c r="E1158" s="33" t="s">
        <v>10</v>
      </c>
      <c r="F1158" s="33">
        <v>0.56999999999999995</v>
      </c>
      <c r="G1158" s="33"/>
      <c r="H1158" s="33">
        <f t="shared" si="151"/>
        <v>0.56999999999999995</v>
      </c>
      <c r="I1158" s="34" t="s">
        <v>90</v>
      </c>
      <c r="J1158" s="99">
        <f>+'[3]Dự thầu'!$G599</f>
        <v>5329201</v>
      </c>
      <c r="K1158" s="98">
        <f t="shared" si="148"/>
        <v>3037645</v>
      </c>
      <c r="L1158" s="98">
        <f t="shared" si="152"/>
        <v>0</v>
      </c>
      <c r="M1158" s="98">
        <f t="shared" si="149"/>
        <v>3037645</v>
      </c>
      <c r="N1158" s="100"/>
    </row>
    <row r="1159" spans="1:14" ht="15.75" customHeight="1" x14ac:dyDescent="0.25">
      <c r="A1159" s="52" t="str">
        <f t="shared" si="150"/>
        <v>HT</v>
      </c>
      <c r="B1159" s="32" t="s">
        <v>1577</v>
      </c>
      <c r="C1159" s="33">
        <v>1154</v>
      </c>
      <c r="D1159" s="39" t="s">
        <v>1230</v>
      </c>
      <c r="E1159" s="33" t="s">
        <v>10</v>
      </c>
      <c r="F1159" s="33">
        <v>0.56999999999999995</v>
      </c>
      <c r="G1159" s="33"/>
      <c r="H1159" s="33">
        <f t="shared" si="151"/>
        <v>0.56999999999999995</v>
      </c>
      <c r="I1159" s="34" t="s">
        <v>90</v>
      </c>
      <c r="J1159" s="99">
        <f>+'[3]Dự thầu'!$G600</f>
        <v>9028655</v>
      </c>
      <c r="K1159" s="98">
        <f t="shared" ref="K1159:K1222" si="153">+ROUND(J1159*F1159,0)</f>
        <v>5146333</v>
      </c>
      <c r="L1159" s="98">
        <f t="shared" si="152"/>
        <v>0</v>
      </c>
      <c r="M1159" s="98">
        <f t="shared" ref="M1159:M1222" si="154">+ROUND(H1159*J1159,0)</f>
        <v>5146333</v>
      </c>
      <c r="N1159" s="100"/>
    </row>
    <row r="1160" spans="1:14" ht="15.75" customHeight="1" x14ac:dyDescent="0.25">
      <c r="A1160" s="52" t="str">
        <f t="shared" si="150"/>
        <v>HT</v>
      </c>
      <c r="B1160" s="32" t="s">
        <v>1578</v>
      </c>
      <c r="C1160" s="33">
        <v>1155</v>
      </c>
      <c r="D1160" s="39" t="s">
        <v>1579</v>
      </c>
      <c r="E1160" s="33" t="s">
        <v>10</v>
      </c>
      <c r="F1160" s="33">
        <v>73.823599999999999</v>
      </c>
      <c r="G1160" s="33"/>
      <c r="H1160" s="33">
        <f t="shared" si="151"/>
        <v>73.823599999999999</v>
      </c>
      <c r="I1160" s="34" t="s">
        <v>16</v>
      </c>
      <c r="J1160" s="99">
        <f>+'[3]Dự thầu'!$G601</f>
        <v>1878060</v>
      </c>
      <c r="K1160" s="98">
        <f t="shared" si="153"/>
        <v>138645150</v>
      </c>
      <c r="L1160" s="98">
        <f t="shared" si="152"/>
        <v>0</v>
      </c>
      <c r="M1160" s="98">
        <f t="shared" si="154"/>
        <v>138645150</v>
      </c>
      <c r="N1160" s="100"/>
    </row>
    <row r="1161" spans="1:14" ht="31.5" customHeight="1" x14ac:dyDescent="0.25">
      <c r="A1161" s="52" t="str">
        <f t="shared" si="150"/>
        <v>HT</v>
      </c>
      <c r="B1161" s="32" t="s">
        <v>1580</v>
      </c>
      <c r="C1161" s="33">
        <v>1156</v>
      </c>
      <c r="D1161" s="39" t="s">
        <v>1581</v>
      </c>
      <c r="E1161" s="33" t="s">
        <v>10</v>
      </c>
      <c r="F1161" s="33">
        <v>448.89499999999998</v>
      </c>
      <c r="G1161" s="33"/>
      <c r="H1161" s="33">
        <f t="shared" si="151"/>
        <v>448.89499999999998</v>
      </c>
      <c r="I1161" s="34" t="s">
        <v>13</v>
      </c>
      <c r="J1161" s="99">
        <f>+'[3]Dự thầu'!$G602</f>
        <v>65242</v>
      </c>
      <c r="K1161" s="98">
        <f t="shared" si="153"/>
        <v>29286808</v>
      </c>
      <c r="L1161" s="98">
        <f t="shared" si="152"/>
        <v>0</v>
      </c>
      <c r="M1161" s="98">
        <f t="shared" si="154"/>
        <v>29286808</v>
      </c>
      <c r="N1161" s="100"/>
    </row>
    <row r="1162" spans="1:14" ht="15.75" customHeight="1" x14ac:dyDescent="0.25">
      <c r="A1162" s="52" t="str">
        <f t="shared" si="150"/>
        <v>HT</v>
      </c>
      <c r="B1162" s="32" t="s">
        <v>1582</v>
      </c>
      <c r="C1162" s="33">
        <v>1157</v>
      </c>
      <c r="D1162" s="39" t="s">
        <v>1583</v>
      </c>
      <c r="E1162" s="33" t="s">
        <v>10</v>
      </c>
      <c r="F1162" s="33">
        <v>13.4633</v>
      </c>
      <c r="G1162" s="33"/>
      <c r="H1162" s="33">
        <f t="shared" si="151"/>
        <v>13.4633</v>
      </c>
      <c r="I1162" s="34" t="s">
        <v>90</v>
      </c>
      <c r="J1162" s="99">
        <f>+'[3]Dự thầu'!$G603</f>
        <v>25032847</v>
      </c>
      <c r="K1162" s="98">
        <f t="shared" si="153"/>
        <v>337024729</v>
      </c>
      <c r="L1162" s="98">
        <f t="shared" si="152"/>
        <v>0</v>
      </c>
      <c r="M1162" s="98">
        <f t="shared" si="154"/>
        <v>337024729</v>
      </c>
      <c r="N1162" s="100"/>
    </row>
    <row r="1163" spans="1:14" ht="15.75" customHeight="1" x14ac:dyDescent="0.25">
      <c r="A1163" s="52" t="str">
        <f t="shared" si="150"/>
        <v>HT</v>
      </c>
      <c r="B1163" s="32" t="s">
        <v>1584</v>
      </c>
      <c r="C1163" s="33">
        <v>1158</v>
      </c>
      <c r="D1163" s="39" t="s">
        <v>1585</v>
      </c>
      <c r="E1163" s="33" t="s">
        <v>10</v>
      </c>
      <c r="F1163" s="33">
        <v>13.2667</v>
      </c>
      <c r="G1163" s="33"/>
      <c r="H1163" s="33">
        <f t="shared" si="151"/>
        <v>13.2667</v>
      </c>
      <c r="I1163" s="34" t="s">
        <v>90</v>
      </c>
      <c r="J1163" s="99">
        <f>+'[3]Dự thầu'!$G604</f>
        <v>40797367</v>
      </c>
      <c r="K1163" s="98">
        <f t="shared" si="153"/>
        <v>541246429</v>
      </c>
      <c r="L1163" s="98">
        <f t="shared" si="152"/>
        <v>0</v>
      </c>
      <c r="M1163" s="98">
        <f t="shared" si="154"/>
        <v>541246429</v>
      </c>
      <c r="N1163" s="100"/>
    </row>
    <row r="1164" spans="1:14" ht="15.75" customHeight="1" x14ac:dyDescent="0.25">
      <c r="A1164" s="52" t="str">
        <f t="shared" si="150"/>
        <v>HT</v>
      </c>
      <c r="B1164" s="32" t="s">
        <v>1586</v>
      </c>
      <c r="C1164" s="33">
        <v>1159</v>
      </c>
      <c r="D1164" s="39" t="s">
        <v>1587</v>
      </c>
      <c r="E1164" s="33" t="s">
        <v>10</v>
      </c>
      <c r="F1164" s="33">
        <v>13.2667</v>
      </c>
      <c r="G1164" s="33"/>
      <c r="H1164" s="33">
        <f t="shared" si="151"/>
        <v>13.2667</v>
      </c>
      <c r="I1164" s="34" t="s">
        <v>90</v>
      </c>
      <c r="J1164" s="99">
        <f>+'[3]Dự thầu'!$G605</f>
        <v>3788899</v>
      </c>
      <c r="K1164" s="98">
        <f t="shared" si="153"/>
        <v>50266186</v>
      </c>
      <c r="L1164" s="98">
        <f t="shared" si="152"/>
        <v>0</v>
      </c>
      <c r="M1164" s="98">
        <f t="shared" si="154"/>
        <v>50266186</v>
      </c>
      <c r="N1164" s="100"/>
    </row>
    <row r="1165" spans="1:14" ht="15.75" customHeight="1" x14ac:dyDescent="0.25">
      <c r="A1165" s="52" t="str">
        <f t="shared" si="150"/>
        <v>HT</v>
      </c>
      <c r="B1165" s="32" t="s">
        <v>1588</v>
      </c>
      <c r="C1165" s="33">
        <v>1160</v>
      </c>
      <c r="D1165" s="39" t="s">
        <v>1589</v>
      </c>
      <c r="E1165" s="33" t="s">
        <v>10</v>
      </c>
      <c r="F1165" s="33">
        <v>276.88</v>
      </c>
      <c r="G1165" s="33"/>
      <c r="H1165" s="33">
        <f t="shared" si="151"/>
        <v>276.88</v>
      </c>
      <c r="I1165" s="34" t="s">
        <v>75</v>
      </c>
      <c r="J1165" s="99">
        <f>+'[3]Dự thầu'!$G606</f>
        <v>94291</v>
      </c>
      <c r="K1165" s="98">
        <f t="shared" si="153"/>
        <v>26107292</v>
      </c>
      <c r="L1165" s="98">
        <f t="shared" si="152"/>
        <v>0</v>
      </c>
      <c r="M1165" s="98">
        <f t="shared" si="154"/>
        <v>26107292</v>
      </c>
      <c r="N1165" s="100"/>
    </row>
    <row r="1166" spans="1:14" ht="15.75" customHeight="1" x14ac:dyDescent="0.25">
      <c r="A1166" s="52" t="str">
        <f t="shared" si="150"/>
        <v>HT</v>
      </c>
      <c r="B1166" s="32" t="s">
        <v>1590</v>
      </c>
      <c r="C1166" s="33">
        <v>1161</v>
      </c>
      <c r="D1166" s="39" t="s">
        <v>1591</v>
      </c>
      <c r="E1166" s="33" t="s">
        <v>10</v>
      </c>
      <c r="F1166" s="33">
        <v>12</v>
      </c>
      <c r="G1166" s="33"/>
      <c r="H1166" s="33">
        <f t="shared" si="151"/>
        <v>12</v>
      </c>
      <c r="I1166" s="34" t="s">
        <v>75</v>
      </c>
      <c r="J1166" s="99">
        <f>+'[3]Dự thầu'!$G607</f>
        <v>57483</v>
      </c>
      <c r="K1166" s="98">
        <f t="shared" si="153"/>
        <v>689796</v>
      </c>
      <c r="L1166" s="98">
        <f t="shared" si="152"/>
        <v>0</v>
      </c>
      <c r="M1166" s="98">
        <f t="shared" si="154"/>
        <v>689796</v>
      </c>
      <c r="N1166" s="100"/>
    </row>
    <row r="1167" spans="1:14" ht="15.75" customHeight="1" x14ac:dyDescent="0.25">
      <c r="A1167" s="52" t="str">
        <f t="shared" si="150"/>
        <v>HT</v>
      </c>
      <c r="B1167" s="32" t="s">
        <v>1592</v>
      </c>
      <c r="C1167" s="33">
        <v>1162</v>
      </c>
      <c r="D1167" s="39" t="s">
        <v>1593</v>
      </c>
      <c r="E1167" s="33" t="s">
        <v>10</v>
      </c>
      <c r="F1167" s="33">
        <v>388</v>
      </c>
      <c r="G1167" s="33"/>
      <c r="H1167" s="33">
        <f t="shared" si="151"/>
        <v>388</v>
      </c>
      <c r="I1167" s="34" t="s">
        <v>258</v>
      </c>
      <c r="J1167" s="99">
        <f>+'[3]Dự thầu'!$G608</f>
        <v>6367</v>
      </c>
      <c r="K1167" s="98">
        <f t="shared" si="153"/>
        <v>2470396</v>
      </c>
      <c r="L1167" s="98">
        <f t="shared" si="152"/>
        <v>0</v>
      </c>
      <c r="M1167" s="98">
        <f t="shared" si="154"/>
        <v>2470396</v>
      </c>
      <c r="N1167" s="100"/>
    </row>
    <row r="1168" spans="1:14" ht="15.75" customHeight="1" x14ac:dyDescent="0.25">
      <c r="A1168" s="52" t="str">
        <f t="shared" si="150"/>
        <v>HT</v>
      </c>
      <c r="B1168" s="32" t="s">
        <v>1594</v>
      </c>
      <c r="C1168" s="33">
        <v>1163</v>
      </c>
      <c r="D1168" s="39" t="s">
        <v>1595</v>
      </c>
      <c r="E1168" s="33" t="s">
        <v>10</v>
      </c>
      <c r="F1168" s="33">
        <v>60.302700000000002</v>
      </c>
      <c r="G1168" s="33"/>
      <c r="H1168" s="33">
        <f t="shared" si="151"/>
        <v>60.302700000000002</v>
      </c>
      <c r="I1168" s="34" t="s">
        <v>16</v>
      </c>
      <c r="J1168" s="99">
        <f>+'[3]Dự thầu'!$G609</f>
        <v>1719728</v>
      </c>
      <c r="K1168" s="98">
        <f t="shared" si="153"/>
        <v>103704242</v>
      </c>
      <c r="L1168" s="98">
        <f t="shared" si="152"/>
        <v>0</v>
      </c>
      <c r="M1168" s="98">
        <f t="shared" si="154"/>
        <v>103704242</v>
      </c>
      <c r="N1168" s="100"/>
    </row>
    <row r="1169" spans="1:14" ht="15.75" customHeight="1" x14ac:dyDescent="0.25">
      <c r="A1169" s="52" t="str">
        <f t="shared" si="150"/>
        <v>HT</v>
      </c>
      <c r="B1169" s="32" t="s">
        <v>1596</v>
      </c>
      <c r="C1169" s="33">
        <v>1164</v>
      </c>
      <c r="D1169" s="39" t="s">
        <v>1597</v>
      </c>
      <c r="E1169" s="33" t="s">
        <v>10</v>
      </c>
      <c r="F1169" s="33">
        <v>18.177900000000001</v>
      </c>
      <c r="G1169" s="33"/>
      <c r="H1169" s="33">
        <f t="shared" si="151"/>
        <v>18.177900000000001</v>
      </c>
      <c r="I1169" s="34" t="s">
        <v>90</v>
      </c>
      <c r="J1169" s="99">
        <f>+'[3]Dự thầu'!$G610</f>
        <v>27101433</v>
      </c>
      <c r="K1169" s="98">
        <f t="shared" si="153"/>
        <v>492647139</v>
      </c>
      <c r="L1169" s="98">
        <f t="shared" si="152"/>
        <v>0</v>
      </c>
      <c r="M1169" s="98">
        <f t="shared" si="154"/>
        <v>492647139</v>
      </c>
      <c r="N1169" s="100"/>
    </row>
    <row r="1170" spans="1:14" ht="15.75" customHeight="1" x14ac:dyDescent="0.25">
      <c r="A1170" s="52" t="str">
        <f t="shared" si="150"/>
        <v>HT</v>
      </c>
      <c r="B1170" s="32" t="s">
        <v>1598</v>
      </c>
      <c r="C1170" s="33">
        <v>1165</v>
      </c>
      <c r="D1170" s="39" t="s">
        <v>497</v>
      </c>
      <c r="E1170" s="33" t="s">
        <v>10</v>
      </c>
      <c r="F1170" s="33">
        <v>273.21600000000001</v>
      </c>
      <c r="G1170" s="33"/>
      <c r="H1170" s="33">
        <f t="shared" si="151"/>
        <v>273.21600000000001</v>
      </c>
      <c r="I1170" s="34" t="s">
        <v>13</v>
      </c>
      <c r="J1170" s="99">
        <f>+'[3]Dự thầu'!$G611</f>
        <v>86606</v>
      </c>
      <c r="K1170" s="98">
        <f t="shared" si="153"/>
        <v>23662145</v>
      </c>
      <c r="L1170" s="98">
        <f t="shared" si="152"/>
        <v>0</v>
      </c>
      <c r="M1170" s="98">
        <f t="shared" si="154"/>
        <v>23662145</v>
      </c>
      <c r="N1170" s="100"/>
    </row>
    <row r="1171" spans="1:14" ht="15.75" customHeight="1" x14ac:dyDescent="0.25">
      <c r="A1171" s="52" t="str">
        <f t="shared" si="150"/>
        <v>HT</v>
      </c>
      <c r="B1171" s="32" t="s">
        <v>1599</v>
      </c>
      <c r="C1171" s="33">
        <v>1166</v>
      </c>
      <c r="D1171" s="39" t="s">
        <v>1600</v>
      </c>
      <c r="E1171" s="33" t="s">
        <v>10</v>
      </c>
      <c r="F1171" s="33">
        <v>272</v>
      </c>
      <c r="G1171" s="33"/>
      <c r="H1171" s="33">
        <f t="shared" si="151"/>
        <v>272</v>
      </c>
      <c r="I1171" s="34" t="s">
        <v>297</v>
      </c>
      <c r="J1171" s="99">
        <f>+'[3]Dự thầu'!$G612</f>
        <v>36395</v>
      </c>
      <c r="K1171" s="98">
        <f t="shared" si="153"/>
        <v>9899440</v>
      </c>
      <c r="L1171" s="98">
        <f t="shared" si="152"/>
        <v>0</v>
      </c>
      <c r="M1171" s="98">
        <f t="shared" si="154"/>
        <v>9899440</v>
      </c>
      <c r="N1171" s="100"/>
    </row>
    <row r="1172" spans="1:14" ht="47.25" customHeight="1" x14ac:dyDescent="0.25">
      <c r="A1172" s="52" t="str">
        <f t="shared" si="150"/>
        <v>HT</v>
      </c>
      <c r="B1172" s="32" t="s">
        <v>1601</v>
      </c>
      <c r="C1172" s="33">
        <v>1167</v>
      </c>
      <c r="D1172" s="39" t="s">
        <v>910</v>
      </c>
      <c r="E1172" s="33" t="s">
        <v>10</v>
      </c>
      <c r="F1172" s="33">
        <v>272</v>
      </c>
      <c r="G1172" s="33"/>
      <c r="H1172" s="33">
        <f t="shared" si="151"/>
        <v>272</v>
      </c>
      <c r="I1172" s="34" t="s">
        <v>250</v>
      </c>
      <c r="J1172" s="99">
        <f>+'[3]Dự thầu'!$G613</f>
        <v>69167</v>
      </c>
      <c r="K1172" s="98">
        <f t="shared" si="153"/>
        <v>18813424</v>
      </c>
      <c r="L1172" s="98">
        <f t="shared" si="152"/>
        <v>0</v>
      </c>
      <c r="M1172" s="98">
        <f t="shared" si="154"/>
        <v>18813424</v>
      </c>
      <c r="N1172" s="100"/>
    </row>
    <row r="1173" spans="1:14" ht="47.25" customHeight="1" x14ac:dyDescent="0.25">
      <c r="A1173" s="52" t="str">
        <f t="shared" ref="A1173:A1236" si="155">A1172</f>
        <v>HT</v>
      </c>
      <c r="B1173" s="32" t="s">
        <v>1602</v>
      </c>
      <c r="C1173" s="33">
        <v>1168</v>
      </c>
      <c r="D1173" s="39" t="s">
        <v>876</v>
      </c>
      <c r="E1173" s="33" t="s">
        <v>10</v>
      </c>
      <c r="F1173" s="33">
        <v>272</v>
      </c>
      <c r="G1173" s="33"/>
      <c r="H1173" s="33">
        <f t="shared" ref="H1173:H1236" si="156">+F1173</f>
        <v>272</v>
      </c>
      <c r="I1173" s="34" t="s">
        <v>250</v>
      </c>
      <c r="J1173" s="99">
        <f>+'[3]Dự thầu'!$G614</f>
        <v>52812</v>
      </c>
      <c r="K1173" s="98">
        <f t="shared" si="153"/>
        <v>14364864</v>
      </c>
      <c r="L1173" s="98">
        <f t="shared" si="152"/>
        <v>0</v>
      </c>
      <c r="M1173" s="98">
        <f t="shared" si="154"/>
        <v>14364864</v>
      </c>
      <c r="N1173" s="100"/>
    </row>
    <row r="1174" spans="1:14" ht="31.5" customHeight="1" x14ac:dyDescent="0.25">
      <c r="A1174" s="52" t="str">
        <f t="shared" si="155"/>
        <v>HT</v>
      </c>
      <c r="B1174" s="32" t="s">
        <v>1603</v>
      </c>
      <c r="C1174" s="33">
        <v>1169</v>
      </c>
      <c r="D1174" s="39" t="s">
        <v>284</v>
      </c>
      <c r="E1174" s="33" t="s">
        <v>10</v>
      </c>
      <c r="F1174" s="33">
        <v>15.075699999999999</v>
      </c>
      <c r="G1174" s="33"/>
      <c r="H1174" s="33">
        <f t="shared" si="156"/>
        <v>15.075699999999999</v>
      </c>
      <c r="I1174" s="34" t="s">
        <v>253</v>
      </c>
      <c r="J1174" s="99">
        <f>+'[3]Dự thầu'!$G615</f>
        <v>36271</v>
      </c>
      <c r="K1174" s="98">
        <f t="shared" si="153"/>
        <v>546811</v>
      </c>
      <c r="L1174" s="98">
        <f t="shared" si="152"/>
        <v>0</v>
      </c>
      <c r="M1174" s="98">
        <f t="shared" si="154"/>
        <v>546811</v>
      </c>
      <c r="N1174" s="100"/>
    </row>
    <row r="1175" spans="1:14" ht="15.75" customHeight="1" x14ac:dyDescent="0.25">
      <c r="A1175" s="52" t="str">
        <f t="shared" si="155"/>
        <v>HT</v>
      </c>
      <c r="B1175" s="32" t="s">
        <v>1604</v>
      </c>
      <c r="C1175" s="33">
        <v>1170</v>
      </c>
      <c r="D1175" s="39" t="s">
        <v>1605</v>
      </c>
      <c r="E1175" s="33" t="s">
        <v>10</v>
      </c>
      <c r="F1175" s="33">
        <v>488.00099999999998</v>
      </c>
      <c r="G1175" s="33"/>
      <c r="H1175" s="33">
        <f t="shared" si="156"/>
        <v>488.00099999999998</v>
      </c>
      <c r="I1175" s="34" t="s">
        <v>13</v>
      </c>
      <c r="J1175" s="99">
        <f>+'[3]Dự thầu'!$G616</f>
        <v>214840</v>
      </c>
      <c r="K1175" s="98">
        <f t="shared" si="153"/>
        <v>104842135</v>
      </c>
      <c r="L1175" s="98">
        <f t="shared" si="152"/>
        <v>0</v>
      </c>
      <c r="M1175" s="98">
        <f t="shared" si="154"/>
        <v>104842135</v>
      </c>
      <c r="N1175" s="100"/>
    </row>
    <row r="1176" spans="1:14" ht="15.75" customHeight="1" x14ac:dyDescent="0.25">
      <c r="A1176" s="52" t="str">
        <f t="shared" si="155"/>
        <v>HT</v>
      </c>
      <c r="B1176" s="32" t="s">
        <v>1606</v>
      </c>
      <c r="C1176" s="33">
        <v>1171</v>
      </c>
      <c r="D1176" s="39" t="s">
        <v>661</v>
      </c>
      <c r="E1176" s="33" t="s">
        <v>10</v>
      </c>
      <c r="F1176" s="33">
        <v>9.76</v>
      </c>
      <c r="G1176" s="33"/>
      <c r="H1176" s="33">
        <f t="shared" si="156"/>
        <v>9.76</v>
      </c>
      <c r="I1176" s="34" t="s">
        <v>13</v>
      </c>
      <c r="J1176" s="99">
        <f>+'[3]Dự thầu'!$G617</f>
        <v>72975</v>
      </c>
      <c r="K1176" s="98">
        <f t="shared" si="153"/>
        <v>712236</v>
      </c>
      <c r="L1176" s="98">
        <f t="shared" si="152"/>
        <v>0</v>
      </c>
      <c r="M1176" s="98">
        <f t="shared" si="154"/>
        <v>712236</v>
      </c>
      <c r="N1176" s="100"/>
    </row>
    <row r="1177" spans="1:14" ht="31.5" customHeight="1" x14ac:dyDescent="0.25">
      <c r="A1177" s="52" t="str">
        <f t="shared" si="155"/>
        <v>HT</v>
      </c>
      <c r="B1177" s="32" t="s">
        <v>1607</v>
      </c>
      <c r="C1177" s="33">
        <v>1172</v>
      </c>
      <c r="D1177" s="39" t="s">
        <v>1608</v>
      </c>
      <c r="E1177" s="33" t="s">
        <v>10</v>
      </c>
      <c r="F1177" s="33">
        <v>123.12</v>
      </c>
      <c r="G1177" s="33"/>
      <c r="H1177" s="33">
        <f t="shared" si="156"/>
        <v>123.12</v>
      </c>
      <c r="I1177" s="34" t="s">
        <v>362</v>
      </c>
      <c r="J1177" s="99">
        <f>+'[3]Dự thầu'!$G618</f>
        <v>1351063</v>
      </c>
      <c r="K1177" s="98">
        <f t="shared" si="153"/>
        <v>166342877</v>
      </c>
      <c r="L1177" s="98">
        <f t="shared" si="152"/>
        <v>0</v>
      </c>
      <c r="M1177" s="98">
        <f t="shared" si="154"/>
        <v>166342877</v>
      </c>
      <c r="N1177" s="100"/>
    </row>
    <row r="1178" spans="1:14" ht="15.75" customHeight="1" x14ac:dyDescent="0.25">
      <c r="A1178" s="52" t="str">
        <f t="shared" si="155"/>
        <v>HT</v>
      </c>
      <c r="B1178" s="32" t="s">
        <v>1609</v>
      </c>
      <c r="C1178" s="33">
        <v>1173</v>
      </c>
      <c r="D1178" s="39" t="s">
        <v>1610</v>
      </c>
      <c r="E1178" s="33" t="s">
        <v>10</v>
      </c>
      <c r="F1178" s="33">
        <v>24</v>
      </c>
      <c r="G1178" s="33"/>
      <c r="H1178" s="33">
        <f t="shared" si="156"/>
        <v>24</v>
      </c>
      <c r="I1178" s="34" t="s">
        <v>428</v>
      </c>
      <c r="J1178" s="99">
        <f>+'[3]Dự thầu'!$G619</f>
        <v>174876</v>
      </c>
      <c r="K1178" s="98">
        <f t="shared" si="153"/>
        <v>4197024</v>
      </c>
      <c r="L1178" s="98">
        <f t="shared" si="152"/>
        <v>0</v>
      </c>
      <c r="M1178" s="98">
        <f t="shared" si="154"/>
        <v>4197024</v>
      </c>
      <c r="N1178" s="100"/>
    </row>
    <row r="1179" spans="1:14" ht="15.75" customHeight="1" x14ac:dyDescent="0.25">
      <c r="A1179" s="52" t="str">
        <f t="shared" si="155"/>
        <v>HT</v>
      </c>
      <c r="B1179" s="32" t="s">
        <v>1611</v>
      </c>
      <c r="C1179" s="33">
        <v>1174</v>
      </c>
      <c r="D1179" s="39" t="s">
        <v>1612</v>
      </c>
      <c r="E1179" s="33" t="s">
        <v>10</v>
      </c>
      <c r="F1179" s="33">
        <v>42</v>
      </c>
      <c r="G1179" s="33"/>
      <c r="H1179" s="33">
        <f t="shared" si="156"/>
        <v>42</v>
      </c>
      <c r="I1179" s="34" t="s">
        <v>1613</v>
      </c>
      <c r="J1179" s="99">
        <f>+'[3]Dự thầu'!$G620</f>
        <v>679609</v>
      </c>
      <c r="K1179" s="98">
        <f t="shared" si="153"/>
        <v>28543578</v>
      </c>
      <c r="L1179" s="98">
        <f t="shared" si="152"/>
        <v>0</v>
      </c>
      <c r="M1179" s="98">
        <f t="shared" si="154"/>
        <v>28543578</v>
      </c>
      <c r="N1179" s="100"/>
    </row>
    <row r="1180" spans="1:14" ht="31.5" customHeight="1" x14ac:dyDescent="0.25">
      <c r="A1180" s="52" t="str">
        <f t="shared" si="155"/>
        <v>HT</v>
      </c>
      <c r="B1180" s="32" t="s">
        <v>1614</v>
      </c>
      <c r="C1180" s="33">
        <v>1175</v>
      </c>
      <c r="D1180" s="39" t="s">
        <v>1615</v>
      </c>
      <c r="E1180" s="33" t="s">
        <v>10</v>
      </c>
      <c r="F1180" s="33">
        <v>28</v>
      </c>
      <c r="G1180" s="33"/>
      <c r="H1180" s="33">
        <f t="shared" si="156"/>
        <v>28</v>
      </c>
      <c r="I1180" s="34" t="s">
        <v>1616</v>
      </c>
      <c r="J1180" s="99">
        <f>+'[3]Dự thầu'!$G621</f>
        <v>284010</v>
      </c>
      <c r="K1180" s="98">
        <f t="shared" si="153"/>
        <v>7952280</v>
      </c>
      <c r="L1180" s="98">
        <f t="shared" si="152"/>
        <v>0</v>
      </c>
      <c r="M1180" s="98">
        <f t="shared" si="154"/>
        <v>7952280</v>
      </c>
      <c r="N1180" s="100"/>
    </row>
    <row r="1181" spans="1:14" ht="31.5" customHeight="1" x14ac:dyDescent="0.25">
      <c r="A1181" s="52" t="str">
        <f t="shared" si="155"/>
        <v>HT</v>
      </c>
      <c r="B1181" s="32" t="s">
        <v>1617</v>
      </c>
      <c r="C1181" s="33">
        <v>1176</v>
      </c>
      <c r="D1181" s="39" t="s">
        <v>1618</v>
      </c>
      <c r="E1181" s="33" t="s">
        <v>10</v>
      </c>
      <c r="F1181" s="33">
        <v>14</v>
      </c>
      <c r="G1181" s="33"/>
      <c r="H1181" s="33">
        <f t="shared" si="156"/>
        <v>14</v>
      </c>
      <c r="I1181" s="34" t="s">
        <v>1616</v>
      </c>
      <c r="J1181" s="99">
        <f>+'[3]Dự thầu'!$G622</f>
        <v>325457</v>
      </c>
      <c r="K1181" s="98">
        <f t="shared" si="153"/>
        <v>4556398</v>
      </c>
      <c r="L1181" s="98">
        <f t="shared" si="152"/>
        <v>0</v>
      </c>
      <c r="M1181" s="98">
        <f t="shared" si="154"/>
        <v>4556398</v>
      </c>
      <c r="N1181" s="100"/>
    </row>
    <row r="1182" spans="1:14" ht="15.75" customHeight="1" x14ac:dyDescent="0.25">
      <c r="A1182" s="52" t="str">
        <f t="shared" si="155"/>
        <v>HT</v>
      </c>
      <c r="B1182" s="32" t="s">
        <v>1619</v>
      </c>
      <c r="C1182" s="33">
        <v>1177</v>
      </c>
      <c r="D1182" s="39" t="s">
        <v>1620</v>
      </c>
      <c r="E1182" s="33" t="s">
        <v>10</v>
      </c>
      <c r="F1182" s="33">
        <v>28</v>
      </c>
      <c r="G1182" s="33"/>
      <c r="H1182" s="33">
        <f t="shared" si="156"/>
        <v>28</v>
      </c>
      <c r="I1182" s="34" t="s">
        <v>1613</v>
      </c>
      <c r="J1182" s="99">
        <f>+'[3]Dự thầu'!$G623</f>
        <v>6759106</v>
      </c>
      <c r="K1182" s="98">
        <f t="shared" si="153"/>
        <v>189254968</v>
      </c>
      <c r="L1182" s="98">
        <f t="shared" si="152"/>
        <v>0</v>
      </c>
      <c r="M1182" s="98">
        <f t="shared" si="154"/>
        <v>189254968</v>
      </c>
      <c r="N1182" s="100"/>
    </row>
    <row r="1183" spans="1:14" ht="15.75" customHeight="1" x14ac:dyDescent="0.25">
      <c r="A1183" s="52" t="str">
        <f t="shared" si="155"/>
        <v>HT</v>
      </c>
      <c r="B1183" s="32" t="s">
        <v>1621</v>
      </c>
      <c r="C1183" s="33">
        <v>1178</v>
      </c>
      <c r="D1183" s="39" t="s">
        <v>1622</v>
      </c>
      <c r="E1183" s="33" t="s">
        <v>10</v>
      </c>
      <c r="F1183" s="33">
        <v>14</v>
      </c>
      <c r="G1183" s="33"/>
      <c r="H1183" s="33">
        <f t="shared" si="156"/>
        <v>14</v>
      </c>
      <c r="I1183" s="34" t="s">
        <v>1613</v>
      </c>
      <c r="J1183" s="99">
        <f>+'[3]Dự thầu'!$G624</f>
        <v>8621833</v>
      </c>
      <c r="K1183" s="98">
        <f t="shared" si="153"/>
        <v>120705662</v>
      </c>
      <c r="L1183" s="98">
        <f t="shared" si="152"/>
        <v>0</v>
      </c>
      <c r="M1183" s="98">
        <f t="shared" si="154"/>
        <v>120705662</v>
      </c>
      <c r="N1183" s="100"/>
    </row>
    <row r="1184" spans="1:14" ht="15.75" customHeight="1" x14ac:dyDescent="0.25">
      <c r="A1184" s="52" t="str">
        <f t="shared" si="155"/>
        <v>HT</v>
      </c>
      <c r="B1184" s="32" t="s">
        <v>1623</v>
      </c>
      <c r="C1184" s="33">
        <v>1179</v>
      </c>
      <c r="D1184" s="39" t="s">
        <v>1624</v>
      </c>
      <c r="E1184" s="33" t="s">
        <v>10</v>
      </c>
      <c r="F1184" s="33">
        <v>17.329899999999999</v>
      </c>
      <c r="G1184" s="33"/>
      <c r="H1184" s="33">
        <f t="shared" si="156"/>
        <v>17.329899999999999</v>
      </c>
      <c r="I1184" s="34" t="s">
        <v>16</v>
      </c>
      <c r="J1184" s="99">
        <f>+'[3]Dự thầu'!$G625</f>
        <v>856271</v>
      </c>
      <c r="K1184" s="98">
        <f t="shared" si="153"/>
        <v>14839091</v>
      </c>
      <c r="L1184" s="98">
        <f t="shared" si="152"/>
        <v>0</v>
      </c>
      <c r="M1184" s="98">
        <f t="shared" si="154"/>
        <v>14839091</v>
      </c>
      <c r="N1184" s="100"/>
    </row>
    <row r="1185" spans="1:14" ht="15.75" customHeight="1" x14ac:dyDescent="0.25">
      <c r="A1185" s="52" t="str">
        <f t="shared" si="155"/>
        <v>HT</v>
      </c>
      <c r="B1185" s="32" t="s">
        <v>1625</v>
      </c>
      <c r="C1185" s="33">
        <v>1180</v>
      </c>
      <c r="D1185" s="39" t="s">
        <v>670</v>
      </c>
      <c r="E1185" s="33" t="s">
        <v>10</v>
      </c>
      <c r="F1185" s="33">
        <v>5.46</v>
      </c>
      <c r="G1185" s="33"/>
      <c r="H1185" s="33">
        <f t="shared" si="156"/>
        <v>5.46</v>
      </c>
      <c r="I1185" s="34" t="s">
        <v>16</v>
      </c>
      <c r="J1185" s="99">
        <f>+'[3]Dự thầu'!$G626</f>
        <v>1346046</v>
      </c>
      <c r="K1185" s="98">
        <f t="shared" si="153"/>
        <v>7349411</v>
      </c>
      <c r="L1185" s="98">
        <f t="shared" si="152"/>
        <v>0</v>
      </c>
      <c r="M1185" s="98">
        <f t="shared" si="154"/>
        <v>7349411</v>
      </c>
      <c r="N1185" s="100"/>
    </row>
    <row r="1186" spans="1:14" ht="15.75" customHeight="1" x14ac:dyDescent="0.25">
      <c r="A1186" s="52" t="str">
        <f t="shared" si="155"/>
        <v>HT</v>
      </c>
      <c r="B1186" s="32" t="s">
        <v>1626</v>
      </c>
      <c r="C1186" s="33">
        <v>1181</v>
      </c>
      <c r="D1186" s="39" t="s">
        <v>1627</v>
      </c>
      <c r="E1186" s="33" t="s">
        <v>10</v>
      </c>
      <c r="F1186" s="33">
        <v>16.388999999999999</v>
      </c>
      <c r="G1186" s="33"/>
      <c r="H1186" s="33">
        <f t="shared" si="156"/>
        <v>16.388999999999999</v>
      </c>
      <c r="I1186" s="34" t="s">
        <v>16</v>
      </c>
      <c r="J1186" s="99">
        <f>+'[3]Dự thầu'!$G627</f>
        <v>1731530</v>
      </c>
      <c r="K1186" s="98">
        <f t="shared" si="153"/>
        <v>28378045</v>
      </c>
      <c r="L1186" s="98">
        <f t="shared" si="152"/>
        <v>0</v>
      </c>
      <c r="M1186" s="98">
        <f t="shared" si="154"/>
        <v>28378045</v>
      </c>
      <c r="N1186" s="100"/>
    </row>
    <row r="1187" spans="1:14" ht="15.75" customHeight="1" x14ac:dyDescent="0.25">
      <c r="A1187" s="52" t="str">
        <f t="shared" si="155"/>
        <v>HT</v>
      </c>
      <c r="B1187" s="32" t="s">
        <v>1628</v>
      </c>
      <c r="C1187" s="33">
        <v>1182</v>
      </c>
      <c r="D1187" s="39" t="s">
        <v>1629</v>
      </c>
      <c r="E1187" s="33" t="s">
        <v>10</v>
      </c>
      <c r="F1187" s="33">
        <v>1.6393</v>
      </c>
      <c r="G1187" s="33"/>
      <c r="H1187" s="33">
        <f t="shared" si="156"/>
        <v>1.6393</v>
      </c>
      <c r="I1187" s="34" t="s">
        <v>90</v>
      </c>
      <c r="J1187" s="99">
        <f>+'[3]Dự thầu'!$G628</f>
        <v>24801577</v>
      </c>
      <c r="K1187" s="98">
        <f t="shared" si="153"/>
        <v>40657225</v>
      </c>
      <c r="L1187" s="98">
        <f t="shared" si="152"/>
        <v>0</v>
      </c>
      <c r="M1187" s="98">
        <f t="shared" si="154"/>
        <v>40657225</v>
      </c>
      <c r="N1187" s="100"/>
    </row>
    <row r="1188" spans="1:14" ht="15.75" customHeight="1" x14ac:dyDescent="0.25">
      <c r="A1188" s="52" t="str">
        <f t="shared" si="155"/>
        <v>HT</v>
      </c>
      <c r="B1188" s="32" t="s">
        <v>1630</v>
      </c>
      <c r="C1188" s="33">
        <v>1183</v>
      </c>
      <c r="D1188" s="39" t="s">
        <v>1631</v>
      </c>
      <c r="E1188" s="33" t="s">
        <v>10</v>
      </c>
      <c r="F1188" s="33">
        <v>71.14</v>
      </c>
      <c r="G1188" s="33"/>
      <c r="H1188" s="33">
        <f t="shared" si="156"/>
        <v>71.14</v>
      </c>
      <c r="I1188" s="34" t="s">
        <v>13</v>
      </c>
      <c r="J1188" s="99">
        <f>+'[3]Dự thầu'!$G629</f>
        <v>65242</v>
      </c>
      <c r="K1188" s="98">
        <f t="shared" si="153"/>
        <v>4641316</v>
      </c>
      <c r="L1188" s="98">
        <f t="shared" si="152"/>
        <v>0</v>
      </c>
      <c r="M1188" s="98">
        <f t="shared" si="154"/>
        <v>4641316</v>
      </c>
      <c r="N1188" s="100"/>
    </row>
    <row r="1189" spans="1:14" ht="15.75" customHeight="1" x14ac:dyDescent="0.25">
      <c r="A1189" s="52" t="str">
        <f t="shared" si="155"/>
        <v>HT</v>
      </c>
      <c r="B1189" s="32" t="s">
        <v>1632</v>
      </c>
      <c r="C1189" s="33">
        <v>1184</v>
      </c>
      <c r="D1189" s="39" t="s">
        <v>1633</v>
      </c>
      <c r="E1189" s="33" t="s">
        <v>10</v>
      </c>
      <c r="F1189" s="33">
        <v>16.388999999999999</v>
      </c>
      <c r="G1189" s="33"/>
      <c r="H1189" s="33">
        <f t="shared" si="156"/>
        <v>16.388999999999999</v>
      </c>
      <c r="I1189" s="34" t="s">
        <v>16</v>
      </c>
      <c r="J1189" s="99">
        <f>+'[3]Dự thầu'!$G630</f>
        <v>527970</v>
      </c>
      <c r="K1189" s="98">
        <f t="shared" si="153"/>
        <v>8652900</v>
      </c>
      <c r="L1189" s="98">
        <f t="shared" si="152"/>
        <v>0</v>
      </c>
      <c r="M1189" s="98">
        <f t="shared" si="154"/>
        <v>8652900</v>
      </c>
      <c r="N1189" s="100"/>
    </row>
    <row r="1190" spans="1:14" ht="15.75" customHeight="1" x14ac:dyDescent="0.25">
      <c r="A1190" s="52" t="str">
        <f t="shared" si="155"/>
        <v>HT</v>
      </c>
      <c r="B1190" s="32" t="s">
        <v>1634</v>
      </c>
      <c r="C1190" s="33">
        <v>1185</v>
      </c>
      <c r="D1190" s="39" t="s">
        <v>1635</v>
      </c>
      <c r="E1190" s="33" t="s">
        <v>10</v>
      </c>
      <c r="F1190" s="33">
        <v>5.46</v>
      </c>
      <c r="G1190" s="33"/>
      <c r="H1190" s="33">
        <f t="shared" si="156"/>
        <v>5.46</v>
      </c>
      <c r="I1190" s="34" t="s">
        <v>16</v>
      </c>
      <c r="J1190" s="99">
        <f>+'[3]Dự thầu'!$G631</f>
        <v>167496</v>
      </c>
      <c r="K1190" s="98">
        <f t="shared" si="153"/>
        <v>914528</v>
      </c>
      <c r="L1190" s="98">
        <f t="shared" si="152"/>
        <v>0</v>
      </c>
      <c r="M1190" s="98">
        <f t="shared" si="154"/>
        <v>914528</v>
      </c>
      <c r="N1190" s="100"/>
    </row>
    <row r="1191" spans="1:14" ht="15.75" customHeight="1" x14ac:dyDescent="0.25">
      <c r="A1191" s="52" t="str">
        <f t="shared" si="155"/>
        <v>HT</v>
      </c>
      <c r="B1191" s="32" t="s">
        <v>1636</v>
      </c>
      <c r="C1191" s="33">
        <v>1186</v>
      </c>
      <c r="D1191" s="39" t="s">
        <v>1635</v>
      </c>
      <c r="E1191" s="33" t="s">
        <v>10</v>
      </c>
      <c r="F1191" s="33">
        <v>17.329899999999999</v>
      </c>
      <c r="G1191" s="33"/>
      <c r="H1191" s="33">
        <f t="shared" si="156"/>
        <v>17.329899999999999</v>
      </c>
      <c r="I1191" s="34" t="s">
        <v>16</v>
      </c>
      <c r="J1191" s="99">
        <f>+'[3]Dự thầu'!$G632</f>
        <v>11436</v>
      </c>
      <c r="K1191" s="98">
        <f t="shared" si="153"/>
        <v>198185</v>
      </c>
      <c r="L1191" s="98">
        <f t="shared" si="152"/>
        <v>0</v>
      </c>
      <c r="M1191" s="98">
        <f t="shared" si="154"/>
        <v>198185</v>
      </c>
      <c r="N1191" s="100"/>
    </row>
    <row r="1192" spans="1:14" ht="15.75" customHeight="1" x14ac:dyDescent="0.25">
      <c r="A1192" s="52" t="str">
        <f t="shared" si="155"/>
        <v>HT</v>
      </c>
      <c r="B1192" s="32" t="s">
        <v>1637</v>
      </c>
      <c r="C1192" s="33">
        <v>1187</v>
      </c>
      <c r="D1192" s="39" t="s">
        <v>36</v>
      </c>
      <c r="E1192" s="33" t="s">
        <v>10</v>
      </c>
      <c r="F1192" s="33">
        <v>39.18</v>
      </c>
      <c r="G1192" s="33"/>
      <c r="H1192" s="33">
        <f t="shared" si="156"/>
        <v>39.18</v>
      </c>
      <c r="I1192" s="34" t="s">
        <v>16</v>
      </c>
      <c r="J1192" s="99">
        <f>+('[3]Dự thầu'!$G$633+'[3]Dự thầu'!$G$634)/100</f>
        <v>57318.19</v>
      </c>
      <c r="K1192" s="98">
        <f t="shared" si="153"/>
        <v>2245727</v>
      </c>
      <c r="L1192" s="98">
        <f t="shared" si="152"/>
        <v>0</v>
      </c>
      <c r="M1192" s="98">
        <f t="shared" si="154"/>
        <v>2245727</v>
      </c>
      <c r="N1192" s="100"/>
    </row>
    <row r="1193" spans="1:14" ht="31.5" customHeight="1" x14ac:dyDescent="0.25">
      <c r="A1193" s="52" t="str">
        <f t="shared" si="155"/>
        <v>HT</v>
      </c>
      <c r="B1193" s="32" t="s">
        <v>1638</v>
      </c>
      <c r="C1193" s="33">
        <v>1188</v>
      </c>
      <c r="D1193" s="39" t="s">
        <v>1639</v>
      </c>
      <c r="E1193" s="33" t="s">
        <v>10</v>
      </c>
      <c r="F1193" s="33">
        <v>3.7563</v>
      </c>
      <c r="G1193" s="33"/>
      <c r="H1193" s="33">
        <f t="shared" si="156"/>
        <v>3.7563</v>
      </c>
      <c r="I1193" s="34" t="s">
        <v>90</v>
      </c>
      <c r="J1193" s="99">
        <f>+'[3]Dự thầu'!$G635</f>
        <v>10406267</v>
      </c>
      <c r="K1193" s="98">
        <f t="shared" si="153"/>
        <v>39089061</v>
      </c>
      <c r="L1193" s="98">
        <f t="shared" si="152"/>
        <v>0</v>
      </c>
      <c r="M1193" s="98">
        <f t="shared" si="154"/>
        <v>39089061</v>
      </c>
      <c r="N1193" s="100"/>
    </row>
    <row r="1194" spans="1:14" ht="15.75" customHeight="1" x14ac:dyDescent="0.25">
      <c r="A1194" s="52" t="str">
        <f t="shared" si="155"/>
        <v>HT</v>
      </c>
      <c r="B1194" s="32" t="s">
        <v>1640</v>
      </c>
      <c r="C1194" s="33">
        <v>1189</v>
      </c>
      <c r="D1194" s="39" t="s">
        <v>1641</v>
      </c>
      <c r="E1194" s="33" t="s">
        <v>10</v>
      </c>
      <c r="F1194" s="33">
        <v>3.7563</v>
      </c>
      <c r="G1194" s="33"/>
      <c r="H1194" s="33">
        <f t="shared" si="156"/>
        <v>3.7563</v>
      </c>
      <c r="I1194" s="34" t="s">
        <v>90</v>
      </c>
      <c r="J1194" s="99">
        <f>+'[3]Dự thầu'!$G636</f>
        <v>9605637</v>
      </c>
      <c r="K1194" s="98">
        <f t="shared" si="153"/>
        <v>36081654</v>
      </c>
      <c r="L1194" s="98">
        <f t="shared" si="152"/>
        <v>0</v>
      </c>
      <c r="M1194" s="98">
        <f t="shared" si="154"/>
        <v>36081654</v>
      </c>
      <c r="N1194" s="100"/>
    </row>
    <row r="1195" spans="1:14" ht="31.5" customHeight="1" x14ac:dyDescent="0.25">
      <c r="A1195" s="52" t="str">
        <f t="shared" si="155"/>
        <v>HT</v>
      </c>
      <c r="B1195" s="32" t="s">
        <v>1642</v>
      </c>
      <c r="C1195" s="33">
        <v>1190</v>
      </c>
      <c r="D1195" s="39" t="s">
        <v>1643</v>
      </c>
      <c r="E1195" s="33" t="s">
        <v>10</v>
      </c>
      <c r="F1195" s="33">
        <v>1.4723999999999999</v>
      </c>
      <c r="G1195" s="33"/>
      <c r="H1195" s="33">
        <f t="shared" si="156"/>
        <v>1.4723999999999999</v>
      </c>
      <c r="I1195" s="34" t="s">
        <v>90</v>
      </c>
      <c r="J1195" s="99">
        <f>+'[3]Dự thầu'!$G637</f>
        <v>10406267</v>
      </c>
      <c r="K1195" s="98">
        <f t="shared" si="153"/>
        <v>15322188</v>
      </c>
      <c r="L1195" s="98">
        <f t="shared" si="152"/>
        <v>0</v>
      </c>
      <c r="M1195" s="98">
        <f t="shared" si="154"/>
        <v>15322188</v>
      </c>
      <c r="N1195" s="100"/>
    </row>
    <row r="1196" spans="1:14" ht="31.5" customHeight="1" x14ac:dyDescent="0.25">
      <c r="A1196" s="52" t="str">
        <f t="shared" si="155"/>
        <v>HT</v>
      </c>
      <c r="B1196" s="32" t="s">
        <v>1644</v>
      </c>
      <c r="C1196" s="33">
        <v>1191</v>
      </c>
      <c r="D1196" s="39" t="s">
        <v>1645</v>
      </c>
      <c r="E1196" s="33" t="s">
        <v>10</v>
      </c>
      <c r="F1196" s="33">
        <v>1.4723999999999999</v>
      </c>
      <c r="G1196" s="33"/>
      <c r="H1196" s="33">
        <f t="shared" si="156"/>
        <v>1.4723999999999999</v>
      </c>
      <c r="I1196" s="34" t="s">
        <v>90</v>
      </c>
      <c r="J1196" s="99">
        <f>+'[3]Dự thầu'!$G638</f>
        <v>15392164</v>
      </c>
      <c r="K1196" s="98">
        <f t="shared" si="153"/>
        <v>22663422</v>
      </c>
      <c r="L1196" s="98">
        <f t="shared" si="152"/>
        <v>0</v>
      </c>
      <c r="M1196" s="98">
        <f t="shared" si="154"/>
        <v>22663422</v>
      </c>
      <c r="N1196" s="100"/>
    </row>
    <row r="1197" spans="1:14" ht="31.5" customHeight="1" x14ac:dyDescent="0.25">
      <c r="A1197" s="52" t="str">
        <f t="shared" si="155"/>
        <v>HT</v>
      </c>
      <c r="B1197" s="32" t="s">
        <v>1646</v>
      </c>
      <c r="C1197" s="33">
        <v>1192</v>
      </c>
      <c r="D1197" s="39" t="s">
        <v>1647</v>
      </c>
      <c r="E1197" s="33" t="s">
        <v>10</v>
      </c>
      <c r="F1197" s="33">
        <v>5.2286999999999999</v>
      </c>
      <c r="G1197" s="33"/>
      <c r="H1197" s="33">
        <f t="shared" si="156"/>
        <v>5.2286999999999999</v>
      </c>
      <c r="I1197" s="34" t="s">
        <v>90</v>
      </c>
      <c r="J1197" s="99">
        <f>+'[3]Dự thầu'!$G639</f>
        <v>5687244</v>
      </c>
      <c r="K1197" s="98">
        <f t="shared" si="153"/>
        <v>29736893</v>
      </c>
      <c r="L1197" s="98">
        <f t="shared" si="152"/>
        <v>0</v>
      </c>
      <c r="M1197" s="98">
        <f t="shared" si="154"/>
        <v>29736893</v>
      </c>
      <c r="N1197" s="100"/>
    </row>
    <row r="1198" spans="1:14" ht="31.5" customHeight="1" x14ac:dyDescent="0.25">
      <c r="A1198" s="52" t="str">
        <f t="shared" si="155"/>
        <v>HT</v>
      </c>
      <c r="B1198" s="32" t="s">
        <v>1648</v>
      </c>
      <c r="C1198" s="33">
        <v>1193</v>
      </c>
      <c r="D1198" s="39" t="s">
        <v>1649</v>
      </c>
      <c r="E1198" s="33" t="s">
        <v>10</v>
      </c>
      <c r="F1198" s="33">
        <v>5.2286999999999999</v>
      </c>
      <c r="G1198" s="33"/>
      <c r="H1198" s="33">
        <f t="shared" si="156"/>
        <v>5.2286999999999999</v>
      </c>
      <c r="I1198" s="34" t="s">
        <v>90</v>
      </c>
      <c r="J1198" s="99">
        <f>+'[3]Dự thầu'!$G640</f>
        <v>2343426</v>
      </c>
      <c r="K1198" s="98">
        <f t="shared" si="153"/>
        <v>12253072</v>
      </c>
      <c r="L1198" s="98">
        <f t="shared" si="152"/>
        <v>0</v>
      </c>
      <c r="M1198" s="98">
        <f t="shared" si="154"/>
        <v>12253072</v>
      </c>
      <c r="N1198" s="100"/>
    </row>
    <row r="1199" spans="1:14" ht="15.75" customHeight="1" x14ac:dyDescent="0.25">
      <c r="A1199" s="52" t="str">
        <f t="shared" si="155"/>
        <v>HT</v>
      </c>
      <c r="B1199" s="32" t="s">
        <v>1650</v>
      </c>
      <c r="C1199" s="33">
        <v>1194</v>
      </c>
      <c r="D1199" s="39" t="s">
        <v>1651</v>
      </c>
      <c r="E1199" s="33" t="s">
        <v>10</v>
      </c>
      <c r="F1199" s="33">
        <v>1.2</v>
      </c>
      <c r="G1199" s="33"/>
      <c r="H1199" s="33">
        <f t="shared" si="156"/>
        <v>1.2</v>
      </c>
      <c r="I1199" s="34" t="s">
        <v>16</v>
      </c>
      <c r="J1199" s="99">
        <f>+'[3]Dự thầu'!$G641</f>
        <v>1719728</v>
      </c>
      <c r="K1199" s="98">
        <f t="shared" si="153"/>
        <v>2063674</v>
      </c>
      <c r="L1199" s="98">
        <f t="shared" si="152"/>
        <v>0</v>
      </c>
      <c r="M1199" s="98">
        <f t="shared" si="154"/>
        <v>2063674</v>
      </c>
      <c r="N1199" s="100"/>
    </row>
    <row r="1200" spans="1:14" ht="15.75" customHeight="1" x14ac:dyDescent="0.25">
      <c r="A1200" s="52" t="str">
        <f t="shared" si="155"/>
        <v>HT</v>
      </c>
      <c r="B1200" s="32" t="s">
        <v>1652</v>
      </c>
      <c r="C1200" s="33">
        <v>1195</v>
      </c>
      <c r="D1200" s="39" t="s">
        <v>1653</v>
      </c>
      <c r="E1200" s="33" t="s">
        <v>10</v>
      </c>
      <c r="F1200" s="33">
        <v>48</v>
      </c>
      <c r="G1200" s="33"/>
      <c r="H1200" s="33">
        <f t="shared" si="156"/>
        <v>48</v>
      </c>
      <c r="I1200" s="34" t="s">
        <v>428</v>
      </c>
      <c r="J1200" s="99">
        <f>+'[3]Dự thầu'!$G642</f>
        <v>23565</v>
      </c>
      <c r="K1200" s="98">
        <f t="shared" si="153"/>
        <v>1131120</v>
      </c>
      <c r="L1200" s="98">
        <f t="shared" si="152"/>
        <v>0</v>
      </c>
      <c r="M1200" s="98">
        <f t="shared" si="154"/>
        <v>1131120</v>
      </c>
      <c r="N1200" s="100"/>
    </row>
    <row r="1201" spans="1:14" ht="15.75" customHeight="1" x14ac:dyDescent="0.25">
      <c r="A1201" s="52" t="str">
        <f t="shared" si="155"/>
        <v>HT</v>
      </c>
      <c r="B1201" s="32" t="s">
        <v>1654</v>
      </c>
      <c r="C1201" s="33">
        <v>1196</v>
      </c>
      <c r="D1201" s="39" t="s">
        <v>1655</v>
      </c>
      <c r="E1201" s="33" t="s">
        <v>10</v>
      </c>
      <c r="F1201" s="33">
        <v>48</v>
      </c>
      <c r="G1201" s="33"/>
      <c r="H1201" s="33">
        <f t="shared" si="156"/>
        <v>48</v>
      </c>
      <c r="I1201" s="34" t="s">
        <v>428</v>
      </c>
      <c r="J1201" s="99">
        <f>+'[3]Dự thầu'!$G643</f>
        <v>21010</v>
      </c>
      <c r="K1201" s="98">
        <f t="shared" si="153"/>
        <v>1008480</v>
      </c>
      <c r="L1201" s="98">
        <f t="shared" si="152"/>
        <v>0</v>
      </c>
      <c r="M1201" s="98">
        <f t="shared" si="154"/>
        <v>1008480</v>
      </c>
      <c r="N1201" s="100"/>
    </row>
    <row r="1202" spans="1:14" ht="15.75" customHeight="1" x14ac:dyDescent="0.25">
      <c r="A1202" s="52" t="str">
        <f t="shared" si="155"/>
        <v>HT</v>
      </c>
      <c r="B1202" s="32" t="s">
        <v>1656</v>
      </c>
      <c r="C1202" s="33">
        <v>1197</v>
      </c>
      <c r="D1202" s="39" t="s">
        <v>1657</v>
      </c>
      <c r="E1202" s="33" t="s">
        <v>10</v>
      </c>
      <c r="F1202" s="33">
        <v>67.2</v>
      </c>
      <c r="G1202" s="33"/>
      <c r="H1202" s="33">
        <f t="shared" si="156"/>
        <v>67.2</v>
      </c>
      <c r="I1202" s="34" t="s">
        <v>428</v>
      </c>
      <c r="J1202" s="99">
        <f>+'[3]Dự thầu'!$G644</f>
        <v>2229</v>
      </c>
      <c r="K1202" s="98">
        <f t="shared" si="153"/>
        <v>149789</v>
      </c>
      <c r="L1202" s="98">
        <f t="shared" si="152"/>
        <v>0</v>
      </c>
      <c r="M1202" s="98">
        <f t="shared" si="154"/>
        <v>149789</v>
      </c>
      <c r="N1202" s="100"/>
    </row>
    <row r="1203" spans="1:14" ht="15.75" customHeight="1" x14ac:dyDescent="0.25">
      <c r="A1203" s="52" t="str">
        <f t="shared" si="155"/>
        <v>HT</v>
      </c>
      <c r="B1203" s="32" t="s">
        <v>1658</v>
      </c>
      <c r="C1203" s="33">
        <v>1198</v>
      </c>
      <c r="D1203" s="39" t="s">
        <v>1659</v>
      </c>
      <c r="E1203" s="33" t="s">
        <v>10</v>
      </c>
      <c r="F1203" s="33">
        <v>0.04</v>
      </c>
      <c r="G1203" s="33"/>
      <c r="H1203" s="33">
        <f t="shared" si="156"/>
        <v>0.04</v>
      </c>
      <c r="I1203" s="34" t="s">
        <v>90</v>
      </c>
      <c r="J1203" s="99">
        <f>+'[3]Dự thầu'!$G645</f>
        <v>25182574</v>
      </c>
      <c r="K1203" s="98">
        <f t="shared" si="153"/>
        <v>1007303</v>
      </c>
      <c r="L1203" s="98">
        <f t="shared" ref="L1203:L1266" si="157">+ROUND(G1203*J1203,0)</f>
        <v>0</v>
      </c>
      <c r="M1203" s="98">
        <f t="shared" si="154"/>
        <v>1007303</v>
      </c>
      <c r="N1203" s="100"/>
    </row>
    <row r="1204" spans="1:14" ht="15.75" customHeight="1" x14ac:dyDescent="0.25">
      <c r="A1204" s="52" t="str">
        <f t="shared" si="155"/>
        <v>HT</v>
      </c>
      <c r="B1204" s="32" t="s">
        <v>1660</v>
      </c>
      <c r="C1204" s="33">
        <v>1199</v>
      </c>
      <c r="D1204" s="39" t="s">
        <v>1661</v>
      </c>
      <c r="E1204" s="33" t="s">
        <v>10</v>
      </c>
      <c r="F1204" s="33">
        <v>7.0266999999999999</v>
      </c>
      <c r="G1204" s="33"/>
      <c r="H1204" s="33">
        <f t="shared" si="156"/>
        <v>7.0266999999999999</v>
      </c>
      <c r="I1204" s="34" t="s">
        <v>90</v>
      </c>
      <c r="J1204" s="99">
        <f>+'[3]Dự thầu'!$G646</f>
        <v>24801577</v>
      </c>
      <c r="K1204" s="98">
        <f t="shared" si="153"/>
        <v>174273241</v>
      </c>
      <c r="L1204" s="98">
        <f t="shared" si="157"/>
        <v>0</v>
      </c>
      <c r="M1204" s="98">
        <f t="shared" si="154"/>
        <v>174273241</v>
      </c>
      <c r="N1204" s="100"/>
    </row>
    <row r="1205" spans="1:14" ht="15.75" customHeight="1" x14ac:dyDescent="0.25">
      <c r="A1205" s="52" t="str">
        <f t="shared" si="155"/>
        <v>HT</v>
      </c>
      <c r="B1205" s="32" t="s">
        <v>1662</v>
      </c>
      <c r="C1205" s="33">
        <v>1200</v>
      </c>
      <c r="D1205" s="39" t="s">
        <v>750</v>
      </c>
      <c r="E1205" s="33" t="s">
        <v>10</v>
      </c>
      <c r="F1205" s="33">
        <v>7.9298000000000002</v>
      </c>
      <c r="G1205" s="33"/>
      <c r="H1205" s="33">
        <f t="shared" si="156"/>
        <v>7.9298000000000002</v>
      </c>
      <c r="I1205" s="34" t="s">
        <v>90</v>
      </c>
      <c r="J1205" s="99">
        <f>+'[3]Dự thầu'!$G647</f>
        <v>24164499</v>
      </c>
      <c r="K1205" s="98">
        <f t="shared" si="153"/>
        <v>191619644</v>
      </c>
      <c r="L1205" s="98">
        <f t="shared" si="157"/>
        <v>0</v>
      </c>
      <c r="M1205" s="98">
        <f t="shared" si="154"/>
        <v>191619644</v>
      </c>
      <c r="N1205" s="100"/>
    </row>
    <row r="1206" spans="1:14" ht="15.75" customHeight="1" x14ac:dyDescent="0.25">
      <c r="A1206" s="52" t="str">
        <f t="shared" si="155"/>
        <v>HT</v>
      </c>
      <c r="B1206" s="32" t="s">
        <v>1663</v>
      </c>
      <c r="C1206" s="33">
        <v>1201</v>
      </c>
      <c r="D1206" s="39" t="s">
        <v>1664</v>
      </c>
      <c r="E1206" s="33" t="s">
        <v>10</v>
      </c>
      <c r="F1206" s="33">
        <v>81.48</v>
      </c>
      <c r="G1206" s="33"/>
      <c r="H1206" s="33">
        <f t="shared" si="156"/>
        <v>81.48</v>
      </c>
      <c r="I1206" s="34" t="s">
        <v>16</v>
      </c>
      <c r="J1206" s="99">
        <f>+'[3]Dự thầu'!$G648</f>
        <v>1559273</v>
      </c>
      <c r="K1206" s="98">
        <f t="shared" si="153"/>
        <v>127049564</v>
      </c>
      <c r="L1206" s="98">
        <f t="shared" si="157"/>
        <v>0</v>
      </c>
      <c r="M1206" s="98">
        <f t="shared" si="154"/>
        <v>127049564</v>
      </c>
      <c r="N1206" s="100"/>
    </row>
    <row r="1207" spans="1:14" ht="15.75" customHeight="1" x14ac:dyDescent="0.25">
      <c r="A1207" s="52" t="str">
        <f t="shared" si="155"/>
        <v>HT</v>
      </c>
      <c r="B1207" s="32" t="s">
        <v>1665</v>
      </c>
      <c r="C1207" s="33">
        <v>1202</v>
      </c>
      <c r="D1207" s="39" t="s">
        <v>1666</v>
      </c>
      <c r="E1207" s="33" t="s">
        <v>10</v>
      </c>
      <c r="F1207" s="33">
        <v>25.2</v>
      </c>
      <c r="G1207" s="33"/>
      <c r="H1207" s="33">
        <f t="shared" si="156"/>
        <v>25.2</v>
      </c>
      <c r="I1207" s="34" t="s">
        <v>16</v>
      </c>
      <c r="J1207" s="99">
        <f>+'[3]Dự thầu'!$G649</f>
        <v>1331296</v>
      </c>
      <c r="K1207" s="98">
        <f t="shared" si="153"/>
        <v>33548659</v>
      </c>
      <c r="L1207" s="98">
        <f t="shared" si="157"/>
        <v>0</v>
      </c>
      <c r="M1207" s="98">
        <f t="shared" si="154"/>
        <v>33548659</v>
      </c>
      <c r="N1207" s="100"/>
    </row>
    <row r="1208" spans="1:14" ht="15.75" customHeight="1" x14ac:dyDescent="0.25">
      <c r="A1208" s="52" t="str">
        <f t="shared" si="155"/>
        <v>HT</v>
      </c>
      <c r="B1208" s="32" t="s">
        <v>1667</v>
      </c>
      <c r="C1208" s="33">
        <v>1203</v>
      </c>
      <c r="D1208" s="39" t="s">
        <v>752</v>
      </c>
      <c r="E1208" s="33" t="s">
        <v>10</v>
      </c>
      <c r="F1208" s="33">
        <v>40.72</v>
      </c>
      <c r="G1208" s="33"/>
      <c r="H1208" s="33">
        <f t="shared" si="156"/>
        <v>40.72</v>
      </c>
      <c r="I1208" s="34" t="s">
        <v>13</v>
      </c>
      <c r="J1208" s="99">
        <f>+'[3]Dự thầu'!$G650</f>
        <v>65242</v>
      </c>
      <c r="K1208" s="98">
        <f t="shared" si="153"/>
        <v>2656654</v>
      </c>
      <c r="L1208" s="98">
        <f t="shared" si="157"/>
        <v>0</v>
      </c>
      <c r="M1208" s="98">
        <f t="shared" si="154"/>
        <v>2656654</v>
      </c>
      <c r="N1208" s="100"/>
    </row>
    <row r="1209" spans="1:14" ht="15.75" customHeight="1" x14ac:dyDescent="0.25">
      <c r="A1209" s="52" t="str">
        <f t="shared" si="155"/>
        <v>HT</v>
      </c>
      <c r="B1209" s="32" t="s">
        <v>1668</v>
      </c>
      <c r="C1209" s="33">
        <v>1204</v>
      </c>
      <c r="D1209" s="39" t="s">
        <v>1669</v>
      </c>
      <c r="E1209" s="33" t="s">
        <v>10</v>
      </c>
      <c r="F1209" s="36">
        <v>2431.7629999999999</v>
      </c>
      <c r="G1209" s="36"/>
      <c r="H1209" s="36">
        <f t="shared" si="156"/>
        <v>2431.7629999999999</v>
      </c>
      <c r="I1209" s="34" t="s">
        <v>16</v>
      </c>
      <c r="J1209" s="99">
        <f>+'[3]Dự thầu'!$G651</f>
        <v>2045500</v>
      </c>
      <c r="K1209" s="98">
        <f t="shared" si="153"/>
        <v>4974171217</v>
      </c>
      <c r="L1209" s="98">
        <f t="shared" si="157"/>
        <v>0</v>
      </c>
      <c r="M1209" s="98">
        <f t="shared" si="154"/>
        <v>4974171217</v>
      </c>
      <c r="N1209" s="100"/>
    </row>
    <row r="1210" spans="1:14" ht="15.75" customHeight="1" x14ac:dyDescent="0.25">
      <c r="A1210" s="52" t="str">
        <f t="shared" si="155"/>
        <v>HT</v>
      </c>
      <c r="B1210" s="32" t="s">
        <v>1670</v>
      </c>
      <c r="C1210" s="33">
        <v>1205</v>
      </c>
      <c r="D1210" s="39" t="s">
        <v>1671</v>
      </c>
      <c r="E1210" s="33" t="s">
        <v>10</v>
      </c>
      <c r="F1210" s="33">
        <v>56.671199999999999</v>
      </c>
      <c r="G1210" s="33"/>
      <c r="H1210" s="33">
        <f t="shared" si="156"/>
        <v>56.671199999999999</v>
      </c>
      <c r="I1210" s="34" t="s">
        <v>16</v>
      </c>
      <c r="J1210" s="99">
        <f>+'[3]Dự thầu'!$G652</f>
        <v>1437305</v>
      </c>
      <c r="K1210" s="98">
        <f t="shared" si="153"/>
        <v>81453799</v>
      </c>
      <c r="L1210" s="98">
        <f t="shared" si="157"/>
        <v>0</v>
      </c>
      <c r="M1210" s="98">
        <f t="shared" si="154"/>
        <v>81453799</v>
      </c>
      <c r="N1210" s="100"/>
    </row>
    <row r="1211" spans="1:14" ht="31.5" customHeight="1" x14ac:dyDescent="0.25">
      <c r="A1211" s="52" t="str">
        <f t="shared" si="155"/>
        <v>HT</v>
      </c>
      <c r="B1211" s="32" t="s">
        <v>1672</v>
      </c>
      <c r="C1211" s="33">
        <v>1206</v>
      </c>
      <c r="D1211" s="39" t="s">
        <v>1673</v>
      </c>
      <c r="E1211" s="33" t="s">
        <v>10</v>
      </c>
      <c r="F1211" s="102">
        <v>2468.2399999999998</v>
      </c>
      <c r="G1211" s="102"/>
      <c r="H1211" s="102">
        <f t="shared" si="156"/>
        <v>2468.2399999999998</v>
      </c>
      <c r="I1211" s="34" t="s">
        <v>16</v>
      </c>
      <c r="J1211" s="99">
        <f>+'[3]Dự thầu'!$G653</f>
        <v>57102</v>
      </c>
      <c r="K1211" s="98">
        <f t="shared" si="153"/>
        <v>140941440</v>
      </c>
      <c r="L1211" s="98">
        <f t="shared" si="157"/>
        <v>0</v>
      </c>
      <c r="M1211" s="98">
        <f t="shared" si="154"/>
        <v>140941440</v>
      </c>
      <c r="N1211" s="100"/>
    </row>
    <row r="1212" spans="1:14" ht="15.75" customHeight="1" x14ac:dyDescent="0.25">
      <c r="A1212" s="52" t="str">
        <f t="shared" si="155"/>
        <v>HT</v>
      </c>
      <c r="B1212" s="32" t="s">
        <v>1674</v>
      </c>
      <c r="C1212" s="33">
        <v>1207</v>
      </c>
      <c r="D1212" s="39" t="s">
        <v>562</v>
      </c>
      <c r="E1212" s="33" t="s">
        <v>10</v>
      </c>
      <c r="F1212" s="102">
        <v>2468.2399999999998</v>
      </c>
      <c r="G1212" s="102"/>
      <c r="H1212" s="102">
        <f t="shared" si="156"/>
        <v>2468.2399999999998</v>
      </c>
      <c r="I1212" s="34" t="s">
        <v>16</v>
      </c>
      <c r="J1212" s="99">
        <f>+'[3]Dự thầu'!$G654+'[3]Dự thầu'!$G$655</f>
        <v>285443</v>
      </c>
      <c r="K1212" s="98">
        <f t="shared" si="153"/>
        <v>704541830</v>
      </c>
      <c r="L1212" s="98">
        <f t="shared" si="157"/>
        <v>0</v>
      </c>
      <c r="M1212" s="98">
        <f t="shared" si="154"/>
        <v>704541830</v>
      </c>
      <c r="N1212" s="100"/>
    </row>
    <row r="1213" spans="1:14" ht="15.75" customHeight="1" x14ac:dyDescent="0.25">
      <c r="A1213" s="52" t="str">
        <f t="shared" si="155"/>
        <v>HT</v>
      </c>
      <c r="B1213" s="32" t="s">
        <v>1675</v>
      </c>
      <c r="C1213" s="33">
        <v>1208</v>
      </c>
      <c r="D1213" s="39" t="s">
        <v>1676</v>
      </c>
      <c r="E1213" s="33" t="s">
        <v>10</v>
      </c>
      <c r="F1213" s="33">
        <v>0.23</v>
      </c>
      <c r="G1213" s="33"/>
      <c r="H1213" s="33">
        <f t="shared" si="156"/>
        <v>0.23</v>
      </c>
      <c r="I1213" s="34" t="s">
        <v>90</v>
      </c>
      <c r="J1213" s="99">
        <f>+'[3]Dự thầu'!$G656</f>
        <v>27013071</v>
      </c>
      <c r="K1213" s="98">
        <f t="shared" si="153"/>
        <v>6213006</v>
      </c>
      <c r="L1213" s="98">
        <f t="shared" si="157"/>
        <v>0</v>
      </c>
      <c r="M1213" s="98">
        <f t="shared" si="154"/>
        <v>6213006</v>
      </c>
      <c r="N1213" s="100"/>
    </row>
    <row r="1214" spans="1:14" ht="15.75" customHeight="1" x14ac:dyDescent="0.25">
      <c r="A1214" s="52" t="str">
        <f t="shared" si="155"/>
        <v>HT</v>
      </c>
      <c r="B1214" s="32" t="s">
        <v>1677</v>
      </c>
      <c r="C1214" s="33">
        <v>1209</v>
      </c>
      <c r="D1214" s="39" t="s">
        <v>1678</v>
      </c>
      <c r="E1214" s="33" t="s">
        <v>10</v>
      </c>
      <c r="F1214" s="33">
        <v>75.554400000000001</v>
      </c>
      <c r="G1214" s="33"/>
      <c r="H1214" s="33">
        <f t="shared" si="156"/>
        <v>75.554400000000001</v>
      </c>
      <c r="I1214" s="34" t="s">
        <v>90</v>
      </c>
      <c r="J1214" s="99">
        <f>+'[3]Dự thầu'!$G657</f>
        <v>26226135</v>
      </c>
      <c r="K1214" s="98">
        <f t="shared" si="153"/>
        <v>1981499894</v>
      </c>
      <c r="L1214" s="98">
        <f t="shared" si="157"/>
        <v>0</v>
      </c>
      <c r="M1214" s="98">
        <f t="shared" si="154"/>
        <v>1981499894</v>
      </c>
      <c r="N1214" s="100"/>
    </row>
    <row r="1215" spans="1:14" ht="15.75" customHeight="1" x14ac:dyDescent="0.25">
      <c r="A1215" s="52" t="str">
        <f t="shared" si="155"/>
        <v>HT</v>
      </c>
      <c r="B1215" s="32" t="s">
        <v>1679</v>
      </c>
      <c r="C1215" s="33">
        <v>1210</v>
      </c>
      <c r="D1215" s="39" t="s">
        <v>1680</v>
      </c>
      <c r="E1215" s="33" t="s">
        <v>10</v>
      </c>
      <c r="F1215" s="33">
        <v>136.19970000000001</v>
      </c>
      <c r="G1215" s="33"/>
      <c r="H1215" s="33">
        <f t="shared" si="156"/>
        <v>136.19970000000001</v>
      </c>
      <c r="I1215" s="34" t="s">
        <v>90</v>
      </c>
      <c r="J1215" s="99">
        <f>+'[3]Dự thầu'!$G658</f>
        <v>25632494</v>
      </c>
      <c r="K1215" s="98">
        <f t="shared" si="153"/>
        <v>3491137993</v>
      </c>
      <c r="L1215" s="98">
        <f t="shared" si="157"/>
        <v>0</v>
      </c>
      <c r="M1215" s="98">
        <f t="shared" si="154"/>
        <v>3491137993</v>
      </c>
      <c r="N1215" s="100"/>
    </row>
    <row r="1216" spans="1:14" ht="31.5" customHeight="1" x14ac:dyDescent="0.25">
      <c r="A1216" s="52" t="str">
        <f t="shared" si="155"/>
        <v>HT</v>
      </c>
      <c r="B1216" s="32" t="s">
        <v>1681</v>
      </c>
      <c r="C1216" s="33">
        <v>1211</v>
      </c>
      <c r="D1216" s="39" t="s">
        <v>1682</v>
      </c>
      <c r="E1216" s="33" t="s">
        <v>10</v>
      </c>
      <c r="F1216" s="103">
        <v>3243.1804000000002</v>
      </c>
      <c r="G1216" s="103"/>
      <c r="H1216" s="103">
        <f t="shared" si="156"/>
        <v>3243.1804000000002</v>
      </c>
      <c r="I1216" s="34" t="s">
        <v>13</v>
      </c>
      <c r="J1216" s="99">
        <f>+'[3]Dự thầu'!$G659</f>
        <v>181766</v>
      </c>
      <c r="K1216" s="98">
        <f t="shared" si="153"/>
        <v>589499929</v>
      </c>
      <c r="L1216" s="98">
        <f t="shared" si="157"/>
        <v>0</v>
      </c>
      <c r="M1216" s="98">
        <f t="shared" si="154"/>
        <v>589499929</v>
      </c>
      <c r="N1216" s="100"/>
    </row>
    <row r="1217" spans="1:14" ht="15.75" customHeight="1" x14ac:dyDescent="0.25">
      <c r="A1217" s="52" t="str">
        <f t="shared" si="155"/>
        <v>HT</v>
      </c>
      <c r="B1217" s="32" t="s">
        <v>1683</v>
      </c>
      <c r="C1217" s="33">
        <v>1212</v>
      </c>
      <c r="D1217" s="39" t="s">
        <v>1684</v>
      </c>
      <c r="E1217" s="33" t="s">
        <v>10</v>
      </c>
      <c r="F1217" s="33">
        <v>0.3</v>
      </c>
      <c r="G1217" s="33"/>
      <c r="H1217" s="33">
        <f t="shared" si="156"/>
        <v>0.3</v>
      </c>
      <c r="I1217" s="34" t="s">
        <v>90</v>
      </c>
      <c r="J1217" s="99">
        <f>+'[3]Dự thầu'!$G660</f>
        <v>25632494</v>
      </c>
      <c r="K1217" s="98">
        <f t="shared" si="153"/>
        <v>7689748</v>
      </c>
      <c r="L1217" s="98">
        <f t="shared" si="157"/>
        <v>0</v>
      </c>
      <c r="M1217" s="98">
        <f t="shared" si="154"/>
        <v>7689748</v>
      </c>
      <c r="N1217" s="100"/>
    </row>
    <row r="1218" spans="1:14" ht="15.75" customHeight="1" x14ac:dyDescent="0.25">
      <c r="A1218" s="52" t="str">
        <f t="shared" si="155"/>
        <v>HT</v>
      </c>
      <c r="B1218" s="32" t="s">
        <v>1685</v>
      </c>
      <c r="C1218" s="33">
        <v>1213</v>
      </c>
      <c r="D1218" s="39" t="s">
        <v>1230</v>
      </c>
      <c r="E1218" s="33" t="s">
        <v>10</v>
      </c>
      <c r="F1218" s="33">
        <v>0.3</v>
      </c>
      <c r="G1218" s="33"/>
      <c r="H1218" s="33">
        <f t="shared" si="156"/>
        <v>0.3</v>
      </c>
      <c r="I1218" s="34" t="s">
        <v>90</v>
      </c>
      <c r="J1218" s="99">
        <f>+'[3]Dự thầu'!$G661</f>
        <v>9028655</v>
      </c>
      <c r="K1218" s="98">
        <f t="shared" si="153"/>
        <v>2708597</v>
      </c>
      <c r="L1218" s="98">
        <f t="shared" si="157"/>
        <v>0</v>
      </c>
      <c r="M1218" s="98">
        <f t="shared" si="154"/>
        <v>2708597</v>
      </c>
      <c r="N1218" s="100"/>
    </row>
    <row r="1219" spans="1:14" ht="15.75" customHeight="1" x14ac:dyDescent="0.25">
      <c r="A1219" s="52" t="str">
        <f t="shared" si="155"/>
        <v>HT</v>
      </c>
      <c r="B1219" s="32" t="s">
        <v>1686</v>
      </c>
      <c r="C1219" s="33">
        <v>1214</v>
      </c>
      <c r="D1219" s="39" t="s">
        <v>1687</v>
      </c>
      <c r="E1219" s="33" t="s">
        <v>10</v>
      </c>
      <c r="F1219" s="33">
        <v>0.1</v>
      </c>
      <c r="G1219" s="33"/>
      <c r="H1219" s="33">
        <f t="shared" si="156"/>
        <v>0.1</v>
      </c>
      <c r="I1219" s="34" t="s">
        <v>90</v>
      </c>
      <c r="J1219" s="99">
        <f>+'[3]Dự thầu'!$G662</f>
        <v>31912360</v>
      </c>
      <c r="K1219" s="98">
        <f t="shared" si="153"/>
        <v>3191236</v>
      </c>
      <c r="L1219" s="98">
        <f t="shared" si="157"/>
        <v>0</v>
      </c>
      <c r="M1219" s="98">
        <f t="shared" si="154"/>
        <v>3191236</v>
      </c>
      <c r="N1219" s="100"/>
    </row>
    <row r="1220" spans="1:14" ht="15.75" customHeight="1" x14ac:dyDescent="0.25">
      <c r="A1220" s="52" t="str">
        <f t="shared" si="155"/>
        <v>HT</v>
      </c>
      <c r="B1220" s="32" t="s">
        <v>1688</v>
      </c>
      <c r="C1220" s="33">
        <v>1215</v>
      </c>
      <c r="D1220" s="39" t="s">
        <v>1689</v>
      </c>
      <c r="E1220" s="33" t="s">
        <v>10</v>
      </c>
      <c r="F1220" s="33">
        <v>0.1</v>
      </c>
      <c r="G1220" s="33"/>
      <c r="H1220" s="33">
        <f t="shared" si="156"/>
        <v>0.1</v>
      </c>
      <c r="I1220" s="34" t="s">
        <v>90</v>
      </c>
      <c r="J1220" s="99">
        <f>+'[3]Dự thầu'!$G663</f>
        <v>5329201</v>
      </c>
      <c r="K1220" s="98">
        <f t="shared" si="153"/>
        <v>532920</v>
      </c>
      <c r="L1220" s="98">
        <f t="shared" si="157"/>
        <v>0</v>
      </c>
      <c r="M1220" s="98">
        <f t="shared" si="154"/>
        <v>532920</v>
      </c>
      <c r="N1220" s="100"/>
    </row>
    <row r="1221" spans="1:14" ht="15.75" customHeight="1" x14ac:dyDescent="0.25">
      <c r="A1221" s="52" t="str">
        <f t="shared" si="155"/>
        <v>HT</v>
      </c>
      <c r="B1221" s="32" t="s">
        <v>1690</v>
      </c>
      <c r="C1221" s="33">
        <v>1216</v>
      </c>
      <c r="D1221" s="39" t="s">
        <v>1691</v>
      </c>
      <c r="E1221" s="33" t="s">
        <v>10</v>
      </c>
      <c r="F1221" s="33">
        <v>1.7588999999999999</v>
      </c>
      <c r="G1221" s="33"/>
      <c r="H1221" s="33">
        <f t="shared" si="156"/>
        <v>1.7588999999999999</v>
      </c>
      <c r="I1221" s="34" t="s">
        <v>16</v>
      </c>
      <c r="J1221" s="99">
        <f>+'[3]Dự thầu'!$G664</f>
        <v>15641024</v>
      </c>
      <c r="K1221" s="98">
        <f t="shared" si="153"/>
        <v>27510997</v>
      </c>
      <c r="L1221" s="98">
        <f t="shared" si="157"/>
        <v>0</v>
      </c>
      <c r="M1221" s="98">
        <f t="shared" si="154"/>
        <v>27510997</v>
      </c>
      <c r="N1221" s="100"/>
    </row>
    <row r="1222" spans="1:14" ht="15.75" customHeight="1" x14ac:dyDescent="0.25">
      <c r="A1222" s="52" t="str">
        <f t="shared" si="155"/>
        <v>HT</v>
      </c>
      <c r="B1222" s="32" t="s">
        <v>1692</v>
      </c>
      <c r="C1222" s="33">
        <v>1217</v>
      </c>
      <c r="D1222" s="39" t="s">
        <v>1693</v>
      </c>
      <c r="E1222" s="33" t="s">
        <v>10</v>
      </c>
      <c r="F1222" s="33">
        <v>19.399999999999999</v>
      </c>
      <c r="G1222" s="33"/>
      <c r="H1222" s="33">
        <f t="shared" si="156"/>
        <v>19.399999999999999</v>
      </c>
      <c r="I1222" s="34" t="s">
        <v>75</v>
      </c>
      <c r="J1222" s="99">
        <f>+'[3]Dự thầu'!$G665</f>
        <v>126388</v>
      </c>
      <c r="K1222" s="98">
        <f t="shared" si="153"/>
        <v>2451927</v>
      </c>
      <c r="L1222" s="98">
        <f t="shared" si="157"/>
        <v>0</v>
      </c>
      <c r="M1222" s="98">
        <f t="shared" si="154"/>
        <v>2451927</v>
      </c>
      <c r="N1222" s="100"/>
    </row>
    <row r="1223" spans="1:14" ht="15.75" customHeight="1" x14ac:dyDescent="0.25">
      <c r="A1223" s="52" t="str">
        <f t="shared" si="155"/>
        <v>HT</v>
      </c>
      <c r="B1223" s="32" t="s">
        <v>1694</v>
      </c>
      <c r="C1223" s="33">
        <v>1218</v>
      </c>
      <c r="D1223" s="39" t="s">
        <v>1695</v>
      </c>
      <c r="E1223" s="33" t="s">
        <v>10</v>
      </c>
      <c r="F1223" s="33">
        <v>26</v>
      </c>
      <c r="G1223" s="33"/>
      <c r="H1223" s="33">
        <f t="shared" si="156"/>
        <v>26</v>
      </c>
      <c r="I1223" s="34" t="s">
        <v>75</v>
      </c>
      <c r="J1223" s="99">
        <f>+'[3]Dự thầu'!$G666</f>
        <v>94291</v>
      </c>
      <c r="K1223" s="98">
        <f t="shared" ref="K1223:K1286" si="158">+ROUND(J1223*F1223,0)</f>
        <v>2451566</v>
      </c>
      <c r="L1223" s="98">
        <f t="shared" si="157"/>
        <v>0</v>
      </c>
      <c r="M1223" s="98">
        <f t="shared" ref="M1223:M1286" si="159">+ROUND(H1223*J1223,0)</f>
        <v>2451566</v>
      </c>
      <c r="N1223" s="100"/>
    </row>
    <row r="1224" spans="1:14" ht="15.75" customHeight="1" x14ac:dyDescent="0.25">
      <c r="A1224" s="52" t="str">
        <f t="shared" si="155"/>
        <v>HT</v>
      </c>
      <c r="B1224" s="32" t="s">
        <v>1696</v>
      </c>
      <c r="C1224" s="33">
        <v>1219</v>
      </c>
      <c r="D1224" s="39" t="s">
        <v>1697</v>
      </c>
      <c r="E1224" s="33" t="s">
        <v>10</v>
      </c>
      <c r="F1224" s="33">
        <v>0.51</v>
      </c>
      <c r="G1224" s="33"/>
      <c r="H1224" s="33">
        <f t="shared" si="156"/>
        <v>0.51</v>
      </c>
      <c r="I1224" s="34" t="s">
        <v>16</v>
      </c>
      <c r="J1224" s="99">
        <f>+'[3]Dự thầu'!$G667</f>
        <v>23670194</v>
      </c>
      <c r="K1224" s="98">
        <f t="shared" si="158"/>
        <v>12071799</v>
      </c>
      <c r="L1224" s="98">
        <f t="shared" si="157"/>
        <v>0</v>
      </c>
      <c r="M1224" s="98">
        <f t="shared" si="159"/>
        <v>12071799</v>
      </c>
      <c r="N1224" s="100"/>
    </row>
    <row r="1225" spans="1:14" ht="15.75" customHeight="1" x14ac:dyDescent="0.25">
      <c r="A1225" s="52" t="str">
        <f t="shared" si="155"/>
        <v>HT</v>
      </c>
      <c r="B1225" s="32" t="s">
        <v>1698</v>
      </c>
      <c r="C1225" s="33">
        <v>1220</v>
      </c>
      <c r="D1225" s="39" t="s">
        <v>1699</v>
      </c>
      <c r="E1225" s="33" t="s">
        <v>10</v>
      </c>
      <c r="F1225" s="102">
        <v>1808.04</v>
      </c>
      <c r="G1225" s="102"/>
      <c r="H1225" s="102">
        <f t="shared" si="156"/>
        <v>1808.04</v>
      </c>
      <c r="I1225" s="34" t="s">
        <v>13</v>
      </c>
      <c r="J1225" s="99">
        <f>+'[3]Dự thầu'!$G668</f>
        <v>144654</v>
      </c>
      <c r="K1225" s="98">
        <f t="shared" si="158"/>
        <v>261540218</v>
      </c>
      <c r="L1225" s="98">
        <f t="shared" si="157"/>
        <v>0</v>
      </c>
      <c r="M1225" s="98">
        <f t="shared" si="159"/>
        <v>261540218</v>
      </c>
      <c r="N1225" s="100"/>
    </row>
    <row r="1226" spans="1:14" ht="31.5" customHeight="1" x14ac:dyDescent="0.25">
      <c r="A1226" s="52" t="str">
        <f t="shared" si="155"/>
        <v>HT</v>
      </c>
      <c r="B1226" s="32" t="s">
        <v>1700</v>
      </c>
      <c r="C1226" s="33">
        <v>1221</v>
      </c>
      <c r="D1226" s="39" t="s">
        <v>1701</v>
      </c>
      <c r="E1226" s="33" t="s">
        <v>10</v>
      </c>
      <c r="F1226" s="103">
        <v>2097.4234999999999</v>
      </c>
      <c r="G1226" s="103"/>
      <c r="H1226" s="103">
        <f t="shared" si="156"/>
        <v>2097.4234999999999</v>
      </c>
      <c r="I1226" s="34" t="s">
        <v>16</v>
      </c>
      <c r="J1226" s="99">
        <f>+'[3]Dự thầu'!$G671</f>
        <v>2198139</v>
      </c>
      <c r="K1226" s="98">
        <f t="shared" si="158"/>
        <v>4610428395</v>
      </c>
      <c r="L1226" s="98">
        <f t="shared" si="157"/>
        <v>0</v>
      </c>
      <c r="M1226" s="98">
        <f t="shared" si="159"/>
        <v>4610428395</v>
      </c>
      <c r="N1226" s="100"/>
    </row>
    <row r="1227" spans="1:14" ht="31.5" customHeight="1" x14ac:dyDescent="0.25">
      <c r="A1227" s="52" t="str">
        <f t="shared" si="155"/>
        <v>HT</v>
      </c>
      <c r="B1227" s="32" t="s">
        <v>1702</v>
      </c>
      <c r="C1227" s="33">
        <v>1222</v>
      </c>
      <c r="D1227" s="39" t="s">
        <v>1673</v>
      </c>
      <c r="E1227" s="33" t="s">
        <v>10</v>
      </c>
      <c r="F1227" s="102">
        <v>2307.17</v>
      </c>
      <c r="G1227" s="102"/>
      <c r="H1227" s="102">
        <f t="shared" si="156"/>
        <v>2307.17</v>
      </c>
      <c r="I1227" s="34" t="s">
        <v>16</v>
      </c>
      <c r="J1227" s="99">
        <f>+'[3]Dự thầu'!$G672</f>
        <v>57102</v>
      </c>
      <c r="K1227" s="98">
        <f t="shared" si="158"/>
        <v>131744021</v>
      </c>
      <c r="L1227" s="98">
        <f t="shared" si="157"/>
        <v>0</v>
      </c>
      <c r="M1227" s="98">
        <f t="shared" si="159"/>
        <v>131744021</v>
      </c>
      <c r="N1227" s="100"/>
    </row>
    <row r="1228" spans="1:14" ht="15.75" customHeight="1" x14ac:dyDescent="0.25">
      <c r="A1228" s="52" t="str">
        <f t="shared" si="155"/>
        <v>HT</v>
      </c>
      <c r="B1228" s="32" t="s">
        <v>1703</v>
      </c>
      <c r="C1228" s="33">
        <v>1223</v>
      </c>
      <c r="D1228" s="39" t="s">
        <v>562</v>
      </c>
      <c r="E1228" s="33" t="s">
        <v>10</v>
      </c>
      <c r="F1228" s="102">
        <v>2307.17</v>
      </c>
      <c r="G1228" s="102"/>
      <c r="H1228" s="102">
        <f t="shared" si="156"/>
        <v>2307.17</v>
      </c>
      <c r="I1228" s="34" t="s">
        <v>16</v>
      </c>
      <c r="J1228" s="99">
        <f>+'[3]Dự thầu'!$G$673+'[3]Dự thầu'!$G$674</f>
        <v>285443</v>
      </c>
      <c r="K1228" s="98">
        <f t="shared" si="158"/>
        <v>658565526</v>
      </c>
      <c r="L1228" s="98">
        <f t="shared" si="157"/>
        <v>0</v>
      </c>
      <c r="M1228" s="98">
        <f t="shared" si="159"/>
        <v>658565526</v>
      </c>
      <c r="N1228" s="100"/>
    </row>
    <row r="1229" spans="1:14" ht="15.75" customHeight="1" x14ac:dyDescent="0.25">
      <c r="A1229" s="52" t="str">
        <f t="shared" si="155"/>
        <v>HT</v>
      </c>
      <c r="B1229" s="32" t="s">
        <v>1704</v>
      </c>
      <c r="C1229" s="33">
        <v>1224</v>
      </c>
      <c r="D1229" s="39" t="s">
        <v>1705</v>
      </c>
      <c r="E1229" s="33" t="s">
        <v>10</v>
      </c>
      <c r="F1229" s="33">
        <v>26.3095</v>
      </c>
      <c r="G1229" s="33"/>
      <c r="H1229" s="33">
        <f t="shared" si="156"/>
        <v>26.3095</v>
      </c>
      <c r="I1229" s="34" t="s">
        <v>90</v>
      </c>
      <c r="J1229" s="99">
        <f>+'[3]Dự thầu'!$G675</f>
        <v>27573930</v>
      </c>
      <c r="K1229" s="98">
        <f t="shared" si="158"/>
        <v>725456311</v>
      </c>
      <c r="L1229" s="98">
        <f t="shared" si="157"/>
        <v>0</v>
      </c>
      <c r="M1229" s="98">
        <f t="shared" si="159"/>
        <v>725456311</v>
      </c>
      <c r="N1229" s="100"/>
    </row>
    <row r="1230" spans="1:14" ht="15.75" customHeight="1" x14ac:dyDescent="0.25">
      <c r="A1230" s="52" t="str">
        <f t="shared" si="155"/>
        <v>HT</v>
      </c>
      <c r="B1230" s="32" t="s">
        <v>1706</v>
      </c>
      <c r="C1230" s="33">
        <v>1225</v>
      </c>
      <c r="D1230" s="39" t="s">
        <v>1707</v>
      </c>
      <c r="E1230" s="33" t="s">
        <v>10</v>
      </c>
      <c r="F1230" s="33">
        <v>264.63310000000001</v>
      </c>
      <c r="G1230" s="33"/>
      <c r="H1230" s="33">
        <f t="shared" si="156"/>
        <v>264.63310000000001</v>
      </c>
      <c r="I1230" s="34" t="s">
        <v>90</v>
      </c>
      <c r="J1230" s="99">
        <f>+'[3]Dự thầu'!$G676</f>
        <v>27141473</v>
      </c>
      <c r="K1230" s="98">
        <f t="shared" si="158"/>
        <v>7182532139</v>
      </c>
      <c r="L1230" s="98">
        <f t="shared" si="157"/>
        <v>0</v>
      </c>
      <c r="M1230" s="98">
        <f t="shared" si="159"/>
        <v>7182532139</v>
      </c>
      <c r="N1230" s="100"/>
    </row>
    <row r="1231" spans="1:14" ht="15.75" customHeight="1" x14ac:dyDescent="0.25">
      <c r="A1231" s="52" t="str">
        <f t="shared" si="155"/>
        <v>HT</v>
      </c>
      <c r="B1231" s="32" t="s">
        <v>1708</v>
      </c>
      <c r="C1231" s="33">
        <v>1226</v>
      </c>
      <c r="D1231" s="39" t="s">
        <v>1709</v>
      </c>
      <c r="E1231" s="33" t="s">
        <v>10</v>
      </c>
      <c r="F1231" s="33">
        <v>8.5090000000000003</v>
      </c>
      <c r="G1231" s="33"/>
      <c r="H1231" s="33">
        <f t="shared" si="156"/>
        <v>8.5090000000000003</v>
      </c>
      <c r="I1231" s="34" t="s">
        <v>90</v>
      </c>
      <c r="J1231" s="99">
        <f>+'[3]Dự thầu'!$G677</f>
        <v>31912360</v>
      </c>
      <c r="K1231" s="98">
        <f t="shared" si="158"/>
        <v>271542271</v>
      </c>
      <c r="L1231" s="98">
        <f t="shared" si="157"/>
        <v>0</v>
      </c>
      <c r="M1231" s="98">
        <f t="shared" si="159"/>
        <v>271542271</v>
      </c>
      <c r="N1231" s="100"/>
    </row>
    <row r="1232" spans="1:14" ht="15.75" customHeight="1" x14ac:dyDescent="0.25">
      <c r="A1232" s="52" t="str">
        <f t="shared" si="155"/>
        <v>HT</v>
      </c>
      <c r="B1232" s="32" t="s">
        <v>1710</v>
      </c>
      <c r="C1232" s="33">
        <v>1227</v>
      </c>
      <c r="D1232" s="39" t="s">
        <v>1711</v>
      </c>
      <c r="E1232" s="33" t="s">
        <v>10</v>
      </c>
      <c r="F1232" s="33">
        <v>8.5090000000000003</v>
      </c>
      <c r="G1232" s="33"/>
      <c r="H1232" s="33">
        <f t="shared" si="156"/>
        <v>8.5090000000000003</v>
      </c>
      <c r="I1232" s="34" t="s">
        <v>90</v>
      </c>
      <c r="J1232" s="99">
        <f>+'[3]Dự thầu'!$G678</f>
        <v>5329201</v>
      </c>
      <c r="K1232" s="98">
        <f t="shared" si="158"/>
        <v>45346171</v>
      </c>
      <c r="L1232" s="98">
        <f t="shared" si="157"/>
        <v>0</v>
      </c>
      <c r="M1232" s="98">
        <f t="shared" si="159"/>
        <v>45346171</v>
      </c>
      <c r="N1232" s="100"/>
    </row>
    <row r="1233" spans="1:14" ht="31.5" customHeight="1" x14ac:dyDescent="0.25">
      <c r="A1233" s="52" t="str">
        <f t="shared" si="155"/>
        <v>HT</v>
      </c>
      <c r="B1233" s="32" t="s">
        <v>1712</v>
      </c>
      <c r="C1233" s="33">
        <v>1228</v>
      </c>
      <c r="D1233" s="39" t="s">
        <v>1713</v>
      </c>
      <c r="E1233" s="33" t="s">
        <v>10</v>
      </c>
      <c r="F1233" s="33">
        <v>98.6</v>
      </c>
      <c r="G1233" s="33"/>
      <c r="H1233" s="33">
        <f t="shared" si="156"/>
        <v>98.6</v>
      </c>
      <c r="I1233" s="34" t="s">
        <v>75</v>
      </c>
      <c r="J1233" s="99">
        <f>+'[3]Dự thầu'!$G679</f>
        <v>980795</v>
      </c>
      <c r="K1233" s="98">
        <f t="shared" si="158"/>
        <v>96706387</v>
      </c>
      <c r="L1233" s="98">
        <f t="shared" si="157"/>
        <v>0</v>
      </c>
      <c r="M1233" s="98">
        <f t="shared" si="159"/>
        <v>96706387</v>
      </c>
      <c r="N1233" s="100"/>
    </row>
    <row r="1234" spans="1:14" ht="47.25" customHeight="1" x14ac:dyDescent="0.25">
      <c r="A1234" s="52" t="str">
        <f t="shared" si="155"/>
        <v>HT</v>
      </c>
      <c r="B1234" s="32" t="s">
        <v>1714</v>
      </c>
      <c r="C1234" s="33">
        <v>1229</v>
      </c>
      <c r="D1234" s="39" t="s">
        <v>1715</v>
      </c>
      <c r="E1234" s="33" t="s">
        <v>10</v>
      </c>
      <c r="F1234" s="101">
        <v>2421.4</v>
      </c>
      <c r="G1234" s="101"/>
      <c r="H1234" s="101">
        <f t="shared" si="156"/>
        <v>2421.4</v>
      </c>
      <c r="I1234" s="34" t="s">
        <v>75</v>
      </c>
      <c r="J1234" s="99">
        <f>+'[3]Dự thầu'!$G680</f>
        <v>1171576</v>
      </c>
      <c r="K1234" s="98">
        <f t="shared" si="158"/>
        <v>2836854126</v>
      </c>
      <c r="L1234" s="98">
        <f t="shared" si="157"/>
        <v>0</v>
      </c>
      <c r="M1234" s="98">
        <f t="shared" si="159"/>
        <v>2836854126</v>
      </c>
      <c r="N1234" s="100"/>
    </row>
    <row r="1235" spans="1:14" ht="47.25" customHeight="1" x14ac:dyDescent="0.25">
      <c r="A1235" s="52" t="str">
        <f t="shared" si="155"/>
        <v>HT</v>
      </c>
      <c r="B1235" s="32" t="s">
        <v>1716</v>
      </c>
      <c r="C1235" s="33">
        <v>1230</v>
      </c>
      <c r="D1235" s="39" t="s">
        <v>1717</v>
      </c>
      <c r="E1235" s="33" t="s">
        <v>10</v>
      </c>
      <c r="F1235" s="33">
        <v>218.5</v>
      </c>
      <c r="G1235" s="33"/>
      <c r="H1235" s="33">
        <f t="shared" si="156"/>
        <v>218.5</v>
      </c>
      <c r="I1235" s="34" t="s">
        <v>75</v>
      </c>
      <c r="J1235" s="99">
        <f>+'[3]Dự thầu'!$G681</f>
        <v>1188748</v>
      </c>
      <c r="K1235" s="98">
        <f t="shared" si="158"/>
        <v>259741438</v>
      </c>
      <c r="L1235" s="98">
        <f t="shared" si="157"/>
        <v>0</v>
      </c>
      <c r="M1235" s="98">
        <f t="shared" si="159"/>
        <v>259741438</v>
      </c>
      <c r="N1235" s="100"/>
    </row>
    <row r="1236" spans="1:14" ht="47.25" customHeight="1" x14ac:dyDescent="0.25">
      <c r="A1236" s="52" t="str">
        <f t="shared" si="155"/>
        <v>HT</v>
      </c>
      <c r="B1236" s="32" t="s">
        <v>1718</v>
      </c>
      <c r="C1236" s="33">
        <v>1231</v>
      </c>
      <c r="D1236" s="39" t="s">
        <v>1719</v>
      </c>
      <c r="E1236" s="33" t="s">
        <v>10</v>
      </c>
      <c r="F1236" s="33">
        <v>206.65199999999999</v>
      </c>
      <c r="G1236" s="33"/>
      <c r="H1236" s="33">
        <f t="shared" si="156"/>
        <v>206.65199999999999</v>
      </c>
      <c r="I1236" s="34" t="s">
        <v>75</v>
      </c>
      <c r="J1236" s="99">
        <f>+'[3]Dự thầu'!$G682</f>
        <v>3021362</v>
      </c>
      <c r="K1236" s="98">
        <f t="shared" si="158"/>
        <v>624370500</v>
      </c>
      <c r="L1236" s="98">
        <f t="shared" si="157"/>
        <v>0</v>
      </c>
      <c r="M1236" s="98">
        <f t="shared" si="159"/>
        <v>624370500</v>
      </c>
      <c r="N1236" s="100"/>
    </row>
    <row r="1237" spans="1:14" ht="15.75" customHeight="1" x14ac:dyDescent="0.25">
      <c r="A1237" s="52" t="str">
        <f t="shared" ref="A1237:A1300" si="160">A1236</f>
        <v>HT</v>
      </c>
      <c r="B1237" s="32" t="s">
        <v>1720</v>
      </c>
      <c r="C1237" s="33">
        <v>1232</v>
      </c>
      <c r="D1237" s="39" t="s">
        <v>1721</v>
      </c>
      <c r="E1237" s="33" t="s">
        <v>10</v>
      </c>
      <c r="F1237" s="103">
        <v>2313.2112000000002</v>
      </c>
      <c r="G1237" s="103"/>
      <c r="H1237" s="103">
        <f t="shared" ref="H1237:H1300" si="161">+F1237</f>
        <v>2313.2112000000002</v>
      </c>
      <c r="I1237" s="34" t="s">
        <v>16</v>
      </c>
      <c r="J1237" s="99">
        <v>479919</v>
      </c>
      <c r="K1237" s="98">
        <f t="shared" si="158"/>
        <v>1110154006</v>
      </c>
      <c r="L1237" s="98">
        <f t="shared" si="157"/>
        <v>0</v>
      </c>
      <c r="M1237" s="98">
        <f t="shared" si="159"/>
        <v>1110154006</v>
      </c>
      <c r="N1237" s="100"/>
    </row>
    <row r="1238" spans="1:14" ht="15.75" customHeight="1" x14ac:dyDescent="0.25">
      <c r="A1238" s="52" t="str">
        <f t="shared" si="160"/>
        <v>HT</v>
      </c>
      <c r="B1238" s="32" t="s">
        <v>1722</v>
      </c>
      <c r="C1238" s="33">
        <v>1233</v>
      </c>
      <c r="D1238" s="39" t="s">
        <v>1723</v>
      </c>
      <c r="E1238" s="33" t="s">
        <v>10</v>
      </c>
      <c r="F1238" s="33">
        <v>38.011299999999999</v>
      </c>
      <c r="G1238" s="33"/>
      <c r="H1238" s="33">
        <f t="shared" si="161"/>
        <v>38.011299999999999</v>
      </c>
      <c r="I1238" s="34" t="s">
        <v>16</v>
      </c>
      <c r="J1238" s="99">
        <f>+'[3]Dự thầu'!$G684</f>
        <v>2296256</v>
      </c>
      <c r="K1238" s="98">
        <f t="shared" si="158"/>
        <v>87283676</v>
      </c>
      <c r="L1238" s="98">
        <f t="shared" si="157"/>
        <v>0</v>
      </c>
      <c r="M1238" s="98">
        <f t="shared" si="159"/>
        <v>87283676</v>
      </c>
      <c r="N1238" s="100"/>
    </row>
    <row r="1239" spans="1:14" ht="15.75" customHeight="1" x14ac:dyDescent="0.25">
      <c r="A1239" s="52" t="str">
        <f t="shared" si="160"/>
        <v>HT</v>
      </c>
      <c r="B1239" s="32" t="s">
        <v>1724</v>
      </c>
      <c r="C1239" s="33">
        <v>1234</v>
      </c>
      <c r="D1239" s="39" t="s">
        <v>1725</v>
      </c>
      <c r="E1239" s="33" t="s">
        <v>10</v>
      </c>
      <c r="F1239" s="33">
        <v>6126</v>
      </c>
      <c r="G1239" s="33"/>
      <c r="H1239" s="33">
        <f t="shared" si="161"/>
        <v>6126</v>
      </c>
      <c r="I1239" s="34" t="s">
        <v>75</v>
      </c>
      <c r="J1239" s="99">
        <f>+'[3]Dự thầu'!$G685</f>
        <v>174511</v>
      </c>
      <c r="K1239" s="98">
        <f t="shared" si="158"/>
        <v>1069054386</v>
      </c>
      <c r="L1239" s="98">
        <f t="shared" si="157"/>
        <v>0</v>
      </c>
      <c r="M1239" s="98">
        <f t="shared" si="159"/>
        <v>1069054386</v>
      </c>
      <c r="N1239" s="100"/>
    </row>
    <row r="1240" spans="1:14" ht="15.75" customHeight="1" x14ac:dyDescent="0.25">
      <c r="A1240" s="52" t="str">
        <f t="shared" si="160"/>
        <v>HT</v>
      </c>
      <c r="B1240" s="32" t="s">
        <v>1726</v>
      </c>
      <c r="C1240" s="33">
        <v>1235</v>
      </c>
      <c r="D1240" s="39" t="s">
        <v>1727</v>
      </c>
      <c r="E1240" s="33" t="s">
        <v>10</v>
      </c>
      <c r="F1240" s="101">
        <v>2987.4</v>
      </c>
      <c r="G1240" s="101"/>
      <c r="H1240" s="101">
        <f t="shared" si="161"/>
        <v>2987.4</v>
      </c>
      <c r="I1240" s="34" t="s">
        <v>75</v>
      </c>
      <c r="J1240" s="99">
        <f>+'[3]Dự thầu'!$G686</f>
        <v>214046</v>
      </c>
      <c r="K1240" s="98">
        <f t="shared" si="158"/>
        <v>639441020</v>
      </c>
      <c r="L1240" s="98">
        <f t="shared" si="157"/>
        <v>0</v>
      </c>
      <c r="M1240" s="98">
        <f t="shared" si="159"/>
        <v>639441020</v>
      </c>
      <c r="N1240" s="100"/>
    </row>
    <row r="1241" spans="1:14" ht="15.75" customHeight="1" x14ac:dyDescent="0.25">
      <c r="A1241" s="52" t="str">
        <f t="shared" si="160"/>
        <v>HT</v>
      </c>
      <c r="B1241" s="32" t="s">
        <v>1728</v>
      </c>
      <c r="C1241" s="33">
        <v>1236</v>
      </c>
      <c r="D1241" s="39" t="s">
        <v>1729</v>
      </c>
      <c r="E1241" s="33" t="s">
        <v>10</v>
      </c>
      <c r="F1241" s="33">
        <v>504</v>
      </c>
      <c r="G1241" s="33"/>
      <c r="H1241" s="33">
        <f t="shared" si="161"/>
        <v>504</v>
      </c>
      <c r="I1241" s="34" t="s">
        <v>428</v>
      </c>
      <c r="J1241" s="99">
        <f>+'[3]Dự thầu'!$G687</f>
        <v>4688</v>
      </c>
      <c r="K1241" s="98">
        <f t="shared" si="158"/>
        <v>2362752</v>
      </c>
      <c r="L1241" s="98">
        <f t="shared" si="157"/>
        <v>0</v>
      </c>
      <c r="M1241" s="98">
        <f t="shared" si="159"/>
        <v>2362752</v>
      </c>
      <c r="N1241" s="100"/>
    </row>
    <row r="1242" spans="1:14" ht="15.75" customHeight="1" x14ac:dyDescent="0.25">
      <c r="A1242" s="52" t="str">
        <f t="shared" si="160"/>
        <v>HT</v>
      </c>
      <c r="B1242" s="32" t="s">
        <v>1730</v>
      </c>
      <c r="C1242" s="33">
        <v>1237</v>
      </c>
      <c r="D1242" s="39" t="s">
        <v>1731</v>
      </c>
      <c r="E1242" s="33" t="s">
        <v>10</v>
      </c>
      <c r="F1242" s="33">
        <v>168</v>
      </c>
      <c r="G1242" s="33"/>
      <c r="H1242" s="33">
        <f t="shared" si="161"/>
        <v>168</v>
      </c>
      <c r="I1242" s="34" t="s">
        <v>428</v>
      </c>
      <c r="J1242" s="99">
        <f>+'[3]Dự thầu'!$G688</f>
        <v>11770</v>
      </c>
      <c r="K1242" s="98">
        <f t="shared" si="158"/>
        <v>1977360</v>
      </c>
      <c r="L1242" s="98">
        <f t="shared" si="157"/>
        <v>0</v>
      </c>
      <c r="M1242" s="98">
        <f t="shared" si="159"/>
        <v>1977360</v>
      </c>
      <c r="N1242" s="100"/>
    </row>
    <row r="1243" spans="1:14" ht="15.75" customHeight="1" x14ac:dyDescent="0.25">
      <c r="A1243" s="52" t="str">
        <f t="shared" si="160"/>
        <v>HT</v>
      </c>
      <c r="B1243" s="32" t="s">
        <v>1732</v>
      </c>
      <c r="C1243" s="33">
        <v>1238</v>
      </c>
      <c r="D1243" s="39" t="s">
        <v>1733</v>
      </c>
      <c r="E1243" s="33" t="s">
        <v>10</v>
      </c>
      <c r="F1243" s="33">
        <v>1052</v>
      </c>
      <c r="G1243" s="33"/>
      <c r="H1243" s="33">
        <f t="shared" si="161"/>
        <v>1052</v>
      </c>
      <c r="I1243" s="34" t="s">
        <v>428</v>
      </c>
      <c r="J1243" s="99">
        <f>+'[3]Dự thầu'!$G689</f>
        <v>16259</v>
      </c>
      <c r="K1243" s="98">
        <f t="shared" si="158"/>
        <v>17104468</v>
      </c>
      <c r="L1243" s="98">
        <f t="shared" si="157"/>
        <v>0</v>
      </c>
      <c r="M1243" s="98">
        <f t="shared" si="159"/>
        <v>17104468</v>
      </c>
      <c r="N1243" s="100"/>
    </row>
    <row r="1244" spans="1:14" ht="15.75" customHeight="1" x14ac:dyDescent="0.25">
      <c r="A1244" s="52" t="str">
        <f t="shared" si="160"/>
        <v>HT</v>
      </c>
      <c r="B1244" s="32" t="s">
        <v>1734</v>
      </c>
      <c r="C1244" s="33">
        <v>1239</v>
      </c>
      <c r="D1244" s="39" t="s">
        <v>1735</v>
      </c>
      <c r="E1244" s="33" t="s">
        <v>10</v>
      </c>
      <c r="F1244" s="33">
        <v>526</v>
      </c>
      <c r="G1244" s="33"/>
      <c r="H1244" s="33">
        <f t="shared" si="161"/>
        <v>526</v>
      </c>
      <c r="I1244" s="34" t="s">
        <v>428</v>
      </c>
      <c r="J1244" s="99">
        <f>+'[3]Dự thầu'!$G690</f>
        <v>97184</v>
      </c>
      <c r="K1244" s="98">
        <f t="shared" si="158"/>
        <v>51118784</v>
      </c>
      <c r="L1244" s="98">
        <f t="shared" si="157"/>
        <v>0</v>
      </c>
      <c r="M1244" s="98">
        <f t="shared" si="159"/>
        <v>51118784</v>
      </c>
      <c r="N1244" s="100"/>
    </row>
    <row r="1245" spans="1:14" ht="15.75" customHeight="1" x14ac:dyDescent="0.25">
      <c r="A1245" s="52" t="str">
        <f t="shared" si="160"/>
        <v>HT</v>
      </c>
      <c r="B1245" s="32" t="s">
        <v>1736</v>
      </c>
      <c r="C1245" s="33">
        <v>1240</v>
      </c>
      <c r="D1245" s="39" t="s">
        <v>1737</v>
      </c>
      <c r="E1245" s="33" t="s">
        <v>10</v>
      </c>
      <c r="F1245" s="101">
        <v>18709.8</v>
      </c>
      <c r="G1245" s="101"/>
      <c r="H1245" s="101">
        <f t="shared" si="161"/>
        <v>18709.8</v>
      </c>
      <c r="I1245" s="34" t="s">
        <v>428</v>
      </c>
      <c r="J1245" s="99">
        <f>+'[3]Dự thầu'!$G691</f>
        <v>44564</v>
      </c>
      <c r="K1245" s="98">
        <f t="shared" si="158"/>
        <v>833783527</v>
      </c>
      <c r="L1245" s="98">
        <f t="shared" si="157"/>
        <v>0</v>
      </c>
      <c r="M1245" s="98">
        <f t="shared" si="159"/>
        <v>833783527</v>
      </c>
      <c r="N1245" s="100"/>
    </row>
    <row r="1246" spans="1:14" ht="15.75" customHeight="1" x14ac:dyDescent="0.25">
      <c r="A1246" s="52" t="str">
        <f t="shared" si="160"/>
        <v>HT</v>
      </c>
      <c r="B1246" s="32" t="s">
        <v>1738</v>
      </c>
      <c r="C1246" s="33">
        <v>1241</v>
      </c>
      <c r="D1246" s="39" t="s">
        <v>1739</v>
      </c>
      <c r="E1246" s="33" t="s">
        <v>10</v>
      </c>
      <c r="F1246" s="33">
        <v>3.984</v>
      </c>
      <c r="G1246" s="33"/>
      <c r="H1246" s="33">
        <f t="shared" si="161"/>
        <v>3.984</v>
      </c>
      <c r="I1246" s="34" t="s">
        <v>90</v>
      </c>
      <c r="J1246" s="99">
        <f>+'[3]Dự thầu'!$G692</f>
        <v>7612923</v>
      </c>
      <c r="K1246" s="98">
        <f t="shared" si="158"/>
        <v>30329885</v>
      </c>
      <c r="L1246" s="98">
        <f t="shared" si="157"/>
        <v>0</v>
      </c>
      <c r="M1246" s="98">
        <f t="shared" si="159"/>
        <v>30329885</v>
      </c>
      <c r="N1246" s="100"/>
    </row>
    <row r="1247" spans="1:14" ht="31.5" customHeight="1" x14ac:dyDescent="0.25">
      <c r="A1247" s="52" t="str">
        <f t="shared" si="160"/>
        <v>HT</v>
      </c>
      <c r="B1247" s="32" t="s">
        <v>1740</v>
      </c>
      <c r="C1247" s="33">
        <v>1242</v>
      </c>
      <c r="D1247" s="39" t="s">
        <v>1741</v>
      </c>
      <c r="E1247" s="33" t="s">
        <v>10</v>
      </c>
      <c r="F1247" s="33">
        <v>3.984</v>
      </c>
      <c r="G1247" s="33"/>
      <c r="H1247" s="33">
        <f t="shared" si="161"/>
        <v>3.984</v>
      </c>
      <c r="I1247" s="34" t="s">
        <v>90</v>
      </c>
      <c r="J1247" s="99">
        <f>+'[3]Dự thầu'!$G693</f>
        <v>9422453</v>
      </c>
      <c r="K1247" s="98">
        <f t="shared" si="158"/>
        <v>37539053</v>
      </c>
      <c r="L1247" s="98">
        <f t="shared" si="157"/>
        <v>0</v>
      </c>
      <c r="M1247" s="98">
        <f t="shared" si="159"/>
        <v>37539053</v>
      </c>
      <c r="N1247" s="100"/>
    </row>
    <row r="1248" spans="1:14" ht="31.5" customHeight="1" x14ac:dyDescent="0.25">
      <c r="A1248" s="52" t="str">
        <f t="shared" si="160"/>
        <v>HT</v>
      </c>
      <c r="B1248" s="32" t="s">
        <v>1742</v>
      </c>
      <c r="C1248" s="33">
        <v>1243</v>
      </c>
      <c r="D1248" s="39" t="s">
        <v>1743</v>
      </c>
      <c r="E1248" s="33" t="s">
        <v>10</v>
      </c>
      <c r="F1248" s="33">
        <v>3.984</v>
      </c>
      <c r="G1248" s="33"/>
      <c r="H1248" s="33">
        <f t="shared" si="161"/>
        <v>3.984</v>
      </c>
      <c r="I1248" s="34" t="s">
        <v>90</v>
      </c>
      <c r="J1248" s="99">
        <f>+'[3]Dự thầu'!$G694</f>
        <v>9422453</v>
      </c>
      <c r="K1248" s="98">
        <f t="shared" si="158"/>
        <v>37539053</v>
      </c>
      <c r="L1248" s="98">
        <f t="shared" si="157"/>
        <v>0</v>
      </c>
      <c r="M1248" s="98">
        <f t="shared" si="159"/>
        <v>37539053</v>
      </c>
      <c r="N1248" s="100"/>
    </row>
    <row r="1249" spans="1:14" ht="31.5" customHeight="1" x14ac:dyDescent="0.25">
      <c r="A1249" s="52" t="str">
        <f t="shared" si="160"/>
        <v>HT</v>
      </c>
      <c r="B1249" s="32" t="s">
        <v>1744</v>
      </c>
      <c r="C1249" s="33">
        <v>1244</v>
      </c>
      <c r="D1249" s="39" t="s">
        <v>1745</v>
      </c>
      <c r="E1249" s="33" t="s">
        <v>10</v>
      </c>
      <c r="F1249" s="33">
        <v>3.984</v>
      </c>
      <c r="G1249" s="33"/>
      <c r="H1249" s="33">
        <f t="shared" si="161"/>
        <v>3.984</v>
      </c>
      <c r="I1249" s="34" t="s">
        <v>90</v>
      </c>
      <c r="J1249" s="99">
        <f>+'[3]Dự thầu'!$G695</f>
        <v>8614945</v>
      </c>
      <c r="K1249" s="98">
        <f t="shared" si="158"/>
        <v>34321941</v>
      </c>
      <c r="L1249" s="98">
        <f t="shared" si="157"/>
        <v>0</v>
      </c>
      <c r="M1249" s="98">
        <f t="shared" si="159"/>
        <v>34321941</v>
      </c>
      <c r="N1249" s="100"/>
    </row>
    <row r="1250" spans="1:14" ht="31.5" customHeight="1" x14ac:dyDescent="0.25">
      <c r="A1250" s="52" t="str">
        <f t="shared" si="160"/>
        <v>HT</v>
      </c>
      <c r="B1250" s="32" t="s">
        <v>1746</v>
      </c>
      <c r="C1250" s="33">
        <v>1245</v>
      </c>
      <c r="D1250" s="39" t="s">
        <v>1747</v>
      </c>
      <c r="E1250" s="33" t="s">
        <v>10</v>
      </c>
      <c r="F1250" s="33">
        <v>3.984</v>
      </c>
      <c r="G1250" s="33"/>
      <c r="H1250" s="33">
        <f t="shared" si="161"/>
        <v>3.984</v>
      </c>
      <c r="I1250" s="34" t="s">
        <v>90</v>
      </c>
      <c r="J1250" s="99">
        <f>+'[3]Dự thầu'!$G696</f>
        <v>8614945</v>
      </c>
      <c r="K1250" s="98">
        <f t="shared" si="158"/>
        <v>34321941</v>
      </c>
      <c r="L1250" s="98">
        <f t="shared" si="157"/>
        <v>0</v>
      </c>
      <c r="M1250" s="98">
        <f t="shared" si="159"/>
        <v>34321941</v>
      </c>
      <c r="N1250" s="100"/>
    </row>
    <row r="1251" spans="1:14" ht="15.75" customHeight="1" x14ac:dyDescent="0.25">
      <c r="A1251" s="52" t="str">
        <f t="shared" si="160"/>
        <v>HT</v>
      </c>
      <c r="B1251" s="32" t="s">
        <v>1748</v>
      </c>
      <c r="C1251" s="33">
        <v>1246</v>
      </c>
      <c r="D1251" s="39" t="s">
        <v>1749</v>
      </c>
      <c r="E1251" s="33" t="s">
        <v>10</v>
      </c>
      <c r="F1251" s="33">
        <v>75.649600000000007</v>
      </c>
      <c r="G1251" s="33"/>
      <c r="H1251" s="33">
        <f t="shared" si="161"/>
        <v>75.649600000000007</v>
      </c>
      <c r="I1251" s="34" t="s">
        <v>16</v>
      </c>
      <c r="J1251" s="99">
        <f>+'[3]Dự thầu'!$G697</f>
        <v>840810</v>
      </c>
      <c r="K1251" s="98">
        <f t="shared" si="158"/>
        <v>63606940</v>
      </c>
      <c r="L1251" s="98">
        <f t="shared" si="157"/>
        <v>0</v>
      </c>
      <c r="M1251" s="98">
        <f t="shared" si="159"/>
        <v>63606940</v>
      </c>
      <c r="N1251" s="100"/>
    </row>
    <row r="1252" spans="1:14" ht="31.5" customHeight="1" x14ac:dyDescent="0.25">
      <c r="A1252" s="52" t="str">
        <f t="shared" si="160"/>
        <v>HT</v>
      </c>
      <c r="B1252" s="32" t="s">
        <v>1750</v>
      </c>
      <c r="C1252" s="33">
        <v>1247</v>
      </c>
      <c r="D1252" s="39" t="s">
        <v>1751</v>
      </c>
      <c r="E1252" s="33" t="s">
        <v>10</v>
      </c>
      <c r="F1252" s="102">
        <v>2311.94</v>
      </c>
      <c r="G1252" s="102"/>
      <c r="H1252" s="102">
        <f t="shared" si="161"/>
        <v>2311.94</v>
      </c>
      <c r="I1252" s="34" t="s">
        <v>493</v>
      </c>
      <c r="J1252" s="99">
        <f>+'[3]Dự thầu'!$G698</f>
        <v>15707</v>
      </c>
      <c r="K1252" s="98">
        <f t="shared" si="158"/>
        <v>36313642</v>
      </c>
      <c r="L1252" s="98">
        <f t="shared" si="157"/>
        <v>0</v>
      </c>
      <c r="M1252" s="98">
        <f t="shared" si="159"/>
        <v>36313642</v>
      </c>
      <c r="N1252" s="100"/>
    </row>
    <row r="1253" spans="1:14" ht="31.5" customHeight="1" x14ac:dyDescent="0.25">
      <c r="A1253" s="52" t="str">
        <f t="shared" si="160"/>
        <v>HT</v>
      </c>
      <c r="B1253" s="32" t="s">
        <v>1752</v>
      </c>
      <c r="C1253" s="33">
        <v>1248</v>
      </c>
      <c r="D1253" s="39" t="s">
        <v>1753</v>
      </c>
      <c r="E1253" s="33" t="s">
        <v>10</v>
      </c>
      <c r="F1253" s="102">
        <v>2311.94</v>
      </c>
      <c r="G1253" s="102"/>
      <c r="H1253" s="102">
        <f t="shared" si="161"/>
        <v>2311.94</v>
      </c>
      <c r="I1253" s="34" t="s">
        <v>16</v>
      </c>
      <c r="J1253" s="99">
        <f>+'[3]Dự thầu'!$G699</f>
        <v>56948</v>
      </c>
      <c r="K1253" s="98">
        <f t="shared" si="158"/>
        <v>131660359</v>
      </c>
      <c r="L1253" s="98">
        <f t="shared" si="157"/>
        <v>0</v>
      </c>
      <c r="M1253" s="98">
        <f t="shared" si="159"/>
        <v>131660359</v>
      </c>
      <c r="N1253" s="100"/>
    </row>
    <row r="1254" spans="1:14" ht="15.75" customHeight="1" x14ac:dyDescent="0.25">
      <c r="A1254" s="52" t="str">
        <f t="shared" si="160"/>
        <v>HT</v>
      </c>
      <c r="B1254" s="32" t="s">
        <v>1754</v>
      </c>
      <c r="C1254" s="33">
        <v>1249</v>
      </c>
      <c r="D1254" s="39" t="s">
        <v>1755</v>
      </c>
      <c r="E1254" s="33" t="s">
        <v>10</v>
      </c>
      <c r="F1254" s="33">
        <v>75.649600000000007</v>
      </c>
      <c r="G1254" s="33"/>
      <c r="H1254" s="33">
        <f t="shared" si="161"/>
        <v>75.649600000000007</v>
      </c>
      <c r="I1254" s="34" t="s">
        <v>16</v>
      </c>
      <c r="J1254" s="99">
        <f>+'[3]Dự thầu'!$G$703</f>
        <v>72655</v>
      </c>
      <c r="K1254" s="98">
        <f t="shared" si="158"/>
        <v>5496322</v>
      </c>
      <c r="L1254" s="98">
        <f t="shared" si="157"/>
        <v>0</v>
      </c>
      <c r="M1254" s="98">
        <f t="shared" si="159"/>
        <v>5496322</v>
      </c>
      <c r="N1254" s="100"/>
    </row>
    <row r="1255" spans="1:14" ht="63" customHeight="1" x14ac:dyDescent="0.25">
      <c r="A1255" s="52" t="str">
        <f t="shared" si="160"/>
        <v>HT</v>
      </c>
      <c r="B1255" s="32" t="s">
        <v>1756</v>
      </c>
      <c r="C1255" s="33">
        <v>1250</v>
      </c>
      <c r="D1255" s="39" t="s">
        <v>1757</v>
      </c>
      <c r="E1255" s="33" t="s">
        <v>10</v>
      </c>
      <c r="F1255" s="33">
        <v>252</v>
      </c>
      <c r="G1255" s="33"/>
      <c r="H1255" s="33">
        <f t="shared" si="161"/>
        <v>252</v>
      </c>
      <c r="I1255" s="34" t="s">
        <v>1758</v>
      </c>
      <c r="J1255" s="99">
        <f>+'[3]Dự thầu'!$G$708</f>
        <v>753290</v>
      </c>
      <c r="K1255" s="98">
        <f t="shared" si="158"/>
        <v>189829080</v>
      </c>
      <c r="L1255" s="98">
        <f t="shared" si="157"/>
        <v>0</v>
      </c>
      <c r="M1255" s="98">
        <f t="shared" si="159"/>
        <v>189829080</v>
      </c>
      <c r="N1255" s="100"/>
    </row>
    <row r="1256" spans="1:14" ht="15.75" customHeight="1" x14ac:dyDescent="0.25">
      <c r="A1256" s="52" t="str">
        <f t="shared" si="160"/>
        <v>HT</v>
      </c>
      <c r="B1256" s="32" t="s">
        <v>1759</v>
      </c>
      <c r="C1256" s="33">
        <v>1251</v>
      </c>
      <c r="D1256" s="39" t="s">
        <v>1760</v>
      </c>
      <c r="E1256" s="33" t="s">
        <v>10</v>
      </c>
      <c r="F1256" s="33">
        <v>4</v>
      </c>
      <c r="G1256" s="33"/>
      <c r="H1256" s="33">
        <f t="shared" si="161"/>
        <v>4</v>
      </c>
      <c r="I1256" s="34" t="s">
        <v>1761</v>
      </c>
      <c r="J1256" s="99">
        <f>+'[3]Dự thầu'!$G709</f>
        <v>5121205</v>
      </c>
      <c r="K1256" s="98">
        <f t="shared" si="158"/>
        <v>20484820</v>
      </c>
      <c r="L1256" s="98">
        <f t="shared" si="157"/>
        <v>0</v>
      </c>
      <c r="M1256" s="98">
        <f t="shared" si="159"/>
        <v>20484820</v>
      </c>
      <c r="N1256" s="100"/>
    </row>
    <row r="1257" spans="1:14" ht="31.5" customHeight="1" x14ac:dyDescent="0.25">
      <c r="A1257" s="52" t="str">
        <f t="shared" si="160"/>
        <v>HT</v>
      </c>
      <c r="B1257" s="32" t="s">
        <v>1762</v>
      </c>
      <c r="C1257" s="33">
        <v>1252</v>
      </c>
      <c r="D1257" s="39" t="s">
        <v>1763</v>
      </c>
      <c r="E1257" s="33" t="s">
        <v>10</v>
      </c>
      <c r="F1257" s="33">
        <v>4</v>
      </c>
      <c r="G1257" s="33"/>
      <c r="H1257" s="33">
        <f t="shared" si="161"/>
        <v>4</v>
      </c>
      <c r="I1257" s="34" t="s">
        <v>1764</v>
      </c>
      <c r="J1257" s="99">
        <f>+'[3]Dự thầu'!$G710</f>
        <v>22607396</v>
      </c>
      <c r="K1257" s="98">
        <f t="shared" si="158"/>
        <v>90429584</v>
      </c>
      <c r="L1257" s="98">
        <f t="shared" si="157"/>
        <v>0</v>
      </c>
      <c r="M1257" s="98">
        <f t="shared" si="159"/>
        <v>90429584</v>
      </c>
      <c r="N1257" s="100"/>
    </row>
    <row r="1258" spans="1:14" ht="15.75" customHeight="1" x14ac:dyDescent="0.25">
      <c r="A1258" s="52" t="str">
        <f t="shared" si="160"/>
        <v>HT</v>
      </c>
      <c r="B1258" s="32" t="s">
        <v>1765</v>
      </c>
      <c r="C1258" s="33">
        <v>1253</v>
      </c>
      <c r="D1258" s="39" t="s">
        <v>1766</v>
      </c>
      <c r="E1258" s="33" t="s">
        <v>10</v>
      </c>
      <c r="F1258" s="33">
        <v>13.351800000000001</v>
      </c>
      <c r="G1258" s="33"/>
      <c r="H1258" s="33">
        <f t="shared" si="161"/>
        <v>13.351800000000001</v>
      </c>
      <c r="I1258" s="34" t="s">
        <v>16</v>
      </c>
      <c r="J1258" s="99">
        <f>+'[3]Dự thầu'!$G711</f>
        <v>2198139</v>
      </c>
      <c r="K1258" s="98">
        <f t="shared" si="158"/>
        <v>29349112</v>
      </c>
      <c r="L1258" s="98">
        <f t="shared" si="157"/>
        <v>0</v>
      </c>
      <c r="M1258" s="98">
        <f t="shared" si="159"/>
        <v>29349112</v>
      </c>
      <c r="N1258" s="100"/>
    </row>
    <row r="1259" spans="1:14" ht="15.75" customHeight="1" x14ac:dyDescent="0.25">
      <c r="A1259" s="52" t="str">
        <f t="shared" si="160"/>
        <v>HT</v>
      </c>
      <c r="B1259" s="32" t="s">
        <v>1767</v>
      </c>
      <c r="C1259" s="33">
        <v>1254</v>
      </c>
      <c r="D1259" s="39" t="s">
        <v>1477</v>
      </c>
      <c r="E1259" s="33" t="s">
        <v>10</v>
      </c>
      <c r="F1259" s="33">
        <v>14.686999999999999</v>
      </c>
      <c r="G1259" s="33"/>
      <c r="H1259" s="33">
        <f t="shared" si="161"/>
        <v>14.686999999999999</v>
      </c>
      <c r="I1259" s="34" t="s">
        <v>16</v>
      </c>
      <c r="J1259" s="99">
        <f>+'[3]Dự thầu'!$G712</f>
        <v>57102</v>
      </c>
      <c r="K1259" s="98">
        <f t="shared" si="158"/>
        <v>838657</v>
      </c>
      <c r="L1259" s="98">
        <f t="shared" si="157"/>
        <v>0</v>
      </c>
      <c r="M1259" s="98">
        <f t="shared" si="159"/>
        <v>838657</v>
      </c>
      <c r="N1259" s="100"/>
    </row>
    <row r="1260" spans="1:14" ht="15.75" customHeight="1" x14ac:dyDescent="0.25">
      <c r="A1260" s="52" t="str">
        <f t="shared" si="160"/>
        <v>HT</v>
      </c>
      <c r="B1260" s="32" t="s">
        <v>1768</v>
      </c>
      <c r="C1260" s="33">
        <v>1255</v>
      </c>
      <c r="D1260" s="39" t="s">
        <v>562</v>
      </c>
      <c r="E1260" s="33" t="s">
        <v>10</v>
      </c>
      <c r="F1260" s="33">
        <v>14.686999999999999</v>
      </c>
      <c r="G1260" s="33"/>
      <c r="H1260" s="33">
        <f t="shared" si="161"/>
        <v>14.686999999999999</v>
      </c>
      <c r="I1260" s="34" t="s">
        <v>16</v>
      </c>
      <c r="J1260" s="99">
        <f>+'[3]Dự thầu'!$G713</f>
        <v>132072</v>
      </c>
      <c r="K1260" s="98">
        <f t="shared" si="158"/>
        <v>1939741</v>
      </c>
      <c r="L1260" s="98">
        <f t="shared" si="157"/>
        <v>0</v>
      </c>
      <c r="M1260" s="98">
        <f t="shared" si="159"/>
        <v>1939741</v>
      </c>
      <c r="N1260" s="100"/>
    </row>
    <row r="1261" spans="1:14" ht="15.75" customHeight="1" x14ac:dyDescent="0.25">
      <c r="A1261" s="52" t="str">
        <f t="shared" si="160"/>
        <v>HT</v>
      </c>
      <c r="B1261" s="32" t="s">
        <v>1769</v>
      </c>
      <c r="C1261" s="33">
        <v>1256</v>
      </c>
      <c r="D1261" s="39" t="s">
        <v>1705</v>
      </c>
      <c r="E1261" s="33" t="s">
        <v>10</v>
      </c>
      <c r="F1261" s="33">
        <v>0.2</v>
      </c>
      <c r="G1261" s="33"/>
      <c r="H1261" s="33">
        <f t="shared" si="161"/>
        <v>0.2</v>
      </c>
      <c r="I1261" s="34" t="s">
        <v>90</v>
      </c>
      <c r="J1261" s="99">
        <f>+'[3]Dự thầu'!$G714</f>
        <v>27573930</v>
      </c>
      <c r="K1261" s="98">
        <f t="shared" si="158"/>
        <v>5514786</v>
      </c>
      <c r="L1261" s="98">
        <f t="shared" si="157"/>
        <v>0</v>
      </c>
      <c r="M1261" s="98">
        <f t="shared" si="159"/>
        <v>5514786</v>
      </c>
      <c r="N1261" s="100"/>
    </row>
    <row r="1262" spans="1:14" ht="15.75" customHeight="1" x14ac:dyDescent="0.25">
      <c r="A1262" s="52" t="str">
        <f t="shared" si="160"/>
        <v>HT</v>
      </c>
      <c r="B1262" s="32" t="s">
        <v>1770</v>
      </c>
      <c r="C1262" s="33">
        <v>1257</v>
      </c>
      <c r="D1262" s="39" t="s">
        <v>1707</v>
      </c>
      <c r="E1262" s="33" t="s">
        <v>10</v>
      </c>
      <c r="F1262" s="33">
        <v>0.09</v>
      </c>
      <c r="G1262" s="33"/>
      <c r="H1262" s="33">
        <f t="shared" si="161"/>
        <v>0.09</v>
      </c>
      <c r="I1262" s="34" t="s">
        <v>90</v>
      </c>
      <c r="J1262" s="99">
        <f>+'[3]Dự thầu'!$G715</f>
        <v>27141473</v>
      </c>
      <c r="K1262" s="98">
        <f t="shared" si="158"/>
        <v>2442733</v>
      </c>
      <c r="L1262" s="98">
        <f t="shared" si="157"/>
        <v>0</v>
      </c>
      <c r="M1262" s="98">
        <f t="shared" si="159"/>
        <v>2442733</v>
      </c>
      <c r="N1262" s="100"/>
    </row>
    <row r="1263" spans="1:14" ht="15.75" customHeight="1" x14ac:dyDescent="0.25">
      <c r="A1263" s="52" t="str">
        <f t="shared" si="160"/>
        <v>HT</v>
      </c>
      <c r="B1263" s="32" t="s">
        <v>1771</v>
      </c>
      <c r="C1263" s="33">
        <v>1258</v>
      </c>
      <c r="D1263" s="39" t="s">
        <v>1709</v>
      </c>
      <c r="E1263" s="33" t="s">
        <v>10</v>
      </c>
      <c r="F1263" s="33">
        <v>0.06</v>
      </c>
      <c r="G1263" s="33"/>
      <c r="H1263" s="33">
        <f t="shared" si="161"/>
        <v>0.06</v>
      </c>
      <c r="I1263" s="34" t="s">
        <v>90</v>
      </c>
      <c r="J1263" s="99">
        <f>+'[3]Dự thầu'!$G716</f>
        <v>31912360</v>
      </c>
      <c r="K1263" s="98">
        <f t="shared" si="158"/>
        <v>1914742</v>
      </c>
      <c r="L1263" s="98">
        <f t="shared" si="157"/>
        <v>0</v>
      </c>
      <c r="M1263" s="98">
        <f t="shared" si="159"/>
        <v>1914742</v>
      </c>
      <c r="N1263" s="100"/>
    </row>
    <row r="1264" spans="1:14" ht="15.75" customHeight="1" x14ac:dyDescent="0.25">
      <c r="A1264" s="52" t="str">
        <f t="shared" si="160"/>
        <v>HT</v>
      </c>
      <c r="B1264" s="32" t="s">
        <v>1772</v>
      </c>
      <c r="C1264" s="33">
        <v>1259</v>
      </c>
      <c r="D1264" s="39" t="s">
        <v>1711</v>
      </c>
      <c r="E1264" s="33" t="s">
        <v>10</v>
      </c>
      <c r="F1264" s="33">
        <v>0.06</v>
      </c>
      <c r="G1264" s="33"/>
      <c r="H1264" s="33">
        <f t="shared" si="161"/>
        <v>0.06</v>
      </c>
      <c r="I1264" s="34" t="s">
        <v>90</v>
      </c>
      <c r="J1264" s="99">
        <f>+'[3]Dự thầu'!$G717</f>
        <v>5329201</v>
      </c>
      <c r="K1264" s="98">
        <f t="shared" si="158"/>
        <v>319752</v>
      </c>
      <c r="L1264" s="98">
        <f t="shared" si="157"/>
        <v>0</v>
      </c>
      <c r="M1264" s="98">
        <f t="shared" si="159"/>
        <v>319752</v>
      </c>
      <c r="N1264" s="100"/>
    </row>
    <row r="1265" spans="1:14" ht="15.75" customHeight="1" x14ac:dyDescent="0.25">
      <c r="A1265" s="52" t="str">
        <f t="shared" si="160"/>
        <v>HT</v>
      </c>
      <c r="B1265" s="32" t="s">
        <v>1773</v>
      </c>
      <c r="C1265" s="33">
        <v>1260</v>
      </c>
      <c r="D1265" s="39" t="s">
        <v>1723</v>
      </c>
      <c r="E1265" s="33" t="s">
        <v>10</v>
      </c>
      <c r="F1265" s="33">
        <v>0.24</v>
      </c>
      <c r="G1265" s="33"/>
      <c r="H1265" s="33">
        <f t="shared" si="161"/>
        <v>0.24</v>
      </c>
      <c r="I1265" s="34" t="s">
        <v>16</v>
      </c>
      <c r="J1265" s="99">
        <f>+'[3]Dự thầu'!$G718</f>
        <v>2296256</v>
      </c>
      <c r="K1265" s="98">
        <f t="shared" si="158"/>
        <v>551101</v>
      </c>
      <c r="L1265" s="98">
        <f t="shared" si="157"/>
        <v>0</v>
      </c>
      <c r="M1265" s="98">
        <f t="shared" si="159"/>
        <v>551101</v>
      </c>
      <c r="N1265" s="100"/>
    </row>
    <row r="1266" spans="1:14" ht="15.75" customHeight="1" x14ac:dyDescent="0.25">
      <c r="A1266" s="52" t="str">
        <f t="shared" si="160"/>
        <v>HT</v>
      </c>
      <c r="B1266" s="32" t="s">
        <v>1774</v>
      </c>
      <c r="C1266" s="33">
        <v>1261</v>
      </c>
      <c r="D1266" s="39" t="s">
        <v>1725</v>
      </c>
      <c r="E1266" s="33" t="s">
        <v>10</v>
      </c>
      <c r="F1266" s="33">
        <v>34</v>
      </c>
      <c r="G1266" s="33"/>
      <c r="H1266" s="33">
        <f t="shared" si="161"/>
        <v>34</v>
      </c>
      <c r="I1266" s="34" t="s">
        <v>75</v>
      </c>
      <c r="J1266" s="99">
        <f>+'[3]Dự thầu'!$G719</f>
        <v>174511</v>
      </c>
      <c r="K1266" s="98">
        <f t="shared" si="158"/>
        <v>5933374</v>
      </c>
      <c r="L1266" s="98">
        <f t="shared" si="157"/>
        <v>0</v>
      </c>
      <c r="M1266" s="98">
        <f t="shared" si="159"/>
        <v>5933374</v>
      </c>
      <c r="N1266" s="100"/>
    </row>
    <row r="1267" spans="1:14" ht="15.75" customHeight="1" x14ac:dyDescent="0.25">
      <c r="A1267" s="52" t="str">
        <f t="shared" si="160"/>
        <v>HT</v>
      </c>
      <c r="B1267" s="32" t="s">
        <v>1775</v>
      </c>
      <c r="C1267" s="33">
        <v>1262</v>
      </c>
      <c r="D1267" s="39" t="s">
        <v>1727</v>
      </c>
      <c r="E1267" s="33" t="s">
        <v>10</v>
      </c>
      <c r="F1267" s="33">
        <v>17</v>
      </c>
      <c r="G1267" s="33"/>
      <c r="H1267" s="33">
        <f t="shared" si="161"/>
        <v>17</v>
      </c>
      <c r="I1267" s="34" t="s">
        <v>75</v>
      </c>
      <c r="J1267" s="99">
        <f>+'[3]Dự thầu'!$G720</f>
        <v>214046</v>
      </c>
      <c r="K1267" s="98">
        <f t="shared" si="158"/>
        <v>3638782</v>
      </c>
      <c r="L1267" s="98">
        <f t="shared" ref="L1267:L1330" si="162">+ROUND(G1267*J1267,0)</f>
        <v>0</v>
      </c>
      <c r="M1267" s="98">
        <f t="shared" si="159"/>
        <v>3638782</v>
      </c>
      <c r="N1267" s="100"/>
    </row>
    <row r="1268" spans="1:14" ht="15.75" customHeight="1" x14ac:dyDescent="0.25">
      <c r="A1268" s="52" t="str">
        <f t="shared" si="160"/>
        <v>HT</v>
      </c>
      <c r="B1268" s="32" t="s">
        <v>1776</v>
      </c>
      <c r="C1268" s="33">
        <v>1263</v>
      </c>
      <c r="D1268" s="39" t="s">
        <v>1749</v>
      </c>
      <c r="E1268" s="33" t="s">
        <v>10</v>
      </c>
      <c r="F1268" s="33">
        <v>13.351800000000001</v>
      </c>
      <c r="G1268" s="33"/>
      <c r="H1268" s="33">
        <f t="shared" si="161"/>
        <v>13.351800000000001</v>
      </c>
      <c r="I1268" s="34" t="s">
        <v>16</v>
      </c>
      <c r="J1268" s="99">
        <f>+'[3]Dự thầu'!$G721</f>
        <v>840810</v>
      </c>
      <c r="K1268" s="98">
        <f t="shared" si="158"/>
        <v>11226327</v>
      </c>
      <c r="L1268" s="98">
        <f t="shared" si="162"/>
        <v>0</v>
      </c>
      <c r="M1268" s="98">
        <f t="shared" si="159"/>
        <v>11226327</v>
      </c>
      <c r="N1268" s="100"/>
    </row>
    <row r="1269" spans="1:14" ht="15.75" customHeight="1" x14ac:dyDescent="0.25">
      <c r="A1269" s="52" t="str">
        <f t="shared" si="160"/>
        <v>HT</v>
      </c>
      <c r="B1269" s="32" t="s">
        <v>1777</v>
      </c>
      <c r="C1269" s="33">
        <v>1264</v>
      </c>
      <c r="D1269" s="39" t="s">
        <v>1778</v>
      </c>
      <c r="E1269" s="33" t="s">
        <v>10</v>
      </c>
      <c r="F1269" s="33">
        <v>13.35</v>
      </c>
      <c r="G1269" s="33"/>
      <c r="H1269" s="33">
        <f t="shared" si="161"/>
        <v>13.35</v>
      </c>
      <c r="I1269" s="34" t="s">
        <v>16</v>
      </c>
      <c r="J1269" s="99">
        <f>+('[3]Dự thầu'!$G$722+'[3]Dự thầu'!$G$723)/100</f>
        <v>57318.19</v>
      </c>
      <c r="K1269" s="98">
        <f t="shared" si="158"/>
        <v>765198</v>
      </c>
      <c r="L1269" s="98">
        <f t="shared" si="162"/>
        <v>0</v>
      </c>
      <c r="M1269" s="98">
        <f t="shared" si="159"/>
        <v>765198</v>
      </c>
      <c r="N1269" s="100"/>
    </row>
    <row r="1270" spans="1:14" ht="15.75" customHeight="1" x14ac:dyDescent="0.25">
      <c r="A1270" s="52" t="str">
        <f t="shared" si="160"/>
        <v>HT</v>
      </c>
      <c r="B1270" s="32" t="s">
        <v>1779</v>
      </c>
      <c r="C1270" s="33">
        <v>1265</v>
      </c>
      <c r="D1270" s="39" t="s">
        <v>1739</v>
      </c>
      <c r="E1270" s="33" t="s">
        <v>10</v>
      </c>
      <c r="F1270" s="33">
        <v>0.3</v>
      </c>
      <c r="G1270" s="33"/>
      <c r="H1270" s="33">
        <f t="shared" si="161"/>
        <v>0.3</v>
      </c>
      <c r="I1270" s="34" t="s">
        <v>90</v>
      </c>
      <c r="J1270" s="99">
        <f>+'[3]Dự thầu'!$G724</f>
        <v>30799905</v>
      </c>
      <c r="K1270" s="98">
        <f t="shared" si="158"/>
        <v>9239972</v>
      </c>
      <c r="L1270" s="98">
        <f t="shared" si="162"/>
        <v>0</v>
      </c>
      <c r="M1270" s="98">
        <f t="shared" si="159"/>
        <v>9239972</v>
      </c>
      <c r="N1270" s="100"/>
    </row>
    <row r="1271" spans="1:14" ht="15.75" customHeight="1" x14ac:dyDescent="0.25">
      <c r="A1271" s="52" t="str">
        <f t="shared" si="160"/>
        <v>HT</v>
      </c>
      <c r="B1271" s="32" t="s">
        <v>1780</v>
      </c>
      <c r="C1271" s="33">
        <v>1266</v>
      </c>
      <c r="D1271" s="39" t="s">
        <v>1781</v>
      </c>
      <c r="E1271" s="33" t="s">
        <v>10</v>
      </c>
      <c r="F1271" s="33">
        <v>0.3</v>
      </c>
      <c r="G1271" s="33"/>
      <c r="H1271" s="33">
        <f t="shared" si="161"/>
        <v>0.3</v>
      </c>
      <c r="I1271" s="34" t="s">
        <v>90</v>
      </c>
      <c r="J1271" s="99">
        <f>+'[3]Dự thầu'!$G725</f>
        <v>10743587</v>
      </c>
      <c r="K1271" s="98">
        <f t="shared" si="158"/>
        <v>3223076</v>
      </c>
      <c r="L1271" s="98">
        <f t="shared" si="162"/>
        <v>0</v>
      </c>
      <c r="M1271" s="98">
        <f t="shared" si="159"/>
        <v>3223076</v>
      </c>
      <c r="N1271" s="100"/>
    </row>
    <row r="1272" spans="1:14" ht="47.25" customHeight="1" x14ac:dyDescent="0.25">
      <c r="A1272" s="52" t="str">
        <f t="shared" si="160"/>
        <v>HT</v>
      </c>
      <c r="B1272" s="32" t="s">
        <v>1782</v>
      </c>
      <c r="C1272" s="33">
        <v>1267</v>
      </c>
      <c r="D1272" s="39" t="s">
        <v>1783</v>
      </c>
      <c r="E1272" s="33" t="s">
        <v>10</v>
      </c>
      <c r="F1272" s="33">
        <v>49.127299999999998</v>
      </c>
      <c r="G1272" s="33"/>
      <c r="H1272" s="33">
        <f t="shared" si="161"/>
        <v>49.127299999999998</v>
      </c>
      <c r="I1272" s="34" t="s">
        <v>90</v>
      </c>
      <c r="J1272" s="99">
        <f>+'[3]Dự thầu'!$G726</f>
        <v>10406267</v>
      </c>
      <c r="K1272" s="98">
        <f t="shared" si="158"/>
        <v>511231801</v>
      </c>
      <c r="L1272" s="98">
        <f t="shared" si="162"/>
        <v>0</v>
      </c>
      <c r="M1272" s="98">
        <f t="shared" si="159"/>
        <v>511231801</v>
      </c>
      <c r="N1272" s="100"/>
    </row>
    <row r="1273" spans="1:14" ht="15.75" customHeight="1" x14ac:dyDescent="0.25">
      <c r="A1273" s="52" t="str">
        <f t="shared" si="160"/>
        <v>HT</v>
      </c>
      <c r="B1273" s="32" t="s">
        <v>1784</v>
      </c>
      <c r="C1273" s="33">
        <v>1268</v>
      </c>
      <c r="D1273" s="39" t="s">
        <v>1785</v>
      </c>
      <c r="E1273" s="33" t="s">
        <v>10</v>
      </c>
      <c r="F1273" s="33">
        <v>49.13</v>
      </c>
      <c r="G1273" s="33"/>
      <c r="H1273" s="33">
        <f t="shared" si="161"/>
        <v>49.13</v>
      </c>
      <c r="I1273" s="34" t="s">
        <v>90</v>
      </c>
      <c r="J1273" s="99">
        <f>+'[3]Dự thầu'!$G727</f>
        <v>1512019</v>
      </c>
      <c r="K1273" s="98">
        <f t="shared" si="158"/>
        <v>74285493</v>
      </c>
      <c r="L1273" s="98">
        <f t="shared" si="162"/>
        <v>0</v>
      </c>
      <c r="M1273" s="98">
        <f t="shared" si="159"/>
        <v>74285493</v>
      </c>
      <c r="N1273" s="100"/>
    </row>
    <row r="1274" spans="1:14" ht="15.75" customHeight="1" x14ac:dyDescent="0.25">
      <c r="A1274" s="52" t="str">
        <f t="shared" si="160"/>
        <v>HT</v>
      </c>
      <c r="B1274" s="32" t="s">
        <v>1786</v>
      </c>
      <c r="C1274" s="33">
        <v>1269</v>
      </c>
      <c r="D1274" s="39" t="s">
        <v>1787</v>
      </c>
      <c r="E1274" s="33" t="s">
        <v>10</v>
      </c>
      <c r="F1274" s="33">
        <v>49.13</v>
      </c>
      <c r="G1274" s="33"/>
      <c r="H1274" s="33">
        <f t="shared" si="161"/>
        <v>49.13</v>
      </c>
      <c r="I1274" s="34" t="s">
        <v>90</v>
      </c>
      <c r="J1274" s="99">
        <f>+'[3]Dự thầu'!$G728</f>
        <v>1512019</v>
      </c>
      <c r="K1274" s="98">
        <f t="shared" si="158"/>
        <v>74285493</v>
      </c>
      <c r="L1274" s="98">
        <f t="shared" si="162"/>
        <v>0</v>
      </c>
      <c r="M1274" s="98">
        <f t="shared" si="159"/>
        <v>74285493</v>
      </c>
      <c r="N1274" s="100"/>
    </row>
    <row r="1275" spans="1:14" ht="15.75" customHeight="1" x14ac:dyDescent="0.25">
      <c r="A1275" s="52" t="str">
        <f t="shared" si="160"/>
        <v>HT</v>
      </c>
      <c r="B1275" s="32" t="s">
        <v>1788</v>
      </c>
      <c r="C1275" s="33">
        <v>1270</v>
      </c>
      <c r="D1275" s="39" t="s">
        <v>1789</v>
      </c>
      <c r="E1275" s="33" t="s">
        <v>10</v>
      </c>
      <c r="F1275" s="33">
        <v>49.13</v>
      </c>
      <c r="G1275" s="33"/>
      <c r="H1275" s="33">
        <f t="shared" si="161"/>
        <v>49.13</v>
      </c>
      <c r="I1275" s="34" t="s">
        <v>90</v>
      </c>
      <c r="J1275" s="99">
        <f>+'[3]Dự thầu'!$G729</f>
        <v>1512019</v>
      </c>
      <c r="K1275" s="98">
        <f t="shared" si="158"/>
        <v>74285493</v>
      </c>
      <c r="L1275" s="98">
        <f t="shared" si="162"/>
        <v>0</v>
      </c>
      <c r="M1275" s="98">
        <f t="shared" si="159"/>
        <v>74285493</v>
      </c>
      <c r="N1275" s="100"/>
    </row>
    <row r="1276" spans="1:14" ht="15.75" customHeight="1" x14ac:dyDescent="0.25">
      <c r="A1276" s="52" t="str">
        <f t="shared" si="160"/>
        <v>HT</v>
      </c>
      <c r="B1276" s="32" t="s">
        <v>1790</v>
      </c>
      <c r="C1276" s="33">
        <v>1271</v>
      </c>
      <c r="D1276" s="39" t="s">
        <v>1791</v>
      </c>
      <c r="E1276" s="33" t="s">
        <v>10</v>
      </c>
      <c r="F1276" s="33">
        <v>49.13</v>
      </c>
      <c r="G1276" s="33"/>
      <c r="H1276" s="33">
        <f t="shared" si="161"/>
        <v>49.13</v>
      </c>
      <c r="I1276" s="34" t="s">
        <v>90</v>
      </c>
      <c r="J1276" s="99">
        <f>+'[3]Dự thầu'!$G730</f>
        <v>1512019</v>
      </c>
      <c r="K1276" s="98">
        <f t="shared" si="158"/>
        <v>74285493</v>
      </c>
      <c r="L1276" s="98">
        <f t="shared" si="162"/>
        <v>0</v>
      </c>
      <c r="M1276" s="98">
        <f t="shared" si="159"/>
        <v>74285493</v>
      </c>
      <c r="N1276" s="100"/>
    </row>
    <row r="1277" spans="1:14" ht="15.75" customHeight="1" x14ac:dyDescent="0.25">
      <c r="A1277" s="52" t="str">
        <f t="shared" si="160"/>
        <v>HT</v>
      </c>
      <c r="B1277" s="32" t="s">
        <v>1792</v>
      </c>
      <c r="C1277" s="33">
        <v>1272</v>
      </c>
      <c r="D1277" s="39" t="s">
        <v>1793</v>
      </c>
      <c r="E1277" s="33" t="s">
        <v>10</v>
      </c>
      <c r="F1277" s="33">
        <v>40.64</v>
      </c>
      <c r="G1277" s="33"/>
      <c r="H1277" s="33">
        <f t="shared" si="161"/>
        <v>40.64</v>
      </c>
      <c r="I1277" s="34" t="s">
        <v>90</v>
      </c>
      <c r="J1277" s="99">
        <f>+'[3]Dự thầu'!$G731</f>
        <v>1512019</v>
      </c>
      <c r="K1277" s="98">
        <f t="shared" si="158"/>
        <v>61448452</v>
      </c>
      <c r="L1277" s="98">
        <f t="shared" si="162"/>
        <v>0</v>
      </c>
      <c r="M1277" s="98">
        <f t="shared" si="159"/>
        <v>61448452</v>
      </c>
      <c r="N1277" s="100"/>
    </row>
    <row r="1278" spans="1:14" ht="15.75" customHeight="1" x14ac:dyDescent="0.25">
      <c r="A1278" s="52" t="str">
        <f t="shared" si="160"/>
        <v>HT</v>
      </c>
      <c r="B1278" s="32" t="s">
        <v>1794</v>
      </c>
      <c r="C1278" s="33">
        <v>1273</v>
      </c>
      <c r="D1278" s="39" t="s">
        <v>1795</v>
      </c>
      <c r="E1278" s="33" t="s">
        <v>10</v>
      </c>
      <c r="F1278" s="33">
        <v>40.64</v>
      </c>
      <c r="G1278" s="33"/>
      <c r="H1278" s="33">
        <f t="shared" si="161"/>
        <v>40.64</v>
      </c>
      <c r="I1278" s="34" t="s">
        <v>90</v>
      </c>
      <c r="J1278" s="99">
        <f>+'[3]Dự thầu'!$G732</f>
        <v>1565192</v>
      </c>
      <c r="K1278" s="98">
        <f t="shared" si="158"/>
        <v>63609403</v>
      </c>
      <c r="L1278" s="98">
        <f t="shared" si="162"/>
        <v>0</v>
      </c>
      <c r="M1278" s="98">
        <f t="shared" si="159"/>
        <v>63609403</v>
      </c>
      <c r="N1278" s="100"/>
    </row>
    <row r="1279" spans="1:14" ht="15.75" customHeight="1" x14ac:dyDescent="0.25">
      <c r="A1279" s="52" t="str">
        <f t="shared" si="160"/>
        <v>HT</v>
      </c>
      <c r="B1279" s="32" t="s">
        <v>1796</v>
      </c>
      <c r="C1279" s="33">
        <v>1274</v>
      </c>
      <c r="D1279" s="39" t="s">
        <v>1797</v>
      </c>
      <c r="E1279" s="33" t="s">
        <v>10</v>
      </c>
      <c r="F1279" s="33">
        <v>40.64</v>
      </c>
      <c r="G1279" s="33"/>
      <c r="H1279" s="33">
        <f t="shared" si="161"/>
        <v>40.64</v>
      </c>
      <c r="I1279" s="34" t="s">
        <v>90</v>
      </c>
      <c r="J1279" s="99">
        <f>+'[3]Dự thầu'!$G733</f>
        <v>1512019</v>
      </c>
      <c r="K1279" s="98">
        <f t="shared" si="158"/>
        <v>61448452</v>
      </c>
      <c r="L1279" s="98">
        <f t="shared" si="162"/>
        <v>0</v>
      </c>
      <c r="M1279" s="98">
        <f t="shared" si="159"/>
        <v>61448452</v>
      </c>
      <c r="N1279" s="100"/>
    </row>
    <row r="1280" spans="1:14" ht="15.75" customHeight="1" x14ac:dyDescent="0.25">
      <c r="A1280" s="52" t="str">
        <f t="shared" si="160"/>
        <v>HT</v>
      </c>
      <c r="B1280" s="32" t="s">
        <v>1798</v>
      </c>
      <c r="C1280" s="33">
        <v>1275</v>
      </c>
      <c r="D1280" s="39" t="s">
        <v>1799</v>
      </c>
      <c r="E1280" s="33" t="s">
        <v>10</v>
      </c>
      <c r="F1280" s="33">
        <v>40.64</v>
      </c>
      <c r="G1280" s="33"/>
      <c r="H1280" s="33">
        <f t="shared" si="161"/>
        <v>40.64</v>
      </c>
      <c r="I1280" s="34" t="s">
        <v>90</v>
      </c>
      <c r="J1280" s="99">
        <f>+'[3]Dự thầu'!$G734</f>
        <v>1512019</v>
      </c>
      <c r="K1280" s="98">
        <f t="shared" si="158"/>
        <v>61448452</v>
      </c>
      <c r="L1280" s="98">
        <f t="shared" si="162"/>
        <v>0</v>
      </c>
      <c r="M1280" s="98">
        <f t="shared" si="159"/>
        <v>61448452</v>
      </c>
      <c r="N1280" s="100"/>
    </row>
    <row r="1281" spans="1:14" ht="15.75" customHeight="1" x14ac:dyDescent="0.25">
      <c r="A1281" s="52" t="str">
        <f t="shared" si="160"/>
        <v>HT</v>
      </c>
      <c r="B1281" s="32" t="s">
        <v>1800</v>
      </c>
      <c r="C1281" s="33">
        <v>1276</v>
      </c>
      <c r="D1281" s="39" t="s">
        <v>1801</v>
      </c>
      <c r="E1281" s="33" t="s">
        <v>10</v>
      </c>
      <c r="F1281" s="33">
        <v>359.06</v>
      </c>
      <c r="G1281" s="33"/>
      <c r="H1281" s="33">
        <f t="shared" si="161"/>
        <v>359.06</v>
      </c>
      <c r="I1281" s="34" t="s">
        <v>90</v>
      </c>
      <c r="J1281" s="99">
        <f>+'[3]Dự thầu'!$G735</f>
        <v>5687244</v>
      </c>
      <c r="K1281" s="98">
        <f t="shared" si="158"/>
        <v>2042061831</v>
      </c>
      <c r="L1281" s="98">
        <f t="shared" si="162"/>
        <v>0</v>
      </c>
      <c r="M1281" s="98">
        <f t="shared" si="159"/>
        <v>2042061831</v>
      </c>
      <c r="N1281" s="100"/>
    </row>
    <row r="1282" spans="1:14" ht="15.75" customHeight="1" x14ac:dyDescent="0.25">
      <c r="A1282" s="52" t="str">
        <f t="shared" si="160"/>
        <v>HT</v>
      </c>
      <c r="B1282" s="32" t="s">
        <v>1802</v>
      </c>
      <c r="C1282" s="33">
        <v>1277</v>
      </c>
      <c r="D1282" s="39" t="s">
        <v>1803</v>
      </c>
      <c r="E1282" s="33" t="s">
        <v>10</v>
      </c>
      <c r="F1282" s="33">
        <v>359.06</v>
      </c>
      <c r="G1282" s="33"/>
      <c r="H1282" s="33">
        <f t="shared" si="161"/>
        <v>359.06</v>
      </c>
      <c r="I1282" s="34" t="s">
        <v>90</v>
      </c>
      <c r="J1282" s="99">
        <f>+'[3]Dự thầu'!$G736</f>
        <v>2343426</v>
      </c>
      <c r="K1282" s="98">
        <f t="shared" si="158"/>
        <v>841430540</v>
      </c>
      <c r="L1282" s="98">
        <f t="shared" si="162"/>
        <v>0</v>
      </c>
      <c r="M1282" s="98">
        <f t="shared" si="159"/>
        <v>841430540</v>
      </c>
      <c r="N1282" s="100"/>
    </row>
    <row r="1283" spans="1:14" ht="31.5" customHeight="1" x14ac:dyDescent="0.25">
      <c r="A1283" s="52" t="str">
        <f t="shared" si="160"/>
        <v>HT</v>
      </c>
      <c r="B1283" s="32" t="s">
        <v>1804</v>
      </c>
      <c r="C1283" s="33">
        <v>1278</v>
      </c>
      <c r="D1283" s="39" t="s">
        <v>1805</v>
      </c>
      <c r="E1283" s="33" t="s">
        <v>10</v>
      </c>
      <c r="F1283" s="33">
        <v>113.24</v>
      </c>
      <c r="G1283" s="33"/>
      <c r="H1283" s="33">
        <f t="shared" si="161"/>
        <v>113.24</v>
      </c>
      <c r="I1283" s="34" t="s">
        <v>90</v>
      </c>
      <c r="J1283" s="99">
        <f>+'[3]Dự thầu'!$G737</f>
        <v>2165664</v>
      </c>
      <c r="K1283" s="98">
        <f t="shared" si="158"/>
        <v>245239791</v>
      </c>
      <c r="L1283" s="98">
        <f t="shared" si="162"/>
        <v>0</v>
      </c>
      <c r="M1283" s="98">
        <f t="shared" si="159"/>
        <v>245239791</v>
      </c>
      <c r="N1283" s="100"/>
    </row>
    <row r="1284" spans="1:14" ht="31.5" customHeight="1" x14ac:dyDescent="0.25">
      <c r="A1284" s="52" t="str">
        <f t="shared" si="160"/>
        <v>HT</v>
      </c>
      <c r="B1284" s="32" t="s">
        <v>1806</v>
      </c>
      <c r="C1284" s="33">
        <v>1279</v>
      </c>
      <c r="D1284" s="39" t="s">
        <v>1807</v>
      </c>
      <c r="E1284" s="33" t="s">
        <v>10</v>
      </c>
      <c r="F1284" s="33">
        <v>113.24</v>
      </c>
      <c r="G1284" s="33"/>
      <c r="H1284" s="33">
        <f t="shared" si="161"/>
        <v>113.24</v>
      </c>
      <c r="I1284" s="34" t="s">
        <v>90</v>
      </c>
      <c r="J1284" s="99">
        <f>+'[3]Dự thầu'!$G738</f>
        <v>2165664</v>
      </c>
      <c r="K1284" s="98">
        <f t="shared" si="158"/>
        <v>245239791</v>
      </c>
      <c r="L1284" s="98">
        <f t="shared" si="162"/>
        <v>0</v>
      </c>
      <c r="M1284" s="98">
        <f t="shared" si="159"/>
        <v>245239791</v>
      </c>
      <c r="N1284" s="100"/>
    </row>
    <row r="1285" spans="1:14" ht="15.75" customHeight="1" x14ac:dyDescent="0.25">
      <c r="A1285" s="52" t="str">
        <f t="shared" si="160"/>
        <v>HT</v>
      </c>
      <c r="B1285" s="32" t="s">
        <v>1808</v>
      </c>
      <c r="C1285" s="33">
        <v>1280</v>
      </c>
      <c r="D1285" s="39" t="s">
        <v>1809</v>
      </c>
      <c r="E1285" s="33" t="s">
        <v>10</v>
      </c>
      <c r="F1285" s="33">
        <v>5704</v>
      </c>
      <c r="G1285" s="33"/>
      <c r="H1285" s="33">
        <f t="shared" si="161"/>
        <v>5704</v>
      </c>
      <c r="I1285" s="34" t="s">
        <v>75</v>
      </c>
      <c r="J1285" s="99">
        <f>+'[3]Dự thầu'!$G739</f>
        <v>67386</v>
      </c>
      <c r="K1285" s="98">
        <f t="shared" si="158"/>
        <v>384369744</v>
      </c>
      <c r="L1285" s="98">
        <f t="shared" si="162"/>
        <v>0</v>
      </c>
      <c r="M1285" s="98">
        <f t="shared" si="159"/>
        <v>384369744</v>
      </c>
      <c r="N1285" s="100"/>
    </row>
    <row r="1286" spans="1:14" ht="31.5" customHeight="1" x14ac:dyDescent="0.25">
      <c r="A1286" s="52" t="str">
        <f t="shared" si="160"/>
        <v>HT</v>
      </c>
      <c r="B1286" s="32" t="s">
        <v>1810</v>
      </c>
      <c r="C1286" s="33">
        <v>1281</v>
      </c>
      <c r="D1286" s="39" t="s">
        <v>1811</v>
      </c>
      <c r="E1286" s="33" t="s">
        <v>10</v>
      </c>
      <c r="F1286" s="33">
        <v>248</v>
      </c>
      <c r="G1286" s="33"/>
      <c r="H1286" s="33">
        <f t="shared" si="161"/>
        <v>248</v>
      </c>
      <c r="I1286" s="34" t="s">
        <v>75</v>
      </c>
      <c r="J1286" s="99">
        <f>+'[3]Dự thầu'!$G740</f>
        <v>67386</v>
      </c>
      <c r="K1286" s="98">
        <f t="shared" si="158"/>
        <v>16711728</v>
      </c>
      <c r="L1286" s="98">
        <f t="shared" si="162"/>
        <v>0</v>
      </c>
      <c r="M1286" s="98">
        <f t="shared" si="159"/>
        <v>16711728</v>
      </c>
      <c r="N1286" s="100"/>
    </row>
    <row r="1287" spans="1:14" ht="15.75" customHeight="1" x14ac:dyDescent="0.25">
      <c r="A1287" s="52" t="str">
        <f t="shared" si="160"/>
        <v>HT</v>
      </c>
      <c r="B1287" s="32" t="s">
        <v>1812</v>
      </c>
      <c r="C1287" s="33">
        <v>1282</v>
      </c>
      <c r="D1287" s="39" t="s">
        <v>1813</v>
      </c>
      <c r="E1287" s="33" t="s">
        <v>10</v>
      </c>
      <c r="F1287" s="33">
        <v>5704</v>
      </c>
      <c r="G1287" s="33"/>
      <c r="H1287" s="33">
        <f t="shared" si="161"/>
        <v>5704</v>
      </c>
      <c r="I1287" s="34" t="s">
        <v>75</v>
      </c>
      <c r="J1287" s="99">
        <f>+'[3]Dự thầu'!$G741</f>
        <v>52562</v>
      </c>
      <c r="K1287" s="98">
        <f t="shared" ref="K1287:K1349" si="163">+ROUND(J1287*F1287,0)</f>
        <v>299813648</v>
      </c>
      <c r="L1287" s="98">
        <f t="shared" si="162"/>
        <v>0</v>
      </c>
      <c r="M1287" s="98">
        <f t="shared" ref="M1287:M1349" si="164">+ROUND(H1287*J1287,0)</f>
        <v>299813648</v>
      </c>
      <c r="N1287" s="100"/>
    </row>
    <row r="1288" spans="1:14" ht="15.75" customHeight="1" x14ac:dyDescent="0.25">
      <c r="A1288" s="52" t="str">
        <f t="shared" si="160"/>
        <v>HT</v>
      </c>
      <c r="B1288" s="32" t="s">
        <v>1814</v>
      </c>
      <c r="C1288" s="33">
        <v>1283</v>
      </c>
      <c r="D1288" s="39" t="s">
        <v>1815</v>
      </c>
      <c r="E1288" s="33" t="s">
        <v>10</v>
      </c>
      <c r="F1288" s="103">
        <v>5522.2103999999999</v>
      </c>
      <c r="G1288" s="103"/>
      <c r="H1288" s="103">
        <f t="shared" si="161"/>
        <v>5522.2103999999999</v>
      </c>
      <c r="I1288" s="34" t="s">
        <v>16</v>
      </c>
      <c r="J1288" s="99">
        <f>+'[3]Dự thầu'!$G742</f>
        <v>21361</v>
      </c>
      <c r="K1288" s="98">
        <f t="shared" si="163"/>
        <v>117959936</v>
      </c>
      <c r="L1288" s="98">
        <f t="shared" si="162"/>
        <v>0</v>
      </c>
      <c r="M1288" s="98">
        <f t="shared" si="164"/>
        <v>117959936</v>
      </c>
      <c r="N1288" s="100"/>
    </row>
    <row r="1289" spans="1:14" ht="15.75" customHeight="1" x14ac:dyDescent="0.25">
      <c r="A1289" s="52" t="str">
        <f t="shared" si="160"/>
        <v>HT</v>
      </c>
      <c r="B1289" s="32" t="s">
        <v>1816</v>
      </c>
      <c r="C1289" s="33">
        <v>1284</v>
      </c>
      <c r="D1289" s="39" t="s">
        <v>1817</v>
      </c>
      <c r="E1289" s="33" t="s">
        <v>10</v>
      </c>
      <c r="F1289" s="101">
        <v>2881.1</v>
      </c>
      <c r="G1289" s="101"/>
      <c r="H1289" s="101">
        <f t="shared" si="161"/>
        <v>2881.1</v>
      </c>
      <c r="I1289" s="34" t="s">
        <v>16</v>
      </c>
      <c r="J1289" s="99">
        <f>+'[3]Dự thầu'!$G743</f>
        <v>19560</v>
      </c>
      <c r="K1289" s="98">
        <f t="shared" si="163"/>
        <v>56354316</v>
      </c>
      <c r="L1289" s="98">
        <f t="shared" si="162"/>
        <v>0</v>
      </c>
      <c r="M1289" s="98">
        <f t="shared" si="164"/>
        <v>56354316</v>
      </c>
      <c r="N1289" s="100"/>
    </row>
    <row r="1290" spans="1:14" ht="15.75" customHeight="1" x14ac:dyDescent="0.25">
      <c r="A1290" s="52" t="str">
        <f t="shared" si="160"/>
        <v>HT</v>
      </c>
      <c r="B1290" s="32" t="s">
        <v>1818</v>
      </c>
      <c r="C1290" s="33">
        <v>1285</v>
      </c>
      <c r="D1290" s="39" t="s">
        <v>1819</v>
      </c>
      <c r="E1290" s="33" t="s">
        <v>10</v>
      </c>
      <c r="F1290" s="33">
        <v>994.42079999999999</v>
      </c>
      <c r="G1290" s="33"/>
      <c r="H1290" s="33">
        <f t="shared" si="161"/>
        <v>994.42079999999999</v>
      </c>
      <c r="I1290" s="34" t="s">
        <v>16</v>
      </c>
      <c r="J1290" s="99">
        <f>+'[3]Dự thầu'!$G744</f>
        <v>12936</v>
      </c>
      <c r="K1290" s="98">
        <f t="shared" si="163"/>
        <v>12863827</v>
      </c>
      <c r="L1290" s="98">
        <f t="shared" si="162"/>
        <v>0</v>
      </c>
      <c r="M1290" s="98">
        <f t="shared" si="164"/>
        <v>12863827</v>
      </c>
      <c r="N1290" s="100"/>
    </row>
    <row r="1291" spans="1:14" ht="47.25" customHeight="1" x14ac:dyDescent="0.25">
      <c r="A1291" s="52" t="str">
        <f t="shared" si="160"/>
        <v>HT</v>
      </c>
      <c r="B1291" s="32" t="s">
        <v>1820</v>
      </c>
      <c r="C1291" s="33">
        <v>1286</v>
      </c>
      <c r="D1291" s="39" t="s">
        <v>1821</v>
      </c>
      <c r="E1291" s="33" t="s">
        <v>10</v>
      </c>
      <c r="F1291" s="33">
        <v>48.6</v>
      </c>
      <c r="G1291" s="33"/>
      <c r="H1291" s="33">
        <f t="shared" si="161"/>
        <v>48.6</v>
      </c>
      <c r="I1291" s="34" t="s">
        <v>16</v>
      </c>
      <c r="J1291" s="99">
        <f>+'[3]Dự thầu'!$G745</f>
        <v>1570800</v>
      </c>
      <c r="K1291" s="98">
        <f t="shared" si="163"/>
        <v>76340880</v>
      </c>
      <c r="L1291" s="98">
        <f t="shared" si="162"/>
        <v>0</v>
      </c>
      <c r="M1291" s="98">
        <f t="shared" si="164"/>
        <v>76340880</v>
      </c>
      <c r="N1291" s="100"/>
    </row>
    <row r="1292" spans="1:14" ht="15.75" customHeight="1" x14ac:dyDescent="0.25">
      <c r="A1292" s="52" t="str">
        <f t="shared" si="160"/>
        <v>HT</v>
      </c>
      <c r="B1292" s="32" t="s">
        <v>1822</v>
      </c>
      <c r="C1292" s="33">
        <v>1287</v>
      </c>
      <c r="D1292" s="39" t="s">
        <v>1823</v>
      </c>
      <c r="E1292" s="33" t="s">
        <v>10</v>
      </c>
      <c r="F1292" s="33">
        <v>573.76</v>
      </c>
      <c r="G1292" s="33"/>
      <c r="H1292" s="33">
        <f t="shared" si="161"/>
        <v>573.76</v>
      </c>
      <c r="I1292" s="34" t="s">
        <v>16</v>
      </c>
      <c r="J1292" s="99">
        <f>+'[3]Dự thầu'!$G746</f>
        <v>1602004</v>
      </c>
      <c r="K1292" s="98">
        <f t="shared" si="163"/>
        <v>919165815</v>
      </c>
      <c r="L1292" s="98">
        <f t="shared" si="162"/>
        <v>0</v>
      </c>
      <c r="M1292" s="98">
        <f t="shared" si="164"/>
        <v>919165815</v>
      </c>
      <c r="N1292" s="100"/>
    </row>
    <row r="1293" spans="1:14" ht="31.5" customHeight="1" x14ac:dyDescent="0.25">
      <c r="A1293" s="52" t="str">
        <f t="shared" si="160"/>
        <v>HT</v>
      </c>
      <c r="B1293" s="32" t="s">
        <v>1824</v>
      </c>
      <c r="C1293" s="33">
        <v>1288</v>
      </c>
      <c r="D1293" s="39" t="s">
        <v>1753</v>
      </c>
      <c r="E1293" s="33" t="s">
        <v>10</v>
      </c>
      <c r="F1293" s="102">
        <v>4398.51</v>
      </c>
      <c r="G1293" s="102"/>
      <c r="H1293" s="102">
        <f t="shared" si="161"/>
        <v>4398.51</v>
      </c>
      <c r="I1293" s="34" t="s">
        <v>16</v>
      </c>
      <c r="J1293" s="99">
        <f>+'[3]Dự thầu'!$G747</f>
        <v>42711</v>
      </c>
      <c r="K1293" s="98">
        <f t="shared" si="163"/>
        <v>187864761</v>
      </c>
      <c r="L1293" s="98">
        <f t="shared" si="162"/>
        <v>0</v>
      </c>
      <c r="M1293" s="98">
        <f t="shared" si="164"/>
        <v>187864761</v>
      </c>
      <c r="N1293" s="100"/>
    </row>
    <row r="1294" spans="1:14" ht="15.75" customHeight="1" x14ac:dyDescent="0.25">
      <c r="A1294" s="52" t="str">
        <f t="shared" si="160"/>
        <v>HT</v>
      </c>
      <c r="B1294" s="32" t="s">
        <v>1825</v>
      </c>
      <c r="C1294" s="33">
        <v>1289</v>
      </c>
      <c r="D1294" s="39" t="s">
        <v>1477</v>
      </c>
      <c r="E1294" s="33" t="s">
        <v>10</v>
      </c>
      <c r="F1294" s="33">
        <v>585.23519999999996</v>
      </c>
      <c r="G1294" s="33"/>
      <c r="H1294" s="33">
        <f t="shared" si="161"/>
        <v>585.23519999999996</v>
      </c>
      <c r="I1294" s="34" t="s">
        <v>16</v>
      </c>
      <c r="J1294" s="99">
        <f>+'[3]Dự thầu'!$G$751</f>
        <v>57102</v>
      </c>
      <c r="K1294" s="98">
        <f t="shared" si="163"/>
        <v>33418100</v>
      </c>
      <c r="L1294" s="98">
        <f t="shared" si="162"/>
        <v>0</v>
      </c>
      <c r="M1294" s="98">
        <f t="shared" si="164"/>
        <v>33418100</v>
      </c>
      <c r="N1294" s="100"/>
    </row>
    <row r="1295" spans="1:14" ht="15.75" customHeight="1" x14ac:dyDescent="0.25">
      <c r="A1295" s="52" t="str">
        <f t="shared" si="160"/>
        <v>HT</v>
      </c>
      <c r="B1295" s="32" t="s">
        <v>1826</v>
      </c>
      <c r="C1295" s="33">
        <v>1290</v>
      </c>
      <c r="D1295" s="39" t="s">
        <v>562</v>
      </c>
      <c r="E1295" s="33" t="s">
        <v>10</v>
      </c>
      <c r="F1295" s="33">
        <v>585.24</v>
      </c>
      <c r="G1295" s="33"/>
      <c r="H1295" s="33">
        <f t="shared" si="161"/>
        <v>585.24</v>
      </c>
      <c r="I1295" s="34" t="s">
        <v>16</v>
      </c>
      <c r="J1295" s="99">
        <f>+'[3]Dự thầu'!$G$752+'[3]Dự thầu'!$G$753</f>
        <v>285443</v>
      </c>
      <c r="K1295" s="98">
        <f t="shared" si="163"/>
        <v>167052661</v>
      </c>
      <c r="L1295" s="98">
        <f t="shared" si="162"/>
        <v>0</v>
      </c>
      <c r="M1295" s="98">
        <f t="shared" si="164"/>
        <v>167052661</v>
      </c>
      <c r="N1295" s="100"/>
    </row>
    <row r="1296" spans="1:14" ht="15.75" customHeight="1" x14ac:dyDescent="0.25">
      <c r="A1296" s="52" t="str">
        <f t="shared" si="160"/>
        <v>HT</v>
      </c>
      <c r="B1296" s="32" t="s">
        <v>1827</v>
      </c>
      <c r="C1296" s="33">
        <v>1291</v>
      </c>
      <c r="D1296" s="39" t="s">
        <v>1828</v>
      </c>
      <c r="E1296" s="33" t="s">
        <v>10</v>
      </c>
      <c r="F1296" s="103">
        <v>6951.9075999999995</v>
      </c>
      <c r="G1296" s="103"/>
      <c r="H1296" s="103">
        <f t="shared" si="161"/>
        <v>6951.9075999999995</v>
      </c>
      <c r="I1296" s="34" t="s">
        <v>16</v>
      </c>
      <c r="J1296" s="99">
        <f>+'[3]Dự thầu'!$G755</f>
        <v>292922</v>
      </c>
      <c r="K1296" s="98">
        <f t="shared" si="163"/>
        <v>2036366678</v>
      </c>
      <c r="L1296" s="98">
        <f t="shared" si="162"/>
        <v>0</v>
      </c>
      <c r="M1296" s="98">
        <f t="shared" si="164"/>
        <v>2036366678</v>
      </c>
      <c r="N1296" s="100"/>
    </row>
    <row r="1297" spans="1:14" ht="15.75" customHeight="1" x14ac:dyDescent="0.25">
      <c r="A1297" s="52" t="str">
        <f t="shared" si="160"/>
        <v>HT</v>
      </c>
      <c r="B1297" s="32" t="s">
        <v>1829</v>
      </c>
      <c r="C1297" s="33">
        <v>1292</v>
      </c>
      <c r="D1297" s="39" t="s">
        <v>1830</v>
      </c>
      <c r="E1297" s="33" t="s">
        <v>10</v>
      </c>
      <c r="F1297" s="103">
        <v>3402.2836000000002</v>
      </c>
      <c r="G1297" s="103"/>
      <c r="H1297" s="103">
        <f t="shared" si="161"/>
        <v>3402.2836000000002</v>
      </c>
      <c r="I1297" s="34" t="s">
        <v>16</v>
      </c>
      <c r="J1297" s="99">
        <f>+'[3]Dự thầu'!$G756</f>
        <v>12936</v>
      </c>
      <c r="K1297" s="98">
        <f t="shared" si="163"/>
        <v>44011941</v>
      </c>
      <c r="L1297" s="98">
        <f t="shared" si="162"/>
        <v>0</v>
      </c>
      <c r="M1297" s="98">
        <f t="shared" si="164"/>
        <v>44011941</v>
      </c>
      <c r="N1297" s="100"/>
    </row>
    <row r="1298" spans="1:14" ht="15.75" customHeight="1" x14ac:dyDescent="0.25">
      <c r="A1298" s="52" t="str">
        <f t="shared" si="160"/>
        <v>HT</v>
      </c>
      <c r="B1298" s="32" t="s">
        <v>1831</v>
      </c>
      <c r="C1298" s="33">
        <v>1293</v>
      </c>
      <c r="D1298" s="39" t="s">
        <v>1832</v>
      </c>
      <c r="E1298" s="33" t="s">
        <v>10</v>
      </c>
      <c r="F1298" s="103">
        <v>274.85919999999999</v>
      </c>
      <c r="G1298" s="103"/>
      <c r="H1298" s="103">
        <f t="shared" si="161"/>
        <v>274.85919999999999</v>
      </c>
      <c r="I1298" s="34" t="s">
        <v>16</v>
      </c>
      <c r="J1298" s="99">
        <f>+'[3]Dự thầu'!$G757</f>
        <v>20072</v>
      </c>
      <c r="K1298" s="98">
        <f t="shared" si="163"/>
        <v>5516974</v>
      </c>
      <c r="L1298" s="98">
        <f t="shared" si="162"/>
        <v>0</v>
      </c>
      <c r="M1298" s="98">
        <f t="shared" si="164"/>
        <v>5516974</v>
      </c>
      <c r="N1298" s="100"/>
    </row>
    <row r="1299" spans="1:14" ht="15.75" customHeight="1" x14ac:dyDescent="0.25">
      <c r="A1299" s="52" t="str">
        <f t="shared" si="160"/>
        <v>HT</v>
      </c>
      <c r="B1299" s="32" t="s">
        <v>1833</v>
      </c>
      <c r="C1299" s="33">
        <v>1294</v>
      </c>
      <c r="D1299" s="39" t="s">
        <v>1834</v>
      </c>
      <c r="E1299" s="33" t="s">
        <v>10</v>
      </c>
      <c r="F1299" s="103">
        <v>9165.0097000000005</v>
      </c>
      <c r="G1299" s="103"/>
      <c r="H1299" s="103">
        <f t="shared" si="161"/>
        <v>9165.0097000000005</v>
      </c>
      <c r="I1299" s="34" t="s">
        <v>16</v>
      </c>
      <c r="J1299" s="99">
        <f>+'[3]Dự thầu'!$G758</f>
        <v>15760</v>
      </c>
      <c r="K1299" s="98">
        <f t="shared" si="163"/>
        <v>144440553</v>
      </c>
      <c r="L1299" s="98">
        <f t="shared" si="162"/>
        <v>0</v>
      </c>
      <c r="M1299" s="98">
        <f t="shared" si="164"/>
        <v>144440553</v>
      </c>
      <c r="N1299" s="100"/>
    </row>
    <row r="1300" spans="1:14" ht="31.5" customHeight="1" x14ac:dyDescent="0.25">
      <c r="A1300" s="52" t="str">
        <f t="shared" si="160"/>
        <v>HT</v>
      </c>
      <c r="B1300" s="32" t="s">
        <v>1835</v>
      </c>
      <c r="C1300" s="33">
        <v>1295</v>
      </c>
      <c r="D1300" s="39" t="s">
        <v>1753</v>
      </c>
      <c r="E1300" s="33" t="s">
        <v>10</v>
      </c>
      <c r="F1300" s="102">
        <v>5361.43</v>
      </c>
      <c r="G1300" s="102"/>
      <c r="H1300" s="102">
        <f t="shared" si="161"/>
        <v>5361.43</v>
      </c>
      <c r="I1300" s="34" t="s">
        <v>16</v>
      </c>
      <c r="J1300" s="99">
        <f>+'[3]Dự thầu'!$G759</f>
        <v>40424</v>
      </c>
      <c r="K1300" s="98">
        <f t="shared" si="163"/>
        <v>216730446</v>
      </c>
      <c r="L1300" s="98">
        <f t="shared" si="162"/>
        <v>0</v>
      </c>
      <c r="M1300" s="98">
        <f t="shared" si="164"/>
        <v>216730446</v>
      </c>
      <c r="N1300" s="100"/>
    </row>
    <row r="1301" spans="1:14" ht="15.75" customHeight="1" x14ac:dyDescent="0.25">
      <c r="A1301" s="52" t="str">
        <f t="shared" ref="A1301:A1349" si="165">A1300</f>
        <v>HT</v>
      </c>
      <c r="B1301" s="32" t="s">
        <v>1836</v>
      </c>
      <c r="C1301" s="33">
        <v>1296</v>
      </c>
      <c r="D1301" s="39" t="s">
        <v>1837</v>
      </c>
      <c r="E1301" s="33" t="s">
        <v>10</v>
      </c>
      <c r="F1301" s="33">
        <v>99.285600000000002</v>
      </c>
      <c r="G1301" s="33"/>
      <c r="H1301" s="33">
        <f t="shared" ref="H1301:H1349" si="166">+F1301</f>
        <v>99.285600000000002</v>
      </c>
      <c r="I1301" s="34" t="s">
        <v>16</v>
      </c>
      <c r="J1301" s="99">
        <f>+'[3]Dự thầu'!$G763</f>
        <v>1817922</v>
      </c>
      <c r="K1301" s="98">
        <f t="shared" si="163"/>
        <v>180493477</v>
      </c>
      <c r="L1301" s="98">
        <f t="shared" si="162"/>
        <v>0</v>
      </c>
      <c r="M1301" s="98">
        <f t="shared" si="164"/>
        <v>180493477</v>
      </c>
      <c r="N1301" s="100"/>
    </row>
    <row r="1302" spans="1:14" ht="15.75" customHeight="1" x14ac:dyDescent="0.25">
      <c r="A1302" s="52" t="str">
        <f t="shared" si="165"/>
        <v>HT</v>
      </c>
      <c r="B1302" s="32" t="s">
        <v>1838</v>
      </c>
      <c r="C1302" s="33">
        <v>1297</v>
      </c>
      <c r="D1302" s="39" t="s">
        <v>1597</v>
      </c>
      <c r="E1302" s="33" t="s">
        <v>10</v>
      </c>
      <c r="F1302" s="33">
        <v>1.7562</v>
      </c>
      <c r="G1302" s="33"/>
      <c r="H1302" s="33">
        <f t="shared" si="166"/>
        <v>1.7562</v>
      </c>
      <c r="I1302" s="34" t="s">
        <v>90</v>
      </c>
      <c r="J1302" s="99">
        <f>+'[3]Dự thầu'!$G764</f>
        <v>24801577</v>
      </c>
      <c r="K1302" s="98">
        <f t="shared" si="163"/>
        <v>43556530</v>
      </c>
      <c r="L1302" s="98">
        <f t="shared" si="162"/>
        <v>0</v>
      </c>
      <c r="M1302" s="98">
        <f t="shared" si="164"/>
        <v>43556530</v>
      </c>
      <c r="N1302" s="100"/>
    </row>
    <row r="1303" spans="1:14" ht="15.75" customHeight="1" x14ac:dyDescent="0.25">
      <c r="A1303" s="52" t="str">
        <f t="shared" si="165"/>
        <v>HT</v>
      </c>
      <c r="B1303" s="32" t="s">
        <v>1839</v>
      </c>
      <c r="C1303" s="33">
        <v>1298</v>
      </c>
      <c r="D1303" s="39" t="s">
        <v>622</v>
      </c>
      <c r="E1303" s="33" t="s">
        <v>10</v>
      </c>
      <c r="F1303" s="33">
        <v>884.23929999999996</v>
      </c>
      <c r="G1303" s="33"/>
      <c r="H1303" s="33">
        <f t="shared" si="166"/>
        <v>884.23929999999996</v>
      </c>
      <c r="I1303" s="34" t="s">
        <v>13</v>
      </c>
      <c r="J1303" s="99">
        <f>+'[3]Dự thầu'!$G765</f>
        <v>20017</v>
      </c>
      <c r="K1303" s="98">
        <f t="shared" si="163"/>
        <v>17699818</v>
      </c>
      <c r="L1303" s="98">
        <f t="shared" si="162"/>
        <v>0</v>
      </c>
      <c r="M1303" s="98">
        <f t="shared" si="164"/>
        <v>17699818</v>
      </c>
      <c r="N1303" s="100"/>
    </row>
    <row r="1304" spans="1:14" ht="15.75" customHeight="1" x14ac:dyDescent="0.25">
      <c r="A1304" s="52" t="str">
        <f t="shared" si="165"/>
        <v>HT</v>
      </c>
      <c r="B1304" s="32" t="s">
        <v>1840</v>
      </c>
      <c r="C1304" s="33">
        <v>1299</v>
      </c>
      <c r="D1304" s="39" t="s">
        <v>1605</v>
      </c>
      <c r="E1304" s="33" t="s">
        <v>10</v>
      </c>
      <c r="F1304" s="33">
        <v>224.41139999999999</v>
      </c>
      <c r="G1304" s="33"/>
      <c r="H1304" s="33">
        <f t="shared" si="166"/>
        <v>224.41139999999999</v>
      </c>
      <c r="I1304" s="34" t="s">
        <v>13</v>
      </c>
      <c r="J1304" s="99">
        <f>+'[3]Dự thầu'!$G766</f>
        <v>214840</v>
      </c>
      <c r="K1304" s="98">
        <f t="shared" si="163"/>
        <v>48212545</v>
      </c>
      <c r="L1304" s="98">
        <f t="shared" si="162"/>
        <v>0</v>
      </c>
      <c r="M1304" s="98">
        <f t="shared" si="164"/>
        <v>48212545</v>
      </c>
      <c r="N1304" s="100"/>
    </row>
    <row r="1305" spans="1:14" ht="15.75" customHeight="1" x14ac:dyDescent="0.25">
      <c r="A1305" s="52" t="str">
        <f t="shared" si="165"/>
        <v>HT</v>
      </c>
      <c r="B1305" s="32" t="s">
        <v>1841</v>
      </c>
      <c r="C1305" s="33">
        <v>1300</v>
      </c>
      <c r="D1305" s="39" t="s">
        <v>1842</v>
      </c>
      <c r="E1305" s="33" t="s">
        <v>10</v>
      </c>
      <c r="F1305" s="33">
        <v>4.4882</v>
      </c>
      <c r="G1305" s="33"/>
      <c r="H1305" s="33">
        <f t="shared" si="166"/>
        <v>4.4882</v>
      </c>
      <c r="I1305" s="34" t="s">
        <v>16</v>
      </c>
      <c r="J1305" s="99">
        <f>+'[3]Dự thầu'!$G767</f>
        <v>1152723</v>
      </c>
      <c r="K1305" s="98">
        <f t="shared" si="163"/>
        <v>5173651</v>
      </c>
      <c r="L1305" s="98">
        <f t="shared" si="162"/>
        <v>0</v>
      </c>
      <c r="M1305" s="98">
        <f t="shared" si="164"/>
        <v>5173651</v>
      </c>
      <c r="N1305" s="100"/>
    </row>
    <row r="1306" spans="1:14" ht="15.75" customHeight="1" x14ac:dyDescent="0.25">
      <c r="A1306" s="52" t="str">
        <f t="shared" si="165"/>
        <v>HT</v>
      </c>
      <c r="B1306" s="32" t="s">
        <v>1843</v>
      </c>
      <c r="C1306" s="33">
        <v>1301</v>
      </c>
      <c r="D1306" s="39" t="s">
        <v>1844</v>
      </c>
      <c r="E1306" s="33" t="s">
        <v>10</v>
      </c>
      <c r="F1306" s="33">
        <v>9165</v>
      </c>
      <c r="G1306" s="33"/>
      <c r="H1306" s="33">
        <f t="shared" si="166"/>
        <v>9165</v>
      </c>
      <c r="I1306" s="34" t="s">
        <v>16</v>
      </c>
      <c r="J1306" s="99">
        <f>+'[3]Dự thầu'!$G768</f>
        <v>20072</v>
      </c>
      <c r="K1306" s="98">
        <f t="shared" si="163"/>
        <v>183959880</v>
      </c>
      <c r="L1306" s="98">
        <f t="shared" si="162"/>
        <v>0</v>
      </c>
      <c r="M1306" s="98">
        <f t="shared" si="164"/>
        <v>183959880</v>
      </c>
      <c r="N1306" s="100"/>
    </row>
    <row r="1307" spans="1:14" ht="15.75" customHeight="1" x14ac:dyDescent="0.25">
      <c r="A1307" s="52" t="str">
        <f t="shared" si="165"/>
        <v>HT</v>
      </c>
      <c r="B1307" s="32" t="s">
        <v>1845</v>
      </c>
      <c r="C1307" s="33">
        <v>1302</v>
      </c>
      <c r="D1307" s="39" t="s">
        <v>1846</v>
      </c>
      <c r="E1307" s="33" t="s">
        <v>10</v>
      </c>
      <c r="F1307" s="33">
        <v>4230.09</v>
      </c>
      <c r="G1307" s="33"/>
      <c r="H1307" s="33">
        <f t="shared" si="166"/>
        <v>4230.09</v>
      </c>
      <c r="I1307" s="34" t="s">
        <v>16</v>
      </c>
      <c r="J1307" s="99">
        <f>+'[3]Dự thầu'!$G769</f>
        <v>9946</v>
      </c>
      <c r="K1307" s="98">
        <f t="shared" si="163"/>
        <v>42072475</v>
      </c>
      <c r="L1307" s="98">
        <f t="shared" si="162"/>
        <v>0</v>
      </c>
      <c r="M1307" s="98">
        <f t="shared" si="164"/>
        <v>42072475</v>
      </c>
      <c r="N1307" s="100"/>
    </row>
    <row r="1308" spans="1:14" ht="15.75" customHeight="1" x14ac:dyDescent="0.25">
      <c r="A1308" s="52" t="str">
        <f t="shared" si="165"/>
        <v>HT</v>
      </c>
      <c r="B1308" s="32" t="s">
        <v>1847</v>
      </c>
      <c r="C1308" s="33">
        <v>1303</v>
      </c>
      <c r="D1308" s="39" t="s">
        <v>1848</v>
      </c>
      <c r="E1308" s="33" t="s">
        <v>10</v>
      </c>
      <c r="F1308" s="33">
        <v>229.90219999999999</v>
      </c>
      <c r="G1308" s="33"/>
      <c r="H1308" s="33">
        <f t="shared" si="166"/>
        <v>229.90219999999999</v>
      </c>
      <c r="I1308" s="34" t="s">
        <v>16</v>
      </c>
      <c r="J1308" s="99">
        <f>+'[3]Dự thầu'!$G770</f>
        <v>1563454</v>
      </c>
      <c r="K1308" s="98">
        <f t="shared" si="163"/>
        <v>359441514</v>
      </c>
      <c r="L1308" s="98">
        <f t="shared" si="162"/>
        <v>0</v>
      </c>
      <c r="M1308" s="98">
        <f t="shared" si="164"/>
        <v>359441514</v>
      </c>
      <c r="N1308" s="100"/>
    </row>
    <row r="1309" spans="1:14" ht="15.75" customHeight="1" x14ac:dyDescent="0.25">
      <c r="A1309" s="52" t="str">
        <f t="shared" si="165"/>
        <v>HT</v>
      </c>
      <c r="B1309" s="32" t="s">
        <v>1849</v>
      </c>
      <c r="C1309" s="33">
        <v>1304</v>
      </c>
      <c r="D1309" s="39" t="s">
        <v>1597</v>
      </c>
      <c r="E1309" s="33" t="s">
        <v>10</v>
      </c>
      <c r="F1309" s="33">
        <v>0.79</v>
      </c>
      <c r="G1309" s="33"/>
      <c r="H1309" s="33">
        <f t="shared" si="166"/>
        <v>0.79</v>
      </c>
      <c r="I1309" s="34" t="s">
        <v>90</v>
      </c>
      <c r="J1309" s="99">
        <f>+'[3]Dự thầu'!$G771</f>
        <v>27101433</v>
      </c>
      <c r="K1309" s="98">
        <f t="shared" si="163"/>
        <v>21410132</v>
      </c>
      <c r="L1309" s="98">
        <f t="shared" si="162"/>
        <v>0</v>
      </c>
      <c r="M1309" s="98">
        <f t="shared" si="164"/>
        <v>21410132</v>
      </c>
      <c r="N1309" s="100"/>
    </row>
    <row r="1310" spans="1:14" ht="15.75" customHeight="1" x14ac:dyDescent="0.25">
      <c r="A1310" s="52" t="str">
        <f t="shared" si="165"/>
        <v>HT</v>
      </c>
      <c r="B1310" s="32" t="s">
        <v>1850</v>
      </c>
      <c r="C1310" s="33">
        <v>1305</v>
      </c>
      <c r="D1310" s="39" t="s">
        <v>497</v>
      </c>
      <c r="E1310" s="33" t="s">
        <v>10</v>
      </c>
      <c r="F1310" s="103">
        <v>2643.8755000000001</v>
      </c>
      <c r="G1310" s="103"/>
      <c r="H1310" s="103">
        <f t="shared" si="166"/>
        <v>2643.8755000000001</v>
      </c>
      <c r="I1310" s="34" t="s">
        <v>13</v>
      </c>
      <c r="J1310" s="99">
        <f>+'[3]Dự thầu'!$G772</f>
        <v>86606</v>
      </c>
      <c r="K1310" s="98">
        <f t="shared" si="163"/>
        <v>228975482</v>
      </c>
      <c r="L1310" s="98">
        <f t="shared" si="162"/>
        <v>0</v>
      </c>
      <c r="M1310" s="98">
        <f t="shared" si="164"/>
        <v>228975482</v>
      </c>
      <c r="N1310" s="100"/>
    </row>
    <row r="1311" spans="1:14" ht="15.75" customHeight="1" x14ac:dyDescent="0.25">
      <c r="A1311" s="52" t="str">
        <f t="shared" si="165"/>
        <v>HT</v>
      </c>
      <c r="B1311" s="32" t="s">
        <v>1851</v>
      </c>
      <c r="C1311" s="33">
        <v>1306</v>
      </c>
      <c r="D1311" s="39" t="s">
        <v>1852</v>
      </c>
      <c r="E1311" s="33" t="s">
        <v>10</v>
      </c>
      <c r="F1311" s="103">
        <v>7184.4443000000001</v>
      </c>
      <c r="G1311" s="103"/>
      <c r="H1311" s="103">
        <f t="shared" si="166"/>
        <v>7184.4443000000001</v>
      </c>
      <c r="I1311" s="34" t="s">
        <v>297</v>
      </c>
      <c r="J1311" s="99">
        <f>+'[3]Dự thầu'!$G773</f>
        <v>36395</v>
      </c>
      <c r="K1311" s="98">
        <f t="shared" si="163"/>
        <v>261477850</v>
      </c>
      <c r="L1311" s="98">
        <f t="shared" si="162"/>
        <v>0</v>
      </c>
      <c r="M1311" s="98">
        <f t="shared" si="164"/>
        <v>261477850</v>
      </c>
      <c r="N1311" s="100"/>
    </row>
    <row r="1312" spans="1:14" ht="47.25" customHeight="1" x14ac:dyDescent="0.25">
      <c r="A1312" s="52" t="str">
        <f t="shared" si="165"/>
        <v>HT</v>
      </c>
      <c r="B1312" s="32" t="s">
        <v>1853</v>
      </c>
      <c r="C1312" s="33">
        <v>1307</v>
      </c>
      <c r="D1312" s="39" t="s">
        <v>1854</v>
      </c>
      <c r="E1312" s="33" t="s">
        <v>10</v>
      </c>
      <c r="F1312" s="103">
        <v>7184.4443000000001</v>
      </c>
      <c r="G1312" s="103"/>
      <c r="H1312" s="103">
        <f t="shared" si="166"/>
        <v>7184.4443000000001</v>
      </c>
      <c r="I1312" s="34" t="s">
        <v>250</v>
      </c>
      <c r="J1312" s="99">
        <f>+'[3]Dự thầu'!$G774</f>
        <v>33894</v>
      </c>
      <c r="K1312" s="98">
        <f t="shared" si="163"/>
        <v>243509555</v>
      </c>
      <c r="L1312" s="98">
        <f t="shared" si="162"/>
        <v>0</v>
      </c>
      <c r="M1312" s="98">
        <f t="shared" si="164"/>
        <v>243509555</v>
      </c>
      <c r="N1312" s="100"/>
    </row>
    <row r="1313" spans="1:14" ht="47.25" customHeight="1" x14ac:dyDescent="0.25">
      <c r="A1313" s="52" t="str">
        <f t="shared" si="165"/>
        <v>HT</v>
      </c>
      <c r="B1313" s="32" t="s">
        <v>1855</v>
      </c>
      <c r="C1313" s="33">
        <v>1308</v>
      </c>
      <c r="D1313" s="39" t="s">
        <v>1856</v>
      </c>
      <c r="E1313" s="33" t="s">
        <v>10</v>
      </c>
      <c r="F1313" s="103">
        <v>7184.4443000000001</v>
      </c>
      <c r="G1313" s="103"/>
      <c r="H1313" s="103">
        <f t="shared" si="166"/>
        <v>7184.4443000000001</v>
      </c>
      <c r="I1313" s="34" t="s">
        <v>250</v>
      </c>
      <c r="J1313" s="99">
        <f>+'[3]Dự thầu'!$G775</f>
        <v>26228</v>
      </c>
      <c r="K1313" s="98">
        <f t="shared" si="163"/>
        <v>188433605</v>
      </c>
      <c r="L1313" s="98">
        <f t="shared" si="162"/>
        <v>0</v>
      </c>
      <c r="M1313" s="98">
        <f t="shared" si="164"/>
        <v>188433605</v>
      </c>
      <c r="N1313" s="100"/>
    </row>
    <row r="1314" spans="1:14" ht="31.5" customHeight="1" x14ac:dyDescent="0.25">
      <c r="A1314" s="52" t="str">
        <f t="shared" si="165"/>
        <v>HT</v>
      </c>
      <c r="B1314" s="32" t="s">
        <v>1857</v>
      </c>
      <c r="C1314" s="33">
        <v>1309</v>
      </c>
      <c r="D1314" s="39" t="s">
        <v>284</v>
      </c>
      <c r="E1314" s="33" t="s">
        <v>10</v>
      </c>
      <c r="F1314" s="33">
        <v>57.4756</v>
      </c>
      <c r="G1314" s="33"/>
      <c r="H1314" s="33">
        <f t="shared" si="166"/>
        <v>57.4756</v>
      </c>
      <c r="I1314" s="34" t="s">
        <v>253</v>
      </c>
      <c r="J1314" s="99">
        <f>+'[3]Dự thầu'!$G776</f>
        <v>36271</v>
      </c>
      <c r="K1314" s="98">
        <f t="shared" si="163"/>
        <v>2084697</v>
      </c>
      <c r="L1314" s="98">
        <f t="shared" si="162"/>
        <v>0</v>
      </c>
      <c r="M1314" s="98">
        <f t="shared" si="164"/>
        <v>2084697</v>
      </c>
      <c r="N1314" s="100"/>
    </row>
    <row r="1315" spans="1:14" ht="15.75" customHeight="1" x14ac:dyDescent="0.25">
      <c r="A1315" s="52" t="str">
        <f t="shared" si="165"/>
        <v>HT</v>
      </c>
      <c r="B1315" s="32" t="s">
        <v>1858</v>
      </c>
      <c r="C1315" s="33">
        <v>1310</v>
      </c>
      <c r="D1315" s="39" t="s">
        <v>1859</v>
      </c>
      <c r="E1315" s="33" t="s">
        <v>10</v>
      </c>
      <c r="F1315" s="33">
        <v>2.48</v>
      </c>
      <c r="G1315" s="33"/>
      <c r="H1315" s="33">
        <f t="shared" si="166"/>
        <v>2.48</v>
      </c>
      <c r="I1315" s="34" t="s">
        <v>16</v>
      </c>
      <c r="J1315" s="99">
        <f>+'[3]Dự thầu'!$G777</f>
        <v>1654556</v>
      </c>
      <c r="K1315" s="98">
        <f t="shared" si="163"/>
        <v>4103299</v>
      </c>
      <c r="L1315" s="98">
        <f t="shared" si="162"/>
        <v>0</v>
      </c>
      <c r="M1315" s="98">
        <f t="shared" si="164"/>
        <v>4103299</v>
      </c>
      <c r="N1315" s="100"/>
    </row>
    <row r="1316" spans="1:14" ht="15.75" customHeight="1" x14ac:dyDescent="0.25">
      <c r="A1316" s="52" t="str">
        <f t="shared" si="165"/>
        <v>HT</v>
      </c>
      <c r="B1316" s="32" t="s">
        <v>1860</v>
      </c>
      <c r="C1316" s="33">
        <v>1311</v>
      </c>
      <c r="D1316" s="39" t="s">
        <v>1861</v>
      </c>
      <c r="E1316" s="33" t="s">
        <v>10</v>
      </c>
      <c r="F1316" s="33">
        <v>1.5349999999999999</v>
      </c>
      <c r="G1316" s="33"/>
      <c r="H1316" s="33">
        <f t="shared" si="166"/>
        <v>1.5349999999999999</v>
      </c>
      <c r="I1316" s="34" t="s">
        <v>16</v>
      </c>
      <c r="J1316" s="99">
        <f>+'[3]Dự thầu'!$G778</f>
        <v>1152723</v>
      </c>
      <c r="K1316" s="98">
        <f t="shared" si="163"/>
        <v>1769430</v>
      </c>
      <c r="L1316" s="98">
        <f t="shared" si="162"/>
        <v>0</v>
      </c>
      <c r="M1316" s="98">
        <f t="shared" si="164"/>
        <v>1769430</v>
      </c>
      <c r="N1316" s="100"/>
    </row>
    <row r="1317" spans="1:14" ht="15.75" customHeight="1" x14ac:dyDescent="0.25">
      <c r="A1317" s="52" t="str">
        <f t="shared" si="165"/>
        <v>HT</v>
      </c>
      <c r="B1317" s="32" t="s">
        <v>1862</v>
      </c>
      <c r="C1317" s="33">
        <v>1312</v>
      </c>
      <c r="D1317" s="39" t="s">
        <v>497</v>
      </c>
      <c r="E1317" s="33" t="s">
        <v>10</v>
      </c>
      <c r="F1317" s="33">
        <v>44.92</v>
      </c>
      <c r="G1317" s="33"/>
      <c r="H1317" s="33">
        <f t="shared" si="166"/>
        <v>44.92</v>
      </c>
      <c r="I1317" s="34" t="s">
        <v>13</v>
      </c>
      <c r="J1317" s="99">
        <f>+'[3]Dự thầu'!$G779</f>
        <v>65242</v>
      </c>
      <c r="K1317" s="98">
        <f t="shared" si="163"/>
        <v>2930671</v>
      </c>
      <c r="L1317" s="98">
        <f t="shared" si="162"/>
        <v>0</v>
      </c>
      <c r="M1317" s="98">
        <f t="shared" si="164"/>
        <v>2930671</v>
      </c>
      <c r="N1317" s="100"/>
    </row>
    <row r="1318" spans="1:14" ht="15.75" customHeight="1" x14ac:dyDescent="0.25">
      <c r="A1318" s="52" t="str">
        <f t="shared" si="165"/>
        <v>HT</v>
      </c>
      <c r="B1318" s="32" t="s">
        <v>1863</v>
      </c>
      <c r="C1318" s="33">
        <v>1313</v>
      </c>
      <c r="D1318" s="39" t="s">
        <v>1864</v>
      </c>
      <c r="E1318" s="33" t="s">
        <v>10</v>
      </c>
      <c r="F1318" s="33">
        <v>0.45</v>
      </c>
      <c r="G1318" s="33"/>
      <c r="H1318" s="33">
        <f t="shared" si="166"/>
        <v>0.45</v>
      </c>
      <c r="I1318" s="34" t="s">
        <v>16</v>
      </c>
      <c r="J1318" s="99">
        <f>+'[3]Dự thầu'!$G780</f>
        <v>1532161</v>
      </c>
      <c r="K1318" s="98">
        <f t="shared" si="163"/>
        <v>689472</v>
      </c>
      <c r="L1318" s="98">
        <f t="shared" si="162"/>
        <v>0</v>
      </c>
      <c r="M1318" s="98">
        <f t="shared" si="164"/>
        <v>689472</v>
      </c>
      <c r="N1318" s="100"/>
    </row>
    <row r="1319" spans="1:14" ht="47.25" customHeight="1" x14ac:dyDescent="0.25">
      <c r="A1319" s="52" t="str">
        <f t="shared" si="165"/>
        <v>HT</v>
      </c>
      <c r="B1319" s="32" t="s">
        <v>1865</v>
      </c>
      <c r="C1319" s="33">
        <v>1314</v>
      </c>
      <c r="D1319" s="39" t="s">
        <v>1866</v>
      </c>
      <c r="E1319" s="33" t="s">
        <v>10</v>
      </c>
      <c r="F1319" s="33">
        <v>81.19</v>
      </c>
      <c r="G1319" s="33"/>
      <c r="H1319" s="33">
        <f t="shared" si="166"/>
        <v>81.19</v>
      </c>
      <c r="I1319" s="34" t="s">
        <v>16</v>
      </c>
      <c r="J1319" s="99">
        <f>+'[3]Dự thầu'!$G781</f>
        <v>1521411</v>
      </c>
      <c r="K1319" s="98">
        <f t="shared" si="163"/>
        <v>123523359</v>
      </c>
      <c r="L1319" s="98">
        <f t="shared" si="162"/>
        <v>0</v>
      </c>
      <c r="M1319" s="98">
        <f t="shared" si="164"/>
        <v>123523359</v>
      </c>
      <c r="N1319" s="100"/>
    </row>
    <row r="1320" spans="1:14" ht="15.75" customHeight="1" x14ac:dyDescent="0.25">
      <c r="A1320" s="52" t="str">
        <f t="shared" si="165"/>
        <v>HT</v>
      </c>
      <c r="B1320" s="32" t="s">
        <v>1867</v>
      </c>
      <c r="C1320" s="33">
        <v>1315</v>
      </c>
      <c r="D1320" s="39" t="s">
        <v>1868</v>
      </c>
      <c r="E1320" s="33" t="s">
        <v>10</v>
      </c>
      <c r="F1320" s="33">
        <v>2.2231999999999998</v>
      </c>
      <c r="G1320" s="33"/>
      <c r="H1320" s="33">
        <f t="shared" si="166"/>
        <v>2.2231999999999998</v>
      </c>
      <c r="I1320" s="34" t="s">
        <v>126</v>
      </c>
      <c r="J1320" s="99">
        <f>+'[3]Dự thầu'!$G782</f>
        <v>10479792</v>
      </c>
      <c r="K1320" s="98">
        <f t="shared" si="163"/>
        <v>23298674</v>
      </c>
      <c r="L1320" s="98">
        <f t="shared" si="162"/>
        <v>0</v>
      </c>
      <c r="M1320" s="98">
        <f t="shared" si="164"/>
        <v>23298674</v>
      </c>
      <c r="N1320" s="100"/>
    </row>
    <row r="1321" spans="1:14" ht="15.75" customHeight="1" x14ac:dyDescent="0.25">
      <c r="A1321" s="52" t="str">
        <f t="shared" si="165"/>
        <v>HT</v>
      </c>
      <c r="B1321" s="32" t="s">
        <v>1869</v>
      </c>
      <c r="C1321" s="33">
        <v>1316</v>
      </c>
      <c r="D1321" s="39" t="s">
        <v>1671</v>
      </c>
      <c r="E1321" s="33" t="s">
        <v>10</v>
      </c>
      <c r="F1321" s="33">
        <v>13.0518</v>
      </c>
      <c r="G1321" s="33"/>
      <c r="H1321" s="33">
        <f t="shared" si="166"/>
        <v>13.0518</v>
      </c>
      <c r="I1321" s="34" t="s">
        <v>16</v>
      </c>
      <c r="J1321" s="99">
        <f>+'[3]Dự thầu'!$G783</f>
        <v>1331296</v>
      </c>
      <c r="K1321" s="98">
        <f t="shared" si="163"/>
        <v>17375809</v>
      </c>
      <c r="L1321" s="98">
        <f t="shared" si="162"/>
        <v>0</v>
      </c>
      <c r="M1321" s="98">
        <f t="shared" si="164"/>
        <v>17375809</v>
      </c>
      <c r="N1321" s="100"/>
    </row>
    <row r="1322" spans="1:14" ht="15.75" customHeight="1" x14ac:dyDescent="0.25">
      <c r="A1322" s="52" t="str">
        <f t="shared" si="165"/>
        <v>HT</v>
      </c>
      <c r="B1322" s="32" t="s">
        <v>1870</v>
      </c>
      <c r="C1322" s="33">
        <v>1317</v>
      </c>
      <c r="D1322" s="39" t="s">
        <v>1871</v>
      </c>
      <c r="E1322" s="33" t="s">
        <v>10</v>
      </c>
      <c r="F1322" s="33">
        <v>11</v>
      </c>
      <c r="G1322" s="33"/>
      <c r="H1322" s="33">
        <f t="shared" si="166"/>
        <v>11</v>
      </c>
      <c r="I1322" s="34" t="s">
        <v>13</v>
      </c>
      <c r="J1322" s="99">
        <f>+'[3]Dự thầu'!$G784/100</f>
        <v>104797.92</v>
      </c>
      <c r="K1322" s="98">
        <f t="shared" si="163"/>
        <v>1152777</v>
      </c>
      <c r="L1322" s="98">
        <f t="shared" si="162"/>
        <v>0</v>
      </c>
      <c r="M1322" s="98">
        <f t="shared" si="164"/>
        <v>1152777</v>
      </c>
      <c r="N1322" s="100"/>
    </row>
    <row r="1323" spans="1:14" ht="15.75" customHeight="1" x14ac:dyDescent="0.25">
      <c r="A1323" s="52" t="str">
        <f t="shared" si="165"/>
        <v>HT</v>
      </c>
      <c r="B1323" s="32" t="s">
        <v>1872</v>
      </c>
      <c r="C1323" s="33">
        <v>1318</v>
      </c>
      <c r="D1323" s="39" t="s">
        <v>1873</v>
      </c>
      <c r="E1323" s="33" t="s">
        <v>10</v>
      </c>
      <c r="F1323" s="33">
        <v>28.996200000000002</v>
      </c>
      <c r="G1323" s="33"/>
      <c r="H1323" s="33">
        <f t="shared" si="166"/>
        <v>28.996200000000002</v>
      </c>
      <c r="I1323" s="34" t="s">
        <v>16</v>
      </c>
      <c r="J1323" s="99">
        <f>+'[3]Dự thầu'!$G785</f>
        <v>1521411</v>
      </c>
      <c r="K1323" s="98">
        <f t="shared" si="163"/>
        <v>44115138</v>
      </c>
      <c r="L1323" s="98">
        <f t="shared" si="162"/>
        <v>0</v>
      </c>
      <c r="M1323" s="98">
        <f t="shared" si="164"/>
        <v>44115138</v>
      </c>
      <c r="N1323" s="100"/>
    </row>
    <row r="1324" spans="1:14" ht="15.75" customHeight="1" x14ac:dyDescent="0.25">
      <c r="A1324" s="52" t="str">
        <f t="shared" si="165"/>
        <v>HT</v>
      </c>
      <c r="B1324" s="32" t="s">
        <v>1874</v>
      </c>
      <c r="C1324" s="33">
        <v>1319</v>
      </c>
      <c r="D1324" s="39" t="s">
        <v>1875</v>
      </c>
      <c r="E1324" s="33" t="s">
        <v>10</v>
      </c>
      <c r="F1324" s="33">
        <v>51.348700000000001</v>
      </c>
      <c r="G1324" s="33"/>
      <c r="H1324" s="33">
        <f t="shared" si="166"/>
        <v>51.348700000000001</v>
      </c>
      <c r="I1324" s="34" t="s">
        <v>13</v>
      </c>
      <c r="J1324" s="99">
        <f>+'[3]Dự thầu'!$G786</f>
        <v>20017</v>
      </c>
      <c r="K1324" s="98">
        <f t="shared" si="163"/>
        <v>1027847</v>
      </c>
      <c r="L1324" s="98">
        <f t="shared" si="162"/>
        <v>0</v>
      </c>
      <c r="M1324" s="98">
        <f t="shared" si="164"/>
        <v>1027847</v>
      </c>
      <c r="N1324" s="100"/>
    </row>
    <row r="1325" spans="1:14" ht="15.75" customHeight="1" x14ac:dyDescent="0.25">
      <c r="A1325" s="52" t="str">
        <f t="shared" si="165"/>
        <v>HT</v>
      </c>
      <c r="B1325" s="32" t="s">
        <v>1876</v>
      </c>
      <c r="C1325" s="33">
        <v>1320</v>
      </c>
      <c r="D1325" s="39" t="s">
        <v>1877</v>
      </c>
      <c r="E1325" s="33" t="s">
        <v>10</v>
      </c>
      <c r="F1325" s="102">
        <v>9788.85</v>
      </c>
      <c r="G1325" s="102"/>
      <c r="H1325" s="102">
        <f t="shared" si="166"/>
        <v>9788.85</v>
      </c>
      <c r="I1325" s="34" t="s">
        <v>75</v>
      </c>
      <c r="J1325" s="99">
        <f>+'[3]Dự thầu'!$G787</f>
        <v>11223</v>
      </c>
      <c r="K1325" s="98">
        <f t="shared" si="163"/>
        <v>109860264</v>
      </c>
      <c r="L1325" s="98">
        <f t="shared" si="162"/>
        <v>0</v>
      </c>
      <c r="M1325" s="98">
        <f t="shared" si="164"/>
        <v>109860264</v>
      </c>
      <c r="N1325" s="100"/>
    </row>
    <row r="1326" spans="1:14" ht="47.25" customHeight="1" x14ac:dyDescent="0.25">
      <c r="A1326" s="52" t="str">
        <f t="shared" si="165"/>
        <v>HT</v>
      </c>
      <c r="B1326" s="32" t="s">
        <v>1878</v>
      </c>
      <c r="C1326" s="33">
        <v>1321</v>
      </c>
      <c r="D1326" s="39" t="s">
        <v>94</v>
      </c>
      <c r="E1326" s="33" t="s">
        <v>10</v>
      </c>
      <c r="F1326" s="33">
        <v>672</v>
      </c>
      <c r="G1326" s="33"/>
      <c r="H1326" s="33">
        <f t="shared" si="166"/>
        <v>672</v>
      </c>
      <c r="I1326" s="34" t="s">
        <v>13</v>
      </c>
      <c r="J1326" s="99">
        <f>+'[3]Dự thầu'!$G788</f>
        <v>11015</v>
      </c>
      <c r="K1326" s="98">
        <f t="shared" si="163"/>
        <v>7402080</v>
      </c>
      <c r="L1326" s="98">
        <f t="shared" si="162"/>
        <v>0</v>
      </c>
      <c r="M1326" s="98">
        <f t="shared" si="164"/>
        <v>7402080</v>
      </c>
      <c r="N1326" s="100"/>
    </row>
    <row r="1327" spans="1:14" ht="31.5" customHeight="1" x14ac:dyDescent="0.25">
      <c r="A1327" s="52" t="str">
        <f t="shared" si="165"/>
        <v>HT</v>
      </c>
      <c r="B1327" s="32" t="s">
        <v>1879</v>
      </c>
      <c r="C1327" s="33">
        <v>1322</v>
      </c>
      <c r="D1327" s="39" t="s">
        <v>96</v>
      </c>
      <c r="E1327" s="33" t="s">
        <v>10</v>
      </c>
      <c r="F1327" s="33">
        <v>95.692800000000005</v>
      </c>
      <c r="G1327" s="33"/>
      <c r="H1327" s="33">
        <f t="shared" si="166"/>
        <v>95.692800000000005</v>
      </c>
      <c r="I1327" s="34" t="s">
        <v>90</v>
      </c>
      <c r="J1327" s="99">
        <v>1646788</v>
      </c>
      <c r="K1327" s="98">
        <f t="shared" si="163"/>
        <v>157585755</v>
      </c>
      <c r="L1327" s="98">
        <f t="shared" si="162"/>
        <v>0</v>
      </c>
      <c r="M1327" s="98">
        <f t="shared" si="164"/>
        <v>157585755</v>
      </c>
      <c r="N1327" s="100"/>
    </row>
    <row r="1328" spans="1:14" ht="31.5" customHeight="1" x14ac:dyDescent="0.25">
      <c r="A1328" s="52" t="str">
        <f t="shared" si="165"/>
        <v>HT</v>
      </c>
      <c r="B1328" s="32" t="s">
        <v>1880</v>
      </c>
      <c r="C1328" s="33">
        <v>1323</v>
      </c>
      <c r="D1328" s="39" t="s">
        <v>98</v>
      </c>
      <c r="E1328" s="33" t="s">
        <v>10</v>
      </c>
      <c r="F1328" s="33">
        <v>95.69</v>
      </c>
      <c r="G1328" s="33"/>
      <c r="H1328" s="33">
        <f t="shared" si="166"/>
        <v>95.69</v>
      </c>
      <c r="I1328" s="34" t="s">
        <v>90</v>
      </c>
      <c r="J1328" s="99">
        <f>+('[3]Dự thầu'!$G$790+'[3]Dự thầu'!$G$791)/100</f>
        <v>113842.61</v>
      </c>
      <c r="K1328" s="98">
        <f t="shared" si="163"/>
        <v>10893599</v>
      </c>
      <c r="L1328" s="98">
        <f t="shared" si="162"/>
        <v>0</v>
      </c>
      <c r="M1328" s="98">
        <f t="shared" si="164"/>
        <v>10893599</v>
      </c>
      <c r="N1328" s="100"/>
    </row>
    <row r="1329" spans="1:14" ht="15.75" customHeight="1" x14ac:dyDescent="0.25">
      <c r="A1329" s="52" t="str">
        <f t="shared" si="165"/>
        <v>HT</v>
      </c>
      <c r="B1329" s="32" t="s">
        <v>1881</v>
      </c>
      <c r="C1329" s="33">
        <v>1324</v>
      </c>
      <c r="D1329" s="39" t="s">
        <v>1882</v>
      </c>
      <c r="E1329" s="33" t="s">
        <v>10</v>
      </c>
      <c r="F1329" s="33">
        <v>672</v>
      </c>
      <c r="G1329" s="33"/>
      <c r="H1329" s="33">
        <f t="shared" si="166"/>
        <v>672</v>
      </c>
      <c r="I1329" s="34" t="s">
        <v>13</v>
      </c>
      <c r="J1329" s="99">
        <f>+'[3]Dự thầu'!$G792</f>
        <v>32529</v>
      </c>
      <c r="K1329" s="98">
        <f t="shared" si="163"/>
        <v>21859488</v>
      </c>
      <c r="L1329" s="98">
        <f t="shared" si="162"/>
        <v>0</v>
      </c>
      <c r="M1329" s="98">
        <f t="shared" si="164"/>
        <v>21859488</v>
      </c>
      <c r="N1329" s="100"/>
    </row>
    <row r="1330" spans="1:14" ht="15.75" customHeight="1" x14ac:dyDescent="0.25">
      <c r="A1330" s="52" t="str">
        <f t="shared" si="165"/>
        <v>HT</v>
      </c>
      <c r="B1330" s="32" t="s">
        <v>1883</v>
      </c>
      <c r="C1330" s="33">
        <v>1325</v>
      </c>
      <c r="D1330" s="39" t="s">
        <v>1884</v>
      </c>
      <c r="E1330" s="33" t="s">
        <v>10</v>
      </c>
      <c r="F1330" s="33">
        <v>201.6</v>
      </c>
      <c r="G1330" s="33"/>
      <c r="H1330" s="33">
        <f t="shared" si="166"/>
        <v>201.6</v>
      </c>
      <c r="I1330" s="34" t="s">
        <v>16</v>
      </c>
      <c r="J1330" s="99">
        <f>+'[3]Dự thầu'!$G793</f>
        <v>16751</v>
      </c>
      <c r="K1330" s="98">
        <f t="shared" si="163"/>
        <v>3377002</v>
      </c>
      <c r="L1330" s="98">
        <f t="shared" si="162"/>
        <v>0</v>
      </c>
      <c r="M1330" s="98">
        <f t="shared" si="164"/>
        <v>3377002</v>
      </c>
      <c r="N1330" s="100"/>
    </row>
    <row r="1331" spans="1:14" ht="15.75" customHeight="1" x14ac:dyDescent="0.25">
      <c r="A1331" s="52" t="str">
        <f t="shared" si="165"/>
        <v>HT</v>
      </c>
      <c r="B1331" s="32" t="s">
        <v>1885</v>
      </c>
      <c r="C1331" s="33">
        <v>1326</v>
      </c>
      <c r="D1331" s="39" t="s">
        <v>1886</v>
      </c>
      <c r="E1331" s="33" t="s">
        <v>10</v>
      </c>
      <c r="F1331" s="33">
        <v>161.28</v>
      </c>
      <c r="G1331" s="33"/>
      <c r="H1331" s="33">
        <f t="shared" si="166"/>
        <v>161.28</v>
      </c>
      <c r="I1331" s="34" t="s">
        <v>16</v>
      </c>
      <c r="J1331" s="99">
        <f>+'[3]Dự thầu'!$G794</f>
        <v>364704</v>
      </c>
      <c r="K1331" s="98">
        <f t="shared" si="163"/>
        <v>58819461</v>
      </c>
      <c r="L1331" s="98">
        <f t="shared" ref="L1331:L1349" si="167">+ROUND(G1331*J1331,0)</f>
        <v>0</v>
      </c>
      <c r="M1331" s="98">
        <f t="shared" si="164"/>
        <v>58819461</v>
      </c>
      <c r="N1331" s="100"/>
    </row>
    <row r="1332" spans="1:14" ht="15.75" customHeight="1" x14ac:dyDescent="0.25">
      <c r="A1332" s="52" t="str">
        <f t="shared" si="165"/>
        <v>HT</v>
      </c>
      <c r="B1332" s="32" t="s">
        <v>1887</v>
      </c>
      <c r="C1332" s="33">
        <v>1327</v>
      </c>
      <c r="D1332" s="39" t="s">
        <v>1888</v>
      </c>
      <c r="E1332" s="33" t="s">
        <v>10</v>
      </c>
      <c r="F1332" s="33">
        <v>228.48</v>
      </c>
      <c r="G1332" s="33"/>
      <c r="H1332" s="33">
        <f t="shared" si="166"/>
        <v>228.48</v>
      </c>
      <c r="I1332" s="34" t="s">
        <v>16</v>
      </c>
      <c r="J1332" s="99">
        <f>+'[3]Dự thầu'!$G795</f>
        <v>363053</v>
      </c>
      <c r="K1332" s="98">
        <f t="shared" si="163"/>
        <v>82950349</v>
      </c>
      <c r="L1332" s="98">
        <f t="shared" si="167"/>
        <v>0</v>
      </c>
      <c r="M1332" s="98">
        <f t="shared" si="164"/>
        <v>82950349</v>
      </c>
      <c r="N1332" s="100"/>
    </row>
    <row r="1333" spans="1:14" ht="15.75" customHeight="1" x14ac:dyDescent="0.25">
      <c r="A1333" s="52" t="str">
        <f t="shared" si="165"/>
        <v>HT</v>
      </c>
      <c r="B1333" s="32" t="s">
        <v>1889</v>
      </c>
      <c r="C1333" s="33">
        <v>1328</v>
      </c>
      <c r="D1333" s="39" t="s">
        <v>1890</v>
      </c>
      <c r="E1333" s="33" t="s">
        <v>10</v>
      </c>
      <c r="F1333" s="33">
        <v>41.4</v>
      </c>
      <c r="G1333" s="33"/>
      <c r="H1333" s="33">
        <f t="shared" si="166"/>
        <v>41.4</v>
      </c>
      <c r="I1333" s="34" t="s">
        <v>16</v>
      </c>
      <c r="J1333" s="99">
        <f>+'[3]Dự thầu'!$G796</f>
        <v>1719728</v>
      </c>
      <c r="K1333" s="98">
        <f t="shared" si="163"/>
        <v>71196739</v>
      </c>
      <c r="L1333" s="98">
        <f t="shared" si="167"/>
        <v>0</v>
      </c>
      <c r="M1333" s="98">
        <f t="shared" si="164"/>
        <v>71196739</v>
      </c>
      <c r="N1333" s="100"/>
    </row>
    <row r="1334" spans="1:14" ht="15.75" customHeight="1" x14ac:dyDescent="0.25">
      <c r="A1334" s="52" t="str">
        <f t="shared" si="165"/>
        <v>HT</v>
      </c>
      <c r="B1334" s="32" t="s">
        <v>1891</v>
      </c>
      <c r="C1334" s="33">
        <v>1329</v>
      </c>
      <c r="D1334" s="39" t="s">
        <v>1597</v>
      </c>
      <c r="E1334" s="33" t="s">
        <v>10</v>
      </c>
      <c r="F1334" s="33">
        <v>1.7538</v>
      </c>
      <c r="G1334" s="33"/>
      <c r="H1334" s="33">
        <f t="shared" si="166"/>
        <v>1.7538</v>
      </c>
      <c r="I1334" s="34" t="s">
        <v>90</v>
      </c>
      <c r="J1334" s="99">
        <f>+'[3]Dự thầu'!$G797</f>
        <v>27101433</v>
      </c>
      <c r="K1334" s="98">
        <f t="shared" si="163"/>
        <v>47530493</v>
      </c>
      <c r="L1334" s="98">
        <f t="shared" si="167"/>
        <v>0</v>
      </c>
      <c r="M1334" s="98">
        <f t="shared" si="164"/>
        <v>47530493</v>
      </c>
      <c r="N1334" s="100"/>
    </row>
    <row r="1335" spans="1:14" ht="15.75" customHeight="1" x14ac:dyDescent="0.25">
      <c r="A1335" s="52" t="str">
        <f t="shared" si="165"/>
        <v>HT</v>
      </c>
      <c r="B1335" s="32" t="s">
        <v>1892</v>
      </c>
      <c r="C1335" s="33">
        <v>1330</v>
      </c>
      <c r="D1335" s="39" t="s">
        <v>1893</v>
      </c>
      <c r="E1335" s="33" t="s">
        <v>10</v>
      </c>
      <c r="F1335" s="33">
        <v>1720</v>
      </c>
      <c r="G1335" s="33"/>
      <c r="H1335" s="33">
        <f t="shared" si="166"/>
        <v>1720</v>
      </c>
      <c r="I1335" s="34" t="s">
        <v>1894</v>
      </c>
      <c r="J1335" s="99">
        <f>+'[3]Dự thầu'!$G798</f>
        <v>20372</v>
      </c>
      <c r="K1335" s="98">
        <f t="shared" si="163"/>
        <v>35039840</v>
      </c>
      <c r="L1335" s="98">
        <f t="shared" si="167"/>
        <v>0</v>
      </c>
      <c r="M1335" s="98">
        <f t="shared" si="164"/>
        <v>35039840</v>
      </c>
      <c r="N1335" s="100"/>
    </row>
    <row r="1336" spans="1:14" ht="15.75" customHeight="1" x14ac:dyDescent="0.25">
      <c r="A1336" s="52" t="str">
        <f t="shared" si="165"/>
        <v>HT</v>
      </c>
      <c r="B1336" s="32" t="s">
        <v>1895</v>
      </c>
      <c r="C1336" s="33">
        <v>1331</v>
      </c>
      <c r="D1336" s="39" t="s">
        <v>1896</v>
      </c>
      <c r="E1336" s="33" t="s">
        <v>10</v>
      </c>
      <c r="F1336" s="33">
        <v>135</v>
      </c>
      <c r="G1336" s="33"/>
      <c r="H1336" s="33">
        <f t="shared" si="166"/>
        <v>135</v>
      </c>
      <c r="I1336" s="34" t="s">
        <v>16</v>
      </c>
      <c r="J1336" s="99">
        <f>+'[3]Dự thầu'!$G799</f>
        <v>363053</v>
      </c>
      <c r="K1336" s="98">
        <f t="shared" si="163"/>
        <v>49012155</v>
      </c>
      <c r="L1336" s="98">
        <f t="shared" si="167"/>
        <v>0</v>
      </c>
      <c r="M1336" s="98">
        <f t="shared" si="164"/>
        <v>49012155</v>
      </c>
      <c r="N1336" s="100"/>
    </row>
    <row r="1337" spans="1:14" ht="15.75" customHeight="1" x14ac:dyDescent="0.25">
      <c r="A1337" s="52" t="str">
        <f t="shared" si="165"/>
        <v>HT</v>
      </c>
      <c r="B1337" s="32" t="s">
        <v>1897</v>
      </c>
      <c r="C1337" s="33">
        <v>1332</v>
      </c>
      <c r="D1337" s="39" t="s">
        <v>1898</v>
      </c>
      <c r="E1337" s="33" t="s">
        <v>10</v>
      </c>
      <c r="F1337" s="33">
        <v>1260</v>
      </c>
      <c r="G1337" s="33"/>
      <c r="H1337" s="33">
        <f t="shared" si="166"/>
        <v>1260</v>
      </c>
      <c r="I1337" s="34" t="s">
        <v>16</v>
      </c>
      <c r="J1337" s="99">
        <f>+'[3]Dự thầu'!$G800</f>
        <v>6875</v>
      </c>
      <c r="K1337" s="98">
        <f t="shared" si="163"/>
        <v>8662500</v>
      </c>
      <c r="L1337" s="98">
        <f t="shared" si="167"/>
        <v>0</v>
      </c>
      <c r="M1337" s="98">
        <f t="shared" si="164"/>
        <v>8662500</v>
      </c>
      <c r="N1337" s="100"/>
    </row>
    <row r="1338" spans="1:14" ht="15.75" customHeight="1" x14ac:dyDescent="0.25">
      <c r="A1338" s="52" t="str">
        <f t="shared" si="165"/>
        <v>HT</v>
      </c>
      <c r="B1338" s="32" t="s">
        <v>1899</v>
      </c>
      <c r="C1338" s="33">
        <v>1333</v>
      </c>
      <c r="D1338" s="39" t="s">
        <v>195</v>
      </c>
      <c r="E1338" s="33" t="s">
        <v>10</v>
      </c>
      <c r="F1338" s="36">
        <v>1692.306</v>
      </c>
      <c r="G1338" s="36"/>
      <c r="H1338" s="36">
        <f t="shared" si="166"/>
        <v>1692.306</v>
      </c>
      <c r="I1338" s="34" t="s">
        <v>16</v>
      </c>
      <c r="J1338" s="99">
        <f>+'[3]Dự thầu'!$G801</f>
        <v>50585</v>
      </c>
      <c r="K1338" s="98">
        <f t="shared" si="163"/>
        <v>85605299</v>
      </c>
      <c r="L1338" s="98">
        <f t="shared" si="167"/>
        <v>0</v>
      </c>
      <c r="M1338" s="98">
        <f t="shared" si="164"/>
        <v>85605299</v>
      </c>
      <c r="N1338" s="100"/>
    </row>
    <row r="1339" spans="1:14" ht="15.75" customHeight="1" x14ac:dyDescent="0.25">
      <c r="A1339" s="52" t="str">
        <f t="shared" si="165"/>
        <v>HT</v>
      </c>
      <c r="B1339" s="32" t="s">
        <v>1900</v>
      </c>
      <c r="C1339" s="33">
        <v>1334</v>
      </c>
      <c r="D1339" s="39" t="s">
        <v>36</v>
      </c>
      <c r="E1339" s="33" t="s">
        <v>10</v>
      </c>
      <c r="F1339" s="33">
        <v>169.23060000000001</v>
      </c>
      <c r="G1339" s="33"/>
      <c r="H1339" s="33">
        <f t="shared" si="166"/>
        <v>169.23060000000001</v>
      </c>
      <c r="I1339" s="34" t="s">
        <v>37</v>
      </c>
      <c r="J1339" s="99">
        <f>+'[3]Dự thầu'!$G$802+'[3]Dự thầu'!$G$803+'[3]Dự thầu'!$G$804</f>
        <v>1064000</v>
      </c>
      <c r="K1339" s="98">
        <f t="shared" si="163"/>
        <v>180061358</v>
      </c>
      <c r="L1339" s="98">
        <f t="shared" si="167"/>
        <v>0</v>
      </c>
      <c r="M1339" s="98">
        <f t="shared" si="164"/>
        <v>180061358</v>
      </c>
      <c r="N1339" s="100"/>
    </row>
    <row r="1340" spans="1:14" ht="15.75" customHeight="1" x14ac:dyDescent="0.25">
      <c r="A1340" s="52" t="str">
        <f t="shared" si="165"/>
        <v>HT</v>
      </c>
      <c r="B1340" s="32" t="s">
        <v>1901</v>
      </c>
      <c r="C1340" s="33">
        <v>1335</v>
      </c>
      <c r="D1340" s="39" t="s">
        <v>1421</v>
      </c>
      <c r="E1340" s="33" t="s">
        <v>10</v>
      </c>
      <c r="F1340" s="33">
        <v>15</v>
      </c>
      <c r="G1340" s="33"/>
      <c r="H1340" s="33">
        <f t="shared" si="166"/>
        <v>15</v>
      </c>
      <c r="I1340" s="34" t="s">
        <v>16</v>
      </c>
      <c r="J1340" s="99">
        <f>+'[3]Dự thầu'!$G805</f>
        <v>363053</v>
      </c>
      <c r="K1340" s="98">
        <f t="shared" si="163"/>
        <v>5445795</v>
      </c>
      <c r="L1340" s="98">
        <f t="shared" si="167"/>
        <v>0</v>
      </c>
      <c r="M1340" s="98">
        <f t="shared" si="164"/>
        <v>5445795</v>
      </c>
      <c r="N1340" s="100"/>
    </row>
    <row r="1341" spans="1:14" ht="15.75" customHeight="1" x14ac:dyDescent="0.25">
      <c r="A1341" s="52" t="str">
        <f t="shared" si="165"/>
        <v>HT</v>
      </c>
      <c r="B1341" s="32" t="s">
        <v>1902</v>
      </c>
      <c r="C1341" s="33">
        <v>1336</v>
      </c>
      <c r="D1341" s="39" t="s">
        <v>1898</v>
      </c>
      <c r="E1341" s="33" t="s">
        <v>10</v>
      </c>
      <c r="F1341" s="33">
        <v>140</v>
      </c>
      <c r="G1341" s="33"/>
      <c r="H1341" s="33">
        <f t="shared" si="166"/>
        <v>140</v>
      </c>
      <c r="I1341" s="34" t="s">
        <v>16</v>
      </c>
      <c r="J1341" s="99">
        <f>+'[3]Dự thầu'!$G806</f>
        <v>6875</v>
      </c>
      <c r="K1341" s="98">
        <f t="shared" si="163"/>
        <v>962500</v>
      </c>
      <c r="L1341" s="98">
        <f t="shared" si="167"/>
        <v>0</v>
      </c>
      <c r="M1341" s="98">
        <f t="shared" si="164"/>
        <v>962500</v>
      </c>
      <c r="N1341" s="100"/>
    </row>
    <row r="1342" spans="1:14" ht="15.75" customHeight="1" x14ac:dyDescent="0.25">
      <c r="A1342" s="52" t="str">
        <f t="shared" si="165"/>
        <v>HT</v>
      </c>
      <c r="B1342" s="32" t="s">
        <v>1903</v>
      </c>
      <c r="C1342" s="33">
        <v>1337</v>
      </c>
      <c r="D1342" s="39" t="s">
        <v>195</v>
      </c>
      <c r="E1342" s="33" t="s">
        <v>10</v>
      </c>
      <c r="F1342" s="33">
        <v>188.03399999999999</v>
      </c>
      <c r="G1342" s="33"/>
      <c r="H1342" s="33">
        <f t="shared" si="166"/>
        <v>188.03399999999999</v>
      </c>
      <c r="I1342" s="34" t="s">
        <v>16</v>
      </c>
      <c r="J1342" s="99">
        <f>+'[3]Dự thầu'!$G807</f>
        <v>50585</v>
      </c>
      <c r="K1342" s="98">
        <f t="shared" si="163"/>
        <v>9511700</v>
      </c>
      <c r="L1342" s="98">
        <f t="shared" si="167"/>
        <v>0</v>
      </c>
      <c r="M1342" s="98">
        <f t="shared" si="164"/>
        <v>9511700</v>
      </c>
      <c r="N1342" s="100"/>
    </row>
    <row r="1343" spans="1:14" ht="15.75" customHeight="1" x14ac:dyDescent="0.25">
      <c r="A1343" s="52" t="str">
        <f t="shared" si="165"/>
        <v>HT</v>
      </c>
      <c r="B1343" s="32" t="s">
        <v>1904</v>
      </c>
      <c r="C1343" s="33">
        <v>1338</v>
      </c>
      <c r="D1343" s="39" t="s">
        <v>36</v>
      </c>
      <c r="E1343" s="33" t="s">
        <v>10</v>
      </c>
      <c r="F1343" s="33">
        <v>18.8034</v>
      </c>
      <c r="G1343" s="33"/>
      <c r="H1343" s="33">
        <f t="shared" si="166"/>
        <v>18.8034</v>
      </c>
      <c r="I1343" s="34" t="s">
        <v>37</v>
      </c>
      <c r="J1343" s="99">
        <f>+'[3]Dự thầu'!$G$808+'[3]Dự thầu'!$G$809+'[3]Dự thầu'!$G$810</f>
        <v>1064000</v>
      </c>
      <c r="K1343" s="98">
        <f t="shared" si="163"/>
        <v>20006818</v>
      </c>
      <c r="L1343" s="98">
        <f t="shared" si="167"/>
        <v>0</v>
      </c>
      <c r="M1343" s="98">
        <f t="shared" si="164"/>
        <v>20006818</v>
      </c>
      <c r="N1343" s="100"/>
    </row>
    <row r="1344" spans="1:14" ht="15.75" customHeight="1" x14ac:dyDescent="0.25">
      <c r="A1344" s="52" t="str">
        <f t="shared" si="165"/>
        <v>HT</v>
      </c>
      <c r="B1344" s="32" t="s">
        <v>1905</v>
      </c>
      <c r="C1344" s="33">
        <v>1339</v>
      </c>
      <c r="D1344" s="39" t="s">
        <v>1896</v>
      </c>
      <c r="E1344" s="33" t="s">
        <v>10</v>
      </c>
      <c r="F1344" s="33">
        <v>11.25</v>
      </c>
      <c r="G1344" s="33"/>
      <c r="H1344" s="33">
        <f t="shared" si="166"/>
        <v>11.25</v>
      </c>
      <c r="I1344" s="34" t="s">
        <v>16</v>
      </c>
      <c r="J1344" s="99">
        <f>+'[3]Dự thầu'!$G811</f>
        <v>363053</v>
      </c>
      <c r="K1344" s="98">
        <f t="shared" si="163"/>
        <v>4084346</v>
      </c>
      <c r="L1344" s="98">
        <f t="shared" si="167"/>
        <v>0</v>
      </c>
      <c r="M1344" s="98">
        <f t="shared" si="164"/>
        <v>4084346</v>
      </c>
      <c r="N1344" s="100"/>
    </row>
    <row r="1345" spans="1:14" ht="15.75" customHeight="1" x14ac:dyDescent="0.25">
      <c r="A1345" s="52" t="str">
        <f t="shared" si="165"/>
        <v>HT</v>
      </c>
      <c r="B1345" s="32" t="s">
        <v>1906</v>
      </c>
      <c r="C1345" s="33">
        <v>1340</v>
      </c>
      <c r="D1345" s="39" t="s">
        <v>1898</v>
      </c>
      <c r="E1345" s="33" t="s">
        <v>10</v>
      </c>
      <c r="F1345" s="33">
        <v>105</v>
      </c>
      <c r="G1345" s="33"/>
      <c r="H1345" s="33">
        <f t="shared" si="166"/>
        <v>105</v>
      </c>
      <c r="I1345" s="34" t="s">
        <v>16</v>
      </c>
      <c r="J1345" s="99">
        <f>+'[3]Dự thầu'!$G812</f>
        <v>6875</v>
      </c>
      <c r="K1345" s="98">
        <f t="shared" si="163"/>
        <v>721875</v>
      </c>
      <c r="L1345" s="98">
        <f t="shared" si="167"/>
        <v>0</v>
      </c>
      <c r="M1345" s="98">
        <f t="shared" si="164"/>
        <v>721875</v>
      </c>
      <c r="N1345" s="100"/>
    </row>
    <row r="1346" spans="1:14" ht="15.75" customHeight="1" x14ac:dyDescent="0.25">
      <c r="A1346" s="52" t="str">
        <f t="shared" si="165"/>
        <v>HT</v>
      </c>
      <c r="B1346" s="32" t="s">
        <v>1907</v>
      </c>
      <c r="C1346" s="33">
        <v>1341</v>
      </c>
      <c r="D1346" s="39" t="s">
        <v>195</v>
      </c>
      <c r="E1346" s="33" t="s">
        <v>10</v>
      </c>
      <c r="F1346" s="33">
        <v>141.02549999999999</v>
      </c>
      <c r="G1346" s="33"/>
      <c r="H1346" s="33">
        <f t="shared" si="166"/>
        <v>141.02549999999999</v>
      </c>
      <c r="I1346" s="34" t="s">
        <v>16</v>
      </c>
      <c r="J1346" s="99">
        <f>+'[3]Dự thầu'!$G813</f>
        <v>50585</v>
      </c>
      <c r="K1346" s="98">
        <f t="shared" si="163"/>
        <v>7133775</v>
      </c>
      <c r="L1346" s="98">
        <f t="shared" si="167"/>
        <v>0</v>
      </c>
      <c r="M1346" s="98">
        <f t="shared" si="164"/>
        <v>7133775</v>
      </c>
      <c r="N1346" s="100"/>
    </row>
    <row r="1347" spans="1:14" ht="15.75" customHeight="1" x14ac:dyDescent="0.25">
      <c r="A1347" s="52" t="str">
        <f t="shared" si="165"/>
        <v>HT</v>
      </c>
      <c r="B1347" s="32" t="s">
        <v>1908</v>
      </c>
      <c r="C1347" s="33">
        <v>1342</v>
      </c>
      <c r="D1347" s="39" t="s">
        <v>36</v>
      </c>
      <c r="E1347" s="33" t="s">
        <v>10</v>
      </c>
      <c r="F1347" s="33">
        <v>14.102600000000001</v>
      </c>
      <c r="G1347" s="33"/>
      <c r="H1347" s="33">
        <f t="shared" si="166"/>
        <v>14.102600000000001</v>
      </c>
      <c r="I1347" s="34" t="s">
        <v>37</v>
      </c>
      <c r="J1347" s="99">
        <f>+'[3]Dự thầu'!$G$814+'[3]Dự thầu'!$G$815+'[3]Dự thầu'!$G$816</f>
        <v>1064000</v>
      </c>
      <c r="K1347" s="98">
        <f t="shared" si="163"/>
        <v>15005166</v>
      </c>
      <c r="L1347" s="98">
        <f t="shared" si="167"/>
        <v>0</v>
      </c>
      <c r="M1347" s="98">
        <f t="shared" si="164"/>
        <v>15005166</v>
      </c>
      <c r="N1347" s="100"/>
    </row>
    <row r="1348" spans="1:14" ht="15.75" customHeight="1" x14ac:dyDescent="0.25">
      <c r="A1348" s="52" t="str">
        <f t="shared" si="165"/>
        <v>HT</v>
      </c>
      <c r="B1348" s="32" t="s">
        <v>1909</v>
      </c>
      <c r="C1348" s="33">
        <v>1343</v>
      </c>
      <c r="D1348" s="39" t="s">
        <v>1910</v>
      </c>
      <c r="E1348" s="33" t="s">
        <v>10</v>
      </c>
      <c r="F1348" s="101">
        <v>1537.1</v>
      </c>
      <c r="G1348" s="101"/>
      <c r="H1348" s="101">
        <f t="shared" si="166"/>
        <v>1537.1</v>
      </c>
      <c r="I1348" s="34" t="s">
        <v>16</v>
      </c>
      <c r="J1348" s="99">
        <f>+'[3]Dự thầu'!$G$817</f>
        <v>9946</v>
      </c>
      <c r="K1348" s="98">
        <f t="shared" si="163"/>
        <v>15287997</v>
      </c>
      <c r="L1348" s="98">
        <f t="shared" si="167"/>
        <v>0</v>
      </c>
      <c r="M1348" s="98">
        <f t="shared" si="164"/>
        <v>15287997</v>
      </c>
      <c r="N1348" s="100"/>
    </row>
    <row r="1349" spans="1:14" ht="15.75" customHeight="1" x14ac:dyDescent="0.25">
      <c r="A1349" s="52" t="str">
        <f t="shared" si="165"/>
        <v>HT</v>
      </c>
      <c r="B1349" s="32" t="s">
        <v>1911</v>
      </c>
      <c r="C1349" s="33">
        <v>1344</v>
      </c>
      <c r="D1349" s="39" t="s">
        <v>41</v>
      </c>
      <c r="E1349" s="33" t="s">
        <v>10</v>
      </c>
      <c r="F1349" s="101">
        <v>1537.1</v>
      </c>
      <c r="G1349" s="101"/>
      <c r="H1349" s="101">
        <f t="shared" si="166"/>
        <v>1537.1</v>
      </c>
      <c r="I1349" s="34" t="s">
        <v>16</v>
      </c>
      <c r="J1349" s="99">
        <f>+'[3]Dự thầu'!$G$818</f>
        <v>40424</v>
      </c>
      <c r="K1349" s="98">
        <f t="shared" si="163"/>
        <v>62135730</v>
      </c>
      <c r="L1349" s="98">
        <f t="shared" si="167"/>
        <v>0</v>
      </c>
      <c r="M1349" s="98">
        <f t="shared" si="164"/>
        <v>62135730</v>
      </c>
      <c r="N1349" s="100"/>
    </row>
    <row r="1350" spans="1:14" s="22" customFormat="1" ht="63" customHeight="1" x14ac:dyDescent="0.25">
      <c r="A1350" s="52" t="str">
        <f>A659</f>
        <v>TL</v>
      </c>
      <c r="B1350" s="29">
        <v>20</v>
      </c>
      <c r="C1350" s="30">
        <v>1345</v>
      </c>
      <c r="D1350" s="12" t="s">
        <v>1912</v>
      </c>
      <c r="E1350" s="30" t="s">
        <v>10</v>
      </c>
      <c r="F1350" s="30"/>
      <c r="G1350" s="30"/>
      <c r="H1350" s="30"/>
      <c r="I1350" s="31"/>
      <c r="J1350" s="97"/>
      <c r="K1350" s="104"/>
      <c r="L1350" s="104"/>
      <c r="M1350" s="104"/>
      <c r="N1350" s="105"/>
    </row>
    <row r="1351" spans="1:14" ht="15.75" customHeight="1" x14ac:dyDescent="0.25">
      <c r="A1351" s="52" t="str">
        <f t="shared" ref="A1351:A1365" si="168">A1350</f>
        <v>TL</v>
      </c>
      <c r="B1351" s="32" t="s">
        <v>1913</v>
      </c>
      <c r="C1351" s="33">
        <v>1346</v>
      </c>
      <c r="D1351" s="39" t="s">
        <v>1914</v>
      </c>
      <c r="E1351" s="33" t="s">
        <v>10</v>
      </c>
      <c r="F1351" s="33">
        <v>6</v>
      </c>
      <c r="G1351" s="33">
        <f t="shared" ref="G1351:G1365" si="169">+F1351</f>
        <v>6</v>
      </c>
      <c r="H1351" s="33"/>
      <c r="I1351" s="34" t="s">
        <v>258</v>
      </c>
      <c r="J1351" s="99">
        <v>366870</v>
      </c>
      <c r="K1351" s="98">
        <f t="shared" ref="K1351:K1365" si="170">+ROUND(J1351*F1351,0)</f>
        <v>2201220</v>
      </c>
      <c r="L1351" s="98">
        <f t="shared" ref="L1351:L1365" si="171">+ROUND(G1351*J1351,0)</f>
        <v>2201220</v>
      </c>
      <c r="M1351" s="98">
        <f t="shared" ref="M1351:M1365" si="172">+ROUND(H1351*J1351,0)</f>
        <v>0</v>
      </c>
      <c r="N1351" s="100"/>
    </row>
    <row r="1352" spans="1:14" ht="15.75" customHeight="1" x14ac:dyDescent="0.25">
      <c r="A1352" s="52" t="str">
        <f t="shared" si="168"/>
        <v>TL</v>
      </c>
      <c r="B1352" s="32" t="s">
        <v>1915</v>
      </c>
      <c r="C1352" s="33">
        <v>1347</v>
      </c>
      <c r="D1352" s="39" t="s">
        <v>1916</v>
      </c>
      <c r="E1352" s="33" t="s">
        <v>10</v>
      </c>
      <c r="F1352" s="33">
        <v>2</v>
      </c>
      <c r="G1352" s="33">
        <f t="shared" si="169"/>
        <v>2</v>
      </c>
      <c r="H1352" s="33"/>
      <c r="I1352" s="34" t="s">
        <v>258</v>
      </c>
      <c r="J1352" s="99">
        <v>1775137</v>
      </c>
      <c r="K1352" s="98">
        <f t="shared" si="170"/>
        <v>3550274</v>
      </c>
      <c r="L1352" s="98">
        <f t="shared" si="171"/>
        <v>3550274</v>
      </c>
      <c r="M1352" s="98">
        <f t="shared" si="172"/>
        <v>0</v>
      </c>
      <c r="N1352" s="100"/>
    </row>
    <row r="1353" spans="1:14" ht="15.75" customHeight="1" x14ac:dyDescent="0.25">
      <c r="A1353" s="52" t="str">
        <f t="shared" si="168"/>
        <v>TL</v>
      </c>
      <c r="B1353" s="32" t="s">
        <v>1917</v>
      </c>
      <c r="C1353" s="33">
        <v>1348</v>
      </c>
      <c r="D1353" s="39" t="s">
        <v>1918</v>
      </c>
      <c r="E1353" s="33" t="s">
        <v>10</v>
      </c>
      <c r="F1353" s="33">
        <v>2</v>
      </c>
      <c r="G1353" s="33">
        <f t="shared" si="169"/>
        <v>2</v>
      </c>
      <c r="H1353" s="33"/>
      <c r="I1353" s="34" t="s">
        <v>258</v>
      </c>
      <c r="J1353" s="99">
        <v>1775137</v>
      </c>
      <c r="K1353" s="98">
        <f t="shared" si="170"/>
        <v>3550274</v>
      </c>
      <c r="L1353" s="98">
        <f t="shared" si="171"/>
        <v>3550274</v>
      </c>
      <c r="M1353" s="98">
        <f t="shared" si="172"/>
        <v>0</v>
      </c>
      <c r="N1353" s="100"/>
    </row>
    <row r="1354" spans="1:14" ht="15.75" customHeight="1" x14ac:dyDescent="0.25">
      <c r="A1354" s="52" t="str">
        <f t="shared" si="168"/>
        <v>TL</v>
      </c>
      <c r="B1354" s="32" t="s">
        <v>1919</v>
      </c>
      <c r="C1354" s="33">
        <v>1349</v>
      </c>
      <c r="D1354" s="39" t="s">
        <v>1920</v>
      </c>
      <c r="E1354" s="33" t="s">
        <v>10</v>
      </c>
      <c r="F1354" s="33">
        <v>2</v>
      </c>
      <c r="G1354" s="33">
        <f t="shared" si="169"/>
        <v>2</v>
      </c>
      <c r="H1354" s="33"/>
      <c r="I1354" s="34" t="s">
        <v>258</v>
      </c>
      <c r="J1354" s="99">
        <v>1775137</v>
      </c>
      <c r="K1354" s="98">
        <f t="shared" si="170"/>
        <v>3550274</v>
      </c>
      <c r="L1354" s="98">
        <f t="shared" si="171"/>
        <v>3550274</v>
      </c>
      <c r="M1354" s="98">
        <f t="shared" si="172"/>
        <v>0</v>
      </c>
      <c r="N1354" s="100"/>
    </row>
    <row r="1355" spans="1:14" ht="15.75" customHeight="1" x14ac:dyDescent="0.25">
      <c r="A1355" s="52" t="str">
        <f t="shared" si="168"/>
        <v>TL</v>
      </c>
      <c r="B1355" s="32" t="s">
        <v>1921</v>
      </c>
      <c r="C1355" s="33">
        <v>1350</v>
      </c>
      <c r="D1355" s="39" t="s">
        <v>1922</v>
      </c>
      <c r="E1355" s="33" t="s">
        <v>10</v>
      </c>
      <c r="F1355" s="33">
        <v>2</v>
      </c>
      <c r="G1355" s="33">
        <f t="shared" si="169"/>
        <v>2</v>
      </c>
      <c r="H1355" s="33"/>
      <c r="I1355" s="34" t="s">
        <v>258</v>
      </c>
      <c r="J1355" s="99">
        <v>901085</v>
      </c>
      <c r="K1355" s="98">
        <f t="shared" si="170"/>
        <v>1802170</v>
      </c>
      <c r="L1355" s="98">
        <f t="shared" si="171"/>
        <v>1802170</v>
      </c>
      <c r="M1355" s="98">
        <f t="shared" si="172"/>
        <v>0</v>
      </c>
      <c r="N1355" s="100"/>
    </row>
    <row r="1356" spans="1:14" ht="15.75" customHeight="1" x14ac:dyDescent="0.25">
      <c r="A1356" s="52" t="str">
        <f t="shared" si="168"/>
        <v>TL</v>
      </c>
      <c r="B1356" s="32" t="s">
        <v>1923</v>
      </c>
      <c r="C1356" s="33">
        <v>1351</v>
      </c>
      <c r="D1356" s="39" t="s">
        <v>1924</v>
      </c>
      <c r="E1356" s="33" t="s">
        <v>10</v>
      </c>
      <c r="F1356" s="33">
        <v>146</v>
      </c>
      <c r="G1356" s="33">
        <f t="shared" si="169"/>
        <v>146</v>
      </c>
      <c r="H1356" s="33"/>
      <c r="I1356" s="34" t="s">
        <v>75</v>
      </c>
      <c r="J1356" s="99">
        <v>57340</v>
      </c>
      <c r="K1356" s="98">
        <f t="shared" si="170"/>
        <v>8371640</v>
      </c>
      <c r="L1356" s="98">
        <f t="shared" si="171"/>
        <v>8371640</v>
      </c>
      <c r="M1356" s="98">
        <f t="shared" si="172"/>
        <v>0</v>
      </c>
      <c r="N1356" s="100"/>
    </row>
    <row r="1357" spans="1:14" ht="15.75" customHeight="1" x14ac:dyDescent="0.25">
      <c r="A1357" s="52" t="str">
        <f t="shared" si="168"/>
        <v>TL</v>
      </c>
      <c r="B1357" s="32" t="s">
        <v>1925</v>
      </c>
      <c r="C1357" s="33">
        <v>1352</v>
      </c>
      <c r="D1357" s="39" t="s">
        <v>1926</v>
      </c>
      <c r="E1357" s="33" t="s">
        <v>10</v>
      </c>
      <c r="F1357" s="33">
        <v>580</v>
      </c>
      <c r="G1357" s="33">
        <f t="shared" si="169"/>
        <v>580</v>
      </c>
      <c r="H1357" s="33"/>
      <c r="I1357" s="34" t="s">
        <v>75</v>
      </c>
      <c r="J1357" s="99">
        <v>12872</v>
      </c>
      <c r="K1357" s="98">
        <f t="shared" si="170"/>
        <v>7465760</v>
      </c>
      <c r="L1357" s="98">
        <f t="shared" si="171"/>
        <v>7465760</v>
      </c>
      <c r="M1357" s="98">
        <f t="shared" si="172"/>
        <v>0</v>
      </c>
      <c r="N1357" s="100"/>
    </row>
    <row r="1358" spans="1:14" ht="15.75" customHeight="1" x14ac:dyDescent="0.25">
      <c r="A1358" s="52" t="str">
        <f t="shared" si="168"/>
        <v>TL</v>
      </c>
      <c r="B1358" s="32" t="s">
        <v>1927</v>
      </c>
      <c r="C1358" s="33">
        <v>1353</v>
      </c>
      <c r="D1358" s="39" t="s">
        <v>1928</v>
      </c>
      <c r="E1358" s="33" t="s">
        <v>10</v>
      </c>
      <c r="F1358" s="33">
        <v>2</v>
      </c>
      <c r="G1358" s="33">
        <f t="shared" si="169"/>
        <v>2</v>
      </c>
      <c r="H1358" s="33"/>
      <c r="I1358" s="34" t="s">
        <v>16</v>
      </c>
      <c r="J1358" s="99">
        <v>1487782</v>
      </c>
      <c r="K1358" s="98">
        <f t="shared" si="170"/>
        <v>2975564</v>
      </c>
      <c r="L1358" s="98">
        <f t="shared" si="171"/>
        <v>2975564</v>
      </c>
      <c r="M1358" s="98">
        <f t="shared" si="172"/>
        <v>0</v>
      </c>
      <c r="N1358" s="100"/>
    </row>
    <row r="1359" spans="1:14" ht="15.75" customHeight="1" x14ac:dyDescent="0.25">
      <c r="A1359" s="52" t="str">
        <f t="shared" si="168"/>
        <v>TL</v>
      </c>
      <c r="B1359" s="32" t="s">
        <v>1929</v>
      </c>
      <c r="C1359" s="33">
        <v>1354</v>
      </c>
      <c r="D1359" s="39" t="s">
        <v>1930</v>
      </c>
      <c r="E1359" s="33" t="s">
        <v>10</v>
      </c>
      <c r="F1359" s="33">
        <v>50</v>
      </c>
      <c r="G1359" s="33">
        <f t="shared" si="169"/>
        <v>50</v>
      </c>
      <c r="H1359" s="33"/>
      <c r="I1359" s="34" t="s">
        <v>1931</v>
      </c>
      <c r="J1359" s="99">
        <v>280167</v>
      </c>
      <c r="K1359" s="98">
        <f t="shared" si="170"/>
        <v>14008350</v>
      </c>
      <c r="L1359" s="98">
        <f t="shared" si="171"/>
        <v>14008350</v>
      </c>
      <c r="M1359" s="98">
        <f t="shared" si="172"/>
        <v>0</v>
      </c>
      <c r="N1359" s="100"/>
    </row>
    <row r="1360" spans="1:14" ht="15.75" customHeight="1" x14ac:dyDescent="0.25">
      <c r="A1360" s="52" t="str">
        <f t="shared" si="168"/>
        <v>TL</v>
      </c>
      <c r="B1360" s="32" t="s">
        <v>1932</v>
      </c>
      <c r="C1360" s="33">
        <v>1355</v>
      </c>
      <c r="D1360" s="39" t="s">
        <v>1933</v>
      </c>
      <c r="E1360" s="33" t="s">
        <v>10</v>
      </c>
      <c r="F1360" s="33">
        <v>2</v>
      </c>
      <c r="G1360" s="33">
        <f t="shared" si="169"/>
        <v>2</v>
      </c>
      <c r="H1360" s="33"/>
      <c r="I1360" s="34" t="s">
        <v>258</v>
      </c>
      <c r="J1360" s="99">
        <v>482724</v>
      </c>
      <c r="K1360" s="98">
        <f t="shared" si="170"/>
        <v>965448</v>
      </c>
      <c r="L1360" s="98">
        <f t="shared" si="171"/>
        <v>965448</v>
      </c>
      <c r="M1360" s="98">
        <f t="shared" si="172"/>
        <v>0</v>
      </c>
      <c r="N1360" s="100"/>
    </row>
    <row r="1361" spans="1:14" ht="15.75" customHeight="1" x14ac:dyDescent="0.25">
      <c r="A1361" s="52" t="str">
        <f t="shared" si="168"/>
        <v>TL</v>
      </c>
      <c r="B1361" s="32" t="s">
        <v>1934</v>
      </c>
      <c r="C1361" s="33">
        <v>1356</v>
      </c>
      <c r="D1361" s="39" t="s">
        <v>1935</v>
      </c>
      <c r="E1361" s="33" t="s">
        <v>10</v>
      </c>
      <c r="F1361" s="33">
        <v>2</v>
      </c>
      <c r="G1361" s="33">
        <f t="shared" si="169"/>
        <v>2</v>
      </c>
      <c r="H1361" s="33"/>
      <c r="I1361" s="34" t="s">
        <v>258</v>
      </c>
      <c r="J1361" s="99">
        <v>81332</v>
      </c>
      <c r="K1361" s="98">
        <f t="shared" si="170"/>
        <v>162664</v>
      </c>
      <c r="L1361" s="98">
        <f t="shared" si="171"/>
        <v>162664</v>
      </c>
      <c r="M1361" s="98">
        <f t="shared" si="172"/>
        <v>0</v>
      </c>
      <c r="N1361" s="100"/>
    </row>
    <row r="1362" spans="1:14" ht="15.75" customHeight="1" x14ac:dyDescent="0.25">
      <c r="A1362" s="52" t="str">
        <f t="shared" si="168"/>
        <v>TL</v>
      </c>
      <c r="B1362" s="32" t="s">
        <v>1936</v>
      </c>
      <c r="C1362" s="33">
        <v>1357</v>
      </c>
      <c r="D1362" s="39" t="s">
        <v>1937</v>
      </c>
      <c r="E1362" s="33" t="s">
        <v>10</v>
      </c>
      <c r="F1362" s="33">
        <v>2</v>
      </c>
      <c r="G1362" s="33">
        <f t="shared" si="169"/>
        <v>2</v>
      </c>
      <c r="H1362" s="33"/>
      <c r="I1362" s="34" t="s">
        <v>258</v>
      </c>
      <c r="J1362" s="99">
        <v>99471</v>
      </c>
      <c r="K1362" s="98">
        <f t="shared" si="170"/>
        <v>198942</v>
      </c>
      <c r="L1362" s="98">
        <f t="shared" si="171"/>
        <v>198942</v>
      </c>
      <c r="M1362" s="98">
        <f t="shared" si="172"/>
        <v>0</v>
      </c>
      <c r="N1362" s="100"/>
    </row>
    <row r="1363" spans="1:14" ht="15.75" customHeight="1" x14ac:dyDescent="0.25">
      <c r="A1363" s="52" t="str">
        <f t="shared" si="168"/>
        <v>TL</v>
      </c>
      <c r="B1363" s="32" t="s">
        <v>1938</v>
      </c>
      <c r="C1363" s="33">
        <v>1358</v>
      </c>
      <c r="D1363" s="39" t="s">
        <v>1939</v>
      </c>
      <c r="E1363" s="33" t="s">
        <v>10</v>
      </c>
      <c r="F1363" s="33">
        <v>2</v>
      </c>
      <c r="G1363" s="33">
        <f t="shared" si="169"/>
        <v>2</v>
      </c>
      <c r="H1363" s="33"/>
      <c r="I1363" s="34" t="s">
        <v>258</v>
      </c>
      <c r="J1363" s="99">
        <v>128726</v>
      </c>
      <c r="K1363" s="98">
        <f t="shared" si="170"/>
        <v>257452</v>
      </c>
      <c r="L1363" s="98">
        <f t="shared" si="171"/>
        <v>257452</v>
      </c>
      <c r="M1363" s="98">
        <f t="shared" si="172"/>
        <v>0</v>
      </c>
      <c r="N1363" s="100"/>
    </row>
    <row r="1364" spans="1:14" ht="15.75" customHeight="1" x14ac:dyDescent="0.25">
      <c r="A1364" s="52" t="str">
        <f t="shared" si="168"/>
        <v>TL</v>
      </c>
      <c r="B1364" s="32" t="s">
        <v>1940</v>
      </c>
      <c r="C1364" s="33">
        <v>1359</v>
      </c>
      <c r="D1364" s="39" t="s">
        <v>1941</v>
      </c>
      <c r="E1364" s="33" t="s">
        <v>10</v>
      </c>
      <c r="F1364" s="33">
        <v>2</v>
      </c>
      <c r="G1364" s="33">
        <f t="shared" si="169"/>
        <v>2</v>
      </c>
      <c r="H1364" s="33"/>
      <c r="I1364" s="34" t="s">
        <v>258</v>
      </c>
      <c r="J1364" s="99">
        <v>57927</v>
      </c>
      <c r="K1364" s="98">
        <f t="shared" si="170"/>
        <v>115854</v>
      </c>
      <c r="L1364" s="98">
        <f t="shared" si="171"/>
        <v>115854</v>
      </c>
      <c r="M1364" s="98">
        <f t="shared" si="172"/>
        <v>0</v>
      </c>
      <c r="N1364" s="100"/>
    </row>
    <row r="1365" spans="1:14" ht="15.75" customHeight="1" x14ac:dyDescent="0.25">
      <c r="A1365" s="52" t="str">
        <f t="shared" si="168"/>
        <v>TL</v>
      </c>
      <c r="B1365" s="32" t="s">
        <v>1942</v>
      </c>
      <c r="C1365" s="33">
        <v>1360</v>
      </c>
      <c r="D1365" s="39" t="s">
        <v>1943</v>
      </c>
      <c r="E1365" s="33" t="s">
        <v>10</v>
      </c>
      <c r="F1365" s="33">
        <v>2</v>
      </c>
      <c r="G1365" s="33">
        <f t="shared" si="169"/>
        <v>2</v>
      </c>
      <c r="H1365" s="33"/>
      <c r="I1365" s="34" t="s">
        <v>258</v>
      </c>
      <c r="J1365" s="99">
        <v>57927</v>
      </c>
      <c r="K1365" s="98">
        <f t="shared" si="170"/>
        <v>115854</v>
      </c>
      <c r="L1365" s="98">
        <f t="shared" si="171"/>
        <v>115854</v>
      </c>
      <c r="M1365" s="98">
        <f t="shared" si="172"/>
        <v>0</v>
      </c>
      <c r="N1365" s="100"/>
    </row>
    <row r="1366" spans="1:14" s="22" customFormat="1" ht="15.75" customHeight="1" x14ac:dyDescent="0.25">
      <c r="A1366" s="52" t="str">
        <f>A1349</f>
        <v>HT</v>
      </c>
      <c r="B1366" s="29">
        <v>21</v>
      </c>
      <c r="C1366" s="30">
        <v>1361</v>
      </c>
      <c r="D1366" s="12" t="s">
        <v>1944</v>
      </c>
      <c r="E1366" s="30" t="s">
        <v>10</v>
      </c>
      <c r="F1366" s="30"/>
      <c r="G1366" s="30"/>
      <c r="H1366" s="30"/>
      <c r="I1366" s="31"/>
      <c r="J1366" s="97"/>
      <c r="K1366" s="104"/>
      <c r="L1366" s="104"/>
      <c r="M1366" s="104"/>
      <c r="N1366" s="105"/>
    </row>
    <row r="1367" spans="1:14" ht="15.75" customHeight="1" x14ac:dyDescent="0.25">
      <c r="A1367" s="52" t="str">
        <f t="shared" ref="A1367:A1379" si="173">A1366</f>
        <v>HT</v>
      </c>
      <c r="B1367" s="32" t="s">
        <v>1945</v>
      </c>
      <c r="C1367" s="33">
        <v>1362</v>
      </c>
      <c r="D1367" s="39" t="s">
        <v>1946</v>
      </c>
      <c r="E1367" s="33" t="s">
        <v>10</v>
      </c>
      <c r="F1367" s="33">
        <v>8</v>
      </c>
      <c r="G1367" s="33"/>
      <c r="H1367" s="33">
        <f t="shared" ref="H1367:H1379" si="174">+F1367</f>
        <v>8</v>
      </c>
      <c r="I1367" s="34" t="s">
        <v>258</v>
      </c>
      <c r="J1367" s="99">
        <v>2548876</v>
      </c>
      <c r="K1367" s="98">
        <f t="shared" ref="K1367:K1379" si="175">+ROUND(J1367*F1367,0)</f>
        <v>20391008</v>
      </c>
      <c r="L1367" s="98">
        <f t="shared" ref="L1367:L1380" si="176">+ROUND(G1367*J1367,0)</f>
        <v>0</v>
      </c>
      <c r="M1367" s="98">
        <f t="shared" ref="M1367:M1380" si="177">+ROUND(H1367*J1367,0)</f>
        <v>20391008</v>
      </c>
      <c r="N1367" s="100"/>
    </row>
    <row r="1368" spans="1:14" ht="15.75" customHeight="1" x14ac:dyDescent="0.25">
      <c r="A1368" s="52" t="str">
        <f t="shared" si="173"/>
        <v>HT</v>
      </c>
      <c r="B1368" s="32" t="s">
        <v>1947</v>
      </c>
      <c r="C1368" s="33">
        <v>1363</v>
      </c>
      <c r="D1368" s="39" t="s">
        <v>1948</v>
      </c>
      <c r="E1368" s="33" t="s">
        <v>10</v>
      </c>
      <c r="F1368" s="33">
        <v>8</v>
      </c>
      <c r="G1368" s="33"/>
      <c r="H1368" s="33">
        <f t="shared" si="174"/>
        <v>8</v>
      </c>
      <c r="I1368" s="34" t="s">
        <v>258</v>
      </c>
      <c r="J1368" s="99">
        <v>281193</v>
      </c>
      <c r="K1368" s="98">
        <f t="shared" si="175"/>
        <v>2249544</v>
      </c>
      <c r="L1368" s="98">
        <f t="shared" si="176"/>
        <v>0</v>
      </c>
      <c r="M1368" s="98">
        <f t="shared" si="177"/>
        <v>2249544</v>
      </c>
      <c r="N1368" s="100"/>
    </row>
    <row r="1369" spans="1:14" ht="15.75" customHeight="1" x14ac:dyDescent="0.25">
      <c r="A1369" s="52" t="str">
        <f t="shared" si="173"/>
        <v>HT</v>
      </c>
      <c r="B1369" s="32" t="s">
        <v>1949</v>
      </c>
      <c r="C1369" s="33">
        <v>1364</v>
      </c>
      <c r="D1369" s="39" t="s">
        <v>1950</v>
      </c>
      <c r="E1369" s="33" t="s">
        <v>10</v>
      </c>
      <c r="F1369" s="33">
        <v>6</v>
      </c>
      <c r="G1369" s="33"/>
      <c r="H1369" s="33">
        <f t="shared" si="174"/>
        <v>6</v>
      </c>
      <c r="I1369" s="34" t="s">
        <v>258</v>
      </c>
      <c r="J1369" s="99">
        <v>1757450</v>
      </c>
      <c r="K1369" s="98">
        <f t="shared" si="175"/>
        <v>10544700</v>
      </c>
      <c r="L1369" s="98">
        <f t="shared" si="176"/>
        <v>0</v>
      </c>
      <c r="M1369" s="98">
        <f t="shared" si="177"/>
        <v>10544700</v>
      </c>
      <c r="N1369" s="100"/>
    </row>
    <row r="1370" spans="1:14" ht="15.75" customHeight="1" x14ac:dyDescent="0.25">
      <c r="A1370" s="52" t="str">
        <f t="shared" si="173"/>
        <v>HT</v>
      </c>
      <c r="B1370" s="32" t="s">
        <v>1951</v>
      </c>
      <c r="C1370" s="33">
        <v>1365</v>
      </c>
      <c r="D1370" s="39" t="s">
        <v>1952</v>
      </c>
      <c r="E1370" s="33" t="s">
        <v>10</v>
      </c>
      <c r="F1370" s="33">
        <v>14</v>
      </c>
      <c r="G1370" s="33"/>
      <c r="H1370" s="33">
        <f t="shared" si="174"/>
        <v>14</v>
      </c>
      <c r="I1370" s="34" t="s">
        <v>258</v>
      </c>
      <c r="J1370" s="99">
        <v>703288</v>
      </c>
      <c r="K1370" s="98">
        <f t="shared" si="175"/>
        <v>9846032</v>
      </c>
      <c r="L1370" s="98">
        <f t="shared" si="176"/>
        <v>0</v>
      </c>
      <c r="M1370" s="98">
        <f t="shared" si="177"/>
        <v>9846032</v>
      </c>
      <c r="N1370" s="100"/>
    </row>
    <row r="1371" spans="1:14" ht="15.75" customHeight="1" x14ac:dyDescent="0.25">
      <c r="A1371" s="52" t="str">
        <f t="shared" si="173"/>
        <v>HT</v>
      </c>
      <c r="B1371" s="32" t="s">
        <v>1953</v>
      </c>
      <c r="C1371" s="33">
        <v>1366</v>
      </c>
      <c r="D1371" s="39" t="s">
        <v>1954</v>
      </c>
      <c r="E1371" s="33" t="s">
        <v>10</v>
      </c>
      <c r="F1371" s="33">
        <v>20</v>
      </c>
      <c r="G1371" s="33"/>
      <c r="H1371" s="33">
        <f t="shared" si="174"/>
        <v>20</v>
      </c>
      <c r="I1371" s="34" t="s">
        <v>13</v>
      </c>
      <c r="J1371" s="99">
        <v>55074</v>
      </c>
      <c r="K1371" s="98">
        <f t="shared" si="175"/>
        <v>1101480</v>
      </c>
      <c r="L1371" s="98">
        <f t="shared" si="176"/>
        <v>0</v>
      </c>
      <c r="M1371" s="98">
        <f t="shared" si="177"/>
        <v>1101480</v>
      </c>
      <c r="N1371" s="100"/>
    </row>
    <row r="1372" spans="1:14" ht="15.75" customHeight="1" x14ac:dyDescent="0.25">
      <c r="A1372" s="52" t="str">
        <f t="shared" si="173"/>
        <v>HT</v>
      </c>
      <c r="B1372" s="32" t="s">
        <v>1955</v>
      </c>
      <c r="C1372" s="33">
        <v>1367</v>
      </c>
      <c r="D1372" s="39" t="s">
        <v>1956</v>
      </c>
      <c r="E1372" s="33" t="s">
        <v>10</v>
      </c>
      <c r="F1372" s="33">
        <v>4</v>
      </c>
      <c r="G1372" s="33"/>
      <c r="H1372" s="33">
        <f t="shared" si="174"/>
        <v>4</v>
      </c>
      <c r="I1372" s="34" t="s">
        <v>258</v>
      </c>
      <c r="J1372" s="99">
        <v>6372190</v>
      </c>
      <c r="K1372" s="98">
        <f t="shared" si="175"/>
        <v>25488760</v>
      </c>
      <c r="L1372" s="98">
        <f t="shared" si="176"/>
        <v>0</v>
      </c>
      <c r="M1372" s="98">
        <f t="shared" si="177"/>
        <v>25488760</v>
      </c>
      <c r="N1372" s="100"/>
    </row>
    <row r="1373" spans="1:14" ht="15.75" customHeight="1" x14ac:dyDescent="0.25">
      <c r="A1373" s="52" t="str">
        <f t="shared" si="173"/>
        <v>HT</v>
      </c>
      <c r="B1373" s="32" t="s">
        <v>1957</v>
      </c>
      <c r="C1373" s="33">
        <v>1368</v>
      </c>
      <c r="D1373" s="39" t="s">
        <v>1958</v>
      </c>
      <c r="E1373" s="33" t="s">
        <v>10</v>
      </c>
      <c r="F1373" s="33">
        <v>4</v>
      </c>
      <c r="G1373" s="33"/>
      <c r="H1373" s="33">
        <f t="shared" si="174"/>
        <v>4</v>
      </c>
      <c r="I1373" s="34" t="s">
        <v>258</v>
      </c>
      <c r="J1373" s="99">
        <v>375632</v>
      </c>
      <c r="K1373" s="98">
        <f t="shared" si="175"/>
        <v>1502528</v>
      </c>
      <c r="L1373" s="98">
        <f t="shared" si="176"/>
        <v>0</v>
      </c>
      <c r="M1373" s="98">
        <f t="shared" si="177"/>
        <v>1502528</v>
      </c>
      <c r="N1373" s="100"/>
    </row>
    <row r="1374" spans="1:14" ht="15.75" customHeight="1" x14ac:dyDescent="0.25">
      <c r="A1374" s="52" t="str">
        <f t="shared" si="173"/>
        <v>HT</v>
      </c>
      <c r="B1374" s="32" t="s">
        <v>1959</v>
      </c>
      <c r="C1374" s="33">
        <v>1369</v>
      </c>
      <c r="D1374" s="39" t="s">
        <v>1960</v>
      </c>
      <c r="E1374" s="33" t="s">
        <v>10</v>
      </c>
      <c r="F1374" s="33">
        <v>4</v>
      </c>
      <c r="G1374" s="33"/>
      <c r="H1374" s="33">
        <f t="shared" si="174"/>
        <v>4</v>
      </c>
      <c r="I1374" s="34" t="s">
        <v>258</v>
      </c>
      <c r="J1374" s="99">
        <v>375632</v>
      </c>
      <c r="K1374" s="98">
        <f t="shared" si="175"/>
        <v>1502528</v>
      </c>
      <c r="L1374" s="98">
        <f t="shared" si="176"/>
        <v>0</v>
      </c>
      <c r="M1374" s="98">
        <f t="shared" si="177"/>
        <v>1502528</v>
      </c>
      <c r="N1374" s="100"/>
    </row>
    <row r="1375" spans="1:14" ht="15.75" customHeight="1" x14ac:dyDescent="0.25">
      <c r="A1375" s="52" t="str">
        <f t="shared" si="173"/>
        <v>HT</v>
      </c>
      <c r="B1375" s="32" t="s">
        <v>1961</v>
      </c>
      <c r="C1375" s="33">
        <v>1370</v>
      </c>
      <c r="D1375" s="39" t="s">
        <v>1950</v>
      </c>
      <c r="E1375" s="33" t="s">
        <v>10</v>
      </c>
      <c r="F1375" s="33">
        <v>2</v>
      </c>
      <c r="G1375" s="33"/>
      <c r="H1375" s="33">
        <f t="shared" si="174"/>
        <v>2</v>
      </c>
      <c r="I1375" s="34" t="s">
        <v>258</v>
      </c>
      <c r="J1375" s="99">
        <v>1012290</v>
      </c>
      <c r="K1375" s="98">
        <f t="shared" si="175"/>
        <v>2024580</v>
      </c>
      <c r="L1375" s="98">
        <f t="shared" si="176"/>
        <v>0</v>
      </c>
      <c r="M1375" s="98">
        <f t="shared" si="177"/>
        <v>2024580</v>
      </c>
      <c r="N1375" s="100"/>
    </row>
    <row r="1376" spans="1:14" ht="15.75" customHeight="1" x14ac:dyDescent="0.25">
      <c r="A1376" s="52" t="str">
        <f t="shared" si="173"/>
        <v>HT</v>
      </c>
      <c r="B1376" s="32" t="s">
        <v>1962</v>
      </c>
      <c r="C1376" s="33">
        <v>1371</v>
      </c>
      <c r="D1376" s="39" t="s">
        <v>1963</v>
      </c>
      <c r="E1376" s="33" t="s">
        <v>10</v>
      </c>
      <c r="F1376" s="33">
        <v>12</v>
      </c>
      <c r="G1376" s="33"/>
      <c r="H1376" s="33">
        <f t="shared" si="174"/>
        <v>12</v>
      </c>
      <c r="I1376" s="34" t="s">
        <v>258</v>
      </c>
      <c r="J1376" s="99">
        <v>1434079</v>
      </c>
      <c r="K1376" s="98">
        <f t="shared" si="175"/>
        <v>17208948</v>
      </c>
      <c r="L1376" s="98">
        <f t="shared" si="176"/>
        <v>0</v>
      </c>
      <c r="M1376" s="98">
        <f t="shared" si="177"/>
        <v>17208948</v>
      </c>
      <c r="N1376" s="100"/>
    </row>
    <row r="1377" spans="1:15" ht="15.75" customHeight="1" x14ac:dyDescent="0.25">
      <c r="A1377" s="52" t="str">
        <f t="shared" si="173"/>
        <v>HT</v>
      </c>
      <c r="B1377" s="32" t="s">
        <v>1964</v>
      </c>
      <c r="C1377" s="33">
        <v>1372</v>
      </c>
      <c r="D1377" s="39" t="s">
        <v>1952</v>
      </c>
      <c r="E1377" s="33" t="s">
        <v>10</v>
      </c>
      <c r="F1377" s="33">
        <v>14</v>
      </c>
      <c r="G1377" s="33"/>
      <c r="H1377" s="33">
        <f t="shared" si="174"/>
        <v>14</v>
      </c>
      <c r="I1377" s="34" t="s">
        <v>258</v>
      </c>
      <c r="J1377" s="99">
        <v>703288</v>
      </c>
      <c r="K1377" s="98">
        <f t="shared" si="175"/>
        <v>9846032</v>
      </c>
      <c r="L1377" s="98">
        <f t="shared" si="176"/>
        <v>0</v>
      </c>
      <c r="M1377" s="98">
        <f t="shared" si="177"/>
        <v>9846032</v>
      </c>
      <c r="N1377" s="100"/>
    </row>
    <row r="1378" spans="1:15" ht="15.75" customHeight="1" x14ac:dyDescent="0.25">
      <c r="A1378" s="52" t="str">
        <f t="shared" si="173"/>
        <v>HT</v>
      </c>
      <c r="B1378" s="32" t="s">
        <v>1965</v>
      </c>
      <c r="C1378" s="33">
        <v>1373</v>
      </c>
      <c r="D1378" s="39" t="s">
        <v>1966</v>
      </c>
      <c r="E1378" s="33" t="s">
        <v>10</v>
      </c>
      <c r="F1378" s="33">
        <v>8</v>
      </c>
      <c r="G1378" s="33"/>
      <c r="H1378" s="33">
        <f t="shared" si="174"/>
        <v>8</v>
      </c>
      <c r="I1378" s="34" t="s">
        <v>258</v>
      </c>
      <c r="J1378" s="99">
        <v>378508</v>
      </c>
      <c r="K1378" s="98">
        <f t="shared" si="175"/>
        <v>3028064</v>
      </c>
      <c r="L1378" s="98">
        <f t="shared" si="176"/>
        <v>0</v>
      </c>
      <c r="M1378" s="98">
        <f t="shared" si="177"/>
        <v>3028064</v>
      </c>
      <c r="N1378" s="100"/>
    </row>
    <row r="1379" spans="1:15" ht="15.75" customHeight="1" x14ac:dyDescent="0.25">
      <c r="A1379" s="52" t="str">
        <f t="shared" si="173"/>
        <v>HT</v>
      </c>
      <c r="B1379" s="32" t="s">
        <v>1967</v>
      </c>
      <c r="C1379" s="33">
        <v>1374</v>
      </c>
      <c r="D1379" s="39" t="s">
        <v>1968</v>
      </c>
      <c r="E1379" s="33" t="s">
        <v>10</v>
      </c>
      <c r="F1379" s="33">
        <v>8</v>
      </c>
      <c r="G1379" s="33"/>
      <c r="H1379" s="33">
        <f t="shared" si="174"/>
        <v>8</v>
      </c>
      <c r="I1379" s="34" t="s">
        <v>258</v>
      </c>
      <c r="J1379" s="99">
        <v>2479194</v>
      </c>
      <c r="K1379" s="98">
        <f t="shared" si="175"/>
        <v>19833552</v>
      </c>
      <c r="L1379" s="98">
        <f t="shared" si="176"/>
        <v>0</v>
      </c>
      <c r="M1379" s="98">
        <f t="shared" si="177"/>
        <v>19833552</v>
      </c>
      <c r="N1379" s="100"/>
    </row>
    <row r="1380" spans="1:15" s="22" customFormat="1" ht="15.75" customHeight="1" x14ac:dyDescent="0.25">
      <c r="A1380" s="52" t="s">
        <v>1986</v>
      </c>
      <c r="B1380" s="29">
        <v>22</v>
      </c>
      <c r="C1380" s="30">
        <v>1375</v>
      </c>
      <c r="D1380" s="12" t="s">
        <v>1969</v>
      </c>
      <c r="E1380" s="30" t="s">
        <v>10</v>
      </c>
      <c r="F1380" s="30"/>
      <c r="G1380" s="30"/>
      <c r="H1380" s="30"/>
      <c r="I1380" s="31"/>
      <c r="J1380" s="97">
        <v>0</v>
      </c>
      <c r="K1380" s="104"/>
      <c r="L1380" s="104">
        <f t="shared" si="176"/>
        <v>0</v>
      </c>
      <c r="M1380" s="104">
        <f t="shared" si="177"/>
        <v>0</v>
      </c>
      <c r="N1380" s="105"/>
    </row>
    <row r="1381" spans="1:15" ht="31.5" customHeight="1" x14ac:dyDescent="0.25">
      <c r="A1381" s="52" t="str">
        <f>A1365</f>
        <v>TL</v>
      </c>
      <c r="B1381" s="32" t="s">
        <v>1970</v>
      </c>
      <c r="C1381" s="33">
        <v>1376</v>
      </c>
      <c r="D1381" s="39" t="s">
        <v>1971</v>
      </c>
      <c r="E1381" s="33" t="s">
        <v>10</v>
      </c>
      <c r="F1381" s="33">
        <v>1</v>
      </c>
      <c r="G1381" s="33"/>
      <c r="H1381" s="33"/>
      <c r="I1381" s="34" t="s">
        <v>1972</v>
      </c>
      <c r="J1381" s="99">
        <v>474623503</v>
      </c>
      <c r="K1381" s="98">
        <f>+ROUND(J1381*F1381,0)</f>
        <v>474623503</v>
      </c>
      <c r="L1381" s="98">
        <v>242576117.0949963</v>
      </c>
      <c r="M1381" s="98">
        <v>232047385.9050037</v>
      </c>
      <c r="N1381" s="107"/>
    </row>
    <row r="1382" spans="1:15" ht="15.75" customHeight="1" x14ac:dyDescent="0.25">
      <c r="A1382" s="52" t="str">
        <f>A1379</f>
        <v>HT</v>
      </c>
      <c r="B1382" s="32" t="s">
        <v>1973</v>
      </c>
      <c r="C1382" s="33">
        <v>1377</v>
      </c>
      <c r="D1382" s="39" t="s">
        <v>1974</v>
      </c>
      <c r="E1382" s="33" t="s">
        <v>10</v>
      </c>
      <c r="F1382" s="33">
        <v>1</v>
      </c>
      <c r="G1382" s="33"/>
      <c r="H1382" s="33"/>
      <c r="I1382" s="34" t="s">
        <v>1972</v>
      </c>
      <c r="J1382" s="99">
        <v>295964821</v>
      </c>
      <c r="K1382" s="98">
        <f>+ROUND(J1382*F1382,0)</f>
        <v>295964821</v>
      </c>
      <c r="L1382" s="98">
        <f>+ROUND(G1382*J1382,0)</f>
        <v>0</v>
      </c>
      <c r="M1382" s="98">
        <f>+K1382</f>
        <v>295964821</v>
      </c>
      <c r="N1382" s="100"/>
      <c r="O1382" s="95">
        <v>324304704000</v>
      </c>
    </row>
    <row r="1383" spans="1:15" s="9" customFormat="1" ht="31.5" customHeight="1" x14ac:dyDescent="0.2">
      <c r="A1383" s="52" t="str">
        <f>A1380</f>
        <v>TL+HT</v>
      </c>
      <c r="B1383" s="29">
        <v>23</v>
      </c>
      <c r="C1383" s="37"/>
      <c r="D1383" s="12" t="s">
        <v>1975</v>
      </c>
      <c r="E1383" s="37"/>
      <c r="F1383" s="38">
        <v>1</v>
      </c>
      <c r="G1383" s="38"/>
      <c r="H1383" s="38"/>
      <c r="I1383" s="79" t="s">
        <v>1972</v>
      </c>
      <c r="J1383" s="108">
        <f>6.67%*303996652562</f>
        <v>20276576725.885399</v>
      </c>
      <c r="K1383" s="108">
        <f>+J1383</f>
        <v>20276576725.885399</v>
      </c>
      <c r="L1383" s="109">
        <f>SUM(L7:L1382)*6.67%</f>
        <v>8106839888.3200359</v>
      </c>
      <c r="M1383" s="109">
        <f>SUM(M7:M1382)*6.67%</f>
        <v>12169736837.565363</v>
      </c>
      <c r="N1383" s="110"/>
      <c r="O1383" s="110">
        <v>303996652562</v>
      </c>
    </row>
    <row r="1384" spans="1:15" s="10" customFormat="1" ht="18.75" customHeight="1" x14ac:dyDescent="0.3">
      <c r="A1384" s="52" t="str">
        <f>A1383</f>
        <v>TL+HT</v>
      </c>
      <c r="B1384" s="30"/>
      <c r="C1384" s="30"/>
      <c r="D1384" s="12" t="s">
        <v>1987</v>
      </c>
      <c r="E1384" s="30"/>
      <c r="F1384" s="30"/>
      <c r="G1384" s="30"/>
      <c r="H1384" s="30"/>
      <c r="I1384" s="31"/>
      <c r="J1384" s="97"/>
      <c r="K1384" s="97">
        <f>ROUND(SUM(K7:K1383),-3)</f>
        <v>324273229000</v>
      </c>
      <c r="L1384" s="97">
        <f>ROUND(SUM(L7:L1383),-3)</f>
        <v>129648667000</v>
      </c>
      <c r="M1384" s="97">
        <f>ROUND(SUM(M7:M1383),-3)</f>
        <v>194624562000</v>
      </c>
      <c r="N1384" s="111">
        <f>+M1384+L1384</f>
        <v>324273229000</v>
      </c>
      <c r="O1384" s="111">
        <v>304026159589</v>
      </c>
    </row>
    <row r="1385" spans="1:15" s="15" customFormat="1" ht="15.75" customHeight="1" x14ac:dyDescent="0.2">
      <c r="A1385" s="52" t="str">
        <f>A1384</f>
        <v>TL+HT</v>
      </c>
      <c r="B1385" s="11"/>
      <c r="C1385" s="11"/>
      <c r="D1385" s="12" t="s">
        <v>1988</v>
      </c>
      <c r="E1385" s="11"/>
      <c r="F1385" s="11"/>
      <c r="G1385" s="11"/>
      <c r="H1385" s="11"/>
      <c r="I1385" s="13"/>
      <c r="J1385" s="112"/>
      <c r="K1385" s="14">
        <v>1</v>
      </c>
      <c r="L1385" s="14">
        <f>+L1384/K1384</f>
        <v>0.39981304469632922</v>
      </c>
      <c r="M1385" s="14">
        <f>+M1384/K1384</f>
        <v>0.60018695530367083</v>
      </c>
      <c r="N1385" s="113"/>
    </row>
    <row r="1386" spans="1:15" s="16" customFormat="1" ht="15.75" customHeight="1" x14ac:dyDescent="0.2">
      <c r="A1386" s="52"/>
      <c r="D1386" s="17" t="s">
        <v>1989</v>
      </c>
      <c r="I1386" s="20"/>
      <c r="J1386" s="114"/>
      <c r="K1386" s="114"/>
      <c r="L1386" s="115"/>
      <c r="M1386" s="115"/>
      <c r="N1386" s="114"/>
    </row>
    <row r="1387" spans="1:15" s="16" customFormat="1" ht="34.5" customHeight="1" x14ac:dyDescent="0.2">
      <c r="A1387" s="52"/>
      <c r="D1387" s="169" t="s">
        <v>1990</v>
      </c>
      <c r="E1387" s="170"/>
      <c r="F1387" s="170"/>
      <c r="G1387" s="170"/>
      <c r="H1387" s="170"/>
      <c r="I1387" s="170"/>
      <c r="J1387" s="170"/>
      <c r="K1387" s="170"/>
      <c r="L1387" s="170"/>
      <c r="M1387" s="170"/>
      <c r="N1387" s="114"/>
    </row>
    <row r="1388" spans="1:15" s="16" customFormat="1" ht="34.5" customHeight="1" x14ac:dyDescent="0.2">
      <c r="A1388" s="52"/>
      <c r="D1388" s="169" t="s">
        <v>1991</v>
      </c>
      <c r="E1388" s="170"/>
      <c r="F1388" s="170"/>
      <c r="G1388" s="170"/>
      <c r="H1388" s="170"/>
      <c r="I1388" s="170"/>
      <c r="J1388" s="170"/>
      <c r="K1388" s="170"/>
      <c r="L1388" s="170"/>
      <c r="M1388" s="170"/>
      <c r="N1388" s="114"/>
    </row>
    <row r="1389" spans="1:15" s="15" customFormat="1" ht="22.5" customHeight="1" x14ac:dyDescent="0.2">
      <c r="A1389" s="52"/>
      <c r="B1389" s="161" t="s">
        <v>1992</v>
      </c>
      <c r="C1389" s="162"/>
      <c r="D1389" s="162"/>
      <c r="E1389" s="162"/>
      <c r="F1389" s="162"/>
      <c r="G1389" s="164" t="s">
        <v>1993</v>
      </c>
      <c r="H1389" s="162"/>
      <c r="I1389" s="162"/>
      <c r="J1389" s="162"/>
      <c r="K1389" s="162"/>
      <c r="L1389" s="162"/>
      <c r="M1389" s="162"/>
      <c r="N1389" s="113"/>
    </row>
    <row r="1390" spans="1:15" s="15" customFormat="1" ht="33.75" customHeight="1" x14ac:dyDescent="0.2">
      <c r="A1390" s="52"/>
      <c r="B1390" s="161" t="s">
        <v>1994</v>
      </c>
      <c r="C1390" s="162"/>
      <c r="D1390" s="162"/>
      <c r="E1390" s="162"/>
      <c r="F1390" s="162"/>
      <c r="G1390" s="161" t="s">
        <v>1995</v>
      </c>
      <c r="H1390" s="162"/>
      <c r="I1390" s="162"/>
      <c r="J1390" s="162"/>
      <c r="K1390" s="163" t="s">
        <v>1996</v>
      </c>
      <c r="L1390" s="159"/>
      <c r="M1390" s="159"/>
      <c r="N1390" s="113"/>
    </row>
    <row r="1391" spans="1:15" s="15" customFormat="1" ht="69" customHeight="1" x14ac:dyDescent="0.2">
      <c r="A1391" s="51"/>
      <c r="D1391" s="24"/>
      <c r="I1391" s="25"/>
      <c r="J1391" s="113"/>
      <c r="K1391" s="113"/>
      <c r="L1391" s="116"/>
      <c r="M1391" s="116"/>
      <c r="N1391" s="113"/>
    </row>
    <row r="1392" spans="1:15" s="15" customFormat="1" ht="29.25" customHeight="1" x14ac:dyDescent="0.2">
      <c r="A1392" s="51"/>
      <c r="B1392" s="161" t="s">
        <v>1997</v>
      </c>
      <c r="C1392" s="162"/>
      <c r="D1392" s="162"/>
      <c r="E1392" s="162"/>
      <c r="F1392" s="162"/>
      <c r="G1392" s="161" t="s">
        <v>1998</v>
      </c>
      <c r="H1392" s="162"/>
      <c r="I1392" s="162"/>
      <c r="J1392" s="162"/>
      <c r="K1392" s="163" t="s">
        <v>1999</v>
      </c>
      <c r="L1392" s="159"/>
      <c r="M1392" s="159"/>
      <c r="N1392" s="113"/>
    </row>
    <row r="1393" spans="1:15" s="15" customFormat="1" ht="29.25" customHeight="1" x14ac:dyDescent="0.2">
      <c r="A1393" s="51"/>
      <c r="D1393" s="24"/>
      <c r="I1393" s="25"/>
      <c r="J1393" s="113"/>
      <c r="K1393" s="113"/>
      <c r="L1393" s="116"/>
      <c r="M1393" s="116"/>
      <c r="N1393" s="113"/>
    </row>
    <row r="1394" spans="1:15" s="15" customFormat="1" ht="29.25" customHeight="1" x14ac:dyDescent="0.2">
      <c r="A1394" s="51"/>
      <c r="D1394" s="24"/>
      <c r="I1394" s="25"/>
      <c r="J1394" s="113"/>
      <c r="K1394" s="113"/>
      <c r="L1394" s="116"/>
      <c r="M1394" s="116"/>
      <c r="N1394" s="113"/>
    </row>
    <row r="1395" spans="1:15" s="15" customFormat="1" ht="29.25" customHeight="1" x14ac:dyDescent="0.2">
      <c r="A1395" s="51"/>
      <c r="D1395" s="24"/>
      <c r="I1395" s="25"/>
      <c r="J1395" s="113"/>
      <c r="K1395" s="113"/>
      <c r="L1395" s="116"/>
      <c r="M1395" s="116"/>
      <c r="N1395" s="113"/>
    </row>
    <row r="1396" spans="1:15" s="15" customFormat="1" ht="29.25" customHeight="1" x14ac:dyDescent="0.2">
      <c r="A1396" s="51"/>
      <c r="D1396" s="24"/>
      <c r="I1396" s="25"/>
      <c r="J1396" s="113"/>
      <c r="K1396" s="113"/>
      <c r="L1396" s="116"/>
      <c r="M1396" s="116"/>
      <c r="N1396" s="113"/>
    </row>
    <row r="1397" spans="1:15" s="15" customFormat="1" ht="29.25" customHeight="1" x14ac:dyDescent="0.2">
      <c r="A1397" s="51"/>
      <c r="D1397" s="24"/>
      <c r="I1397" s="25"/>
      <c r="J1397" s="113"/>
      <c r="K1397" s="113"/>
      <c r="L1397" s="116"/>
      <c r="M1397" s="116"/>
      <c r="N1397" s="113"/>
    </row>
    <row r="1398" spans="1:15" s="15" customFormat="1" ht="29.25" customHeight="1" x14ac:dyDescent="0.2">
      <c r="A1398" s="51"/>
      <c r="D1398" s="24"/>
      <c r="I1398" s="25"/>
      <c r="J1398" s="113"/>
      <c r="K1398" s="113"/>
      <c r="L1398" s="116"/>
      <c r="M1398" s="116"/>
      <c r="N1398" s="113"/>
    </row>
    <row r="1399" spans="1:15" s="15" customFormat="1" ht="29.25" customHeight="1" x14ac:dyDescent="0.2">
      <c r="A1399" s="51"/>
      <c r="D1399" s="24"/>
      <c r="I1399" s="25"/>
      <c r="J1399" s="113"/>
      <c r="K1399" s="113"/>
      <c r="L1399" s="116"/>
      <c r="M1399" s="116"/>
      <c r="N1399" s="113"/>
    </row>
    <row r="1400" spans="1:15" s="15" customFormat="1" ht="29.25" customHeight="1" x14ac:dyDescent="0.2">
      <c r="A1400" s="51"/>
      <c r="D1400" s="24"/>
      <c r="I1400" s="25"/>
      <c r="J1400" s="113"/>
      <c r="K1400" s="113"/>
      <c r="L1400" s="116"/>
      <c r="M1400" s="116"/>
      <c r="N1400" s="113"/>
    </row>
    <row r="1401" spans="1:15" s="15" customFormat="1" ht="29.25" customHeight="1" x14ac:dyDescent="0.2">
      <c r="A1401" s="51"/>
      <c r="D1401" s="24"/>
      <c r="I1401" s="25"/>
      <c r="J1401" s="113"/>
      <c r="K1401" s="113"/>
      <c r="L1401" s="116"/>
      <c r="M1401" s="116"/>
      <c r="N1401" s="113"/>
    </row>
    <row r="1402" spans="1:15" s="15" customFormat="1" ht="29.25" customHeight="1" x14ac:dyDescent="0.2">
      <c r="A1402" s="51"/>
      <c r="D1402" s="24"/>
      <c r="I1402" s="25"/>
      <c r="J1402" s="113"/>
      <c r="K1402" s="113"/>
      <c r="L1402" s="116"/>
      <c r="M1402" s="116"/>
      <c r="N1402" s="113"/>
    </row>
    <row r="1403" spans="1:15" s="15" customFormat="1" ht="29.25" customHeight="1" x14ac:dyDescent="0.2">
      <c r="A1403" s="51"/>
      <c r="D1403" s="24"/>
      <c r="I1403" s="25"/>
      <c r="J1403" s="113"/>
      <c r="K1403" s="113"/>
      <c r="L1403" s="116"/>
      <c r="M1403" s="116"/>
      <c r="N1403" s="113"/>
    </row>
    <row r="1404" spans="1:15" s="15" customFormat="1" ht="29.25" customHeight="1" x14ac:dyDescent="0.2">
      <c r="A1404" s="51"/>
      <c r="D1404" s="24"/>
      <c r="I1404" s="25"/>
      <c r="J1404" s="113"/>
      <c r="K1404" s="113"/>
      <c r="L1404" s="116"/>
      <c r="M1404" s="116"/>
      <c r="N1404" s="113"/>
    </row>
    <row r="1405" spans="1:15" s="15" customFormat="1" ht="29.25" customHeight="1" x14ac:dyDescent="0.2">
      <c r="A1405" s="51"/>
      <c r="D1405" s="24"/>
      <c r="I1405" s="25"/>
      <c r="J1405" s="113"/>
      <c r="K1405" s="113"/>
      <c r="L1405" s="116"/>
      <c r="M1405" s="116"/>
      <c r="N1405" s="113"/>
    </row>
    <row r="1406" spans="1:15" x14ac:dyDescent="0.2">
      <c r="K1406" s="95">
        <v>324304704420.98102</v>
      </c>
      <c r="L1406" s="95">
        <f>+K1384*40%</f>
        <v>129709291600</v>
      </c>
      <c r="M1406" s="95"/>
      <c r="N1406" s="95"/>
      <c r="O1406" s="117">
        <f>+O1384-K1384</f>
        <v>-20247069411</v>
      </c>
    </row>
    <row r="1407" spans="1:15" ht="15" customHeight="1" x14ac:dyDescent="0.25">
      <c r="K1407" s="118"/>
      <c r="L1407" s="118">
        <f>+L1384*30%</f>
        <v>38894600100</v>
      </c>
      <c r="M1407" s="118"/>
      <c r="N1407" s="118"/>
    </row>
    <row r="1408" spans="1:15" ht="15" customHeight="1" x14ac:dyDescent="0.25">
      <c r="K1408" s="118">
        <f>+ROUND(K1381+K1382,-3)</f>
        <v>770588000</v>
      </c>
      <c r="L1408" s="118">
        <f>+ROUND(L1381+L1382,-3)</f>
        <v>242576000</v>
      </c>
      <c r="M1408" s="118">
        <f>+ROUND(M1381+M1382,-3)</f>
        <v>528012000</v>
      </c>
      <c r="N1408" s="118"/>
    </row>
    <row r="1409" spans="11:15" ht="15" customHeight="1" x14ac:dyDescent="0.25">
      <c r="K1409" s="118">
        <f>+ROUND(K1383,-3)</f>
        <v>20276577000</v>
      </c>
      <c r="L1409" s="118">
        <f>+ROUND(L1383,-3)</f>
        <v>8106840000</v>
      </c>
      <c r="M1409" s="118">
        <f>+ROUND(M1383,-3)</f>
        <v>12169737000</v>
      </c>
      <c r="N1409" s="118"/>
      <c r="O1409" s="27">
        <f>+O1384*6.67%</f>
        <v>20278544844.5863</v>
      </c>
    </row>
    <row r="1410" spans="11:15" ht="15" customHeight="1" x14ac:dyDescent="0.25">
      <c r="K1410" s="118">
        <f>+K1384-K1408-K1409</f>
        <v>303226064000</v>
      </c>
      <c r="L1410" s="118">
        <f>+L1384-L1408-L1409</f>
        <v>121299251000</v>
      </c>
      <c r="M1410" s="118">
        <f>+M1384-M1408-M1409</f>
        <v>181926813000</v>
      </c>
      <c r="N1410" s="118"/>
      <c r="O1410" s="27">
        <v>20278544843.7981</v>
      </c>
    </row>
    <row r="1411" spans="11:15" ht="15" customHeight="1" x14ac:dyDescent="0.25">
      <c r="K1411" s="118"/>
      <c r="L1411" s="118"/>
      <c r="M1411" s="118"/>
      <c r="N1411" s="118"/>
    </row>
  </sheetData>
  <autoFilter ref="A5:O5"/>
  <mergeCells count="17">
    <mergeCell ref="F4:H4"/>
    <mergeCell ref="B1:M3"/>
    <mergeCell ref="G1390:J1390"/>
    <mergeCell ref="K1390:M1390"/>
    <mergeCell ref="B1392:F1392"/>
    <mergeCell ref="G1389:M1389"/>
    <mergeCell ref="G1392:J1392"/>
    <mergeCell ref="B4:B5"/>
    <mergeCell ref="K4:M4"/>
    <mergeCell ref="D1388:M1388"/>
    <mergeCell ref="D4:D5"/>
    <mergeCell ref="J4:J5"/>
    <mergeCell ref="I4:I5"/>
    <mergeCell ref="K1392:M1392"/>
    <mergeCell ref="D1387:M1387"/>
    <mergeCell ref="B1389:F1389"/>
    <mergeCell ref="B1390:F1390"/>
  </mergeCells>
  <pageMargins left="0.32" right="0.19" top="0.69" bottom="0.54" header="0.3" footer="0.3"/>
  <pageSetup paperSize="9" scale="82"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S1574"/>
  <sheetViews>
    <sheetView tabSelected="1" view="pageBreakPreview" zoomScale="85" zoomScaleNormal="85" zoomScaleSheetLayoutView="85" workbookViewId="0">
      <selection activeCell="I697" sqref="I697"/>
    </sheetView>
  </sheetViews>
  <sheetFormatPr defaultColWidth="60" defaultRowHeight="15.75" x14ac:dyDescent="0.2"/>
  <cols>
    <col min="1" max="1" width="9" style="49" customWidth="1"/>
    <col min="2" max="2" width="6.75" style="18" bestFit="1" customWidth="1"/>
    <col min="3" max="3" width="34.5" style="40" customWidth="1"/>
    <col min="4" max="4" width="9.375" style="59" customWidth="1"/>
    <col min="5" max="5" width="13.25" style="59" customWidth="1"/>
    <col min="6" max="6" width="15" style="59" customWidth="1"/>
    <col min="7" max="7" width="16.625" style="18" customWidth="1"/>
    <col min="8" max="8" width="23.125" style="18" customWidth="1"/>
    <col min="9" max="9" width="16.625" style="18" customWidth="1"/>
    <col min="10" max="10" width="15.625" style="119" customWidth="1"/>
    <col min="11" max="11" width="15.625" style="95" customWidth="1"/>
    <col min="12" max="12" width="16.5" style="64" customWidth="1"/>
    <col min="13" max="13" width="16.75" style="28" customWidth="1"/>
    <col min="14" max="14" width="15.5" style="28" customWidth="1"/>
    <col min="15" max="15" width="20.75" style="28" customWidth="1"/>
    <col min="16" max="16" width="18.5" style="28" customWidth="1"/>
    <col min="17" max="17" width="16.5" style="28" customWidth="1"/>
    <col min="18" max="18" width="16.5" style="18" bestFit="1" customWidth="1"/>
    <col min="19" max="19" width="60" style="18" customWidth="1"/>
    <col min="20" max="16384" width="60" style="18"/>
  </cols>
  <sheetData>
    <row r="1" spans="1:18" ht="18.75" customHeight="1" x14ac:dyDescent="0.2">
      <c r="B1" s="160" t="s">
        <v>1976</v>
      </c>
      <c r="C1" s="159"/>
      <c r="D1" s="159"/>
      <c r="E1" s="159"/>
      <c r="F1" s="159"/>
      <c r="G1" s="159"/>
      <c r="H1" s="159"/>
      <c r="I1" s="159"/>
      <c r="J1" s="159"/>
      <c r="K1" s="159"/>
      <c r="L1" s="159"/>
      <c r="M1" s="159"/>
      <c r="N1" s="159"/>
      <c r="O1" s="159"/>
      <c r="P1" s="159"/>
      <c r="Q1" s="78"/>
    </row>
    <row r="2" spans="1:18" ht="18.75" customHeight="1" x14ac:dyDescent="0.2">
      <c r="B2" s="159"/>
      <c r="C2" s="159"/>
      <c r="D2" s="159"/>
      <c r="E2" s="159"/>
      <c r="F2" s="159"/>
      <c r="G2" s="159"/>
      <c r="H2" s="159"/>
      <c r="I2" s="159"/>
      <c r="J2" s="159"/>
      <c r="K2" s="159"/>
      <c r="L2" s="159"/>
      <c r="M2" s="159"/>
      <c r="N2" s="159"/>
      <c r="O2" s="159"/>
      <c r="P2" s="159"/>
      <c r="Q2" s="78"/>
    </row>
    <row r="3" spans="1:18" ht="43.5" customHeight="1" x14ac:dyDescent="0.2">
      <c r="B3" s="159"/>
      <c r="C3" s="159"/>
      <c r="D3" s="159"/>
      <c r="E3" s="159"/>
      <c r="F3" s="159"/>
      <c r="G3" s="159"/>
      <c r="H3" s="159"/>
      <c r="I3" s="159"/>
      <c r="J3" s="159"/>
      <c r="K3" s="159"/>
      <c r="L3" s="159"/>
      <c r="M3" s="159"/>
      <c r="N3" s="159"/>
      <c r="O3" s="159"/>
      <c r="P3" s="159"/>
      <c r="Q3" s="78"/>
    </row>
    <row r="4" spans="1:18" ht="25.5" customHeight="1" x14ac:dyDescent="0.2">
      <c r="B4" s="165" t="s">
        <v>1</v>
      </c>
      <c r="C4" s="165" t="s">
        <v>1977</v>
      </c>
      <c r="D4" s="165" t="s">
        <v>2000</v>
      </c>
      <c r="E4" s="165" t="s">
        <v>1978</v>
      </c>
      <c r="F4" s="167"/>
      <c r="G4" s="167"/>
      <c r="H4" s="167"/>
      <c r="I4" s="168"/>
      <c r="J4" s="171" t="s">
        <v>2001</v>
      </c>
      <c r="K4" s="177"/>
      <c r="L4" s="165" t="s">
        <v>1980</v>
      </c>
      <c r="M4" s="167"/>
      <c r="N4" s="167"/>
      <c r="O4" s="167"/>
      <c r="P4" s="168"/>
      <c r="Q4" s="19"/>
    </row>
    <row r="5" spans="1:18" ht="105.75" customHeight="1" x14ac:dyDescent="0.2">
      <c r="B5" s="166"/>
      <c r="C5" s="166"/>
      <c r="D5" s="166"/>
      <c r="E5" s="41" t="s">
        <v>2002</v>
      </c>
      <c r="F5" s="76" t="s">
        <v>2003</v>
      </c>
      <c r="G5" s="41" t="s">
        <v>2004</v>
      </c>
      <c r="H5" s="42" t="s">
        <v>2005</v>
      </c>
      <c r="I5" s="42" t="s">
        <v>2006</v>
      </c>
      <c r="J5" s="120" t="s">
        <v>2007</v>
      </c>
      <c r="K5" s="96" t="s">
        <v>2008</v>
      </c>
      <c r="L5" s="41" t="str">
        <f>E5</f>
        <v>Hợp đồng số 12/06/2023/HĐTCXD ngày 12/6/2023</v>
      </c>
      <c r="M5" s="76" t="str">
        <f>F5</f>
        <v>Quyết định điều chỉnh TKBVTC-DT, số 5892/QĐ-UBND, ngày 31/12/2024</v>
      </c>
      <c r="N5" s="41" t="str">
        <f>G5</f>
        <v>Biên bản xác nhận số liệu và tình hình kiểm toán ngày 21/5/2025</v>
      </c>
      <c r="O5" s="79" t="str">
        <f>H5</f>
        <v xml:space="preserve">Điều chỉnh, bổ sung
(lần này) theo QĐ số 408/QĐ-BQLDANN, ngày 11/9/2026 và số 422/QĐ-BQLDANN ngày 16/9/2026 </v>
      </c>
      <c r="P5" s="79" t="str">
        <f>I5</f>
        <v>Sau điều chỉnh, 
bổ sung</v>
      </c>
      <c r="Q5" s="20"/>
    </row>
    <row r="6" spans="1:18" ht="62.25" customHeight="1" x14ac:dyDescent="0.2">
      <c r="A6" s="49" t="s">
        <v>1984</v>
      </c>
      <c r="B6" s="44" t="s">
        <v>2009</v>
      </c>
      <c r="C6" s="44" t="s">
        <v>2010</v>
      </c>
      <c r="D6" s="44"/>
      <c r="E6" s="45"/>
      <c r="F6" s="46"/>
      <c r="G6" s="44"/>
      <c r="H6" s="46"/>
      <c r="I6" s="46"/>
      <c r="J6" s="121"/>
      <c r="K6" s="58"/>
      <c r="L6" s="69">
        <f>ROUND(SUM(L7:L694),-3)</f>
        <v>129648647000</v>
      </c>
      <c r="M6" s="61">
        <f>ROUND(SUM(M7:M694),-3)</f>
        <v>203765000</v>
      </c>
      <c r="N6" s="122">
        <f>ROUND(SUM(N7:N695),-3)</f>
        <v>-4496723000</v>
      </c>
      <c r="O6" s="61">
        <f>ROUND(SUM(O7:O694),-3)</f>
        <v>0</v>
      </c>
      <c r="P6" s="61">
        <f>ROUND(SUM(P7:P695),-3)</f>
        <v>125355689000</v>
      </c>
      <c r="Q6" s="20"/>
    </row>
    <row r="7" spans="1:18" s="22" customFormat="1" ht="47.25" hidden="1" customHeight="1" x14ac:dyDescent="0.25">
      <c r="A7" s="48" t="str">
        <f t="shared" ref="A7:A70" si="0">A6</f>
        <v>TL</v>
      </c>
      <c r="B7" s="29">
        <v>1</v>
      </c>
      <c r="C7" s="12" t="s">
        <v>9</v>
      </c>
      <c r="D7" s="79"/>
      <c r="E7" s="38"/>
      <c r="F7" s="123"/>
      <c r="G7" s="30"/>
      <c r="H7" s="30"/>
      <c r="I7" s="30"/>
      <c r="J7" s="108"/>
      <c r="K7" s="97"/>
      <c r="L7" s="38"/>
      <c r="M7" s="30"/>
      <c r="N7" s="30"/>
      <c r="O7" s="30"/>
      <c r="P7" s="68"/>
      <c r="Q7" s="21"/>
    </row>
    <row r="8" spans="1:18" hidden="1" x14ac:dyDescent="0.25">
      <c r="A8" s="48" t="str">
        <f t="shared" si="0"/>
        <v>TL</v>
      </c>
      <c r="B8" s="32" t="s">
        <v>11</v>
      </c>
      <c r="C8" s="39" t="s">
        <v>12</v>
      </c>
      <c r="D8" s="13" t="s">
        <v>13</v>
      </c>
      <c r="E8" s="123">
        <v>91424</v>
      </c>
      <c r="F8" s="124">
        <f>'[4]PHỤ LỤC GIÁ HỢP ĐỒNG'!$K$10</f>
        <v>-471.14370000001509</v>
      </c>
      <c r="G8" s="125"/>
      <c r="H8" s="125"/>
      <c r="I8" s="125">
        <f t="shared" ref="I8:I39" si="1">SUM(E8:H8)</f>
        <v>90952.856299999985</v>
      </c>
      <c r="J8" s="62">
        <f>'BIỂU HỢP ĐỒNG'!J7</f>
        <v>646</v>
      </c>
      <c r="K8" s="43"/>
      <c r="L8" s="62">
        <f t="shared" ref="L8:L39" si="2">+ROUND(J8*E8,0)</f>
        <v>59059904</v>
      </c>
      <c r="M8" s="126">
        <f t="shared" ref="M8:M15" si="3">+ROUND(F8*J8,0)</f>
        <v>-304359</v>
      </c>
      <c r="N8" s="43">
        <f t="shared" ref="N8:N39" si="4">+ROUND(G8*J8,0)</f>
        <v>0</v>
      </c>
      <c r="O8" s="43">
        <f t="shared" ref="O8:O39" si="5">+ROUND(H8*J8,0)</f>
        <v>0</v>
      </c>
      <c r="P8" s="43">
        <f t="shared" ref="P8:P39" si="6">SUM(L8:O8)</f>
        <v>58755545</v>
      </c>
      <c r="Q8" s="100"/>
      <c r="R8" s="117"/>
    </row>
    <row r="9" spans="1:18" hidden="1" x14ac:dyDescent="0.25">
      <c r="A9" s="48" t="str">
        <f t="shared" si="0"/>
        <v>TL</v>
      </c>
      <c r="B9" s="32" t="s">
        <v>14</v>
      </c>
      <c r="C9" s="39" t="s">
        <v>15</v>
      </c>
      <c r="D9" s="13" t="s">
        <v>16</v>
      </c>
      <c r="E9" s="123">
        <v>500</v>
      </c>
      <c r="F9" s="124">
        <f>'[4]PHỤ LỤC GIÁ HỢP ĐỒNG'!$K$12</f>
        <v>-157.90229999999991</v>
      </c>
      <c r="G9" s="125"/>
      <c r="H9" s="125"/>
      <c r="I9" s="125">
        <f t="shared" si="1"/>
        <v>342.09770000000009</v>
      </c>
      <c r="J9" s="62">
        <f>'BIỂU HỢP ĐỒNG'!J8</f>
        <v>20072</v>
      </c>
      <c r="K9" s="43"/>
      <c r="L9" s="62">
        <f t="shared" si="2"/>
        <v>10036000</v>
      </c>
      <c r="M9" s="126">
        <f t="shared" si="3"/>
        <v>-3169415</v>
      </c>
      <c r="N9" s="43">
        <f t="shared" si="4"/>
        <v>0</v>
      </c>
      <c r="O9" s="43">
        <f t="shared" si="5"/>
        <v>0</v>
      </c>
      <c r="P9" s="43">
        <f t="shared" si="6"/>
        <v>6866585</v>
      </c>
      <c r="Q9" s="100"/>
      <c r="R9" s="117"/>
    </row>
    <row r="10" spans="1:18" hidden="1" x14ac:dyDescent="0.25">
      <c r="A10" s="48" t="str">
        <f t="shared" si="0"/>
        <v>TL</v>
      </c>
      <c r="B10" s="32" t="s">
        <v>17</v>
      </c>
      <c r="C10" s="39" t="s">
        <v>18</v>
      </c>
      <c r="D10" s="13" t="s">
        <v>16</v>
      </c>
      <c r="E10" s="123">
        <v>264</v>
      </c>
      <c r="F10" s="124">
        <f>'[4]PHỤ LỤC GIÁ HỢP ĐỒNG'!$K$118</f>
        <v>146.13615000000004</v>
      </c>
      <c r="G10" s="125"/>
      <c r="H10" s="125"/>
      <c r="I10" s="125">
        <f t="shared" si="1"/>
        <v>410.13615000000004</v>
      </c>
      <c r="J10" s="62">
        <f>'BIỂU HỢP ĐỒNG'!J9</f>
        <v>30610</v>
      </c>
      <c r="K10" s="43"/>
      <c r="L10" s="62">
        <f t="shared" si="2"/>
        <v>8081040</v>
      </c>
      <c r="M10" s="126">
        <f t="shared" si="3"/>
        <v>4473228</v>
      </c>
      <c r="N10" s="43">
        <f t="shared" si="4"/>
        <v>0</v>
      </c>
      <c r="O10" s="43">
        <f t="shared" si="5"/>
        <v>0</v>
      </c>
      <c r="P10" s="43">
        <f t="shared" si="6"/>
        <v>12554268</v>
      </c>
      <c r="Q10" s="100"/>
      <c r="R10" s="117"/>
    </row>
    <row r="11" spans="1:18" hidden="1" x14ac:dyDescent="0.25">
      <c r="A11" s="48" t="str">
        <f t="shared" si="0"/>
        <v>TL</v>
      </c>
      <c r="B11" s="32" t="s">
        <v>19</v>
      </c>
      <c r="C11" s="39" t="s">
        <v>20</v>
      </c>
      <c r="D11" s="13" t="s">
        <v>16</v>
      </c>
      <c r="E11" s="123">
        <v>923</v>
      </c>
      <c r="F11" s="124">
        <f>'[4]PHỤ LỤC GIÁ HỢP ĐỒNG'!$K$14</f>
        <v>-765.48185000000001</v>
      </c>
      <c r="G11" s="125"/>
      <c r="H11" s="125"/>
      <c r="I11" s="125">
        <f t="shared" si="1"/>
        <v>157.51814999999999</v>
      </c>
      <c r="J11" s="62">
        <f>'BIỂU HỢP ĐỒNG'!J10</f>
        <v>12342</v>
      </c>
      <c r="K11" s="43"/>
      <c r="L11" s="62">
        <f t="shared" si="2"/>
        <v>11391666</v>
      </c>
      <c r="M11" s="126">
        <f t="shared" si="3"/>
        <v>-9447577</v>
      </c>
      <c r="N11" s="43">
        <f t="shared" si="4"/>
        <v>0</v>
      </c>
      <c r="O11" s="43">
        <f t="shared" si="5"/>
        <v>0</v>
      </c>
      <c r="P11" s="43">
        <f t="shared" si="6"/>
        <v>1944089</v>
      </c>
      <c r="Q11" s="100"/>
      <c r="R11" s="117"/>
    </row>
    <row r="12" spans="1:18" hidden="1" x14ac:dyDescent="0.25">
      <c r="A12" s="48" t="str">
        <f t="shared" si="0"/>
        <v>TL</v>
      </c>
      <c r="B12" s="32" t="s">
        <v>21</v>
      </c>
      <c r="C12" s="39" t="s">
        <v>22</v>
      </c>
      <c r="D12" s="13" t="s">
        <v>16</v>
      </c>
      <c r="E12" s="123">
        <v>923</v>
      </c>
      <c r="F12" s="124">
        <f>'[4]PHỤ LỤC GIÁ HỢP ĐỒNG'!$K$15</f>
        <v>-765.48185000000001</v>
      </c>
      <c r="G12" s="125"/>
      <c r="H12" s="125"/>
      <c r="I12" s="125">
        <f t="shared" si="1"/>
        <v>157.51814999999999</v>
      </c>
      <c r="J12" s="62">
        <f>'BIỂU HỢP ĐỒNG'!J11</f>
        <v>12936</v>
      </c>
      <c r="K12" s="43"/>
      <c r="L12" s="62">
        <f t="shared" si="2"/>
        <v>11939928</v>
      </c>
      <c r="M12" s="126">
        <f t="shared" si="3"/>
        <v>-9902273</v>
      </c>
      <c r="N12" s="43">
        <f t="shared" si="4"/>
        <v>0</v>
      </c>
      <c r="O12" s="43">
        <f t="shared" si="5"/>
        <v>0</v>
      </c>
      <c r="P12" s="43">
        <f t="shared" si="6"/>
        <v>2037655</v>
      </c>
      <c r="Q12" s="100"/>
      <c r="R12" s="117"/>
    </row>
    <row r="13" spans="1:18" hidden="1" x14ac:dyDescent="0.25">
      <c r="A13" s="48" t="str">
        <f t="shared" si="0"/>
        <v>TL</v>
      </c>
      <c r="B13" s="32" t="s">
        <v>23</v>
      </c>
      <c r="C13" s="39" t="s">
        <v>24</v>
      </c>
      <c r="D13" s="13" t="s">
        <v>16</v>
      </c>
      <c r="E13" s="123">
        <v>5871.7</v>
      </c>
      <c r="F13" s="124">
        <f>'[4]PHỤ LỤC GIÁ HỢP ĐỒNG'!$K$13</f>
        <v>-4255.8553500000007</v>
      </c>
      <c r="G13" s="125"/>
      <c r="H13" s="125"/>
      <c r="I13" s="125">
        <f t="shared" si="1"/>
        <v>1615.8446499999991</v>
      </c>
      <c r="J13" s="62">
        <f>'BIỂU HỢP ĐỒNG'!J12</f>
        <v>8251</v>
      </c>
      <c r="K13" s="43"/>
      <c r="L13" s="62">
        <f t="shared" si="2"/>
        <v>48447397</v>
      </c>
      <c r="M13" s="126">
        <f t="shared" si="3"/>
        <v>-35115062</v>
      </c>
      <c r="N13" s="43">
        <f t="shared" si="4"/>
        <v>0</v>
      </c>
      <c r="O13" s="43">
        <f t="shared" si="5"/>
        <v>0</v>
      </c>
      <c r="P13" s="43">
        <f t="shared" si="6"/>
        <v>13332335</v>
      </c>
      <c r="Q13" s="100"/>
      <c r="R13" s="117"/>
    </row>
    <row r="14" spans="1:18" ht="47.25" hidden="1" customHeight="1" x14ac:dyDescent="0.25">
      <c r="A14" s="48" t="str">
        <f t="shared" si="0"/>
        <v>TL</v>
      </c>
      <c r="B14" s="32" t="s">
        <v>25</v>
      </c>
      <c r="C14" s="39" t="s">
        <v>26</v>
      </c>
      <c r="D14" s="13" t="s">
        <v>16</v>
      </c>
      <c r="E14" s="123">
        <v>170279</v>
      </c>
      <c r="F14" s="123"/>
      <c r="G14" s="125"/>
      <c r="H14" s="125"/>
      <c r="I14" s="125">
        <f t="shared" si="1"/>
        <v>170279</v>
      </c>
      <c r="J14" s="62">
        <f>'BIỂU HỢP ĐỒNG'!J13</f>
        <v>12936</v>
      </c>
      <c r="K14" s="43"/>
      <c r="L14" s="62">
        <f t="shared" si="2"/>
        <v>2202729144</v>
      </c>
      <c r="M14" s="126">
        <f t="shared" si="3"/>
        <v>0</v>
      </c>
      <c r="N14" s="43">
        <f t="shared" si="4"/>
        <v>0</v>
      </c>
      <c r="O14" s="43">
        <f t="shared" si="5"/>
        <v>0</v>
      </c>
      <c r="P14" s="43">
        <f t="shared" si="6"/>
        <v>2202729144</v>
      </c>
      <c r="Q14" s="100"/>
      <c r="R14" s="117"/>
    </row>
    <row r="15" spans="1:18" ht="31.5" hidden="1" customHeight="1" x14ac:dyDescent="0.25">
      <c r="A15" s="48" t="str">
        <f t="shared" si="0"/>
        <v>TL</v>
      </c>
      <c r="B15" s="32" t="s">
        <v>27</v>
      </c>
      <c r="C15" s="39" t="s">
        <v>28</v>
      </c>
      <c r="D15" s="13" t="s">
        <v>16</v>
      </c>
      <c r="E15" s="123">
        <v>28834</v>
      </c>
      <c r="F15" s="124">
        <f>'[4]PHỤ LỤC GIÁ HỢP ĐỒNG'!$K$17</f>
        <v>-3133.9909499999776</v>
      </c>
      <c r="G15" s="125"/>
      <c r="H15" s="125"/>
      <c r="I15" s="125">
        <f t="shared" si="1"/>
        <v>25700.009050000022</v>
      </c>
      <c r="J15" s="62">
        <f>'BIỂU HỢP ĐỒNG'!J14</f>
        <v>12936</v>
      </c>
      <c r="K15" s="43"/>
      <c r="L15" s="62">
        <f t="shared" si="2"/>
        <v>372996624</v>
      </c>
      <c r="M15" s="126">
        <f t="shared" si="3"/>
        <v>-40541307</v>
      </c>
      <c r="N15" s="43">
        <f t="shared" si="4"/>
        <v>0</v>
      </c>
      <c r="O15" s="43">
        <f t="shared" si="5"/>
        <v>0</v>
      </c>
      <c r="P15" s="43">
        <f t="shared" si="6"/>
        <v>332455317</v>
      </c>
      <c r="Q15" s="100"/>
      <c r="R15" s="117"/>
    </row>
    <row r="16" spans="1:18" ht="47.25" hidden="1" customHeight="1" x14ac:dyDescent="0.25">
      <c r="A16" s="48" t="str">
        <f t="shared" si="0"/>
        <v>TL</v>
      </c>
      <c r="B16" s="32" t="s">
        <v>29</v>
      </c>
      <c r="C16" s="39" t="s">
        <v>30</v>
      </c>
      <c r="D16" s="13" t="s">
        <v>16</v>
      </c>
      <c r="E16" s="123">
        <v>14978</v>
      </c>
      <c r="F16" s="124">
        <f>'[4]PHỤ LỤC GIÁ HỢP ĐỒNG'!$K$16</f>
        <v>-15.501150000000052</v>
      </c>
      <c r="G16" s="125"/>
      <c r="H16" s="125"/>
      <c r="I16" s="125">
        <f t="shared" si="1"/>
        <v>14962.49885</v>
      </c>
      <c r="J16" s="62">
        <f>'BIỂU HỢP ĐỒNG'!J15</f>
        <v>15775</v>
      </c>
      <c r="K16" s="43"/>
      <c r="L16" s="62">
        <f t="shared" si="2"/>
        <v>236277950</v>
      </c>
      <c r="M16" s="126">
        <f>+ROUND(F16*12936,0)</f>
        <v>-200523</v>
      </c>
      <c r="N16" s="43">
        <f t="shared" si="4"/>
        <v>0</v>
      </c>
      <c r="O16" s="43">
        <f t="shared" si="5"/>
        <v>0</v>
      </c>
      <c r="P16" s="43">
        <f t="shared" si="6"/>
        <v>236077427</v>
      </c>
      <c r="Q16" s="100"/>
      <c r="R16" s="117"/>
    </row>
    <row r="17" spans="1:18" hidden="1" x14ac:dyDescent="0.25">
      <c r="A17" s="48" t="str">
        <f t="shared" si="0"/>
        <v>TL</v>
      </c>
      <c r="B17" s="32" t="s">
        <v>31</v>
      </c>
      <c r="C17" s="39" t="s">
        <v>32</v>
      </c>
      <c r="D17" s="13" t="s">
        <v>16</v>
      </c>
      <c r="E17" s="123">
        <v>246897.46</v>
      </c>
      <c r="F17" s="124">
        <f>'[4]PHỤ LỤC GIÁ HỢP ĐỒNG'!$K$18</f>
        <v>-4285.1058259349957</v>
      </c>
      <c r="G17" s="125"/>
      <c r="H17" s="125"/>
      <c r="I17" s="125">
        <f t="shared" si="1"/>
        <v>242612.354174065</v>
      </c>
      <c r="J17" s="62">
        <f>'BIỂU HỢP ĐỒNG'!J16</f>
        <v>50585</v>
      </c>
      <c r="K17" s="43"/>
      <c r="L17" s="62">
        <f t="shared" si="2"/>
        <v>12489308014</v>
      </c>
      <c r="M17" s="126">
        <f t="shared" ref="M17:M48" si="7">+ROUND(F17*J17,0)</f>
        <v>-216762078</v>
      </c>
      <c r="N17" s="43">
        <f t="shared" si="4"/>
        <v>0</v>
      </c>
      <c r="O17" s="43">
        <f t="shared" si="5"/>
        <v>0</v>
      </c>
      <c r="P17" s="43">
        <f t="shared" si="6"/>
        <v>12272545936</v>
      </c>
      <c r="Q17" s="100"/>
      <c r="R17" s="117"/>
    </row>
    <row r="18" spans="1:18" hidden="1" x14ac:dyDescent="0.25">
      <c r="A18" s="48" t="str">
        <f t="shared" si="0"/>
        <v>TL</v>
      </c>
      <c r="B18" s="32" t="s">
        <v>33</v>
      </c>
      <c r="C18" s="39" t="s">
        <v>34</v>
      </c>
      <c r="D18" s="13" t="s">
        <v>16</v>
      </c>
      <c r="E18" s="123">
        <v>21023.119999999999</v>
      </c>
      <c r="F18" s="124">
        <f>'[4]PHỤ LỤC GIÁ HỢP ĐỒNG'!$K$19</f>
        <v>-21.757414140000037</v>
      </c>
      <c r="G18" s="125"/>
      <c r="H18" s="125"/>
      <c r="I18" s="125">
        <f t="shared" si="1"/>
        <v>21001.362585859999</v>
      </c>
      <c r="J18" s="62">
        <f>'BIỂU HỢP ĐỒNG'!J17</f>
        <v>54405</v>
      </c>
      <c r="K18" s="43"/>
      <c r="L18" s="62">
        <f t="shared" si="2"/>
        <v>1143762844</v>
      </c>
      <c r="M18" s="126">
        <f t="shared" si="7"/>
        <v>-1183712</v>
      </c>
      <c r="N18" s="43">
        <f t="shared" si="4"/>
        <v>0</v>
      </c>
      <c r="O18" s="43">
        <f t="shared" si="5"/>
        <v>0</v>
      </c>
      <c r="P18" s="43">
        <f t="shared" si="6"/>
        <v>1142579132</v>
      </c>
      <c r="Q18" s="100"/>
      <c r="R18" s="117"/>
    </row>
    <row r="19" spans="1:18" hidden="1" x14ac:dyDescent="0.25">
      <c r="A19" s="48" t="str">
        <f t="shared" si="0"/>
        <v>TL</v>
      </c>
      <c r="B19" s="32" t="s">
        <v>35</v>
      </c>
      <c r="C19" s="39" t="s">
        <v>36</v>
      </c>
      <c r="D19" s="13" t="s">
        <v>37</v>
      </c>
      <c r="E19" s="123">
        <v>26792.06</v>
      </c>
      <c r="F19" s="124">
        <f>'[4]PHỤ LỤC GIÁ HỢP ĐỒNG'!$K$20</f>
        <v>-430.68632400749993</v>
      </c>
      <c r="G19" s="125"/>
      <c r="H19" s="125"/>
      <c r="I19" s="125">
        <f t="shared" si="1"/>
        <v>26361.373675992501</v>
      </c>
      <c r="J19" s="62">
        <f>'BIỂU HỢP ĐỒNG'!J18</f>
        <v>940826</v>
      </c>
      <c r="K19" s="43"/>
      <c r="L19" s="62">
        <f t="shared" si="2"/>
        <v>25206666642</v>
      </c>
      <c r="M19" s="126">
        <f t="shared" si="7"/>
        <v>-405200891</v>
      </c>
      <c r="N19" s="43">
        <f t="shared" si="4"/>
        <v>0</v>
      </c>
      <c r="O19" s="43">
        <f t="shared" si="5"/>
        <v>0</v>
      </c>
      <c r="P19" s="43">
        <f t="shared" si="6"/>
        <v>24801465751</v>
      </c>
      <c r="Q19" s="100"/>
      <c r="R19" s="117"/>
    </row>
    <row r="20" spans="1:18" ht="31.5" hidden="1" customHeight="1" x14ac:dyDescent="0.25">
      <c r="A20" s="48" t="str">
        <f t="shared" si="0"/>
        <v>TL</v>
      </c>
      <c r="B20" s="32" t="s">
        <v>38</v>
      </c>
      <c r="C20" s="39" t="s">
        <v>39</v>
      </c>
      <c r="D20" s="13" t="s">
        <v>16</v>
      </c>
      <c r="E20" s="123">
        <v>4230</v>
      </c>
      <c r="F20" s="123"/>
      <c r="G20" s="125"/>
      <c r="H20" s="125"/>
      <c r="I20" s="125">
        <f t="shared" si="1"/>
        <v>4230</v>
      </c>
      <c r="J20" s="62">
        <f>'BIỂU HỢP ĐỒNG'!J19</f>
        <v>39661</v>
      </c>
      <c r="K20" s="43"/>
      <c r="L20" s="62">
        <f t="shared" si="2"/>
        <v>167766030</v>
      </c>
      <c r="M20" s="126">
        <f t="shared" si="7"/>
        <v>0</v>
      </c>
      <c r="N20" s="43">
        <f t="shared" si="4"/>
        <v>0</v>
      </c>
      <c r="O20" s="43">
        <f t="shared" si="5"/>
        <v>0</v>
      </c>
      <c r="P20" s="43">
        <f t="shared" si="6"/>
        <v>167766030</v>
      </c>
      <c r="Q20" s="100"/>
      <c r="R20" s="117"/>
    </row>
    <row r="21" spans="1:18" ht="36.75" hidden="1" customHeight="1" x14ac:dyDescent="0.25">
      <c r="A21" s="48" t="str">
        <f t="shared" si="0"/>
        <v>TL</v>
      </c>
      <c r="B21" s="32" t="s">
        <v>40</v>
      </c>
      <c r="C21" s="39" t="s">
        <v>41</v>
      </c>
      <c r="D21" s="13" t="s">
        <v>16</v>
      </c>
      <c r="E21" s="123">
        <v>61617.46</v>
      </c>
      <c r="F21" s="124">
        <f>'[4]PHỤ LỤC GIÁ HỢP ĐỒNG'!$K$21</f>
        <v>-3944.4935500000006</v>
      </c>
      <c r="G21" s="125"/>
      <c r="H21" s="125"/>
      <c r="I21" s="125">
        <f t="shared" si="1"/>
        <v>57672.96645</v>
      </c>
      <c r="J21" s="62">
        <f>'BIỂU HỢP ĐỒNG'!J20</f>
        <v>40424</v>
      </c>
      <c r="K21" s="43"/>
      <c r="L21" s="62">
        <f t="shared" si="2"/>
        <v>2490824203</v>
      </c>
      <c r="M21" s="126">
        <f t="shared" si="7"/>
        <v>-159452207</v>
      </c>
      <c r="N21" s="43">
        <f t="shared" si="4"/>
        <v>0</v>
      </c>
      <c r="O21" s="43">
        <f t="shared" si="5"/>
        <v>0</v>
      </c>
      <c r="P21" s="43">
        <f t="shared" si="6"/>
        <v>2331371996</v>
      </c>
      <c r="Q21" s="100"/>
      <c r="R21" s="117"/>
    </row>
    <row r="22" spans="1:18" ht="36.75" hidden="1" customHeight="1" x14ac:dyDescent="0.25">
      <c r="A22" s="48" t="str">
        <f t="shared" si="0"/>
        <v>TL</v>
      </c>
      <c r="B22" s="32" t="s">
        <v>42</v>
      </c>
      <c r="C22" s="39" t="s">
        <v>43</v>
      </c>
      <c r="D22" s="13" t="s">
        <v>16</v>
      </c>
      <c r="E22" s="123">
        <v>1686.7</v>
      </c>
      <c r="F22" s="124">
        <f>'[4]PHỤ LỤC GIÁ HỢP ĐỒNG'!$K$22</f>
        <v>-157.90229999999991</v>
      </c>
      <c r="G22" s="125"/>
      <c r="H22" s="125"/>
      <c r="I22" s="125">
        <f t="shared" si="1"/>
        <v>1528.7977000000001</v>
      </c>
      <c r="J22" s="62">
        <f>'BIỂU HỢP ĐỒNG'!J21</f>
        <v>45382</v>
      </c>
      <c r="K22" s="43"/>
      <c r="L22" s="62">
        <f t="shared" si="2"/>
        <v>76545819</v>
      </c>
      <c r="M22" s="126">
        <f t="shared" si="7"/>
        <v>-7165922</v>
      </c>
      <c r="N22" s="43">
        <f t="shared" si="4"/>
        <v>0</v>
      </c>
      <c r="O22" s="43">
        <f t="shared" si="5"/>
        <v>0</v>
      </c>
      <c r="P22" s="43">
        <f t="shared" si="6"/>
        <v>69379897</v>
      </c>
      <c r="Q22" s="100"/>
      <c r="R22" s="117"/>
    </row>
    <row r="23" spans="1:18" ht="31.5" hidden="1" customHeight="1" x14ac:dyDescent="0.25">
      <c r="A23" s="48" t="str">
        <f t="shared" si="0"/>
        <v>TL</v>
      </c>
      <c r="B23" s="32" t="s">
        <v>44</v>
      </c>
      <c r="C23" s="39" t="s">
        <v>45</v>
      </c>
      <c r="D23" s="13" t="s">
        <v>16</v>
      </c>
      <c r="E23" s="123">
        <v>858</v>
      </c>
      <c r="F23" s="124">
        <f>'[4]PHỤ LỤC GIÁ HỢP ĐỒNG'!$K$120</f>
        <v>146.13615000000004</v>
      </c>
      <c r="G23" s="125"/>
      <c r="H23" s="125"/>
      <c r="I23" s="125">
        <f t="shared" si="1"/>
        <v>1004.13615</v>
      </c>
      <c r="J23" s="62">
        <f>'BIỂU HỢP ĐỒNG'!J22</f>
        <v>56948</v>
      </c>
      <c r="K23" s="43"/>
      <c r="L23" s="62">
        <f t="shared" si="2"/>
        <v>48861384</v>
      </c>
      <c r="M23" s="127">
        <f t="shared" si="7"/>
        <v>8322161</v>
      </c>
      <c r="N23" s="43">
        <f t="shared" si="4"/>
        <v>0</v>
      </c>
      <c r="O23" s="43">
        <f t="shared" si="5"/>
        <v>0</v>
      </c>
      <c r="P23" s="43">
        <f t="shared" si="6"/>
        <v>57183545</v>
      </c>
      <c r="Q23" s="100"/>
      <c r="R23" s="117"/>
    </row>
    <row r="24" spans="1:18" hidden="1" x14ac:dyDescent="0.25">
      <c r="A24" s="48" t="str">
        <f t="shared" si="0"/>
        <v>TL</v>
      </c>
      <c r="B24" s="32" t="s">
        <v>46</v>
      </c>
      <c r="C24" s="39" t="s">
        <v>47</v>
      </c>
      <c r="D24" s="13" t="s">
        <v>16</v>
      </c>
      <c r="E24" s="123">
        <v>32081.08</v>
      </c>
      <c r="F24" s="124">
        <f>'[4]PHỤ LỤC GIÁ HỢP ĐỒNG'!$K$23</f>
        <v>-3956.2597000000001</v>
      </c>
      <c r="G24" s="125"/>
      <c r="H24" s="125"/>
      <c r="I24" s="125">
        <f t="shared" si="1"/>
        <v>28124.820300000003</v>
      </c>
      <c r="J24" s="62">
        <f>'BIỂU HỢP ĐỒNG'!J23</f>
        <v>2096</v>
      </c>
      <c r="K24" s="43"/>
      <c r="L24" s="62">
        <f t="shared" si="2"/>
        <v>67241944</v>
      </c>
      <c r="M24" s="126">
        <f t="shared" si="7"/>
        <v>-8292320</v>
      </c>
      <c r="N24" s="43">
        <f t="shared" si="4"/>
        <v>0</v>
      </c>
      <c r="O24" s="43">
        <f t="shared" si="5"/>
        <v>0</v>
      </c>
      <c r="P24" s="43">
        <f t="shared" si="6"/>
        <v>58949624</v>
      </c>
      <c r="Q24" s="100"/>
      <c r="R24" s="117"/>
    </row>
    <row r="25" spans="1:18" ht="31.5" hidden="1" customHeight="1" x14ac:dyDescent="0.25">
      <c r="A25" s="48" t="str">
        <f t="shared" si="0"/>
        <v>TL</v>
      </c>
      <c r="B25" s="32" t="s">
        <v>48</v>
      </c>
      <c r="C25" s="39" t="s">
        <v>49</v>
      </c>
      <c r="D25" s="13" t="s">
        <v>16</v>
      </c>
      <c r="E25" s="123">
        <v>93677</v>
      </c>
      <c r="F25" s="123">
        <f>'[4]PHỤ LỤC GIÁ HỢP ĐỒNG'!$K$119+'[4]PHỤ LỤC GIÁ HỢP ĐỒNG'!$K$122</f>
        <v>7005.9216499999757</v>
      </c>
      <c r="G25" s="125"/>
      <c r="H25" s="125"/>
      <c r="I25" s="125">
        <f t="shared" si="1"/>
        <v>100682.92164999997</v>
      </c>
      <c r="J25" s="62">
        <f>'BIỂU HỢP ĐỒNG'!J24</f>
        <v>8251</v>
      </c>
      <c r="K25" s="43"/>
      <c r="L25" s="62">
        <f t="shared" si="2"/>
        <v>772928927</v>
      </c>
      <c r="M25" s="126">
        <f t="shared" si="7"/>
        <v>57805860</v>
      </c>
      <c r="N25" s="43">
        <f t="shared" si="4"/>
        <v>0</v>
      </c>
      <c r="O25" s="43">
        <f t="shared" si="5"/>
        <v>0</v>
      </c>
      <c r="P25" s="43">
        <f t="shared" si="6"/>
        <v>830734787</v>
      </c>
      <c r="Q25" s="100"/>
      <c r="R25" s="117"/>
    </row>
    <row r="26" spans="1:18" ht="31.5" hidden="1" customHeight="1" x14ac:dyDescent="0.25">
      <c r="A26" s="48" t="str">
        <f t="shared" si="0"/>
        <v>TL</v>
      </c>
      <c r="B26" s="32" t="s">
        <v>50</v>
      </c>
      <c r="C26" s="39" t="s">
        <v>51</v>
      </c>
      <c r="D26" s="13" t="s">
        <v>13</v>
      </c>
      <c r="E26" s="123">
        <v>88349</v>
      </c>
      <c r="F26" s="123">
        <f>'[4]PHỤ LỤC GIÁ HỢP ĐỒNG'!$K$125</f>
        <v>10433.620299999995</v>
      </c>
      <c r="G26" s="125"/>
      <c r="H26" s="125"/>
      <c r="I26" s="125">
        <f t="shared" si="1"/>
        <v>98782.620299999995</v>
      </c>
      <c r="J26" s="62">
        <f>'BIỂU HỢP ĐỒNG'!J25</f>
        <v>20017</v>
      </c>
      <c r="K26" s="43"/>
      <c r="L26" s="62">
        <f t="shared" si="2"/>
        <v>1768481933</v>
      </c>
      <c r="M26" s="43">
        <f t="shared" si="7"/>
        <v>208849778</v>
      </c>
      <c r="N26" s="43">
        <f t="shared" si="4"/>
        <v>0</v>
      </c>
      <c r="O26" s="43">
        <f t="shared" si="5"/>
        <v>0</v>
      </c>
      <c r="P26" s="43">
        <f t="shared" si="6"/>
        <v>1977331711</v>
      </c>
      <c r="Q26" s="100"/>
      <c r="R26" s="117"/>
    </row>
    <row r="27" spans="1:18" ht="31.5" hidden="1" customHeight="1" x14ac:dyDescent="0.25">
      <c r="A27" s="48" t="str">
        <f t="shared" si="0"/>
        <v>TL</v>
      </c>
      <c r="B27" s="32" t="s">
        <v>52</v>
      </c>
      <c r="C27" s="39" t="s">
        <v>53</v>
      </c>
      <c r="D27" s="13" t="s">
        <v>13</v>
      </c>
      <c r="E27" s="123">
        <v>29119.1</v>
      </c>
      <c r="F27" s="123"/>
      <c r="G27" s="125"/>
      <c r="H27" s="125"/>
      <c r="I27" s="125">
        <f t="shared" si="1"/>
        <v>29119.1</v>
      </c>
      <c r="J27" s="62">
        <f>'BIỂU HỢP ĐỒNG'!J26</f>
        <v>36456</v>
      </c>
      <c r="K27" s="43"/>
      <c r="L27" s="62">
        <f t="shared" si="2"/>
        <v>1061565910</v>
      </c>
      <c r="M27" s="43">
        <f t="shared" si="7"/>
        <v>0</v>
      </c>
      <c r="N27" s="43">
        <f t="shared" si="4"/>
        <v>0</v>
      </c>
      <c r="O27" s="43">
        <f t="shared" si="5"/>
        <v>0</v>
      </c>
      <c r="P27" s="43">
        <f t="shared" si="6"/>
        <v>1061565910</v>
      </c>
      <c r="Q27" s="100"/>
      <c r="R27" s="117"/>
    </row>
    <row r="28" spans="1:18" hidden="1" x14ac:dyDescent="0.25">
      <c r="A28" s="48" t="str">
        <f t="shared" si="0"/>
        <v>TL</v>
      </c>
      <c r="B28" s="32" t="s">
        <v>54</v>
      </c>
      <c r="C28" s="39" t="s">
        <v>55</v>
      </c>
      <c r="D28" s="13" t="s">
        <v>16</v>
      </c>
      <c r="E28" s="123">
        <v>10294</v>
      </c>
      <c r="F28" s="123"/>
      <c r="G28" s="125"/>
      <c r="H28" s="125"/>
      <c r="I28" s="125">
        <f t="shared" si="1"/>
        <v>10294</v>
      </c>
      <c r="J28" s="62">
        <f>'BIỂU HỢP ĐỒNG'!J27</f>
        <v>12936</v>
      </c>
      <c r="K28" s="43"/>
      <c r="L28" s="62">
        <f t="shared" si="2"/>
        <v>133163184</v>
      </c>
      <c r="M28" s="43">
        <f t="shared" si="7"/>
        <v>0</v>
      </c>
      <c r="N28" s="43">
        <f t="shared" si="4"/>
        <v>0</v>
      </c>
      <c r="O28" s="43">
        <f t="shared" si="5"/>
        <v>0</v>
      </c>
      <c r="P28" s="43">
        <f t="shared" si="6"/>
        <v>133163184</v>
      </c>
      <c r="Q28" s="100"/>
      <c r="R28" s="117"/>
    </row>
    <row r="29" spans="1:18" hidden="1" x14ac:dyDescent="0.25">
      <c r="A29" s="48" t="str">
        <f t="shared" si="0"/>
        <v>TL</v>
      </c>
      <c r="B29" s="32" t="s">
        <v>56</v>
      </c>
      <c r="C29" s="39" t="s">
        <v>57</v>
      </c>
      <c r="D29" s="13" t="s">
        <v>16</v>
      </c>
      <c r="E29" s="123">
        <v>2898.6</v>
      </c>
      <c r="F29" s="123"/>
      <c r="G29" s="125"/>
      <c r="H29" s="125"/>
      <c r="I29" s="125">
        <f t="shared" si="1"/>
        <v>2898.6</v>
      </c>
      <c r="J29" s="62">
        <f>'BIỂU HỢP ĐỒNG'!J28</f>
        <v>12936</v>
      </c>
      <c r="K29" s="43"/>
      <c r="L29" s="62">
        <f t="shared" si="2"/>
        <v>37496290</v>
      </c>
      <c r="M29" s="43">
        <f t="shared" si="7"/>
        <v>0</v>
      </c>
      <c r="N29" s="43">
        <f t="shared" si="4"/>
        <v>0</v>
      </c>
      <c r="O29" s="43">
        <f t="shared" si="5"/>
        <v>0</v>
      </c>
      <c r="P29" s="43">
        <f t="shared" si="6"/>
        <v>37496290</v>
      </c>
      <c r="Q29" s="100"/>
      <c r="R29" s="117"/>
    </row>
    <row r="30" spans="1:18" hidden="1" x14ac:dyDescent="0.25">
      <c r="A30" s="48" t="str">
        <f t="shared" si="0"/>
        <v>TL</v>
      </c>
      <c r="B30" s="32" t="s">
        <v>58</v>
      </c>
      <c r="C30" s="39" t="s">
        <v>59</v>
      </c>
      <c r="D30" s="13" t="s">
        <v>16</v>
      </c>
      <c r="E30" s="123">
        <v>2898.6</v>
      </c>
      <c r="F30" s="123"/>
      <c r="G30" s="125"/>
      <c r="H30" s="125"/>
      <c r="I30" s="125">
        <f t="shared" si="1"/>
        <v>2898.6</v>
      </c>
      <c r="J30" s="62">
        <f>'BIỂU HỢP ĐỒNG'!J29</f>
        <v>12342</v>
      </c>
      <c r="K30" s="43"/>
      <c r="L30" s="62">
        <f t="shared" si="2"/>
        <v>35774521</v>
      </c>
      <c r="M30" s="43">
        <f t="shared" si="7"/>
        <v>0</v>
      </c>
      <c r="N30" s="43">
        <f t="shared" si="4"/>
        <v>0</v>
      </c>
      <c r="O30" s="43">
        <f t="shared" si="5"/>
        <v>0</v>
      </c>
      <c r="P30" s="43">
        <f t="shared" si="6"/>
        <v>35774521</v>
      </c>
      <c r="Q30" s="100"/>
      <c r="R30" s="117"/>
    </row>
    <row r="31" spans="1:18" hidden="1" x14ac:dyDescent="0.25">
      <c r="A31" s="48" t="str">
        <f t="shared" si="0"/>
        <v>TL</v>
      </c>
      <c r="B31" s="32" t="s">
        <v>60</v>
      </c>
      <c r="C31" s="39" t="s">
        <v>61</v>
      </c>
      <c r="D31" s="13" t="s">
        <v>62</v>
      </c>
      <c r="E31" s="123">
        <v>3275.42</v>
      </c>
      <c r="F31" s="123">
        <f>'[4]PHỤ LỤC GIÁ HỢP ĐỒNG'!$K$123</f>
        <v>6694.559849999976</v>
      </c>
      <c r="G31" s="125"/>
      <c r="H31" s="125"/>
      <c r="I31" s="125">
        <f t="shared" si="1"/>
        <v>9969.9798499999761</v>
      </c>
      <c r="J31" s="62">
        <f>'BIỂU HỢP ĐỒNG'!J30</f>
        <v>6611</v>
      </c>
      <c r="K31" s="43"/>
      <c r="L31" s="62">
        <f t="shared" si="2"/>
        <v>21653802</v>
      </c>
      <c r="M31" s="43">
        <f t="shared" si="7"/>
        <v>44257735</v>
      </c>
      <c r="N31" s="43">
        <f t="shared" si="4"/>
        <v>0</v>
      </c>
      <c r="O31" s="43">
        <f t="shared" si="5"/>
        <v>0</v>
      </c>
      <c r="P31" s="43">
        <f t="shared" si="6"/>
        <v>65911537</v>
      </c>
      <c r="Q31" s="100"/>
      <c r="R31" s="117"/>
    </row>
    <row r="32" spans="1:18" ht="31.5" hidden="1" customHeight="1" x14ac:dyDescent="0.25">
      <c r="A32" s="48" t="str">
        <f t="shared" si="0"/>
        <v>TL</v>
      </c>
      <c r="B32" s="32" t="s">
        <v>63</v>
      </c>
      <c r="C32" s="39" t="s">
        <v>64</v>
      </c>
      <c r="D32" s="13" t="s">
        <v>16</v>
      </c>
      <c r="E32" s="123">
        <v>13855.64</v>
      </c>
      <c r="F32" s="123"/>
      <c r="G32" s="125"/>
      <c r="H32" s="125"/>
      <c r="I32" s="125">
        <f t="shared" si="1"/>
        <v>13855.64</v>
      </c>
      <c r="J32" s="62">
        <f>'BIỂU HỢP ĐỒNG'!J31</f>
        <v>12936</v>
      </c>
      <c r="K32" s="43"/>
      <c r="L32" s="62">
        <f t="shared" si="2"/>
        <v>179236559</v>
      </c>
      <c r="M32" s="43">
        <f t="shared" si="7"/>
        <v>0</v>
      </c>
      <c r="N32" s="43">
        <f t="shared" si="4"/>
        <v>0</v>
      </c>
      <c r="O32" s="43">
        <f t="shared" si="5"/>
        <v>0</v>
      </c>
      <c r="P32" s="43">
        <f t="shared" si="6"/>
        <v>179236559</v>
      </c>
      <c r="Q32" s="100"/>
      <c r="R32" s="117"/>
    </row>
    <row r="33" spans="1:18" hidden="1" x14ac:dyDescent="0.25">
      <c r="A33" s="48" t="str">
        <f t="shared" si="0"/>
        <v>TL</v>
      </c>
      <c r="B33" s="32" t="s">
        <v>65</v>
      </c>
      <c r="C33" s="39" t="s">
        <v>59</v>
      </c>
      <c r="D33" s="13" t="s">
        <v>16</v>
      </c>
      <c r="E33" s="123">
        <v>13855.64</v>
      </c>
      <c r="F33" s="123"/>
      <c r="G33" s="125"/>
      <c r="H33" s="125"/>
      <c r="I33" s="125">
        <f t="shared" si="1"/>
        <v>13855.64</v>
      </c>
      <c r="J33" s="62">
        <f>'BIỂU HỢP ĐỒNG'!J32</f>
        <v>12342</v>
      </c>
      <c r="K33" s="43"/>
      <c r="L33" s="62">
        <f t="shared" si="2"/>
        <v>171006309</v>
      </c>
      <c r="M33" s="43">
        <f t="shared" si="7"/>
        <v>0</v>
      </c>
      <c r="N33" s="43">
        <f t="shared" si="4"/>
        <v>0</v>
      </c>
      <c r="O33" s="43">
        <f t="shared" si="5"/>
        <v>0</v>
      </c>
      <c r="P33" s="43">
        <f t="shared" si="6"/>
        <v>171006309</v>
      </c>
      <c r="Q33" s="100"/>
      <c r="R33" s="117"/>
    </row>
    <row r="34" spans="1:18" hidden="1" x14ac:dyDescent="0.25">
      <c r="A34" s="48" t="str">
        <f t="shared" si="0"/>
        <v>TL</v>
      </c>
      <c r="B34" s="32" t="s">
        <v>66</v>
      </c>
      <c r="C34" s="39" t="s">
        <v>61</v>
      </c>
      <c r="D34" s="13" t="s">
        <v>62</v>
      </c>
      <c r="E34" s="123">
        <v>15656.87</v>
      </c>
      <c r="F34" s="123"/>
      <c r="G34" s="125"/>
      <c r="H34" s="125"/>
      <c r="I34" s="125">
        <f t="shared" si="1"/>
        <v>15656.87</v>
      </c>
      <c r="J34" s="62">
        <f>'BIỂU HỢP ĐỒNG'!J33</f>
        <v>6611</v>
      </c>
      <c r="K34" s="43"/>
      <c r="L34" s="62">
        <f t="shared" si="2"/>
        <v>103507568</v>
      </c>
      <c r="M34" s="43">
        <f t="shared" si="7"/>
        <v>0</v>
      </c>
      <c r="N34" s="43">
        <f t="shared" si="4"/>
        <v>0</v>
      </c>
      <c r="O34" s="43">
        <f t="shared" si="5"/>
        <v>0</v>
      </c>
      <c r="P34" s="43">
        <f t="shared" si="6"/>
        <v>103507568</v>
      </c>
      <c r="Q34" s="100"/>
      <c r="R34" s="117"/>
    </row>
    <row r="35" spans="1:18" hidden="1" x14ac:dyDescent="0.25">
      <c r="A35" s="48" t="str">
        <f t="shared" si="0"/>
        <v>TL</v>
      </c>
      <c r="B35" s="32" t="s">
        <v>67</v>
      </c>
      <c r="C35" s="39" t="s">
        <v>68</v>
      </c>
      <c r="D35" s="13" t="s">
        <v>16</v>
      </c>
      <c r="E35" s="123">
        <v>74</v>
      </c>
      <c r="F35" s="123"/>
      <c r="G35" s="125"/>
      <c r="H35" s="125"/>
      <c r="I35" s="125">
        <f t="shared" si="1"/>
        <v>74</v>
      </c>
      <c r="J35" s="62">
        <f>'BIỂU HỢP ĐỒNG'!J34</f>
        <v>868453</v>
      </c>
      <c r="K35" s="43"/>
      <c r="L35" s="62">
        <f t="shared" si="2"/>
        <v>64265522</v>
      </c>
      <c r="M35" s="43">
        <f t="shared" si="7"/>
        <v>0</v>
      </c>
      <c r="N35" s="43">
        <f t="shared" si="4"/>
        <v>0</v>
      </c>
      <c r="O35" s="43">
        <f t="shared" si="5"/>
        <v>0</v>
      </c>
      <c r="P35" s="43">
        <f t="shared" si="6"/>
        <v>64265522</v>
      </c>
      <c r="Q35" s="100"/>
      <c r="R35" s="117"/>
    </row>
    <row r="36" spans="1:18" hidden="1" x14ac:dyDescent="0.25">
      <c r="A36" s="48" t="str">
        <f t="shared" si="0"/>
        <v>TL</v>
      </c>
      <c r="B36" s="32" t="s">
        <v>69</v>
      </c>
      <c r="C36" s="39" t="s">
        <v>70</v>
      </c>
      <c r="D36" s="13" t="s">
        <v>13</v>
      </c>
      <c r="E36" s="123">
        <v>672</v>
      </c>
      <c r="F36" s="123"/>
      <c r="G36" s="125"/>
      <c r="H36" s="125"/>
      <c r="I36" s="125">
        <f t="shared" si="1"/>
        <v>672</v>
      </c>
      <c r="J36" s="62">
        <f>'BIỂU HỢP ĐỒNG'!J35</f>
        <v>26716</v>
      </c>
      <c r="K36" s="43"/>
      <c r="L36" s="62">
        <f t="shared" si="2"/>
        <v>17953152</v>
      </c>
      <c r="M36" s="43">
        <f t="shared" si="7"/>
        <v>0</v>
      </c>
      <c r="N36" s="43">
        <f t="shared" si="4"/>
        <v>0</v>
      </c>
      <c r="O36" s="43">
        <f t="shared" si="5"/>
        <v>0</v>
      </c>
      <c r="P36" s="43">
        <f t="shared" si="6"/>
        <v>17953152</v>
      </c>
      <c r="Q36" s="100"/>
      <c r="R36" s="117"/>
    </row>
    <row r="37" spans="1:18" hidden="1" x14ac:dyDescent="0.25">
      <c r="A37" s="48" t="str">
        <f t="shared" si="0"/>
        <v>TL</v>
      </c>
      <c r="B37" s="32" t="s">
        <v>71</v>
      </c>
      <c r="C37" s="39" t="s">
        <v>72</v>
      </c>
      <c r="D37" s="13" t="s">
        <v>16</v>
      </c>
      <c r="E37" s="123">
        <v>247</v>
      </c>
      <c r="F37" s="123"/>
      <c r="G37" s="125"/>
      <c r="H37" s="125"/>
      <c r="I37" s="125">
        <f t="shared" si="1"/>
        <v>247</v>
      </c>
      <c r="J37" s="62">
        <f>'BIỂU HỢP ĐỒNG'!J36</f>
        <v>32141</v>
      </c>
      <c r="K37" s="43"/>
      <c r="L37" s="62">
        <f t="shared" si="2"/>
        <v>7938827</v>
      </c>
      <c r="M37" s="43">
        <f t="shared" si="7"/>
        <v>0</v>
      </c>
      <c r="N37" s="43">
        <f t="shared" si="4"/>
        <v>0</v>
      </c>
      <c r="O37" s="43">
        <f t="shared" si="5"/>
        <v>0</v>
      </c>
      <c r="P37" s="43">
        <f t="shared" si="6"/>
        <v>7938827</v>
      </c>
      <c r="Q37" s="100"/>
      <c r="R37" s="117"/>
    </row>
    <row r="38" spans="1:18" hidden="1" x14ac:dyDescent="0.25">
      <c r="A38" s="48" t="str">
        <f t="shared" si="0"/>
        <v>TL</v>
      </c>
      <c r="B38" s="32" t="s">
        <v>73</v>
      </c>
      <c r="C38" s="39" t="s">
        <v>74</v>
      </c>
      <c r="D38" s="13" t="s">
        <v>75</v>
      </c>
      <c r="E38" s="123">
        <v>83518.100000000006</v>
      </c>
      <c r="F38" s="123"/>
      <c r="G38" s="125"/>
      <c r="H38" s="125"/>
      <c r="I38" s="125">
        <f t="shared" si="1"/>
        <v>83518.100000000006</v>
      </c>
      <c r="J38" s="62">
        <f>'BIỂU HỢP ĐỒNG'!J37</f>
        <v>7813</v>
      </c>
      <c r="K38" s="43"/>
      <c r="L38" s="62">
        <f t="shared" si="2"/>
        <v>652526915</v>
      </c>
      <c r="M38" s="43">
        <f t="shared" si="7"/>
        <v>0</v>
      </c>
      <c r="N38" s="43">
        <f t="shared" si="4"/>
        <v>0</v>
      </c>
      <c r="O38" s="43">
        <f t="shared" si="5"/>
        <v>0</v>
      </c>
      <c r="P38" s="43">
        <f t="shared" si="6"/>
        <v>652526915</v>
      </c>
      <c r="Q38" s="100"/>
      <c r="R38" s="117"/>
    </row>
    <row r="39" spans="1:18" ht="31.5" hidden="1" customHeight="1" x14ac:dyDescent="0.25">
      <c r="A39" s="48" t="str">
        <f t="shared" si="0"/>
        <v>TL</v>
      </c>
      <c r="B39" s="32" t="s">
        <v>76</v>
      </c>
      <c r="C39" s="39" t="s">
        <v>77</v>
      </c>
      <c r="D39" s="13" t="s">
        <v>16</v>
      </c>
      <c r="E39" s="123">
        <v>15182</v>
      </c>
      <c r="F39" s="123">
        <f>'[4]PHỤ LỤC GIÁ HỢP ĐỒNG'!$K$124</f>
        <v>3791.6134499999998</v>
      </c>
      <c r="G39" s="125"/>
      <c r="H39" s="125"/>
      <c r="I39" s="125">
        <f t="shared" si="1"/>
        <v>18973.613450000001</v>
      </c>
      <c r="J39" s="62">
        <f>'BIỂU HỢP ĐỒNG'!J38</f>
        <v>267174</v>
      </c>
      <c r="K39" s="43"/>
      <c r="L39" s="62">
        <f t="shared" si="2"/>
        <v>4056235668</v>
      </c>
      <c r="M39" s="43">
        <f t="shared" si="7"/>
        <v>1013020532</v>
      </c>
      <c r="N39" s="43">
        <f t="shared" si="4"/>
        <v>0</v>
      </c>
      <c r="O39" s="43">
        <f t="shared" si="5"/>
        <v>0</v>
      </c>
      <c r="P39" s="43">
        <f t="shared" si="6"/>
        <v>5069256200</v>
      </c>
      <c r="Q39" s="100"/>
      <c r="R39" s="117"/>
    </row>
    <row r="40" spans="1:18" hidden="1" x14ac:dyDescent="0.25">
      <c r="A40" s="48" t="str">
        <f t="shared" si="0"/>
        <v>TL</v>
      </c>
      <c r="B40" s="32" t="s">
        <v>78</v>
      </c>
      <c r="C40" s="39" t="s">
        <v>79</v>
      </c>
      <c r="D40" s="13" t="s">
        <v>16</v>
      </c>
      <c r="E40" s="123">
        <v>1035</v>
      </c>
      <c r="F40" s="123"/>
      <c r="G40" s="125"/>
      <c r="H40" s="125"/>
      <c r="I40" s="125">
        <f t="shared" ref="I40:I71" si="8">SUM(E40:H40)</f>
        <v>1035</v>
      </c>
      <c r="J40" s="62">
        <f>'BIỂU HỢP ĐỒNG'!J39</f>
        <v>20867</v>
      </c>
      <c r="K40" s="43"/>
      <c r="L40" s="62">
        <f t="shared" ref="L40:L71" si="9">+ROUND(J40*E40,0)</f>
        <v>21597345</v>
      </c>
      <c r="M40" s="43">
        <f t="shared" si="7"/>
        <v>0</v>
      </c>
      <c r="N40" s="43">
        <f t="shared" ref="N40:N71" si="10">+ROUND(G40*J40,0)</f>
        <v>0</v>
      </c>
      <c r="O40" s="43">
        <f t="shared" ref="O40:O71" si="11">+ROUND(H40*J40,0)</f>
        <v>0</v>
      </c>
      <c r="P40" s="43">
        <f t="shared" ref="P40:P71" si="12">SUM(L40:O40)</f>
        <v>21597345</v>
      </c>
      <c r="Q40" s="100"/>
      <c r="R40" s="117"/>
    </row>
    <row r="41" spans="1:18" hidden="1" x14ac:dyDescent="0.25">
      <c r="A41" s="48" t="str">
        <f t="shared" si="0"/>
        <v>TL</v>
      </c>
      <c r="B41" s="32" t="s">
        <v>80</v>
      </c>
      <c r="C41" s="39" t="s">
        <v>81</v>
      </c>
      <c r="D41" s="13" t="s">
        <v>16</v>
      </c>
      <c r="E41" s="123">
        <v>1035</v>
      </c>
      <c r="F41" s="123"/>
      <c r="G41" s="125"/>
      <c r="H41" s="125"/>
      <c r="I41" s="125">
        <f t="shared" si="8"/>
        <v>1035</v>
      </c>
      <c r="J41" s="62">
        <f>'BIỂU HỢP ĐỒNG'!J40</f>
        <v>12936</v>
      </c>
      <c r="K41" s="43"/>
      <c r="L41" s="62">
        <f t="shared" si="9"/>
        <v>13388760</v>
      </c>
      <c r="M41" s="43">
        <f t="shared" si="7"/>
        <v>0</v>
      </c>
      <c r="N41" s="43">
        <f t="shared" si="10"/>
        <v>0</v>
      </c>
      <c r="O41" s="43">
        <f t="shared" si="11"/>
        <v>0</v>
      </c>
      <c r="P41" s="43">
        <f t="shared" si="12"/>
        <v>13388760</v>
      </c>
      <c r="Q41" s="100"/>
      <c r="R41" s="117"/>
    </row>
    <row r="42" spans="1:18" hidden="1" x14ac:dyDescent="0.25">
      <c r="A42" s="48" t="str">
        <f t="shared" si="0"/>
        <v>TL</v>
      </c>
      <c r="B42" s="32" t="s">
        <v>82</v>
      </c>
      <c r="C42" s="39" t="s">
        <v>83</v>
      </c>
      <c r="D42" s="13" t="s">
        <v>75</v>
      </c>
      <c r="E42" s="123">
        <v>27</v>
      </c>
      <c r="F42" s="123"/>
      <c r="G42" s="125"/>
      <c r="H42" s="125"/>
      <c r="I42" s="125">
        <f t="shared" si="8"/>
        <v>27</v>
      </c>
      <c r="J42" s="62">
        <f>'BIỂU HỢP ĐỒNG'!J41</f>
        <v>301142</v>
      </c>
      <c r="K42" s="43"/>
      <c r="L42" s="62">
        <f t="shared" si="9"/>
        <v>8130834</v>
      </c>
      <c r="M42" s="43">
        <f t="shared" si="7"/>
        <v>0</v>
      </c>
      <c r="N42" s="43">
        <f t="shared" si="10"/>
        <v>0</v>
      </c>
      <c r="O42" s="43">
        <f t="shared" si="11"/>
        <v>0</v>
      </c>
      <c r="P42" s="43">
        <f t="shared" si="12"/>
        <v>8130834</v>
      </c>
      <c r="Q42" s="100"/>
      <c r="R42" s="117"/>
    </row>
    <row r="43" spans="1:18" hidden="1" x14ac:dyDescent="0.25">
      <c r="A43" s="48" t="str">
        <f t="shared" si="0"/>
        <v>TL</v>
      </c>
      <c r="B43" s="32" t="s">
        <v>84</v>
      </c>
      <c r="C43" s="39" t="s">
        <v>85</v>
      </c>
      <c r="D43" s="13" t="s">
        <v>75</v>
      </c>
      <c r="E43" s="123">
        <v>295</v>
      </c>
      <c r="F43" s="123"/>
      <c r="G43" s="125"/>
      <c r="H43" s="125"/>
      <c r="I43" s="125">
        <f t="shared" si="8"/>
        <v>295</v>
      </c>
      <c r="J43" s="62">
        <f>'BIỂU HỢP ĐỒNG'!J42</f>
        <v>191443</v>
      </c>
      <c r="K43" s="43"/>
      <c r="L43" s="62">
        <f t="shared" si="9"/>
        <v>56475685</v>
      </c>
      <c r="M43" s="43">
        <f t="shared" si="7"/>
        <v>0</v>
      </c>
      <c r="N43" s="43">
        <f t="shared" si="10"/>
        <v>0</v>
      </c>
      <c r="O43" s="43">
        <f t="shared" si="11"/>
        <v>0</v>
      </c>
      <c r="P43" s="43">
        <f t="shared" si="12"/>
        <v>56475685</v>
      </c>
      <c r="Q43" s="100"/>
      <c r="R43" s="117"/>
    </row>
    <row r="44" spans="1:18" hidden="1" x14ac:dyDescent="0.25">
      <c r="A44" s="48" t="str">
        <f t="shared" si="0"/>
        <v>TL</v>
      </c>
      <c r="B44" s="32" t="s">
        <v>86</v>
      </c>
      <c r="C44" s="39" t="s">
        <v>87</v>
      </c>
      <c r="D44" s="13" t="s">
        <v>75</v>
      </c>
      <c r="E44" s="123">
        <v>295</v>
      </c>
      <c r="F44" s="123"/>
      <c r="G44" s="125"/>
      <c r="H44" s="125"/>
      <c r="I44" s="125">
        <f t="shared" si="8"/>
        <v>295</v>
      </c>
      <c r="J44" s="62">
        <f>'BIỂU HỢP ĐỒNG'!J43</f>
        <v>184138</v>
      </c>
      <c r="K44" s="43"/>
      <c r="L44" s="62">
        <f t="shared" si="9"/>
        <v>54320710</v>
      </c>
      <c r="M44" s="43">
        <f t="shared" si="7"/>
        <v>0</v>
      </c>
      <c r="N44" s="43">
        <f t="shared" si="10"/>
        <v>0</v>
      </c>
      <c r="O44" s="43">
        <f t="shared" si="11"/>
        <v>0</v>
      </c>
      <c r="P44" s="43">
        <f t="shared" si="12"/>
        <v>54320710</v>
      </c>
      <c r="Q44" s="100"/>
      <c r="R44" s="117"/>
    </row>
    <row r="45" spans="1:18" hidden="1" x14ac:dyDescent="0.25">
      <c r="A45" s="48" t="str">
        <f t="shared" si="0"/>
        <v>TL</v>
      </c>
      <c r="B45" s="32" t="s">
        <v>88</v>
      </c>
      <c r="C45" s="39" t="s">
        <v>89</v>
      </c>
      <c r="D45" s="13" t="s">
        <v>90</v>
      </c>
      <c r="E45" s="123">
        <v>2.96</v>
      </c>
      <c r="F45" s="123"/>
      <c r="G45" s="125"/>
      <c r="H45" s="125"/>
      <c r="I45" s="125">
        <f t="shared" si="8"/>
        <v>2.96</v>
      </c>
      <c r="J45" s="62">
        <f>'BIỂU HỢP ĐỒNG'!J44</f>
        <v>33697650</v>
      </c>
      <c r="K45" s="43"/>
      <c r="L45" s="62">
        <f t="shared" si="9"/>
        <v>99745044</v>
      </c>
      <c r="M45" s="43">
        <f t="shared" si="7"/>
        <v>0</v>
      </c>
      <c r="N45" s="43">
        <f t="shared" si="10"/>
        <v>0</v>
      </c>
      <c r="O45" s="43">
        <f t="shared" si="11"/>
        <v>0</v>
      </c>
      <c r="P45" s="43">
        <f t="shared" si="12"/>
        <v>99745044</v>
      </c>
      <c r="Q45" s="100"/>
      <c r="R45" s="117"/>
    </row>
    <row r="46" spans="1:18" hidden="1" x14ac:dyDescent="0.25">
      <c r="A46" s="48" t="str">
        <f t="shared" si="0"/>
        <v>TL</v>
      </c>
      <c r="B46" s="32" t="s">
        <v>91</v>
      </c>
      <c r="C46" s="39" t="s">
        <v>92</v>
      </c>
      <c r="D46" s="13" t="s">
        <v>75</v>
      </c>
      <c r="E46" s="123">
        <v>204</v>
      </c>
      <c r="F46" s="123"/>
      <c r="G46" s="125"/>
      <c r="H46" s="125"/>
      <c r="I46" s="125">
        <f t="shared" si="8"/>
        <v>204</v>
      </c>
      <c r="J46" s="62">
        <f>'BIỂU HỢP ĐỒNG'!J45</f>
        <v>17859</v>
      </c>
      <c r="K46" s="43"/>
      <c r="L46" s="62">
        <f t="shared" si="9"/>
        <v>3643236</v>
      </c>
      <c r="M46" s="43">
        <f t="shared" si="7"/>
        <v>0</v>
      </c>
      <c r="N46" s="43">
        <f t="shared" si="10"/>
        <v>0</v>
      </c>
      <c r="O46" s="43">
        <f t="shared" si="11"/>
        <v>0</v>
      </c>
      <c r="P46" s="43">
        <f t="shared" si="12"/>
        <v>3643236</v>
      </c>
      <c r="Q46" s="100"/>
      <c r="R46" s="117"/>
    </row>
    <row r="47" spans="1:18" ht="47.25" hidden="1" customHeight="1" x14ac:dyDescent="0.25">
      <c r="A47" s="48" t="str">
        <f t="shared" si="0"/>
        <v>TL</v>
      </c>
      <c r="B47" s="32" t="s">
        <v>93</v>
      </c>
      <c r="C47" s="39" t="s">
        <v>94</v>
      </c>
      <c r="D47" s="13" t="s">
        <v>13</v>
      </c>
      <c r="E47" s="123">
        <v>40997</v>
      </c>
      <c r="F47" s="123">
        <f>'[4]PHỤ LỤC GIÁ HỢP ĐỒNG'!$K$129</f>
        <v>113.54999999999563</v>
      </c>
      <c r="G47" s="125"/>
      <c r="H47" s="125"/>
      <c r="I47" s="125">
        <f t="shared" si="8"/>
        <v>41110.549999999996</v>
      </c>
      <c r="J47" s="62">
        <f>'BIỂU HỢP ĐỒNG'!J46</f>
        <v>11015</v>
      </c>
      <c r="K47" s="43"/>
      <c r="L47" s="62">
        <f t="shared" si="9"/>
        <v>451581955</v>
      </c>
      <c r="M47" s="43">
        <f t="shared" si="7"/>
        <v>1250753</v>
      </c>
      <c r="N47" s="43">
        <f t="shared" si="10"/>
        <v>0</v>
      </c>
      <c r="O47" s="43">
        <f t="shared" si="11"/>
        <v>0</v>
      </c>
      <c r="P47" s="43">
        <f t="shared" si="12"/>
        <v>452832708</v>
      </c>
      <c r="Q47" s="100"/>
      <c r="R47" s="117"/>
    </row>
    <row r="48" spans="1:18" ht="31.5" hidden="1" customHeight="1" x14ac:dyDescent="0.25">
      <c r="A48" s="48" t="str">
        <f t="shared" si="0"/>
        <v>TL</v>
      </c>
      <c r="B48" s="32" t="s">
        <v>95</v>
      </c>
      <c r="C48" s="39" t="s">
        <v>96</v>
      </c>
      <c r="D48" s="13" t="s">
        <v>90</v>
      </c>
      <c r="E48" s="123">
        <v>5837.9727999999996</v>
      </c>
      <c r="F48" s="123">
        <f>'[4]PHỤ LỤC GIÁ HỢP ĐỒNG'!$K$130</f>
        <v>16.169519999999466</v>
      </c>
      <c r="G48" s="125"/>
      <c r="H48" s="125"/>
      <c r="I48" s="125">
        <f t="shared" si="8"/>
        <v>5854.142319999999</v>
      </c>
      <c r="J48" s="62">
        <f>'BIỂU HỢP ĐỒNG'!J47</f>
        <v>1646788</v>
      </c>
      <c r="K48" s="43"/>
      <c r="L48" s="62">
        <f t="shared" si="9"/>
        <v>9613903551</v>
      </c>
      <c r="M48" s="43">
        <f t="shared" si="7"/>
        <v>26627772</v>
      </c>
      <c r="N48" s="43">
        <f t="shared" si="10"/>
        <v>0</v>
      </c>
      <c r="O48" s="43">
        <f t="shared" si="11"/>
        <v>0</v>
      </c>
      <c r="P48" s="43">
        <f t="shared" si="12"/>
        <v>9640531323</v>
      </c>
      <c r="Q48" s="100"/>
      <c r="R48" s="117"/>
    </row>
    <row r="49" spans="1:18" ht="31.5" hidden="1" customHeight="1" x14ac:dyDescent="0.25">
      <c r="A49" s="48" t="str">
        <f t="shared" si="0"/>
        <v>TL</v>
      </c>
      <c r="B49" s="32" t="s">
        <v>97</v>
      </c>
      <c r="C49" s="39" t="s">
        <v>98</v>
      </c>
      <c r="D49" s="13" t="s">
        <v>99</v>
      </c>
      <c r="E49" s="123">
        <v>58.38</v>
      </c>
      <c r="F49" s="123">
        <f>'[4]PHỤ LỤC GIÁ HỢP ĐỒNG'!$K$131</f>
        <v>0.16169519999998982</v>
      </c>
      <c r="G49" s="125"/>
      <c r="H49" s="125"/>
      <c r="I49" s="125">
        <f t="shared" si="8"/>
        <v>58.541695199999992</v>
      </c>
      <c r="J49" s="62">
        <f>'BIỂU HỢP ĐỒNG'!J48</f>
        <v>8873277</v>
      </c>
      <c r="K49" s="43"/>
      <c r="L49" s="62">
        <f t="shared" si="9"/>
        <v>518021911</v>
      </c>
      <c r="M49" s="43">
        <f t="shared" ref="M49:M79" si="13">+ROUND(F49*J49,0)</f>
        <v>1434766</v>
      </c>
      <c r="N49" s="43">
        <f t="shared" si="10"/>
        <v>0</v>
      </c>
      <c r="O49" s="43">
        <f t="shared" si="11"/>
        <v>0</v>
      </c>
      <c r="P49" s="43">
        <f t="shared" si="12"/>
        <v>519456677</v>
      </c>
      <c r="Q49" s="100"/>
      <c r="R49" s="117"/>
    </row>
    <row r="50" spans="1:18" ht="31.5" hidden="1" customHeight="1" x14ac:dyDescent="0.25">
      <c r="A50" s="48" t="str">
        <f t="shared" si="0"/>
        <v>TL</v>
      </c>
      <c r="B50" s="32" t="s">
        <v>100</v>
      </c>
      <c r="C50" s="39" t="s">
        <v>101</v>
      </c>
      <c r="D50" s="13" t="s">
        <v>13</v>
      </c>
      <c r="E50" s="123">
        <v>40997</v>
      </c>
      <c r="F50" s="123">
        <f>'[4]PHỤ LỤC GIÁ HỢP ĐỒNG'!$K$132</f>
        <v>113.54999999999563</v>
      </c>
      <c r="G50" s="125"/>
      <c r="H50" s="125"/>
      <c r="I50" s="125">
        <f t="shared" si="8"/>
        <v>41110.549999999996</v>
      </c>
      <c r="J50" s="62">
        <f>'BIỂU HỢP ĐỒNG'!J49</f>
        <v>26753</v>
      </c>
      <c r="K50" s="43"/>
      <c r="L50" s="62">
        <f t="shared" si="9"/>
        <v>1096792741</v>
      </c>
      <c r="M50" s="43">
        <f t="shared" si="13"/>
        <v>3037803</v>
      </c>
      <c r="N50" s="43">
        <f t="shared" si="10"/>
        <v>0</v>
      </c>
      <c r="O50" s="43">
        <f t="shared" si="11"/>
        <v>0</v>
      </c>
      <c r="P50" s="43">
        <f t="shared" si="12"/>
        <v>1099830544</v>
      </c>
      <c r="Q50" s="100"/>
      <c r="R50" s="117"/>
    </row>
    <row r="51" spans="1:18" hidden="1" x14ac:dyDescent="0.25">
      <c r="A51" s="48" t="str">
        <f t="shared" si="0"/>
        <v>TL</v>
      </c>
      <c r="B51" s="32" t="s">
        <v>102</v>
      </c>
      <c r="C51" s="39" t="s">
        <v>103</v>
      </c>
      <c r="D51" s="13" t="s">
        <v>16</v>
      </c>
      <c r="E51" s="123">
        <v>10007</v>
      </c>
      <c r="F51" s="123">
        <f>'[4]PHỤ LỤC GIÁ HỢP ĐỒNG'!$K$133</f>
        <v>27.251999999996769</v>
      </c>
      <c r="G51" s="125"/>
      <c r="H51" s="125"/>
      <c r="I51" s="125">
        <f t="shared" si="8"/>
        <v>10034.251999999997</v>
      </c>
      <c r="J51" s="62">
        <f>'BIỂU HỢP ĐỒNG'!J50</f>
        <v>352760</v>
      </c>
      <c r="K51" s="43"/>
      <c r="L51" s="62">
        <f t="shared" si="9"/>
        <v>3530069320</v>
      </c>
      <c r="M51" s="43">
        <f t="shared" si="13"/>
        <v>9613416</v>
      </c>
      <c r="N51" s="43">
        <f t="shared" si="10"/>
        <v>0</v>
      </c>
      <c r="O51" s="43">
        <f t="shared" si="11"/>
        <v>0</v>
      </c>
      <c r="P51" s="43">
        <f t="shared" si="12"/>
        <v>3539682736</v>
      </c>
      <c r="Q51" s="100"/>
      <c r="R51" s="117"/>
    </row>
    <row r="52" spans="1:18" hidden="1" x14ac:dyDescent="0.25">
      <c r="A52" s="48" t="str">
        <f t="shared" si="0"/>
        <v>TL</v>
      </c>
      <c r="B52" s="32" t="s">
        <v>104</v>
      </c>
      <c r="C52" s="39" t="s">
        <v>105</v>
      </c>
      <c r="D52" s="13" t="s">
        <v>16</v>
      </c>
      <c r="E52" s="123">
        <v>15316</v>
      </c>
      <c r="F52" s="123">
        <f>'[4]PHỤ LỤC GIÁ HỢP ĐỒNG'!$K$134</f>
        <v>38.606999999998152</v>
      </c>
      <c r="G52" s="125"/>
      <c r="H52" s="125"/>
      <c r="I52" s="125">
        <f t="shared" si="8"/>
        <v>15354.606999999998</v>
      </c>
      <c r="J52" s="62">
        <f>'BIỂU HỢP ĐỒNG'!J51</f>
        <v>334047</v>
      </c>
      <c r="K52" s="43"/>
      <c r="L52" s="62">
        <f t="shared" si="9"/>
        <v>5116263852</v>
      </c>
      <c r="M52" s="43">
        <f t="shared" si="13"/>
        <v>12896553</v>
      </c>
      <c r="N52" s="43">
        <f t="shared" si="10"/>
        <v>0</v>
      </c>
      <c r="O52" s="43">
        <f t="shared" si="11"/>
        <v>0</v>
      </c>
      <c r="P52" s="43">
        <f t="shared" si="12"/>
        <v>5129160405</v>
      </c>
      <c r="Q52" s="100"/>
      <c r="R52" s="117"/>
    </row>
    <row r="53" spans="1:18" ht="47.25" hidden="1" customHeight="1" x14ac:dyDescent="0.25">
      <c r="A53" s="48" t="str">
        <f t="shared" si="0"/>
        <v>TL</v>
      </c>
      <c r="B53" s="32" t="s">
        <v>106</v>
      </c>
      <c r="C53" s="39" t="s">
        <v>94</v>
      </c>
      <c r="D53" s="13" t="s">
        <v>13</v>
      </c>
      <c r="E53" s="123">
        <v>8058</v>
      </c>
      <c r="F53" s="123"/>
      <c r="G53" s="125"/>
      <c r="H53" s="125"/>
      <c r="I53" s="125">
        <f t="shared" si="8"/>
        <v>8058</v>
      </c>
      <c r="J53" s="62">
        <f>'BIỂU HỢP ĐỒNG'!J52</f>
        <v>11015</v>
      </c>
      <c r="K53" s="43"/>
      <c r="L53" s="62">
        <f t="shared" si="9"/>
        <v>88758870</v>
      </c>
      <c r="M53" s="43">
        <f t="shared" si="13"/>
        <v>0</v>
      </c>
      <c r="N53" s="43">
        <f t="shared" si="10"/>
        <v>0</v>
      </c>
      <c r="O53" s="43">
        <f t="shared" si="11"/>
        <v>0</v>
      </c>
      <c r="P53" s="43">
        <f t="shared" si="12"/>
        <v>88758870</v>
      </c>
      <c r="Q53" s="100"/>
      <c r="R53" s="117"/>
    </row>
    <row r="54" spans="1:18" ht="31.5" hidden="1" customHeight="1" x14ac:dyDescent="0.25">
      <c r="A54" s="48" t="str">
        <f t="shared" si="0"/>
        <v>TL</v>
      </c>
      <c r="B54" s="32" t="s">
        <v>107</v>
      </c>
      <c r="C54" s="39" t="s">
        <v>96</v>
      </c>
      <c r="D54" s="13" t="s">
        <v>90</v>
      </c>
      <c r="E54" s="123">
        <v>1147.46</v>
      </c>
      <c r="F54" s="123"/>
      <c r="G54" s="125"/>
      <c r="H54" s="125"/>
      <c r="I54" s="125">
        <f t="shared" si="8"/>
        <v>1147.46</v>
      </c>
      <c r="J54" s="62">
        <f>'BIỂU HỢP ĐỒNG'!J53</f>
        <v>1646788</v>
      </c>
      <c r="K54" s="43"/>
      <c r="L54" s="62">
        <f t="shared" si="9"/>
        <v>1889623358</v>
      </c>
      <c r="M54" s="43">
        <f t="shared" si="13"/>
        <v>0</v>
      </c>
      <c r="N54" s="43">
        <f t="shared" si="10"/>
        <v>0</v>
      </c>
      <c r="O54" s="43">
        <f t="shared" si="11"/>
        <v>0</v>
      </c>
      <c r="P54" s="43">
        <f t="shared" si="12"/>
        <v>1889623358</v>
      </c>
      <c r="Q54" s="100"/>
      <c r="R54" s="117"/>
    </row>
    <row r="55" spans="1:18" ht="31.5" hidden="1" customHeight="1" x14ac:dyDescent="0.25">
      <c r="A55" s="48" t="str">
        <f t="shared" si="0"/>
        <v>TL</v>
      </c>
      <c r="B55" s="32" t="s">
        <v>108</v>
      </c>
      <c r="C55" s="39" t="s">
        <v>98</v>
      </c>
      <c r="D55" s="13" t="s">
        <v>99</v>
      </c>
      <c r="E55" s="123">
        <v>11.47</v>
      </c>
      <c r="F55" s="123"/>
      <c r="G55" s="125"/>
      <c r="H55" s="125"/>
      <c r="I55" s="125">
        <f t="shared" si="8"/>
        <v>11.47</v>
      </c>
      <c r="J55" s="62">
        <f>'BIỂU HỢP ĐỒNG'!J54</f>
        <v>8873277</v>
      </c>
      <c r="K55" s="43"/>
      <c r="L55" s="62">
        <f t="shared" si="9"/>
        <v>101776487</v>
      </c>
      <c r="M55" s="43">
        <f t="shared" si="13"/>
        <v>0</v>
      </c>
      <c r="N55" s="43">
        <f t="shared" si="10"/>
        <v>0</v>
      </c>
      <c r="O55" s="43">
        <f t="shared" si="11"/>
        <v>0</v>
      </c>
      <c r="P55" s="43">
        <f t="shared" si="12"/>
        <v>101776487</v>
      </c>
      <c r="Q55" s="100"/>
      <c r="R55" s="117"/>
    </row>
    <row r="56" spans="1:18" ht="31.5" hidden="1" customHeight="1" x14ac:dyDescent="0.25">
      <c r="A56" s="48" t="str">
        <f t="shared" si="0"/>
        <v>TL</v>
      </c>
      <c r="B56" s="32" t="s">
        <v>109</v>
      </c>
      <c r="C56" s="39" t="s">
        <v>110</v>
      </c>
      <c r="D56" s="13" t="s">
        <v>13</v>
      </c>
      <c r="E56" s="123">
        <v>8058</v>
      </c>
      <c r="F56" s="123"/>
      <c r="G56" s="125"/>
      <c r="H56" s="125"/>
      <c r="I56" s="125">
        <f t="shared" si="8"/>
        <v>8058</v>
      </c>
      <c r="J56" s="62">
        <f>'BIỂU HỢP ĐỒNG'!J55</f>
        <v>15319</v>
      </c>
      <c r="K56" s="43"/>
      <c r="L56" s="62">
        <f t="shared" si="9"/>
        <v>123440502</v>
      </c>
      <c r="M56" s="43">
        <f t="shared" si="13"/>
        <v>0</v>
      </c>
      <c r="N56" s="43">
        <f t="shared" si="10"/>
        <v>0</v>
      </c>
      <c r="O56" s="43">
        <f t="shared" si="11"/>
        <v>0</v>
      </c>
      <c r="P56" s="43">
        <f t="shared" si="12"/>
        <v>123440502</v>
      </c>
      <c r="Q56" s="100"/>
      <c r="R56" s="117"/>
    </row>
    <row r="57" spans="1:18" ht="47.25" hidden="1" customHeight="1" x14ac:dyDescent="0.25">
      <c r="A57" s="48" t="str">
        <f t="shared" si="0"/>
        <v>TL</v>
      </c>
      <c r="B57" s="32" t="s">
        <v>111</v>
      </c>
      <c r="C57" s="39" t="s">
        <v>112</v>
      </c>
      <c r="D57" s="13" t="s">
        <v>13</v>
      </c>
      <c r="E57" s="123">
        <v>8058</v>
      </c>
      <c r="F57" s="123"/>
      <c r="G57" s="125"/>
      <c r="H57" s="125"/>
      <c r="I57" s="125">
        <f t="shared" si="8"/>
        <v>8058</v>
      </c>
      <c r="J57" s="62">
        <f>'BIỂU HỢP ĐỒNG'!J56</f>
        <v>63114</v>
      </c>
      <c r="K57" s="43"/>
      <c r="L57" s="62">
        <f t="shared" si="9"/>
        <v>508572612</v>
      </c>
      <c r="M57" s="43">
        <f t="shared" si="13"/>
        <v>0</v>
      </c>
      <c r="N57" s="43">
        <f t="shared" si="10"/>
        <v>0</v>
      </c>
      <c r="O57" s="43">
        <f t="shared" si="11"/>
        <v>0</v>
      </c>
      <c r="P57" s="43">
        <f t="shared" si="12"/>
        <v>508572612</v>
      </c>
      <c r="Q57" s="100"/>
      <c r="R57" s="117"/>
    </row>
    <row r="58" spans="1:18" hidden="1" x14ac:dyDescent="0.25">
      <c r="A58" s="48" t="str">
        <f t="shared" si="0"/>
        <v>TL</v>
      </c>
      <c r="B58" s="32" t="s">
        <v>113</v>
      </c>
      <c r="C58" s="39" t="s">
        <v>114</v>
      </c>
      <c r="D58" s="13" t="s">
        <v>13</v>
      </c>
      <c r="E58" s="123">
        <v>8772.9</v>
      </c>
      <c r="F58" s="123"/>
      <c r="G58" s="125"/>
      <c r="H58" s="125"/>
      <c r="I58" s="125">
        <f t="shared" si="8"/>
        <v>8772.9</v>
      </c>
      <c r="J58" s="62">
        <f>'BIỂU HỢP ĐỒNG'!J57</f>
        <v>213590</v>
      </c>
      <c r="K58" s="43"/>
      <c r="L58" s="62">
        <f t="shared" si="9"/>
        <v>1873803711</v>
      </c>
      <c r="M58" s="43">
        <f t="shared" si="13"/>
        <v>0</v>
      </c>
      <c r="N58" s="43">
        <f t="shared" si="10"/>
        <v>0</v>
      </c>
      <c r="O58" s="43">
        <f t="shared" si="11"/>
        <v>0</v>
      </c>
      <c r="P58" s="43">
        <f t="shared" si="12"/>
        <v>1873803711</v>
      </c>
      <c r="Q58" s="100"/>
      <c r="R58" s="117"/>
    </row>
    <row r="59" spans="1:18" hidden="1" x14ac:dyDescent="0.25">
      <c r="A59" s="48" t="str">
        <f t="shared" si="0"/>
        <v>TL</v>
      </c>
      <c r="B59" s="32" t="s">
        <v>115</v>
      </c>
      <c r="C59" s="39" t="s">
        <v>116</v>
      </c>
      <c r="D59" s="13" t="s">
        <v>13</v>
      </c>
      <c r="E59" s="123">
        <v>10202.700000000001</v>
      </c>
      <c r="F59" s="123"/>
      <c r="G59" s="125"/>
      <c r="H59" s="125"/>
      <c r="I59" s="125">
        <f t="shared" si="8"/>
        <v>10202.700000000001</v>
      </c>
      <c r="J59" s="62">
        <f>'BIỂU HỢP ĐỒNG'!J58</f>
        <v>173886</v>
      </c>
      <c r="K59" s="43"/>
      <c r="L59" s="62">
        <f t="shared" si="9"/>
        <v>1774106692</v>
      </c>
      <c r="M59" s="43">
        <f t="shared" si="13"/>
        <v>0</v>
      </c>
      <c r="N59" s="43">
        <f t="shared" si="10"/>
        <v>0</v>
      </c>
      <c r="O59" s="43">
        <f t="shared" si="11"/>
        <v>0</v>
      </c>
      <c r="P59" s="43">
        <f t="shared" si="12"/>
        <v>1774106692</v>
      </c>
      <c r="Q59" s="100"/>
      <c r="R59" s="117"/>
    </row>
    <row r="60" spans="1:18" hidden="1" x14ac:dyDescent="0.25">
      <c r="A60" s="48" t="str">
        <f t="shared" si="0"/>
        <v>TL</v>
      </c>
      <c r="B60" s="32" t="s">
        <v>117</v>
      </c>
      <c r="C60" s="39" t="s">
        <v>118</v>
      </c>
      <c r="D60" s="13" t="s">
        <v>13</v>
      </c>
      <c r="E60" s="123">
        <v>4122</v>
      </c>
      <c r="F60" s="124">
        <f>'[4]PHỤ LỤC GIÁ HỢP ĐỒNG'!$K$25</f>
        <v>-618.17234999999846</v>
      </c>
      <c r="G60" s="125"/>
      <c r="H60" s="125"/>
      <c r="I60" s="125">
        <f t="shared" si="8"/>
        <v>3503.8276500000015</v>
      </c>
      <c r="J60" s="62">
        <f>'BIỂU HỢP ĐỒNG'!J59</f>
        <v>330238</v>
      </c>
      <c r="K60" s="43"/>
      <c r="L60" s="62">
        <f t="shared" si="9"/>
        <v>1361241036</v>
      </c>
      <c r="M60" s="126">
        <f t="shared" si="13"/>
        <v>-204144001</v>
      </c>
      <c r="N60" s="43">
        <f t="shared" si="10"/>
        <v>0</v>
      </c>
      <c r="O60" s="43">
        <f t="shared" si="11"/>
        <v>0</v>
      </c>
      <c r="P60" s="43">
        <f t="shared" si="12"/>
        <v>1157097035</v>
      </c>
      <c r="Q60" s="100"/>
      <c r="R60" s="117"/>
    </row>
    <row r="61" spans="1:18" ht="47.25" hidden="1" customHeight="1" x14ac:dyDescent="0.25">
      <c r="A61" s="48" t="str">
        <f t="shared" si="0"/>
        <v>TL</v>
      </c>
      <c r="B61" s="32" t="s">
        <v>119</v>
      </c>
      <c r="C61" s="39" t="s">
        <v>120</v>
      </c>
      <c r="D61" s="13" t="s">
        <v>16</v>
      </c>
      <c r="E61" s="123">
        <v>330</v>
      </c>
      <c r="F61" s="124">
        <f>'[4]PHỤ LỤC GIÁ HỢP ĐỒNG'!$K$26</f>
        <v>-49.453787999999861</v>
      </c>
      <c r="G61" s="125"/>
      <c r="H61" s="125"/>
      <c r="I61" s="125">
        <f t="shared" si="8"/>
        <v>280.54621200000014</v>
      </c>
      <c r="J61" s="62">
        <f>'BIỂU HỢP ĐỒNG'!J60</f>
        <v>1191268</v>
      </c>
      <c r="K61" s="43"/>
      <c r="L61" s="62">
        <f t="shared" si="9"/>
        <v>393118440</v>
      </c>
      <c r="M61" s="126">
        <f t="shared" si="13"/>
        <v>-58912715</v>
      </c>
      <c r="N61" s="43">
        <f t="shared" si="10"/>
        <v>0</v>
      </c>
      <c r="O61" s="43">
        <f t="shared" si="11"/>
        <v>0</v>
      </c>
      <c r="P61" s="43">
        <f t="shared" si="12"/>
        <v>334205725</v>
      </c>
      <c r="Q61" s="100"/>
      <c r="R61" s="117"/>
    </row>
    <row r="62" spans="1:18" hidden="1" x14ac:dyDescent="0.25">
      <c r="A62" s="48" t="str">
        <f t="shared" si="0"/>
        <v>TL</v>
      </c>
      <c r="B62" s="32" t="s">
        <v>121</v>
      </c>
      <c r="C62" s="39" t="s">
        <v>122</v>
      </c>
      <c r="D62" s="13" t="s">
        <v>16</v>
      </c>
      <c r="E62" s="123">
        <v>44</v>
      </c>
      <c r="F62" s="123"/>
      <c r="G62" s="125"/>
      <c r="H62" s="125"/>
      <c r="I62" s="125">
        <f t="shared" si="8"/>
        <v>44</v>
      </c>
      <c r="J62" s="62">
        <f>'BIỂU HỢP ĐỒNG'!J61</f>
        <v>1572721</v>
      </c>
      <c r="K62" s="43"/>
      <c r="L62" s="62">
        <f t="shared" si="9"/>
        <v>69199724</v>
      </c>
      <c r="M62" s="43">
        <f t="shared" si="13"/>
        <v>0</v>
      </c>
      <c r="N62" s="43">
        <f t="shared" si="10"/>
        <v>0</v>
      </c>
      <c r="O62" s="43">
        <f t="shared" si="11"/>
        <v>0</v>
      </c>
      <c r="P62" s="43">
        <f t="shared" si="12"/>
        <v>69199724</v>
      </c>
      <c r="Q62" s="100"/>
      <c r="R62" s="117"/>
    </row>
    <row r="63" spans="1:18" ht="47.25" hidden="1" customHeight="1" x14ac:dyDescent="0.25">
      <c r="A63" s="48" t="str">
        <f t="shared" si="0"/>
        <v>TL</v>
      </c>
      <c r="B63" s="32" t="s">
        <v>123</v>
      </c>
      <c r="C63" s="39" t="s">
        <v>120</v>
      </c>
      <c r="D63" s="13" t="s">
        <v>16</v>
      </c>
      <c r="E63" s="123">
        <v>27</v>
      </c>
      <c r="F63" s="123"/>
      <c r="G63" s="125"/>
      <c r="H63" s="125"/>
      <c r="I63" s="125">
        <f t="shared" si="8"/>
        <v>27</v>
      </c>
      <c r="J63" s="62">
        <f>'BIỂU HỢP ĐỒNG'!J62</f>
        <v>1191268</v>
      </c>
      <c r="K63" s="43"/>
      <c r="L63" s="62">
        <f t="shared" si="9"/>
        <v>32164236</v>
      </c>
      <c r="M63" s="43">
        <f t="shared" si="13"/>
        <v>0</v>
      </c>
      <c r="N63" s="43">
        <f t="shared" si="10"/>
        <v>0</v>
      </c>
      <c r="O63" s="43">
        <f t="shared" si="11"/>
        <v>0</v>
      </c>
      <c r="P63" s="43">
        <f t="shared" si="12"/>
        <v>32164236</v>
      </c>
      <c r="Q63" s="100"/>
      <c r="R63" s="117"/>
    </row>
    <row r="64" spans="1:18" hidden="1" x14ac:dyDescent="0.25">
      <c r="A64" s="48" t="str">
        <f t="shared" si="0"/>
        <v>TL</v>
      </c>
      <c r="B64" s="32" t="s">
        <v>124</v>
      </c>
      <c r="C64" s="39" t="s">
        <v>125</v>
      </c>
      <c r="D64" s="13" t="s">
        <v>126</v>
      </c>
      <c r="E64" s="123">
        <v>1.97</v>
      </c>
      <c r="F64" s="123"/>
      <c r="G64" s="125"/>
      <c r="H64" s="125"/>
      <c r="I64" s="125">
        <f t="shared" si="8"/>
        <v>1.97</v>
      </c>
      <c r="J64" s="62">
        <f>'BIỂU HỢP ĐỒNG'!J63</f>
        <v>10394299</v>
      </c>
      <c r="K64" s="43"/>
      <c r="L64" s="62">
        <f t="shared" si="9"/>
        <v>20476769</v>
      </c>
      <c r="M64" s="43">
        <f t="shared" si="13"/>
        <v>0</v>
      </c>
      <c r="N64" s="43">
        <f t="shared" si="10"/>
        <v>0</v>
      </c>
      <c r="O64" s="43">
        <f t="shared" si="11"/>
        <v>0</v>
      </c>
      <c r="P64" s="43">
        <f t="shared" si="12"/>
        <v>20476769</v>
      </c>
      <c r="Q64" s="100"/>
      <c r="R64" s="117"/>
    </row>
    <row r="65" spans="1:18" ht="47.25" hidden="1" customHeight="1" x14ac:dyDescent="0.25">
      <c r="A65" s="48" t="str">
        <f t="shared" si="0"/>
        <v>TL</v>
      </c>
      <c r="B65" s="32" t="s">
        <v>127</v>
      </c>
      <c r="C65" s="39" t="s">
        <v>120</v>
      </c>
      <c r="D65" s="13" t="s">
        <v>16</v>
      </c>
      <c r="E65" s="123">
        <v>11</v>
      </c>
      <c r="F65" s="123"/>
      <c r="G65" s="125"/>
      <c r="H65" s="125"/>
      <c r="I65" s="125">
        <f t="shared" si="8"/>
        <v>11</v>
      </c>
      <c r="J65" s="62">
        <f>'BIỂU HỢP ĐỒNG'!J64</f>
        <v>1191268</v>
      </c>
      <c r="K65" s="43"/>
      <c r="L65" s="62">
        <f t="shared" si="9"/>
        <v>13103948</v>
      </c>
      <c r="M65" s="43">
        <f t="shared" si="13"/>
        <v>0</v>
      </c>
      <c r="N65" s="43">
        <f t="shared" si="10"/>
        <v>0</v>
      </c>
      <c r="O65" s="43">
        <f t="shared" si="11"/>
        <v>0</v>
      </c>
      <c r="P65" s="43">
        <f t="shared" si="12"/>
        <v>13103948</v>
      </c>
      <c r="Q65" s="100"/>
      <c r="R65" s="117"/>
    </row>
    <row r="66" spans="1:18" ht="31.5" hidden="1" customHeight="1" x14ac:dyDescent="0.25">
      <c r="A66" s="48" t="str">
        <f t="shared" si="0"/>
        <v>TL</v>
      </c>
      <c r="B66" s="32" t="s">
        <v>128</v>
      </c>
      <c r="C66" s="39" t="s">
        <v>129</v>
      </c>
      <c r="D66" s="13" t="s">
        <v>75</v>
      </c>
      <c r="E66" s="123">
        <v>1118</v>
      </c>
      <c r="F66" s="123"/>
      <c r="G66" s="125"/>
      <c r="H66" s="125"/>
      <c r="I66" s="125">
        <f t="shared" si="8"/>
        <v>1118</v>
      </c>
      <c r="J66" s="62">
        <f>'BIỂU HỢP ĐỒNG'!J65</f>
        <v>320929</v>
      </c>
      <c r="K66" s="43"/>
      <c r="L66" s="62">
        <f t="shared" si="9"/>
        <v>358798622</v>
      </c>
      <c r="M66" s="43">
        <f t="shared" si="13"/>
        <v>0</v>
      </c>
      <c r="N66" s="43">
        <f t="shared" si="10"/>
        <v>0</v>
      </c>
      <c r="O66" s="43">
        <f t="shared" si="11"/>
        <v>0</v>
      </c>
      <c r="P66" s="43">
        <f t="shared" si="12"/>
        <v>358798622</v>
      </c>
      <c r="Q66" s="100"/>
      <c r="R66" s="117"/>
    </row>
    <row r="67" spans="1:18" hidden="1" x14ac:dyDescent="0.25">
      <c r="A67" s="48" t="str">
        <f t="shared" si="0"/>
        <v>TL</v>
      </c>
      <c r="B67" s="32" t="s">
        <v>130</v>
      </c>
      <c r="C67" s="39" t="s">
        <v>125</v>
      </c>
      <c r="D67" s="13" t="s">
        <v>13</v>
      </c>
      <c r="E67" s="123">
        <v>19.14</v>
      </c>
      <c r="F67" s="123"/>
      <c r="G67" s="125"/>
      <c r="H67" s="125"/>
      <c r="I67" s="125">
        <f t="shared" si="8"/>
        <v>19.14</v>
      </c>
      <c r="J67" s="62">
        <f>'BIỂU HỢP ĐỒNG'!J66</f>
        <v>103943</v>
      </c>
      <c r="K67" s="43"/>
      <c r="L67" s="62">
        <f t="shared" si="9"/>
        <v>1989469</v>
      </c>
      <c r="M67" s="43">
        <f t="shared" si="13"/>
        <v>0</v>
      </c>
      <c r="N67" s="43">
        <f t="shared" si="10"/>
        <v>0</v>
      </c>
      <c r="O67" s="43">
        <f t="shared" si="11"/>
        <v>0</v>
      </c>
      <c r="P67" s="43">
        <f t="shared" si="12"/>
        <v>1989469</v>
      </c>
      <c r="Q67" s="100"/>
      <c r="R67" s="117"/>
    </row>
    <row r="68" spans="1:18" ht="47.25" hidden="1" customHeight="1" x14ac:dyDescent="0.25">
      <c r="A68" s="48" t="str">
        <f t="shared" si="0"/>
        <v>TL</v>
      </c>
      <c r="B68" s="32" t="s">
        <v>131</v>
      </c>
      <c r="C68" s="39" t="s">
        <v>120</v>
      </c>
      <c r="D68" s="13" t="s">
        <v>16</v>
      </c>
      <c r="E68" s="123">
        <v>1.0685</v>
      </c>
      <c r="F68" s="123"/>
      <c r="G68" s="125"/>
      <c r="H68" s="125"/>
      <c r="I68" s="125">
        <f t="shared" si="8"/>
        <v>1.0685</v>
      </c>
      <c r="J68" s="62">
        <f>'BIỂU HỢP ĐỒNG'!J67</f>
        <v>1191268</v>
      </c>
      <c r="K68" s="43"/>
      <c r="L68" s="62">
        <f t="shared" si="9"/>
        <v>1272870</v>
      </c>
      <c r="M68" s="43">
        <f t="shared" si="13"/>
        <v>0</v>
      </c>
      <c r="N68" s="43">
        <f t="shared" si="10"/>
        <v>0</v>
      </c>
      <c r="O68" s="43">
        <f t="shared" si="11"/>
        <v>0</v>
      </c>
      <c r="P68" s="43">
        <f t="shared" si="12"/>
        <v>1272870</v>
      </c>
      <c r="Q68" s="100"/>
      <c r="R68" s="117"/>
    </row>
    <row r="69" spans="1:18" ht="31.5" hidden="1" customHeight="1" x14ac:dyDescent="0.25">
      <c r="A69" s="48" t="str">
        <f t="shared" si="0"/>
        <v>TL</v>
      </c>
      <c r="B69" s="32" t="s">
        <v>132</v>
      </c>
      <c r="C69" s="39" t="s">
        <v>133</v>
      </c>
      <c r="D69" s="13" t="s">
        <v>75</v>
      </c>
      <c r="E69" s="123">
        <v>108.6</v>
      </c>
      <c r="F69" s="123"/>
      <c r="G69" s="125"/>
      <c r="H69" s="125"/>
      <c r="I69" s="125">
        <f t="shared" si="8"/>
        <v>108.6</v>
      </c>
      <c r="J69" s="62">
        <f>'BIỂU HỢP ĐỒNG'!J68</f>
        <v>355817</v>
      </c>
      <c r="K69" s="43"/>
      <c r="L69" s="62">
        <f t="shared" si="9"/>
        <v>38641726</v>
      </c>
      <c r="M69" s="43">
        <f t="shared" si="13"/>
        <v>0</v>
      </c>
      <c r="N69" s="43">
        <f t="shared" si="10"/>
        <v>0</v>
      </c>
      <c r="O69" s="43">
        <f t="shared" si="11"/>
        <v>0</v>
      </c>
      <c r="P69" s="43">
        <f t="shared" si="12"/>
        <v>38641726</v>
      </c>
      <c r="Q69" s="100"/>
      <c r="R69" s="117"/>
    </row>
    <row r="70" spans="1:18" hidden="1" x14ac:dyDescent="0.25">
      <c r="A70" s="48" t="str">
        <f t="shared" si="0"/>
        <v>TL</v>
      </c>
      <c r="B70" s="32" t="s">
        <v>134</v>
      </c>
      <c r="C70" s="39" t="s">
        <v>125</v>
      </c>
      <c r="D70" s="13" t="s">
        <v>126</v>
      </c>
      <c r="E70" s="123">
        <v>11.71</v>
      </c>
      <c r="F70" s="123"/>
      <c r="G70" s="125"/>
      <c r="H70" s="125"/>
      <c r="I70" s="125">
        <f t="shared" si="8"/>
        <v>11.71</v>
      </c>
      <c r="J70" s="62">
        <f>'BIỂU HỢP ĐỒNG'!J69</f>
        <v>10394299</v>
      </c>
      <c r="K70" s="43"/>
      <c r="L70" s="62">
        <f t="shared" si="9"/>
        <v>121717241</v>
      </c>
      <c r="M70" s="43">
        <f t="shared" si="13"/>
        <v>0</v>
      </c>
      <c r="N70" s="43">
        <f t="shared" si="10"/>
        <v>0</v>
      </c>
      <c r="O70" s="43">
        <f t="shared" si="11"/>
        <v>0</v>
      </c>
      <c r="P70" s="43">
        <f t="shared" si="12"/>
        <v>121717241</v>
      </c>
      <c r="Q70" s="100"/>
      <c r="R70" s="117"/>
    </row>
    <row r="71" spans="1:18" ht="47.25" hidden="1" customHeight="1" x14ac:dyDescent="0.25">
      <c r="A71" s="48" t="str">
        <f t="shared" ref="A71:A134" si="14">A70</f>
        <v>TL</v>
      </c>
      <c r="B71" s="32" t="s">
        <v>135</v>
      </c>
      <c r="C71" s="39" t="s">
        <v>120</v>
      </c>
      <c r="D71" s="13" t="s">
        <v>16</v>
      </c>
      <c r="E71" s="123">
        <v>121.79</v>
      </c>
      <c r="F71" s="123">
        <f>'[4]PHỤ LỤC GIÁ HỢP ĐỒNG'!$K$138</f>
        <v>9.3034999999999997</v>
      </c>
      <c r="G71" s="125"/>
      <c r="H71" s="125"/>
      <c r="I71" s="125">
        <f t="shared" si="8"/>
        <v>131.09350000000001</v>
      </c>
      <c r="J71" s="62">
        <f>'BIỂU HỢP ĐỒNG'!J70</f>
        <v>1191268</v>
      </c>
      <c r="K71" s="43"/>
      <c r="L71" s="62">
        <f t="shared" si="9"/>
        <v>145084530</v>
      </c>
      <c r="M71" s="43">
        <f t="shared" si="13"/>
        <v>11082962</v>
      </c>
      <c r="N71" s="43">
        <f t="shared" si="10"/>
        <v>0</v>
      </c>
      <c r="O71" s="43">
        <f t="shared" si="11"/>
        <v>0</v>
      </c>
      <c r="P71" s="43">
        <f t="shared" si="12"/>
        <v>156167492</v>
      </c>
      <c r="Q71" s="100"/>
      <c r="R71" s="117"/>
    </row>
    <row r="72" spans="1:18" hidden="1" x14ac:dyDescent="0.25">
      <c r="A72" s="48" t="str">
        <f t="shared" si="14"/>
        <v>TL</v>
      </c>
      <c r="B72" s="32" t="s">
        <v>136</v>
      </c>
      <c r="C72" s="39" t="s">
        <v>137</v>
      </c>
      <c r="D72" s="13" t="s">
        <v>75</v>
      </c>
      <c r="E72" s="123">
        <v>4684</v>
      </c>
      <c r="F72" s="123">
        <f>'[4]PHỤ LỤC GIÁ HỢP ĐỒNG'!$K$136</f>
        <v>493.76000000000022</v>
      </c>
      <c r="G72" s="125"/>
      <c r="H72" s="125"/>
      <c r="I72" s="125">
        <f t="shared" ref="I72:I79" si="15">SUM(E72:H72)</f>
        <v>5177.76</v>
      </c>
      <c r="J72" s="62">
        <f>'BIỂU HỢP ĐỒNG'!J71</f>
        <v>388691</v>
      </c>
      <c r="K72" s="43"/>
      <c r="L72" s="62">
        <f t="shared" ref="L72:L79" si="16">+ROUND(J72*E72,0)</f>
        <v>1820628644</v>
      </c>
      <c r="M72" s="43">
        <f t="shared" si="13"/>
        <v>191920068</v>
      </c>
      <c r="N72" s="43">
        <f t="shared" ref="N72:N79" si="17">+ROUND(G72*J72,0)</f>
        <v>0</v>
      </c>
      <c r="O72" s="43">
        <f t="shared" ref="O72:O79" si="18">+ROUND(H72*J72,0)</f>
        <v>0</v>
      </c>
      <c r="P72" s="43">
        <f t="shared" ref="P72:P101" si="19">SUM(L72:O72)</f>
        <v>2012548712</v>
      </c>
      <c r="Q72" s="100"/>
      <c r="R72" s="117"/>
    </row>
    <row r="73" spans="1:18" hidden="1" x14ac:dyDescent="0.25">
      <c r="A73" s="48" t="str">
        <f t="shared" si="14"/>
        <v>TL</v>
      </c>
      <c r="B73" s="32" t="s">
        <v>138</v>
      </c>
      <c r="C73" s="39" t="s">
        <v>125</v>
      </c>
      <c r="D73" s="13" t="s">
        <v>13</v>
      </c>
      <c r="E73" s="123">
        <v>57</v>
      </c>
      <c r="F73" s="123"/>
      <c r="G73" s="125"/>
      <c r="H73" s="125"/>
      <c r="I73" s="125">
        <f t="shared" si="15"/>
        <v>57</v>
      </c>
      <c r="J73" s="62">
        <f>'BIỂU HỢP ĐỒNG'!J72</f>
        <v>103943</v>
      </c>
      <c r="K73" s="43"/>
      <c r="L73" s="62">
        <f t="shared" si="16"/>
        <v>5924751</v>
      </c>
      <c r="M73" s="43">
        <f t="shared" si="13"/>
        <v>0</v>
      </c>
      <c r="N73" s="43">
        <f t="shared" si="17"/>
        <v>0</v>
      </c>
      <c r="O73" s="43">
        <f t="shared" si="18"/>
        <v>0</v>
      </c>
      <c r="P73" s="43">
        <f t="shared" si="19"/>
        <v>5924751</v>
      </c>
      <c r="Q73" s="100"/>
      <c r="R73" s="117"/>
    </row>
    <row r="74" spans="1:18" ht="47.25" hidden="1" customHeight="1" x14ac:dyDescent="0.25">
      <c r="A74" s="48" t="str">
        <f t="shared" si="14"/>
        <v>TL</v>
      </c>
      <c r="B74" s="32" t="s">
        <v>139</v>
      </c>
      <c r="C74" s="39" t="s">
        <v>120</v>
      </c>
      <c r="D74" s="13" t="s">
        <v>16</v>
      </c>
      <c r="E74" s="123">
        <v>0.34</v>
      </c>
      <c r="F74" s="123"/>
      <c r="G74" s="125"/>
      <c r="H74" s="125"/>
      <c r="I74" s="125">
        <f t="shared" si="15"/>
        <v>0.34</v>
      </c>
      <c r="J74" s="62">
        <f>'BIỂU HỢP ĐỒNG'!J73</f>
        <v>1191268</v>
      </c>
      <c r="K74" s="43"/>
      <c r="L74" s="62">
        <f t="shared" si="16"/>
        <v>405031</v>
      </c>
      <c r="M74" s="43">
        <f t="shared" si="13"/>
        <v>0</v>
      </c>
      <c r="N74" s="43">
        <f t="shared" si="17"/>
        <v>0</v>
      </c>
      <c r="O74" s="43">
        <f t="shared" si="18"/>
        <v>0</v>
      </c>
      <c r="P74" s="43">
        <f t="shared" si="19"/>
        <v>405031</v>
      </c>
      <c r="Q74" s="100"/>
      <c r="R74" s="117"/>
    </row>
    <row r="75" spans="1:18" hidden="1" x14ac:dyDescent="0.25">
      <c r="A75" s="48" t="str">
        <f t="shared" si="14"/>
        <v>TL</v>
      </c>
      <c r="B75" s="32" t="s">
        <v>140</v>
      </c>
      <c r="C75" s="39" t="s">
        <v>141</v>
      </c>
      <c r="D75" s="13" t="s">
        <v>75</v>
      </c>
      <c r="E75" s="123">
        <v>57</v>
      </c>
      <c r="F75" s="123">
        <f>'[4]PHỤ LỤC GIÁ HỢP ĐỒNG'!$K$137</f>
        <v>9.4199999999999946</v>
      </c>
      <c r="G75" s="125"/>
      <c r="H75" s="125"/>
      <c r="I75" s="125">
        <f t="shared" si="15"/>
        <v>66.419999999999987</v>
      </c>
      <c r="J75" s="62">
        <f>'BIỂU HỢP ĐỒNG'!J74</f>
        <v>169013</v>
      </c>
      <c r="K75" s="43"/>
      <c r="L75" s="62">
        <f t="shared" si="16"/>
        <v>9633741</v>
      </c>
      <c r="M75" s="43">
        <f t="shared" si="13"/>
        <v>1592102</v>
      </c>
      <c r="N75" s="43">
        <f t="shared" si="17"/>
        <v>0</v>
      </c>
      <c r="O75" s="43">
        <f t="shared" si="18"/>
        <v>0</v>
      </c>
      <c r="P75" s="43">
        <f t="shared" si="19"/>
        <v>11225843</v>
      </c>
      <c r="Q75" s="100"/>
      <c r="R75" s="117"/>
    </row>
    <row r="76" spans="1:18" hidden="1" x14ac:dyDescent="0.25">
      <c r="A76" s="48" t="str">
        <f t="shared" si="14"/>
        <v>TL</v>
      </c>
      <c r="B76" s="32" t="s">
        <v>142</v>
      </c>
      <c r="C76" s="39" t="s">
        <v>143</v>
      </c>
      <c r="D76" s="13" t="s">
        <v>37</v>
      </c>
      <c r="E76" s="123">
        <v>36.93</v>
      </c>
      <c r="F76" s="123">
        <f>'[4]PHỤ LỤC GIÁ HỢP ĐỒNG'!$K$139</f>
        <v>3.8928624068657811</v>
      </c>
      <c r="G76" s="125"/>
      <c r="H76" s="125"/>
      <c r="I76" s="125">
        <f t="shared" si="15"/>
        <v>40.822862406865781</v>
      </c>
      <c r="J76" s="62">
        <f>'BIỂU HỢP ĐỒNG'!J75</f>
        <v>611627</v>
      </c>
      <c r="K76" s="43"/>
      <c r="L76" s="62">
        <f t="shared" si="16"/>
        <v>22587385</v>
      </c>
      <c r="M76" s="43">
        <f t="shared" si="13"/>
        <v>2380980</v>
      </c>
      <c r="N76" s="43">
        <f t="shared" si="17"/>
        <v>0</v>
      </c>
      <c r="O76" s="43">
        <f t="shared" si="18"/>
        <v>0</v>
      </c>
      <c r="P76" s="43">
        <f t="shared" si="19"/>
        <v>24968365</v>
      </c>
      <c r="Q76" s="100"/>
      <c r="R76" s="117"/>
    </row>
    <row r="77" spans="1:18" hidden="1" x14ac:dyDescent="0.25">
      <c r="A77" s="48" t="str">
        <f t="shared" si="14"/>
        <v>TL</v>
      </c>
      <c r="B77" s="32" t="s">
        <v>144</v>
      </c>
      <c r="C77" s="39" t="s">
        <v>145</v>
      </c>
      <c r="D77" s="13" t="s">
        <v>146</v>
      </c>
      <c r="E77" s="123">
        <v>10</v>
      </c>
      <c r="F77" s="123">
        <f>'[4]PHỤ LỤC GIÁ HỢP ĐỒNG'!$K$140</f>
        <v>1</v>
      </c>
      <c r="G77" s="125"/>
      <c r="H77" s="125"/>
      <c r="I77" s="125">
        <f t="shared" si="15"/>
        <v>11</v>
      </c>
      <c r="J77" s="62">
        <f>'BIỂU HỢP ĐỒNG'!J76</f>
        <v>1909908</v>
      </c>
      <c r="K77" s="43"/>
      <c r="L77" s="62">
        <f t="shared" si="16"/>
        <v>19099080</v>
      </c>
      <c r="M77" s="43">
        <f t="shared" si="13"/>
        <v>1909908</v>
      </c>
      <c r="N77" s="43">
        <f t="shared" si="17"/>
        <v>0</v>
      </c>
      <c r="O77" s="43">
        <f t="shared" si="18"/>
        <v>0</v>
      </c>
      <c r="P77" s="43">
        <f t="shared" si="19"/>
        <v>21008988</v>
      </c>
      <c r="Q77" s="100"/>
      <c r="R77" s="117"/>
    </row>
    <row r="78" spans="1:18" hidden="1" x14ac:dyDescent="0.25">
      <c r="A78" s="48" t="str">
        <f t="shared" si="14"/>
        <v>TL</v>
      </c>
      <c r="B78" s="32" t="s">
        <v>147</v>
      </c>
      <c r="C78" s="39" t="s">
        <v>47</v>
      </c>
      <c r="D78" s="13" t="s">
        <v>16</v>
      </c>
      <c r="E78" s="123">
        <v>1157</v>
      </c>
      <c r="F78" s="123">
        <f>'[4]PHỤ LỤC GIÁ HỢP ĐỒNG'!$K$141</f>
        <v>121.95872000000008</v>
      </c>
      <c r="G78" s="125"/>
      <c r="H78" s="125"/>
      <c r="I78" s="125">
        <f t="shared" si="15"/>
        <v>1278.9587200000001</v>
      </c>
      <c r="J78" s="62">
        <f>'BIỂU HỢP ĐỒNG'!J77</f>
        <v>2096</v>
      </c>
      <c r="K78" s="43"/>
      <c r="L78" s="62">
        <f t="shared" si="16"/>
        <v>2425072</v>
      </c>
      <c r="M78" s="43">
        <f t="shared" si="13"/>
        <v>255625</v>
      </c>
      <c r="N78" s="43">
        <f t="shared" si="17"/>
        <v>0</v>
      </c>
      <c r="O78" s="43">
        <f t="shared" si="18"/>
        <v>0</v>
      </c>
      <c r="P78" s="43">
        <f t="shared" si="19"/>
        <v>2680697</v>
      </c>
      <c r="Q78" s="100"/>
      <c r="R78" s="117"/>
    </row>
    <row r="79" spans="1:18" hidden="1" x14ac:dyDescent="0.25">
      <c r="A79" s="48" t="str">
        <f t="shared" si="14"/>
        <v>TL</v>
      </c>
      <c r="B79" s="32" t="s">
        <v>148</v>
      </c>
      <c r="C79" s="39" t="s">
        <v>149</v>
      </c>
      <c r="D79" s="13" t="s">
        <v>150</v>
      </c>
      <c r="E79" s="123">
        <v>16.440000000000001</v>
      </c>
      <c r="F79" s="123">
        <f>'[4]PHỤ LỤC GIÁ HỢP ĐỒNG'!$K$142</f>
        <v>1.7330976000000007</v>
      </c>
      <c r="G79" s="125"/>
      <c r="H79" s="125"/>
      <c r="I79" s="125">
        <f t="shared" si="15"/>
        <v>18.173097600000002</v>
      </c>
      <c r="J79" s="62">
        <f>'BIỂU HỢP ĐỒNG'!J78</f>
        <v>963779</v>
      </c>
      <c r="K79" s="43"/>
      <c r="L79" s="62">
        <f t="shared" si="16"/>
        <v>15844527</v>
      </c>
      <c r="M79" s="43">
        <f t="shared" si="13"/>
        <v>1670323</v>
      </c>
      <c r="N79" s="43">
        <f t="shared" si="17"/>
        <v>0</v>
      </c>
      <c r="O79" s="43">
        <f t="shared" si="18"/>
        <v>0</v>
      </c>
      <c r="P79" s="43">
        <f t="shared" si="19"/>
        <v>17514850</v>
      </c>
      <c r="Q79" s="100"/>
      <c r="R79" s="117"/>
    </row>
    <row r="80" spans="1:18" s="22" customFormat="1" ht="31.5" hidden="1" customHeight="1" x14ac:dyDescent="0.25">
      <c r="A80" s="48" t="str">
        <f t="shared" si="14"/>
        <v>TL</v>
      </c>
      <c r="B80" s="29">
        <v>2</v>
      </c>
      <c r="C80" s="12" t="s">
        <v>151</v>
      </c>
      <c r="D80" s="79"/>
      <c r="E80" s="123"/>
      <c r="F80" s="123"/>
      <c r="G80" s="125"/>
      <c r="H80" s="125"/>
      <c r="I80" s="125"/>
      <c r="J80" s="62"/>
      <c r="K80" s="43"/>
      <c r="L80" s="62"/>
      <c r="M80" s="43"/>
      <c r="N80" s="43"/>
      <c r="O80" s="43"/>
      <c r="P80" s="43">
        <f t="shared" si="19"/>
        <v>0</v>
      </c>
      <c r="Q80" s="100"/>
      <c r="R80" s="117"/>
    </row>
    <row r="81" spans="1:18" hidden="1" x14ac:dyDescent="0.25">
      <c r="A81" s="48" t="str">
        <f t="shared" si="14"/>
        <v>TL</v>
      </c>
      <c r="B81" s="32" t="s">
        <v>152</v>
      </c>
      <c r="C81" s="39" t="s">
        <v>153</v>
      </c>
      <c r="D81" s="13" t="s">
        <v>16</v>
      </c>
      <c r="E81" s="123">
        <v>1152.7</v>
      </c>
      <c r="F81" s="123">
        <f>'[4]PHỤ LỤC GIÁ HỢP ĐỒNG'!$I$150</f>
        <v>41.900849999999991</v>
      </c>
      <c r="G81" s="125"/>
      <c r="H81" s="125"/>
      <c r="I81" s="125">
        <f t="shared" ref="I81:I101" si="20">SUM(E81:H81)</f>
        <v>1194.60085</v>
      </c>
      <c r="J81" s="62">
        <f>'BIỂU HỢP ĐỒNG'!J80</f>
        <v>20072</v>
      </c>
      <c r="K81" s="43"/>
      <c r="L81" s="62">
        <f t="shared" ref="L81:L101" si="21">+ROUND(J81*E81,0)</f>
        <v>23136994</v>
      </c>
      <c r="M81" s="43">
        <f t="shared" ref="M81:M101" si="22">+ROUND(F81*J81,0)</f>
        <v>841034</v>
      </c>
      <c r="N81" s="43">
        <f t="shared" ref="N81:N101" si="23">+ROUND(G81*J81,0)</f>
        <v>0</v>
      </c>
      <c r="O81" s="43">
        <f t="shared" ref="O81:O101" si="24">+ROUND(H81*J81,0)</f>
        <v>0</v>
      </c>
      <c r="P81" s="43">
        <f t="shared" si="19"/>
        <v>23978028</v>
      </c>
      <c r="Q81" s="100"/>
      <c r="R81" s="117"/>
    </row>
    <row r="82" spans="1:18" hidden="1" x14ac:dyDescent="0.25">
      <c r="A82" s="48" t="str">
        <f t="shared" si="14"/>
        <v>TL</v>
      </c>
      <c r="B82" s="32" t="s">
        <v>154</v>
      </c>
      <c r="C82" s="39" t="s">
        <v>155</v>
      </c>
      <c r="D82" s="13" t="s">
        <v>16</v>
      </c>
      <c r="E82" s="123">
        <v>572</v>
      </c>
      <c r="F82" s="123">
        <f>'[4]PHỤ LỤC GIÁ HỢP ĐỒNG'!$K$151</f>
        <v>344.19614999999999</v>
      </c>
      <c r="G82" s="125"/>
      <c r="H82" s="125"/>
      <c r="I82" s="125">
        <f t="shared" si="20"/>
        <v>916.19614999999999</v>
      </c>
      <c r="J82" s="62">
        <f>'BIỂU HỢP ĐỒNG'!J81</f>
        <v>30610</v>
      </c>
      <c r="K82" s="43"/>
      <c r="L82" s="62">
        <f t="shared" si="21"/>
        <v>17508920</v>
      </c>
      <c r="M82" s="43">
        <f t="shared" si="22"/>
        <v>10535844</v>
      </c>
      <c r="N82" s="43">
        <f t="shared" si="23"/>
        <v>0</v>
      </c>
      <c r="O82" s="43">
        <f t="shared" si="24"/>
        <v>0</v>
      </c>
      <c r="P82" s="43">
        <f t="shared" si="19"/>
        <v>28044764</v>
      </c>
      <c r="Q82" s="100"/>
      <c r="R82" s="117"/>
    </row>
    <row r="83" spans="1:18" hidden="1" x14ac:dyDescent="0.25">
      <c r="A83" s="48" t="str">
        <f t="shared" si="14"/>
        <v>TL</v>
      </c>
      <c r="B83" s="32" t="s">
        <v>156</v>
      </c>
      <c r="C83" s="39" t="s">
        <v>20</v>
      </c>
      <c r="D83" s="13" t="s">
        <v>16</v>
      </c>
      <c r="E83" s="123">
        <v>778</v>
      </c>
      <c r="F83" s="128">
        <f>'[4]PHỤ LỤC GIÁ HỢP ĐỒNG'!$K$29</f>
        <v>-700.78394999999989</v>
      </c>
      <c r="G83" s="125"/>
      <c r="H83" s="125"/>
      <c r="I83" s="125">
        <f t="shared" si="20"/>
        <v>77.216050000000109</v>
      </c>
      <c r="J83" s="62">
        <f>'BIỂU HỢP ĐỒNG'!J82</f>
        <v>12342</v>
      </c>
      <c r="K83" s="43"/>
      <c r="L83" s="62">
        <f t="shared" si="21"/>
        <v>9602076</v>
      </c>
      <c r="M83" s="126">
        <f t="shared" si="22"/>
        <v>-8649076</v>
      </c>
      <c r="N83" s="43">
        <f t="shared" si="23"/>
        <v>0</v>
      </c>
      <c r="O83" s="43">
        <f t="shared" si="24"/>
        <v>0</v>
      </c>
      <c r="P83" s="43">
        <f t="shared" si="19"/>
        <v>953000</v>
      </c>
      <c r="Q83" s="100"/>
      <c r="R83" s="117"/>
    </row>
    <row r="84" spans="1:18" ht="31.5" hidden="1" customHeight="1" x14ac:dyDescent="0.25">
      <c r="A84" s="48" t="str">
        <f t="shared" si="14"/>
        <v>TL</v>
      </c>
      <c r="B84" s="32" t="s">
        <v>157</v>
      </c>
      <c r="C84" s="39" t="s">
        <v>158</v>
      </c>
      <c r="D84" s="13" t="s">
        <v>16</v>
      </c>
      <c r="E84" s="123">
        <v>778</v>
      </c>
      <c r="F84" s="128">
        <f>'[4]PHỤ LỤC GIÁ HỢP ĐỒNG'!$K$30</f>
        <v>-700.78394999999989</v>
      </c>
      <c r="G84" s="125"/>
      <c r="H84" s="125"/>
      <c r="I84" s="125">
        <f t="shared" si="20"/>
        <v>77.216050000000109</v>
      </c>
      <c r="J84" s="62">
        <f>'BIỂU HỢP ĐỒNG'!J83</f>
        <v>12936</v>
      </c>
      <c r="K84" s="43"/>
      <c r="L84" s="62">
        <f t="shared" si="21"/>
        <v>10064208</v>
      </c>
      <c r="M84" s="126">
        <f t="shared" si="22"/>
        <v>-9065341</v>
      </c>
      <c r="N84" s="43">
        <f t="shared" si="23"/>
        <v>0</v>
      </c>
      <c r="O84" s="43">
        <f t="shared" si="24"/>
        <v>0</v>
      </c>
      <c r="P84" s="43">
        <f t="shared" si="19"/>
        <v>998867</v>
      </c>
      <c r="Q84" s="100"/>
      <c r="R84" s="117"/>
    </row>
    <row r="85" spans="1:18" ht="31.5" hidden="1" customHeight="1" x14ac:dyDescent="0.25">
      <c r="A85" s="48" t="str">
        <f t="shared" si="14"/>
        <v>TL</v>
      </c>
      <c r="B85" s="32" t="s">
        <v>159</v>
      </c>
      <c r="C85" s="39" t="s">
        <v>160</v>
      </c>
      <c r="D85" s="13" t="s">
        <v>16</v>
      </c>
      <c r="E85" s="123">
        <v>5180</v>
      </c>
      <c r="F85" s="128">
        <f>'[4]PHỤ LỤC GIÁ HỢP ĐỒNG'!$K$31</f>
        <v>-3316.96</v>
      </c>
      <c r="G85" s="125"/>
      <c r="H85" s="125"/>
      <c r="I85" s="125">
        <f t="shared" si="20"/>
        <v>1863.04</v>
      </c>
      <c r="J85" s="62">
        <f>'BIỂU HỢP ĐỒNG'!J84</f>
        <v>12936</v>
      </c>
      <c r="K85" s="43"/>
      <c r="L85" s="62">
        <f t="shared" si="21"/>
        <v>67008480</v>
      </c>
      <c r="M85" s="126">
        <f t="shared" si="22"/>
        <v>-42908195</v>
      </c>
      <c r="N85" s="43">
        <f t="shared" si="23"/>
        <v>0</v>
      </c>
      <c r="O85" s="43">
        <f t="shared" si="24"/>
        <v>0</v>
      </c>
      <c r="P85" s="43">
        <f t="shared" si="19"/>
        <v>24100285</v>
      </c>
      <c r="Q85" s="100"/>
      <c r="R85" s="117"/>
    </row>
    <row r="86" spans="1:18" ht="31.5" hidden="1" customHeight="1" x14ac:dyDescent="0.25">
      <c r="A86" s="48" t="str">
        <f t="shared" si="14"/>
        <v>TL</v>
      </c>
      <c r="B86" s="32" t="s">
        <v>161</v>
      </c>
      <c r="C86" s="39" t="s">
        <v>162</v>
      </c>
      <c r="D86" s="13" t="s">
        <v>16</v>
      </c>
      <c r="E86" s="123">
        <v>1455</v>
      </c>
      <c r="F86" s="128">
        <f>'[4]PHỤ LỤC GIÁ HỢP ĐỒNG'!$K$153</f>
        <v>231.46109999999976</v>
      </c>
      <c r="G86" s="125"/>
      <c r="H86" s="125"/>
      <c r="I86" s="125">
        <f t="shared" si="20"/>
        <v>1686.4610999999998</v>
      </c>
      <c r="J86" s="62">
        <f>'BIỂU HỢP ĐỒNG'!J85</f>
        <v>15775</v>
      </c>
      <c r="K86" s="43"/>
      <c r="L86" s="62">
        <f t="shared" si="21"/>
        <v>22952625</v>
      </c>
      <c r="M86" s="126">
        <f t="shared" si="22"/>
        <v>3651299</v>
      </c>
      <c r="N86" s="43">
        <f t="shared" si="23"/>
        <v>0</v>
      </c>
      <c r="O86" s="43">
        <f t="shared" si="24"/>
        <v>0</v>
      </c>
      <c r="P86" s="43">
        <f t="shared" si="19"/>
        <v>26603924</v>
      </c>
      <c r="Q86" s="100"/>
      <c r="R86" s="117"/>
    </row>
    <row r="87" spans="1:18" hidden="1" x14ac:dyDescent="0.25">
      <c r="A87" s="48" t="str">
        <f t="shared" si="14"/>
        <v>TL</v>
      </c>
      <c r="B87" s="32" t="s">
        <v>163</v>
      </c>
      <c r="C87" s="39" t="s">
        <v>32</v>
      </c>
      <c r="D87" s="13" t="s">
        <v>16</v>
      </c>
      <c r="E87" s="123">
        <v>7082.61</v>
      </c>
      <c r="F87" s="128">
        <f>'[4]PHỤ LỤC GIÁ HỢP ĐỒNG'!$K$32</f>
        <v>-4535.2794079999985</v>
      </c>
      <c r="G87" s="125"/>
      <c r="H87" s="125"/>
      <c r="I87" s="125">
        <f t="shared" si="20"/>
        <v>2547.3305920000012</v>
      </c>
      <c r="J87" s="62">
        <f>'BIỂU HỢP ĐỒNG'!J86</f>
        <v>50585</v>
      </c>
      <c r="K87" s="43"/>
      <c r="L87" s="62">
        <f t="shared" si="21"/>
        <v>358273827</v>
      </c>
      <c r="M87" s="126">
        <f t="shared" si="22"/>
        <v>-229417109</v>
      </c>
      <c r="N87" s="43">
        <f t="shared" si="23"/>
        <v>0</v>
      </c>
      <c r="O87" s="43">
        <f t="shared" si="24"/>
        <v>0</v>
      </c>
      <c r="P87" s="43">
        <f t="shared" si="19"/>
        <v>128856718</v>
      </c>
      <c r="Q87" s="100"/>
      <c r="R87" s="117"/>
    </row>
    <row r="88" spans="1:18" hidden="1" x14ac:dyDescent="0.25">
      <c r="A88" s="48" t="str">
        <f t="shared" si="14"/>
        <v>TL</v>
      </c>
      <c r="B88" s="32" t="s">
        <v>164</v>
      </c>
      <c r="C88" s="39" t="s">
        <v>34</v>
      </c>
      <c r="D88" s="13" t="s">
        <v>16</v>
      </c>
      <c r="E88" s="123">
        <v>2042.24</v>
      </c>
      <c r="F88" s="128">
        <f>'[4]PHỤ LỤC GIÁ HỢP ĐỒNG'!$K$154</f>
        <v>324.8787999599997</v>
      </c>
      <c r="G88" s="125"/>
      <c r="H88" s="125"/>
      <c r="I88" s="125">
        <f t="shared" si="20"/>
        <v>2367.1187999599997</v>
      </c>
      <c r="J88" s="62">
        <f>'BIỂU HỢP ĐỒNG'!J87</f>
        <v>54405</v>
      </c>
      <c r="K88" s="43"/>
      <c r="L88" s="62">
        <f t="shared" si="21"/>
        <v>111108067</v>
      </c>
      <c r="M88" s="126">
        <f t="shared" si="22"/>
        <v>17675031</v>
      </c>
      <c r="N88" s="43">
        <f t="shared" si="23"/>
        <v>0</v>
      </c>
      <c r="O88" s="43">
        <f t="shared" si="24"/>
        <v>0</v>
      </c>
      <c r="P88" s="43">
        <f t="shared" si="19"/>
        <v>128783098</v>
      </c>
      <c r="Q88" s="100"/>
      <c r="R88" s="117"/>
    </row>
    <row r="89" spans="1:18" hidden="1" x14ac:dyDescent="0.25">
      <c r="A89" s="48" t="str">
        <f t="shared" si="14"/>
        <v>TL</v>
      </c>
      <c r="B89" s="32" t="s">
        <v>165</v>
      </c>
      <c r="C89" s="39" t="s">
        <v>36</v>
      </c>
      <c r="D89" s="13" t="s">
        <v>37</v>
      </c>
      <c r="E89" s="123">
        <v>912.49</v>
      </c>
      <c r="F89" s="128">
        <f>'[4]PHỤ LỤC GIÁ HỢP ĐỒNG'!$K$33</f>
        <v>-421.04006080399995</v>
      </c>
      <c r="G89" s="125"/>
      <c r="H89" s="125"/>
      <c r="I89" s="125">
        <f t="shared" si="20"/>
        <v>491.44993919600006</v>
      </c>
      <c r="J89" s="62">
        <f>'BIỂU HỢP ĐỒNG'!J88</f>
        <v>940826</v>
      </c>
      <c r="K89" s="43"/>
      <c r="L89" s="62">
        <f t="shared" si="21"/>
        <v>858494317</v>
      </c>
      <c r="M89" s="126">
        <f t="shared" si="22"/>
        <v>-396125436</v>
      </c>
      <c r="N89" s="43">
        <f t="shared" si="23"/>
        <v>0</v>
      </c>
      <c r="O89" s="43">
        <f t="shared" si="24"/>
        <v>0</v>
      </c>
      <c r="P89" s="43">
        <f t="shared" si="19"/>
        <v>462368881</v>
      </c>
      <c r="Q89" s="100"/>
      <c r="R89" s="117"/>
    </row>
    <row r="90" spans="1:18" ht="52.5" hidden="1" customHeight="1" x14ac:dyDescent="0.25">
      <c r="A90" s="48" t="str">
        <f t="shared" si="14"/>
        <v>TL</v>
      </c>
      <c r="B90" s="32" t="s">
        <v>166</v>
      </c>
      <c r="C90" s="39" t="s">
        <v>2011</v>
      </c>
      <c r="D90" s="13" t="s">
        <v>13</v>
      </c>
      <c r="E90" s="123">
        <v>4972.3999999999996</v>
      </c>
      <c r="F90" s="123"/>
      <c r="G90" s="125"/>
      <c r="H90" s="125"/>
      <c r="I90" s="125">
        <f t="shared" si="20"/>
        <v>4972.3999999999996</v>
      </c>
      <c r="J90" s="62">
        <f>'BIỂU HỢP ĐỒNG'!J89</f>
        <v>11015</v>
      </c>
      <c r="K90" s="43"/>
      <c r="L90" s="62">
        <f t="shared" si="21"/>
        <v>54770986</v>
      </c>
      <c r="M90" s="43">
        <f t="shared" si="22"/>
        <v>0</v>
      </c>
      <c r="N90" s="43">
        <f t="shared" si="23"/>
        <v>0</v>
      </c>
      <c r="O90" s="43">
        <f t="shared" si="24"/>
        <v>0</v>
      </c>
      <c r="P90" s="43">
        <f t="shared" si="19"/>
        <v>54770986</v>
      </c>
      <c r="Q90" s="100"/>
      <c r="R90" s="117"/>
    </row>
    <row r="91" spans="1:18" ht="31.5" hidden="1" customHeight="1" x14ac:dyDescent="0.25">
      <c r="A91" s="48" t="str">
        <f t="shared" si="14"/>
        <v>TL</v>
      </c>
      <c r="B91" s="32" t="s">
        <v>167</v>
      </c>
      <c r="C91" s="39" t="s">
        <v>96</v>
      </c>
      <c r="D91" s="13" t="s">
        <v>90</v>
      </c>
      <c r="E91" s="123">
        <v>708.07</v>
      </c>
      <c r="F91" s="123"/>
      <c r="G91" s="125"/>
      <c r="H91" s="125"/>
      <c r="I91" s="125">
        <f t="shared" si="20"/>
        <v>708.07</v>
      </c>
      <c r="J91" s="62">
        <f>'BIỂU HỢP ĐỒNG'!J90</f>
        <v>1646788</v>
      </c>
      <c r="K91" s="43"/>
      <c r="L91" s="62">
        <f t="shared" si="21"/>
        <v>1166041179</v>
      </c>
      <c r="M91" s="43">
        <f t="shared" si="22"/>
        <v>0</v>
      </c>
      <c r="N91" s="43">
        <f t="shared" si="23"/>
        <v>0</v>
      </c>
      <c r="O91" s="43">
        <f t="shared" si="24"/>
        <v>0</v>
      </c>
      <c r="P91" s="43">
        <f t="shared" si="19"/>
        <v>1166041179</v>
      </c>
      <c r="Q91" s="100"/>
      <c r="R91" s="117"/>
    </row>
    <row r="92" spans="1:18" ht="31.5" hidden="1" customHeight="1" x14ac:dyDescent="0.25">
      <c r="A92" s="48" t="str">
        <f t="shared" si="14"/>
        <v>TL</v>
      </c>
      <c r="B92" s="32" t="s">
        <v>168</v>
      </c>
      <c r="C92" s="39" t="s">
        <v>98</v>
      </c>
      <c r="D92" s="13" t="s">
        <v>99</v>
      </c>
      <c r="E92" s="123">
        <v>7.08</v>
      </c>
      <c r="F92" s="123"/>
      <c r="G92" s="125"/>
      <c r="H92" s="125"/>
      <c r="I92" s="125">
        <f t="shared" si="20"/>
        <v>7.08</v>
      </c>
      <c r="J92" s="62">
        <f>'BIỂU HỢP ĐỒNG'!J91</f>
        <v>8873277</v>
      </c>
      <c r="K92" s="43"/>
      <c r="L92" s="62">
        <f t="shared" si="21"/>
        <v>62822801</v>
      </c>
      <c r="M92" s="43">
        <f t="shared" si="22"/>
        <v>0</v>
      </c>
      <c r="N92" s="43">
        <f t="shared" si="23"/>
        <v>0</v>
      </c>
      <c r="O92" s="43">
        <f t="shared" si="24"/>
        <v>0</v>
      </c>
      <c r="P92" s="43">
        <f t="shared" si="19"/>
        <v>62822801</v>
      </c>
      <c r="Q92" s="100"/>
      <c r="R92" s="117"/>
    </row>
    <row r="93" spans="1:18" ht="31.5" hidden="1" customHeight="1" x14ac:dyDescent="0.25">
      <c r="A93" s="48" t="str">
        <f t="shared" si="14"/>
        <v>TL</v>
      </c>
      <c r="B93" s="32" t="s">
        <v>169</v>
      </c>
      <c r="C93" s="39" t="s">
        <v>110</v>
      </c>
      <c r="D93" s="13" t="s">
        <v>13</v>
      </c>
      <c r="E93" s="123">
        <v>4972.04</v>
      </c>
      <c r="F93" s="123"/>
      <c r="G93" s="125"/>
      <c r="H93" s="125"/>
      <c r="I93" s="125">
        <f t="shared" si="20"/>
        <v>4972.04</v>
      </c>
      <c r="J93" s="62">
        <f>'BIỂU HỢP ĐỒNG'!J92</f>
        <v>15319</v>
      </c>
      <c r="K93" s="43"/>
      <c r="L93" s="62">
        <f t="shared" si="21"/>
        <v>76166681</v>
      </c>
      <c r="M93" s="43">
        <f t="shared" si="22"/>
        <v>0</v>
      </c>
      <c r="N93" s="43">
        <f t="shared" si="23"/>
        <v>0</v>
      </c>
      <c r="O93" s="43">
        <f t="shared" si="24"/>
        <v>0</v>
      </c>
      <c r="P93" s="43">
        <f t="shared" si="19"/>
        <v>76166681</v>
      </c>
      <c r="Q93" s="100"/>
      <c r="R93" s="117"/>
    </row>
    <row r="94" spans="1:18" ht="31.5" hidden="1" customHeight="1" x14ac:dyDescent="0.25">
      <c r="A94" s="48" t="str">
        <f t="shared" si="14"/>
        <v>TL</v>
      </c>
      <c r="B94" s="32" t="s">
        <v>170</v>
      </c>
      <c r="C94" s="39" t="s">
        <v>171</v>
      </c>
      <c r="D94" s="13" t="s">
        <v>13</v>
      </c>
      <c r="E94" s="123">
        <v>4972.3999999999996</v>
      </c>
      <c r="F94" s="123">
        <f>'[4]PHỤ LỤC GIÁ HỢP ĐỒNG'!$K$170</f>
        <v>764.4416999999994</v>
      </c>
      <c r="G94" s="125"/>
      <c r="H94" s="125"/>
      <c r="I94" s="125">
        <f t="shared" si="20"/>
        <v>5736.841699999999</v>
      </c>
      <c r="J94" s="62">
        <f>'BIỂU HỢP ĐỒNG'!J93</f>
        <v>63114</v>
      </c>
      <c r="K94" s="43"/>
      <c r="L94" s="62">
        <f t="shared" si="21"/>
        <v>313828054</v>
      </c>
      <c r="M94" s="43">
        <f t="shared" si="22"/>
        <v>48246973</v>
      </c>
      <c r="N94" s="43">
        <f t="shared" si="23"/>
        <v>0</v>
      </c>
      <c r="O94" s="43">
        <f t="shared" si="24"/>
        <v>0</v>
      </c>
      <c r="P94" s="43">
        <f t="shared" si="19"/>
        <v>362075027</v>
      </c>
      <c r="Q94" s="100"/>
      <c r="R94" s="117"/>
    </row>
    <row r="95" spans="1:18" hidden="1" x14ac:dyDescent="0.25">
      <c r="A95" s="48" t="str">
        <f t="shared" si="14"/>
        <v>TL</v>
      </c>
      <c r="B95" s="32" t="s">
        <v>172</v>
      </c>
      <c r="C95" s="39" t="s">
        <v>114</v>
      </c>
      <c r="D95" s="13" t="s">
        <v>13</v>
      </c>
      <c r="E95" s="123">
        <v>4972.3999999999996</v>
      </c>
      <c r="F95" s="123">
        <f>'[4]PHỤ LỤC GIÁ HỢP ĐỒNG'!$K$171</f>
        <v>183.46600799999987</v>
      </c>
      <c r="G95" s="125"/>
      <c r="H95" s="125"/>
      <c r="I95" s="125">
        <f t="shared" si="20"/>
        <v>5155.8660079999991</v>
      </c>
      <c r="J95" s="62">
        <f>'BIỂU HỢP ĐỒNG'!J94</f>
        <v>213590</v>
      </c>
      <c r="K95" s="43"/>
      <c r="L95" s="62">
        <f t="shared" si="21"/>
        <v>1062054916</v>
      </c>
      <c r="M95" s="43">
        <f t="shared" si="22"/>
        <v>39186505</v>
      </c>
      <c r="N95" s="43">
        <f t="shared" si="23"/>
        <v>0</v>
      </c>
      <c r="O95" s="43">
        <f t="shared" si="24"/>
        <v>0</v>
      </c>
      <c r="P95" s="43">
        <f t="shared" si="19"/>
        <v>1101241421</v>
      </c>
      <c r="Q95" s="100"/>
      <c r="R95" s="117"/>
    </row>
    <row r="96" spans="1:18" ht="31.5" hidden="1" customHeight="1" x14ac:dyDescent="0.25">
      <c r="A96" s="48" t="str">
        <f t="shared" si="14"/>
        <v>TL</v>
      </c>
      <c r="B96" s="32" t="s">
        <v>173</v>
      </c>
      <c r="C96" s="39" t="s">
        <v>174</v>
      </c>
      <c r="D96" s="13" t="s">
        <v>13</v>
      </c>
      <c r="E96" s="123">
        <v>4972.3999999999996</v>
      </c>
      <c r="F96" s="123">
        <f>'[4]PHỤ LỤC GIÁ HỢP ĐỒNG'!$K$172</f>
        <v>214.04367599999978</v>
      </c>
      <c r="G96" s="125"/>
      <c r="H96" s="125"/>
      <c r="I96" s="125">
        <f t="shared" si="20"/>
        <v>5186.443675999999</v>
      </c>
      <c r="J96" s="62">
        <f>'BIỂU HỢP ĐỒNG'!J95</f>
        <v>173886</v>
      </c>
      <c r="K96" s="43"/>
      <c r="L96" s="62">
        <f t="shared" si="21"/>
        <v>864630746</v>
      </c>
      <c r="M96" s="43">
        <f t="shared" si="22"/>
        <v>37219199</v>
      </c>
      <c r="N96" s="43">
        <f t="shared" si="23"/>
        <v>0</v>
      </c>
      <c r="O96" s="43">
        <f t="shared" si="24"/>
        <v>0</v>
      </c>
      <c r="P96" s="43">
        <f t="shared" si="19"/>
        <v>901849945</v>
      </c>
      <c r="Q96" s="100"/>
      <c r="R96" s="117"/>
    </row>
    <row r="97" spans="1:18" ht="47.25" hidden="1" customHeight="1" x14ac:dyDescent="0.25">
      <c r="A97" s="48" t="str">
        <f t="shared" si="14"/>
        <v>TL</v>
      </c>
      <c r="B97" s="32" t="s">
        <v>175</v>
      </c>
      <c r="C97" s="39" t="s">
        <v>94</v>
      </c>
      <c r="D97" s="13" t="s">
        <v>13</v>
      </c>
      <c r="E97" s="123">
        <v>4423.7</v>
      </c>
      <c r="F97" s="123">
        <f>'[4]PHỤ LỤC GIÁ HỢP ĐỒNG'!$K$166</f>
        <v>764.4416999999994</v>
      </c>
      <c r="G97" s="125"/>
      <c r="H97" s="125"/>
      <c r="I97" s="125">
        <f t="shared" si="20"/>
        <v>5188.1416999999992</v>
      </c>
      <c r="J97" s="62">
        <f>'BIỂU HỢP ĐỒNG'!J96</f>
        <v>11015</v>
      </c>
      <c r="K97" s="43"/>
      <c r="L97" s="62">
        <f t="shared" si="21"/>
        <v>48727056</v>
      </c>
      <c r="M97" s="43">
        <f t="shared" si="22"/>
        <v>8420325</v>
      </c>
      <c r="N97" s="43">
        <f t="shared" si="23"/>
        <v>0</v>
      </c>
      <c r="O97" s="43">
        <f t="shared" si="24"/>
        <v>0</v>
      </c>
      <c r="P97" s="43">
        <f t="shared" si="19"/>
        <v>57147381</v>
      </c>
      <c r="Q97" s="100"/>
      <c r="R97" s="117"/>
    </row>
    <row r="98" spans="1:18" ht="31.5" hidden="1" customHeight="1" x14ac:dyDescent="0.25">
      <c r="A98" s="48" t="str">
        <f t="shared" si="14"/>
        <v>TL</v>
      </c>
      <c r="B98" s="32" t="s">
        <v>176</v>
      </c>
      <c r="C98" s="39" t="s">
        <v>96</v>
      </c>
      <c r="D98" s="13" t="s">
        <v>90</v>
      </c>
      <c r="E98" s="123">
        <v>629.92999999999995</v>
      </c>
      <c r="F98" s="123">
        <f>'[4]PHỤ LỤC GIÁ HỢP ĐỒNG'!$K$167</f>
        <v>108.85649807999982</v>
      </c>
      <c r="G98" s="125"/>
      <c r="H98" s="125"/>
      <c r="I98" s="125">
        <f t="shared" si="20"/>
        <v>738.78649807999977</v>
      </c>
      <c r="J98" s="62">
        <f>'BIỂU HỢP ĐỒNG'!J97</f>
        <v>1646788</v>
      </c>
      <c r="K98" s="43"/>
      <c r="L98" s="62">
        <f t="shared" si="21"/>
        <v>1037361165</v>
      </c>
      <c r="M98" s="43">
        <f t="shared" si="22"/>
        <v>179263575</v>
      </c>
      <c r="N98" s="43">
        <f t="shared" si="23"/>
        <v>0</v>
      </c>
      <c r="O98" s="43">
        <f t="shared" si="24"/>
        <v>0</v>
      </c>
      <c r="P98" s="43">
        <f t="shared" si="19"/>
        <v>1216624740</v>
      </c>
      <c r="Q98" s="100"/>
      <c r="R98" s="117"/>
    </row>
    <row r="99" spans="1:18" ht="31.5" hidden="1" customHeight="1" x14ac:dyDescent="0.25">
      <c r="A99" s="48" t="str">
        <f t="shared" si="14"/>
        <v>TL</v>
      </c>
      <c r="B99" s="32" t="s">
        <v>177</v>
      </c>
      <c r="C99" s="39" t="s">
        <v>98</v>
      </c>
      <c r="D99" s="13" t="s">
        <v>99</v>
      </c>
      <c r="E99" s="123">
        <v>6.3</v>
      </c>
      <c r="F99" s="123">
        <f>'[4]PHỤ LỤC GIÁ HỢP ĐỒNG'!$K$168</f>
        <v>1.0885649807999984</v>
      </c>
      <c r="G99" s="125"/>
      <c r="H99" s="125"/>
      <c r="I99" s="125">
        <f t="shared" si="20"/>
        <v>7.3885649807999982</v>
      </c>
      <c r="J99" s="62">
        <f>'BIỂU HỢP ĐỒNG'!J98</f>
        <v>8873277</v>
      </c>
      <c r="K99" s="43"/>
      <c r="L99" s="62">
        <f t="shared" si="21"/>
        <v>55901645</v>
      </c>
      <c r="M99" s="43">
        <f t="shared" si="22"/>
        <v>9659139</v>
      </c>
      <c r="N99" s="43">
        <f t="shared" si="23"/>
        <v>0</v>
      </c>
      <c r="O99" s="43">
        <f t="shared" si="24"/>
        <v>0</v>
      </c>
      <c r="P99" s="43">
        <f t="shared" si="19"/>
        <v>65560784</v>
      </c>
      <c r="Q99" s="100"/>
      <c r="R99" s="117"/>
    </row>
    <row r="100" spans="1:18" ht="31.5" hidden="1" customHeight="1" x14ac:dyDescent="0.25">
      <c r="A100" s="48" t="str">
        <f t="shared" si="14"/>
        <v>TL</v>
      </c>
      <c r="B100" s="32" t="s">
        <v>178</v>
      </c>
      <c r="C100" s="39" t="s">
        <v>110</v>
      </c>
      <c r="D100" s="13" t="s">
        <v>13</v>
      </c>
      <c r="E100" s="123">
        <v>4423.7</v>
      </c>
      <c r="F100" s="123">
        <f>'[4]PHỤ LỤC GIÁ HỢP ĐỒNG'!$K$169</f>
        <v>764.4416999999994</v>
      </c>
      <c r="G100" s="125"/>
      <c r="H100" s="125"/>
      <c r="I100" s="125">
        <f t="shared" si="20"/>
        <v>5188.1416999999992</v>
      </c>
      <c r="J100" s="62">
        <f>'BIỂU HỢP ĐỒNG'!J99</f>
        <v>15319</v>
      </c>
      <c r="K100" s="43"/>
      <c r="L100" s="62">
        <f t="shared" si="21"/>
        <v>67766660</v>
      </c>
      <c r="M100" s="43">
        <f t="shared" si="22"/>
        <v>11710482</v>
      </c>
      <c r="N100" s="43">
        <f t="shared" si="23"/>
        <v>0</v>
      </c>
      <c r="O100" s="43">
        <f t="shared" si="24"/>
        <v>0</v>
      </c>
      <c r="P100" s="43">
        <f t="shared" si="19"/>
        <v>79477142</v>
      </c>
      <c r="Q100" s="100"/>
      <c r="R100" s="117"/>
    </row>
    <row r="101" spans="1:18" hidden="1" x14ac:dyDescent="0.25">
      <c r="A101" s="48" t="str">
        <f t="shared" si="14"/>
        <v>TL</v>
      </c>
      <c r="B101" s="32" t="s">
        <v>179</v>
      </c>
      <c r="C101" s="39" t="s">
        <v>180</v>
      </c>
      <c r="D101" s="13" t="s">
        <v>13</v>
      </c>
      <c r="E101" s="123">
        <v>91.6</v>
      </c>
      <c r="F101" s="123">
        <f>'[4]PHỤ LỤC GIÁ HỢP ĐỒNG'!$K$174</f>
        <v>18.310130000000001</v>
      </c>
      <c r="G101" s="125"/>
      <c r="H101" s="125"/>
      <c r="I101" s="125">
        <f t="shared" si="20"/>
        <v>109.91013</v>
      </c>
      <c r="J101" s="62">
        <f>'BIỂU HỢP ĐỒNG'!J100</f>
        <v>213590</v>
      </c>
      <c r="K101" s="43"/>
      <c r="L101" s="62">
        <f t="shared" si="21"/>
        <v>19564844</v>
      </c>
      <c r="M101" s="43">
        <f t="shared" si="22"/>
        <v>3910861</v>
      </c>
      <c r="N101" s="43">
        <f t="shared" si="23"/>
        <v>0</v>
      </c>
      <c r="O101" s="43">
        <f t="shared" si="24"/>
        <v>0</v>
      </c>
      <c r="P101" s="43">
        <f t="shared" si="19"/>
        <v>23475705</v>
      </c>
      <c r="Q101" s="100"/>
      <c r="R101" s="117"/>
    </row>
    <row r="102" spans="1:18" hidden="1" x14ac:dyDescent="0.25">
      <c r="A102" s="48" t="str">
        <f t="shared" si="14"/>
        <v>TL</v>
      </c>
      <c r="B102" s="32" t="s">
        <v>2012</v>
      </c>
      <c r="C102" s="39" t="s">
        <v>2013</v>
      </c>
      <c r="D102" s="13" t="s">
        <v>16</v>
      </c>
      <c r="E102" s="123"/>
      <c r="F102" s="123">
        <v>1834.3616</v>
      </c>
      <c r="G102" s="125"/>
      <c r="H102" s="125"/>
      <c r="I102" s="125"/>
      <c r="J102" s="62">
        <f>J13</f>
        <v>8251</v>
      </c>
      <c r="K102" s="43"/>
      <c r="L102" s="62"/>
      <c r="M102" s="43"/>
      <c r="N102" s="43"/>
      <c r="O102" s="43"/>
      <c r="P102" s="43"/>
      <c r="Q102" s="100"/>
      <c r="R102" s="117"/>
    </row>
    <row r="103" spans="1:18" hidden="1" x14ac:dyDescent="0.25">
      <c r="A103" s="48" t="str">
        <f t="shared" si="14"/>
        <v>TL</v>
      </c>
      <c r="B103" s="32" t="s">
        <v>2014</v>
      </c>
      <c r="C103" s="39" t="s">
        <v>2015</v>
      </c>
      <c r="D103" s="13" t="s">
        <v>16</v>
      </c>
      <c r="E103" s="123"/>
      <c r="F103" s="123">
        <v>293.82610000000011</v>
      </c>
      <c r="G103" s="125"/>
      <c r="H103" s="125"/>
      <c r="I103" s="125"/>
      <c r="J103" s="62">
        <f>J102</f>
        <v>8251</v>
      </c>
      <c r="K103" s="43"/>
      <c r="L103" s="62"/>
      <c r="M103" s="43"/>
      <c r="N103" s="43"/>
      <c r="O103" s="43"/>
      <c r="P103" s="43"/>
      <c r="Q103" s="100"/>
      <c r="R103" s="117"/>
    </row>
    <row r="104" spans="1:18" hidden="1" x14ac:dyDescent="0.25">
      <c r="A104" s="48" t="str">
        <f t="shared" si="14"/>
        <v>TL</v>
      </c>
      <c r="B104" s="32" t="s">
        <v>2016</v>
      </c>
      <c r="C104" s="39" t="s">
        <v>41</v>
      </c>
      <c r="D104" s="13" t="s">
        <v>16</v>
      </c>
      <c r="E104" s="123"/>
      <c r="F104" s="123">
        <v>2128.1876999999999</v>
      </c>
      <c r="G104" s="125"/>
      <c r="H104" s="125"/>
      <c r="I104" s="125"/>
      <c r="J104" s="62">
        <f>J21</f>
        <v>40424</v>
      </c>
      <c r="K104" s="43"/>
      <c r="L104" s="62"/>
      <c r="M104" s="43"/>
      <c r="N104" s="43"/>
      <c r="O104" s="43"/>
      <c r="P104" s="43"/>
      <c r="Q104" s="100"/>
      <c r="R104" s="117"/>
    </row>
    <row r="105" spans="1:18" hidden="1" x14ac:dyDescent="0.25">
      <c r="A105" s="48" t="str">
        <f t="shared" si="14"/>
        <v>TL</v>
      </c>
      <c r="B105" s="32" t="s">
        <v>2017</v>
      </c>
      <c r="C105" s="39" t="s">
        <v>43</v>
      </c>
      <c r="D105" s="13" t="s">
        <v>16</v>
      </c>
      <c r="E105" s="123"/>
      <c r="F105" s="123">
        <v>41.900849999999991</v>
      </c>
      <c r="G105" s="125"/>
      <c r="H105" s="125"/>
      <c r="I105" s="125"/>
      <c r="J105" s="62">
        <f>J22</f>
        <v>45382</v>
      </c>
      <c r="K105" s="43"/>
      <c r="L105" s="62"/>
      <c r="M105" s="43"/>
      <c r="N105" s="43"/>
      <c r="O105" s="43"/>
      <c r="P105" s="43"/>
      <c r="Q105" s="100"/>
      <c r="R105" s="117"/>
    </row>
    <row r="106" spans="1:18" ht="31.5" hidden="1" customHeight="1" x14ac:dyDescent="0.25">
      <c r="A106" s="48" t="str">
        <f t="shared" si="14"/>
        <v>TL</v>
      </c>
      <c r="B106" s="32" t="s">
        <v>2018</v>
      </c>
      <c r="C106" s="39" t="s">
        <v>1016</v>
      </c>
      <c r="D106" s="13" t="s">
        <v>16</v>
      </c>
      <c r="E106" s="123"/>
      <c r="F106" s="123">
        <v>344.19614999999999</v>
      </c>
      <c r="G106" s="125"/>
      <c r="H106" s="125"/>
      <c r="I106" s="125"/>
      <c r="J106" s="62">
        <f>J23</f>
        <v>56948</v>
      </c>
      <c r="K106" s="43"/>
      <c r="L106" s="62"/>
      <c r="M106" s="43"/>
      <c r="N106" s="43"/>
      <c r="O106" s="43"/>
      <c r="P106" s="43"/>
      <c r="Q106" s="100"/>
      <c r="R106" s="117"/>
    </row>
    <row r="107" spans="1:18" hidden="1" x14ac:dyDescent="0.25">
      <c r="A107" s="48" t="str">
        <f t="shared" si="14"/>
        <v>TL</v>
      </c>
      <c r="B107" s="32" t="s">
        <v>2019</v>
      </c>
      <c r="C107" s="39" t="s">
        <v>47</v>
      </c>
      <c r="D107" s="13" t="s">
        <v>16</v>
      </c>
      <c r="E107" s="123"/>
      <c r="F107" s="123">
        <v>2514.2847000000002</v>
      </c>
      <c r="G107" s="125"/>
      <c r="H107" s="125"/>
      <c r="I107" s="125"/>
      <c r="J107" s="62">
        <f>J78</f>
        <v>2096</v>
      </c>
      <c r="K107" s="43"/>
      <c r="L107" s="62"/>
      <c r="M107" s="43"/>
      <c r="N107" s="43"/>
      <c r="O107" s="43"/>
      <c r="P107" s="43"/>
      <c r="Q107" s="100"/>
      <c r="R107" s="117"/>
    </row>
    <row r="108" spans="1:18" hidden="1" x14ac:dyDescent="0.25">
      <c r="A108" s="48" t="str">
        <f t="shared" si="14"/>
        <v>TL</v>
      </c>
      <c r="B108" s="32" t="s">
        <v>2020</v>
      </c>
      <c r="C108" s="39" t="s">
        <v>2021</v>
      </c>
      <c r="D108" s="13" t="s">
        <v>16</v>
      </c>
      <c r="E108" s="123"/>
      <c r="F108" s="123">
        <f>'[4]PHỤ LỤC GIÁ HỢP ĐỒNG'!$K$160</f>
        <v>4875.7960000000003</v>
      </c>
      <c r="G108" s="125"/>
      <c r="H108" s="125"/>
      <c r="I108" s="125"/>
      <c r="J108" s="62">
        <f>J103</f>
        <v>8251</v>
      </c>
      <c r="K108" s="43"/>
      <c r="L108" s="62"/>
      <c r="M108" s="43"/>
      <c r="N108" s="43"/>
      <c r="O108" s="43"/>
      <c r="P108" s="43"/>
      <c r="Q108" s="100"/>
      <c r="R108" s="117"/>
    </row>
    <row r="109" spans="1:18" hidden="1" x14ac:dyDescent="0.25">
      <c r="A109" s="48" t="str">
        <f t="shared" si="14"/>
        <v>TL</v>
      </c>
      <c r="B109" s="32" t="s">
        <v>2022</v>
      </c>
      <c r="C109" s="39" t="s">
        <v>61</v>
      </c>
      <c r="D109" s="13" t="s">
        <v>62</v>
      </c>
      <c r="E109" s="123"/>
      <c r="F109" s="123">
        <f>'[4]PHỤ LỤC GIÁ HỢP ĐỒNG'!$K$161</f>
        <v>4875.7960000000003</v>
      </c>
      <c r="G109" s="125"/>
      <c r="H109" s="125"/>
      <c r="I109" s="125"/>
      <c r="J109" s="62">
        <f>J31</f>
        <v>6611</v>
      </c>
      <c r="K109" s="43"/>
      <c r="L109" s="62"/>
      <c r="M109" s="43"/>
      <c r="N109" s="43"/>
      <c r="O109" s="43"/>
      <c r="P109" s="43"/>
      <c r="Q109" s="100"/>
      <c r="R109" s="117"/>
    </row>
    <row r="110" spans="1:18" hidden="1" x14ac:dyDescent="0.25">
      <c r="A110" s="48" t="str">
        <f t="shared" si="14"/>
        <v>TL</v>
      </c>
      <c r="B110" s="32" t="s">
        <v>2023</v>
      </c>
      <c r="C110" s="39" t="s">
        <v>2024</v>
      </c>
      <c r="D110" s="13" t="s">
        <v>16</v>
      </c>
      <c r="E110" s="123"/>
      <c r="F110" s="123">
        <f>'[4]PHỤ LỤC GIÁ HỢP ĐỒNG'!$K$162</f>
        <v>2207.1625999999997</v>
      </c>
      <c r="G110" s="125"/>
      <c r="H110" s="125"/>
      <c r="I110" s="125"/>
      <c r="J110" s="62">
        <f>J39</f>
        <v>267174</v>
      </c>
      <c r="K110" s="43"/>
      <c r="L110" s="62"/>
      <c r="M110" s="43"/>
      <c r="N110" s="43"/>
      <c r="O110" s="43"/>
      <c r="P110" s="43"/>
      <c r="Q110" s="100"/>
      <c r="R110" s="117"/>
    </row>
    <row r="111" spans="1:18" hidden="1" x14ac:dyDescent="0.25">
      <c r="A111" s="48" t="str">
        <f t="shared" si="14"/>
        <v>TL</v>
      </c>
      <c r="B111" s="32" t="s">
        <v>2025</v>
      </c>
      <c r="C111" s="39" t="s">
        <v>2026</v>
      </c>
      <c r="D111" s="13" t="s">
        <v>13</v>
      </c>
      <c r="E111" s="123"/>
      <c r="F111" s="123">
        <f>'[4]PHỤ LỤC GIÁ HỢP ĐỒNG'!$K$163</f>
        <v>7481.7136</v>
      </c>
      <c r="G111" s="125"/>
      <c r="H111" s="125"/>
      <c r="I111" s="125"/>
      <c r="J111" s="62">
        <f>J26</f>
        <v>20017</v>
      </c>
      <c r="K111" s="43"/>
      <c r="L111" s="62"/>
      <c r="M111" s="43"/>
      <c r="N111" s="43"/>
      <c r="O111" s="43"/>
      <c r="P111" s="43"/>
      <c r="Q111" s="100"/>
      <c r="R111" s="117"/>
    </row>
    <row r="112" spans="1:18" s="22" customFormat="1" ht="31.5" hidden="1" customHeight="1" x14ac:dyDescent="0.25">
      <c r="A112" s="48" t="str">
        <f t="shared" si="14"/>
        <v>TL</v>
      </c>
      <c r="B112" s="29">
        <v>3</v>
      </c>
      <c r="C112" s="12" t="s">
        <v>181</v>
      </c>
      <c r="D112" s="79"/>
      <c r="E112" s="123"/>
      <c r="F112" s="123"/>
      <c r="G112" s="125"/>
      <c r="H112" s="125"/>
      <c r="I112" s="125"/>
      <c r="J112" s="62"/>
      <c r="K112" s="43"/>
      <c r="L112" s="62"/>
      <c r="M112" s="43"/>
      <c r="N112" s="43"/>
      <c r="O112" s="43"/>
      <c r="P112" s="43">
        <f t="shared" ref="P112:P175" si="25">SUM(L112:O112)</f>
        <v>0</v>
      </c>
      <c r="Q112" s="100"/>
      <c r="R112" s="117"/>
    </row>
    <row r="113" spans="1:18" hidden="1" x14ac:dyDescent="0.25">
      <c r="A113" s="48" t="str">
        <f t="shared" si="14"/>
        <v>TL</v>
      </c>
      <c r="B113" s="32" t="s">
        <v>182</v>
      </c>
      <c r="C113" s="39" t="s">
        <v>183</v>
      </c>
      <c r="D113" s="13" t="s">
        <v>16</v>
      </c>
      <c r="E113" s="123">
        <v>12</v>
      </c>
      <c r="F113" s="123"/>
      <c r="G113" s="125"/>
      <c r="H113" s="125"/>
      <c r="I113" s="125">
        <f t="shared" ref="I113:I138" si="26">SUM(E113:H113)</f>
        <v>12</v>
      </c>
      <c r="J113" s="62">
        <f>'BIỂU HỢP ĐỒNG'!J102</f>
        <v>23801</v>
      </c>
      <c r="K113" s="43"/>
      <c r="L113" s="62">
        <f t="shared" ref="L113:L138" si="27">+ROUND(J113*E113,0)</f>
        <v>285612</v>
      </c>
      <c r="M113" s="43">
        <f t="shared" ref="M113:M138" si="28">+ROUND(F113*J113,0)</f>
        <v>0</v>
      </c>
      <c r="N113" s="43">
        <f t="shared" ref="N113:N138" si="29">+ROUND(G113*J113,0)</f>
        <v>0</v>
      </c>
      <c r="O113" s="43">
        <f t="shared" ref="O113:O138" si="30">+ROUND(H113*J113,0)</f>
        <v>0</v>
      </c>
      <c r="P113" s="43">
        <f t="shared" si="25"/>
        <v>285612</v>
      </c>
      <c r="Q113" s="100"/>
      <c r="R113" s="117"/>
    </row>
    <row r="114" spans="1:18" hidden="1" x14ac:dyDescent="0.25">
      <c r="A114" s="48" t="str">
        <f t="shared" si="14"/>
        <v>TL</v>
      </c>
      <c r="B114" s="32" t="s">
        <v>184</v>
      </c>
      <c r="C114" s="39" t="s">
        <v>185</v>
      </c>
      <c r="D114" s="13" t="s">
        <v>16</v>
      </c>
      <c r="E114" s="123">
        <v>21</v>
      </c>
      <c r="F114" s="123"/>
      <c r="G114" s="125"/>
      <c r="H114" s="125"/>
      <c r="I114" s="125">
        <f t="shared" si="26"/>
        <v>21</v>
      </c>
      <c r="J114" s="62">
        <f>'BIỂU HỢP ĐỒNG'!J103</f>
        <v>23801</v>
      </c>
      <c r="K114" s="43"/>
      <c r="L114" s="62">
        <f t="shared" si="27"/>
        <v>499821</v>
      </c>
      <c r="M114" s="43">
        <f t="shared" si="28"/>
        <v>0</v>
      </c>
      <c r="N114" s="43">
        <f t="shared" si="29"/>
        <v>0</v>
      </c>
      <c r="O114" s="43">
        <f t="shared" si="30"/>
        <v>0</v>
      </c>
      <c r="P114" s="43">
        <f t="shared" si="25"/>
        <v>499821</v>
      </c>
      <c r="Q114" s="100"/>
      <c r="R114" s="117"/>
    </row>
    <row r="115" spans="1:18" hidden="1" x14ac:dyDescent="0.25">
      <c r="A115" s="48" t="str">
        <f t="shared" si="14"/>
        <v>TL</v>
      </c>
      <c r="B115" s="32" t="s">
        <v>186</v>
      </c>
      <c r="C115" s="39" t="s">
        <v>155</v>
      </c>
      <c r="D115" s="13" t="s">
        <v>16</v>
      </c>
      <c r="E115" s="123">
        <v>22</v>
      </c>
      <c r="F115" s="123"/>
      <c r="G115" s="125"/>
      <c r="H115" s="125"/>
      <c r="I115" s="125">
        <f t="shared" si="26"/>
        <v>22</v>
      </c>
      <c r="J115" s="62">
        <f>'BIỂU HỢP ĐỒNG'!J104</f>
        <v>30610</v>
      </c>
      <c r="K115" s="43"/>
      <c r="L115" s="62">
        <f t="shared" si="27"/>
        <v>673420</v>
      </c>
      <c r="M115" s="43">
        <f t="shared" si="28"/>
        <v>0</v>
      </c>
      <c r="N115" s="43">
        <f t="shared" si="29"/>
        <v>0</v>
      </c>
      <c r="O115" s="43">
        <f t="shared" si="30"/>
        <v>0</v>
      </c>
      <c r="P115" s="43">
        <f t="shared" si="25"/>
        <v>673420</v>
      </c>
      <c r="Q115" s="100"/>
      <c r="R115" s="117"/>
    </row>
    <row r="116" spans="1:18" hidden="1" x14ac:dyDescent="0.25">
      <c r="A116" s="48" t="str">
        <f t="shared" si="14"/>
        <v>TL</v>
      </c>
      <c r="B116" s="32" t="s">
        <v>187</v>
      </c>
      <c r="C116" s="39" t="s">
        <v>20</v>
      </c>
      <c r="D116" s="13" t="s">
        <v>16</v>
      </c>
      <c r="E116" s="123">
        <v>8</v>
      </c>
      <c r="F116" s="123"/>
      <c r="G116" s="125"/>
      <c r="H116" s="125"/>
      <c r="I116" s="125">
        <f t="shared" si="26"/>
        <v>8</v>
      </c>
      <c r="J116" s="62">
        <f>'BIỂU HỢP ĐỒNG'!J105</f>
        <v>12342</v>
      </c>
      <c r="K116" s="43"/>
      <c r="L116" s="62">
        <f t="shared" si="27"/>
        <v>98736</v>
      </c>
      <c r="M116" s="43">
        <f t="shared" si="28"/>
        <v>0</v>
      </c>
      <c r="N116" s="43">
        <f t="shared" si="29"/>
        <v>0</v>
      </c>
      <c r="O116" s="43">
        <f t="shared" si="30"/>
        <v>0</v>
      </c>
      <c r="P116" s="43">
        <f t="shared" si="25"/>
        <v>98736</v>
      </c>
      <c r="Q116" s="100"/>
      <c r="R116" s="117"/>
    </row>
    <row r="117" spans="1:18" ht="31.5" hidden="1" customHeight="1" x14ac:dyDescent="0.25">
      <c r="A117" s="48" t="str">
        <f t="shared" si="14"/>
        <v>TL</v>
      </c>
      <c r="B117" s="32" t="s">
        <v>188</v>
      </c>
      <c r="C117" s="39" t="s">
        <v>158</v>
      </c>
      <c r="D117" s="13" t="s">
        <v>16</v>
      </c>
      <c r="E117" s="123">
        <v>8</v>
      </c>
      <c r="F117" s="123"/>
      <c r="G117" s="125"/>
      <c r="H117" s="125"/>
      <c r="I117" s="125">
        <f t="shared" si="26"/>
        <v>8</v>
      </c>
      <c r="J117" s="62">
        <f>'BIỂU HỢP ĐỒNG'!J106</f>
        <v>12936</v>
      </c>
      <c r="K117" s="43"/>
      <c r="L117" s="62">
        <f t="shared" si="27"/>
        <v>103488</v>
      </c>
      <c r="M117" s="43">
        <f t="shared" si="28"/>
        <v>0</v>
      </c>
      <c r="N117" s="43">
        <f t="shared" si="29"/>
        <v>0</v>
      </c>
      <c r="O117" s="43">
        <f t="shared" si="30"/>
        <v>0</v>
      </c>
      <c r="P117" s="43">
        <f t="shared" si="25"/>
        <v>103488</v>
      </c>
      <c r="Q117" s="100"/>
      <c r="R117" s="117"/>
    </row>
    <row r="118" spans="1:18" hidden="1" x14ac:dyDescent="0.25">
      <c r="A118" s="48" t="str">
        <f t="shared" si="14"/>
        <v>TL</v>
      </c>
      <c r="B118" s="32" t="s">
        <v>189</v>
      </c>
      <c r="C118" s="39" t="s">
        <v>190</v>
      </c>
      <c r="D118" s="13" t="s">
        <v>16</v>
      </c>
      <c r="E118" s="123">
        <v>477</v>
      </c>
      <c r="F118" s="123"/>
      <c r="G118" s="125"/>
      <c r="H118" s="125"/>
      <c r="I118" s="125">
        <f t="shared" si="26"/>
        <v>477</v>
      </c>
      <c r="J118" s="62">
        <f>'BIỂU HỢP ĐỒNG'!J107</f>
        <v>8251</v>
      </c>
      <c r="K118" s="43"/>
      <c r="L118" s="62">
        <f t="shared" si="27"/>
        <v>3935727</v>
      </c>
      <c r="M118" s="43">
        <f t="shared" si="28"/>
        <v>0</v>
      </c>
      <c r="N118" s="43">
        <f t="shared" si="29"/>
        <v>0</v>
      </c>
      <c r="O118" s="43">
        <f t="shared" si="30"/>
        <v>0</v>
      </c>
      <c r="P118" s="43">
        <f t="shared" si="25"/>
        <v>3935727</v>
      </c>
      <c r="Q118" s="100"/>
      <c r="R118" s="117"/>
    </row>
    <row r="119" spans="1:18" hidden="1" x14ac:dyDescent="0.25">
      <c r="A119" s="48" t="str">
        <f t="shared" si="14"/>
        <v>TL</v>
      </c>
      <c r="B119" s="32" t="s">
        <v>191</v>
      </c>
      <c r="C119" s="39" t="s">
        <v>192</v>
      </c>
      <c r="D119" s="13" t="s">
        <v>16</v>
      </c>
      <c r="E119" s="123">
        <v>1773</v>
      </c>
      <c r="F119" s="123"/>
      <c r="G119" s="125"/>
      <c r="H119" s="125"/>
      <c r="I119" s="125">
        <f t="shared" si="26"/>
        <v>1773</v>
      </c>
      <c r="J119" s="62">
        <f>'BIỂU HỢP ĐỒNG'!J108</f>
        <v>32141</v>
      </c>
      <c r="K119" s="43"/>
      <c r="L119" s="62">
        <f t="shared" si="27"/>
        <v>56985993</v>
      </c>
      <c r="M119" s="43">
        <f t="shared" si="28"/>
        <v>0</v>
      </c>
      <c r="N119" s="43">
        <f t="shared" si="29"/>
        <v>0</v>
      </c>
      <c r="O119" s="43">
        <f t="shared" si="30"/>
        <v>0</v>
      </c>
      <c r="P119" s="43">
        <f t="shared" si="25"/>
        <v>56985993</v>
      </c>
      <c r="Q119" s="100"/>
      <c r="R119" s="117"/>
    </row>
    <row r="120" spans="1:18" ht="31.5" hidden="1" customHeight="1" x14ac:dyDescent="0.25">
      <c r="A120" s="48" t="str">
        <f t="shared" si="14"/>
        <v>TL</v>
      </c>
      <c r="B120" s="32" t="s">
        <v>193</v>
      </c>
      <c r="C120" s="39" t="s">
        <v>160</v>
      </c>
      <c r="D120" s="13" t="s">
        <v>16</v>
      </c>
      <c r="E120" s="123">
        <v>322</v>
      </c>
      <c r="F120" s="123"/>
      <c r="G120" s="125"/>
      <c r="H120" s="125"/>
      <c r="I120" s="125">
        <f t="shared" si="26"/>
        <v>322</v>
      </c>
      <c r="J120" s="62">
        <f>'BIỂU HỢP ĐỒNG'!J109</f>
        <v>12936</v>
      </c>
      <c r="K120" s="43"/>
      <c r="L120" s="62">
        <f t="shared" si="27"/>
        <v>4165392</v>
      </c>
      <c r="M120" s="43">
        <f t="shared" si="28"/>
        <v>0</v>
      </c>
      <c r="N120" s="43">
        <f t="shared" si="29"/>
        <v>0</v>
      </c>
      <c r="O120" s="43">
        <f t="shared" si="30"/>
        <v>0</v>
      </c>
      <c r="P120" s="43">
        <f t="shared" si="25"/>
        <v>4165392</v>
      </c>
      <c r="Q120" s="100"/>
      <c r="R120" s="117"/>
    </row>
    <row r="121" spans="1:18" hidden="1" x14ac:dyDescent="0.25">
      <c r="A121" s="48" t="str">
        <f t="shared" si="14"/>
        <v>TL</v>
      </c>
      <c r="B121" s="32" t="s">
        <v>194</v>
      </c>
      <c r="C121" s="39" t="s">
        <v>195</v>
      </c>
      <c r="D121" s="13" t="s">
        <v>16</v>
      </c>
      <c r="E121" s="123">
        <v>2359.86</v>
      </c>
      <c r="F121" s="123"/>
      <c r="G121" s="125"/>
      <c r="H121" s="125"/>
      <c r="I121" s="125">
        <f t="shared" si="26"/>
        <v>2359.86</v>
      </c>
      <c r="J121" s="62">
        <f>'BIỂU HỢP ĐỒNG'!J110</f>
        <v>50585</v>
      </c>
      <c r="K121" s="43"/>
      <c r="L121" s="62">
        <f t="shared" si="27"/>
        <v>119373518</v>
      </c>
      <c r="M121" s="43">
        <f t="shared" si="28"/>
        <v>0</v>
      </c>
      <c r="N121" s="43">
        <f t="shared" si="29"/>
        <v>0</v>
      </c>
      <c r="O121" s="43">
        <f t="shared" si="30"/>
        <v>0</v>
      </c>
      <c r="P121" s="43">
        <f t="shared" si="25"/>
        <v>119373518</v>
      </c>
      <c r="Q121" s="100"/>
      <c r="R121" s="117"/>
    </row>
    <row r="122" spans="1:18" hidden="1" x14ac:dyDescent="0.25">
      <c r="A122" s="48" t="str">
        <f t="shared" si="14"/>
        <v>TL</v>
      </c>
      <c r="B122" s="32" t="s">
        <v>196</v>
      </c>
      <c r="C122" s="39" t="s">
        <v>32</v>
      </c>
      <c r="D122" s="13" t="s">
        <v>16</v>
      </c>
      <c r="E122" s="123">
        <v>440.27</v>
      </c>
      <c r="F122" s="123"/>
      <c r="G122" s="125"/>
      <c r="H122" s="125"/>
      <c r="I122" s="125">
        <f t="shared" si="26"/>
        <v>440.27</v>
      </c>
      <c r="J122" s="62">
        <f>'BIỂU HỢP ĐỒNG'!J111</f>
        <v>54405</v>
      </c>
      <c r="K122" s="43"/>
      <c r="L122" s="62">
        <f t="shared" si="27"/>
        <v>23952889</v>
      </c>
      <c r="M122" s="43">
        <f t="shared" si="28"/>
        <v>0</v>
      </c>
      <c r="N122" s="43">
        <f t="shared" si="29"/>
        <v>0</v>
      </c>
      <c r="O122" s="43">
        <f t="shared" si="30"/>
        <v>0</v>
      </c>
      <c r="P122" s="43">
        <f t="shared" si="25"/>
        <v>23952889</v>
      </c>
      <c r="Q122" s="100"/>
      <c r="R122" s="117"/>
    </row>
    <row r="123" spans="1:18" hidden="1" x14ac:dyDescent="0.25">
      <c r="A123" s="48" t="str">
        <f t="shared" si="14"/>
        <v>TL</v>
      </c>
      <c r="B123" s="32" t="s">
        <v>197</v>
      </c>
      <c r="C123" s="39" t="s">
        <v>36</v>
      </c>
      <c r="D123" s="13" t="s">
        <v>37</v>
      </c>
      <c r="E123" s="123">
        <v>280.01</v>
      </c>
      <c r="F123" s="123"/>
      <c r="G123" s="125"/>
      <c r="H123" s="125"/>
      <c r="I123" s="125">
        <f t="shared" si="26"/>
        <v>280.01</v>
      </c>
      <c r="J123" s="62">
        <f>'BIỂU HỢP ĐỒNG'!J112</f>
        <v>940826</v>
      </c>
      <c r="K123" s="43"/>
      <c r="L123" s="62">
        <f t="shared" si="27"/>
        <v>263440688</v>
      </c>
      <c r="M123" s="43">
        <f t="shared" si="28"/>
        <v>0</v>
      </c>
      <c r="N123" s="43">
        <f t="shared" si="29"/>
        <v>0</v>
      </c>
      <c r="O123" s="43">
        <f t="shared" si="30"/>
        <v>0</v>
      </c>
      <c r="P123" s="43">
        <f t="shared" si="25"/>
        <v>263440688</v>
      </c>
      <c r="Q123" s="100"/>
      <c r="R123" s="117"/>
    </row>
    <row r="124" spans="1:18" ht="47.25" hidden="1" customHeight="1" x14ac:dyDescent="0.25">
      <c r="A124" s="48" t="str">
        <f t="shared" si="14"/>
        <v>TL</v>
      </c>
      <c r="B124" s="32" t="s">
        <v>198</v>
      </c>
      <c r="C124" s="39" t="s">
        <v>94</v>
      </c>
      <c r="D124" s="13" t="s">
        <v>13</v>
      </c>
      <c r="E124" s="123">
        <v>229</v>
      </c>
      <c r="F124" s="123"/>
      <c r="G124" s="125"/>
      <c r="H124" s="125"/>
      <c r="I124" s="125">
        <f t="shared" si="26"/>
        <v>229</v>
      </c>
      <c r="J124" s="62">
        <f>'BIỂU HỢP ĐỒNG'!J113</f>
        <v>11015</v>
      </c>
      <c r="K124" s="43"/>
      <c r="L124" s="62">
        <f t="shared" si="27"/>
        <v>2522435</v>
      </c>
      <c r="M124" s="43">
        <f t="shared" si="28"/>
        <v>0</v>
      </c>
      <c r="N124" s="43">
        <f t="shared" si="29"/>
        <v>0</v>
      </c>
      <c r="O124" s="43">
        <f t="shared" si="30"/>
        <v>0</v>
      </c>
      <c r="P124" s="43">
        <f t="shared" si="25"/>
        <v>2522435</v>
      </c>
      <c r="Q124" s="100"/>
      <c r="R124" s="117"/>
    </row>
    <row r="125" spans="1:18" ht="47.25" hidden="1" customHeight="1" x14ac:dyDescent="0.25">
      <c r="A125" s="48" t="str">
        <f t="shared" si="14"/>
        <v>TL</v>
      </c>
      <c r="B125" s="32" t="s">
        <v>199</v>
      </c>
      <c r="C125" s="39" t="s">
        <v>200</v>
      </c>
      <c r="D125" s="13" t="s">
        <v>13</v>
      </c>
      <c r="E125" s="123">
        <v>126</v>
      </c>
      <c r="F125" s="123"/>
      <c r="G125" s="125"/>
      <c r="H125" s="125"/>
      <c r="I125" s="125">
        <f t="shared" si="26"/>
        <v>126</v>
      </c>
      <c r="J125" s="62">
        <f>'BIỂU HỢP ĐỒNG'!J114</f>
        <v>9552</v>
      </c>
      <c r="K125" s="43"/>
      <c r="L125" s="62">
        <f t="shared" si="27"/>
        <v>1203552</v>
      </c>
      <c r="M125" s="43">
        <f t="shared" si="28"/>
        <v>0</v>
      </c>
      <c r="N125" s="43">
        <f t="shared" si="29"/>
        <v>0</v>
      </c>
      <c r="O125" s="43">
        <f t="shared" si="30"/>
        <v>0</v>
      </c>
      <c r="P125" s="43">
        <f t="shared" si="25"/>
        <v>1203552</v>
      </c>
      <c r="Q125" s="100"/>
      <c r="R125" s="117"/>
    </row>
    <row r="126" spans="1:18" ht="31.5" hidden="1" customHeight="1" x14ac:dyDescent="0.25">
      <c r="A126" s="48" t="str">
        <f t="shared" si="14"/>
        <v>TL</v>
      </c>
      <c r="B126" s="32" t="s">
        <v>201</v>
      </c>
      <c r="C126" s="39" t="s">
        <v>96</v>
      </c>
      <c r="D126" s="13" t="s">
        <v>90</v>
      </c>
      <c r="E126" s="123">
        <v>47.57</v>
      </c>
      <c r="F126" s="123"/>
      <c r="G126" s="125"/>
      <c r="H126" s="125"/>
      <c r="I126" s="125">
        <f t="shared" si="26"/>
        <v>47.57</v>
      </c>
      <c r="J126" s="62">
        <f>'BIỂU HỢP ĐỒNG'!J115</f>
        <v>1646788</v>
      </c>
      <c r="K126" s="43"/>
      <c r="L126" s="62">
        <f t="shared" si="27"/>
        <v>78337705</v>
      </c>
      <c r="M126" s="43">
        <f t="shared" si="28"/>
        <v>0</v>
      </c>
      <c r="N126" s="43">
        <f t="shared" si="29"/>
        <v>0</v>
      </c>
      <c r="O126" s="43">
        <f t="shared" si="30"/>
        <v>0</v>
      </c>
      <c r="P126" s="43">
        <f t="shared" si="25"/>
        <v>78337705</v>
      </c>
      <c r="Q126" s="100"/>
      <c r="R126" s="117"/>
    </row>
    <row r="127" spans="1:18" ht="31.5" hidden="1" customHeight="1" x14ac:dyDescent="0.25">
      <c r="A127" s="48" t="str">
        <f t="shared" si="14"/>
        <v>TL</v>
      </c>
      <c r="B127" s="32" t="s">
        <v>202</v>
      </c>
      <c r="C127" s="39" t="s">
        <v>98</v>
      </c>
      <c r="D127" s="13" t="s">
        <v>99</v>
      </c>
      <c r="E127" s="123">
        <v>0.48</v>
      </c>
      <c r="F127" s="123"/>
      <c r="G127" s="125"/>
      <c r="H127" s="125"/>
      <c r="I127" s="125">
        <f t="shared" si="26"/>
        <v>0.48</v>
      </c>
      <c r="J127" s="62">
        <f>'BIỂU HỢP ĐỒNG'!J116</f>
        <v>8873277</v>
      </c>
      <c r="K127" s="43"/>
      <c r="L127" s="62">
        <f t="shared" si="27"/>
        <v>4259173</v>
      </c>
      <c r="M127" s="43">
        <f t="shared" si="28"/>
        <v>0</v>
      </c>
      <c r="N127" s="43">
        <f t="shared" si="29"/>
        <v>0</v>
      </c>
      <c r="O127" s="43">
        <f t="shared" si="30"/>
        <v>0</v>
      </c>
      <c r="P127" s="43">
        <f t="shared" si="25"/>
        <v>4259173</v>
      </c>
      <c r="Q127" s="100"/>
      <c r="R127" s="117"/>
    </row>
    <row r="128" spans="1:18" ht="31.5" hidden="1" customHeight="1" x14ac:dyDescent="0.25">
      <c r="A128" s="48" t="str">
        <f t="shared" si="14"/>
        <v>TL</v>
      </c>
      <c r="B128" s="32" t="s">
        <v>203</v>
      </c>
      <c r="C128" s="39" t="s">
        <v>110</v>
      </c>
      <c r="D128" s="13" t="s">
        <v>13</v>
      </c>
      <c r="E128" s="123">
        <v>229</v>
      </c>
      <c r="F128" s="123"/>
      <c r="G128" s="125"/>
      <c r="H128" s="125"/>
      <c r="I128" s="125">
        <f t="shared" si="26"/>
        <v>229</v>
      </c>
      <c r="J128" s="62">
        <f>'BIỂU HỢP ĐỒNG'!J117</f>
        <v>15319</v>
      </c>
      <c r="K128" s="43"/>
      <c r="L128" s="62">
        <f t="shared" si="27"/>
        <v>3508051</v>
      </c>
      <c r="M128" s="43">
        <f t="shared" si="28"/>
        <v>0</v>
      </c>
      <c r="N128" s="43">
        <f t="shared" si="29"/>
        <v>0</v>
      </c>
      <c r="O128" s="43">
        <f t="shared" si="30"/>
        <v>0</v>
      </c>
      <c r="P128" s="43">
        <f t="shared" si="25"/>
        <v>3508051</v>
      </c>
      <c r="Q128" s="100"/>
      <c r="R128" s="117"/>
    </row>
    <row r="129" spans="1:18" ht="47.25" hidden="1" customHeight="1" x14ac:dyDescent="0.25">
      <c r="A129" s="48" t="str">
        <f t="shared" si="14"/>
        <v>TL</v>
      </c>
      <c r="B129" s="32" t="s">
        <v>204</v>
      </c>
      <c r="C129" s="39" t="s">
        <v>94</v>
      </c>
      <c r="D129" s="13" t="s">
        <v>13</v>
      </c>
      <c r="E129" s="123">
        <v>343</v>
      </c>
      <c r="F129" s="123"/>
      <c r="G129" s="125"/>
      <c r="H129" s="125"/>
      <c r="I129" s="125">
        <f t="shared" si="26"/>
        <v>343</v>
      </c>
      <c r="J129" s="62">
        <f>'BIỂU HỢP ĐỒNG'!J118</f>
        <v>11015</v>
      </c>
      <c r="K129" s="43"/>
      <c r="L129" s="62">
        <f t="shared" si="27"/>
        <v>3778145</v>
      </c>
      <c r="M129" s="43">
        <f t="shared" si="28"/>
        <v>0</v>
      </c>
      <c r="N129" s="43">
        <f t="shared" si="29"/>
        <v>0</v>
      </c>
      <c r="O129" s="43">
        <f t="shared" si="30"/>
        <v>0</v>
      </c>
      <c r="P129" s="43">
        <f t="shared" si="25"/>
        <v>3778145</v>
      </c>
      <c r="Q129" s="100"/>
      <c r="R129" s="117"/>
    </row>
    <row r="130" spans="1:18" ht="31.5" hidden="1" customHeight="1" x14ac:dyDescent="0.25">
      <c r="A130" s="48" t="str">
        <f t="shared" si="14"/>
        <v>TL</v>
      </c>
      <c r="B130" s="32" t="s">
        <v>205</v>
      </c>
      <c r="C130" s="39" t="s">
        <v>96</v>
      </c>
      <c r="D130" s="13" t="s">
        <v>90</v>
      </c>
      <c r="E130" s="123">
        <v>48.84</v>
      </c>
      <c r="F130" s="123"/>
      <c r="G130" s="125"/>
      <c r="H130" s="125"/>
      <c r="I130" s="125">
        <f t="shared" si="26"/>
        <v>48.84</v>
      </c>
      <c r="J130" s="62">
        <f>'BIỂU HỢP ĐỒNG'!J119</f>
        <v>1646788</v>
      </c>
      <c r="K130" s="43"/>
      <c r="L130" s="62">
        <f t="shared" si="27"/>
        <v>80429126</v>
      </c>
      <c r="M130" s="43">
        <f t="shared" si="28"/>
        <v>0</v>
      </c>
      <c r="N130" s="43">
        <f t="shared" si="29"/>
        <v>0</v>
      </c>
      <c r="O130" s="43">
        <f t="shared" si="30"/>
        <v>0</v>
      </c>
      <c r="P130" s="43">
        <f t="shared" si="25"/>
        <v>80429126</v>
      </c>
      <c r="Q130" s="100"/>
      <c r="R130" s="117"/>
    </row>
    <row r="131" spans="1:18" ht="31.5" hidden="1" customHeight="1" x14ac:dyDescent="0.25">
      <c r="A131" s="48" t="str">
        <f t="shared" si="14"/>
        <v>TL</v>
      </c>
      <c r="B131" s="32" t="s">
        <v>206</v>
      </c>
      <c r="C131" s="39" t="s">
        <v>98</v>
      </c>
      <c r="D131" s="13" t="s">
        <v>99</v>
      </c>
      <c r="E131" s="123">
        <v>0.49</v>
      </c>
      <c r="F131" s="123"/>
      <c r="G131" s="125"/>
      <c r="H131" s="125"/>
      <c r="I131" s="125">
        <f t="shared" si="26"/>
        <v>0.49</v>
      </c>
      <c r="J131" s="62">
        <f>'BIỂU HỢP ĐỒNG'!J120</f>
        <v>8873277</v>
      </c>
      <c r="K131" s="43"/>
      <c r="L131" s="62">
        <f t="shared" si="27"/>
        <v>4347906</v>
      </c>
      <c r="M131" s="43">
        <f t="shared" si="28"/>
        <v>0</v>
      </c>
      <c r="N131" s="43">
        <f t="shared" si="29"/>
        <v>0</v>
      </c>
      <c r="O131" s="43">
        <f t="shared" si="30"/>
        <v>0</v>
      </c>
      <c r="P131" s="43">
        <f t="shared" si="25"/>
        <v>4347906</v>
      </c>
      <c r="Q131" s="100"/>
      <c r="R131" s="117"/>
    </row>
    <row r="132" spans="1:18" ht="31.5" hidden="1" customHeight="1" x14ac:dyDescent="0.25">
      <c r="A132" s="48" t="str">
        <f t="shared" si="14"/>
        <v>TL</v>
      </c>
      <c r="B132" s="32" t="s">
        <v>207</v>
      </c>
      <c r="C132" s="39" t="s">
        <v>208</v>
      </c>
      <c r="D132" s="13" t="s">
        <v>13</v>
      </c>
      <c r="E132" s="123">
        <v>343</v>
      </c>
      <c r="F132" s="123"/>
      <c r="G132" s="125"/>
      <c r="H132" s="125"/>
      <c r="I132" s="125">
        <f t="shared" si="26"/>
        <v>343</v>
      </c>
      <c r="J132" s="62">
        <f>'BIỂU HỢP ĐỒNG'!J121</f>
        <v>26753</v>
      </c>
      <c r="K132" s="43"/>
      <c r="L132" s="62">
        <f t="shared" si="27"/>
        <v>9176279</v>
      </c>
      <c r="M132" s="43">
        <f t="shared" si="28"/>
        <v>0</v>
      </c>
      <c r="N132" s="43">
        <f t="shared" si="29"/>
        <v>0</v>
      </c>
      <c r="O132" s="43">
        <f t="shared" si="30"/>
        <v>0</v>
      </c>
      <c r="P132" s="43">
        <f t="shared" si="25"/>
        <v>9176279</v>
      </c>
      <c r="Q132" s="100"/>
      <c r="R132" s="117"/>
    </row>
    <row r="133" spans="1:18" hidden="1" x14ac:dyDescent="0.25">
      <c r="A133" s="48" t="str">
        <f t="shared" si="14"/>
        <v>TL</v>
      </c>
      <c r="B133" s="32" t="s">
        <v>209</v>
      </c>
      <c r="C133" s="39" t="s">
        <v>210</v>
      </c>
      <c r="D133" s="13" t="s">
        <v>16</v>
      </c>
      <c r="E133" s="123">
        <v>40</v>
      </c>
      <c r="F133" s="123"/>
      <c r="G133" s="125"/>
      <c r="H133" s="125"/>
      <c r="I133" s="125">
        <f t="shared" si="26"/>
        <v>40</v>
      </c>
      <c r="J133" s="62">
        <f>'BIỂU HỢP ĐỒNG'!J122</f>
        <v>352760</v>
      </c>
      <c r="K133" s="43"/>
      <c r="L133" s="62">
        <f t="shared" si="27"/>
        <v>14110400</v>
      </c>
      <c r="M133" s="43">
        <f t="shared" si="28"/>
        <v>0</v>
      </c>
      <c r="N133" s="43">
        <f t="shared" si="29"/>
        <v>0</v>
      </c>
      <c r="O133" s="43">
        <f t="shared" si="30"/>
        <v>0</v>
      </c>
      <c r="P133" s="43">
        <f t="shared" si="25"/>
        <v>14110400</v>
      </c>
      <c r="Q133" s="100"/>
      <c r="R133" s="117"/>
    </row>
    <row r="134" spans="1:18" ht="47.25" hidden="1" customHeight="1" x14ac:dyDescent="0.25">
      <c r="A134" s="48" t="str">
        <f t="shared" si="14"/>
        <v>TL</v>
      </c>
      <c r="B134" s="32" t="s">
        <v>211</v>
      </c>
      <c r="C134" s="39" t="s">
        <v>94</v>
      </c>
      <c r="D134" s="13" t="s">
        <v>13</v>
      </c>
      <c r="E134" s="123">
        <v>1364</v>
      </c>
      <c r="F134" s="123"/>
      <c r="G134" s="125"/>
      <c r="H134" s="125"/>
      <c r="I134" s="125">
        <f t="shared" si="26"/>
        <v>1364</v>
      </c>
      <c r="J134" s="62">
        <f>'BIỂU HỢP ĐỒNG'!J123</f>
        <v>11015</v>
      </c>
      <c r="K134" s="43"/>
      <c r="L134" s="62">
        <f t="shared" si="27"/>
        <v>15024460</v>
      </c>
      <c r="M134" s="43">
        <f t="shared" si="28"/>
        <v>0</v>
      </c>
      <c r="N134" s="43">
        <f t="shared" si="29"/>
        <v>0</v>
      </c>
      <c r="O134" s="43">
        <f t="shared" si="30"/>
        <v>0</v>
      </c>
      <c r="P134" s="43">
        <f t="shared" si="25"/>
        <v>15024460</v>
      </c>
      <c r="Q134" s="100"/>
      <c r="R134" s="117"/>
    </row>
    <row r="135" spans="1:18" ht="31.5" hidden="1" customHeight="1" x14ac:dyDescent="0.25">
      <c r="A135" s="48" t="str">
        <f t="shared" ref="A135:A198" si="31">A134</f>
        <v>TL</v>
      </c>
      <c r="B135" s="32" t="s">
        <v>212</v>
      </c>
      <c r="C135" s="39" t="s">
        <v>96</v>
      </c>
      <c r="D135" s="13" t="s">
        <v>90</v>
      </c>
      <c r="E135" s="123">
        <v>194.23</v>
      </c>
      <c r="F135" s="123"/>
      <c r="G135" s="125"/>
      <c r="H135" s="125"/>
      <c r="I135" s="125">
        <f t="shared" si="26"/>
        <v>194.23</v>
      </c>
      <c r="J135" s="62">
        <f>'BIỂU HỢP ĐỒNG'!J124</f>
        <v>1646788</v>
      </c>
      <c r="K135" s="43"/>
      <c r="L135" s="62">
        <f t="shared" si="27"/>
        <v>319855633</v>
      </c>
      <c r="M135" s="43">
        <f t="shared" si="28"/>
        <v>0</v>
      </c>
      <c r="N135" s="43">
        <f t="shared" si="29"/>
        <v>0</v>
      </c>
      <c r="O135" s="43">
        <f t="shared" si="30"/>
        <v>0</v>
      </c>
      <c r="P135" s="43">
        <f t="shared" si="25"/>
        <v>319855633</v>
      </c>
      <c r="Q135" s="100"/>
      <c r="R135" s="117"/>
    </row>
    <row r="136" spans="1:18" ht="31.5" hidden="1" customHeight="1" x14ac:dyDescent="0.25">
      <c r="A136" s="48" t="str">
        <f t="shared" si="31"/>
        <v>TL</v>
      </c>
      <c r="B136" s="32" t="s">
        <v>213</v>
      </c>
      <c r="C136" s="39" t="s">
        <v>98</v>
      </c>
      <c r="D136" s="13" t="s">
        <v>99</v>
      </c>
      <c r="E136" s="123">
        <v>1.94</v>
      </c>
      <c r="F136" s="123"/>
      <c r="G136" s="125"/>
      <c r="H136" s="125"/>
      <c r="I136" s="125">
        <f t="shared" si="26"/>
        <v>1.94</v>
      </c>
      <c r="J136" s="62">
        <f>'BIỂU HỢP ĐỒNG'!J125</f>
        <v>8873277</v>
      </c>
      <c r="K136" s="43"/>
      <c r="L136" s="62">
        <f t="shared" si="27"/>
        <v>17214157</v>
      </c>
      <c r="M136" s="43">
        <f t="shared" si="28"/>
        <v>0</v>
      </c>
      <c r="N136" s="43">
        <f t="shared" si="29"/>
        <v>0</v>
      </c>
      <c r="O136" s="43">
        <f t="shared" si="30"/>
        <v>0</v>
      </c>
      <c r="P136" s="43">
        <f t="shared" si="25"/>
        <v>17214157</v>
      </c>
      <c r="Q136" s="100"/>
      <c r="R136" s="117"/>
    </row>
    <row r="137" spans="1:18" ht="31.5" hidden="1" customHeight="1" x14ac:dyDescent="0.25">
      <c r="A137" s="48" t="str">
        <f t="shared" si="31"/>
        <v>TL</v>
      </c>
      <c r="B137" s="32" t="s">
        <v>214</v>
      </c>
      <c r="C137" s="39" t="s">
        <v>208</v>
      </c>
      <c r="D137" s="13" t="s">
        <v>13</v>
      </c>
      <c r="E137" s="123">
        <v>1364</v>
      </c>
      <c r="F137" s="123"/>
      <c r="G137" s="125"/>
      <c r="H137" s="125"/>
      <c r="I137" s="125">
        <f t="shared" si="26"/>
        <v>1364</v>
      </c>
      <c r="J137" s="62">
        <f>'BIỂU HỢP ĐỒNG'!J126</f>
        <v>26753</v>
      </c>
      <c r="K137" s="43"/>
      <c r="L137" s="62">
        <f t="shared" si="27"/>
        <v>36491092</v>
      </c>
      <c r="M137" s="43">
        <f t="shared" si="28"/>
        <v>0</v>
      </c>
      <c r="N137" s="43">
        <f t="shared" si="29"/>
        <v>0</v>
      </c>
      <c r="O137" s="43">
        <f t="shared" si="30"/>
        <v>0</v>
      </c>
      <c r="P137" s="43">
        <f t="shared" si="25"/>
        <v>36491092</v>
      </c>
      <c r="Q137" s="100"/>
      <c r="R137" s="117"/>
    </row>
    <row r="138" spans="1:18" hidden="1" x14ac:dyDescent="0.25">
      <c r="A138" s="48" t="str">
        <f t="shared" si="31"/>
        <v>TL</v>
      </c>
      <c r="B138" s="32" t="s">
        <v>215</v>
      </c>
      <c r="C138" s="39" t="s">
        <v>210</v>
      </c>
      <c r="D138" s="13" t="s">
        <v>16</v>
      </c>
      <c r="E138" s="123">
        <v>204</v>
      </c>
      <c r="F138" s="123"/>
      <c r="G138" s="125"/>
      <c r="H138" s="125"/>
      <c r="I138" s="125">
        <f t="shared" si="26"/>
        <v>204</v>
      </c>
      <c r="J138" s="62">
        <f>'BIỂU HỢP ĐỒNG'!J127</f>
        <v>352760</v>
      </c>
      <c r="K138" s="43"/>
      <c r="L138" s="62">
        <f t="shared" si="27"/>
        <v>71963040</v>
      </c>
      <c r="M138" s="43">
        <f t="shared" si="28"/>
        <v>0</v>
      </c>
      <c r="N138" s="43">
        <f t="shared" si="29"/>
        <v>0</v>
      </c>
      <c r="O138" s="43">
        <f t="shared" si="30"/>
        <v>0</v>
      </c>
      <c r="P138" s="43">
        <f t="shared" si="25"/>
        <v>71963040</v>
      </c>
      <c r="Q138" s="100"/>
      <c r="R138" s="117"/>
    </row>
    <row r="139" spans="1:18" s="22" customFormat="1" ht="31.5" hidden="1" customHeight="1" x14ac:dyDescent="0.25">
      <c r="A139" s="48" t="str">
        <f t="shared" si="31"/>
        <v>TL</v>
      </c>
      <c r="B139" s="29">
        <v>4</v>
      </c>
      <c r="C139" s="12" t="s">
        <v>216</v>
      </c>
      <c r="D139" s="79"/>
      <c r="E139" s="123"/>
      <c r="F139" s="123"/>
      <c r="G139" s="125"/>
      <c r="H139" s="125"/>
      <c r="I139" s="125"/>
      <c r="J139" s="62"/>
      <c r="K139" s="43"/>
      <c r="L139" s="62"/>
      <c r="M139" s="43"/>
      <c r="N139" s="43"/>
      <c r="O139" s="43"/>
      <c r="P139" s="43">
        <f t="shared" si="25"/>
        <v>0</v>
      </c>
      <c r="Q139" s="100"/>
      <c r="R139" s="117"/>
    </row>
    <row r="140" spans="1:18" hidden="1" x14ac:dyDescent="0.25">
      <c r="A140" s="48" t="str">
        <f t="shared" si="31"/>
        <v>TL</v>
      </c>
      <c r="B140" s="32" t="s">
        <v>217</v>
      </c>
      <c r="C140" s="39" t="s">
        <v>218</v>
      </c>
      <c r="D140" s="13" t="s">
        <v>16</v>
      </c>
      <c r="E140" s="123">
        <v>2537.4499999999998</v>
      </c>
      <c r="F140" s="123"/>
      <c r="G140" s="125"/>
      <c r="H140" s="125"/>
      <c r="I140" s="125">
        <f t="shared" ref="I140:I171" si="32">SUM(E140:H140)</f>
        <v>2537.4499999999998</v>
      </c>
      <c r="J140" s="62">
        <f>'BIỂU HỢP ĐỒNG'!J129</f>
        <v>17057</v>
      </c>
      <c r="K140" s="43"/>
      <c r="L140" s="62">
        <f t="shared" ref="L140:L171" si="33">+ROUND(J140*E140,0)</f>
        <v>43281285</v>
      </c>
      <c r="M140" s="43">
        <f t="shared" ref="M140:M171" si="34">+ROUND(F140*J140,0)</f>
        <v>0</v>
      </c>
      <c r="N140" s="43">
        <f t="shared" ref="N140:N171" si="35">+ROUND(G140*J140,0)</f>
        <v>0</v>
      </c>
      <c r="O140" s="43">
        <f t="shared" ref="O140:O171" si="36">+ROUND(H140*J140,0)</f>
        <v>0</v>
      </c>
      <c r="P140" s="43">
        <f t="shared" si="25"/>
        <v>43281285</v>
      </c>
      <c r="Q140" s="100"/>
      <c r="R140" s="117"/>
    </row>
    <row r="141" spans="1:18" hidden="1" x14ac:dyDescent="0.25">
      <c r="A141" s="48" t="str">
        <f t="shared" si="31"/>
        <v>TL</v>
      </c>
      <c r="B141" s="32" t="s">
        <v>219</v>
      </c>
      <c r="C141" s="39" t="s">
        <v>220</v>
      </c>
      <c r="D141" s="13" t="s">
        <v>16</v>
      </c>
      <c r="E141" s="123">
        <v>1504.8</v>
      </c>
      <c r="F141" s="123"/>
      <c r="G141" s="125"/>
      <c r="H141" s="125"/>
      <c r="I141" s="125">
        <f t="shared" si="32"/>
        <v>1504.8</v>
      </c>
      <c r="J141" s="62">
        <f>'BIỂU HỢP ĐỒNG'!J130</f>
        <v>20867</v>
      </c>
      <c r="K141" s="43"/>
      <c r="L141" s="62">
        <f t="shared" si="33"/>
        <v>31400662</v>
      </c>
      <c r="M141" s="43">
        <f t="shared" si="34"/>
        <v>0</v>
      </c>
      <c r="N141" s="43">
        <f t="shared" si="35"/>
        <v>0</v>
      </c>
      <c r="O141" s="43">
        <f t="shared" si="36"/>
        <v>0</v>
      </c>
      <c r="P141" s="43">
        <f t="shared" si="25"/>
        <v>31400662</v>
      </c>
      <c r="Q141" s="100"/>
      <c r="R141" s="117"/>
    </row>
    <row r="142" spans="1:18" hidden="1" x14ac:dyDescent="0.25">
      <c r="A142" s="48" t="str">
        <f t="shared" si="31"/>
        <v>TL</v>
      </c>
      <c r="B142" s="32" t="s">
        <v>221</v>
      </c>
      <c r="C142" s="39" t="s">
        <v>222</v>
      </c>
      <c r="D142" s="13" t="s">
        <v>16</v>
      </c>
      <c r="E142" s="123">
        <v>284.01</v>
      </c>
      <c r="F142" s="123"/>
      <c r="G142" s="125"/>
      <c r="H142" s="125"/>
      <c r="I142" s="125">
        <f t="shared" si="32"/>
        <v>284.01</v>
      </c>
      <c r="J142" s="62">
        <f>'BIỂU HỢP ĐỒNG'!J131</f>
        <v>7229</v>
      </c>
      <c r="K142" s="43"/>
      <c r="L142" s="62">
        <f t="shared" si="33"/>
        <v>2053108</v>
      </c>
      <c r="M142" s="43">
        <f t="shared" si="34"/>
        <v>0</v>
      </c>
      <c r="N142" s="43">
        <f t="shared" si="35"/>
        <v>0</v>
      </c>
      <c r="O142" s="43">
        <f t="shared" si="36"/>
        <v>0</v>
      </c>
      <c r="P142" s="43">
        <f t="shared" si="25"/>
        <v>2053108</v>
      </c>
      <c r="Q142" s="100"/>
      <c r="R142" s="117"/>
    </row>
    <row r="143" spans="1:18" hidden="1" x14ac:dyDescent="0.25">
      <c r="A143" s="48" t="str">
        <f t="shared" si="31"/>
        <v>TL</v>
      </c>
      <c r="B143" s="32" t="s">
        <v>223</v>
      </c>
      <c r="C143" s="39" t="s">
        <v>224</v>
      </c>
      <c r="D143" s="13" t="s">
        <v>16</v>
      </c>
      <c r="E143" s="123">
        <v>2537.4499999999998</v>
      </c>
      <c r="F143" s="123"/>
      <c r="G143" s="125"/>
      <c r="H143" s="125"/>
      <c r="I143" s="125">
        <f t="shared" si="32"/>
        <v>2537.4499999999998</v>
      </c>
      <c r="J143" s="62">
        <f>'BIỂU HỢP ĐỒNG'!J132</f>
        <v>40424</v>
      </c>
      <c r="K143" s="43"/>
      <c r="L143" s="62">
        <f t="shared" si="33"/>
        <v>102573879</v>
      </c>
      <c r="M143" s="43">
        <f t="shared" si="34"/>
        <v>0</v>
      </c>
      <c r="N143" s="43">
        <f t="shared" si="35"/>
        <v>0</v>
      </c>
      <c r="O143" s="43">
        <f t="shared" si="36"/>
        <v>0</v>
      </c>
      <c r="P143" s="43">
        <f t="shared" si="25"/>
        <v>102573879</v>
      </c>
      <c r="Q143" s="100"/>
      <c r="R143" s="117"/>
    </row>
    <row r="144" spans="1:18" ht="31.5" hidden="1" customHeight="1" x14ac:dyDescent="0.25">
      <c r="A144" s="48" t="str">
        <f t="shared" si="31"/>
        <v>TL</v>
      </c>
      <c r="B144" s="32" t="s">
        <v>225</v>
      </c>
      <c r="C144" s="39" t="s">
        <v>226</v>
      </c>
      <c r="D144" s="13" t="s">
        <v>16</v>
      </c>
      <c r="E144" s="123">
        <v>1068.23</v>
      </c>
      <c r="F144" s="123"/>
      <c r="G144" s="125"/>
      <c r="H144" s="125"/>
      <c r="I144" s="125">
        <f t="shared" si="32"/>
        <v>1068.23</v>
      </c>
      <c r="J144" s="62">
        <f>'BIỂU HỢP ĐỒNG'!J133</f>
        <v>45382</v>
      </c>
      <c r="K144" s="43"/>
      <c r="L144" s="62">
        <f t="shared" si="33"/>
        <v>48478414</v>
      </c>
      <c r="M144" s="43">
        <f t="shared" si="34"/>
        <v>0</v>
      </c>
      <c r="N144" s="43">
        <f t="shared" si="35"/>
        <v>0</v>
      </c>
      <c r="O144" s="43">
        <f t="shared" si="36"/>
        <v>0</v>
      </c>
      <c r="P144" s="43">
        <f t="shared" si="25"/>
        <v>48478414</v>
      </c>
      <c r="Q144" s="100"/>
      <c r="R144" s="117"/>
    </row>
    <row r="145" spans="1:18" ht="31.5" hidden="1" customHeight="1" x14ac:dyDescent="0.25">
      <c r="A145" s="48" t="str">
        <f t="shared" si="31"/>
        <v>TL</v>
      </c>
      <c r="B145" s="32" t="s">
        <v>227</v>
      </c>
      <c r="C145" s="39" t="s">
        <v>228</v>
      </c>
      <c r="D145" s="13" t="s">
        <v>16</v>
      </c>
      <c r="E145" s="123">
        <v>3605.68</v>
      </c>
      <c r="F145" s="123"/>
      <c r="G145" s="125"/>
      <c r="H145" s="125"/>
      <c r="I145" s="125">
        <f t="shared" si="32"/>
        <v>3605.68</v>
      </c>
      <c r="J145" s="62">
        <f>'BIỂU HỢP ĐỒNG'!J134</f>
        <v>2096</v>
      </c>
      <c r="K145" s="43"/>
      <c r="L145" s="62">
        <f t="shared" si="33"/>
        <v>7557505</v>
      </c>
      <c r="M145" s="43">
        <f t="shared" si="34"/>
        <v>0</v>
      </c>
      <c r="N145" s="43">
        <f t="shared" si="35"/>
        <v>0</v>
      </c>
      <c r="O145" s="43">
        <f t="shared" si="36"/>
        <v>0</v>
      </c>
      <c r="P145" s="43">
        <f t="shared" si="25"/>
        <v>7557505</v>
      </c>
      <c r="Q145" s="100"/>
      <c r="R145" s="117"/>
    </row>
    <row r="146" spans="1:18" ht="31.5" hidden="1" customHeight="1" x14ac:dyDescent="0.25">
      <c r="A146" s="48" t="str">
        <f t="shared" si="31"/>
        <v>TL</v>
      </c>
      <c r="B146" s="32" t="s">
        <v>229</v>
      </c>
      <c r="C146" s="39" t="s">
        <v>230</v>
      </c>
      <c r="D146" s="13" t="s">
        <v>16</v>
      </c>
      <c r="E146" s="123">
        <v>87</v>
      </c>
      <c r="F146" s="123"/>
      <c r="G146" s="125"/>
      <c r="H146" s="125"/>
      <c r="I146" s="125">
        <f t="shared" si="32"/>
        <v>87</v>
      </c>
      <c r="J146" s="62">
        <f>'BIỂU HỢP ĐỒNG'!J135</f>
        <v>37000</v>
      </c>
      <c r="K146" s="43"/>
      <c r="L146" s="62">
        <f t="shared" si="33"/>
        <v>3219000</v>
      </c>
      <c r="M146" s="43">
        <f t="shared" si="34"/>
        <v>0</v>
      </c>
      <c r="N146" s="43">
        <f t="shared" si="35"/>
        <v>0</v>
      </c>
      <c r="O146" s="43">
        <f t="shared" si="36"/>
        <v>0</v>
      </c>
      <c r="P146" s="43">
        <f t="shared" si="25"/>
        <v>3219000</v>
      </c>
      <c r="Q146" s="100"/>
      <c r="R146" s="117"/>
    </row>
    <row r="147" spans="1:18" ht="31.5" hidden="1" customHeight="1" x14ac:dyDescent="0.25">
      <c r="A147" s="48" t="str">
        <f t="shared" si="31"/>
        <v>TL</v>
      </c>
      <c r="B147" s="32" t="s">
        <v>231</v>
      </c>
      <c r="C147" s="39" t="s">
        <v>232</v>
      </c>
      <c r="D147" s="13" t="s">
        <v>16</v>
      </c>
      <c r="E147" s="123">
        <v>1518.07</v>
      </c>
      <c r="F147" s="123"/>
      <c r="G147" s="125"/>
      <c r="H147" s="125"/>
      <c r="I147" s="125">
        <f t="shared" si="32"/>
        <v>1518.07</v>
      </c>
      <c r="J147" s="62">
        <f>'BIỂU HỢP ĐỒNG'!J136</f>
        <v>350264</v>
      </c>
      <c r="K147" s="43"/>
      <c r="L147" s="62">
        <f t="shared" si="33"/>
        <v>531725270</v>
      </c>
      <c r="M147" s="43">
        <f t="shared" si="34"/>
        <v>0</v>
      </c>
      <c r="N147" s="43">
        <f t="shared" si="35"/>
        <v>0</v>
      </c>
      <c r="O147" s="43">
        <f t="shared" si="36"/>
        <v>0</v>
      </c>
      <c r="P147" s="43">
        <f t="shared" si="25"/>
        <v>531725270</v>
      </c>
      <c r="Q147" s="100"/>
      <c r="R147" s="117"/>
    </row>
    <row r="148" spans="1:18" ht="31.5" hidden="1" customHeight="1" x14ac:dyDescent="0.25">
      <c r="A148" s="48" t="str">
        <f t="shared" si="31"/>
        <v>TL</v>
      </c>
      <c r="B148" s="32" t="s">
        <v>233</v>
      </c>
      <c r="C148" s="39" t="s">
        <v>160</v>
      </c>
      <c r="D148" s="13" t="s">
        <v>16</v>
      </c>
      <c r="E148" s="123">
        <v>3114.15</v>
      </c>
      <c r="F148" s="123"/>
      <c r="G148" s="125"/>
      <c r="H148" s="125"/>
      <c r="I148" s="125">
        <f t="shared" si="32"/>
        <v>3114.15</v>
      </c>
      <c r="J148" s="62">
        <f>'BIỂU HỢP ĐỒNG'!J137</f>
        <v>12936</v>
      </c>
      <c r="K148" s="43"/>
      <c r="L148" s="62">
        <f t="shared" si="33"/>
        <v>40284644</v>
      </c>
      <c r="M148" s="43">
        <f t="shared" si="34"/>
        <v>0</v>
      </c>
      <c r="N148" s="43">
        <f t="shared" si="35"/>
        <v>0</v>
      </c>
      <c r="O148" s="43">
        <f t="shared" si="36"/>
        <v>0</v>
      </c>
      <c r="P148" s="43">
        <f t="shared" si="25"/>
        <v>40284644</v>
      </c>
      <c r="Q148" s="100"/>
      <c r="R148" s="117"/>
    </row>
    <row r="149" spans="1:18" hidden="1" x14ac:dyDescent="0.25">
      <c r="A149" s="48" t="str">
        <f t="shared" si="31"/>
        <v>TL</v>
      </c>
      <c r="B149" s="32" t="s">
        <v>234</v>
      </c>
      <c r="C149" s="39" t="s">
        <v>32</v>
      </c>
      <c r="D149" s="13" t="s">
        <v>16</v>
      </c>
      <c r="E149" s="123">
        <v>4257.9799999999996</v>
      </c>
      <c r="F149" s="123"/>
      <c r="G149" s="125"/>
      <c r="H149" s="125"/>
      <c r="I149" s="125">
        <f t="shared" si="32"/>
        <v>4257.9799999999996</v>
      </c>
      <c r="J149" s="62">
        <f>'BIỂU HỢP ĐỒNG'!J138</f>
        <v>50585</v>
      </c>
      <c r="K149" s="43"/>
      <c r="L149" s="62">
        <f t="shared" si="33"/>
        <v>215389918</v>
      </c>
      <c r="M149" s="43">
        <f t="shared" si="34"/>
        <v>0</v>
      </c>
      <c r="N149" s="43">
        <f t="shared" si="35"/>
        <v>0</v>
      </c>
      <c r="O149" s="43">
        <f t="shared" si="36"/>
        <v>0</v>
      </c>
      <c r="P149" s="43">
        <f t="shared" si="25"/>
        <v>215389918</v>
      </c>
      <c r="Q149" s="100"/>
      <c r="R149" s="117"/>
    </row>
    <row r="150" spans="1:18" hidden="1" x14ac:dyDescent="0.25">
      <c r="A150" s="48" t="str">
        <f t="shared" si="31"/>
        <v>TL</v>
      </c>
      <c r="B150" s="32" t="s">
        <v>235</v>
      </c>
      <c r="C150" s="39" t="s">
        <v>36</v>
      </c>
      <c r="D150" s="13" t="s">
        <v>37</v>
      </c>
      <c r="E150" s="123">
        <v>425.8</v>
      </c>
      <c r="F150" s="123"/>
      <c r="G150" s="125"/>
      <c r="H150" s="125"/>
      <c r="I150" s="125">
        <f t="shared" si="32"/>
        <v>425.8</v>
      </c>
      <c r="J150" s="62">
        <f>'BIỂU HỢP ĐỒNG'!J139</f>
        <v>940826</v>
      </c>
      <c r="K150" s="43"/>
      <c r="L150" s="62">
        <f t="shared" si="33"/>
        <v>400603711</v>
      </c>
      <c r="M150" s="43">
        <f t="shared" si="34"/>
        <v>0</v>
      </c>
      <c r="N150" s="43">
        <f t="shared" si="35"/>
        <v>0</v>
      </c>
      <c r="O150" s="43">
        <f t="shared" si="36"/>
        <v>0</v>
      </c>
      <c r="P150" s="43">
        <f t="shared" si="25"/>
        <v>400603711</v>
      </c>
      <c r="Q150" s="100"/>
      <c r="R150" s="117"/>
    </row>
    <row r="151" spans="1:18" ht="31.5" hidden="1" customHeight="1" x14ac:dyDescent="0.25">
      <c r="A151" s="48" t="str">
        <f t="shared" si="31"/>
        <v>TL</v>
      </c>
      <c r="B151" s="32" t="s">
        <v>236</v>
      </c>
      <c r="C151" s="39" t="s">
        <v>237</v>
      </c>
      <c r="D151" s="13" t="s">
        <v>16</v>
      </c>
      <c r="E151" s="123">
        <v>429.6</v>
      </c>
      <c r="F151" s="123">
        <f>'[4]PHỤ LỤC GIÁ HỢP ĐỒNG'!$K$178</f>
        <v>14.769599999999969</v>
      </c>
      <c r="G151" s="125"/>
      <c r="H151" s="125"/>
      <c r="I151" s="125">
        <f t="shared" si="32"/>
        <v>444.36959999999999</v>
      </c>
      <c r="J151" s="62">
        <f>'BIỂU HỢP ĐỒNG'!J140</f>
        <v>1561916</v>
      </c>
      <c r="K151" s="43"/>
      <c r="L151" s="62">
        <f t="shared" si="33"/>
        <v>670999114</v>
      </c>
      <c r="M151" s="43">
        <f t="shared" si="34"/>
        <v>23068875</v>
      </c>
      <c r="N151" s="43">
        <f t="shared" si="35"/>
        <v>0</v>
      </c>
      <c r="O151" s="43">
        <f t="shared" si="36"/>
        <v>0</v>
      </c>
      <c r="P151" s="43">
        <f t="shared" si="25"/>
        <v>694067989</v>
      </c>
      <c r="Q151" s="100"/>
      <c r="R151" s="117"/>
    </row>
    <row r="152" spans="1:18" hidden="1" x14ac:dyDescent="0.25">
      <c r="A152" s="48" t="str">
        <f t="shared" si="31"/>
        <v>TL</v>
      </c>
      <c r="B152" s="32" t="s">
        <v>238</v>
      </c>
      <c r="C152" s="39" t="s">
        <v>125</v>
      </c>
      <c r="D152" s="13" t="s">
        <v>13</v>
      </c>
      <c r="E152" s="123">
        <v>4060.2</v>
      </c>
      <c r="F152" s="123">
        <f>'[4]PHỤ LỤC GIÁ HỢP ĐỒNG'!$K$179</f>
        <v>139.58720000000085</v>
      </c>
      <c r="G152" s="125"/>
      <c r="H152" s="125"/>
      <c r="I152" s="125">
        <f t="shared" si="32"/>
        <v>4199.7872000000007</v>
      </c>
      <c r="J152" s="62">
        <f>'BIỂU HỢP ĐỒNG'!J141</f>
        <v>104798</v>
      </c>
      <c r="K152" s="43"/>
      <c r="L152" s="62">
        <f t="shared" si="33"/>
        <v>425500840</v>
      </c>
      <c r="M152" s="43">
        <f t="shared" si="34"/>
        <v>14628459</v>
      </c>
      <c r="N152" s="43">
        <f t="shared" si="35"/>
        <v>0</v>
      </c>
      <c r="O152" s="43">
        <f t="shared" si="36"/>
        <v>0</v>
      </c>
      <c r="P152" s="43">
        <f t="shared" si="25"/>
        <v>440129299</v>
      </c>
      <c r="Q152" s="100"/>
      <c r="R152" s="117"/>
    </row>
    <row r="153" spans="1:18" ht="31.5" hidden="1" customHeight="1" x14ac:dyDescent="0.25">
      <c r="A153" s="48" t="str">
        <f t="shared" si="31"/>
        <v>TL</v>
      </c>
      <c r="B153" s="32" t="s">
        <v>239</v>
      </c>
      <c r="C153" s="39" t="s">
        <v>240</v>
      </c>
      <c r="D153" s="13" t="s">
        <v>16</v>
      </c>
      <c r="E153" s="123">
        <v>101.1</v>
      </c>
      <c r="F153" s="123">
        <f>'[4]PHỤ LỤC GIÁ HỢP ĐỒNG'!$K$180</f>
        <v>3.475200000000001</v>
      </c>
      <c r="G153" s="125"/>
      <c r="H153" s="125"/>
      <c r="I153" s="125">
        <f t="shared" si="32"/>
        <v>104.5752</v>
      </c>
      <c r="J153" s="62">
        <f>'BIỂU HỢP ĐỒNG'!J142</f>
        <v>842139</v>
      </c>
      <c r="K153" s="43"/>
      <c r="L153" s="62">
        <f t="shared" si="33"/>
        <v>85140253</v>
      </c>
      <c r="M153" s="43">
        <f t="shared" si="34"/>
        <v>2926601</v>
      </c>
      <c r="N153" s="43">
        <f t="shared" si="35"/>
        <v>0</v>
      </c>
      <c r="O153" s="43">
        <f t="shared" si="36"/>
        <v>0</v>
      </c>
      <c r="P153" s="43">
        <f t="shared" si="25"/>
        <v>88066854</v>
      </c>
      <c r="Q153" s="100"/>
      <c r="R153" s="117"/>
    </row>
    <row r="154" spans="1:18" hidden="1" x14ac:dyDescent="0.25">
      <c r="A154" s="48" t="str">
        <f t="shared" si="31"/>
        <v>TL</v>
      </c>
      <c r="B154" s="32" t="s">
        <v>241</v>
      </c>
      <c r="C154" s="39" t="s">
        <v>242</v>
      </c>
      <c r="D154" s="13" t="s">
        <v>16</v>
      </c>
      <c r="E154" s="123">
        <v>93.1</v>
      </c>
      <c r="F154" s="123">
        <f>'[4]PHỤ LỤC GIÁ HỢP ĐỒNG'!$K$182</f>
        <v>3.1899999999999977</v>
      </c>
      <c r="G154" s="125"/>
      <c r="H154" s="125"/>
      <c r="I154" s="125">
        <f t="shared" si="32"/>
        <v>96.289999999999992</v>
      </c>
      <c r="J154" s="62">
        <f>'BIỂU HỢP ĐỒNG'!J143</f>
        <v>1631803</v>
      </c>
      <c r="K154" s="43"/>
      <c r="L154" s="62">
        <f t="shared" si="33"/>
        <v>151920859</v>
      </c>
      <c r="M154" s="43">
        <f t="shared" si="34"/>
        <v>5205452</v>
      </c>
      <c r="N154" s="43">
        <f t="shared" si="35"/>
        <v>0</v>
      </c>
      <c r="O154" s="43">
        <f t="shared" si="36"/>
        <v>0</v>
      </c>
      <c r="P154" s="43">
        <f t="shared" si="25"/>
        <v>157126311</v>
      </c>
      <c r="Q154" s="100"/>
      <c r="R154" s="117"/>
    </row>
    <row r="155" spans="1:18" ht="31.5" hidden="1" customHeight="1" x14ac:dyDescent="0.25">
      <c r="A155" s="48" t="str">
        <f t="shared" si="31"/>
        <v>TL</v>
      </c>
      <c r="B155" s="32" t="s">
        <v>243</v>
      </c>
      <c r="C155" s="39" t="s">
        <v>244</v>
      </c>
      <c r="D155" s="13" t="s">
        <v>13</v>
      </c>
      <c r="E155" s="123">
        <v>448.4</v>
      </c>
      <c r="F155" s="123">
        <f>'[4]PHỤ LỤC GIÁ HỢP ĐỒNG'!$K$183</f>
        <v>15.370000000000005</v>
      </c>
      <c r="G155" s="125"/>
      <c r="H155" s="125"/>
      <c r="I155" s="125">
        <f t="shared" si="32"/>
        <v>463.77</v>
      </c>
      <c r="J155" s="62">
        <f>'BIỂU HỢP ĐỒNG'!J144</f>
        <v>87361</v>
      </c>
      <c r="K155" s="43"/>
      <c r="L155" s="62">
        <f t="shared" si="33"/>
        <v>39172672</v>
      </c>
      <c r="M155" s="43">
        <f t="shared" si="34"/>
        <v>1342739</v>
      </c>
      <c r="N155" s="43">
        <f t="shared" si="35"/>
        <v>0</v>
      </c>
      <c r="O155" s="43">
        <f t="shared" si="36"/>
        <v>0</v>
      </c>
      <c r="P155" s="43">
        <f t="shared" si="25"/>
        <v>40515411</v>
      </c>
      <c r="Q155" s="100"/>
      <c r="R155" s="117"/>
    </row>
    <row r="156" spans="1:18" ht="31.5" hidden="1" customHeight="1" x14ac:dyDescent="0.25">
      <c r="A156" s="48" t="str">
        <f t="shared" si="31"/>
        <v>TL</v>
      </c>
      <c r="B156" s="32" t="s">
        <v>245</v>
      </c>
      <c r="C156" s="39" t="s">
        <v>246</v>
      </c>
      <c r="D156" s="13" t="s">
        <v>90</v>
      </c>
      <c r="E156" s="123">
        <v>1.8</v>
      </c>
      <c r="F156" s="123">
        <f>'[4]PHỤ LỤC GIÁ HỢP ĐỒNG'!$K$184</f>
        <v>6.0319999999999929E-2</v>
      </c>
      <c r="G156" s="125"/>
      <c r="H156" s="125"/>
      <c r="I156" s="125">
        <f t="shared" si="32"/>
        <v>1.86032</v>
      </c>
      <c r="J156" s="62">
        <f>'BIỂU HỢP ĐỒNG'!J145</f>
        <v>27096238</v>
      </c>
      <c r="K156" s="43"/>
      <c r="L156" s="62">
        <f t="shared" si="33"/>
        <v>48773228</v>
      </c>
      <c r="M156" s="43">
        <f t="shared" si="34"/>
        <v>1634445</v>
      </c>
      <c r="N156" s="43">
        <f t="shared" si="35"/>
        <v>0</v>
      </c>
      <c r="O156" s="43">
        <f t="shared" si="36"/>
        <v>0</v>
      </c>
      <c r="P156" s="43">
        <f t="shared" si="25"/>
        <v>50407673</v>
      </c>
      <c r="Q156" s="100"/>
      <c r="R156" s="117"/>
    </row>
    <row r="157" spans="1:18" ht="31.5" hidden="1" customHeight="1" x14ac:dyDescent="0.25">
      <c r="A157" s="48" t="str">
        <f t="shared" si="31"/>
        <v>TL</v>
      </c>
      <c r="B157" s="32" t="s">
        <v>247</v>
      </c>
      <c r="C157" s="39" t="s">
        <v>246</v>
      </c>
      <c r="D157" s="13" t="s">
        <v>90</v>
      </c>
      <c r="E157" s="123">
        <v>18.2</v>
      </c>
      <c r="F157" s="123">
        <f>'[4]PHỤ LỤC GIÁ HỢP ĐỒNG'!$K$185</f>
        <v>0.62379000000000318</v>
      </c>
      <c r="G157" s="125"/>
      <c r="H157" s="125"/>
      <c r="I157" s="125">
        <f t="shared" si="32"/>
        <v>18.823790000000002</v>
      </c>
      <c r="J157" s="62">
        <f>'BIỂU HỢP ĐỒNG'!J146</f>
        <v>27096238</v>
      </c>
      <c r="K157" s="43"/>
      <c r="L157" s="62">
        <f t="shared" si="33"/>
        <v>493151532</v>
      </c>
      <c r="M157" s="43">
        <f t="shared" si="34"/>
        <v>16902362</v>
      </c>
      <c r="N157" s="43">
        <f t="shared" si="35"/>
        <v>0</v>
      </c>
      <c r="O157" s="43">
        <f t="shared" si="36"/>
        <v>0</v>
      </c>
      <c r="P157" s="43">
        <f t="shared" si="25"/>
        <v>510053894</v>
      </c>
      <c r="Q157" s="100"/>
      <c r="R157" s="117"/>
    </row>
    <row r="158" spans="1:18" ht="47.25" hidden="1" customHeight="1" x14ac:dyDescent="0.25">
      <c r="A158" s="48" t="str">
        <f t="shared" si="31"/>
        <v>TL</v>
      </c>
      <c r="B158" s="32" t="s">
        <v>248</v>
      </c>
      <c r="C158" s="39" t="s">
        <v>249</v>
      </c>
      <c r="D158" s="13" t="s">
        <v>250</v>
      </c>
      <c r="E158" s="123">
        <v>846</v>
      </c>
      <c r="F158" s="123">
        <f>'[4]PHỤ LỤC GIÁ HỢP ĐỒNG'!$K$186</f>
        <v>28.960000000000036</v>
      </c>
      <c r="G158" s="125"/>
      <c r="H158" s="125"/>
      <c r="I158" s="125">
        <f t="shared" si="32"/>
        <v>874.96</v>
      </c>
      <c r="J158" s="62">
        <f>'BIỂU HỢP ĐỒNG'!J147</f>
        <v>52812</v>
      </c>
      <c r="K158" s="43"/>
      <c r="L158" s="62">
        <f t="shared" si="33"/>
        <v>44678952</v>
      </c>
      <c r="M158" s="43">
        <f t="shared" si="34"/>
        <v>1529436</v>
      </c>
      <c r="N158" s="43">
        <f t="shared" si="35"/>
        <v>0</v>
      </c>
      <c r="O158" s="43">
        <f t="shared" si="36"/>
        <v>0</v>
      </c>
      <c r="P158" s="43">
        <f t="shared" si="25"/>
        <v>46208388</v>
      </c>
      <c r="Q158" s="100"/>
      <c r="R158" s="117"/>
    </row>
    <row r="159" spans="1:18" ht="47.25" hidden="1" customHeight="1" x14ac:dyDescent="0.25">
      <c r="A159" s="48" t="str">
        <f t="shared" si="31"/>
        <v>TL</v>
      </c>
      <c r="B159" s="32" t="s">
        <v>251</v>
      </c>
      <c r="C159" s="39" t="s">
        <v>252</v>
      </c>
      <c r="D159" s="13" t="s">
        <v>253</v>
      </c>
      <c r="E159" s="123">
        <v>23.3</v>
      </c>
      <c r="F159" s="123">
        <f>'[4]PHỤ LỤC GIÁ HỢP ĐỒNG'!$K$187</f>
        <v>0.79749999999999943</v>
      </c>
      <c r="G159" s="125"/>
      <c r="H159" s="125"/>
      <c r="I159" s="125">
        <f t="shared" si="32"/>
        <v>24.0975</v>
      </c>
      <c r="J159" s="62">
        <f>'BIỂU HỢP ĐỒNG'!J148</f>
        <v>32162</v>
      </c>
      <c r="K159" s="43"/>
      <c r="L159" s="62">
        <f t="shared" si="33"/>
        <v>749375</v>
      </c>
      <c r="M159" s="43">
        <f t="shared" si="34"/>
        <v>25649</v>
      </c>
      <c r="N159" s="43">
        <f t="shared" si="35"/>
        <v>0</v>
      </c>
      <c r="O159" s="43">
        <f t="shared" si="36"/>
        <v>0</v>
      </c>
      <c r="P159" s="43">
        <f t="shared" si="25"/>
        <v>775024</v>
      </c>
      <c r="Q159" s="100"/>
      <c r="R159" s="117"/>
    </row>
    <row r="160" spans="1:18" ht="47.25" hidden="1" customHeight="1" x14ac:dyDescent="0.25">
      <c r="A160" s="48" t="str">
        <f t="shared" si="31"/>
        <v>TL</v>
      </c>
      <c r="B160" s="32" t="s">
        <v>254</v>
      </c>
      <c r="C160" s="39" t="s">
        <v>255</v>
      </c>
      <c r="D160" s="13" t="s">
        <v>250</v>
      </c>
      <c r="E160" s="123">
        <v>846</v>
      </c>
      <c r="F160" s="123">
        <f>'[4]PHỤ LỤC GIÁ HỢP ĐỒNG'!$K$188</f>
        <v>28.960000000000036</v>
      </c>
      <c r="G160" s="125"/>
      <c r="H160" s="125"/>
      <c r="I160" s="125">
        <f t="shared" si="32"/>
        <v>874.96</v>
      </c>
      <c r="J160" s="62">
        <f>'BIỂU HỢP ĐỒNG'!J149</f>
        <v>42761</v>
      </c>
      <c r="K160" s="43"/>
      <c r="L160" s="62">
        <f t="shared" si="33"/>
        <v>36175806</v>
      </c>
      <c r="M160" s="43">
        <f t="shared" si="34"/>
        <v>1238359</v>
      </c>
      <c r="N160" s="43">
        <f t="shared" si="35"/>
        <v>0</v>
      </c>
      <c r="O160" s="43">
        <f t="shared" si="36"/>
        <v>0</v>
      </c>
      <c r="P160" s="43">
        <f t="shared" si="25"/>
        <v>37414165</v>
      </c>
      <c r="Q160" s="100"/>
      <c r="R160" s="117"/>
    </row>
    <row r="161" spans="1:18" ht="31.5" hidden="1" customHeight="1" x14ac:dyDescent="0.25">
      <c r="A161" s="48" t="str">
        <f t="shared" si="31"/>
        <v>TL</v>
      </c>
      <c r="B161" s="32" t="s">
        <v>256</v>
      </c>
      <c r="C161" s="39" t="s">
        <v>257</v>
      </c>
      <c r="D161" s="13" t="s">
        <v>258</v>
      </c>
      <c r="E161" s="123">
        <v>846</v>
      </c>
      <c r="F161" s="123">
        <f>'[4]PHỤ LỤC GIÁ HỢP ĐỒNG'!$K$189</f>
        <v>28.960000000000036</v>
      </c>
      <c r="G161" s="125"/>
      <c r="H161" s="125"/>
      <c r="I161" s="125">
        <f t="shared" si="32"/>
        <v>874.96</v>
      </c>
      <c r="J161" s="62">
        <f>'BIỂU HỢP ĐỒNG'!J150</f>
        <v>294187</v>
      </c>
      <c r="K161" s="43"/>
      <c r="L161" s="62">
        <f t="shared" si="33"/>
        <v>248882202</v>
      </c>
      <c r="M161" s="43">
        <f t="shared" si="34"/>
        <v>8519656</v>
      </c>
      <c r="N161" s="43">
        <f t="shared" si="35"/>
        <v>0</v>
      </c>
      <c r="O161" s="43">
        <f t="shared" si="36"/>
        <v>0</v>
      </c>
      <c r="P161" s="43">
        <f t="shared" si="25"/>
        <v>257401858</v>
      </c>
      <c r="Q161" s="100"/>
      <c r="R161" s="117"/>
    </row>
    <row r="162" spans="1:18" ht="47.25" hidden="1" customHeight="1" x14ac:dyDescent="0.25">
      <c r="A162" s="48" t="str">
        <f t="shared" si="31"/>
        <v>TL</v>
      </c>
      <c r="B162" s="32" t="s">
        <v>259</v>
      </c>
      <c r="C162" s="39" t="s">
        <v>120</v>
      </c>
      <c r="D162" s="13" t="s">
        <v>16</v>
      </c>
      <c r="E162" s="123">
        <v>16.8</v>
      </c>
      <c r="F162" s="123"/>
      <c r="G162" s="125"/>
      <c r="H162" s="125"/>
      <c r="I162" s="125">
        <f t="shared" si="32"/>
        <v>16.8</v>
      </c>
      <c r="J162" s="62">
        <f>'BIỂU HỢP ĐỒNG'!J151</f>
        <v>1191268</v>
      </c>
      <c r="K162" s="43"/>
      <c r="L162" s="62">
        <f t="shared" si="33"/>
        <v>20013302</v>
      </c>
      <c r="M162" s="43">
        <f t="shared" si="34"/>
        <v>0</v>
      </c>
      <c r="N162" s="43">
        <f t="shared" si="35"/>
        <v>0</v>
      </c>
      <c r="O162" s="43">
        <f t="shared" si="36"/>
        <v>0</v>
      </c>
      <c r="P162" s="43">
        <f t="shared" si="25"/>
        <v>20013302</v>
      </c>
      <c r="Q162" s="100"/>
      <c r="R162" s="117"/>
    </row>
    <row r="163" spans="1:18" ht="47.25" hidden="1" customHeight="1" x14ac:dyDescent="0.25">
      <c r="A163" s="48" t="str">
        <f t="shared" si="31"/>
        <v>TL</v>
      </c>
      <c r="B163" s="32" t="s">
        <v>260</v>
      </c>
      <c r="C163" s="39" t="s">
        <v>261</v>
      </c>
      <c r="D163" s="13" t="s">
        <v>16</v>
      </c>
      <c r="E163" s="123">
        <v>7.23</v>
      </c>
      <c r="F163" s="123"/>
      <c r="G163" s="125"/>
      <c r="H163" s="125"/>
      <c r="I163" s="125">
        <f t="shared" si="32"/>
        <v>7.23</v>
      </c>
      <c r="J163" s="62">
        <f>'BIỂU HỢP ĐỒNG'!J152</f>
        <v>1561916</v>
      </c>
      <c r="K163" s="43"/>
      <c r="L163" s="62">
        <f t="shared" si="33"/>
        <v>11292653</v>
      </c>
      <c r="M163" s="43">
        <f t="shared" si="34"/>
        <v>0</v>
      </c>
      <c r="N163" s="43">
        <f t="shared" si="35"/>
        <v>0</v>
      </c>
      <c r="O163" s="43">
        <f t="shared" si="36"/>
        <v>0</v>
      </c>
      <c r="P163" s="43">
        <f t="shared" si="25"/>
        <v>11292653</v>
      </c>
      <c r="Q163" s="100"/>
      <c r="R163" s="117"/>
    </row>
    <row r="164" spans="1:18" hidden="1" x14ac:dyDescent="0.25">
      <c r="A164" s="48" t="str">
        <f t="shared" si="31"/>
        <v>TL</v>
      </c>
      <c r="B164" s="32" t="s">
        <v>262</v>
      </c>
      <c r="C164" s="39" t="s">
        <v>125</v>
      </c>
      <c r="D164" s="13" t="s">
        <v>13</v>
      </c>
      <c r="E164" s="123">
        <v>33.450000000000003</v>
      </c>
      <c r="F164" s="123"/>
      <c r="G164" s="125"/>
      <c r="H164" s="125"/>
      <c r="I164" s="125">
        <f t="shared" si="32"/>
        <v>33.450000000000003</v>
      </c>
      <c r="J164" s="62">
        <f>'BIỂU HỢP ĐỒNG'!J153</f>
        <v>104798</v>
      </c>
      <c r="K164" s="43"/>
      <c r="L164" s="62">
        <f t="shared" si="33"/>
        <v>3505493</v>
      </c>
      <c r="M164" s="43">
        <f t="shared" si="34"/>
        <v>0</v>
      </c>
      <c r="N164" s="43">
        <f t="shared" si="35"/>
        <v>0</v>
      </c>
      <c r="O164" s="43">
        <f t="shared" si="36"/>
        <v>0</v>
      </c>
      <c r="P164" s="43">
        <f t="shared" si="25"/>
        <v>3505493</v>
      </c>
      <c r="Q164" s="100"/>
      <c r="R164" s="117"/>
    </row>
    <row r="165" spans="1:18" ht="31.5" hidden="1" customHeight="1" x14ac:dyDescent="0.25">
      <c r="A165" s="48" t="str">
        <f t="shared" si="31"/>
        <v>TL</v>
      </c>
      <c r="B165" s="32" t="s">
        <v>263</v>
      </c>
      <c r="C165" s="39" t="s">
        <v>240</v>
      </c>
      <c r="D165" s="13" t="s">
        <v>16</v>
      </c>
      <c r="E165" s="123">
        <v>8.4</v>
      </c>
      <c r="F165" s="123"/>
      <c r="G165" s="125"/>
      <c r="H165" s="125"/>
      <c r="I165" s="125">
        <f t="shared" si="32"/>
        <v>8.4</v>
      </c>
      <c r="J165" s="62">
        <f>'BIỂU HỢP ĐỒNG'!J154</f>
        <v>842139</v>
      </c>
      <c r="K165" s="43"/>
      <c r="L165" s="62">
        <f t="shared" si="33"/>
        <v>7073968</v>
      </c>
      <c r="M165" s="43">
        <f t="shared" si="34"/>
        <v>0</v>
      </c>
      <c r="N165" s="43">
        <f t="shared" si="35"/>
        <v>0</v>
      </c>
      <c r="O165" s="43">
        <f t="shared" si="36"/>
        <v>0</v>
      </c>
      <c r="P165" s="43">
        <f t="shared" si="25"/>
        <v>7073968</v>
      </c>
      <c r="Q165" s="100"/>
      <c r="R165" s="117"/>
    </row>
    <row r="166" spans="1:18" hidden="1" x14ac:dyDescent="0.25">
      <c r="A166" s="48" t="str">
        <f t="shared" si="31"/>
        <v>TL</v>
      </c>
      <c r="B166" s="32" t="s">
        <v>264</v>
      </c>
      <c r="C166" s="39" t="s">
        <v>122</v>
      </c>
      <c r="D166" s="13" t="s">
        <v>16</v>
      </c>
      <c r="E166" s="123">
        <v>33</v>
      </c>
      <c r="F166" s="123"/>
      <c r="G166" s="125"/>
      <c r="H166" s="125"/>
      <c r="I166" s="125">
        <f t="shared" si="32"/>
        <v>33</v>
      </c>
      <c r="J166" s="62">
        <f>'BIỂU HỢP ĐỒNG'!J155</f>
        <v>1866757</v>
      </c>
      <c r="K166" s="43"/>
      <c r="L166" s="62">
        <f t="shared" si="33"/>
        <v>61602981</v>
      </c>
      <c r="M166" s="43">
        <f t="shared" si="34"/>
        <v>0</v>
      </c>
      <c r="N166" s="43">
        <f t="shared" si="35"/>
        <v>0</v>
      </c>
      <c r="O166" s="43">
        <f t="shared" si="36"/>
        <v>0</v>
      </c>
      <c r="P166" s="43">
        <f t="shared" si="25"/>
        <v>61602981</v>
      </c>
      <c r="Q166" s="100"/>
      <c r="R166" s="117"/>
    </row>
    <row r="167" spans="1:18" ht="31.5" hidden="1" customHeight="1" x14ac:dyDescent="0.25">
      <c r="A167" s="48" t="str">
        <f t="shared" si="31"/>
        <v>TL</v>
      </c>
      <c r="B167" s="32" t="s">
        <v>265</v>
      </c>
      <c r="C167" s="39" t="s">
        <v>266</v>
      </c>
      <c r="D167" s="13" t="s">
        <v>13</v>
      </c>
      <c r="E167" s="123">
        <v>207.4</v>
      </c>
      <c r="F167" s="123"/>
      <c r="G167" s="125"/>
      <c r="H167" s="125"/>
      <c r="I167" s="125">
        <f t="shared" si="32"/>
        <v>207.4</v>
      </c>
      <c r="J167" s="62">
        <f>'BIỂU HỢP ĐỒNG'!J156</f>
        <v>96659</v>
      </c>
      <c r="K167" s="43"/>
      <c r="L167" s="62">
        <f t="shared" si="33"/>
        <v>20047077</v>
      </c>
      <c r="M167" s="43">
        <f t="shared" si="34"/>
        <v>0</v>
      </c>
      <c r="N167" s="43">
        <f t="shared" si="35"/>
        <v>0</v>
      </c>
      <c r="O167" s="43">
        <f t="shared" si="36"/>
        <v>0</v>
      </c>
      <c r="P167" s="43">
        <f t="shared" si="25"/>
        <v>20047077</v>
      </c>
      <c r="Q167" s="100"/>
      <c r="R167" s="117"/>
    </row>
    <row r="168" spans="1:18" hidden="1" x14ac:dyDescent="0.25">
      <c r="A168" s="48" t="str">
        <f t="shared" si="31"/>
        <v>TL</v>
      </c>
      <c r="B168" s="32" t="s">
        <v>267</v>
      </c>
      <c r="C168" s="39" t="s">
        <v>242</v>
      </c>
      <c r="D168" s="13" t="s">
        <v>16</v>
      </c>
      <c r="E168" s="123">
        <v>3.89</v>
      </c>
      <c r="F168" s="123"/>
      <c r="G168" s="125"/>
      <c r="H168" s="125"/>
      <c r="I168" s="125">
        <f t="shared" si="32"/>
        <v>3.89</v>
      </c>
      <c r="J168" s="62">
        <f>'BIỂU HỢP ĐỒNG'!J157</f>
        <v>1631803</v>
      </c>
      <c r="K168" s="43"/>
      <c r="L168" s="62">
        <f t="shared" si="33"/>
        <v>6347714</v>
      </c>
      <c r="M168" s="43">
        <f t="shared" si="34"/>
        <v>0</v>
      </c>
      <c r="N168" s="43">
        <f t="shared" si="35"/>
        <v>0</v>
      </c>
      <c r="O168" s="43">
        <f t="shared" si="36"/>
        <v>0</v>
      </c>
      <c r="P168" s="43">
        <f t="shared" si="25"/>
        <v>6347714</v>
      </c>
      <c r="Q168" s="100"/>
      <c r="R168" s="117"/>
    </row>
    <row r="169" spans="1:18" ht="31.5" hidden="1" customHeight="1" x14ac:dyDescent="0.25">
      <c r="A169" s="48" t="str">
        <f t="shared" si="31"/>
        <v>TL</v>
      </c>
      <c r="B169" s="32" t="s">
        <v>268</v>
      </c>
      <c r="C169" s="39" t="s">
        <v>244</v>
      </c>
      <c r="D169" s="13" t="s">
        <v>13</v>
      </c>
      <c r="E169" s="123">
        <v>16.2</v>
      </c>
      <c r="F169" s="123"/>
      <c r="G169" s="125"/>
      <c r="H169" s="125"/>
      <c r="I169" s="125">
        <f t="shared" si="32"/>
        <v>16.2</v>
      </c>
      <c r="J169" s="62">
        <f>'BIỂU HỢP ĐỒNG'!J158</f>
        <v>87361</v>
      </c>
      <c r="K169" s="43"/>
      <c r="L169" s="62">
        <f t="shared" si="33"/>
        <v>1415248</v>
      </c>
      <c r="M169" s="43">
        <f t="shared" si="34"/>
        <v>0</v>
      </c>
      <c r="N169" s="43">
        <f t="shared" si="35"/>
        <v>0</v>
      </c>
      <c r="O169" s="43">
        <f t="shared" si="36"/>
        <v>0</v>
      </c>
      <c r="P169" s="43">
        <f t="shared" si="25"/>
        <v>1415248</v>
      </c>
      <c r="Q169" s="100"/>
      <c r="R169" s="117"/>
    </row>
    <row r="170" spans="1:18" ht="31.5" hidden="1" customHeight="1" x14ac:dyDescent="0.25">
      <c r="A170" s="48" t="str">
        <f t="shared" si="31"/>
        <v>TL</v>
      </c>
      <c r="B170" s="32" t="s">
        <v>269</v>
      </c>
      <c r="C170" s="39" t="s">
        <v>246</v>
      </c>
      <c r="D170" s="13" t="s">
        <v>90</v>
      </c>
      <c r="E170" s="123">
        <v>0.04</v>
      </c>
      <c r="F170" s="123"/>
      <c r="G170" s="125"/>
      <c r="H170" s="125"/>
      <c r="I170" s="125">
        <f t="shared" si="32"/>
        <v>0.04</v>
      </c>
      <c r="J170" s="62">
        <f>'BIỂU HỢP ĐỒNG'!J159</f>
        <v>27096238</v>
      </c>
      <c r="K170" s="43"/>
      <c r="L170" s="62">
        <f t="shared" si="33"/>
        <v>1083850</v>
      </c>
      <c r="M170" s="43">
        <f t="shared" si="34"/>
        <v>0</v>
      </c>
      <c r="N170" s="43">
        <f t="shared" si="35"/>
        <v>0</v>
      </c>
      <c r="O170" s="43">
        <f t="shared" si="36"/>
        <v>0</v>
      </c>
      <c r="P170" s="43">
        <f t="shared" si="25"/>
        <v>1083850</v>
      </c>
      <c r="Q170" s="100"/>
      <c r="R170" s="117"/>
    </row>
    <row r="171" spans="1:18" ht="31.5" hidden="1" customHeight="1" x14ac:dyDescent="0.25">
      <c r="A171" s="48" t="str">
        <f t="shared" si="31"/>
        <v>TL</v>
      </c>
      <c r="B171" s="32" t="s">
        <v>270</v>
      </c>
      <c r="C171" s="39" t="s">
        <v>246</v>
      </c>
      <c r="D171" s="13" t="s">
        <v>90</v>
      </c>
      <c r="E171" s="123">
        <v>0.62</v>
      </c>
      <c r="F171" s="123"/>
      <c r="G171" s="125"/>
      <c r="H171" s="125"/>
      <c r="I171" s="125">
        <f t="shared" si="32"/>
        <v>0.62</v>
      </c>
      <c r="J171" s="62">
        <f>'BIỂU HỢP ĐỒNG'!J160</f>
        <v>27096238</v>
      </c>
      <c r="K171" s="43"/>
      <c r="L171" s="62">
        <f t="shared" si="33"/>
        <v>16799668</v>
      </c>
      <c r="M171" s="43">
        <f t="shared" si="34"/>
        <v>0</v>
      </c>
      <c r="N171" s="43">
        <f t="shared" si="35"/>
        <v>0</v>
      </c>
      <c r="O171" s="43">
        <f t="shared" si="36"/>
        <v>0</v>
      </c>
      <c r="P171" s="43">
        <f t="shared" si="25"/>
        <v>16799668</v>
      </c>
      <c r="Q171" s="100"/>
      <c r="R171" s="117"/>
    </row>
    <row r="172" spans="1:18" ht="47.25" hidden="1" customHeight="1" x14ac:dyDescent="0.25">
      <c r="A172" s="48" t="str">
        <f t="shared" si="31"/>
        <v>TL</v>
      </c>
      <c r="B172" s="32" t="s">
        <v>271</v>
      </c>
      <c r="C172" s="39" t="s">
        <v>272</v>
      </c>
      <c r="D172" s="13" t="s">
        <v>90</v>
      </c>
      <c r="E172" s="123">
        <v>9.73</v>
      </c>
      <c r="F172" s="123"/>
      <c r="G172" s="125"/>
      <c r="H172" s="125"/>
      <c r="I172" s="125">
        <f t="shared" ref="I172:I203" si="37">SUM(E172:H172)</f>
        <v>9.73</v>
      </c>
      <c r="J172" s="62">
        <f>'BIỂU HỢP ĐỒNG'!J161</f>
        <v>51234</v>
      </c>
      <c r="K172" s="43"/>
      <c r="L172" s="62">
        <f t="shared" ref="L172:L203" si="38">+ROUND(J172*E172,0)</f>
        <v>498507</v>
      </c>
      <c r="M172" s="43">
        <f t="shared" ref="M172:M203" si="39">+ROUND(F172*J172,0)</f>
        <v>0</v>
      </c>
      <c r="N172" s="43">
        <f t="shared" ref="N172:N203" si="40">+ROUND(G172*J172,0)</f>
        <v>0</v>
      </c>
      <c r="O172" s="43">
        <f t="shared" ref="O172:O203" si="41">+ROUND(H172*J172,0)</f>
        <v>0</v>
      </c>
      <c r="P172" s="43">
        <f t="shared" si="25"/>
        <v>498507</v>
      </c>
      <c r="Q172" s="100"/>
      <c r="R172" s="117"/>
    </row>
    <row r="173" spans="1:18" ht="47.25" hidden="1" customHeight="1" x14ac:dyDescent="0.25">
      <c r="A173" s="48" t="str">
        <f t="shared" si="31"/>
        <v>TL</v>
      </c>
      <c r="B173" s="32" t="s">
        <v>273</v>
      </c>
      <c r="C173" s="39" t="s">
        <v>252</v>
      </c>
      <c r="D173" s="13" t="s">
        <v>274</v>
      </c>
      <c r="E173" s="123">
        <v>0.97</v>
      </c>
      <c r="F173" s="123"/>
      <c r="G173" s="125"/>
      <c r="H173" s="125"/>
      <c r="I173" s="125">
        <f t="shared" si="37"/>
        <v>0.97</v>
      </c>
      <c r="J173" s="62">
        <f>'BIỂU HỢP ĐỒNG'!J162</f>
        <v>32162</v>
      </c>
      <c r="K173" s="43"/>
      <c r="L173" s="62">
        <f t="shared" si="38"/>
        <v>31197</v>
      </c>
      <c r="M173" s="43">
        <f t="shared" si="39"/>
        <v>0</v>
      </c>
      <c r="N173" s="43">
        <f t="shared" si="40"/>
        <v>0</v>
      </c>
      <c r="O173" s="43">
        <f t="shared" si="41"/>
        <v>0</v>
      </c>
      <c r="P173" s="43">
        <f t="shared" si="25"/>
        <v>31197</v>
      </c>
      <c r="Q173" s="100"/>
      <c r="R173" s="117"/>
    </row>
    <row r="174" spans="1:18" ht="31.5" hidden="1" customHeight="1" x14ac:dyDescent="0.25">
      <c r="A174" s="48" t="str">
        <f t="shared" si="31"/>
        <v>TL</v>
      </c>
      <c r="B174" s="32" t="s">
        <v>275</v>
      </c>
      <c r="C174" s="39" t="s">
        <v>257</v>
      </c>
      <c r="D174" s="13" t="s">
        <v>258</v>
      </c>
      <c r="E174" s="123">
        <v>40</v>
      </c>
      <c r="F174" s="123"/>
      <c r="G174" s="125"/>
      <c r="H174" s="125"/>
      <c r="I174" s="125">
        <f t="shared" si="37"/>
        <v>40</v>
      </c>
      <c r="J174" s="62">
        <f>'BIỂU HỢP ĐỒNG'!J163</f>
        <v>294187</v>
      </c>
      <c r="K174" s="43"/>
      <c r="L174" s="62">
        <f t="shared" si="38"/>
        <v>11767480</v>
      </c>
      <c r="M174" s="43">
        <f t="shared" si="39"/>
        <v>0</v>
      </c>
      <c r="N174" s="43">
        <f t="shared" si="40"/>
        <v>0</v>
      </c>
      <c r="O174" s="43">
        <f t="shared" si="41"/>
        <v>0</v>
      </c>
      <c r="P174" s="43">
        <f t="shared" si="25"/>
        <v>11767480</v>
      </c>
      <c r="Q174" s="100"/>
      <c r="R174" s="117"/>
    </row>
    <row r="175" spans="1:18" ht="47.25" hidden="1" customHeight="1" x14ac:dyDescent="0.25">
      <c r="A175" s="48" t="str">
        <f t="shared" si="31"/>
        <v>TL</v>
      </c>
      <c r="B175" s="32" t="s">
        <v>276</v>
      </c>
      <c r="C175" s="39" t="s">
        <v>120</v>
      </c>
      <c r="D175" s="13" t="s">
        <v>16</v>
      </c>
      <c r="E175" s="123">
        <v>0.1</v>
      </c>
      <c r="F175" s="123"/>
      <c r="G175" s="125"/>
      <c r="H175" s="125"/>
      <c r="I175" s="125">
        <f t="shared" si="37"/>
        <v>0.1</v>
      </c>
      <c r="J175" s="62">
        <f>'BIỂU HỢP ĐỒNG'!J164</f>
        <v>1191268</v>
      </c>
      <c r="K175" s="43"/>
      <c r="L175" s="62">
        <f t="shared" si="38"/>
        <v>119127</v>
      </c>
      <c r="M175" s="43">
        <f t="shared" si="39"/>
        <v>0</v>
      </c>
      <c r="N175" s="43">
        <f t="shared" si="40"/>
        <v>0</v>
      </c>
      <c r="O175" s="43">
        <f t="shared" si="41"/>
        <v>0</v>
      </c>
      <c r="P175" s="43">
        <f t="shared" si="25"/>
        <v>119127</v>
      </c>
      <c r="Q175" s="100"/>
      <c r="R175" s="117"/>
    </row>
    <row r="176" spans="1:18" hidden="1" x14ac:dyDescent="0.25">
      <c r="A176" s="48" t="str">
        <f t="shared" si="31"/>
        <v>TL</v>
      </c>
      <c r="B176" s="32" t="s">
        <v>277</v>
      </c>
      <c r="C176" s="39" t="s">
        <v>278</v>
      </c>
      <c r="D176" s="13" t="s">
        <v>16</v>
      </c>
      <c r="E176" s="123">
        <v>0.82</v>
      </c>
      <c r="F176" s="123"/>
      <c r="G176" s="125"/>
      <c r="H176" s="125"/>
      <c r="I176" s="125">
        <f t="shared" si="37"/>
        <v>0.82</v>
      </c>
      <c r="J176" s="62">
        <f>'BIỂU HỢP ĐỒNG'!J165</f>
        <v>1533135</v>
      </c>
      <c r="K176" s="43"/>
      <c r="L176" s="62">
        <f t="shared" si="38"/>
        <v>1257171</v>
      </c>
      <c r="M176" s="43">
        <f t="shared" si="39"/>
        <v>0</v>
      </c>
      <c r="N176" s="43">
        <f t="shared" si="40"/>
        <v>0</v>
      </c>
      <c r="O176" s="43">
        <f t="shared" si="41"/>
        <v>0</v>
      </c>
      <c r="P176" s="43">
        <f t="shared" ref="P176:P239" si="42">SUM(L176:O176)</f>
        <v>1257171</v>
      </c>
      <c r="Q176" s="100"/>
      <c r="R176" s="117"/>
    </row>
    <row r="177" spans="1:18" ht="31.5" hidden="1" customHeight="1" x14ac:dyDescent="0.25">
      <c r="A177" s="48" t="str">
        <f t="shared" si="31"/>
        <v>TL</v>
      </c>
      <c r="B177" s="32" t="s">
        <v>279</v>
      </c>
      <c r="C177" s="39" t="s">
        <v>244</v>
      </c>
      <c r="D177" s="13" t="s">
        <v>13</v>
      </c>
      <c r="E177" s="123">
        <v>3.52</v>
      </c>
      <c r="F177" s="123"/>
      <c r="G177" s="125"/>
      <c r="H177" s="125"/>
      <c r="I177" s="125">
        <f t="shared" si="37"/>
        <v>3.52</v>
      </c>
      <c r="J177" s="62">
        <f>'BIỂU HỢP ĐỒNG'!J166</f>
        <v>87361</v>
      </c>
      <c r="K177" s="43"/>
      <c r="L177" s="62">
        <f t="shared" si="38"/>
        <v>307511</v>
      </c>
      <c r="M177" s="43">
        <f t="shared" si="39"/>
        <v>0</v>
      </c>
      <c r="N177" s="43">
        <f t="shared" si="40"/>
        <v>0</v>
      </c>
      <c r="O177" s="43">
        <f t="shared" si="41"/>
        <v>0</v>
      </c>
      <c r="P177" s="43">
        <f t="shared" si="42"/>
        <v>307511</v>
      </c>
      <c r="Q177" s="100"/>
      <c r="R177" s="117"/>
    </row>
    <row r="178" spans="1:18" hidden="1" x14ac:dyDescent="0.25">
      <c r="A178" s="48" t="str">
        <f t="shared" si="31"/>
        <v>TL</v>
      </c>
      <c r="B178" s="32" t="s">
        <v>280</v>
      </c>
      <c r="C178" s="39" t="s">
        <v>281</v>
      </c>
      <c r="D178" s="13" t="s">
        <v>75</v>
      </c>
      <c r="E178" s="123">
        <v>20</v>
      </c>
      <c r="F178" s="123"/>
      <c r="G178" s="125"/>
      <c r="H178" s="125"/>
      <c r="I178" s="125">
        <f t="shared" si="37"/>
        <v>20</v>
      </c>
      <c r="J178" s="62">
        <f>'BIỂU HỢP ĐỒNG'!J167</f>
        <v>46054</v>
      </c>
      <c r="K178" s="43"/>
      <c r="L178" s="62">
        <f t="shared" si="38"/>
        <v>921080</v>
      </c>
      <c r="M178" s="43">
        <f t="shared" si="39"/>
        <v>0</v>
      </c>
      <c r="N178" s="43">
        <f t="shared" si="40"/>
        <v>0</v>
      </c>
      <c r="O178" s="43">
        <f t="shared" si="41"/>
        <v>0</v>
      </c>
      <c r="P178" s="43">
        <f t="shared" si="42"/>
        <v>921080</v>
      </c>
      <c r="Q178" s="100"/>
      <c r="R178" s="117"/>
    </row>
    <row r="179" spans="1:18" ht="47.25" hidden="1" customHeight="1" x14ac:dyDescent="0.25">
      <c r="A179" s="48" t="str">
        <f t="shared" si="31"/>
        <v>TL</v>
      </c>
      <c r="B179" s="32" t="s">
        <v>282</v>
      </c>
      <c r="C179" s="39" t="s">
        <v>272</v>
      </c>
      <c r="D179" s="13" t="s">
        <v>90</v>
      </c>
      <c r="E179" s="123">
        <v>2.0499999999999998</v>
      </c>
      <c r="F179" s="123"/>
      <c r="G179" s="125"/>
      <c r="H179" s="125"/>
      <c r="I179" s="125">
        <f t="shared" si="37"/>
        <v>2.0499999999999998</v>
      </c>
      <c r="J179" s="62">
        <f>'BIỂU HỢP ĐỒNG'!J168</f>
        <v>51234</v>
      </c>
      <c r="K179" s="43"/>
      <c r="L179" s="62">
        <f t="shared" si="38"/>
        <v>105030</v>
      </c>
      <c r="M179" s="43">
        <f t="shared" si="39"/>
        <v>0</v>
      </c>
      <c r="N179" s="43">
        <f t="shared" si="40"/>
        <v>0</v>
      </c>
      <c r="O179" s="43">
        <f t="shared" si="41"/>
        <v>0</v>
      </c>
      <c r="P179" s="43">
        <f t="shared" si="42"/>
        <v>105030</v>
      </c>
      <c r="Q179" s="100"/>
      <c r="R179" s="117"/>
    </row>
    <row r="180" spans="1:18" ht="31.5" hidden="1" customHeight="1" x14ac:dyDescent="0.25">
      <c r="A180" s="48" t="str">
        <f t="shared" si="31"/>
        <v>TL</v>
      </c>
      <c r="B180" s="32" t="s">
        <v>283</v>
      </c>
      <c r="C180" s="39" t="s">
        <v>284</v>
      </c>
      <c r="D180" s="13" t="s">
        <v>274</v>
      </c>
      <c r="E180" s="123">
        <v>0.21</v>
      </c>
      <c r="F180" s="123"/>
      <c r="G180" s="125"/>
      <c r="H180" s="125"/>
      <c r="I180" s="125">
        <f t="shared" si="37"/>
        <v>0.21</v>
      </c>
      <c r="J180" s="62">
        <f>'BIỂU HỢP ĐỒNG'!J169</f>
        <v>32162</v>
      </c>
      <c r="K180" s="43"/>
      <c r="L180" s="62">
        <f t="shared" si="38"/>
        <v>6754</v>
      </c>
      <c r="M180" s="43">
        <f t="shared" si="39"/>
        <v>0</v>
      </c>
      <c r="N180" s="43">
        <f t="shared" si="40"/>
        <v>0</v>
      </c>
      <c r="O180" s="43">
        <f t="shared" si="41"/>
        <v>0</v>
      </c>
      <c r="P180" s="43">
        <f t="shared" si="42"/>
        <v>6754</v>
      </c>
      <c r="Q180" s="100"/>
      <c r="R180" s="117"/>
    </row>
    <row r="181" spans="1:18" hidden="1" x14ac:dyDescent="0.25">
      <c r="A181" s="48" t="str">
        <f t="shared" si="31"/>
        <v>TL</v>
      </c>
      <c r="B181" s="32" t="s">
        <v>285</v>
      </c>
      <c r="C181" s="39" t="s">
        <v>286</v>
      </c>
      <c r="D181" s="13" t="s">
        <v>90</v>
      </c>
      <c r="E181" s="123">
        <v>0.06</v>
      </c>
      <c r="F181" s="123"/>
      <c r="G181" s="125"/>
      <c r="H181" s="125"/>
      <c r="I181" s="125">
        <f t="shared" si="37"/>
        <v>0.06</v>
      </c>
      <c r="J181" s="62">
        <f>'BIỂU HỢP ĐỒNG'!J170</f>
        <v>27096238</v>
      </c>
      <c r="K181" s="43"/>
      <c r="L181" s="62">
        <f t="shared" si="38"/>
        <v>1625774</v>
      </c>
      <c r="M181" s="43">
        <f t="shared" si="39"/>
        <v>0</v>
      </c>
      <c r="N181" s="43">
        <f t="shared" si="40"/>
        <v>0</v>
      </c>
      <c r="O181" s="43">
        <f t="shared" si="41"/>
        <v>0</v>
      </c>
      <c r="P181" s="43">
        <f t="shared" si="42"/>
        <v>1625774</v>
      </c>
      <c r="Q181" s="100"/>
      <c r="R181" s="117"/>
    </row>
    <row r="182" spans="1:18" hidden="1" x14ac:dyDescent="0.25">
      <c r="A182" s="48" t="str">
        <f t="shared" si="31"/>
        <v>TL</v>
      </c>
      <c r="B182" s="32" t="s">
        <v>287</v>
      </c>
      <c r="C182" s="39" t="s">
        <v>242</v>
      </c>
      <c r="D182" s="13" t="s">
        <v>16</v>
      </c>
      <c r="E182" s="123">
        <v>1.88</v>
      </c>
      <c r="F182" s="123"/>
      <c r="G182" s="125"/>
      <c r="H182" s="125"/>
      <c r="I182" s="125">
        <f t="shared" si="37"/>
        <v>1.88</v>
      </c>
      <c r="J182" s="62">
        <f>'BIỂU HỢP ĐỒNG'!J171</f>
        <v>1631803</v>
      </c>
      <c r="K182" s="43"/>
      <c r="L182" s="62">
        <f t="shared" si="38"/>
        <v>3067790</v>
      </c>
      <c r="M182" s="43">
        <f t="shared" si="39"/>
        <v>0</v>
      </c>
      <c r="N182" s="43">
        <f t="shared" si="40"/>
        <v>0</v>
      </c>
      <c r="O182" s="43">
        <f t="shared" si="41"/>
        <v>0</v>
      </c>
      <c r="P182" s="43">
        <f t="shared" si="42"/>
        <v>3067790</v>
      </c>
      <c r="Q182" s="100"/>
      <c r="R182" s="117"/>
    </row>
    <row r="183" spans="1:18" ht="31.5" hidden="1" customHeight="1" x14ac:dyDescent="0.25">
      <c r="A183" s="48" t="str">
        <f t="shared" si="31"/>
        <v>TL</v>
      </c>
      <c r="B183" s="32" t="s">
        <v>288</v>
      </c>
      <c r="C183" s="39" t="s">
        <v>244</v>
      </c>
      <c r="D183" s="13" t="s">
        <v>13</v>
      </c>
      <c r="E183" s="123">
        <v>37.42</v>
      </c>
      <c r="F183" s="123"/>
      <c r="G183" s="125"/>
      <c r="H183" s="125"/>
      <c r="I183" s="125">
        <f t="shared" si="37"/>
        <v>37.42</v>
      </c>
      <c r="J183" s="62">
        <f>'BIỂU HỢP ĐỒNG'!J172</f>
        <v>87361</v>
      </c>
      <c r="K183" s="43"/>
      <c r="L183" s="62">
        <f t="shared" si="38"/>
        <v>3269049</v>
      </c>
      <c r="M183" s="43">
        <f t="shared" si="39"/>
        <v>0</v>
      </c>
      <c r="N183" s="43">
        <f t="shared" si="40"/>
        <v>0</v>
      </c>
      <c r="O183" s="43">
        <f t="shared" si="41"/>
        <v>0</v>
      </c>
      <c r="P183" s="43">
        <f t="shared" si="42"/>
        <v>3269049</v>
      </c>
      <c r="Q183" s="100"/>
      <c r="R183" s="117"/>
    </row>
    <row r="184" spans="1:18" ht="31.5" hidden="1" customHeight="1" x14ac:dyDescent="0.25">
      <c r="A184" s="48" t="str">
        <f t="shared" si="31"/>
        <v>TL</v>
      </c>
      <c r="B184" s="32" t="s">
        <v>289</v>
      </c>
      <c r="C184" s="39" t="s">
        <v>246</v>
      </c>
      <c r="D184" s="13" t="s">
        <v>90</v>
      </c>
      <c r="E184" s="123">
        <v>0.05</v>
      </c>
      <c r="F184" s="123"/>
      <c r="G184" s="125"/>
      <c r="H184" s="125"/>
      <c r="I184" s="125">
        <f t="shared" si="37"/>
        <v>0.05</v>
      </c>
      <c r="J184" s="62">
        <f>'BIỂU HỢP ĐỒNG'!J173</f>
        <v>27096238</v>
      </c>
      <c r="K184" s="43"/>
      <c r="L184" s="62">
        <f t="shared" si="38"/>
        <v>1354812</v>
      </c>
      <c r="M184" s="43">
        <f t="shared" si="39"/>
        <v>0</v>
      </c>
      <c r="N184" s="43">
        <f t="shared" si="40"/>
        <v>0</v>
      </c>
      <c r="O184" s="43">
        <f t="shared" si="41"/>
        <v>0</v>
      </c>
      <c r="P184" s="43">
        <f t="shared" si="42"/>
        <v>1354812</v>
      </c>
      <c r="Q184" s="100"/>
      <c r="R184" s="117"/>
    </row>
    <row r="185" spans="1:18" ht="31.5" hidden="1" customHeight="1" x14ac:dyDescent="0.25">
      <c r="A185" s="48" t="str">
        <f t="shared" si="31"/>
        <v>TL</v>
      </c>
      <c r="B185" s="32" t="s">
        <v>290</v>
      </c>
      <c r="C185" s="39" t="s">
        <v>246</v>
      </c>
      <c r="D185" s="13" t="s">
        <v>90</v>
      </c>
      <c r="E185" s="123">
        <v>0.16</v>
      </c>
      <c r="F185" s="123"/>
      <c r="G185" s="125"/>
      <c r="H185" s="125"/>
      <c r="I185" s="125">
        <f t="shared" si="37"/>
        <v>0.16</v>
      </c>
      <c r="J185" s="62">
        <f>'BIỂU HỢP ĐỒNG'!J174</f>
        <v>27096238</v>
      </c>
      <c r="K185" s="43"/>
      <c r="L185" s="62">
        <f t="shared" si="38"/>
        <v>4335398</v>
      </c>
      <c r="M185" s="43">
        <f t="shared" si="39"/>
        <v>0</v>
      </c>
      <c r="N185" s="43">
        <f t="shared" si="40"/>
        <v>0</v>
      </c>
      <c r="O185" s="43">
        <f t="shared" si="41"/>
        <v>0</v>
      </c>
      <c r="P185" s="43">
        <f t="shared" si="42"/>
        <v>4335398</v>
      </c>
      <c r="Q185" s="100"/>
      <c r="R185" s="117"/>
    </row>
    <row r="186" spans="1:18" ht="47.25" hidden="1" customHeight="1" x14ac:dyDescent="0.25">
      <c r="A186" s="48" t="str">
        <f t="shared" si="31"/>
        <v>TL</v>
      </c>
      <c r="B186" s="32" t="s">
        <v>291</v>
      </c>
      <c r="C186" s="39" t="s">
        <v>272</v>
      </c>
      <c r="D186" s="13" t="s">
        <v>90</v>
      </c>
      <c r="E186" s="123">
        <v>4.7</v>
      </c>
      <c r="F186" s="123"/>
      <c r="G186" s="125"/>
      <c r="H186" s="125"/>
      <c r="I186" s="125">
        <f t="shared" si="37"/>
        <v>4.7</v>
      </c>
      <c r="J186" s="62">
        <f>'BIỂU HỢP ĐỒNG'!J175</f>
        <v>51234</v>
      </c>
      <c r="K186" s="43"/>
      <c r="L186" s="62">
        <f t="shared" si="38"/>
        <v>240800</v>
      </c>
      <c r="M186" s="43">
        <f t="shared" si="39"/>
        <v>0</v>
      </c>
      <c r="N186" s="43">
        <f t="shared" si="40"/>
        <v>0</v>
      </c>
      <c r="O186" s="43">
        <f t="shared" si="41"/>
        <v>0</v>
      </c>
      <c r="P186" s="43">
        <f t="shared" si="42"/>
        <v>240800</v>
      </c>
      <c r="Q186" s="100"/>
      <c r="R186" s="117"/>
    </row>
    <row r="187" spans="1:18" ht="47.25" hidden="1" customHeight="1" x14ac:dyDescent="0.25">
      <c r="A187" s="48" t="str">
        <f t="shared" si="31"/>
        <v>TL</v>
      </c>
      <c r="B187" s="32" t="s">
        <v>292</v>
      </c>
      <c r="C187" s="39" t="s">
        <v>293</v>
      </c>
      <c r="D187" s="13" t="s">
        <v>90</v>
      </c>
      <c r="E187" s="123">
        <v>4.7</v>
      </c>
      <c r="F187" s="123"/>
      <c r="G187" s="125"/>
      <c r="H187" s="125"/>
      <c r="I187" s="125">
        <f t="shared" si="37"/>
        <v>4.7</v>
      </c>
      <c r="J187" s="62">
        <f>'BIỂU HỢP ĐỒNG'!J176</f>
        <v>33301</v>
      </c>
      <c r="K187" s="43"/>
      <c r="L187" s="62">
        <f t="shared" si="38"/>
        <v>156515</v>
      </c>
      <c r="M187" s="43">
        <f t="shared" si="39"/>
        <v>0</v>
      </c>
      <c r="N187" s="43">
        <f t="shared" si="40"/>
        <v>0</v>
      </c>
      <c r="O187" s="43">
        <f t="shared" si="41"/>
        <v>0</v>
      </c>
      <c r="P187" s="43">
        <f t="shared" si="42"/>
        <v>156515</v>
      </c>
      <c r="Q187" s="100"/>
      <c r="R187" s="117"/>
    </row>
    <row r="188" spans="1:18" ht="47.25" hidden="1" customHeight="1" x14ac:dyDescent="0.25">
      <c r="A188" s="48" t="str">
        <f t="shared" si="31"/>
        <v>TL</v>
      </c>
      <c r="B188" s="32" t="s">
        <v>294</v>
      </c>
      <c r="C188" s="39" t="s">
        <v>252</v>
      </c>
      <c r="D188" s="13" t="s">
        <v>274</v>
      </c>
      <c r="E188" s="123">
        <v>0.47</v>
      </c>
      <c r="F188" s="123"/>
      <c r="G188" s="125"/>
      <c r="H188" s="125"/>
      <c r="I188" s="125">
        <f t="shared" si="37"/>
        <v>0.47</v>
      </c>
      <c r="J188" s="62">
        <f>'BIỂU HỢP ĐỒNG'!J177</f>
        <v>32162</v>
      </c>
      <c r="K188" s="43"/>
      <c r="L188" s="62">
        <f t="shared" si="38"/>
        <v>15116</v>
      </c>
      <c r="M188" s="43">
        <f t="shared" si="39"/>
        <v>0</v>
      </c>
      <c r="N188" s="43">
        <f t="shared" si="40"/>
        <v>0</v>
      </c>
      <c r="O188" s="43">
        <f t="shared" si="41"/>
        <v>0</v>
      </c>
      <c r="P188" s="43">
        <f t="shared" si="42"/>
        <v>15116</v>
      </c>
      <c r="Q188" s="100"/>
      <c r="R188" s="117"/>
    </row>
    <row r="189" spans="1:18" hidden="1" x14ac:dyDescent="0.25">
      <c r="A189" s="48" t="str">
        <f t="shared" si="31"/>
        <v>TL</v>
      </c>
      <c r="B189" s="32" t="s">
        <v>295</v>
      </c>
      <c r="C189" s="39" t="s">
        <v>296</v>
      </c>
      <c r="D189" s="13" t="s">
        <v>297</v>
      </c>
      <c r="E189" s="123">
        <v>20</v>
      </c>
      <c r="F189" s="123"/>
      <c r="G189" s="125"/>
      <c r="H189" s="125"/>
      <c r="I189" s="125">
        <f t="shared" si="37"/>
        <v>20</v>
      </c>
      <c r="J189" s="62">
        <f>'BIỂU HỢP ĐỒNG'!J178</f>
        <v>36395</v>
      </c>
      <c r="K189" s="43"/>
      <c r="L189" s="62">
        <f t="shared" si="38"/>
        <v>727900</v>
      </c>
      <c r="M189" s="43">
        <f t="shared" si="39"/>
        <v>0</v>
      </c>
      <c r="N189" s="43">
        <f t="shared" si="40"/>
        <v>0</v>
      </c>
      <c r="O189" s="43">
        <f t="shared" si="41"/>
        <v>0</v>
      </c>
      <c r="P189" s="43">
        <f t="shared" si="42"/>
        <v>727900</v>
      </c>
      <c r="Q189" s="100"/>
      <c r="R189" s="117"/>
    </row>
    <row r="190" spans="1:18" hidden="1" x14ac:dyDescent="0.25">
      <c r="A190" s="48" t="str">
        <f t="shared" si="31"/>
        <v>TL</v>
      </c>
      <c r="B190" s="32" t="s">
        <v>298</v>
      </c>
      <c r="C190" s="39" t="s">
        <v>299</v>
      </c>
      <c r="D190" s="13" t="s">
        <v>258</v>
      </c>
      <c r="E190" s="123">
        <v>20</v>
      </c>
      <c r="F190" s="123"/>
      <c r="G190" s="125"/>
      <c r="H190" s="125"/>
      <c r="I190" s="125">
        <f t="shared" si="37"/>
        <v>20</v>
      </c>
      <c r="J190" s="62">
        <f>'BIỂU HỢP ĐỒNG'!J179</f>
        <v>787114</v>
      </c>
      <c r="K190" s="43"/>
      <c r="L190" s="62">
        <f t="shared" si="38"/>
        <v>15742280</v>
      </c>
      <c r="M190" s="43">
        <f t="shared" si="39"/>
        <v>0</v>
      </c>
      <c r="N190" s="43">
        <f t="shared" si="40"/>
        <v>0</v>
      </c>
      <c r="O190" s="43">
        <f t="shared" si="41"/>
        <v>0</v>
      </c>
      <c r="P190" s="43">
        <f t="shared" si="42"/>
        <v>15742280</v>
      </c>
      <c r="Q190" s="100"/>
      <c r="R190" s="117"/>
    </row>
    <row r="191" spans="1:18" hidden="1" x14ac:dyDescent="0.25">
      <c r="A191" s="48" t="str">
        <f t="shared" si="31"/>
        <v>TL</v>
      </c>
      <c r="B191" s="32" t="s">
        <v>300</v>
      </c>
      <c r="C191" s="39" t="s">
        <v>301</v>
      </c>
      <c r="D191" s="13" t="s">
        <v>16</v>
      </c>
      <c r="E191" s="123">
        <v>8</v>
      </c>
      <c r="F191" s="123"/>
      <c r="G191" s="125"/>
      <c r="H191" s="125"/>
      <c r="I191" s="125">
        <f t="shared" si="37"/>
        <v>8</v>
      </c>
      <c r="J191" s="62">
        <f>'BIỂU HỢP ĐỒNG'!J180</f>
        <v>1551168</v>
      </c>
      <c r="K191" s="43"/>
      <c r="L191" s="62">
        <f t="shared" si="38"/>
        <v>12409344</v>
      </c>
      <c r="M191" s="43">
        <f t="shared" si="39"/>
        <v>0</v>
      </c>
      <c r="N191" s="43">
        <f t="shared" si="40"/>
        <v>0</v>
      </c>
      <c r="O191" s="43">
        <f t="shared" si="41"/>
        <v>0</v>
      </c>
      <c r="P191" s="43">
        <f t="shared" si="42"/>
        <v>12409344</v>
      </c>
      <c r="Q191" s="100"/>
      <c r="R191" s="117"/>
    </row>
    <row r="192" spans="1:18" ht="47.25" hidden="1" customHeight="1" x14ac:dyDescent="0.25">
      <c r="A192" s="48" t="str">
        <f t="shared" si="31"/>
        <v>TL</v>
      </c>
      <c r="B192" s="32" t="s">
        <v>302</v>
      </c>
      <c r="C192" s="39" t="s">
        <v>120</v>
      </c>
      <c r="D192" s="13" t="s">
        <v>16</v>
      </c>
      <c r="E192" s="123">
        <v>47</v>
      </c>
      <c r="F192" s="123"/>
      <c r="G192" s="125"/>
      <c r="H192" s="125"/>
      <c r="I192" s="125">
        <f t="shared" si="37"/>
        <v>47</v>
      </c>
      <c r="J192" s="62">
        <f>'BIỂU HỢP ĐỒNG'!J181</f>
        <v>1191268</v>
      </c>
      <c r="K192" s="43"/>
      <c r="L192" s="62">
        <f t="shared" si="38"/>
        <v>55989596</v>
      </c>
      <c r="M192" s="43">
        <f t="shared" si="39"/>
        <v>0</v>
      </c>
      <c r="N192" s="43">
        <f t="shared" si="40"/>
        <v>0</v>
      </c>
      <c r="O192" s="43">
        <f t="shared" si="41"/>
        <v>0</v>
      </c>
      <c r="P192" s="43">
        <f t="shared" si="42"/>
        <v>55989596</v>
      </c>
      <c r="Q192" s="100"/>
      <c r="R192" s="117"/>
    </row>
    <row r="193" spans="1:18" hidden="1" x14ac:dyDescent="0.25">
      <c r="A193" s="48" t="str">
        <f t="shared" si="31"/>
        <v>TL</v>
      </c>
      <c r="B193" s="32" t="s">
        <v>303</v>
      </c>
      <c r="C193" s="39" t="s">
        <v>125</v>
      </c>
      <c r="D193" s="13" t="s">
        <v>126</v>
      </c>
      <c r="E193" s="123">
        <v>4.84</v>
      </c>
      <c r="F193" s="123"/>
      <c r="G193" s="125"/>
      <c r="H193" s="125"/>
      <c r="I193" s="125">
        <f t="shared" si="37"/>
        <v>4.84</v>
      </c>
      <c r="J193" s="62">
        <f>'BIỂU HỢP ĐỒNG'!J182</f>
        <v>10479792</v>
      </c>
      <c r="K193" s="43"/>
      <c r="L193" s="62">
        <f t="shared" si="38"/>
        <v>50722193</v>
      </c>
      <c r="M193" s="43">
        <f t="shared" si="39"/>
        <v>0</v>
      </c>
      <c r="N193" s="43">
        <f t="shared" si="40"/>
        <v>0</v>
      </c>
      <c r="O193" s="43">
        <f t="shared" si="41"/>
        <v>0</v>
      </c>
      <c r="P193" s="43">
        <f t="shared" si="42"/>
        <v>50722193</v>
      </c>
      <c r="Q193" s="100"/>
      <c r="R193" s="117"/>
    </row>
    <row r="194" spans="1:18" hidden="1" x14ac:dyDescent="0.25">
      <c r="A194" s="48" t="str">
        <f t="shared" si="31"/>
        <v>TL</v>
      </c>
      <c r="B194" s="32" t="s">
        <v>304</v>
      </c>
      <c r="C194" s="39" t="s">
        <v>305</v>
      </c>
      <c r="D194" s="13" t="s">
        <v>13</v>
      </c>
      <c r="E194" s="123">
        <v>291</v>
      </c>
      <c r="F194" s="123"/>
      <c r="G194" s="125"/>
      <c r="H194" s="125"/>
      <c r="I194" s="125">
        <f t="shared" si="37"/>
        <v>291</v>
      </c>
      <c r="J194" s="62">
        <f>'BIỂU HỢP ĐỒNG'!J183</f>
        <v>42922</v>
      </c>
      <c r="K194" s="43"/>
      <c r="L194" s="62">
        <f t="shared" si="38"/>
        <v>12490302</v>
      </c>
      <c r="M194" s="43">
        <f t="shared" si="39"/>
        <v>0</v>
      </c>
      <c r="N194" s="43">
        <f t="shared" si="40"/>
        <v>0</v>
      </c>
      <c r="O194" s="43">
        <f t="shared" si="41"/>
        <v>0</v>
      </c>
      <c r="P194" s="43">
        <f t="shared" si="42"/>
        <v>12490302</v>
      </c>
      <c r="Q194" s="100"/>
      <c r="R194" s="117"/>
    </row>
    <row r="195" spans="1:18" ht="47.25" hidden="1" customHeight="1" x14ac:dyDescent="0.25">
      <c r="A195" s="48" t="str">
        <f t="shared" si="31"/>
        <v>TL</v>
      </c>
      <c r="B195" s="32" t="s">
        <v>306</v>
      </c>
      <c r="C195" s="39" t="s">
        <v>272</v>
      </c>
      <c r="D195" s="13" t="s">
        <v>90</v>
      </c>
      <c r="E195" s="123">
        <v>20</v>
      </c>
      <c r="F195" s="123"/>
      <c r="G195" s="125"/>
      <c r="H195" s="125"/>
      <c r="I195" s="125">
        <f t="shared" si="37"/>
        <v>20</v>
      </c>
      <c r="J195" s="62">
        <f>'BIỂU HỢP ĐỒNG'!J184</f>
        <v>51234</v>
      </c>
      <c r="K195" s="43"/>
      <c r="L195" s="62">
        <f t="shared" si="38"/>
        <v>1024680</v>
      </c>
      <c r="M195" s="43">
        <f t="shared" si="39"/>
        <v>0</v>
      </c>
      <c r="N195" s="43">
        <f t="shared" si="40"/>
        <v>0</v>
      </c>
      <c r="O195" s="43">
        <f t="shared" si="41"/>
        <v>0</v>
      </c>
      <c r="P195" s="43">
        <f t="shared" si="42"/>
        <v>1024680</v>
      </c>
      <c r="Q195" s="100"/>
      <c r="R195" s="117"/>
    </row>
    <row r="196" spans="1:18" ht="47.25" hidden="1" customHeight="1" x14ac:dyDescent="0.25">
      <c r="A196" s="48" t="str">
        <f t="shared" si="31"/>
        <v>TL</v>
      </c>
      <c r="B196" s="32" t="s">
        <v>307</v>
      </c>
      <c r="C196" s="39" t="s">
        <v>293</v>
      </c>
      <c r="D196" s="13" t="s">
        <v>90</v>
      </c>
      <c r="E196" s="123">
        <v>20</v>
      </c>
      <c r="F196" s="123"/>
      <c r="G196" s="125"/>
      <c r="H196" s="125"/>
      <c r="I196" s="125">
        <f t="shared" si="37"/>
        <v>20</v>
      </c>
      <c r="J196" s="62">
        <f>'BIỂU HỢP ĐỒNG'!J185</f>
        <v>33301</v>
      </c>
      <c r="K196" s="43"/>
      <c r="L196" s="62">
        <f t="shared" si="38"/>
        <v>666020</v>
      </c>
      <c r="M196" s="43">
        <f t="shared" si="39"/>
        <v>0</v>
      </c>
      <c r="N196" s="43">
        <f t="shared" si="40"/>
        <v>0</v>
      </c>
      <c r="O196" s="43">
        <f t="shared" si="41"/>
        <v>0</v>
      </c>
      <c r="P196" s="43">
        <f t="shared" si="42"/>
        <v>666020</v>
      </c>
      <c r="Q196" s="100"/>
      <c r="R196" s="117"/>
    </row>
    <row r="197" spans="1:18" ht="47.25" hidden="1" customHeight="1" x14ac:dyDescent="0.25">
      <c r="A197" s="48" t="str">
        <f t="shared" si="31"/>
        <v>TL</v>
      </c>
      <c r="B197" s="32" t="s">
        <v>308</v>
      </c>
      <c r="C197" s="39" t="s">
        <v>252</v>
      </c>
      <c r="D197" s="13" t="s">
        <v>253</v>
      </c>
      <c r="E197" s="123">
        <v>2</v>
      </c>
      <c r="F197" s="123"/>
      <c r="G197" s="125"/>
      <c r="H197" s="125"/>
      <c r="I197" s="125">
        <f t="shared" si="37"/>
        <v>2</v>
      </c>
      <c r="J197" s="62">
        <f>'BIỂU HỢP ĐỒNG'!J186</f>
        <v>32162</v>
      </c>
      <c r="K197" s="43"/>
      <c r="L197" s="62">
        <f t="shared" si="38"/>
        <v>64324</v>
      </c>
      <c r="M197" s="43">
        <f t="shared" si="39"/>
        <v>0</v>
      </c>
      <c r="N197" s="43">
        <f t="shared" si="40"/>
        <v>0</v>
      </c>
      <c r="O197" s="43">
        <f t="shared" si="41"/>
        <v>0</v>
      </c>
      <c r="P197" s="43">
        <f t="shared" si="42"/>
        <v>64324</v>
      </c>
      <c r="Q197" s="100"/>
      <c r="R197" s="117"/>
    </row>
    <row r="198" spans="1:18" ht="31.5" hidden="1" customHeight="1" x14ac:dyDescent="0.25">
      <c r="A198" s="48" t="str">
        <f t="shared" si="31"/>
        <v>TL</v>
      </c>
      <c r="B198" s="32" t="s">
        <v>309</v>
      </c>
      <c r="C198" s="39" t="s">
        <v>310</v>
      </c>
      <c r="D198" s="13" t="s">
        <v>250</v>
      </c>
      <c r="E198" s="123">
        <v>1118</v>
      </c>
      <c r="F198" s="123"/>
      <c r="G198" s="125"/>
      <c r="H198" s="125"/>
      <c r="I198" s="125">
        <f t="shared" si="37"/>
        <v>1118</v>
      </c>
      <c r="J198" s="62">
        <f>'BIỂU HỢP ĐỒNG'!J187</f>
        <v>9700</v>
      </c>
      <c r="K198" s="43"/>
      <c r="L198" s="62">
        <f t="shared" si="38"/>
        <v>10844600</v>
      </c>
      <c r="M198" s="43">
        <f t="shared" si="39"/>
        <v>0</v>
      </c>
      <c r="N198" s="43">
        <f t="shared" si="40"/>
        <v>0</v>
      </c>
      <c r="O198" s="43">
        <f t="shared" si="41"/>
        <v>0</v>
      </c>
      <c r="P198" s="43">
        <f t="shared" si="42"/>
        <v>10844600</v>
      </c>
      <c r="Q198" s="100"/>
      <c r="R198" s="117"/>
    </row>
    <row r="199" spans="1:18" ht="31.5" hidden="1" customHeight="1" x14ac:dyDescent="0.25">
      <c r="A199" s="48" t="str">
        <f t="shared" ref="A199:A262" si="43">A198</f>
        <v>TL</v>
      </c>
      <c r="B199" s="32" t="s">
        <v>311</v>
      </c>
      <c r="C199" s="39" t="s">
        <v>312</v>
      </c>
      <c r="D199" s="13" t="s">
        <v>16</v>
      </c>
      <c r="E199" s="123">
        <v>10.8</v>
      </c>
      <c r="F199" s="123"/>
      <c r="G199" s="125"/>
      <c r="H199" s="125"/>
      <c r="I199" s="125">
        <f t="shared" si="37"/>
        <v>10.8</v>
      </c>
      <c r="J199" s="62">
        <f>'BIỂU HỢP ĐỒNG'!J188</f>
        <v>1561916</v>
      </c>
      <c r="K199" s="43"/>
      <c r="L199" s="62">
        <f t="shared" si="38"/>
        <v>16868693</v>
      </c>
      <c r="M199" s="43">
        <f t="shared" si="39"/>
        <v>0</v>
      </c>
      <c r="N199" s="43">
        <f t="shared" si="40"/>
        <v>0</v>
      </c>
      <c r="O199" s="43">
        <f t="shared" si="41"/>
        <v>0</v>
      </c>
      <c r="P199" s="43">
        <f t="shared" si="42"/>
        <v>16868693</v>
      </c>
      <c r="Q199" s="100"/>
      <c r="R199" s="117"/>
    </row>
    <row r="200" spans="1:18" ht="31.5" hidden="1" customHeight="1" x14ac:dyDescent="0.25">
      <c r="A200" s="48" t="str">
        <f t="shared" si="43"/>
        <v>TL</v>
      </c>
      <c r="B200" s="32" t="s">
        <v>313</v>
      </c>
      <c r="C200" s="39" t="s">
        <v>240</v>
      </c>
      <c r="D200" s="13" t="s">
        <v>16</v>
      </c>
      <c r="E200" s="123">
        <v>8.1</v>
      </c>
      <c r="F200" s="123"/>
      <c r="G200" s="125"/>
      <c r="H200" s="125"/>
      <c r="I200" s="125">
        <f t="shared" si="37"/>
        <v>8.1</v>
      </c>
      <c r="J200" s="62">
        <f>'BIỂU HỢP ĐỒNG'!J189</f>
        <v>842139</v>
      </c>
      <c r="K200" s="43"/>
      <c r="L200" s="62">
        <f t="shared" si="38"/>
        <v>6821326</v>
      </c>
      <c r="M200" s="43">
        <f t="shared" si="39"/>
        <v>0</v>
      </c>
      <c r="N200" s="43">
        <f t="shared" si="40"/>
        <v>0</v>
      </c>
      <c r="O200" s="43">
        <f t="shared" si="41"/>
        <v>0</v>
      </c>
      <c r="P200" s="43">
        <f t="shared" si="42"/>
        <v>6821326</v>
      </c>
      <c r="Q200" s="100"/>
      <c r="R200" s="117"/>
    </row>
    <row r="201" spans="1:18" ht="31.5" hidden="1" customHeight="1" x14ac:dyDescent="0.25">
      <c r="A201" s="48" t="str">
        <f t="shared" si="43"/>
        <v>TL</v>
      </c>
      <c r="B201" s="32" t="s">
        <v>314</v>
      </c>
      <c r="C201" s="39" t="s">
        <v>315</v>
      </c>
      <c r="D201" s="13" t="s">
        <v>16</v>
      </c>
      <c r="E201" s="123">
        <v>781.35</v>
      </c>
      <c r="F201" s="123"/>
      <c r="G201" s="125"/>
      <c r="H201" s="125"/>
      <c r="I201" s="125">
        <f t="shared" si="37"/>
        <v>781.35</v>
      </c>
      <c r="J201" s="62">
        <f>'BIỂU HỢP ĐỒNG'!J190</f>
        <v>23993</v>
      </c>
      <c r="K201" s="43"/>
      <c r="L201" s="62">
        <f t="shared" si="38"/>
        <v>18746931</v>
      </c>
      <c r="M201" s="43">
        <f t="shared" si="39"/>
        <v>0</v>
      </c>
      <c r="N201" s="43">
        <f t="shared" si="40"/>
        <v>0</v>
      </c>
      <c r="O201" s="43">
        <f t="shared" si="41"/>
        <v>0</v>
      </c>
      <c r="P201" s="43">
        <f t="shared" si="42"/>
        <v>18746931</v>
      </c>
      <c r="Q201" s="100"/>
      <c r="R201" s="117"/>
    </row>
    <row r="202" spans="1:18" ht="31.5" hidden="1" customHeight="1" x14ac:dyDescent="0.25">
      <c r="A202" s="48" t="str">
        <f t="shared" si="43"/>
        <v>TL</v>
      </c>
      <c r="B202" s="32" t="s">
        <v>316</v>
      </c>
      <c r="C202" s="39" t="s">
        <v>317</v>
      </c>
      <c r="D202" s="13" t="s">
        <v>16</v>
      </c>
      <c r="E202" s="123">
        <v>7305.62</v>
      </c>
      <c r="F202" s="123"/>
      <c r="G202" s="125"/>
      <c r="H202" s="125"/>
      <c r="I202" s="125">
        <f t="shared" si="37"/>
        <v>7305.62</v>
      </c>
      <c r="J202" s="62">
        <f>'BIỂU HỢP ĐỒNG'!J191</f>
        <v>32141</v>
      </c>
      <c r="K202" s="43"/>
      <c r="L202" s="62">
        <f t="shared" si="38"/>
        <v>234809932</v>
      </c>
      <c r="M202" s="43">
        <f t="shared" si="39"/>
        <v>0</v>
      </c>
      <c r="N202" s="43">
        <f t="shared" si="40"/>
        <v>0</v>
      </c>
      <c r="O202" s="43">
        <f t="shared" si="41"/>
        <v>0</v>
      </c>
      <c r="P202" s="43">
        <f t="shared" si="42"/>
        <v>234809932</v>
      </c>
      <c r="Q202" s="100"/>
      <c r="R202" s="117"/>
    </row>
    <row r="203" spans="1:18" hidden="1" x14ac:dyDescent="0.25">
      <c r="A203" s="48" t="str">
        <f t="shared" si="43"/>
        <v>TL</v>
      </c>
      <c r="B203" s="32" t="s">
        <v>318</v>
      </c>
      <c r="C203" s="39" t="s">
        <v>319</v>
      </c>
      <c r="D203" s="13" t="s">
        <v>16</v>
      </c>
      <c r="E203" s="123">
        <v>31.93</v>
      </c>
      <c r="F203" s="123"/>
      <c r="G203" s="125"/>
      <c r="H203" s="125"/>
      <c r="I203" s="125">
        <f t="shared" si="37"/>
        <v>31.93</v>
      </c>
      <c r="J203" s="62">
        <f>'BIỂU HỢP ĐỒNG'!J192</f>
        <v>1561916</v>
      </c>
      <c r="K203" s="43"/>
      <c r="L203" s="62">
        <f t="shared" si="38"/>
        <v>49871978</v>
      </c>
      <c r="M203" s="43">
        <f t="shared" si="39"/>
        <v>0</v>
      </c>
      <c r="N203" s="43">
        <f t="shared" si="40"/>
        <v>0</v>
      </c>
      <c r="O203" s="43">
        <f t="shared" si="41"/>
        <v>0</v>
      </c>
      <c r="P203" s="43">
        <f t="shared" si="42"/>
        <v>49871978</v>
      </c>
      <c r="Q203" s="100"/>
      <c r="R203" s="117"/>
    </row>
    <row r="204" spans="1:18" hidden="1" x14ac:dyDescent="0.25">
      <c r="A204" s="48" t="str">
        <f t="shared" si="43"/>
        <v>TL</v>
      </c>
      <c r="B204" s="32" t="s">
        <v>320</v>
      </c>
      <c r="C204" s="39" t="s">
        <v>125</v>
      </c>
      <c r="D204" s="13" t="s">
        <v>13</v>
      </c>
      <c r="E204" s="123">
        <v>48.19</v>
      </c>
      <c r="F204" s="123"/>
      <c r="G204" s="125"/>
      <c r="H204" s="125"/>
      <c r="I204" s="125">
        <f t="shared" ref="I204:I235" si="44">SUM(E204:H204)</f>
        <v>48.19</v>
      </c>
      <c r="J204" s="62">
        <f>'BIỂU HỢP ĐỒNG'!J193</f>
        <v>174514</v>
      </c>
      <c r="K204" s="43"/>
      <c r="L204" s="62">
        <f t="shared" ref="L204:L235" si="45">+ROUND(J204*E204,0)</f>
        <v>8409830</v>
      </c>
      <c r="M204" s="43">
        <f t="shared" ref="M204:M235" si="46">+ROUND(F204*J204,0)</f>
        <v>0</v>
      </c>
      <c r="N204" s="43">
        <f t="shared" ref="N204:N235" si="47">+ROUND(G204*J204,0)</f>
        <v>0</v>
      </c>
      <c r="O204" s="43">
        <f t="shared" ref="O204:O235" si="48">+ROUND(H204*J204,0)</f>
        <v>0</v>
      </c>
      <c r="P204" s="43">
        <f t="shared" si="42"/>
        <v>8409830</v>
      </c>
      <c r="Q204" s="100"/>
      <c r="R204" s="117"/>
    </row>
    <row r="205" spans="1:18" ht="31.5" hidden="1" customHeight="1" x14ac:dyDescent="0.25">
      <c r="A205" s="48" t="str">
        <f t="shared" si="43"/>
        <v>TL</v>
      </c>
      <c r="B205" s="32" t="s">
        <v>321</v>
      </c>
      <c r="C205" s="39" t="s">
        <v>240</v>
      </c>
      <c r="D205" s="13" t="s">
        <v>16</v>
      </c>
      <c r="E205" s="123">
        <v>241.22</v>
      </c>
      <c r="F205" s="123"/>
      <c r="G205" s="125"/>
      <c r="H205" s="125"/>
      <c r="I205" s="125">
        <f t="shared" si="44"/>
        <v>241.22</v>
      </c>
      <c r="J205" s="62">
        <f>'BIỂU HỢP ĐỒNG'!J194</f>
        <v>842139</v>
      </c>
      <c r="K205" s="43"/>
      <c r="L205" s="62">
        <f t="shared" si="45"/>
        <v>203140770</v>
      </c>
      <c r="M205" s="43">
        <f t="shared" si="46"/>
        <v>0</v>
      </c>
      <c r="N205" s="43">
        <f t="shared" si="47"/>
        <v>0</v>
      </c>
      <c r="O205" s="43">
        <f t="shared" si="48"/>
        <v>0</v>
      </c>
      <c r="P205" s="43">
        <f t="shared" si="42"/>
        <v>203140770</v>
      </c>
      <c r="Q205" s="100"/>
      <c r="R205" s="117"/>
    </row>
    <row r="206" spans="1:18" hidden="1" x14ac:dyDescent="0.25">
      <c r="A206" s="48" t="str">
        <f t="shared" si="43"/>
        <v>TL</v>
      </c>
      <c r="B206" s="32" t="s">
        <v>322</v>
      </c>
      <c r="C206" s="39" t="s">
        <v>323</v>
      </c>
      <c r="D206" s="13" t="s">
        <v>16</v>
      </c>
      <c r="E206" s="123">
        <v>36.69</v>
      </c>
      <c r="F206" s="123"/>
      <c r="G206" s="125"/>
      <c r="H206" s="125"/>
      <c r="I206" s="125">
        <f t="shared" si="44"/>
        <v>36.69</v>
      </c>
      <c r="J206" s="62">
        <f>'BIỂU HỢP ĐỒNG'!J195</f>
        <v>1833267</v>
      </c>
      <c r="K206" s="43"/>
      <c r="L206" s="62">
        <f t="shared" si="45"/>
        <v>67262566</v>
      </c>
      <c r="M206" s="43">
        <f t="shared" si="46"/>
        <v>0</v>
      </c>
      <c r="N206" s="43">
        <f t="shared" si="47"/>
        <v>0</v>
      </c>
      <c r="O206" s="43">
        <f t="shared" si="48"/>
        <v>0</v>
      </c>
      <c r="P206" s="43">
        <f t="shared" si="42"/>
        <v>67262566</v>
      </c>
      <c r="Q206" s="100"/>
      <c r="R206" s="117"/>
    </row>
    <row r="207" spans="1:18" ht="31.5" hidden="1" customHeight="1" x14ac:dyDescent="0.25">
      <c r="A207" s="48" t="str">
        <f t="shared" si="43"/>
        <v>TL</v>
      </c>
      <c r="B207" s="32" t="s">
        <v>324</v>
      </c>
      <c r="C207" s="39" t="s">
        <v>325</v>
      </c>
      <c r="D207" s="13" t="s">
        <v>13</v>
      </c>
      <c r="E207" s="123">
        <v>385.98</v>
      </c>
      <c r="F207" s="123"/>
      <c r="G207" s="125"/>
      <c r="H207" s="125"/>
      <c r="I207" s="125">
        <f t="shared" si="44"/>
        <v>385.98</v>
      </c>
      <c r="J207" s="62">
        <f>'BIỂU HỢP ĐỒNG'!J196</f>
        <v>96659</v>
      </c>
      <c r="K207" s="43"/>
      <c r="L207" s="62">
        <f t="shared" si="45"/>
        <v>37308441</v>
      </c>
      <c r="M207" s="43">
        <f t="shared" si="46"/>
        <v>0</v>
      </c>
      <c r="N207" s="43">
        <f t="shared" si="47"/>
        <v>0</v>
      </c>
      <c r="O207" s="43">
        <f t="shared" si="48"/>
        <v>0</v>
      </c>
      <c r="P207" s="43">
        <f t="shared" si="42"/>
        <v>37308441</v>
      </c>
      <c r="Q207" s="100"/>
      <c r="R207" s="117"/>
    </row>
    <row r="208" spans="1:18" ht="31.5" hidden="1" customHeight="1" x14ac:dyDescent="0.25">
      <c r="A208" s="48" t="str">
        <f t="shared" si="43"/>
        <v>TL</v>
      </c>
      <c r="B208" s="32" t="s">
        <v>326</v>
      </c>
      <c r="C208" s="39" t="s">
        <v>327</v>
      </c>
      <c r="D208" s="13" t="s">
        <v>16</v>
      </c>
      <c r="E208" s="123">
        <v>490.8</v>
      </c>
      <c r="F208" s="123"/>
      <c r="G208" s="125"/>
      <c r="H208" s="125"/>
      <c r="I208" s="125">
        <f t="shared" si="44"/>
        <v>490.8</v>
      </c>
      <c r="J208" s="62">
        <f>'BIỂU HỢP ĐỒNG'!J197</f>
        <v>1388494</v>
      </c>
      <c r="K208" s="43"/>
      <c r="L208" s="62">
        <f t="shared" si="45"/>
        <v>681472855</v>
      </c>
      <c r="M208" s="43">
        <f t="shared" si="46"/>
        <v>0</v>
      </c>
      <c r="N208" s="43">
        <f t="shared" si="47"/>
        <v>0</v>
      </c>
      <c r="O208" s="43">
        <f t="shared" si="48"/>
        <v>0</v>
      </c>
      <c r="P208" s="43">
        <f t="shared" si="42"/>
        <v>681472855</v>
      </c>
      <c r="Q208" s="100"/>
      <c r="R208" s="117"/>
    </row>
    <row r="209" spans="1:18" hidden="1" x14ac:dyDescent="0.25">
      <c r="A209" s="48" t="str">
        <f t="shared" si="43"/>
        <v>TL</v>
      </c>
      <c r="B209" s="32" t="s">
        <v>328</v>
      </c>
      <c r="C209" s="39" t="s">
        <v>329</v>
      </c>
      <c r="D209" s="13" t="s">
        <v>16</v>
      </c>
      <c r="E209" s="123">
        <v>0.52</v>
      </c>
      <c r="F209" s="123"/>
      <c r="G209" s="125"/>
      <c r="H209" s="125"/>
      <c r="I209" s="125">
        <f t="shared" si="44"/>
        <v>0.52</v>
      </c>
      <c r="J209" s="62">
        <f>'BIỂU HỢP ĐỒNG'!J198</f>
        <v>2081456</v>
      </c>
      <c r="K209" s="43"/>
      <c r="L209" s="62">
        <f t="shared" si="45"/>
        <v>1082357</v>
      </c>
      <c r="M209" s="43">
        <f t="shared" si="46"/>
        <v>0</v>
      </c>
      <c r="N209" s="43">
        <f t="shared" si="47"/>
        <v>0</v>
      </c>
      <c r="O209" s="43">
        <f t="shared" si="48"/>
        <v>0</v>
      </c>
      <c r="P209" s="43">
        <f t="shared" si="42"/>
        <v>1082357</v>
      </c>
      <c r="Q209" s="100"/>
      <c r="R209" s="117"/>
    </row>
    <row r="210" spans="1:18" hidden="1" x14ac:dyDescent="0.25">
      <c r="A210" s="48" t="str">
        <f t="shared" si="43"/>
        <v>TL</v>
      </c>
      <c r="B210" s="32" t="s">
        <v>330</v>
      </c>
      <c r="C210" s="39" t="s">
        <v>125</v>
      </c>
      <c r="D210" s="13" t="s">
        <v>13</v>
      </c>
      <c r="E210" s="123">
        <v>4.6100000000000003</v>
      </c>
      <c r="F210" s="123"/>
      <c r="G210" s="125"/>
      <c r="H210" s="125"/>
      <c r="I210" s="125">
        <f t="shared" si="44"/>
        <v>4.6100000000000003</v>
      </c>
      <c r="J210" s="62">
        <f>'BIỂU HỢP ĐỒNG'!J199</f>
        <v>104798</v>
      </c>
      <c r="K210" s="43"/>
      <c r="L210" s="62">
        <f t="shared" si="45"/>
        <v>483119</v>
      </c>
      <c r="M210" s="43">
        <f t="shared" si="46"/>
        <v>0</v>
      </c>
      <c r="N210" s="43">
        <f t="shared" si="47"/>
        <v>0</v>
      </c>
      <c r="O210" s="43">
        <f t="shared" si="48"/>
        <v>0</v>
      </c>
      <c r="P210" s="43">
        <f t="shared" si="42"/>
        <v>483119</v>
      </c>
      <c r="Q210" s="100"/>
      <c r="R210" s="117"/>
    </row>
    <row r="211" spans="1:18" ht="31.5" hidden="1" customHeight="1" x14ac:dyDescent="0.25">
      <c r="A211" s="48" t="str">
        <f t="shared" si="43"/>
        <v>TL</v>
      </c>
      <c r="B211" s="32" t="s">
        <v>331</v>
      </c>
      <c r="C211" s="39" t="s">
        <v>332</v>
      </c>
      <c r="D211" s="13" t="s">
        <v>90</v>
      </c>
      <c r="E211" s="123">
        <v>0.06</v>
      </c>
      <c r="F211" s="123"/>
      <c r="G211" s="125"/>
      <c r="H211" s="125"/>
      <c r="I211" s="125">
        <f t="shared" si="44"/>
        <v>0.06</v>
      </c>
      <c r="J211" s="62">
        <f>'BIỂU HỢP ĐỒNG'!J200</f>
        <v>26204757</v>
      </c>
      <c r="K211" s="43"/>
      <c r="L211" s="62">
        <f t="shared" si="45"/>
        <v>1572285</v>
      </c>
      <c r="M211" s="43">
        <f t="shared" si="46"/>
        <v>0</v>
      </c>
      <c r="N211" s="43">
        <f t="shared" si="47"/>
        <v>0</v>
      </c>
      <c r="O211" s="43">
        <f t="shared" si="48"/>
        <v>0</v>
      </c>
      <c r="P211" s="43">
        <f t="shared" si="42"/>
        <v>1572285</v>
      </c>
      <c r="Q211" s="100"/>
      <c r="R211" s="117"/>
    </row>
    <row r="212" spans="1:18" hidden="1" x14ac:dyDescent="0.25">
      <c r="A212" s="48" t="str">
        <f t="shared" si="43"/>
        <v>TL</v>
      </c>
      <c r="B212" s="32" t="s">
        <v>333</v>
      </c>
      <c r="C212" s="39" t="s">
        <v>334</v>
      </c>
      <c r="D212" s="13" t="s">
        <v>16</v>
      </c>
      <c r="E212" s="123">
        <v>0.56000000000000005</v>
      </c>
      <c r="F212" s="123"/>
      <c r="G212" s="125"/>
      <c r="H212" s="125"/>
      <c r="I212" s="125">
        <f t="shared" si="44"/>
        <v>0.56000000000000005</v>
      </c>
      <c r="J212" s="62">
        <f>'BIỂU HỢP ĐỒNG'!J201</f>
        <v>1631803</v>
      </c>
      <c r="K212" s="43"/>
      <c r="L212" s="62">
        <f t="shared" si="45"/>
        <v>913810</v>
      </c>
      <c r="M212" s="43">
        <f t="shared" si="46"/>
        <v>0</v>
      </c>
      <c r="N212" s="43">
        <f t="shared" si="47"/>
        <v>0</v>
      </c>
      <c r="O212" s="43">
        <f t="shared" si="48"/>
        <v>0</v>
      </c>
      <c r="P212" s="43">
        <f t="shared" si="42"/>
        <v>913810</v>
      </c>
      <c r="Q212" s="100"/>
      <c r="R212" s="117"/>
    </row>
    <row r="213" spans="1:18" ht="31.5" hidden="1" customHeight="1" x14ac:dyDescent="0.25">
      <c r="A213" s="48" t="str">
        <f t="shared" si="43"/>
        <v>TL</v>
      </c>
      <c r="B213" s="32" t="s">
        <v>335</v>
      </c>
      <c r="C213" s="39" t="s">
        <v>336</v>
      </c>
      <c r="D213" s="13" t="s">
        <v>13</v>
      </c>
      <c r="E213" s="123">
        <v>2.88</v>
      </c>
      <c r="F213" s="123"/>
      <c r="G213" s="125"/>
      <c r="H213" s="125"/>
      <c r="I213" s="125">
        <f t="shared" si="44"/>
        <v>2.88</v>
      </c>
      <c r="J213" s="62">
        <f>'BIỂU HỢP ĐỒNG'!J202</f>
        <v>102621</v>
      </c>
      <c r="K213" s="43"/>
      <c r="L213" s="62">
        <f t="shared" si="45"/>
        <v>295548</v>
      </c>
      <c r="M213" s="43">
        <f t="shared" si="46"/>
        <v>0</v>
      </c>
      <c r="N213" s="43">
        <f t="shared" si="47"/>
        <v>0</v>
      </c>
      <c r="O213" s="43">
        <f t="shared" si="48"/>
        <v>0</v>
      </c>
      <c r="P213" s="43">
        <f t="shared" si="42"/>
        <v>295548</v>
      </c>
      <c r="Q213" s="100"/>
      <c r="R213" s="117"/>
    </row>
    <row r="214" spans="1:18" ht="31.5" hidden="1" customHeight="1" x14ac:dyDescent="0.25">
      <c r="A214" s="48" t="str">
        <f t="shared" si="43"/>
        <v>TL</v>
      </c>
      <c r="B214" s="32" t="s">
        <v>337</v>
      </c>
      <c r="C214" s="39" t="s">
        <v>246</v>
      </c>
      <c r="D214" s="13" t="s">
        <v>90</v>
      </c>
      <c r="E214" s="123">
        <v>0.02</v>
      </c>
      <c r="F214" s="123"/>
      <c r="G214" s="125"/>
      <c r="H214" s="125"/>
      <c r="I214" s="125">
        <f t="shared" si="44"/>
        <v>0.02</v>
      </c>
      <c r="J214" s="62">
        <f>'BIỂU HỢP ĐỒNG'!J203</f>
        <v>27096238</v>
      </c>
      <c r="K214" s="43"/>
      <c r="L214" s="62">
        <f t="shared" si="45"/>
        <v>541925</v>
      </c>
      <c r="M214" s="43">
        <f t="shared" si="46"/>
        <v>0</v>
      </c>
      <c r="N214" s="43">
        <f t="shared" si="47"/>
        <v>0</v>
      </c>
      <c r="O214" s="43">
        <f t="shared" si="48"/>
        <v>0</v>
      </c>
      <c r="P214" s="43">
        <f t="shared" si="42"/>
        <v>541925</v>
      </c>
      <c r="Q214" s="100"/>
      <c r="R214" s="117"/>
    </row>
    <row r="215" spans="1:18" ht="31.5" hidden="1" customHeight="1" x14ac:dyDescent="0.25">
      <c r="A215" s="48" t="str">
        <f t="shared" si="43"/>
        <v>TL</v>
      </c>
      <c r="B215" s="32" t="s">
        <v>338</v>
      </c>
      <c r="C215" s="39" t="s">
        <v>246</v>
      </c>
      <c r="D215" s="13" t="s">
        <v>90</v>
      </c>
      <c r="E215" s="123">
        <v>0.01</v>
      </c>
      <c r="F215" s="123"/>
      <c r="G215" s="125"/>
      <c r="H215" s="125"/>
      <c r="I215" s="125">
        <f t="shared" si="44"/>
        <v>0.01</v>
      </c>
      <c r="J215" s="62">
        <f>'BIỂU HỢP ĐỒNG'!J204</f>
        <v>27096238</v>
      </c>
      <c r="K215" s="43"/>
      <c r="L215" s="62">
        <f t="shared" si="45"/>
        <v>270962</v>
      </c>
      <c r="M215" s="43">
        <f t="shared" si="46"/>
        <v>0</v>
      </c>
      <c r="N215" s="43">
        <f t="shared" si="47"/>
        <v>0</v>
      </c>
      <c r="O215" s="43">
        <f t="shared" si="48"/>
        <v>0</v>
      </c>
      <c r="P215" s="43">
        <f t="shared" si="42"/>
        <v>270962</v>
      </c>
      <c r="Q215" s="100"/>
      <c r="R215" s="117"/>
    </row>
    <row r="216" spans="1:18" ht="47.25" hidden="1" customHeight="1" x14ac:dyDescent="0.25">
      <c r="A216" s="48" t="str">
        <f t="shared" si="43"/>
        <v>TL</v>
      </c>
      <c r="B216" s="32" t="s">
        <v>339</v>
      </c>
      <c r="C216" s="39" t="s">
        <v>249</v>
      </c>
      <c r="D216" s="13" t="s">
        <v>250</v>
      </c>
      <c r="E216" s="123">
        <v>2</v>
      </c>
      <c r="F216" s="123"/>
      <c r="G216" s="125"/>
      <c r="H216" s="125"/>
      <c r="I216" s="125">
        <f t="shared" si="44"/>
        <v>2</v>
      </c>
      <c r="J216" s="62">
        <f>'BIỂU HỢP ĐỒNG'!J205</f>
        <v>52812</v>
      </c>
      <c r="K216" s="43"/>
      <c r="L216" s="62">
        <f t="shared" si="45"/>
        <v>105624</v>
      </c>
      <c r="M216" s="43">
        <f t="shared" si="46"/>
        <v>0</v>
      </c>
      <c r="N216" s="43">
        <f t="shared" si="47"/>
        <v>0</v>
      </c>
      <c r="O216" s="43">
        <f t="shared" si="48"/>
        <v>0</v>
      </c>
      <c r="P216" s="43">
        <f t="shared" si="42"/>
        <v>105624</v>
      </c>
      <c r="Q216" s="100"/>
      <c r="R216" s="117"/>
    </row>
    <row r="217" spans="1:18" ht="47.25" hidden="1" customHeight="1" x14ac:dyDescent="0.25">
      <c r="A217" s="48" t="str">
        <f t="shared" si="43"/>
        <v>TL</v>
      </c>
      <c r="B217" s="32" t="s">
        <v>340</v>
      </c>
      <c r="C217" s="39" t="s">
        <v>252</v>
      </c>
      <c r="D217" s="13" t="s">
        <v>274</v>
      </c>
      <c r="E217" s="123">
        <v>0.14000000000000001</v>
      </c>
      <c r="F217" s="123"/>
      <c r="G217" s="125"/>
      <c r="H217" s="125"/>
      <c r="I217" s="125">
        <f t="shared" si="44"/>
        <v>0.14000000000000001</v>
      </c>
      <c r="J217" s="62">
        <f>'BIỂU HỢP ĐỒNG'!J206</f>
        <v>32162</v>
      </c>
      <c r="K217" s="43"/>
      <c r="L217" s="62">
        <f t="shared" si="45"/>
        <v>4503</v>
      </c>
      <c r="M217" s="43">
        <f t="shared" si="46"/>
        <v>0</v>
      </c>
      <c r="N217" s="43">
        <f t="shared" si="47"/>
        <v>0</v>
      </c>
      <c r="O217" s="43">
        <f t="shared" si="48"/>
        <v>0</v>
      </c>
      <c r="P217" s="43">
        <f t="shared" si="42"/>
        <v>4503</v>
      </c>
      <c r="Q217" s="100"/>
      <c r="R217" s="117"/>
    </row>
    <row r="218" spans="1:18" ht="47.25" hidden="1" customHeight="1" x14ac:dyDescent="0.25">
      <c r="A218" s="48" t="str">
        <f t="shared" si="43"/>
        <v>TL</v>
      </c>
      <c r="B218" s="32" t="s">
        <v>341</v>
      </c>
      <c r="C218" s="39" t="s">
        <v>255</v>
      </c>
      <c r="D218" s="13" t="s">
        <v>250</v>
      </c>
      <c r="E218" s="123">
        <v>2</v>
      </c>
      <c r="F218" s="123"/>
      <c r="G218" s="125"/>
      <c r="H218" s="125"/>
      <c r="I218" s="125">
        <f t="shared" si="44"/>
        <v>2</v>
      </c>
      <c r="J218" s="62">
        <f>'BIỂU HỢP ĐỒNG'!J207</f>
        <v>42761</v>
      </c>
      <c r="K218" s="43"/>
      <c r="L218" s="62">
        <f t="shared" si="45"/>
        <v>85522</v>
      </c>
      <c r="M218" s="43">
        <f t="shared" si="46"/>
        <v>0</v>
      </c>
      <c r="N218" s="43">
        <f t="shared" si="47"/>
        <v>0</v>
      </c>
      <c r="O218" s="43">
        <f t="shared" si="48"/>
        <v>0</v>
      </c>
      <c r="P218" s="43">
        <f t="shared" si="42"/>
        <v>85522</v>
      </c>
      <c r="Q218" s="100"/>
      <c r="R218" s="117"/>
    </row>
    <row r="219" spans="1:18" ht="31.5" hidden="1" customHeight="1" x14ac:dyDescent="0.25">
      <c r="A219" s="48" t="str">
        <f t="shared" si="43"/>
        <v>TL</v>
      </c>
      <c r="B219" s="32" t="s">
        <v>342</v>
      </c>
      <c r="C219" s="39" t="s">
        <v>343</v>
      </c>
      <c r="D219" s="13" t="s">
        <v>297</v>
      </c>
      <c r="E219" s="123">
        <v>2</v>
      </c>
      <c r="F219" s="123"/>
      <c r="G219" s="125"/>
      <c r="H219" s="125"/>
      <c r="I219" s="125">
        <f t="shared" si="44"/>
        <v>2</v>
      </c>
      <c r="J219" s="62">
        <f>'BIỂU HỢP ĐỒNG'!J208</f>
        <v>36395</v>
      </c>
      <c r="K219" s="43"/>
      <c r="L219" s="62">
        <f t="shared" si="45"/>
        <v>72790</v>
      </c>
      <c r="M219" s="43">
        <f t="shared" si="46"/>
        <v>0</v>
      </c>
      <c r="N219" s="43">
        <f t="shared" si="47"/>
        <v>0</v>
      </c>
      <c r="O219" s="43">
        <f t="shared" si="48"/>
        <v>0</v>
      </c>
      <c r="P219" s="43">
        <f t="shared" si="42"/>
        <v>72790</v>
      </c>
      <c r="Q219" s="100"/>
      <c r="R219" s="117"/>
    </row>
    <row r="220" spans="1:18" hidden="1" x14ac:dyDescent="0.25">
      <c r="A220" s="48" t="str">
        <f t="shared" si="43"/>
        <v>TL</v>
      </c>
      <c r="B220" s="32" t="s">
        <v>344</v>
      </c>
      <c r="C220" s="39" t="s">
        <v>334</v>
      </c>
      <c r="D220" s="13" t="s">
        <v>16</v>
      </c>
      <c r="E220" s="123">
        <v>5.04</v>
      </c>
      <c r="F220" s="123"/>
      <c r="G220" s="125"/>
      <c r="H220" s="125"/>
      <c r="I220" s="125">
        <f t="shared" si="44"/>
        <v>5.04</v>
      </c>
      <c r="J220" s="62">
        <f>'BIỂU HỢP ĐỒNG'!J209</f>
        <v>1631803</v>
      </c>
      <c r="K220" s="43"/>
      <c r="L220" s="62">
        <f t="shared" si="45"/>
        <v>8224287</v>
      </c>
      <c r="M220" s="43">
        <f t="shared" si="46"/>
        <v>0</v>
      </c>
      <c r="N220" s="43">
        <f t="shared" si="47"/>
        <v>0</v>
      </c>
      <c r="O220" s="43">
        <f t="shared" si="48"/>
        <v>0</v>
      </c>
      <c r="P220" s="43">
        <f t="shared" si="42"/>
        <v>8224287</v>
      </c>
      <c r="Q220" s="100"/>
      <c r="R220" s="117"/>
    </row>
    <row r="221" spans="1:18" ht="31.5" hidden="1" customHeight="1" x14ac:dyDescent="0.25">
      <c r="A221" s="48" t="str">
        <f t="shared" si="43"/>
        <v>TL</v>
      </c>
      <c r="B221" s="32" t="s">
        <v>345</v>
      </c>
      <c r="C221" s="39" t="s">
        <v>336</v>
      </c>
      <c r="D221" s="13" t="s">
        <v>13</v>
      </c>
      <c r="E221" s="123">
        <v>22.68</v>
      </c>
      <c r="F221" s="123"/>
      <c r="G221" s="125"/>
      <c r="H221" s="125"/>
      <c r="I221" s="125">
        <f t="shared" si="44"/>
        <v>22.68</v>
      </c>
      <c r="J221" s="62">
        <f>'BIỂU HỢP ĐỒNG'!J210</f>
        <v>102621</v>
      </c>
      <c r="K221" s="43"/>
      <c r="L221" s="62">
        <f t="shared" si="45"/>
        <v>2327444</v>
      </c>
      <c r="M221" s="43">
        <f t="shared" si="46"/>
        <v>0</v>
      </c>
      <c r="N221" s="43">
        <f t="shared" si="47"/>
        <v>0</v>
      </c>
      <c r="O221" s="43">
        <f t="shared" si="48"/>
        <v>0</v>
      </c>
      <c r="P221" s="43">
        <f t="shared" si="42"/>
        <v>2327444</v>
      </c>
      <c r="Q221" s="100"/>
      <c r="R221" s="117"/>
    </row>
    <row r="222" spans="1:18" ht="31.5" hidden="1" customHeight="1" x14ac:dyDescent="0.25">
      <c r="A222" s="48" t="str">
        <f t="shared" si="43"/>
        <v>TL</v>
      </c>
      <c r="B222" s="32" t="s">
        <v>346</v>
      </c>
      <c r="C222" s="39" t="s">
        <v>246</v>
      </c>
      <c r="D222" s="13" t="s">
        <v>90</v>
      </c>
      <c r="E222" s="123">
        <v>0.13</v>
      </c>
      <c r="F222" s="123"/>
      <c r="G222" s="125"/>
      <c r="H222" s="125"/>
      <c r="I222" s="125">
        <f t="shared" si="44"/>
        <v>0.13</v>
      </c>
      <c r="J222" s="62">
        <f>'BIỂU HỢP ĐỒNG'!J211</f>
        <v>27096238</v>
      </c>
      <c r="K222" s="43"/>
      <c r="L222" s="62">
        <f t="shared" si="45"/>
        <v>3522511</v>
      </c>
      <c r="M222" s="43">
        <f t="shared" si="46"/>
        <v>0</v>
      </c>
      <c r="N222" s="43">
        <f t="shared" si="47"/>
        <v>0</v>
      </c>
      <c r="O222" s="43">
        <f t="shared" si="48"/>
        <v>0</v>
      </c>
      <c r="P222" s="43">
        <f t="shared" si="42"/>
        <v>3522511</v>
      </c>
      <c r="Q222" s="100"/>
      <c r="R222" s="117"/>
    </row>
    <row r="223" spans="1:18" ht="31.5" hidden="1" customHeight="1" x14ac:dyDescent="0.25">
      <c r="A223" s="48" t="str">
        <f t="shared" si="43"/>
        <v>TL</v>
      </c>
      <c r="B223" s="32" t="s">
        <v>347</v>
      </c>
      <c r="C223" s="39" t="s">
        <v>246</v>
      </c>
      <c r="D223" s="13" t="s">
        <v>90</v>
      </c>
      <c r="E223" s="123">
        <v>0.08</v>
      </c>
      <c r="F223" s="123"/>
      <c r="G223" s="125"/>
      <c r="H223" s="125"/>
      <c r="I223" s="125">
        <f t="shared" si="44"/>
        <v>0.08</v>
      </c>
      <c r="J223" s="62">
        <f>'BIỂU HỢP ĐỒNG'!J212</f>
        <v>27096238</v>
      </c>
      <c r="K223" s="43"/>
      <c r="L223" s="62">
        <f t="shared" si="45"/>
        <v>2167699</v>
      </c>
      <c r="M223" s="43">
        <f t="shared" si="46"/>
        <v>0</v>
      </c>
      <c r="N223" s="43">
        <f t="shared" si="47"/>
        <v>0</v>
      </c>
      <c r="O223" s="43">
        <f t="shared" si="48"/>
        <v>0</v>
      </c>
      <c r="P223" s="43">
        <f t="shared" si="42"/>
        <v>2167699</v>
      </c>
      <c r="Q223" s="100"/>
      <c r="R223" s="117"/>
    </row>
    <row r="224" spans="1:18" ht="47.25" hidden="1" customHeight="1" x14ac:dyDescent="0.25">
      <c r="A224" s="48" t="str">
        <f t="shared" si="43"/>
        <v>TL</v>
      </c>
      <c r="B224" s="32" t="s">
        <v>348</v>
      </c>
      <c r="C224" s="39" t="s">
        <v>349</v>
      </c>
      <c r="D224" s="13" t="s">
        <v>250</v>
      </c>
      <c r="E224" s="123">
        <v>12</v>
      </c>
      <c r="F224" s="123"/>
      <c r="G224" s="125"/>
      <c r="H224" s="125"/>
      <c r="I224" s="125">
        <f t="shared" si="44"/>
        <v>12</v>
      </c>
      <c r="J224" s="62">
        <f>'BIỂU HỢP ĐỒNG'!J213</f>
        <v>79217</v>
      </c>
      <c r="K224" s="43"/>
      <c r="L224" s="62">
        <f t="shared" si="45"/>
        <v>950604</v>
      </c>
      <c r="M224" s="43">
        <f t="shared" si="46"/>
        <v>0</v>
      </c>
      <c r="N224" s="43">
        <f t="shared" si="47"/>
        <v>0</v>
      </c>
      <c r="O224" s="43">
        <f t="shared" si="48"/>
        <v>0</v>
      </c>
      <c r="P224" s="43">
        <f t="shared" si="42"/>
        <v>950604</v>
      </c>
      <c r="Q224" s="100"/>
      <c r="R224" s="117"/>
    </row>
    <row r="225" spans="1:18" ht="47.25" hidden="1" customHeight="1" x14ac:dyDescent="0.25">
      <c r="A225" s="48" t="str">
        <f t="shared" si="43"/>
        <v>TL</v>
      </c>
      <c r="B225" s="32" t="s">
        <v>350</v>
      </c>
      <c r="C225" s="39" t="s">
        <v>351</v>
      </c>
      <c r="D225" s="13" t="s">
        <v>250</v>
      </c>
      <c r="E225" s="123">
        <v>12</v>
      </c>
      <c r="F225" s="123"/>
      <c r="G225" s="125"/>
      <c r="H225" s="125"/>
      <c r="I225" s="125">
        <f t="shared" si="44"/>
        <v>12</v>
      </c>
      <c r="J225" s="62">
        <f>'BIỂU HỢP ĐỒNG'!J214</f>
        <v>65424</v>
      </c>
      <c r="K225" s="43"/>
      <c r="L225" s="62">
        <f t="shared" si="45"/>
        <v>785088</v>
      </c>
      <c r="M225" s="43">
        <f t="shared" si="46"/>
        <v>0</v>
      </c>
      <c r="N225" s="43">
        <f t="shared" si="47"/>
        <v>0</v>
      </c>
      <c r="O225" s="43">
        <f t="shared" si="48"/>
        <v>0</v>
      </c>
      <c r="P225" s="43">
        <f t="shared" si="42"/>
        <v>785088</v>
      </c>
      <c r="Q225" s="100"/>
      <c r="R225" s="117"/>
    </row>
    <row r="226" spans="1:18" ht="47.25" hidden="1" customHeight="1" x14ac:dyDescent="0.25">
      <c r="A226" s="48" t="str">
        <f t="shared" si="43"/>
        <v>TL</v>
      </c>
      <c r="B226" s="32" t="s">
        <v>352</v>
      </c>
      <c r="C226" s="39" t="s">
        <v>252</v>
      </c>
      <c r="D226" s="13" t="s">
        <v>253</v>
      </c>
      <c r="E226" s="123">
        <v>1.26</v>
      </c>
      <c r="F226" s="123"/>
      <c r="G226" s="125"/>
      <c r="H226" s="125"/>
      <c r="I226" s="125">
        <f t="shared" si="44"/>
        <v>1.26</v>
      </c>
      <c r="J226" s="62">
        <f>'BIỂU HỢP ĐỒNG'!J215</f>
        <v>32162</v>
      </c>
      <c r="K226" s="43"/>
      <c r="L226" s="62">
        <f t="shared" si="45"/>
        <v>40524</v>
      </c>
      <c r="M226" s="43">
        <f t="shared" si="46"/>
        <v>0</v>
      </c>
      <c r="N226" s="43">
        <f t="shared" si="47"/>
        <v>0</v>
      </c>
      <c r="O226" s="43">
        <f t="shared" si="48"/>
        <v>0</v>
      </c>
      <c r="P226" s="43">
        <f t="shared" si="42"/>
        <v>40524</v>
      </c>
      <c r="Q226" s="100"/>
      <c r="R226" s="117"/>
    </row>
    <row r="227" spans="1:18" ht="47.25" hidden="1" customHeight="1" x14ac:dyDescent="0.25">
      <c r="A227" s="48" t="str">
        <f t="shared" si="43"/>
        <v>TL</v>
      </c>
      <c r="B227" s="32" t="s">
        <v>353</v>
      </c>
      <c r="C227" s="39" t="s">
        <v>255</v>
      </c>
      <c r="D227" s="13" t="s">
        <v>250</v>
      </c>
      <c r="E227" s="123">
        <v>12</v>
      </c>
      <c r="F227" s="123"/>
      <c r="G227" s="125"/>
      <c r="H227" s="125"/>
      <c r="I227" s="125">
        <f t="shared" si="44"/>
        <v>12</v>
      </c>
      <c r="J227" s="62">
        <f>'BIỂU HỢP ĐỒNG'!J216</f>
        <v>42761</v>
      </c>
      <c r="K227" s="43"/>
      <c r="L227" s="62">
        <f t="shared" si="45"/>
        <v>513132</v>
      </c>
      <c r="M227" s="43">
        <f t="shared" si="46"/>
        <v>0</v>
      </c>
      <c r="N227" s="43">
        <f t="shared" si="47"/>
        <v>0</v>
      </c>
      <c r="O227" s="43">
        <f t="shared" si="48"/>
        <v>0</v>
      </c>
      <c r="P227" s="43">
        <f t="shared" si="42"/>
        <v>513132</v>
      </c>
      <c r="Q227" s="100"/>
      <c r="R227" s="117"/>
    </row>
    <row r="228" spans="1:18" ht="31.5" hidden="1" customHeight="1" x14ac:dyDescent="0.25">
      <c r="A228" s="48" t="str">
        <f t="shared" si="43"/>
        <v>TL</v>
      </c>
      <c r="B228" s="32" t="s">
        <v>354</v>
      </c>
      <c r="C228" s="39" t="s">
        <v>355</v>
      </c>
      <c r="D228" s="13" t="s">
        <v>258</v>
      </c>
      <c r="E228" s="123">
        <v>12</v>
      </c>
      <c r="F228" s="123"/>
      <c r="G228" s="125"/>
      <c r="H228" s="125"/>
      <c r="I228" s="125">
        <f t="shared" si="44"/>
        <v>12</v>
      </c>
      <c r="J228" s="62">
        <f>'BIỂU HỢP ĐỒNG'!J217</f>
        <v>452947</v>
      </c>
      <c r="K228" s="43"/>
      <c r="L228" s="62">
        <f t="shared" si="45"/>
        <v>5435364</v>
      </c>
      <c r="M228" s="43">
        <f t="shared" si="46"/>
        <v>0</v>
      </c>
      <c r="N228" s="43">
        <f t="shared" si="47"/>
        <v>0</v>
      </c>
      <c r="O228" s="43">
        <f t="shared" si="48"/>
        <v>0</v>
      </c>
      <c r="P228" s="43">
        <f t="shared" si="42"/>
        <v>5435364</v>
      </c>
      <c r="Q228" s="100"/>
      <c r="R228" s="117"/>
    </row>
    <row r="229" spans="1:18" ht="31.5" hidden="1" customHeight="1" x14ac:dyDescent="0.25">
      <c r="A229" s="48" t="str">
        <f t="shared" si="43"/>
        <v>TL</v>
      </c>
      <c r="B229" s="32" t="s">
        <v>356</v>
      </c>
      <c r="C229" s="39" t="s">
        <v>357</v>
      </c>
      <c r="D229" s="13" t="s">
        <v>16</v>
      </c>
      <c r="E229" s="123">
        <v>1.25</v>
      </c>
      <c r="F229" s="123"/>
      <c r="G229" s="125"/>
      <c r="H229" s="125"/>
      <c r="I229" s="125">
        <f t="shared" si="44"/>
        <v>1.25</v>
      </c>
      <c r="J229" s="62">
        <f>'BIỂU HỢP ĐỒNG'!J218</f>
        <v>1399730</v>
      </c>
      <c r="K229" s="43"/>
      <c r="L229" s="62">
        <f t="shared" si="45"/>
        <v>1749663</v>
      </c>
      <c r="M229" s="43">
        <f t="shared" si="46"/>
        <v>0</v>
      </c>
      <c r="N229" s="43">
        <f t="shared" si="47"/>
        <v>0</v>
      </c>
      <c r="O229" s="43">
        <f t="shared" si="48"/>
        <v>0</v>
      </c>
      <c r="P229" s="43">
        <f t="shared" si="42"/>
        <v>1749663</v>
      </c>
      <c r="Q229" s="100"/>
      <c r="R229" s="117"/>
    </row>
    <row r="230" spans="1:18" hidden="1" x14ac:dyDescent="0.25">
      <c r="A230" s="48" t="str">
        <f t="shared" si="43"/>
        <v>TL</v>
      </c>
      <c r="B230" s="32" t="s">
        <v>358</v>
      </c>
      <c r="C230" s="39" t="s">
        <v>125</v>
      </c>
      <c r="D230" s="13" t="s">
        <v>13</v>
      </c>
      <c r="E230" s="123">
        <v>3.63</v>
      </c>
      <c r="F230" s="123"/>
      <c r="G230" s="125"/>
      <c r="H230" s="125"/>
      <c r="I230" s="125">
        <f t="shared" si="44"/>
        <v>3.63</v>
      </c>
      <c r="J230" s="62">
        <f>'BIỂU HỢP ĐỒNG'!J219</f>
        <v>104798</v>
      </c>
      <c r="K230" s="43"/>
      <c r="L230" s="62">
        <f t="shared" si="45"/>
        <v>380417</v>
      </c>
      <c r="M230" s="43">
        <f t="shared" si="46"/>
        <v>0</v>
      </c>
      <c r="N230" s="43">
        <f t="shared" si="47"/>
        <v>0</v>
      </c>
      <c r="O230" s="43">
        <f t="shared" si="48"/>
        <v>0</v>
      </c>
      <c r="P230" s="43">
        <f t="shared" si="42"/>
        <v>380417</v>
      </c>
      <c r="Q230" s="100"/>
      <c r="R230" s="117"/>
    </row>
    <row r="231" spans="1:18" ht="31.5" hidden="1" customHeight="1" x14ac:dyDescent="0.25">
      <c r="A231" s="48" t="str">
        <f t="shared" si="43"/>
        <v>TL</v>
      </c>
      <c r="B231" s="32" t="s">
        <v>359</v>
      </c>
      <c r="C231" s="39" t="s">
        <v>240</v>
      </c>
      <c r="D231" s="13" t="s">
        <v>16</v>
      </c>
      <c r="E231" s="123">
        <v>5.93</v>
      </c>
      <c r="F231" s="123"/>
      <c r="G231" s="125"/>
      <c r="H231" s="125"/>
      <c r="I231" s="125">
        <f t="shared" si="44"/>
        <v>5.93</v>
      </c>
      <c r="J231" s="62">
        <f>'BIỂU HỢP ĐỒNG'!J220</f>
        <v>842139</v>
      </c>
      <c r="K231" s="43"/>
      <c r="L231" s="62">
        <f t="shared" si="45"/>
        <v>4993884</v>
      </c>
      <c r="M231" s="43">
        <f t="shared" si="46"/>
        <v>0</v>
      </c>
      <c r="N231" s="43">
        <f t="shared" si="47"/>
        <v>0</v>
      </c>
      <c r="O231" s="43">
        <f t="shared" si="48"/>
        <v>0</v>
      </c>
      <c r="P231" s="43">
        <f t="shared" si="42"/>
        <v>4993884</v>
      </c>
      <c r="Q231" s="100"/>
      <c r="R231" s="117"/>
    </row>
    <row r="232" spans="1:18" hidden="1" x14ac:dyDescent="0.25">
      <c r="A232" s="48" t="str">
        <f t="shared" si="43"/>
        <v>TL</v>
      </c>
      <c r="B232" s="32" t="s">
        <v>360</v>
      </c>
      <c r="C232" s="39" t="s">
        <v>361</v>
      </c>
      <c r="D232" s="13" t="s">
        <v>362</v>
      </c>
      <c r="E232" s="123">
        <v>29</v>
      </c>
      <c r="F232" s="123"/>
      <c r="G232" s="125"/>
      <c r="H232" s="125"/>
      <c r="I232" s="125">
        <f t="shared" si="44"/>
        <v>29</v>
      </c>
      <c r="J232" s="62">
        <f>'BIỂU HỢP ĐỒNG'!J221</f>
        <v>854417</v>
      </c>
      <c r="K232" s="43"/>
      <c r="L232" s="62">
        <f t="shared" si="45"/>
        <v>24778093</v>
      </c>
      <c r="M232" s="43">
        <f t="shared" si="46"/>
        <v>0</v>
      </c>
      <c r="N232" s="43">
        <f t="shared" si="47"/>
        <v>0</v>
      </c>
      <c r="O232" s="43">
        <f t="shared" si="48"/>
        <v>0</v>
      </c>
      <c r="P232" s="43">
        <f t="shared" si="42"/>
        <v>24778093</v>
      </c>
      <c r="Q232" s="100"/>
      <c r="R232" s="117"/>
    </row>
    <row r="233" spans="1:18" hidden="1" x14ac:dyDescent="0.25">
      <c r="A233" s="48" t="str">
        <f t="shared" si="43"/>
        <v>TL</v>
      </c>
      <c r="B233" s="32" t="s">
        <v>363</v>
      </c>
      <c r="C233" s="39" t="s">
        <v>364</v>
      </c>
      <c r="D233" s="13" t="s">
        <v>13</v>
      </c>
      <c r="E233" s="123">
        <v>1.72</v>
      </c>
      <c r="F233" s="123"/>
      <c r="G233" s="125"/>
      <c r="H233" s="125"/>
      <c r="I233" s="125">
        <f t="shared" si="44"/>
        <v>1.72</v>
      </c>
      <c r="J233" s="62">
        <f>'BIỂU HỢP ĐỒNG'!J222</f>
        <v>96659</v>
      </c>
      <c r="K233" s="43"/>
      <c r="L233" s="62">
        <f t="shared" si="45"/>
        <v>166253</v>
      </c>
      <c r="M233" s="43">
        <f t="shared" si="46"/>
        <v>0</v>
      </c>
      <c r="N233" s="43">
        <f t="shared" si="47"/>
        <v>0</v>
      </c>
      <c r="O233" s="43">
        <f t="shared" si="48"/>
        <v>0</v>
      </c>
      <c r="P233" s="43">
        <f t="shared" si="42"/>
        <v>166253</v>
      </c>
      <c r="Q233" s="100"/>
      <c r="R233" s="117"/>
    </row>
    <row r="234" spans="1:18" hidden="1" x14ac:dyDescent="0.25">
      <c r="A234" s="48" t="str">
        <f t="shared" si="43"/>
        <v>TL</v>
      </c>
      <c r="B234" s="32" t="s">
        <v>365</v>
      </c>
      <c r="C234" s="39" t="s">
        <v>366</v>
      </c>
      <c r="D234" s="13" t="s">
        <v>13</v>
      </c>
      <c r="E234" s="123">
        <v>63.52</v>
      </c>
      <c r="F234" s="123"/>
      <c r="G234" s="125"/>
      <c r="H234" s="125"/>
      <c r="I234" s="125">
        <f t="shared" si="44"/>
        <v>63.52</v>
      </c>
      <c r="J234" s="62">
        <f>'BIỂU HỢP ĐỒNG'!J223</f>
        <v>72328</v>
      </c>
      <c r="K234" s="43"/>
      <c r="L234" s="62">
        <f t="shared" si="45"/>
        <v>4594275</v>
      </c>
      <c r="M234" s="43">
        <f t="shared" si="46"/>
        <v>0</v>
      </c>
      <c r="N234" s="43">
        <f t="shared" si="47"/>
        <v>0</v>
      </c>
      <c r="O234" s="43">
        <f t="shared" si="48"/>
        <v>0</v>
      </c>
      <c r="P234" s="43">
        <f t="shared" si="42"/>
        <v>4594275</v>
      </c>
      <c r="Q234" s="100"/>
      <c r="R234" s="117"/>
    </row>
    <row r="235" spans="1:18" ht="31.5" hidden="1" customHeight="1" x14ac:dyDescent="0.25">
      <c r="A235" s="48" t="str">
        <f t="shared" si="43"/>
        <v>TL</v>
      </c>
      <c r="B235" s="32" t="s">
        <v>367</v>
      </c>
      <c r="C235" s="39" t="s">
        <v>368</v>
      </c>
      <c r="D235" s="13" t="s">
        <v>16</v>
      </c>
      <c r="E235" s="123">
        <v>2.59</v>
      </c>
      <c r="F235" s="123"/>
      <c r="G235" s="125"/>
      <c r="H235" s="125"/>
      <c r="I235" s="125">
        <f t="shared" si="44"/>
        <v>2.59</v>
      </c>
      <c r="J235" s="62">
        <f>'BIỂU HỢP ĐỒNG'!J224</f>
        <v>1881449</v>
      </c>
      <c r="K235" s="43"/>
      <c r="L235" s="62">
        <f t="shared" si="45"/>
        <v>4872953</v>
      </c>
      <c r="M235" s="43">
        <f t="shared" si="46"/>
        <v>0</v>
      </c>
      <c r="N235" s="43">
        <f t="shared" si="47"/>
        <v>0</v>
      </c>
      <c r="O235" s="43">
        <f t="shared" si="48"/>
        <v>0</v>
      </c>
      <c r="P235" s="43">
        <f t="shared" si="42"/>
        <v>4872953</v>
      </c>
      <c r="Q235" s="100"/>
      <c r="R235" s="117"/>
    </row>
    <row r="236" spans="1:18" hidden="1" x14ac:dyDescent="0.25">
      <c r="A236" s="48" t="str">
        <f t="shared" si="43"/>
        <v>TL</v>
      </c>
      <c r="B236" s="32" t="s">
        <v>369</v>
      </c>
      <c r="C236" s="39" t="s">
        <v>125</v>
      </c>
      <c r="D236" s="13" t="s">
        <v>13</v>
      </c>
      <c r="E236" s="123">
        <v>9.4</v>
      </c>
      <c r="F236" s="123"/>
      <c r="G236" s="125"/>
      <c r="H236" s="125"/>
      <c r="I236" s="125">
        <f t="shared" ref="I236:I267" si="49">SUM(E236:H236)</f>
        <v>9.4</v>
      </c>
      <c r="J236" s="62">
        <f>'BIỂU HỢP ĐỒNG'!J225</f>
        <v>104798</v>
      </c>
      <c r="K236" s="43"/>
      <c r="L236" s="62">
        <f t="shared" ref="L236:L267" si="50">+ROUND(J236*E236,0)</f>
        <v>985101</v>
      </c>
      <c r="M236" s="43">
        <f t="shared" ref="M236:M267" si="51">+ROUND(F236*J236,0)</f>
        <v>0</v>
      </c>
      <c r="N236" s="43">
        <f t="shared" ref="N236:N267" si="52">+ROUND(G236*J236,0)</f>
        <v>0</v>
      </c>
      <c r="O236" s="43">
        <f t="shared" ref="O236:O267" si="53">+ROUND(H236*J236,0)</f>
        <v>0</v>
      </c>
      <c r="P236" s="43">
        <f t="shared" si="42"/>
        <v>985101</v>
      </c>
      <c r="Q236" s="100"/>
      <c r="R236" s="117"/>
    </row>
    <row r="237" spans="1:18" ht="31.5" hidden="1" customHeight="1" x14ac:dyDescent="0.25">
      <c r="A237" s="48" t="str">
        <f t="shared" si="43"/>
        <v>TL</v>
      </c>
      <c r="B237" s="32" t="s">
        <v>370</v>
      </c>
      <c r="C237" s="39" t="s">
        <v>368</v>
      </c>
      <c r="D237" s="13" t="s">
        <v>16</v>
      </c>
      <c r="E237" s="123">
        <v>0.98</v>
      </c>
      <c r="F237" s="123"/>
      <c r="G237" s="125"/>
      <c r="H237" s="125"/>
      <c r="I237" s="125">
        <f t="shared" si="49"/>
        <v>0.98</v>
      </c>
      <c r="J237" s="62">
        <f>'BIỂU HỢP ĐỒNG'!J226</f>
        <v>1881449</v>
      </c>
      <c r="K237" s="43"/>
      <c r="L237" s="62">
        <f t="shared" si="50"/>
        <v>1843820</v>
      </c>
      <c r="M237" s="43">
        <f t="shared" si="51"/>
        <v>0</v>
      </c>
      <c r="N237" s="43">
        <f t="shared" si="52"/>
        <v>0</v>
      </c>
      <c r="O237" s="43">
        <f t="shared" si="53"/>
        <v>0</v>
      </c>
      <c r="P237" s="43">
        <f t="shared" si="42"/>
        <v>1843820</v>
      </c>
      <c r="Q237" s="100"/>
      <c r="R237" s="117"/>
    </row>
    <row r="238" spans="1:18" hidden="1" x14ac:dyDescent="0.25">
      <c r="A238" s="48" t="str">
        <f t="shared" si="43"/>
        <v>TL</v>
      </c>
      <c r="B238" s="32" t="s">
        <v>371</v>
      </c>
      <c r="C238" s="39" t="s">
        <v>125</v>
      </c>
      <c r="D238" s="13" t="s">
        <v>13</v>
      </c>
      <c r="E238" s="123">
        <v>4.05</v>
      </c>
      <c r="F238" s="123"/>
      <c r="G238" s="125"/>
      <c r="H238" s="125"/>
      <c r="I238" s="125">
        <f t="shared" si="49"/>
        <v>4.05</v>
      </c>
      <c r="J238" s="62">
        <f>'BIỂU HỢP ĐỒNG'!J227</f>
        <v>104798</v>
      </c>
      <c r="K238" s="43"/>
      <c r="L238" s="62">
        <f t="shared" si="50"/>
        <v>424432</v>
      </c>
      <c r="M238" s="43">
        <f t="shared" si="51"/>
        <v>0</v>
      </c>
      <c r="N238" s="43">
        <f t="shared" si="52"/>
        <v>0</v>
      </c>
      <c r="O238" s="43">
        <f t="shared" si="53"/>
        <v>0</v>
      </c>
      <c r="P238" s="43">
        <f t="shared" si="42"/>
        <v>424432</v>
      </c>
      <c r="Q238" s="100"/>
      <c r="R238" s="117"/>
    </row>
    <row r="239" spans="1:18" ht="31.5" hidden="1" customHeight="1" x14ac:dyDescent="0.25">
      <c r="A239" s="48" t="str">
        <f t="shared" si="43"/>
        <v>TL</v>
      </c>
      <c r="B239" s="32" t="s">
        <v>372</v>
      </c>
      <c r="C239" s="39" t="s">
        <v>357</v>
      </c>
      <c r="D239" s="13" t="s">
        <v>16</v>
      </c>
      <c r="E239" s="123">
        <v>9.5</v>
      </c>
      <c r="F239" s="123"/>
      <c r="G239" s="125"/>
      <c r="H239" s="125"/>
      <c r="I239" s="125">
        <f t="shared" si="49"/>
        <v>9.5</v>
      </c>
      <c r="J239" s="62">
        <f>'BIỂU HỢP ĐỒNG'!J228</f>
        <v>1399730</v>
      </c>
      <c r="K239" s="43"/>
      <c r="L239" s="62">
        <f t="shared" si="50"/>
        <v>13297435</v>
      </c>
      <c r="M239" s="43">
        <f t="shared" si="51"/>
        <v>0</v>
      </c>
      <c r="N239" s="43">
        <f t="shared" si="52"/>
        <v>0</v>
      </c>
      <c r="O239" s="43">
        <f t="shared" si="53"/>
        <v>0</v>
      </c>
      <c r="P239" s="43">
        <f t="shared" si="42"/>
        <v>13297435</v>
      </c>
      <c r="Q239" s="100"/>
      <c r="R239" s="117"/>
    </row>
    <row r="240" spans="1:18" ht="31.5" hidden="1" customHeight="1" x14ac:dyDescent="0.25">
      <c r="A240" s="48" t="str">
        <f t="shared" si="43"/>
        <v>TL</v>
      </c>
      <c r="B240" s="32" t="s">
        <v>373</v>
      </c>
      <c r="C240" s="39" t="s">
        <v>240</v>
      </c>
      <c r="D240" s="13" t="s">
        <v>16</v>
      </c>
      <c r="E240" s="123">
        <v>0.68</v>
      </c>
      <c r="F240" s="123"/>
      <c r="G240" s="125"/>
      <c r="H240" s="125"/>
      <c r="I240" s="125">
        <f t="shared" si="49"/>
        <v>0.68</v>
      </c>
      <c r="J240" s="62">
        <f>'BIỂU HỢP ĐỒNG'!J229</f>
        <v>842139</v>
      </c>
      <c r="K240" s="43"/>
      <c r="L240" s="62">
        <f t="shared" si="50"/>
        <v>572655</v>
      </c>
      <c r="M240" s="43">
        <f t="shared" si="51"/>
        <v>0</v>
      </c>
      <c r="N240" s="43">
        <f t="shared" si="52"/>
        <v>0</v>
      </c>
      <c r="O240" s="43">
        <f t="shared" si="53"/>
        <v>0</v>
      </c>
      <c r="P240" s="43">
        <f t="shared" ref="P240:P303" si="54">SUM(L240:O240)</f>
        <v>572655</v>
      </c>
      <c r="Q240" s="100"/>
      <c r="R240" s="117"/>
    </row>
    <row r="241" spans="1:18" hidden="1" x14ac:dyDescent="0.25">
      <c r="A241" s="48" t="str">
        <f t="shared" si="43"/>
        <v>TL</v>
      </c>
      <c r="B241" s="32" t="s">
        <v>374</v>
      </c>
      <c r="C241" s="39" t="s">
        <v>125</v>
      </c>
      <c r="D241" s="13" t="s">
        <v>13</v>
      </c>
      <c r="E241" s="123">
        <v>21.9</v>
      </c>
      <c r="F241" s="123"/>
      <c r="G241" s="125"/>
      <c r="H241" s="125"/>
      <c r="I241" s="125">
        <f t="shared" si="49"/>
        <v>21.9</v>
      </c>
      <c r="J241" s="62">
        <f>'BIỂU HỢP ĐỒNG'!J230</f>
        <v>104798</v>
      </c>
      <c r="K241" s="43"/>
      <c r="L241" s="62">
        <f t="shared" si="50"/>
        <v>2295076</v>
      </c>
      <c r="M241" s="43">
        <f t="shared" si="51"/>
        <v>0</v>
      </c>
      <c r="N241" s="43">
        <f t="shared" si="52"/>
        <v>0</v>
      </c>
      <c r="O241" s="43">
        <f t="shared" si="53"/>
        <v>0</v>
      </c>
      <c r="P241" s="43">
        <f t="shared" si="54"/>
        <v>2295076</v>
      </c>
      <c r="Q241" s="100"/>
      <c r="R241" s="117"/>
    </row>
    <row r="242" spans="1:18" ht="31.5" hidden="1" customHeight="1" x14ac:dyDescent="0.25">
      <c r="A242" s="48" t="str">
        <f t="shared" si="43"/>
        <v>TL</v>
      </c>
      <c r="B242" s="32" t="s">
        <v>375</v>
      </c>
      <c r="C242" s="39" t="s">
        <v>376</v>
      </c>
      <c r="D242" s="13" t="s">
        <v>16</v>
      </c>
      <c r="E242" s="123">
        <v>2.5499999999999998</v>
      </c>
      <c r="F242" s="123"/>
      <c r="G242" s="125"/>
      <c r="H242" s="125"/>
      <c r="I242" s="125">
        <f t="shared" si="49"/>
        <v>2.5499999999999998</v>
      </c>
      <c r="J242" s="62">
        <f>'BIỂU HỢP ĐỒNG'!J231</f>
        <v>1399730</v>
      </c>
      <c r="K242" s="43"/>
      <c r="L242" s="62">
        <f t="shared" si="50"/>
        <v>3569312</v>
      </c>
      <c r="M242" s="43">
        <f t="shared" si="51"/>
        <v>0</v>
      </c>
      <c r="N242" s="43">
        <f t="shared" si="52"/>
        <v>0</v>
      </c>
      <c r="O242" s="43">
        <f t="shared" si="53"/>
        <v>0</v>
      </c>
      <c r="P242" s="43">
        <f t="shared" si="54"/>
        <v>3569312</v>
      </c>
      <c r="Q242" s="100"/>
      <c r="R242" s="117"/>
    </row>
    <row r="243" spans="1:18" ht="31.5" hidden="1" customHeight="1" x14ac:dyDescent="0.25">
      <c r="A243" s="48" t="str">
        <f t="shared" si="43"/>
        <v>TL</v>
      </c>
      <c r="B243" s="32" t="s">
        <v>377</v>
      </c>
      <c r="C243" s="39" t="s">
        <v>240</v>
      </c>
      <c r="D243" s="13" t="s">
        <v>16</v>
      </c>
      <c r="E243" s="123">
        <v>0.53</v>
      </c>
      <c r="F243" s="123"/>
      <c r="G243" s="125"/>
      <c r="H243" s="125"/>
      <c r="I243" s="125">
        <f t="shared" si="49"/>
        <v>0.53</v>
      </c>
      <c r="J243" s="62">
        <f>'BIỂU HỢP ĐỒNG'!J232</f>
        <v>842139</v>
      </c>
      <c r="K243" s="43"/>
      <c r="L243" s="62">
        <f t="shared" si="50"/>
        <v>446334</v>
      </c>
      <c r="M243" s="43">
        <f t="shared" si="51"/>
        <v>0</v>
      </c>
      <c r="N243" s="43">
        <f t="shared" si="52"/>
        <v>0</v>
      </c>
      <c r="O243" s="43">
        <f t="shared" si="53"/>
        <v>0</v>
      </c>
      <c r="P243" s="43">
        <f t="shared" si="54"/>
        <v>446334</v>
      </c>
      <c r="Q243" s="100"/>
      <c r="R243" s="117"/>
    </row>
    <row r="244" spans="1:18" hidden="1" x14ac:dyDescent="0.25">
      <c r="A244" s="48" t="str">
        <f t="shared" si="43"/>
        <v>TL</v>
      </c>
      <c r="B244" s="32" t="s">
        <v>378</v>
      </c>
      <c r="C244" s="39" t="s">
        <v>125</v>
      </c>
      <c r="D244" s="13" t="s">
        <v>13</v>
      </c>
      <c r="E244" s="123">
        <v>15.52</v>
      </c>
      <c r="F244" s="123"/>
      <c r="G244" s="125"/>
      <c r="H244" s="125"/>
      <c r="I244" s="125">
        <f t="shared" si="49"/>
        <v>15.52</v>
      </c>
      <c r="J244" s="62">
        <f>'BIỂU HỢP ĐỒNG'!J233</f>
        <v>104798</v>
      </c>
      <c r="K244" s="43"/>
      <c r="L244" s="62">
        <f t="shared" si="50"/>
        <v>1626465</v>
      </c>
      <c r="M244" s="43">
        <f t="shared" si="51"/>
        <v>0</v>
      </c>
      <c r="N244" s="43">
        <f t="shared" si="52"/>
        <v>0</v>
      </c>
      <c r="O244" s="43">
        <f t="shared" si="53"/>
        <v>0</v>
      </c>
      <c r="P244" s="43">
        <f t="shared" si="54"/>
        <v>1626465</v>
      </c>
      <c r="Q244" s="100"/>
      <c r="R244" s="117"/>
    </row>
    <row r="245" spans="1:18" ht="31.5" hidden="1" customHeight="1" x14ac:dyDescent="0.25">
      <c r="A245" s="48" t="str">
        <f t="shared" si="43"/>
        <v>TL</v>
      </c>
      <c r="B245" s="32" t="s">
        <v>379</v>
      </c>
      <c r="C245" s="39" t="s">
        <v>380</v>
      </c>
      <c r="D245" s="13" t="s">
        <v>16</v>
      </c>
      <c r="E245" s="123">
        <v>3.28</v>
      </c>
      <c r="F245" s="123"/>
      <c r="G245" s="125"/>
      <c r="H245" s="125"/>
      <c r="I245" s="125">
        <f t="shared" si="49"/>
        <v>3.28</v>
      </c>
      <c r="J245" s="62">
        <f>'BIỂU HỢP ĐỒNG'!J234</f>
        <v>1388494</v>
      </c>
      <c r="K245" s="43"/>
      <c r="L245" s="62">
        <f t="shared" si="50"/>
        <v>4554260</v>
      </c>
      <c r="M245" s="43">
        <f t="shared" si="51"/>
        <v>0</v>
      </c>
      <c r="N245" s="43">
        <f t="shared" si="52"/>
        <v>0</v>
      </c>
      <c r="O245" s="43">
        <f t="shared" si="53"/>
        <v>0</v>
      </c>
      <c r="P245" s="43">
        <f t="shared" si="54"/>
        <v>4554260</v>
      </c>
      <c r="Q245" s="100"/>
      <c r="R245" s="117"/>
    </row>
    <row r="246" spans="1:18" ht="31.5" hidden="1" customHeight="1" x14ac:dyDescent="0.25">
      <c r="A246" s="48" t="str">
        <f t="shared" si="43"/>
        <v>TL</v>
      </c>
      <c r="B246" s="32" t="s">
        <v>381</v>
      </c>
      <c r="C246" s="39" t="s">
        <v>240</v>
      </c>
      <c r="D246" s="13" t="s">
        <v>16</v>
      </c>
      <c r="E246" s="123">
        <v>1.31</v>
      </c>
      <c r="F246" s="123"/>
      <c r="G246" s="125"/>
      <c r="H246" s="125"/>
      <c r="I246" s="125">
        <f t="shared" si="49"/>
        <v>1.31</v>
      </c>
      <c r="J246" s="62">
        <f>'BIỂU HỢP ĐỒNG'!J235</f>
        <v>842139</v>
      </c>
      <c r="K246" s="43"/>
      <c r="L246" s="62">
        <f t="shared" si="50"/>
        <v>1103202</v>
      </c>
      <c r="M246" s="43">
        <f t="shared" si="51"/>
        <v>0</v>
      </c>
      <c r="N246" s="43">
        <f t="shared" si="52"/>
        <v>0</v>
      </c>
      <c r="O246" s="43">
        <f t="shared" si="53"/>
        <v>0</v>
      </c>
      <c r="P246" s="43">
        <f t="shared" si="54"/>
        <v>1103202</v>
      </c>
      <c r="Q246" s="100"/>
      <c r="R246" s="117"/>
    </row>
    <row r="247" spans="1:18" ht="31.5" hidden="1" customHeight="1" x14ac:dyDescent="0.25">
      <c r="A247" s="48" t="str">
        <f t="shared" si="43"/>
        <v>TL</v>
      </c>
      <c r="B247" s="32" t="s">
        <v>382</v>
      </c>
      <c r="C247" s="39" t="s">
        <v>380</v>
      </c>
      <c r="D247" s="13" t="s">
        <v>16</v>
      </c>
      <c r="E247" s="123">
        <v>1.1000000000000001</v>
      </c>
      <c r="F247" s="123"/>
      <c r="G247" s="125"/>
      <c r="H247" s="125"/>
      <c r="I247" s="125">
        <f t="shared" si="49"/>
        <v>1.1000000000000001</v>
      </c>
      <c r="J247" s="62">
        <f>'BIỂU HỢP ĐỒNG'!J236</f>
        <v>1332575</v>
      </c>
      <c r="K247" s="43"/>
      <c r="L247" s="62">
        <f t="shared" si="50"/>
        <v>1465833</v>
      </c>
      <c r="M247" s="43">
        <f t="shared" si="51"/>
        <v>0</v>
      </c>
      <c r="N247" s="43">
        <f t="shared" si="52"/>
        <v>0</v>
      </c>
      <c r="O247" s="43">
        <f t="shared" si="53"/>
        <v>0</v>
      </c>
      <c r="P247" s="43">
        <f t="shared" si="54"/>
        <v>1465833</v>
      </c>
      <c r="Q247" s="100"/>
      <c r="R247" s="117"/>
    </row>
    <row r="248" spans="1:18" ht="31.5" hidden="1" customHeight="1" x14ac:dyDescent="0.25">
      <c r="A248" s="48" t="str">
        <f t="shared" si="43"/>
        <v>TL</v>
      </c>
      <c r="B248" s="32" t="s">
        <v>383</v>
      </c>
      <c r="C248" s="39" t="s">
        <v>240</v>
      </c>
      <c r="D248" s="13" t="s">
        <v>16</v>
      </c>
      <c r="E248" s="123">
        <v>0.22</v>
      </c>
      <c r="F248" s="123"/>
      <c r="G248" s="125"/>
      <c r="H248" s="125"/>
      <c r="I248" s="125">
        <f t="shared" si="49"/>
        <v>0.22</v>
      </c>
      <c r="J248" s="62">
        <f>'BIỂU HỢP ĐỒNG'!J237</f>
        <v>842139</v>
      </c>
      <c r="K248" s="43"/>
      <c r="L248" s="62">
        <f t="shared" si="50"/>
        <v>185271</v>
      </c>
      <c r="M248" s="43">
        <f t="shared" si="51"/>
        <v>0</v>
      </c>
      <c r="N248" s="43">
        <f t="shared" si="52"/>
        <v>0</v>
      </c>
      <c r="O248" s="43">
        <f t="shared" si="53"/>
        <v>0</v>
      </c>
      <c r="P248" s="43">
        <f t="shared" si="54"/>
        <v>185271</v>
      </c>
      <c r="Q248" s="100"/>
      <c r="R248" s="117"/>
    </row>
    <row r="249" spans="1:18" ht="31.5" hidden="1" customHeight="1" x14ac:dyDescent="0.25">
      <c r="A249" s="48" t="str">
        <f t="shared" si="43"/>
        <v>TL</v>
      </c>
      <c r="B249" s="32" t="s">
        <v>384</v>
      </c>
      <c r="C249" s="39" t="s">
        <v>357</v>
      </c>
      <c r="D249" s="13" t="s">
        <v>16</v>
      </c>
      <c r="E249" s="123">
        <v>1.4</v>
      </c>
      <c r="F249" s="123"/>
      <c r="G249" s="125"/>
      <c r="H249" s="125"/>
      <c r="I249" s="125">
        <f t="shared" si="49"/>
        <v>1.4</v>
      </c>
      <c r="J249" s="62">
        <f>'BIỂU HỢP ĐỒNG'!J238</f>
        <v>1399730</v>
      </c>
      <c r="K249" s="43"/>
      <c r="L249" s="62">
        <f t="shared" si="50"/>
        <v>1959622</v>
      </c>
      <c r="M249" s="43">
        <f t="shared" si="51"/>
        <v>0</v>
      </c>
      <c r="N249" s="43">
        <f t="shared" si="52"/>
        <v>0</v>
      </c>
      <c r="O249" s="43">
        <f t="shared" si="53"/>
        <v>0</v>
      </c>
      <c r="P249" s="43">
        <f t="shared" si="54"/>
        <v>1959622</v>
      </c>
      <c r="Q249" s="100"/>
      <c r="R249" s="117"/>
    </row>
    <row r="250" spans="1:18" hidden="1" x14ac:dyDescent="0.25">
      <c r="A250" s="48" t="str">
        <f t="shared" si="43"/>
        <v>TL</v>
      </c>
      <c r="B250" s="32" t="s">
        <v>385</v>
      </c>
      <c r="C250" s="39" t="s">
        <v>125</v>
      </c>
      <c r="D250" s="13" t="s">
        <v>13</v>
      </c>
      <c r="E250" s="123">
        <v>1.52</v>
      </c>
      <c r="F250" s="123"/>
      <c r="G250" s="125"/>
      <c r="H250" s="125"/>
      <c r="I250" s="125">
        <f t="shared" si="49"/>
        <v>1.52</v>
      </c>
      <c r="J250" s="62">
        <f>'BIỂU HỢP ĐỒNG'!J239</f>
        <v>104798</v>
      </c>
      <c r="K250" s="43"/>
      <c r="L250" s="62">
        <f t="shared" si="50"/>
        <v>159293</v>
      </c>
      <c r="M250" s="43">
        <f t="shared" si="51"/>
        <v>0</v>
      </c>
      <c r="N250" s="43">
        <f t="shared" si="52"/>
        <v>0</v>
      </c>
      <c r="O250" s="43">
        <f t="shared" si="53"/>
        <v>0</v>
      </c>
      <c r="P250" s="43">
        <f t="shared" si="54"/>
        <v>159293</v>
      </c>
      <c r="Q250" s="100"/>
      <c r="R250" s="117"/>
    </row>
    <row r="251" spans="1:18" hidden="1" x14ac:dyDescent="0.25">
      <c r="A251" s="48" t="str">
        <f t="shared" si="43"/>
        <v>TL</v>
      </c>
      <c r="B251" s="32" t="s">
        <v>386</v>
      </c>
      <c r="C251" s="39" t="s">
        <v>387</v>
      </c>
      <c r="D251" s="13" t="s">
        <v>16</v>
      </c>
      <c r="E251" s="123">
        <v>1.94</v>
      </c>
      <c r="F251" s="123"/>
      <c r="G251" s="125"/>
      <c r="H251" s="125"/>
      <c r="I251" s="125">
        <f t="shared" si="49"/>
        <v>1.94</v>
      </c>
      <c r="J251" s="62">
        <f>'BIỂU HỢP ĐỒNG'!J240</f>
        <v>667791</v>
      </c>
      <c r="K251" s="43"/>
      <c r="L251" s="62">
        <f t="shared" si="50"/>
        <v>1295515</v>
      </c>
      <c r="M251" s="43">
        <f t="shared" si="51"/>
        <v>0</v>
      </c>
      <c r="N251" s="43">
        <f t="shared" si="52"/>
        <v>0</v>
      </c>
      <c r="O251" s="43">
        <f t="shared" si="53"/>
        <v>0</v>
      </c>
      <c r="P251" s="43">
        <f t="shared" si="54"/>
        <v>1295515</v>
      </c>
      <c r="Q251" s="100"/>
      <c r="R251" s="117"/>
    </row>
    <row r="252" spans="1:18" ht="47.25" hidden="1" customHeight="1" x14ac:dyDescent="0.25">
      <c r="A252" s="48" t="str">
        <f t="shared" si="43"/>
        <v>TL</v>
      </c>
      <c r="B252" s="32" t="s">
        <v>388</v>
      </c>
      <c r="C252" s="39" t="s">
        <v>120</v>
      </c>
      <c r="D252" s="13" t="s">
        <v>16</v>
      </c>
      <c r="E252" s="123">
        <v>4.8099999999999996</v>
      </c>
      <c r="F252" s="123"/>
      <c r="G252" s="125"/>
      <c r="H252" s="125"/>
      <c r="I252" s="125">
        <f t="shared" si="49"/>
        <v>4.8099999999999996</v>
      </c>
      <c r="J252" s="62">
        <f>'BIỂU HỢP ĐỒNG'!J241</f>
        <v>1191268</v>
      </c>
      <c r="K252" s="43"/>
      <c r="L252" s="62">
        <f t="shared" si="50"/>
        <v>5729999</v>
      </c>
      <c r="M252" s="43">
        <f t="shared" si="51"/>
        <v>0</v>
      </c>
      <c r="N252" s="43">
        <f t="shared" si="52"/>
        <v>0</v>
      </c>
      <c r="O252" s="43">
        <f t="shared" si="53"/>
        <v>0</v>
      </c>
      <c r="P252" s="43">
        <f t="shared" si="54"/>
        <v>5729999</v>
      </c>
      <c r="Q252" s="100"/>
      <c r="R252" s="117"/>
    </row>
    <row r="253" spans="1:18" hidden="1" x14ac:dyDescent="0.25">
      <c r="A253" s="48" t="str">
        <f t="shared" si="43"/>
        <v>TL</v>
      </c>
      <c r="B253" s="32" t="s">
        <v>389</v>
      </c>
      <c r="C253" s="39" t="s">
        <v>125</v>
      </c>
      <c r="D253" s="13" t="s">
        <v>13</v>
      </c>
      <c r="E253" s="123">
        <v>15.66</v>
      </c>
      <c r="F253" s="123"/>
      <c r="G253" s="125"/>
      <c r="H253" s="125"/>
      <c r="I253" s="125">
        <f t="shared" si="49"/>
        <v>15.66</v>
      </c>
      <c r="J253" s="62">
        <f>'BIỂU HỢP ĐỒNG'!J242</f>
        <v>104798</v>
      </c>
      <c r="K253" s="43"/>
      <c r="L253" s="62">
        <f t="shared" si="50"/>
        <v>1641137</v>
      </c>
      <c r="M253" s="43">
        <f t="shared" si="51"/>
        <v>0</v>
      </c>
      <c r="N253" s="43">
        <f t="shared" si="52"/>
        <v>0</v>
      </c>
      <c r="O253" s="43">
        <f t="shared" si="53"/>
        <v>0</v>
      </c>
      <c r="P253" s="43">
        <f t="shared" si="54"/>
        <v>1641137</v>
      </c>
      <c r="Q253" s="100"/>
      <c r="R253" s="117"/>
    </row>
    <row r="254" spans="1:18" ht="31.5" hidden="1" customHeight="1" x14ac:dyDescent="0.25">
      <c r="A254" s="48" t="str">
        <f t="shared" si="43"/>
        <v>TL</v>
      </c>
      <c r="B254" s="32" t="s">
        <v>390</v>
      </c>
      <c r="C254" s="39" t="s">
        <v>240</v>
      </c>
      <c r="D254" s="13" t="s">
        <v>16</v>
      </c>
      <c r="E254" s="123">
        <v>1.68</v>
      </c>
      <c r="F254" s="123"/>
      <c r="G254" s="125"/>
      <c r="H254" s="125"/>
      <c r="I254" s="125">
        <f t="shared" si="49"/>
        <v>1.68</v>
      </c>
      <c r="J254" s="62">
        <f>'BIỂU HỢP ĐỒNG'!J243</f>
        <v>842139</v>
      </c>
      <c r="K254" s="43"/>
      <c r="L254" s="62">
        <f t="shared" si="50"/>
        <v>1414794</v>
      </c>
      <c r="M254" s="43">
        <f t="shared" si="51"/>
        <v>0</v>
      </c>
      <c r="N254" s="43">
        <f t="shared" si="52"/>
        <v>0</v>
      </c>
      <c r="O254" s="43">
        <f t="shared" si="53"/>
        <v>0</v>
      </c>
      <c r="P254" s="43">
        <f t="shared" si="54"/>
        <v>1414794</v>
      </c>
      <c r="Q254" s="100"/>
      <c r="R254" s="117"/>
    </row>
    <row r="255" spans="1:18" hidden="1" x14ac:dyDescent="0.25">
      <c r="A255" s="48" t="str">
        <f t="shared" si="43"/>
        <v>TL</v>
      </c>
      <c r="B255" s="32" t="s">
        <v>391</v>
      </c>
      <c r="C255" s="39" t="s">
        <v>122</v>
      </c>
      <c r="D255" s="13" t="s">
        <v>16</v>
      </c>
      <c r="E255" s="123">
        <v>13.72</v>
      </c>
      <c r="F255" s="123"/>
      <c r="G255" s="125"/>
      <c r="H255" s="125"/>
      <c r="I255" s="125">
        <f t="shared" si="49"/>
        <v>13.72</v>
      </c>
      <c r="J255" s="62">
        <f>'BIỂU HỢP ĐỒNG'!J244</f>
        <v>1866757</v>
      </c>
      <c r="K255" s="43"/>
      <c r="L255" s="62">
        <f t="shared" si="50"/>
        <v>25611906</v>
      </c>
      <c r="M255" s="43">
        <f t="shared" si="51"/>
        <v>0</v>
      </c>
      <c r="N255" s="43">
        <f t="shared" si="52"/>
        <v>0</v>
      </c>
      <c r="O255" s="43">
        <f t="shared" si="53"/>
        <v>0</v>
      </c>
      <c r="P255" s="43">
        <f t="shared" si="54"/>
        <v>25611906</v>
      </c>
      <c r="Q255" s="100"/>
      <c r="R255" s="117"/>
    </row>
    <row r="256" spans="1:18" hidden="1" x14ac:dyDescent="0.25">
      <c r="A256" s="48" t="str">
        <f t="shared" si="43"/>
        <v>TL</v>
      </c>
      <c r="B256" s="32" t="s">
        <v>392</v>
      </c>
      <c r="C256" s="39" t="s">
        <v>393</v>
      </c>
      <c r="D256" s="13" t="s">
        <v>13</v>
      </c>
      <c r="E256" s="123">
        <v>85.39</v>
      </c>
      <c r="F256" s="123"/>
      <c r="G256" s="125"/>
      <c r="H256" s="125"/>
      <c r="I256" s="125">
        <f t="shared" si="49"/>
        <v>85.39</v>
      </c>
      <c r="J256" s="62">
        <f>'BIỂU HỢP ĐỒNG'!J245</f>
        <v>79477</v>
      </c>
      <c r="K256" s="43"/>
      <c r="L256" s="62">
        <f t="shared" si="50"/>
        <v>6786541</v>
      </c>
      <c r="M256" s="43">
        <f t="shared" si="51"/>
        <v>0</v>
      </c>
      <c r="N256" s="43">
        <f t="shared" si="52"/>
        <v>0</v>
      </c>
      <c r="O256" s="43">
        <f t="shared" si="53"/>
        <v>0</v>
      </c>
      <c r="P256" s="43">
        <f t="shared" si="54"/>
        <v>6786541</v>
      </c>
      <c r="Q256" s="100"/>
      <c r="R256" s="117"/>
    </row>
    <row r="257" spans="1:18" hidden="1" x14ac:dyDescent="0.25">
      <c r="A257" s="48" t="str">
        <f t="shared" si="43"/>
        <v>TL</v>
      </c>
      <c r="B257" s="32" t="s">
        <v>394</v>
      </c>
      <c r="C257" s="39" t="s">
        <v>242</v>
      </c>
      <c r="D257" s="13" t="s">
        <v>16</v>
      </c>
      <c r="E257" s="123">
        <v>0.39</v>
      </c>
      <c r="F257" s="123"/>
      <c r="G257" s="125"/>
      <c r="H257" s="125"/>
      <c r="I257" s="125">
        <f t="shared" si="49"/>
        <v>0.39</v>
      </c>
      <c r="J257" s="62">
        <f>'BIỂU HỢP ĐỒNG'!J246</f>
        <v>1631803</v>
      </c>
      <c r="K257" s="43"/>
      <c r="L257" s="62">
        <f t="shared" si="50"/>
        <v>636403</v>
      </c>
      <c r="M257" s="43">
        <f t="shared" si="51"/>
        <v>0</v>
      </c>
      <c r="N257" s="43">
        <f t="shared" si="52"/>
        <v>0</v>
      </c>
      <c r="O257" s="43">
        <f t="shared" si="53"/>
        <v>0</v>
      </c>
      <c r="P257" s="43">
        <f t="shared" si="54"/>
        <v>636403</v>
      </c>
      <c r="Q257" s="100"/>
      <c r="R257" s="117"/>
    </row>
    <row r="258" spans="1:18" ht="31.5" hidden="1" customHeight="1" x14ac:dyDescent="0.25">
      <c r="A258" s="48" t="str">
        <f t="shared" si="43"/>
        <v>TL</v>
      </c>
      <c r="B258" s="32" t="s">
        <v>395</v>
      </c>
      <c r="C258" s="39" t="s">
        <v>244</v>
      </c>
      <c r="D258" s="13" t="s">
        <v>13</v>
      </c>
      <c r="E258" s="123">
        <v>1.62</v>
      </c>
      <c r="F258" s="123"/>
      <c r="G258" s="125"/>
      <c r="H258" s="125"/>
      <c r="I258" s="125">
        <f t="shared" si="49"/>
        <v>1.62</v>
      </c>
      <c r="J258" s="62">
        <f>'BIỂU HỢP ĐỒNG'!J247</f>
        <v>87361</v>
      </c>
      <c r="K258" s="43"/>
      <c r="L258" s="62">
        <f t="shared" si="50"/>
        <v>141525</v>
      </c>
      <c r="M258" s="43">
        <f t="shared" si="51"/>
        <v>0</v>
      </c>
      <c r="N258" s="43">
        <f t="shared" si="52"/>
        <v>0</v>
      </c>
      <c r="O258" s="43">
        <f t="shared" si="53"/>
        <v>0</v>
      </c>
      <c r="P258" s="43">
        <f t="shared" si="54"/>
        <v>141525</v>
      </c>
      <c r="Q258" s="100"/>
      <c r="R258" s="117"/>
    </row>
    <row r="259" spans="1:18" ht="31.5" hidden="1" customHeight="1" x14ac:dyDescent="0.25">
      <c r="A259" s="48" t="str">
        <f t="shared" si="43"/>
        <v>TL</v>
      </c>
      <c r="B259" s="32" t="s">
        <v>396</v>
      </c>
      <c r="C259" s="39" t="s">
        <v>246</v>
      </c>
      <c r="D259" s="13" t="s">
        <v>90</v>
      </c>
      <c r="E259" s="123">
        <v>0.01</v>
      </c>
      <c r="F259" s="123"/>
      <c r="G259" s="125"/>
      <c r="H259" s="125"/>
      <c r="I259" s="125">
        <f t="shared" si="49"/>
        <v>0.01</v>
      </c>
      <c r="J259" s="62">
        <f>'BIỂU HỢP ĐỒNG'!J248</f>
        <v>27096238</v>
      </c>
      <c r="K259" s="43"/>
      <c r="L259" s="62">
        <f t="shared" si="50"/>
        <v>270962</v>
      </c>
      <c r="M259" s="43">
        <f t="shared" si="51"/>
        <v>0</v>
      </c>
      <c r="N259" s="43">
        <f t="shared" si="52"/>
        <v>0</v>
      </c>
      <c r="O259" s="43">
        <f t="shared" si="53"/>
        <v>0</v>
      </c>
      <c r="P259" s="43">
        <f t="shared" si="54"/>
        <v>270962</v>
      </c>
      <c r="Q259" s="100"/>
      <c r="R259" s="117"/>
    </row>
    <row r="260" spans="1:18" ht="31.5" hidden="1" customHeight="1" x14ac:dyDescent="0.25">
      <c r="A260" s="48" t="str">
        <f t="shared" si="43"/>
        <v>TL</v>
      </c>
      <c r="B260" s="32" t="s">
        <v>397</v>
      </c>
      <c r="C260" s="39" t="s">
        <v>246</v>
      </c>
      <c r="D260" s="13" t="s">
        <v>90</v>
      </c>
      <c r="E260" s="123">
        <v>0.1</v>
      </c>
      <c r="F260" s="123"/>
      <c r="G260" s="125"/>
      <c r="H260" s="125"/>
      <c r="I260" s="125">
        <f t="shared" si="49"/>
        <v>0.1</v>
      </c>
      <c r="J260" s="62">
        <f>'BIỂU HỢP ĐỒNG'!J249</f>
        <v>27096238</v>
      </c>
      <c r="K260" s="43"/>
      <c r="L260" s="62">
        <f t="shared" si="50"/>
        <v>2709624</v>
      </c>
      <c r="M260" s="43">
        <f t="shared" si="51"/>
        <v>0</v>
      </c>
      <c r="N260" s="43">
        <f t="shared" si="52"/>
        <v>0</v>
      </c>
      <c r="O260" s="43">
        <f t="shared" si="53"/>
        <v>0</v>
      </c>
      <c r="P260" s="43">
        <f t="shared" si="54"/>
        <v>2709624</v>
      </c>
      <c r="Q260" s="100"/>
      <c r="R260" s="117"/>
    </row>
    <row r="261" spans="1:18" ht="47.25" hidden="1" customHeight="1" x14ac:dyDescent="0.25">
      <c r="A261" s="48" t="str">
        <f t="shared" si="43"/>
        <v>TL</v>
      </c>
      <c r="B261" s="32" t="s">
        <v>398</v>
      </c>
      <c r="C261" s="39" t="s">
        <v>272</v>
      </c>
      <c r="D261" s="13" t="s">
        <v>90</v>
      </c>
      <c r="E261" s="123">
        <v>0.97</v>
      </c>
      <c r="F261" s="123"/>
      <c r="G261" s="125"/>
      <c r="H261" s="125"/>
      <c r="I261" s="125">
        <f t="shared" si="49"/>
        <v>0.97</v>
      </c>
      <c r="J261" s="62">
        <f>'BIỂU HỢP ĐỒNG'!J250</f>
        <v>51234</v>
      </c>
      <c r="K261" s="43"/>
      <c r="L261" s="62">
        <f t="shared" si="50"/>
        <v>49697</v>
      </c>
      <c r="M261" s="43">
        <f t="shared" si="51"/>
        <v>0</v>
      </c>
      <c r="N261" s="43">
        <f t="shared" si="52"/>
        <v>0</v>
      </c>
      <c r="O261" s="43">
        <f t="shared" si="53"/>
        <v>0</v>
      </c>
      <c r="P261" s="43">
        <f t="shared" si="54"/>
        <v>49697</v>
      </c>
      <c r="Q261" s="100"/>
      <c r="R261" s="117"/>
    </row>
    <row r="262" spans="1:18" ht="47.25" hidden="1" customHeight="1" x14ac:dyDescent="0.25">
      <c r="A262" s="48" t="str">
        <f t="shared" si="43"/>
        <v>TL</v>
      </c>
      <c r="B262" s="32" t="s">
        <v>399</v>
      </c>
      <c r="C262" s="39" t="s">
        <v>252</v>
      </c>
      <c r="D262" s="13" t="s">
        <v>274</v>
      </c>
      <c r="E262" s="123">
        <v>0.1</v>
      </c>
      <c r="F262" s="123"/>
      <c r="G262" s="125"/>
      <c r="H262" s="125"/>
      <c r="I262" s="125">
        <f t="shared" si="49"/>
        <v>0.1</v>
      </c>
      <c r="J262" s="62">
        <f>'BIỂU HỢP ĐỒNG'!J251</f>
        <v>32162</v>
      </c>
      <c r="K262" s="43"/>
      <c r="L262" s="62">
        <f t="shared" si="50"/>
        <v>3216</v>
      </c>
      <c r="M262" s="43">
        <f t="shared" si="51"/>
        <v>0</v>
      </c>
      <c r="N262" s="43">
        <f t="shared" si="52"/>
        <v>0</v>
      </c>
      <c r="O262" s="43">
        <f t="shared" si="53"/>
        <v>0</v>
      </c>
      <c r="P262" s="43">
        <f t="shared" si="54"/>
        <v>3216</v>
      </c>
      <c r="Q262" s="100"/>
      <c r="R262" s="117"/>
    </row>
    <row r="263" spans="1:18" hidden="1" x14ac:dyDescent="0.25">
      <c r="A263" s="48" t="str">
        <f t="shared" ref="A263:A326" si="55">A262</f>
        <v>TL</v>
      </c>
      <c r="B263" s="32" t="s">
        <v>400</v>
      </c>
      <c r="C263" s="39" t="s">
        <v>296</v>
      </c>
      <c r="D263" s="13" t="s">
        <v>297</v>
      </c>
      <c r="E263" s="123">
        <v>8</v>
      </c>
      <c r="F263" s="123"/>
      <c r="G263" s="125"/>
      <c r="H263" s="125"/>
      <c r="I263" s="125">
        <f t="shared" si="49"/>
        <v>8</v>
      </c>
      <c r="J263" s="62">
        <f>'BIỂU HỢP ĐỒNG'!J252</f>
        <v>36395</v>
      </c>
      <c r="K263" s="43"/>
      <c r="L263" s="62">
        <f t="shared" si="50"/>
        <v>291160</v>
      </c>
      <c r="M263" s="43">
        <f t="shared" si="51"/>
        <v>0</v>
      </c>
      <c r="N263" s="43">
        <f t="shared" si="52"/>
        <v>0</v>
      </c>
      <c r="O263" s="43">
        <f t="shared" si="53"/>
        <v>0</v>
      </c>
      <c r="P263" s="43">
        <f t="shared" si="54"/>
        <v>291160</v>
      </c>
      <c r="Q263" s="100"/>
      <c r="R263" s="117"/>
    </row>
    <row r="264" spans="1:18" ht="47.25" hidden="1" customHeight="1" x14ac:dyDescent="0.25">
      <c r="A264" s="48" t="str">
        <f t="shared" si="55"/>
        <v>TL</v>
      </c>
      <c r="B264" s="32" t="s">
        <v>401</v>
      </c>
      <c r="C264" s="39" t="s">
        <v>120</v>
      </c>
      <c r="D264" s="13" t="s">
        <v>16</v>
      </c>
      <c r="E264" s="123">
        <v>0.02</v>
      </c>
      <c r="F264" s="123"/>
      <c r="G264" s="125"/>
      <c r="H264" s="125"/>
      <c r="I264" s="125">
        <f t="shared" si="49"/>
        <v>0.02</v>
      </c>
      <c r="J264" s="62">
        <f>'BIỂU HỢP ĐỒNG'!J253</f>
        <v>1191268</v>
      </c>
      <c r="K264" s="43"/>
      <c r="L264" s="62">
        <f t="shared" si="50"/>
        <v>23825</v>
      </c>
      <c r="M264" s="43">
        <f t="shared" si="51"/>
        <v>0</v>
      </c>
      <c r="N264" s="43">
        <f t="shared" si="52"/>
        <v>0</v>
      </c>
      <c r="O264" s="43">
        <f t="shared" si="53"/>
        <v>0</v>
      </c>
      <c r="P264" s="43">
        <f t="shared" si="54"/>
        <v>23825</v>
      </c>
      <c r="Q264" s="100"/>
      <c r="R264" s="117"/>
    </row>
    <row r="265" spans="1:18" hidden="1" x14ac:dyDescent="0.25">
      <c r="A265" s="48" t="str">
        <f t="shared" si="55"/>
        <v>TL</v>
      </c>
      <c r="B265" s="32" t="s">
        <v>402</v>
      </c>
      <c r="C265" s="39" t="s">
        <v>278</v>
      </c>
      <c r="D265" s="13" t="s">
        <v>16</v>
      </c>
      <c r="E265" s="123">
        <v>0.16</v>
      </c>
      <c r="F265" s="123"/>
      <c r="G265" s="125"/>
      <c r="H265" s="125"/>
      <c r="I265" s="125">
        <f t="shared" si="49"/>
        <v>0.16</v>
      </c>
      <c r="J265" s="62">
        <f>'BIỂU HỢP ĐỒNG'!J254</f>
        <v>1533135</v>
      </c>
      <c r="K265" s="43"/>
      <c r="L265" s="62">
        <f t="shared" si="50"/>
        <v>245302</v>
      </c>
      <c r="M265" s="43">
        <f t="shared" si="51"/>
        <v>0</v>
      </c>
      <c r="N265" s="43">
        <f t="shared" si="52"/>
        <v>0</v>
      </c>
      <c r="O265" s="43">
        <f t="shared" si="53"/>
        <v>0</v>
      </c>
      <c r="P265" s="43">
        <f t="shared" si="54"/>
        <v>245302</v>
      </c>
      <c r="Q265" s="100"/>
      <c r="R265" s="117"/>
    </row>
    <row r="266" spans="1:18" ht="31.5" hidden="1" customHeight="1" x14ac:dyDescent="0.25">
      <c r="A266" s="48" t="str">
        <f t="shared" si="55"/>
        <v>TL</v>
      </c>
      <c r="B266" s="32" t="s">
        <v>403</v>
      </c>
      <c r="C266" s="39" t="s">
        <v>244</v>
      </c>
      <c r="D266" s="13" t="s">
        <v>13</v>
      </c>
      <c r="E266" s="123">
        <v>0.7</v>
      </c>
      <c r="F266" s="123"/>
      <c r="G266" s="125"/>
      <c r="H266" s="125"/>
      <c r="I266" s="125">
        <f t="shared" si="49"/>
        <v>0.7</v>
      </c>
      <c r="J266" s="62">
        <f>'BIỂU HỢP ĐỒNG'!J255</f>
        <v>87361</v>
      </c>
      <c r="K266" s="43"/>
      <c r="L266" s="62">
        <f t="shared" si="50"/>
        <v>61153</v>
      </c>
      <c r="M266" s="43">
        <f t="shared" si="51"/>
        <v>0</v>
      </c>
      <c r="N266" s="43">
        <f t="shared" si="52"/>
        <v>0</v>
      </c>
      <c r="O266" s="43">
        <f t="shared" si="53"/>
        <v>0</v>
      </c>
      <c r="P266" s="43">
        <f t="shared" si="54"/>
        <v>61153</v>
      </c>
      <c r="Q266" s="100"/>
      <c r="R266" s="117"/>
    </row>
    <row r="267" spans="1:18" ht="47.25" hidden="1" customHeight="1" x14ac:dyDescent="0.25">
      <c r="A267" s="48" t="str">
        <f t="shared" si="55"/>
        <v>TL</v>
      </c>
      <c r="B267" s="32" t="s">
        <v>404</v>
      </c>
      <c r="C267" s="39" t="s">
        <v>405</v>
      </c>
      <c r="D267" s="13" t="s">
        <v>75</v>
      </c>
      <c r="E267" s="123">
        <v>4</v>
      </c>
      <c r="F267" s="123"/>
      <c r="G267" s="125"/>
      <c r="H267" s="125"/>
      <c r="I267" s="125">
        <f t="shared" si="49"/>
        <v>4</v>
      </c>
      <c r="J267" s="62">
        <f>'BIỂU HỢP ĐỒNG'!J256</f>
        <v>320929</v>
      </c>
      <c r="K267" s="43"/>
      <c r="L267" s="62">
        <f t="shared" si="50"/>
        <v>1283716</v>
      </c>
      <c r="M267" s="43">
        <f t="shared" si="51"/>
        <v>0</v>
      </c>
      <c r="N267" s="43">
        <f t="shared" si="52"/>
        <v>0</v>
      </c>
      <c r="O267" s="43">
        <f t="shared" si="53"/>
        <v>0</v>
      </c>
      <c r="P267" s="43">
        <f t="shared" si="54"/>
        <v>1283716</v>
      </c>
      <c r="Q267" s="100"/>
      <c r="R267" s="117"/>
    </row>
    <row r="268" spans="1:18" ht="47.25" hidden="1" customHeight="1" x14ac:dyDescent="0.25">
      <c r="A268" s="48" t="str">
        <f t="shared" si="55"/>
        <v>TL</v>
      </c>
      <c r="B268" s="32" t="s">
        <v>406</v>
      </c>
      <c r="C268" s="39" t="s">
        <v>272</v>
      </c>
      <c r="D268" s="13" t="s">
        <v>90</v>
      </c>
      <c r="E268" s="123">
        <v>0.41</v>
      </c>
      <c r="F268" s="123"/>
      <c r="G268" s="125"/>
      <c r="H268" s="125"/>
      <c r="I268" s="125">
        <f t="shared" ref="I268:I277" si="56">SUM(E268:H268)</f>
        <v>0.41</v>
      </c>
      <c r="J268" s="62">
        <f>'BIỂU HỢP ĐỒNG'!J257</f>
        <v>51234</v>
      </c>
      <c r="K268" s="43"/>
      <c r="L268" s="62">
        <f t="shared" ref="L268:L277" si="57">+ROUND(J268*E268,0)</f>
        <v>21006</v>
      </c>
      <c r="M268" s="43">
        <f t="shared" ref="M268:M277" si="58">+ROUND(F268*J268,0)</f>
        <v>0</v>
      </c>
      <c r="N268" s="43">
        <f t="shared" ref="N268:N277" si="59">+ROUND(G268*J268,0)</f>
        <v>0</v>
      </c>
      <c r="O268" s="43">
        <f t="shared" ref="O268:O277" si="60">+ROUND(H268*J268,0)</f>
        <v>0</v>
      </c>
      <c r="P268" s="43">
        <f t="shared" si="54"/>
        <v>21006</v>
      </c>
      <c r="Q268" s="100"/>
      <c r="R268" s="117"/>
    </row>
    <row r="269" spans="1:18" ht="31.5" hidden="1" customHeight="1" x14ac:dyDescent="0.25">
      <c r="A269" s="48" t="str">
        <f t="shared" si="55"/>
        <v>TL</v>
      </c>
      <c r="B269" s="32" t="s">
        <v>407</v>
      </c>
      <c r="C269" s="39" t="s">
        <v>284</v>
      </c>
      <c r="D269" s="13" t="s">
        <v>274</v>
      </c>
      <c r="E269" s="123">
        <v>0.04</v>
      </c>
      <c r="F269" s="123"/>
      <c r="G269" s="125"/>
      <c r="H269" s="125"/>
      <c r="I269" s="125">
        <f t="shared" si="56"/>
        <v>0.04</v>
      </c>
      <c r="J269" s="62">
        <f>'BIỂU HỢP ĐỒNG'!J258</f>
        <v>32162</v>
      </c>
      <c r="K269" s="43"/>
      <c r="L269" s="62">
        <f t="shared" si="57"/>
        <v>1286</v>
      </c>
      <c r="M269" s="43">
        <f t="shared" si="58"/>
        <v>0</v>
      </c>
      <c r="N269" s="43">
        <f t="shared" si="59"/>
        <v>0</v>
      </c>
      <c r="O269" s="43">
        <f t="shared" si="60"/>
        <v>0</v>
      </c>
      <c r="P269" s="43">
        <f t="shared" si="54"/>
        <v>1286</v>
      </c>
      <c r="Q269" s="100"/>
      <c r="R269" s="117"/>
    </row>
    <row r="270" spans="1:18" hidden="1" x14ac:dyDescent="0.25">
      <c r="A270" s="48" t="str">
        <f t="shared" si="55"/>
        <v>TL</v>
      </c>
      <c r="B270" s="32" t="s">
        <v>408</v>
      </c>
      <c r="C270" s="39" t="s">
        <v>242</v>
      </c>
      <c r="D270" s="13" t="s">
        <v>16</v>
      </c>
      <c r="E270" s="123">
        <v>0.38</v>
      </c>
      <c r="F270" s="123"/>
      <c r="G270" s="125"/>
      <c r="H270" s="125"/>
      <c r="I270" s="125">
        <f t="shared" si="56"/>
        <v>0.38</v>
      </c>
      <c r="J270" s="62">
        <f>'BIỂU HỢP ĐỒNG'!J259</f>
        <v>1631803</v>
      </c>
      <c r="K270" s="43"/>
      <c r="L270" s="62">
        <f t="shared" si="57"/>
        <v>620085</v>
      </c>
      <c r="M270" s="43">
        <f t="shared" si="58"/>
        <v>0</v>
      </c>
      <c r="N270" s="43">
        <f t="shared" si="59"/>
        <v>0</v>
      </c>
      <c r="O270" s="43">
        <f t="shared" si="60"/>
        <v>0</v>
      </c>
      <c r="P270" s="43">
        <f t="shared" si="54"/>
        <v>620085</v>
      </c>
      <c r="Q270" s="100"/>
      <c r="R270" s="117"/>
    </row>
    <row r="271" spans="1:18" ht="31.5" hidden="1" customHeight="1" x14ac:dyDescent="0.25">
      <c r="A271" s="48" t="str">
        <f t="shared" si="55"/>
        <v>TL</v>
      </c>
      <c r="B271" s="32" t="s">
        <v>409</v>
      </c>
      <c r="C271" s="39" t="s">
        <v>244</v>
      </c>
      <c r="D271" s="13" t="s">
        <v>13</v>
      </c>
      <c r="E271" s="123">
        <v>7.48</v>
      </c>
      <c r="F271" s="123"/>
      <c r="G271" s="125"/>
      <c r="H271" s="125"/>
      <c r="I271" s="125">
        <f t="shared" si="56"/>
        <v>7.48</v>
      </c>
      <c r="J271" s="62">
        <f>'BIỂU HỢP ĐỒNG'!J260</f>
        <v>87361</v>
      </c>
      <c r="K271" s="43"/>
      <c r="L271" s="62">
        <f t="shared" si="57"/>
        <v>653460</v>
      </c>
      <c r="M271" s="43">
        <f t="shared" si="58"/>
        <v>0</v>
      </c>
      <c r="N271" s="43">
        <f t="shared" si="59"/>
        <v>0</v>
      </c>
      <c r="O271" s="43">
        <f t="shared" si="60"/>
        <v>0</v>
      </c>
      <c r="P271" s="43">
        <f t="shared" si="54"/>
        <v>653460</v>
      </c>
      <c r="Q271" s="100"/>
      <c r="R271" s="117"/>
    </row>
    <row r="272" spans="1:18" ht="31.5" hidden="1" customHeight="1" x14ac:dyDescent="0.25">
      <c r="A272" s="48" t="str">
        <f t="shared" si="55"/>
        <v>TL</v>
      </c>
      <c r="B272" s="32" t="s">
        <v>410</v>
      </c>
      <c r="C272" s="39" t="s">
        <v>246</v>
      </c>
      <c r="D272" s="13" t="s">
        <v>90</v>
      </c>
      <c r="E272" s="123">
        <v>0.01</v>
      </c>
      <c r="F272" s="123"/>
      <c r="G272" s="125"/>
      <c r="H272" s="125"/>
      <c r="I272" s="125">
        <f t="shared" si="56"/>
        <v>0.01</v>
      </c>
      <c r="J272" s="62">
        <f>'BIỂU HỢP ĐỒNG'!J261</f>
        <v>27096238</v>
      </c>
      <c r="K272" s="43"/>
      <c r="L272" s="62">
        <f t="shared" si="57"/>
        <v>270962</v>
      </c>
      <c r="M272" s="43">
        <f t="shared" si="58"/>
        <v>0</v>
      </c>
      <c r="N272" s="43">
        <f t="shared" si="59"/>
        <v>0</v>
      </c>
      <c r="O272" s="43">
        <f t="shared" si="60"/>
        <v>0</v>
      </c>
      <c r="P272" s="43">
        <f t="shared" si="54"/>
        <v>270962</v>
      </c>
      <c r="Q272" s="100"/>
      <c r="R272" s="117"/>
    </row>
    <row r="273" spans="1:18" ht="31.5" hidden="1" customHeight="1" x14ac:dyDescent="0.25">
      <c r="A273" s="48" t="str">
        <f t="shared" si="55"/>
        <v>TL</v>
      </c>
      <c r="B273" s="32" t="s">
        <v>411</v>
      </c>
      <c r="C273" s="39" t="s">
        <v>246</v>
      </c>
      <c r="D273" s="13" t="s">
        <v>90</v>
      </c>
      <c r="E273" s="123">
        <v>0.03</v>
      </c>
      <c r="F273" s="123"/>
      <c r="G273" s="125"/>
      <c r="H273" s="125"/>
      <c r="I273" s="125">
        <f t="shared" si="56"/>
        <v>0.03</v>
      </c>
      <c r="J273" s="62">
        <f>'BIỂU HỢP ĐỒNG'!J262</f>
        <v>27096238</v>
      </c>
      <c r="K273" s="43"/>
      <c r="L273" s="62">
        <f t="shared" si="57"/>
        <v>812887</v>
      </c>
      <c r="M273" s="43">
        <f t="shared" si="58"/>
        <v>0</v>
      </c>
      <c r="N273" s="43">
        <f t="shared" si="59"/>
        <v>0</v>
      </c>
      <c r="O273" s="43">
        <f t="shared" si="60"/>
        <v>0</v>
      </c>
      <c r="P273" s="43">
        <f t="shared" si="54"/>
        <v>812887</v>
      </c>
      <c r="Q273" s="100"/>
      <c r="R273" s="117"/>
    </row>
    <row r="274" spans="1:18" ht="47.25" hidden="1" customHeight="1" x14ac:dyDescent="0.25">
      <c r="A274" s="48" t="str">
        <f t="shared" si="55"/>
        <v>TL</v>
      </c>
      <c r="B274" s="32" t="s">
        <v>412</v>
      </c>
      <c r="C274" s="39" t="s">
        <v>272</v>
      </c>
      <c r="D274" s="13" t="s">
        <v>90</v>
      </c>
      <c r="E274" s="123">
        <v>0.94</v>
      </c>
      <c r="F274" s="123"/>
      <c r="G274" s="125"/>
      <c r="H274" s="125"/>
      <c r="I274" s="125">
        <f t="shared" si="56"/>
        <v>0.94</v>
      </c>
      <c r="J274" s="62">
        <f>'BIỂU HỢP ĐỒNG'!J263</f>
        <v>51234</v>
      </c>
      <c r="K274" s="43"/>
      <c r="L274" s="62">
        <f t="shared" si="57"/>
        <v>48160</v>
      </c>
      <c r="M274" s="43">
        <f t="shared" si="58"/>
        <v>0</v>
      </c>
      <c r="N274" s="43">
        <f t="shared" si="59"/>
        <v>0</v>
      </c>
      <c r="O274" s="43">
        <f t="shared" si="60"/>
        <v>0</v>
      </c>
      <c r="P274" s="43">
        <f t="shared" si="54"/>
        <v>48160</v>
      </c>
      <c r="Q274" s="100"/>
      <c r="R274" s="117"/>
    </row>
    <row r="275" spans="1:18" ht="47.25" hidden="1" customHeight="1" x14ac:dyDescent="0.25">
      <c r="A275" s="48" t="str">
        <f t="shared" si="55"/>
        <v>TL</v>
      </c>
      <c r="B275" s="32" t="s">
        <v>413</v>
      </c>
      <c r="C275" s="39" t="s">
        <v>252</v>
      </c>
      <c r="D275" s="13" t="s">
        <v>253</v>
      </c>
      <c r="E275" s="123">
        <v>0.09</v>
      </c>
      <c r="F275" s="123"/>
      <c r="G275" s="125"/>
      <c r="H275" s="125"/>
      <c r="I275" s="125">
        <f t="shared" si="56"/>
        <v>0.09</v>
      </c>
      <c r="J275" s="62">
        <f>'BIỂU HỢP ĐỒNG'!J264</f>
        <v>32162</v>
      </c>
      <c r="K275" s="43"/>
      <c r="L275" s="62">
        <f t="shared" si="57"/>
        <v>2895</v>
      </c>
      <c r="M275" s="43">
        <f t="shared" si="58"/>
        <v>0</v>
      </c>
      <c r="N275" s="43">
        <f t="shared" si="59"/>
        <v>0</v>
      </c>
      <c r="O275" s="43">
        <f t="shared" si="60"/>
        <v>0</v>
      </c>
      <c r="P275" s="43">
        <f t="shared" si="54"/>
        <v>2895</v>
      </c>
      <c r="Q275" s="100"/>
      <c r="R275" s="117"/>
    </row>
    <row r="276" spans="1:18" hidden="1" x14ac:dyDescent="0.25">
      <c r="A276" s="48" t="str">
        <f t="shared" si="55"/>
        <v>TL</v>
      </c>
      <c r="B276" s="32" t="s">
        <v>414</v>
      </c>
      <c r="C276" s="39" t="s">
        <v>296</v>
      </c>
      <c r="D276" s="13" t="s">
        <v>297</v>
      </c>
      <c r="E276" s="123">
        <v>4</v>
      </c>
      <c r="F276" s="123"/>
      <c r="G276" s="125"/>
      <c r="H276" s="125"/>
      <c r="I276" s="125">
        <f t="shared" si="56"/>
        <v>4</v>
      </c>
      <c r="J276" s="62">
        <f>'BIỂU HỢP ĐỒNG'!J265</f>
        <v>36395</v>
      </c>
      <c r="K276" s="43"/>
      <c r="L276" s="62">
        <f t="shared" si="57"/>
        <v>145580</v>
      </c>
      <c r="M276" s="43">
        <f t="shared" si="58"/>
        <v>0</v>
      </c>
      <c r="N276" s="43">
        <f t="shared" si="59"/>
        <v>0</v>
      </c>
      <c r="O276" s="43">
        <f t="shared" si="60"/>
        <v>0</v>
      </c>
      <c r="P276" s="43">
        <f t="shared" si="54"/>
        <v>145580</v>
      </c>
      <c r="Q276" s="100"/>
      <c r="R276" s="117"/>
    </row>
    <row r="277" spans="1:18" hidden="1" x14ac:dyDescent="0.25">
      <c r="A277" s="48" t="str">
        <f t="shared" si="55"/>
        <v>TL</v>
      </c>
      <c r="B277" s="32" t="s">
        <v>415</v>
      </c>
      <c r="C277" s="39" t="s">
        <v>299</v>
      </c>
      <c r="D277" s="13" t="s">
        <v>258</v>
      </c>
      <c r="E277" s="123">
        <v>4</v>
      </c>
      <c r="F277" s="123"/>
      <c r="G277" s="125"/>
      <c r="H277" s="125"/>
      <c r="I277" s="125">
        <f t="shared" si="56"/>
        <v>4</v>
      </c>
      <c r="J277" s="62">
        <f>'BIỂU HỢP ĐỒNG'!J266</f>
        <v>787114</v>
      </c>
      <c r="K277" s="43"/>
      <c r="L277" s="62">
        <f t="shared" si="57"/>
        <v>3148456</v>
      </c>
      <c r="M277" s="43">
        <f t="shared" si="58"/>
        <v>0</v>
      </c>
      <c r="N277" s="43">
        <f t="shared" si="59"/>
        <v>0</v>
      </c>
      <c r="O277" s="43">
        <f t="shared" si="60"/>
        <v>0</v>
      </c>
      <c r="P277" s="43">
        <f t="shared" si="54"/>
        <v>3148456</v>
      </c>
      <c r="Q277" s="100"/>
      <c r="R277" s="117"/>
    </row>
    <row r="278" spans="1:18" s="22" customFormat="1" ht="47.25" hidden="1" customHeight="1" x14ac:dyDescent="0.25">
      <c r="A278" s="48" t="str">
        <f t="shared" si="55"/>
        <v>TL</v>
      </c>
      <c r="B278" s="29">
        <v>5</v>
      </c>
      <c r="C278" s="12" t="s">
        <v>416</v>
      </c>
      <c r="D278" s="79"/>
      <c r="E278" s="123"/>
      <c r="F278" s="123"/>
      <c r="G278" s="125"/>
      <c r="H278" s="125"/>
      <c r="I278" s="125"/>
      <c r="J278" s="62"/>
      <c r="K278" s="43"/>
      <c r="L278" s="62"/>
      <c r="M278" s="43"/>
      <c r="N278" s="43"/>
      <c r="O278" s="43"/>
      <c r="P278" s="43">
        <f t="shared" si="54"/>
        <v>0</v>
      </c>
      <c r="Q278" s="100"/>
      <c r="R278" s="117"/>
    </row>
    <row r="279" spans="1:18" ht="31.5" hidden="1" customHeight="1" x14ac:dyDescent="0.25">
      <c r="A279" s="48" t="str">
        <f t="shared" si="55"/>
        <v>TL</v>
      </c>
      <c r="B279" s="32" t="s">
        <v>417</v>
      </c>
      <c r="C279" s="39" t="s">
        <v>418</v>
      </c>
      <c r="D279" s="13" t="s">
        <v>419</v>
      </c>
      <c r="E279" s="123">
        <v>1</v>
      </c>
      <c r="F279" s="123"/>
      <c r="G279" s="125"/>
      <c r="H279" s="125"/>
      <c r="I279" s="125">
        <f t="shared" ref="I279:I318" si="61">SUM(E279:H279)</f>
        <v>1</v>
      </c>
      <c r="J279" s="62">
        <f>'BIỂU HỢP ĐỒNG'!J268</f>
        <v>4332357</v>
      </c>
      <c r="K279" s="43"/>
      <c r="L279" s="62">
        <f t="shared" ref="L279:L318" si="62">+ROUND(J279*E279,0)</f>
        <v>4332357</v>
      </c>
      <c r="M279" s="43">
        <f t="shared" ref="M279:M318" si="63">+ROUND(F279*J279,0)</f>
        <v>0</v>
      </c>
      <c r="N279" s="43">
        <f t="shared" ref="N279:N318" si="64">+ROUND(G279*J279,0)</f>
        <v>0</v>
      </c>
      <c r="O279" s="43">
        <f t="shared" ref="O279:O318" si="65">+ROUND(H279*J279,0)</f>
        <v>0</v>
      </c>
      <c r="P279" s="43">
        <f t="shared" si="54"/>
        <v>4332357</v>
      </c>
      <c r="Q279" s="100"/>
      <c r="R279" s="117"/>
    </row>
    <row r="280" spans="1:18" ht="31.5" hidden="1" customHeight="1" x14ac:dyDescent="0.25">
      <c r="A280" s="48" t="str">
        <f t="shared" si="55"/>
        <v>TL</v>
      </c>
      <c r="B280" s="32" t="s">
        <v>420</v>
      </c>
      <c r="C280" s="39" t="s">
        <v>421</v>
      </c>
      <c r="D280" s="13" t="s">
        <v>419</v>
      </c>
      <c r="E280" s="123">
        <v>8</v>
      </c>
      <c r="F280" s="123"/>
      <c r="G280" s="125"/>
      <c r="H280" s="125"/>
      <c r="I280" s="125">
        <f t="shared" si="61"/>
        <v>8</v>
      </c>
      <c r="J280" s="62">
        <f>'BIỂU HỢP ĐỒNG'!J269</f>
        <v>7260882</v>
      </c>
      <c r="K280" s="43"/>
      <c r="L280" s="62">
        <f t="shared" si="62"/>
        <v>58087056</v>
      </c>
      <c r="M280" s="43">
        <f t="shared" si="63"/>
        <v>0</v>
      </c>
      <c r="N280" s="43">
        <f t="shared" si="64"/>
        <v>0</v>
      </c>
      <c r="O280" s="43">
        <f t="shared" si="65"/>
        <v>0</v>
      </c>
      <c r="P280" s="43">
        <f t="shared" si="54"/>
        <v>58087056</v>
      </c>
      <c r="Q280" s="100"/>
      <c r="R280" s="117"/>
    </row>
    <row r="281" spans="1:18" ht="31.5" hidden="1" customHeight="1" x14ac:dyDescent="0.25">
      <c r="A281" s="48" t="str">
        <f t="shared" si="55"/>
        <v>TL</v>
      </c>
      <c r="B281" s="32" t="s">
        <v>422</v>
      </c>
      <c r="C281" s="39" t="s">
        <v>423</v>
      </c>
      <c r="D281" s="13" t="s">
        <v>419</v>
      </c>
      <c r="E281" s="123">
        <v>4</v>
      </c>
      <c r="F281" s="123"/>
      <c r="G281" s="125"/>
      <c r="H281" s="125"/>
      <c r="I281" s="125">
        <f t="shared" si="61"/>
        <v>4</v>
      </c>
      <c r="J281" s="62">
        <f>'BIỂU HỢP ĐỒNG'!J270</f>
        <v>13690906</v>
      </c>
      <c r="K281" s="43"/>
      <c r="L281" s="62">
        <f t="shared" si="62"/>
        <v>54763624</v>
      </c>
      <c r="M281" s="43">
        <f t="shared" si="63"/>
        <v>0</v>
      </c>
      <c r="N281" s="43">
        <f t="shared" si="64"/>
        <v>0</v>
      </c>
      <c r="O281" s="43">
        <f t="shared" si="65"/>
        <v>0</v>
      </c>
      <c r="P281" s="43">
        <f t="shared" si="54"/>
        <v>54763624</v>
      </c>
      <c r="Q281" s="100"/>
      <c r="R281" s="117"/>
    </row>
    <row r="282" spans="1:18" ht="31.5" hidden="1" customHeight="1" x14ac:dyDescent="0.25">
      <c r="A282" s="48" t="str">
        <f t="shared" si="55"/>
        <v>TL</v>
      </c>
      <c r="B282" s="32" t="s">
        <v>424</v>
      </c>
      <c r="C282" s="39" t="s">
        <v>425</v>
      </c>
      <c r="D282" s="13" t="s">
        <v>419</v>
      </c>
      <c r="E282" s="123">
        <v>4</v>
      </c>
      <c r="F282" s="123"/>
      <c r="G282" s="125"/>
      <c r="H282" s="125"/>
      <c r="I282" s="125">
        <f t="shared" si="61"/>
        <v>4</v>
      </c>
      <c r="J282" s="62">
        <f>'BIỂU HỢP ĐỒNG'!J271</f>
        <v>22094501</v>
      </c>
      <c r="K282" s="43"/>
      <c r="L282" s="62">
        <f t="shared" si="62"/>
        <v>88378004</v>
      </c>
      <c r="M282" s="43">
        <f t="shared" si="63"/>
        <v>0</v>
      </c>
      <c r="N282" s="43">
        <f t="shared" si="64"/>
        <v>0</v>
      </c>
      <c r="O282" s="43">
        <f t="shared" si="65"/>
        <v>0</v>
      </c>
      <c r="P282" s="43">
        <f t="shared" si="54"/>
        <v>88378004</v>
      </c>
      <c r="Q282" s="100"/>
      <c r="R282" s="117"/>
    </row>
    <row r="283" spans="1:18" ht="31.5" hidden="1" customHeight="1" x14ac:dyDescent="0.25">
      <c r="A283" s="48" t="str">
        <f t="shared" si="55"/>
        <v>TL</v>
      </c>
      <c r="B283" s="32" t="s">
        <v>426</v>
      </c>
      <c r="C283" s="39" t="s">
        <v>427</v>
      </c>
      <c r="D283" s="13" t="s">
        <v>428</v>
      </c>
      <c r="E283" s="123">
        <v>9</v>
      </c>
      <c r="F283" s="123"/>
      <c r="G283" s="125"/>
      <c r="H283" s="125"/>
      <c r="I283" s="125">
        <f t="shared" si="61"/>
        <v>9</v>
      </c>
      <c r="J283" s="62">
        <f>'BIỂU HỢP ĐỒNG'!J272</f>
        <v>725765</v>
      </c>
      <c r="K283" s="43"/>
      <c r="L283" s="62">
        <f t="shared" si="62"/>
        <v>6531885</v>
      </c>
      <c r="M283" s="43">
        <f t="shared" si="63"/>
        <v>0</v>
      </c>
      <c r="N283" s="43">
        <f t="shared" si="64"/>
        <v>0</v>
      </c>
      <c r="O283" s="43">
        <f t="shared" si="65"/>
        <v>0</v>
      </c>
      <c r="P283" s="43">
        <f t="shared" si="54"/>
        <v>6531885</v>
      </c>
      <c r="Q283" s="100"/>
      <c r="R283" s="117"/>
    </row>
    <row r="284" spans="1:18" ht="31.5" hidden="1" customHeight="1" x14ac:dyDescent="0.25">
      <c r="A284" s="48" t="str">
        <f t="shared" si="55"/>
        <v>TL</v>
      </c>
      <c r="B284" s="32" t="s">
        <v>429</v>
      </c>
      <c r="C284" s="39" t="s">
        <v>430</v>
      </c>
      <c r="D284" s="13" t="s">
        <v>428</v>
      </c>
      <c r="E284" s="123">
        <v>4</v>
      </c>
      <c r="F284" s="123"/>
      <c r="G284" s="125"/>
      <c r="H284" s="125"/>
      <c r="I284" s="125">
        <f t="shared" si="61"/>
        <v>4</v>
      </c>
      <c r="J284" s="62">
        <f>'BIỂU HỢP ĐỒNG'!J273</f>
        <v>1056816</v>
      </c>
      <c r="K284" s="43"/>
      <c r="L284" s="62">
        <f t="shared" si="62"/>
        <v>4227264</v>
      </c>
      <c r="M284" s="43">
        <f t="shared" si="63"/>
        <v>0</v>
      </c>
      <c r="N284" s="43">
        <f t="shared" si="64"/>
        <v>0</v>
      </c>
      <c r="O284" s="43">
        <f t="shared" si="65"/>
        <v>0</v>
      </c>
      <c r="P284" s="43">
        <f t="shared" si="54"/>
        <v>4227264</v>
      </c>
      <c r="Q284" s="100"/>
      <c r="R284" s="117"/>
    </row>
    <row r="285" spans="1:18" ht="31.5" hidden="1" customHeight="1" x14ac:dyDescent="0.25">
      <c r="A285" s="48" t="str">
        <f t="shared" si="55"/>
        <v>TL</v>
      </c>
      <c r="B285" s="32" t="s">
        <v>431</v>
      </c>
      <c r="C285" s="39" t="s">
        <v>432</v>
      </c>
      <c r="D285" s="13" t="s">
        <v>428</v>
      </c>
      <c r="E285" s="123">
        <v>4</v>
      </c>
      <c r="F285" s="123"/>
      <c r="G285" s="125"/>
      <c r="H285" s="125"/>
      <c r="I285" s="125">
        <f t="shared" si="61"/>
        <v>4</v>
      </c>
      <c r="J285" s="62">
        <f>'BIỂU HỢP ĐỒNG'!J274</f>
        <v>4227263</v>
      </c>
      <c r="K285" s="43"/>
      <c r="L285" s="62">
        <f t="shared" si="62"/>
        <v>16909052</v>
      </c>
      <c r="M285" s="43">
        <f t="shared" si="63"/>
        <v>0</v>
      </c>
      <c r="N285" s="43">
        <f t="shared" si="64"/>
        <v>0</v>
      </c>
      <c r="O285" s="43">
        <f t="shared" si="65"/>
        <v>0</v>
      </c>
      <c r="P285" s="43">
        <f t="shared" si="54"/>
        <v>16909052</v>
      </c>
      <c r="Q285" s="100"/>
      <c r="R285" s="117"/>
    </row>
    <row r="286" spans="1:18" ht="31.5" hidden="1" customHeight="1" x14ac:dyDescent="0.25">
      <c r="A286" s="48" t="str">
        <f t="shared" si="55"/>
        <v>TL</v>
      </c>
      <c r="B286" s="32" t="s">
        <v>433</v>
      </c>
      <c r="C286" s="39" t="s">
        <v>434</v>
      </c>
      <c r="D286" s="13" t="s">
        <v>428</v>
      </c>
      <c r="E286" s="123">
        <v>16</v>
      </c>
      <c r="F286" s="123"/>
      <c r="G286" s="125"/>
      <c r="H286" s="125"/>
      <c r="I286" s="125">
        <f t="shared" si="61"/>
        <v>16</v>
      </c>
      <c r="J286" s="62">
        <f>'BIỂU HỢP ĐỒNG'!J275</f>
        <v>10754096</v>
      </c>
      <c r="K286" s="43"/>
      <c r="L286" s="62">
        <f t="shared" si="62"/>
        <v>172065536</v>
      </c>
      <c r="M286" s="43">
        <f t="shared" si="63"/>
        <v>0</v>
      </c>
      <c r="N286" s="43">
        <f t="shared" si="64"/>
        <v>0</v>
      </c>
      <c r="O286" s="43">
        <f t="shared" si="65"/>
        <v>0</v>
      </c>
      <c r="P286" s="43">
        <f t="shared" si="54"/>
        <v>172065536</v>
      </c>
      <c r="Q286" s="100"/>
      <c r="R286" s="117"/>
    </row>
    <row r="287" spans="1:18" ht="31.5" hidden="1" customHeight="1" x14ac:dyDescent="0.25">
      <c r="A287" s="48" t="str">
        <f t="shared" si="55"/>
        <v>TL</v>
      </c>
      <c r="B287" s="32" t="s">
        <v>435</v>
      </c>
      <c r="C287" s="39" t="s">
        <v>436</v>
      </c>
      <c r="D287" s="13" t="s">
        <v>428</v>
      </c>
      <c r="E287" s="123">
        <v>4</v>
      </c>
      <c r="F287" s="123"/>
      <c r="G287" s="125"/>
      <c r="H287" s="125"/>
      <c r="I287" s="125">
        <f t="shared" si="61"/>
        <v>4</v>
      </c>
      <c r="J287" s="62">
        <f>'BIỂU HỢP ĐỒNG'!J276</f>
        <v>8589534</v>
      </c>
      <c r="K287" s="43"/>
      <c r="L287" s="62">
        <f t="shared" si="62"/>
        <v>34358136</v>
      </c>
      <c r="M287" s="43">
        <f t="shared" si="63"/>
        <v>0</v>
      </c>
      <c r="N287" s="43">
        <f t="shared" si="64"/>
        <v>0</v>
      </c>
      <c r="O287" s="43">
        <f t="shared" si="65"/>
        <v>0</v>
      </c>
      <c r="P287" s="43">
        <f t="shared" si="54"/>
        <v>34358136</v>
      </c>
      <c r="Q287" s="100"/>
      <c r="R287" s="117"/>
    </row>
    <row r="288" spans="1:18" hidden="1" x14ac:dyDescent="0.25">
      <c r="A288" s="48" t="str">
        <f t="shared" si="55"/>
        <v>TL</v>
      </c>
      <c r="B288" s="32" t="s">
        <v>437</v>
      </c>
      <c r="C288" s="39" t="s">
        <v>438</v>
      </c>
      <c r="D288" s="13" t="s">
        <v>428</v>
      </c>
      <c r="E288" s="123">
        <v>8</v>
      </c>
      <c r="F288" s="123"/>
      <c r="G288" s="125"/>
      <c r="H288" s="125"/>
      <c r="I288" s="125">
        <f t="shared" si="61"/>
        <v>8</v>
      </c>
      <c r="J288" s="62">
        <f>'BIỂU HỢP ĐỒNG'!J277</f>
        <v>8080225</v>
      </c>
      <c r="K288" s="43"/>
      <c r="L288" s="62">
        <f t="shared" si="62"/>
        <v>64641800</v>
      </c>
      <c r="M288" s="43">
        <f t="shared" si="63"/>
        <v>0</v>
      </c>
      <c r="N288" s="43">
        <f t="shared" si="64"/>
        <v>0</v>
      </c>
      <c r="O288" s="43">
        <f t="shared" si="65"/>
        <v>0</v>
      </c>
      <c r="P288" s="43">
        <f t="shared" si="54"/>
        <v>64641800</v>
      </c>
      <c r="Q288" s="100"/>
      <c r="R288" s="117"/>
    </row>
    <row r="289" spans="1:18" hidden="1" x14ac:dyDescent="0.25">
      <c r="A289" s="48" t="str">
        <f t="shared" si="55"/>
        <v>TL</v>
      </c>
      <c r="B289" s="32" t="s">
        <v>439</v>
      </c>
      <c r="C289" s="39" t="s">
        <v>440</v>
      </c>
      <c r="D289" s="13" t="s">
        <v>428</v>
      </c>
      <c r="E289" s="123">
        <v>12</v>
      </c>
      <c r="F289" s="123"/>
      <c r="G289" s="125"/>
      <c r="H289" s="125"/>
      <c r="I289" s="125">
        <f t="shared" si="61"/>
        <v>12</v>
      </c>
      <c r="J289" s="62">
        <f>'BIỂU HỢP ĐỒNG'!J278</f>
        <v>9035179</v>
      </c>
      <c r="K289" s="43"/>
      <c r="L289" s="62">
        <f t="shared" si="62"/>
        <v>108422148</v>
      </c>
      <c r="M289" s="43">
        <f t="shared" si="63"/>
        <v>0</v>
      </c>
      <c r="N289" s="43">
        <f t="shared" si="64"/>
        <v>0</v>
      </c>
      <c r="O289" s="43">
        <f t="shared" si="65"/>
        <v>0</v>
      </c>
      <c r="P289" s="43">
        <f t="shared" si="54"/>
        <v>108422148</v>
      </c>
      <c r="Q289" s="100"/>
      <c r="R289" s="117"/>
    </row>
    <row r="290" spans="1:18" hidden="1" x14ac:dyDescent="0.25">
      <c r="A290" s="48" t="str">
        <f t="shared" si="55"/>
        <v>TL</v>
      </c>
      <c r="B290" s="32" t="s">
        <v>441</v>
      </c>
      <c r="C290" s="39" t="s">
        <v>442</v>
      </c>
      <c r="D290" s="13" t="s">
        <v>428</v>
      </c>
      <c r="E290" s="123">
        <v>17</v>
      </c>
      <c r="F290" s="123"/>
      <c r="G290" s="125"/>
      <c r="H290" s="125"/>
      <c r="I290" s="125">
        <f t="shared" si="61"/>
        <v>17</v>
      </c>
      <c r="J290" s="62">
        <f>'BIỂU HỢP ĐỒNG'!J279</f>
        <v>5788335</v>
      </c>
      <c r="K290" s="43"/>
      <c r="L290" s="62">
        <f t="shared" si="62"/>
        <v>98401695</v>
      </c>
      <c r="M290" s="43">
        <f t="shared" si="63"/>
        <v>0</v>
      </c>
      <c r="N290" s="43">
        <f t="shared" si="64"/>
        <v>0</v>
      </c>
      <c r="O290" s="43">
        <f t="shared" si="65"/>
        <v>0</v>
      </c>
      <c r="P290" s="43">
        <f t="shared" si="54"/>
        <v>98401695</v>
      </c>
      <c r="Q290" s="100"/>
      <c r="R290" s="117"/>
    </row>
    <row r="291" spans="1:18" hidden="1" x14ac:dyDescent="0.25">
      <c r="A291" s="48" t="str">
        <f t="shared" si="55"/>
        <v>TL</v>
      </c>
      <c r="B291" s="32" t="s">
        <v>443</v>
      </c>
      <c r="C291" s="39" t="s">
        <v>444</v>
      </c>
      <c r="D291" s="13" t="s">
        <v>445</v>
      </c>
      <c r="E291" s="123">
        <v>2</v>
      </c>
      <c r="F291" s="123"/>
      <c r="G291" s="125"/>
      <c r="H291" s="125"/>
      <c r="I291" s="125">
        <f t="shared" si="61"/>
        <v>2</v>
      </c>
      <c r="J291" s="62">
        <f>'BIỂU HỢP ĐỒNG'!J280</f>
        <v>95959049</v>
      </c>
      <c r="K291" s="43"/>
      <c r="L291" s="62">
        <f t="shared" si="62"/>
        <v>191918098</v>
      </c>
      <c r="M291" s="43">
        <f t="shared" si="63"/>
        <v>0</v>
      </c>
      <c r="N291" s="43">
        <f t="shared" si="64"/>
        <v>0</v>
      </c>
      <c r="O291" s="43">
        <f t="shared" si="65"/>
        <v>0</v>
      </c>
      <c r="P291" s="43">
        <f t="shared" si="54"/>
        <v>191918098</v>
      </c>
      <c r="Q291" s="100"/>
      <c r="R291" s="117"/>
    </row>
    <row r="292" spans="1:18" ht="31.5" hidden="1" customHeight="1" x14ac:dyDescent="0.25">
      <c r="A292" s="48" t="str">
        <f t="shared" si="55"/>
        <v>TL</v>
      </c>
      <c r="B292" s="32" t="s">
        <v>446</v>
      </c>
      <c r="C292" s="39" t="s">
        <v>447</v>
      </c>
      <c r="D292" s="13" t="s">
        <v>428</v>
      </c>
      <c r="E292" s="123">
        <v>2</v>
      </c>
      <c r="F292" s="123"/>
      <c r="G292" s="125"/>
      <c r="H292" s="125"/>
      <c r="I292" s="125">
        <f t="shared" si="61"/>
        <v>2</v>
      </c>
      <c r="J292" s="62">
        <f>'BIỂU HỢP ĐỒNG'!J281</f>
        <v>786882</v>
      </c>
      <c r="K292" s="43"/>
      <c r="L292" s="62">
        <f t="shared" si="62"/>
        <v>1573764</v>
      </c>
      <c r="M292" s="43">
        <f t="shared" si="63"/>
        <v>0</v>
      </c>
      <c r="N292" s="43">
        <f t="shared" si="64"/>
        <v>0</v>
      </c>
      <c r="O292" s="43">
        <f t="shared" si="65"/>
        <v>0</v>
      </c>
      <c r="P292" s="43">
        <f t="shared" si="54"/>
        <v>1573764</v>
      </c>
      <c r="Q292" s="100"/>
      <c r="R292" s="117"/>
    </row>
    <row r="293" spans="1:18" ht="31.5" hidden="1" customHeight="1" x14ac:dyDescent="0.25">
      <c r="A293" s="48" t="str">
        <f t="shared" si="55"/>
        <v>TL</v>
      </c>
      <c r="B293" s="32" t="s">
        <v>448</v>
      </c>
      <c r="C293" s="39" t="s">
        <v>449</v>
      </c>
      <c r="D293" s="13" t="s">
        <v>75</v>
      </c>
      <c r="E293" s="123">
        <v>670.73</v>
      </c>
      <c r="F293" s="123"/>
      <c r="G293" s="125"/>
      <c r="H293" s="125"/>
      <c r="I293" s="125">
        <f t="shared" si="61"/>
        <v>670.73</v>
      </c>
      <c r="J293" s="62">
        <f>'BIỂU HỢP ĐỒNG'!J282</f>
        <v>235597</v>
      </c>
      <c r="K293" s="43"/>
      <c r="L293" s="62">
        <f t="shared" si="62"/>
        <v>158021976</v>
      </c>
      <c r="M293" s="43">
        <f t="shared" si="63"/>
        <v>0</v>
      </c>
      <c r="N293" s="43">
        <f t="shared" si="64"/>
        <v>0</v>
      </c>
      <c r="O293" s="43">
        <f t="shared" si="65"/>
        <v>0</v>
      </c>
      <c r="P293" s="43">
        <f t="shared" si="54"/>
        <v>158021976</v>
      </c>
      <c r="Q293" s="100"/>
      <c r="R293" s="117"/>
    </row>
    <row r="294" spans="1:18" hidden="1" x14ac:dyDescent="0.25">
      <c r="A294" s="48" t="str">
        <f t="shared" si="55"/>
        <v>TL</v>
      </c>
      <c r="B294" s="32" t="s">
        <v>450</v>
      </c>
      <c r="C294" s="39" t="s">
        <v>451</v>
      </c>
      <c r="D294" s="13" t="s">
        <v>75</v>
      </c>
      <c r="E294" s="123">
        <v>55.62</v>
      </c>
      <c r="F294" s="123"/>
      <c r="G294" s="125"/>
      <c r="H294" s="125"/>
      <c r="I294" s="125">
        <f t="shared" si="61"/>
        <v>55.62</v>
      </c>
      <c r="J294" s="62">
        <f>'BIỂU HỢP ĐỒNG'!J283</f>
        <v>155482</v>
      </c>
      <c r="K294" s="43"/>
      <c r="L294" s="62">
        <f t="shared" si="62"/>
        <v>8647909</v>
      </c>
      <c r="M294" s="43">
        <f t="shared" si="63"/>
        <v>0</v>
      </c>
      <c r="N294" s="43">
        <f t="shared" si="64"/>
        <v>0</v>
      </c>
      <c r="O294" s="43">
        <f t="shared" si="65"/>
        <v>0</v>
      </c>
      <c r="P294" s="43">
        <f t="shared" si="54"/>
        <v>8647909</v>
      </c>
      <c r="Q294" s="100"/>
      <c r="R294" s="117"/>
    </row>
    <row r="295" spans="1:18" hidden="1" x14ac:dyDescent="0.25">
      <c r="A295" s="48" t="str">
        <f t="shared" si="55"/>
        <v>TL</v>
      </c>
      <c r="B295" s="32" t="s">
        <v>452</v>
      </c>
      <c r="C295" s="39" t="s">
        <v>453</v>
      </c>
      <c r="D295" s="13" t="s">
        <v>75</v>
      </c>
      <c r="E295" s="123">
        <v>411</v>
      </c>
      <c r="F295" s="123"/>
      <c r="G295" s="125"/>
      <c r="H295" s="125"/>
      <c r="I295" s="125">
        <f t="shared" si="61"/>
        <v>411</v>
      </c>
      <c r="J295" s="62">
        <f>'BIỂU HỢP ĐỒNG'!J284</f>
        <v>47417</v>
      </c>
      <c r="K295" s="43"/>
      <c r="L295" s="62">
        <f t="shared" si="62"/>
        <v>19488387</v>
      </c>
      <c r="M295" s="43">
        <f t="shared" si="63"/>
        <v>0</v>
      </c>
      <c r="N295" s="43">
        <f t="shared" si="64"/>
        <v>0</v>
      </c>
      <c r="O295" s="43">
        <f t="shared" si="65"/>
        <v>0</v>
      </c>
      <c r="P295" s="43">
        <f t="shared" si="54"/>
        <v>19488387</v>
      </c>
      <c r="Q295" s="100"/>
      <c r="R295" s="117"/>
    </row>
    <row r="296" spans="1:18" ht="31.5" hidden="1" customHeight="1" x14ac:dyDescent="0.25">
      <c r="A296" s="48" t="str">
        <f t="shared" si="55"/>
        <v>TL</v>
      </c>
      <c r="B296" s="32" t="s">
        <v>454</v>
      </c>
      <c r="C296" s="39" t="s">
        <v>455</v>
      </c>
      <c r="D296" s="13" t="s">
        <v>456</v>
      </c>
      <c r="E296" s="123">
        <v>31</v>
      </c>
      <c r="F296" s="123"/>
      <c r="G296" s="125"/>
      <c r="H296" s="125"/>
      <c r="I296" s="125">
        <f t="shared" si="61"/>
        <v>31</v>
      </c>
      <c r="J296" s="62">
        <f>'BIỂU HỢP ĐỒNG'!J285</f>
        <v>1313212</v>
      </c>
      <c r="K296" s="43"/>
      <c r="L296" s="62">
        <f t="shared" si="62"/>
        <v>40709572</v>
      </c>
      <c r="M296" s="43">
        <f t="shared" si="63"/>
        <v>0</v>
      </c>
      <c r="N296" s="43">
        <f t="shared" si="64"/>
        <v>0</v>
      </c>
      <c r="O296" s="43">
        <f t="shared" si="65"/>
        <v>0</v>
      </c>
      <c r="P296" s="43">
        <f t="shared" si="54"/>
        <v>40709572</v>
      </c>
      <c r="Q296" s="100"/>
      <c r="R296" s="117"/>
    </row>
    <row r="297" spans="1:18" hidden="1" x14ac:dyDescent="0.25">
      <c r="A297" s="48" t="str">
        <f t="shared" si="55"/>
        <v>TL</v>
      </c>
      <c r="B297" s="32" t="s">
        <v>457</v>
      </c>
      <c r="C297" s="39" t="s">
        <v>458</v>
      </c>
      <c r="D297" s="13" t="s">
        <v>75</v>
      </c>
      <c r="E297" s="123">
        <v>518</v>
      </c>
      <c r="F297" s="123"/>
      <c r="G297" s="125"/>
      <c r="H297" s="125"/>
      <c r="I297" s="125">
        <f t="shared" si="61"/>
        <v>518</v>
      </c>
      <c r="J297" s="62">
        <f>'BIỂU HỢP ĐỒNG'!J286</f>
        <v>42291</v>
      </c>
      <c r="K297" s="43"/>
      <c r="L297" s="62">
        <f t="shared" si="62"/>
        <v>21906738</v>
      </c>
      <c r="M297" s="43">
        <f t="shared" si="63"/>
        <v>0</v>
      </c>
      <c r="N297" s="43">
        <f t="shared" si="64"/>
        <v>0</v>
      </c>
      <c r="O297" s="43">
        <f t="shared" si="65"/>
        <v>0</v>
      </c>
      <c r="P297" s="43">
        <f t="shared" si="54"/>
        <v>21906738</v>
      </c>
      <c r="Q297" s="100"/>
      <c r="R297" s="117"/>
    </row>
    <row r="298" spans="1:18" hidden="1" x14ac:dyDescent="0.25">
      <c r="A298" s="48" t="str">
        <f t="shared" si="55"/>
        <v>TL</v>
      </c>
      <c r="B298" s="32" t="s">
        <v>459</v>
      </c>
      <c r="C298" s="39" t="s">
        <v>460</v>
      </c>
      <c r="D298" s="13" t="s">
        <v>258</v>
      </c>
      <c r="E298" s="123">
        <v>17</v>
      </c>
      <c r="F298" s="123"/>
      <c r="G298" s="125"/>
      <c r="H298" s="125"/>
      <c r="I298" s="125">
        <f t="shared" si="61"/>
        <v>17</v>
      </c>
      <c r="J298" s="62">
        <f>'BIỂU HỢP ĐỒNG'!J287</f>
        <v>194956</v>
      </c>
      <c r="K298" s="43"/>
      <c r="L298" s="62">
        <f t="shared" si="62"/>
        <v>3314252</v>
      </c>
      <c r="M298" s="43">
        <f t="shared" si="63"/>
        <v>0</v>
      </c>
      <c r="N298" s="43">
        <f t="shared" si="64"/>
        <v>0</v>
      </c>
      <c r="O298" s="43">
        <f t="shared" si="65"/>
        <v>0</v>
      </c>
      <c r="P298" s="43">
        <f t="shared" si="54"/>
        <v>3314252</v>
      </c>
      <c r="Q298" s="100"/>
      <c r="R298" s="117"/>
    </row>
    <row r="299" spans="1:18" hidden="1" x14ac:dyDescent="0.25">
      <c r="A299" s="48" t="str">
        <f t="shared" si="55"/>
        <v>TL</v>
      </c>
      <c r="B299" s="32" t="s">
        <v>461</v>
      </c>
      <c r="C299" s="39" t="s">
        <v>462</v>
      </c>
      <c r="D299" s="13" t="s">
        <v>463</v>
      </c>
      <c r="E299" s="123">
        <v>48</v>
      </c>
      <c r="F299" s="123"/>
      <c r="G299" s="125"/>
      <c r="H299" s="125"/>
      <c r="I299" s="125">
        <f t="shared" si="61"/>
        <v>48</v>
      </c>
      <c r="J299" s="62">
        <f>'BIỂU HỢP ĐỒNG'!J288</f>
        <v>39395</v>
      </c>
      <c r="K299" s="43"/>
      <c r="L299" s="62">
        <f t="shared" si="62"/>
        <v>1890960</v>
      </c>
      <c r="M299" s="43">
        <f t="shared" si="63"/>
        <v>0</v>
      </c>
      <c r="N299" s="43">
        <f t="shared" si="64"/>
        <v>0</v>
      </c>
      <c r="O299" s="43">
        <f t="shared" si="65"/>
        <v>0</v>
      </c>
      <c r="P299" s="43">
        <f t="shared" si="54"/>
        <v>1890960</v>
      </c>
      <c r="Q299" s="100"/>
      <c r="R299" s="117"/>
    </row>
    <row r="300" spans="1:18" hidden="1" x14ac:dyDescent="0.25">
      <c r="A300" s="48" t="str">
        <f t="shared" si="55"/>
        <v>TL</v>
      </c>
      <c r="B300" s="32" t="s">
        <v>464</v>
      </c>
      <c r="C300" s="39" t="s">
        <v>465</v>
      </c>
      <c r="D300" s="13" t="s">
        <v>466</v>
      </c>
      <c r="E300" s="123">
        <v>1.7</v>
      </c>
      <c r="F300" s="123"/>
      <c r="G300" s="125"/>
      <c r="H300" s="125"/>
      <c r="I300" s="125">
        <f t="shared" si="61"/>
        <v>1.7</v>
      </c>
      <c r="J300" s="62">
        <f>'BIỂU HỢP ĐỒNG'!J289</f>
        <v>440823</v>
      </c>
      <c r="K300" s="43"/>
      <c r="L300" s="62">
        <f t="shared" si="62"/>
        <v>749399</v>
      </c>
      <c r="M300" s="43">
        <f t="shared" si="63"/>
        <v>0</v>
      </c>
      <c r="N300" s="43">
        <f t="shared" si="64"/>
        <v>0</v>
      </c>
      <c r="O300" s="43">
        <f t="shared" si="65"/>
        <v>0</v>
      </c>
      <c r="P300" s="43">
        <f t="shared" si="54"/>
        <v>749399</v>
      </c>
      <c r="Q300" s="100"/>
      <c r="R300" s="117"/>
    </row>
    <row r="301" spans="1:18" hidden="1" x14ac:dyDescent="0.25">
      <c r="A301" s="48" t="str">
        <f t="shared" si="55"/>
        <v>TL</v>
      </c>
      <c r="B301" s="32" t="s">
        <v>467</v>
      </c>
      <c r="C301" s="39" t="s">
        <v>468</v>
      </c>
      <c r="D301" s="13" t="s">
        <v>463</v>
      </c>
      <c r="E301" s="123">
        <v>48</v>
      </c>
      <c r="F301" s="123"/>
      <c r="G301" s="125"/>
      <c r="H301" s="125"/>
      <c r="I301" s="125">
        <f t="shared" si="61"/>
        <v>48</v>
      </c>
      <c r="J301" s="62">
        <f>'BIỂU HỢP ĐỒNG'!J290</f>
        <v>98805</v>
      </c>
      <c r="K301" s="43"/>
      <c r="L301" s="62">
        <f t="shared" si="62"/>
        <v>4742640</v>
      </c>
      <c r="M301" s="43">
        <f t="shared" si="63"/>
        <v>0</v>
      </c>
      <c r="N301" s="43">
        <f t="shared" si="64"/>
        <v>0</v>
      </c>
      <c r="O301" s="43">
        <f t="shared" si="65"/>
        <v>0</v>
      </c>
      <c r="P301" s="43">
        <f t="shared" si="54"/>
        <v>4742640</v>
      </c>
      <c r="Q301" s="100"/>
      <c r="R301" s="117"/>
    </row>
    <row r="302" spans="1:18" hidden="1" x14ac:dyDescent="0.25">
      <c r="A302" s="48" t="str">
        <f t="shared" si="55"/>
        <v>TL</v>
      </c>
      <c r="B302" s="32" t="s">
        <v>469</v>
      </c>
      <c r="C302" s="39" t="s">
        <v>470</v>
      </c>
      <c r="D302" s="13" t="s">
        <v>13</v>
      </c>
      <c r="E302" s="123">
        <v>5.3</v>
      </c>
      <c r="F302" s="123"/>
      <c r="G302" s="125"/>
      <c r="H302" s="125"/>
      <c r="I302" s="125">
        <f t="shared" si="61"/>
        <v>5.3</v>
      </c>
      <c r="J302" s="62">
        <f>'BIỂU HỢP ĐỒNG'!J291</f>
        <v>96659</v>
      </c>
      <c r="K302" s="43"/>
      <c r="L302" s="62">
        <f t="shared" si="62"/>
        <v>512293</v>
      </c>
      <c r="M302" s="43">
        <f t="shared" si="63"/>
        <v>0</v>
      </c>
      <c r="N302" s="43">
        <f t="shared" si="64"/>
        <v>0</v>
      </c>
      <c r="O302" s="43">
        <f t="shared" si="65"/>
        <v>0</v>
      </c>
      <c r="P302" s="43">
        <f t="shared" si="54"/>
        <v>512293</v>
      </c>
      <c r="Q302" s="100"/>
      <c r="R302" s="117"/>
    </row>
    <row r="303" spans="1:18" hidden="1" x14ac:dyDescent="0.25">
      <c r="A303" s="48" t="str">
        <f t="shared" si="55"/>
        <v>TL</v>
      </c>
      <c r="B303" s="32" t="s">
        <v>471</v>
      </c>
      <c r="C303" s="39" t="s">
        <v>472</v>
      </c>
      <c r="D303" s="13" t="s">
        <v>16</v>
      </c>
      <c r="E303" s="123">
        <v>23.21</v>
      </c>
      <c r="F303" s="123"/>
      <c r="G303" s="125"/>
      <c r="H303" s="125"/>
      <c r="I303" s="125">
        <f t="shared" si="61"/>
        <v>23.21</v>
      </c>
      <c r="J303" s="62">
        <f>'BIỂU HỢP ĐỒNG'!J292</f>
        <v>1399730</v>
      </c>
      <c r="K303" s="43"/>
      <c r="L303" s="62">
        <f t="shared" si="62"/>
        <v>32487733</v>
      </c>
      <c r="M303" s="43">
        <f t="shared" si="63"/>
        <v>0</v>
      </c>
      <c r="N303" s="43">
        <f t="shared" si="64"/>
        <v>0</v>
      </c>
      <c r="O303" s="43">
        <f t="shared" si="65"/>
        <v>0</v>
      </c>
      <c r="P303" s="43">
        <f t="shared" si="54"/>
        <v>32487733</v>
      </c>
      <c r="Q303" s="100"/>
      <c r="R303" s="117"/>
    </row>
    <row r="304" spans="1:18" hidden="1" x14ac:dyDescent="0.25">
      <c r="A304" s="48" t="str">
        <f t="shared" si="55"/>
        <v>TL</v>
      </c>
      <c r="B304" s="32" t="s">
        <v>473</v>
      </c>
      <c r="C304" s="39" t="s">
        <v>474</v>
      </c>
      <c r="D304" s="13" t="s">
        <v>475</v>
      </c>
      <c r="E304" s="123">
        <v>10</v>
      </c>
      <c r="F304" s="123"/>
      <c r="G304" s="125"/>
      <c r="H304" s="125"/>
      <c r="I304" s="125">
        <f t="shared" si="61"/>
        <v>10</v>
      </c>
      <c r="J304" s="62">
        <f>'BIỂU HỢP ĐỒNG'!J293</f>
        <v>5910534</v>
      </c>
      <c r="K304" s="43"/>
      <c r="L304" s="62">
        <f t="shared" si="62"/>
        <v>59105340</v>
      </c>
      <c r="M304" s="43">
        <f t="shared" si="63"/>
        <v>0</v>
      </c>
      <c r="N304" s="43">
        <f t="shared" si="64"/>
        <v>0</v>
      </c>
      <c r="O304" s="43">
        <f t="shared" si="65"/>
        <v>0</v>
      </c>
      <c r="P304" s="43">
        <f t="shared" ref="P304:P367" si="66">SUM(L304:O304)</f>
        <v>59105340</v>
      </c>
      <c r="Q304" s="100"/>
      <c r="R304" s="117"/>
    </row>
    <row r="305" spans="1:18" ht="31.5" hidden="1" customHeight="1" x14ac:dyDescent="0.25">
      <c r="A305" s="48" t="str">
        <f t="shared" si="55"/>
        <v>TL</v>
      </c>
      <c r="B305" s="32" t="s">
        <v>476</v>
      </c>
      <c r="C305" s="39" t="s">
        <v>477</v>
      </c>
      <c r="D305" s="13" t="s">
        <v>478</v>
      </c>
      <c r="E305" s="123">
        <v>2.0299999999999998</v>
      </c>
      <c r="F305" s="123"/>
      <c r="G305" s="125"/>
      <c r="H305" s="125"/>
      <c r="I305" s="125">
        <f t="shared" si="61"/>
        <v>2.0299999999999998</v>
      </c>
      <c r="J305" s="62">
        <f>'BIỂU HỢP ĐỒNG'!J294</f>
        <v>16542870</v>
      </c>
      <c r="K305" s="43"/>
      <c r="L305" s="62">
        <f t="shared" si="62"/>
        <v>33582026</v>
      </c>
      <c r="M305" s="43">
        <f t="shared" si="63"/>
        <v>0</v>
      </c>
      <c r="N305" s="43">
        <f t="shared" si="64"/>
        <v>0</v>
      </c>
      <c r="O305" s="43">
        <f t="shared" si="65"/>
        <v>0</v>
      </c>
      <c r="P305" s="43">
        <f t="shared" si="66"/>
        <v>33582026</v>
      </c>
      <c r="Q305" s="100"/>
      <c r="R305" s="117"/>
    </row>
    <row r="306" spans="1:18" ht="31.5" hidden="1" customHeight="1" x14ac:dyDescent="0.25">
      <c r="A306" s="48" t="str">
        <f t="shared" si="55"/>
        <v>TL</v>
      </c>
      <c r="B306" s="32" t="s">
        <v>479</v>
      </c>
      <c r="C306" s="39" t="s">
        <v>480</v>
      </c>
      <c r="D306" s="13" t="s">
        <v>478</v>
      </c>
      <c r="E306" s="123">
        <v>2.0699999999999998</v>
      </c>
      <c r="F306" s="123"/>
      <c r="G306" s="125"/>
      <c r="H306" s="125"/>
      <c r="I306" s="125">
        <f t="shared" si="61"/>
        <v>2.0699999999999998</v>
      </c>
      <c r="J306" s="62">
        <f>'BIỂU HỢP ĐỒNG'!J295</f>
        <v>8589785</v>
      </c>
      <c r="K306" s="43"/>
      <c r="L306" s="62">
        <f t="shared" si="62"/>
        <v>17780855</v>
      </c>
      <c r="M306" s="43">
        <f t="shared" si="63"/>
        <v>0</v>
      </c>
      <c r="N306" s="43">
        <f t="shared" si="64"/>
        <v>0</v>
      </c>
      <c r="O306" s="43">
        <f t="shared" si="65"/>
        <v>0</v>
      </c>
      <c r="P306" s="43">
        <f t="shared" si="66"/>
        <v>17780855</v>
      </c>
      <c r="Q306" s="100"/>
      <c r="R306" s="117"/>
    </row>
    <row r="307" spans="1:18" hidden="1" x14ac:dyDescent="0.25">
      <c r="A307" s="48" t="str">
        <f t="shared" si="55"/>
        <v>TL</v>
      </c>
      <c r="B307" s="32" t="s">
        <v>481</v>
      </c>
      <c r="C307" s="39" t="s">
        <v>482</v>
      </c>
      <c r="D307" s="13" t="s">
        <v>75</v>
      </c>
      <c r="E307" s="123">
        <v>327</v>
      </c>
      <c r="F307" s="123"/>
      <c r="G307" s="125"/>
      <c r="H307" s="125"/>
      <c r="I307" s="125">
        <f t="shared" si="61"/>
        <v>327</v>
      </c>
      <c r="J307" s="62">
        <f>'BIỂU HỢP ĐỒNG'!J296</f>
        <v>6367</v>
      </c>
      <c r="K307" s="43"/>
      <c r="L307" s="62">
        <f t="shared" si="62"/>
        <v>2082009</v>
      </c>
      <c r="M307" s="43">
        <f t="shared" si="63"/>
        <v>0</v>
      </c>
      <c r="N307" s="43">
        <f t="shared" si="64"/>
        <v>0</v>
      </c>
      <c r="O307" s="43">
        <f t="shared" si="65"/>
        <v>0</v>
      </c>
      <c r="P307" s="43">
        <f t="shared" si="66"/>
        <v>2082009</v>
      </c>
      <c r="Q307" s="100"/>
      <c r="R307" s="117"/>
    </row>
    <row r="308" spans="1:18" hidden="1" x14ac:dyDescent="0.25">
      <c r="A308" s="48" t="str">
        <f t="shared" si="55"/>
        <v>TL</v>
      </c>
      <c r="B308" s="32" t="s">
        <v>483</v>
      </c>
      <c r="C308" s="39" t="s">
        <v>484</v>
      </c>
      <c r="D308" s="13" t="s">
        <v>126</v>
      </c>
      <c r="E308" s="123">
        <v>3.27</v>
      </c>
      <c r="F308" s="123"/>
      <c r="G308" s="125"/>
      <c r="H308" s="125"/>
      <c r="I308" s="125">
        <f t="shared" si="61"/>
        <v>3.27</v>
      </c>
      <c r="J308" s="62">
        <f>'BIỂU HỢP ĐỒNG'!J297</f>
        <v>128081</v>
      </c>
      <c r="K308" s="43"/>
      <c r="L308" s="62">
        <f t="shared" si="62"/>
        <v>418825</v>
      </c>
      <c r="M308" s="43">
        <f t="shared" si="63"/>
        <v>0</v>
      </c>
      <c r="N308" s="43">
        <f t="shared" si="64"/>
        <v>0</v>
      </c>
      <c r="O308" s="43">
        <f t="shared" si="65"/>
        <v>0</v>
      </c>
      <c r="P308" s="43">
        <f t="shared" si="66"/>
        <v>418825</v>
      </c>
      <c r="Q308" s="100"/>
      <c r="R308" s="117"/>
    </row>
    <row r="309" spans="1:18" hidden="1" x14ac:dyDescent="0.25">
      <c r="A309" s="48" t="str">
        <f t="shared" si="55"/>
        <v>TL</v>
      </c>
      <c r="B309" s="32" t="s">
        <v>485</v>
      </c>
      <c r="C309" s="39" t="s">
        <v>486</v>
      </c>
      <c r="D309" s="13" t="s">
        <v>487</v>
      </c>
      <c r="E309" s="123">
        <v>1635</v>
      </c>
      <c r="F309" s="123"/>
      <c r="G309" s="125"/>
      <c r="H309" s="125"/>
      <c r="I309" s="125">
        <f t="shared" si="61"/>
        <v>1635</v>
      </c>
      <c r="J309" s="62">
        <f>'BIỂU HỢP ĐỒNG'!J298</f>
        <v>1535</v>
      </c>
      <c r="K309" s="43"/>
      <c r="L309" s="62">
        <f t="shared" si="62"/>
        <v>2509725</v>
      </c>
      <c r="M309" s="43">
        <f t="shared" si="63"/>
        <v>0</v>
      </c>
      <c r="N309" s="43">
        <f t="shared" si="64"/>
        <v>0</v>
      </c>
      <c r="O309" s="43">
        <f t="shared" si="65"/>
        <v>0</v>
      </c>
      <c r="P309" s="43">
        <f t="shared" si="66"/>
        <v>2509725</v>
      </c>
      <c r="Q309" s="100"/>
      <c r="R309" s="117"/>
    </row>
    <row r="310" spans="1:18" hidden="1" x14ac:dyDescent="0.25">
      <c r="A310" s="48" t="str">
        <f t="shared" si="55"/>
        <v>TL</v>
      </c>
      <c r="B310" s="32" t="s">
        <v>488</v>
      </c>
      <c r="C310" s="39" t="s">
        <v>489</v>
      </c>
      <c r="D310" s="13" t="s">
        <v>490</v>
      </c>
      <c r="E310" s="123">
        <v>1.635</v>
      </c>
      <c r="F310" s="123"/>
      <c r="G310" s="125"/>
      <c r="H310" s="125"/>
      <c r="I310" s="125">
        <f t="shared" si="61"/>
        <v>1.635</v>
      </c>
      <c r="J310" s="62">
        <f>'BIỂU HỢP ĐỒNG'!J299</f>
        <v>1024648</v>
      </c>
      <c r="K310" s="43"/>
      <c r="L310" s="62">
        <f t="shared" si="62"/>
        <v>1675299</v>
      </c>
      <c r="M310" s="43">
        <f t="shared" si="63"/>
        <v>0</v>
      </c>
      <c r="N310" s="43">
        <f t="shared" si="64"/>
        <v>0</v>
      </c>
      <c r="O310" s="43">
        <f t="shared" si="65"/>
        <v>0</v>
      </c>
      <c r="P310" s="43">
        <f t="shared" si="66"/>
        <v>1675299</v>
      </c>
      <c r="Q310" s="100"/>
      <c r="R310" s="117"/>
    </row>
    <row r="311" spans="1:18" ht="31.5" hidden="1" customHeight="1" x14ac:dyDescent="0.25">
      <c r="A311" s="48" t="str">
        <f t="shared" si="55"/>
        <v>TL</v>
      </c>
      <c r="B311" s="32" t="s">
        <v>491</v>
      </c>
      <c r="C311" s="39" t="s">
        <v>492</v>
      </c>
      <c r="D311" s="13" t="s">
        <v>493</v>
      </c>
      <c r="E311" s="123">
        <v>4.0999999999999996</v>
      </c>
      <c r="F311" s="123"/>
      <c r="G311" s="125"/>
      <c r="H311" s="125"/>
      <c r="I311" s="125">
        <f t="shared" si="61"/>
        <v>4.0999999999999996</v>
      </c>
      <c r="J311" s="62">
        <f>'BIỂU HỢP ĐỒNG'!J300</f>
        <v>304833</v>
      </c>
      <c r="K311" s="43"/>
      <c r="L311" s="62">
        <f t="shared" si="62"/>
        <v>1249815</v>
      </c>
      <c r="M311" s="43">
        <f t="shared" si="63"/>
        <v>0</v>
      </c>
      <c r="N311" s="43">
        <f t="shared" si="64"/>
        <v>0</v>
      </c>
      <c r="O311" s="43">
        <f t="shared" si="65"/>
        <v>0</v>
      </c>
      <c r="P311" s="43">
        <f t="shared" si="66"/>
        <v>1249815</v>
      </c>
      <c r="Q311" s="100"/>
      <c r="R311" s="117"/>
    </row>
    <row r="312" spans="1:18" hidden="1" x14ac:dyDescent="0.25">
      <c r="A312" s="48" t="str">
        <f t="shared" si="55"/>
        <v>TL</v>
      </c>
      <c r="B312" s="32" t="s">
        <v>494</v>
      </c>
      <c r="C312" s="39" t="s">
        <v>495</v>
      </c>
      <c r="D312" s="13" t="s">
        <v>493</v>
      </c>
      <c r="E312" s="123">
        <v>18.43</v>
      </c>
      <c r="F312" s="123"/>
      <c r="G312" s="125"/>
      <c r="H312" s="125"/>
      <c r="I312" s="125">
        <f t="shared" si="61"/>
        <v>18.43</v>
      </c>
      <c r="J312" s="62">
        <f>'BIỂU HỢP ĐỒNG'!J301</f>
        <v>404736</v>
      </c>
      <c r="K312" s="43"/>
      <c r="L312" s="62">
        <f t="shared" si="62"/>
        <v>7459284</v>
      </c>
      <c r="M312" s="43">
        <f t="shared" si="63"/>
        <v>0</v>
      </c>
      <c r="N312" s="43">
        <f t="shared" si="64"/>
        <v>0</v>
      </c>
      <c r="O312" s="43">
        <f t="shared" si="65"/>
        <v>0</v>
      </c>
      <c r="P312" s="43">
        <f t="shared" si="66"/>
        <v>7459284</v>
      </c>
      <c r="Q312" s="100"/>
      <c r="R312" s="117"/>
    </row>
    <row r="313" spans="1:18" hidden="1" x14ac:dyDescent="0.25">
      <c r="A313" s="48" t="str">
        <f t="shared" si="55"/>
        <v>TL</v>
      </c>
      <c r="B313" s="32" t="s">
        <v>496</v>
      </c>
      <c r="C313" s="39" t="s">
        <v>497</v>
      </c>
      <c r="D313" s="13" t="s">
        <v>13</v>
      </c>
      <c r="E313" s="123">
        <v>89.12</v>
      </c>
      <c r="F313" s="123"/>
      <c r="G313" s="125"/>
      <c r="H313" s="125"/>
      <c r="I313" s="125">
        <f t="shared" si="61"/>
        <v>89.12</v>
      </c>
      <c r="J313" s="62">
        <f>'BIỂU HỢP ĐỒNG'!J302</f>
        <v>154322.03</v>
      </c>
      <c r="K313" s="43"/>
      <c r="L313" s="62">
        <f t="shared" si="62"/>
        <v>13753179</v>
      </c>
      <c r="M313" s="43">
        <f t="shared" si="63"/>
        <v>0</v>
      </c>
      <c r="N313" s="43">
        <f t="shared" si="64"/>
        <v>0</v>
      </c>
      <c r="O313" s="43">
        <f t="shared" si="65"/>
        <v>0</v>
      </c>
      <c r="P313" s="43">
        <f t="shared" si="66"/>
        <v>13753179</v>
      </c>
      <c r="Q313" s="100"/>
      <c r="R313" s="117"/>
    </row>
    <row r="314" spans="1:18" hidden="1" x14ac:dyDescent="0.25">
      <c r="A314" s="48" t="str">
        <f t="shared" si="55"/>
        <v>TL</v>
      </c>
      <c r="B314" s="32" t="s">
        <v>498</v>
      </c>
      <c r="C314" s="39" t="s">
        <v>499</v>
      </c>
      <c r="D314" s="13" t="s">
        <v>493</v>
      </c>
      <c r="E314" s="123">
        <v>43.2</v>
      </c>
      <c r="F314" s="123"/>
      <c r="G314" s="125"/>
      <c r="H314" s="125"/>
      <c r="I314" s="125">
        <f t="shared" si="61"/>
        <v>43.2</v>
      </c>
      <c r="J314" s="62">
        <f>'BIỂU HỢP ĐỒNG'!J303</f>
        <v>353505</v>
      </c>
      <c r="K314" s="43"/>
      <c r="L314" s="62">
        <f t="shared" si="62"/>
        <v>15271416</v>
      </c>
      <c r="M314" s="43">
        <f t="shared" si="63"/>
        <v>0</v>
      </c>
      <c r="N314" s="43">
        <f t="shared" si="64"/>
        <v>0</v>
      </c>
      <c r="O314" s="43">
        <f t="shared" si="65"/>
        <v>0</v>
      </c>
      <c r="P314" s="43">
        <f t="shared" si="66"/>
        <v>15271416</v>
      </c>
      <c r="Q314" s="100"/>
      <c r="R314" s="117"/>
    </row>
    <row r="315" spans="1:18" hidden="1" x14ac:dyDescent="0.25">
      <c r="A315" s="48" t="str">
        <f t="shared" si="55"/>
        <v>TL</v>
      </c>
      <c r="B315" s="32" t="s">
        <v>500</v>
      </c>
      <c r="C315" s="39" t="s">
        <v>501</v>
      </c>
      <c r="D315" s="13" t="s">
        <v>493</v>
      </c>
      <c r="E315" s="123">
        <v>61.32</v>
      </c>
      <c r="F315" s="123"/>
      <c r="G315" s="125"/>
      <c r="H315" s="125"/>
      <c r="I315" s="125">
        <f t="shared" si="61"/>
        <v>61.32</v>
      </c>
      <c r="J315" s="62">
        <f>'BIỂU HỢP ĐỒNG'!J304</f>
        <v>279217</v>
      </c>
      <c r="K315" s="43"/>
      <c r="L315" s="62">
        <f t="shared" si="62"/>
        <v>17121586</v>
      </c>
      <c r="M315" s="43">
        <f t="shared" si="63"/>
        <v>0</v>
      </c>
      <c r="N315" s="43">
        <f t="shared" si="64"/>
        <v>0</v>
      </c>
      <c r="O315" s="43">
        <f t="shared" si="65"/>
        <v>0</v>
      </c>
      <c r="P315" s="43">
        <f t="shared" si="66"/>
        <v>17121586</v>
      </c>
      <c r="Q315" s="100"/>
      <c r="R315" s="117"/>
    </row>
    <row r="316" spans="1:18" hidden="1" x14ac:dyDescent="0.25">
      <c r="A316" s="48" t="str">
        <f t="shared" si="55"/>
        <v>TL</v>
      </c>
      <c r="B316" s="32" t="s">
        <v>502</v>
      </c>
      <c r="C316" s="39" t="s">
        <v>503</v>
      </c>
      <c r="D316" s="13" t="s">
        <v>16</v>
      </c>
      <c r="E316" s="123">
        <v>19.62</v>
      </c>
      <c r="F316" s="123"/>
      <c r="G316" s="125"/>
      <c r="H316" s="125"/>
      <c r="I316" s="125">
        <f t="shared" si="61"/>
        <v>19.62</v>
      </c>
      <c r="J316" s="62">
        <f>'BIỂU HỢP ĐỒNG'!J305</f>
        <v>410010</v>
      </c>
      <c r="K316" s="43"/>
      <c r="L316" s="62">
        <f t="shared" si="62"/>
        <v>8044396</v>
      </c>
      <c r="M316" s="43">
        <f t="shared" si="63"/>
        <v>0</v>
      </c>
      <c r="N316" s="43">
        <f t="shared" si="64"/>
        <v>0</v>
      </c>
      <c r="O316" s="43">
        <f t="shared" si="65"/>
        <v>0</v>
      </c>
      <c r="P316" s="43">
        <f t="shared" si="66"/>
        <v>8044396</v>
      </c>
      <c r="Q316" s="100"/>
      <c r="R316" s="117"/>
    </row>
    <row r="317" spans="1:18" hidden="1" x14ac:dyDescent="0.25">
      <c r="A317" s="48" t="str">
        <f t="shared" si="55"/>
        <v>TL</v>
      </c>
      <c r="B317" s="32" t="s">
        <v>504</v>
      </c>
      <c r="C317" s="39" t="s">
        <v>505</v>
      </c>
      <c r="D317" s="13" t="s">
        <v>16</v>
      </c>
      <c r="E317" s="123">
        <v>84.9</v>
      </c>
      <c r="F317" s="123"/>
      <c r="G317" s="125"/>
      <c r="H317" s="125"/>
      <c r="I317" s="125">
        <f t="shared" si="61"/>
        <v>84.9</v>
      </c>
      <c r="J317" s="62">
        <f>'BIỂU HỢP ĐỒNG'!J306</f>
        <v>143451</v>
      </c>
      <c r="K317" s="43"/>
      <c r="L317" s="62">
        <f t="shared" si="62"/>
        <v>12178990</v>
      </c>
      <c r="M317" s="43">
        <f t="shared" si="63"/>
        <v>0</v>
      </c>
      <c r="N317" s="43">
        <f t="shared" si="64"/>
        <v>0</v>
      </c>
      <c r="O317" s="43">
        <f t="shared" si="65"/>
        <v>0</v>
      </c>
      <c r="P317" s="43">
        <f t="shared" si="66"/>
        <v>12178990</v>
      </c>
      <c r="Q317" s="100"/>
      <c r="R317" s="117"/>
    </row>
    <row r="318" spans="1:18" hidden="1" x14ac:dyDescent="0.25">
      <c r="A318" s="48" t="str">
        <f t="shared" si="55"/>
        <v>TL</v>
      </c>
      <c r="B318" s="32" t="s">
        <v>506</v>
      </c>
      <c r="C318" s="39" t="s">
        <v>507</v>
      </c>
      <c r="D318" s="13" t="s">
        <v>16</v>
      </c>
      <c r="E318" s="123">
        <v>64</v>
      </c>
      <c r="F318" s="123"/>
      <c r="G318" s="125"/>
      <c r="H318" s="125"/>
      <c r="I318" s="125">
        <f t="shared" si="61"/>
        <v>64</v>
      </c>
      <c r="J318" s="62">
        <f>'BIỂU HỢP ĐỒNG'!J307</f>
        <v>39661</v>
      </c>
      <c r="K318" s="43"/>
      <c r="L318" s="62">
        <f t="shared" si="62"/>
        <v>2538304</v>
      </c>
      <c r="M318" s="43">
        <f t="shared" si="63"/>
        <v>0</v>
      </c>
      <c r="N318" s="43">
        <f t="shared" si="64"/>
        <v>0</v>
      </c>
      <c r="O318" s="43">
        <f t="shared" si="65"/>
        <v>0</v>
      </c>
      <c r="P318" s="43">
        <f t="shared" si="66"/>
        <v>2538304</v>
      </c>
      <c r="Q318" s="100"/>
      <c r="R318" s="117"/>
    </row>
    <row r="319" spans="1:18" s="22" customFormat="1" ht="31.5" hidden="1" customHeight="1" x14ac:dyDescent="0.25">
      <c r="A319" s="48" t="str">
        <f t="shared" si="55"/>
        <v>TL</v>
      </c>
      <c r="B319" s="29">
        <v>6</v>
      </c>
      <c r="C319" s="12" t="s">
        <v>508</v>
      </c>
      <c r="D319" s="79"/>
      <c r="E319" s="123"/>
      <c r="F319" s="123"/>
      <c r="G319" s="125"/>
      <c r="H319" s="125"/>
      <c r="I319" s="125"/>
      <c r="J319" s="62"/>
      <c r="K319" s="43"/>
      <c r="L319" s="62"/>
      <c r="M319" s="43"/>
      <c r="N319" s="43"/>
      <c r="O319" s="43"/>
      <c r="P319" s="43">
        <f t="shared" si="66"/>
        <v>0</v>
      </c>
      <c r="Q319" s="100"/>
      <c r="R319" s="117"/>
    </row>
    <row r="320" spans="1:18" ht="31.5" hidden="1" customHeight="1" x14ac:dyDescent="0.25">
      <c r="A320" s="48" t="str">
        <f t="shared" si="55"/>
        <v>TL</v>
      </c>
      <c r="B320" s="32" t="s">
        <v>509</v>
      </c>
      <c r="C320" s="39" t="s">
        <v>510</v>
      </c>
      <c r="D320" s="13" t="s">
        <v>13</v>
      </c>
      <c r="E320" s="123">
        <v>3489</v>
      </c>
      <c r="F320" s="123"/>
      <c r="G320" s="125"/>
      <c r="H320" s="125"/>
      <c r="I320" s="125">
        <f t="shared" ref="I320:I340" si="67">SUM(E320:H320)</f>
        <v>3489</v>
      </c>
      <c r="J320" s="62">
        <f>'BIỂU HỢP ĐỒNG'!J309</f>
        <v>519576</v>
      </c>
      <c r="K320" s="43"/>
      <c r="L320" s="62">
        <f t="shared" ref="L320:L340" si="68">+ROUND(J320*E320,0)</f>
        <v>1812800664</v>
      </c>
      <c r="M320" s="43">
        <f t="shared" ref="M320:M340" si="69">+ROUND(F320*J320,0)</f>
        <v>0</v>
      </c>
      <c r="N320" s="43">
        <f t="shared" ref="N320:N340" si="70">+ROUND(G320*J320,0)</f>
        <v>0</v>
      </c>
      <c r="O320" s="43">
        <f t="shared" ref="O320:O340" si="71">+ROUND(H320*J320,0)</f>
        <v>0</v>
      </c>
      <c r="P320" s="43">
        <f t="shared" si="66"/>
        <v>1812800664</v>
      </c>
      <c r="Q320" s="100"/>
      <c r="R320" s="117"/>
    </row>
    <row r="321" spans="1:18" hidden="1" x14ac:dyDescent="0.25">
      <c r="A321" s="48" t="str">
        <f t="shared" si="55"/>
        <v>TL</v>
      </c>
      <c r="B321" s="32" t="s">
        <v>511</v>
      </c>
      <c r="C321" s="39" t="s">
        <v>512</v>
      </c>
      <c r="D321" s="13" t="s">
        <v>13</v>
      </c>
      <c r="E321" s="123">
        <v>241.57</v>
      </c>
      <c r="F321" s="123"/>
      <c r="G321" s="125"/>
      <c r="H321" s="125"/>
      <c r="I321" s="125">
        <f t="shared" si="67"/>
        <v>241.57</v>
      </c>
      <c r="J321" s="62">
        <f>'BIỂU HỢP ĐỒNG'!J310</f>
        <v>1113651</v>
      </c>
      <c r="K321" s="43"/>
      <c r="L321" s="62">
        <f t="shared" si="68"/>
        <v>269024672</v>
      </c>
      <c r="M321" s="43">
        <f t="shared" si="69"/>
        <v>0</v>
      </c>
      <c r="N321" s="43">
        <f t="shared" si="70"/>
        <v>0</v>
      </c>
      <c r="O321" s="43">
        <f t="shared" si="71"/>
        <v>0</v>
      </c>
      <c r="P321" s="43">
        <f t="shared" si="66"/>
        <v>269024672</v>
      </c>
      <c r="Q321" s="100"/>
      <c r="R321" s="117"/>
    </row>
    <row r="322" spans="1:18" ht="31.5" hidden="1" customHeight="1" x14ac:dyDescent="0.25">
      <c r="A322" s="48" t="str">
        <f t="shared" si="55"/>
        <v>TL</v>
      </c>
      <c r="B322" s="32" t="s">
        <v>513</v>
      </c>
      <c r="C322" s="39" t="s">
        <v>514</v>
      </c>
      <c r="D322" s="13" t="s">
        <v>515</v>
      </c>
      <c r="E322" s="123">
        <v>106.4</v>
      </c>
      <c r="F322" s="123"/>
      <c r="G322" s="125"/>
      <c r="H322" s="125"/>
      <c r="I322" s="125">
        <f t="shared" si="67"/>
        <v>106.4</v>
      </c>
      <c r="J322" s="62">
        <f>'BIỂU HỢP ĐỒNG'!J311</f>
        <v>56885</v>
      </c>
      <c r="K322" s="43"/>
      <c r="L322" s="62">
        <f t="shared" si="68"/>
        <v>6052564</v>
      </c>
      <c r="M322" s="43">
        <f t="shared" si="69"/>
        <v>0</v>
      </c>
      <c r="N322" s="43">
        <f t="shared" si="70"/>
        <v>0</v>
      </c>
      <c r="O322" s="43">
        <f t="shared" si="71"/>
        <v>0</v>
      </c>
      <c r="P322" s="43">
        <f t="shared" si="66"/>
        <v>6052564</v>
      </c>
      <c r="Q322" s="100"/>
      <c r="R322" s="117"/>
    </row>
    <row r="323" spans="1:18" ht="47.25" hidden="1" customHeight="1" x14ac:dyDescent="0.25">
      <c r="A323" s="48" t="str">
        <f t="shared" si="55"/>
        <v>TL</v>
      </c>
      <c r="B323" s="32" t="s">
        <v>516</v>
      </c>
      <c r="C323" s="39" t="s">
        <v>517</v>
      </c>
      <c r="D323" s="13" t="s">
        <v>258</v>
      </c>
      <c r="E323" s="123">
        <v>37</v>
      </c>
      <c r="F323" s="123"/>
      <c r="G323" s="125"/>
      <c r="H323" s="125"/>
      <c r="I323" s="125">
        <f t="shared" si="67"/>
        <v>37</v>
      </c>
      <c r="J323" s="62">
        <f>'BIỂU HỢP ĐỒNG'!J312</f>
        <v>304700</v>
      </c>
      <c r="K323" s="43"/>
      <c r="L323" s="62">
        <f t="shared" si="68"/>
        <v>11273900</v>
      </c>
      <c r="M323" s="43">
        <f t="shared" si="69"/>
        <v>0</v>
      </c>
      <c r="N323" s="43">
        <f t="shared" si="70"/>
        <v>0</v>
      </c>
      <c r="O323" s="43">
        <f t="shared" si="71"/>
        <v>0</v>
      </c>
      <c r="P323" s="43">
        <f t="shared" si="66"/>
        <v>11273900</v>
      </c>
      <c r="Q323" s="100"/>
      <c r="R323" s="117"/>
    </row>
    <row r="324" spans="1:18" ht="47.25" hidden="1" customHeight="1" x14ac:dyDescent="0.25">
      <c r="A324" s="48" t="str">
        <f t="shared" si="55"/>
        <v>TL</v>
      </c>
      <c r="B324" s="32" t="s">
        <v>518</v>
      </c>
      <c r="C324" s="39" t="s">
        <v>519</v>
      </c>
      <c r="D324" s="13" t="s">
        <v>258</v>
      </c>
      <c r="E324" s="123">
        <v>36</v>
      </c>
      <c r="F324" s="123"/>
      <c r="G324" s="125"/>
      <c r="H324" s="125"/>
      <c r="I324" s="125">
        <f t="shared" si="67"/>
        <v>36</v>
      </c>
      <c r="J324" s="62">
        <f>'BIỂU HỢP ĐỒNG'!J313</f>
        <v>319853</v>
      </c>
      <c r="K324" s="43"/>
      <c r="L324" s="62">
        <f t="shared" si="68"/>
        <v>11514708</v>
      </c>
      <c r="M324" s="43">
        <f t="shared" si="69"/>
        <v>0</v>
      </c>
      <c r="N324" s="43">
        <f t="shared" si="70"/>
        <v>0</v>
      </c>
      <c r="O324" s="43">
        <f t="shared" si="71"/>
        <v>0</v>
      </c>
      <c r="P324" s="43">
        <f t="shared" si="66"/>
        <v>11514708</v>
      </c>
      <c r="Q324" s="100"/>
      <c r="R324" s="117"/>
    </row>
    <row r="325" spans="1:18" ht="47.25" hidden="1" customHeight="1" x14ac:dyDescent="0.25">
      <c r="A325" s="48" t="str">
        <f t="shared" si="55"/>
        <v>TL</v>
      </c>
      <c r="B325" s="32" t="s">
        <v>520</v>
      </c>
      <c r="C325" s="39" t="s">
        <v>521</v>
      </c>
      <c r="D325" s="13" t="s">
        <v>258</v>
      </c>
      <c r="E325" s="123">
        <v>27</v>
      </c>
      <c r="F325" s="123"/>
      <c r="G325" s="125"/>
      <c r="H325" s="125"/>
      <c r="I325" s="125">
        <f t="shared" si="67"/>
        <v>27</v>
      </c>
      <c r="J325" s="62">
        <f>'BIỂU HỢP ĐỒNG'!J314</f>
        <v>313792</v>
      </c>
      <c r="K325" s="43"/>
      <c r="L325" s="62">
        <f t="shared" si="68"/>
        <v>8472384</v>
      </c>
      <c r="M325" s="43">
        <f t="shared" si="69"/>
        <v>0</v>
      </c>
      <c r="N325" s="43">
        <f t="shared" si="70"/>
        <v>0</v>
      </c>
      <c r="O325" s="43">
        <f t="shared" si="71"/>
        <v>0</v>
      </c>
      <c r="P325" s="43">
        <f t="shared" si="66"/>
        <v>8472384</v>
      </c>
      <c r="Q325" s="100"/>
      <c r="R325" s="117"/>
    </row>
    <row r="326" spans="1:18" ht="47.25" hidden="1" customHeight="1" x14ac:dyDescent="0.25">
      <c r="A326" s="48" t="str">
        <f t="shared" si="55"/>
        <v>TL</v>
      </c>
      <c r="B326" s="32" t="s">
        <v>522</v>
      </c>
      <c r="C326" s="39" t="s">
        <v>523</v>
      </c>
      <c r="D326" s="13" t="s">
        <v>258</v>
      </c>
      <c r="E326" s="123">
        <v>2</v>
      </c>
      <c r="F326" s="123"/>
      <c r="G326" s="125"/>
      <c r="H326" s="125"/>
      <c r="I326" s="125">
        <f t="shared" si="67"/>
        <v>2</v>
      </c>
      <c r="J326" s="62">
        <f>'BIỂU HỢP ĐỒNG'!J315</f>
        <v>313792</v>
      </c>
      <c r="K326" s="43"/>
      <c r="L326" s="62">
        <f t="shared" si="68"/>
        <v>627584</v>
      </c>
      <c r="M326" s="43">
        <f t="shared" si="69"/>
        <v>0</v>
      </c>
      <c r="N326" s="43">
        <f t="shared" si="70"/>
        <v>0</v>
      </c>
      <c r="O326" s="43">
        <f t="shared" si="71"/>
        <v>0</v>
      </c>
      <c r="P326" s="43">
        <f t="shared" si="66"/>
        <v>627584</v>
      </c>
      <c r="Q326" s="100"/>
      <c r="R326" s="117"/>
    </row>
    <row r="327" spans="1:18" ht="47.25" hidden="1" customHeight="1" x14ac:dyDescent="0.25">
      <c r="A327" s="48" t="str">
        <f t="shared" ref="A327:A390" si="72">A326</f>
        <v>TL</v>
      </c>
      <c r="B327" s="32" t="s">
        <v>524</v>
      </c>
      <c r="C327" s="39" t="s">
        <v>525</v>
      </c>
      <c r="D327" s="13" t="s">
        <v>258</v>
      </c>
      <c r="E327" s="123">
        <v>8</v>
      </c>
      <c r="F327" s="123"/>
      <c r="G327" s="125"/>
      <c r="H327" s="125"/>
      <c r="I327" s="125">
        <f t="shared" si="67"/>
        <v>8</v>
      </c>
      <c r="J327" s="62">
        <f>'BIỂU HỢP ĐỒNG'!J316</f>
        <v>313792</v>
      </c>
      <c r="K327" s="43"/>
      <c r="L327" s="62">
        <f t="shared" si="68"/>
        <v>2510336</v>
      </c>
      <c r="M327" s="43">
        <f t="shared" si="69"/>
        <v>0</v>
      </c>
      <c r="N327" s="43">
        <f t="shared" si="70"/>
        <v>0</v>
      </c>
      <c r="O327" s="43">
        <f t="shared" si="71"/>
        <v>0</v>
      </c>
      <c r="P327" s="43">
        <f t="shared" si="66"/>
        <v>2510336</v>
      </c>
      <c r="Q327" s="100"/>
      <c r="R327" s="117"/>
    </row>
    <row r="328" spans="1:18" hidden="1" x14ac:dyDescent="0.25">
      <c r="A328" s="48" t="str">
        <f t="shared" si="72"/>
        <v>TL</v>
      </c>
      <c r="B328" s="32" t="s">
        <v>526</v>
      </c>
      <c r="C328" s="39" t="s">
        <v>527</v>
      </c>
      <c r="D328" s="13" t="s">
        <v>258</v>
      </c>
      <c r="E328" s="123">
        <v>37</v>
      </c>
      <c r="F328" s="123"/>
      <c r="G328" s="125"/>
      <c r="H328" s="125"/>
      <c r="I328" s="125">
        <f t="shared" si="67"/>
        <v>37</v>
      </c>
      <c r="J328" s="62">
        <f>'BIỂU HỢP ĐỒNG'!J317</f>
        <v>492731</v>
      </c>
      <c r="K328" s="43"/>
      <c r="L328" s="62">
        <f t="shared" si="68"/>
        <v>18231047</v>
      </c>
      <c r="M328" s="43">
        <f t="shared" si="69"/>
        <v>0</v>
      </c>
      <c r="N328" s="43">
        <f t="shared" si="70"/>
        <v>0</v>
      </c>
      <c r="O328" s="43">
        <f t="shared" si="71"/>
        <v>0</v>
      </c>
      <c r="P328" s="43">
        <f t="shared" si="66"/>
        <v>18231047</v>
      </c>
      <c r="Q328" s="100"/>
      <c r="R328" s="117"/>
    </row>
    <row r="329" spans="1:18" hidden="1" x14ac:dyDescent="0.25">
      <c r="A329" s="48" t="str">
        <f t="shared" si="72"/>
        <v>TL</v>
      </c>
      <c r="B329" s="32" t="s">
        <v>528</v>
      </c>
      <c r="C329" s="39" t="s">
        <v>529</v>
      </c>
      <c r="D329" s="13" t="s">
        <v>258</v>
      </c>
      <c r="E329" s="123">
        <v>36</v>
      </c>
      <c r="F329" s="123"/>
      <c r="G329" s="125"/>
      <c r="H329" s="125"/>
      <c r="I329" s="125">
        <f t="shared" si="67"/>
        <v>36</v>
      </c>
      <c r="J329" s="62">
        <f>'BIỂU HỢP ĐỒNG'!J318</f>
        <v>1021897</v>
      </c>
      <c r="K329" s="43"/>
      <c r="L329" s="62">
        <f t="shared" si="68"/>
        <v>36788292</v>
      </c>
      <c r="M329" s="43">
        <f t="shared" si="69"/>
        <v>0</v>
      </c>
      <c r="N329" s="43">
        <f t="shared" si="70"/>
        <v>0</v>
      </c>
      <c r="O329" s="43">
        <f t="shared" si="71"/>
        <v>0</v>
      </c>
      <c r="P329" s="43">
        <f t="shared" si="66"/>
        <v>36788292</v>
      </c>
      <c r="Q329" s="100"/>
      <c r="R329" s="117"/>
    </row>
    <row r="330" spans="1:18" hidden="1" x14ac:dyDescent="0.25">
      <c r="A330" s="48" t="str">
        <f t="shared" si="72"/>
        <v>TL</v>
      </c>
      <c r="B330" s="32" t="s">
        <v>530</v>
      </c>
      <c r="C330" s="39" t="s">
        <v>531</v>
      </c>
      <c r="D330" s="13" t="s">
        <v>258</v>
      </c>
      <c r="E330" s="123">
        <v>27</v>
      </c>
      <c r="F330" s="123"/>
      <c r="G330" s="125"/>
      <c r="H330" s="125"/>
      <c r="I330" s="125">
        <f t="shared" si="67"/>
        <v>27</v>
      </c>
      <c r="J330" s="62">
        <f>'BIỂU HỢP ĐỒNG'!J319</f>
        <v>1021897</v>
      </c>
      <c r="K330" s="43"/>
      <c r="L330" s="62">
        <f t="shared" si="68"/>
        <v>27591219</v>
      </c>
      <c r="M330" s="43">
        <f t="shared" si="69"/>
        <v>0</v>
      </c>
      <c r="N330" s="43">
        <f t="shared" si="70"/>
        <v>0</v>
      </c>
      <c r="O330" s="43">
        <f t="shared" si="71"/>
        <v>0</v>
      </c>
      <c r="P330" s="43">
        <f t="shared" si="66"/>
        <v>27591219</v>
      </c>
      <c r="Q330" s="100"/>
      <c r="R330" s="117"/>
    </row>
    <row r="331" spans="1:18" hidden="1" x14ac:dyDescent="0.25">
      <c r="A331" s="48" t="str">
        <f t="shared" si="72"/>
        <v>TL</v>
      </c>
      <c r="B331" s="32" t="s">
        <v>532</v>
      </c>
      <c r="C331" s="39" t="s">
        <v>533</v>
      </c>
      <c r="D331" s="13" t="s">
        <v>258</v>
      </c>
      <c r="E331" s="123">
        <v>8</v>
      </c>
      <c r="F331" s="123"/>
      <c r="G331" s="125"/>
      <c r="H331" s="125"/>
      <c r="I331" s="125">
        <f t="shared" si="67"/>
        <v>8</v>
      </c>
      <c r="J331" s="62">
        <f>'BIỂU HỢP ĐỒNG'!J320</f>
        <v>1755842</v>
      </c>
      <c r="K331" s="43"/>
      <c r="L331" s="62">
        <f t="shared" si="68"/>
        <v>14046736</v>
      </c>
      <c r="M331" s="43">
        <f t="shared" si="69"/>
        <v>0</v>
      </c>
      <c r="N331" s="43">
        <f t="shared" si="70"/>
        <v>0</v>
      </c>
      <c r="O331" s="43">
        <f t="shared" si="71"/>
        <v>0</v>
      </c>
      <c r="P331" s="43">
        <f t="shared" si="66"/>
        <v>14046736</v>
      </c>
      <c r="Q331" s="100"/>
      <c r="R331" s="117"/>
    </row>
    <row r="332" spans="1:18" hidden="1" x14ac:dyDescent="0.25">
      <c r="A332" s="48" t="str">
        <f t="shared" si="72"/>
        <v>TL</v>
      </c>
      <c r="B332" s="32" t="s">
        <v>534</v>
      </c>
      <c r="C332" s="39" t="s">
        <v>535</v>
      </c>
      <c r="D332" s="13" t="s">
        <v>258</v>
      </c>
      <c r="E332" s="123">
        <v>2</v>
      </c>
      <c r="F332" s="123"/>
      <c r="G332" s="125"/>
      <c r="H332" s="125"/>
      <c r="I332" s="125">
        <f t="shared" si="67"/>
        <v>2</v>
      </c>
      <c r="J332" s="62">
        <f>'BIỂU HỢP ĐỒNG'!J321</f>
        <v>804708</v>
      </c>
      <c r="K332" s="43"/>
      <c r="L332" s="62">
        <f t="shared" si="68"/>
        <v>1609416</v>
      </c>
      <c r="M332" s="43">
        <f t="shared" si="69"/>
        <v>0</v>
      </c>
      <c r="N332" s="43">
        <f t="shared" si="70"/>
        <v>0</v>
      </c>
      <c r="O332" s="43">
        <f t="shared" si="71"/>
        <v>0</v>
      </c>
      <c r="P332" s="43">
        <f t="shared" si="66"/>
        <v>1609416</v>
      </c>
      <c r="Q332" s="100"/>
      <c r="R332" s="117"/>
    </row>
    <row r="333" spans="1:18" hidden="1" x14ac:dyDescent="0.25">
      <c r="A333" s="48" t="str">
        <f t="shared" si="72"/>
        <v>TL</v>
      </c>
      <c r="B333" s="32" t="s">
        <v>536</v>
      </c>
      <c r="C333" s="39" t="s">
        <v>537</v>
      </c>
      <c r="D333" s="13" t="s">
        <v>75</v>
      </c>
      <c r="E333" s="123">
        <v>385</v>
      </c>
      <c r="F333" s="123"/>
      <c r="G333" s="125"/>
      <c r="H333" s="125"/>
      <c r="I333" s="125">
        <f t="shared" si="67"/>
        <v>385</v>
      </c>
      <c r="J333" s="62">
        <f>'BIỂU HỢP ĐỒNG'!J322</f>
        <v>171892</v>
      </c>
      <c r="K333" s="43"/>
      <c r="L333" s="62">
        <f t="shared" si="68"/>
        <v>66178420</v>
      </c>
      <c r="M333" s="43">
        <f t="shared" si="69"/>
        <v>0</v>
      </c>
      <c r="N333" s="43">
        <f t="shared" si="70"/>
        <v>0</v>
      </c>
      <c r="O333" s="43">
        <f t="shared" si="71"/>
        <v>0</v>
      </c>
      <c r="P333" s="43">
        <f t="shared" si="66"/>
        <v>66178420</v>
      </c>
      <c r="Q333" s="100"/>
      <c r="R333" s="117"/>
    </row>
    <row r="334" spans="1:18" hidden="1" x14ac:dyDescent="0.25">
      <c r="A334" s="48" t="str">
        <f t="shared" si="72"/>
        <v>TL</v>
      </c>
      <c r="B334" s="32" t="s">
        <v>538</v>
      </c>
      <c r="C334" s="39" t="s">
        <v>539</v>
      </c>
      <c r="D334" s="13" t="s">
        <v>258</v>
      </c>
      <c r="E334" s="123">
        <v>3</v>
      </c>
      <c r="F334" s="123"/>
      <c r="G334" s="125"/>
      <c r="H334" s="125"/>
      <c r="I334" s="125">
        <f t="shared" si="67"/>
        <v>3</v>
      </c>
      <c r="J334" s="62">
        <f>'BIỂU HỢP ĐỒNG'!J323</f>
        <v>383011</v>
      </c>
      <c r="K334" s="43"/>
      <c r="L334" s="62">
        <f t="shared" si="68"/>
        <v>1149033</v>
      </c>
      <c r="M334" s="43">
        <f t="shared" si="69"/>
        <v>0</v>
      </c>
      <c r="N334" s="43">
        <f t="shared" si="70"/>
        <v>0</v>
      </c>
      <c r="O334" s="43">
        <f t="shared" si="71"/>
        <v>0</v>
      </c>
      <c r="P334" s="43">
        <f t="shared" si="66"/>
        <v>1149033</v>
      </c>
      <c r="Q334" s="100"/>
      <c r="R334" s="117"/>
    </row>
    <row r="335" spans="1:18" hidden="1" x14ac:dyDescent="0.25">
      <c r="A335" s="48" t="str">
        <f t="shared" si="72"/>
        <v>TL</v>
      </c>
      <c r="B335" s="32" t="s">
        <v>540</v>
      </c>
      <c r="C335" s="39" t="s">
        <v>541</v>
      </c>
      <c r="D335" s="13" t="s">
        <v>258</v>
      </c>
      <c r="E335" s="123">
        <v>25</v>
      </c>
      <c r="F335" s="123"/>
      <c r="G335" s="125"/>
      <c r="H335" s="125"/>
      <c r="I335" s="125">
        <f t="shared" si="67"/>
        <v>25</v>
      </c>
      <c r="J335" s="62">
        <f>'BIỂU HỢP ĐỒNG'!J324</f>
        <v>308087</v>
      </c>
      <c r="K335" s="43"/>
      <c r="L335" s="62">
        <f t="shared" si="68"/>
        <v>7702175</v>
      </c>
      <c r="M335" s="43">
        <f t="shared" si="69"/>
        <v>0</v>
      </c>
      <c r="N335" s="43">
        <f t="shared" si="70"/>
        <v>0</v>
      </c>
      <c r="O335" s="43">
        <f t="shared" si="71"/>
        <v>0</v>
      </c>
      <c r="P335" s="43">
        <f t="shared" si="66"/>
        <v>7702175</v>
      </c>
      <c r="Q335" s="100"/>
      <c r="R335" s="117"/>
    </row>
    <row r="336" spans="1:18" hidden="1" x14ac:dyDescent="0.25">
      <c r="A336" s="48" t="str">
        <f t="shared" si="72"/>
        <v>TL</v>
      </c>
      <c r="B336" s="32" t="s">
        <v>542</v>
      </c>
      <c r="C336" s="39" t="s">
        <v>543</v>
      </c>
      <c r="D336" s="13" t="s">
        <v>258</v>
      </c>
      <c r="E336" s="123">
        <v>387</v>
      </c>
      <c r="F336" s="123"/>
      <c r="G336" s="125"/>
      <c r="H336" s="125"/>
      <c r="I336" s="125">
        <f t="shared" si="67"/>
        <v>387</v>
      </c>
      <c r="J336" s="62">
        <f>'BIỂU HỢP ĐỒNG'!J325</f>
        <v>266456</v>
      </c>
      <c r="K336" s="43"/>
      <c r="L336" s="62">
        <f t="shared" si="68"/>
        <v>103118472</v>
      </c>
      <c r="M336" s="43">
        <f t="shared" si="69"/>
        <v>0</v>
      </c>
      <c r="N336" s="43">
        <f t="shared" si="70"/>
        <v>0</v>
      </c>
      <c r="O336" s="43">
        <f t="shared" si="71"/>
        <v>0</v>
      </c>
      <c r="P336" s="43">
        <f t="shared" si="66"/>
        <v>103118472</v>
      </c>
      <c r="Q336" s="100"/>
      <c r="R336" s="117"/>
    </row>
    <row r="337" spans="1:18" hidden="1" x14ac:dyDescent="0.25">
      <c r="A337" s="48" t="str">
        <f t="shared" si="72"/>
        <v>TL</v>
      </c>
      <c r="B337" s="32" t="s">
        <v>544</v>
      </c>
      <c r="C337" s="39" t="s">
        <v>545</v>
      </c>
      <c r="D337" s="13" t="s">
        <v>258</v>
      </c>
      <c r="E337" s="123">
        <v>173</v>
      </c>
      <c r="F337" s="123"/>
      <c r="G337" s="125"/>
      <c r="H337" s="125"/>
      <c r="I337" s="125">
        <f t="shared" si="67"/>
        <v>173</v>
      </c>
      <c r="J337" s="62">
        <f>'BIỂU HỢP ĐỒNG'!J326</f>
        <v>50931</v>
      </c>
      <c r="K337" s="43"/>
      <c r="L337" s="62">
        <f t="shared" si="68"/>
        <v>8811063</v>
      </c>
      <c r="M337" s="43">
        <f t="shared" si="69"/>
        <v>0</v>
      </c>
      <c r="N337" s="43">
        <f t="shared" si="70"/>
        <v>0</v>
      </c>
      <c r="O337" s="43">
        <f t="shared" si="71"/>
        <v>0</v>
      </c>
      <c r="P337" s="43">
        <f t="shared" si="66"/>
        <v>8811063</v>
      </c>
      <c r="Q337" s="100"/>
      <c r="R337" s="117"/>
    </row>
    <row r="338" spans="1:18" hidden="1" x14ac:dyDescent="0.25">
      <c r="A338" s="48" t="str">
        <f t="shared" si="72"/>
        <v>TL</v>
      </c>
      <c r="B338" s="32" t="s">
        <v>546</v>
      </c>
      <c r="C338" s="39" t="s">
        <v>547</v>
      </c>
      <c r="D338" s="13" t="s">
        <v>13</v>
      </c>
      <c r="E338" s="123">
        <v>48</v>
      </c>
      <c r="F338" s="123"/>
      <c r="G338" s="125"/>
      <c r="H338" s="125"/>
      <c r="I338" s="125">
        <f t="shared" si="67"/>
        <v>48</v>
      </c>
      <c r="J338" s="62">
        <f>'BIỂU HỢP ĐỒNG'!J327</f>
        <v>214498</v>
      </c>
      <c r="K338" s="43"/>
      <c r="L338" s="62">
        <f t="shared" si="68"/>
        <v>10295904</v>
      </c>
      <c r="M338" s="43">
        <f t="shared" si="69"/>
        <v>0</v>
      </c>
      <c r="N338" s="43">
        <f t="shared" si="70"/>
        <v>0</v>
      </c>
      <c r="O338" s="43">
        <f t="shared" si="71"/>
        <v>0</v>
      </c>
      <c r="P338" s="43">
        <f t="shared" si="66"/>
        <v>10295904</v>
      </c>
      <c r="Q338" s="100"/>
      <c r="R338" s="117"/>
    </row>
    <row r="339" spans="1:18" ht="31.5" hidden="1" customHeight="1" x14ac:dyDescent="0.25">
      <c r="A339" s="48" t="str">
        <f t="shared" si="72"/>
        <v>TL</v>
      </c>
      <c r="B339" s="32" t="s">
        <v>548</v>
      </c>
      <c r="C339" s="39" t="s">
        <v>549</v>
      </c>
      <c r="D339" s="13" t="s">
        <v>16</v>
      </c>
      <c r="E339" s="123">
        <v>2.4</v>
      </c>
      <c r="F339" s="123"/>
      <c r="G339" s="125"/>
      <c r="H339" s="125"/>
      <c r="I339" s="125">
        <f t="shared" si="67"/>
        <v>2.4</v>
      </c>
      <c r="J339" s="62">
        <f>'BIỂU HỢP ĐỒNG'!J328</f>
        <v>143451</v>
      </c>
      <c r="K339" s="43"/>
      <c r="L339" s="62">
        <f t="shared" si="68"/>
        <v>344282</v>
      </c>
      <c r="M339" s="43">
        <f t="shared" si="69"/>
        <v>0</v>
      </c>
      <c r="N339" s="43">
        <f t="shared" si="70"/>
        <v>0</v>
      </c>
      <c r="O339" s="43">
        <f t="shared" si="71"/>
        <v>0</v>
      </c>
      <c r="P339" s="43">
        <f t="shared" si="66"/>
        <v>344282</v>
      </c>
      <c r="Q339" s="100"/>
      <c r="R339" s="117"/>
    </row>
    <row r="340" spans="1:18" hidden="1" x14ac:dyDescent="0.25">
      <c r="A340" s="48" t="str">
        <f t="shared" si="72"/>
        <v>TL</v>
      </c>
      <c r="B340" s="32" t="s">
        <v>550</v>
      </c>
      <c r="C340" s="39" t="s">
        <v>551</v>
      </c>
      <c r="D340" s="13" t="s">
        <v>13</v>
      </c>
      <c r="E340" s="123">
        <v>16.13</v>
      </c>
      <c r="F340" s="123"/>
      <c r="G340" s="125"/>
      <c r="H340" s="125"/>
      <c r="I340" s="125">
        <f t="shared" si="67"/>
        <v>16.13</v>
      </c>
      <c r="J340" s="62">
        <f>'BIỂU HỢP ĐỒNG'!J329</f>
        <v>138235</v>
      </c>
      <c r="K340" s="43"/>
      <c r="L340" s="62">
        <f t="shared" si="68"/>
        <v>2229731</v>
      </c>
      <c r="M340" s="43">
        <f t="shared" si="69"/>
        <v>0</v>
      </c>
      <c r="N340" s="43">
        <f t="shared" si="70"/>
        <v>0</v>
      </c>
      <c r="O340" s="43">
        <f t="shared" si="71"/>
        <v>0</v>
      </c>
      <c r="P340" s="43">
        <f t="shared" si="66"/>
        <v>2229731</v>
      </c>
      <c r="Q340" s="100"/>
      <c r="R340" s="117"/>
    </row>
    <row r="341" spans="1:18" s="22" customFormat="1" ht="31.5" hidden="1" customHeight="1" x14ac:dyDescent="0.25">
      <c r="A341" s="48" t="str">
        <f t="shared" si="72"/>
        <v>TL</v>
      </c>
      <c r="B341" s="29">
        <v>7</v>
      </c>
      <c r="C341" s="12" t="s">
        <v>2027</v>
      </c>
      <c r="D341" s="79"/>
      <c r="E341" s="123"/>
      <c r="F341" s="123"/>
      <c r="G341" s="125"/>
      <c r="H341" s="125"/>
      <c r="I341" s="125"/>
      <c r="J341" s="62"/>
      <c r="K341" s="43"/>
      <c r="L341" s="62"/>
      <c r="M341" s="43"/>
      <c r="N341" s="43"/>
      <c r="O341" s="43"/>
      <c r="P341" s="43">
        <f t="shared" si="66"/>
        <v>0</v>
      </c>
      <c r="Q341" s="100"/>
      <c r="R341" s="117"/>
    </row>
    <row r="342" spans="1:18" hidden="1" x14ac:dyDescent="0.25">
      <c r="A342" s="48" t="str">
        <f t="shared" si="72"/>
        <v>TL</v>
      </c>
      <c r="B342" s="32" t="s">
        <v>553</v>
      </c>
      <c r="C342" s="39" t="s">
        <v>554</v>
      </c>
      <c r="D342" s="13" t="s">
        <v>90</v>
      </c>
      <c r="E342" s="123">
        <v>0.35</v>
      </c>
      <c r="F342" s="123"/>
      <c r="G342" s="125"/>
      <c r="H342" s="125"/>
      <c r="I342" s="125">
        <f t="shared" ref="I342:I373" si="73">SUM(E342:H342)</f>
        <v>0.35</v>
      </c>
      <c r="J342" s="62">
        <f>'BIỂU HỢP ĐỒNG'!J331</f>
        <v>28765433</v>
      </c>
      <c r="K342" s="43"/>
      <c r="L342" s="62">
        <f t="shared" ref="L342:L373" si="74">+ROUND(J342*E342,0)</f>
        <v>10067902</v>
      </c>
      <c r="M342" s="43">
        <f t="shared" ref="M342:M373" si="75">+ROUND(F342*J342,0)</f>
        <v>0</v>
      </c>
      <c r="N342" s="43">
        <f t="shared" ref="N342:N373" si="76">+ROUND(G342*J342,0)</f>
        <v>0</v>
      </c>
      <c r="O342" s="43">
        <f t="shared" ref="O342:O373" si="77">+ROUND(H342*J342,0)</f>
        <v>0</v>
      </c>
      <c r="P342" s="43">
        <f t="shared" si="66"/>
        <v>10067902</v>
      </c>
      <c r="Q342" s="100"/>
      <c r="R342" s="117"/>
    </row>
    <row r="343" spans="1:18" hidden="1" x14ac:dyDescent="0.25">
      <c r="A343" s="48" t="str">
        <f t="shared" si="72"/>
        <v>TL</v>
      </c>
      <c r="B343" s="32" t="s">
        <v>555</v>
      </c>
      <c r="C343" s="39" t="s">
        <v>556</v>
      </c>
      <c r="D343" s="13" t="s">
        <v>90</v>
      </c>
      <c r="E343" s="123">
        <v>15.24</v>
      </c>
      <c r="F343" s="123"/>
      <c r="G343" s="125"/>
      <c r="H343" s="125"/>
      <c r="I343" s="125">
        <f t="shared" si="73"/>
        <v>15.24</v>
      </c>
      <c r="J343" s="62">
        <f>'BIỂU HỢP ĐỒNG'!J332</f>
        <v>27004108</v>
      </c>
      <c r="K343" s="43"/>
      <c r="L343" s="62">
        <f t="shared" si="74"/>
        <v>411542606</v>
      </c>
      <c r="M343" s="43">
        <f t="shared" si="75"/>
        <v>0</v>
      </c>
      <c r="N343" s="43">
        <f t="shared" si="76"/>
        <v>0</v>
      </c>
      <c r="O343" s="43">
        <f t="shared" si="77"/>
        <v>0</v>
      </c>
      <c r="P343" s="43">
        <f t="shared" si="66"/>
        <v>411542606</v>
      </c>
      <c r="Q343" s="100"/>
      <c r="R343" s="117"/>
    </row>
    <row r="344" spans="1:18" hidden="1" x14ac:dyDescent="0.25">
      <c r="A344" s="48" t="str">
        <f t="shared" si="72"/>
        <v>TL</v>
      </c>
      <c r="B344" s="32" t="s">
        <v>557</v>
      </c>
      <c r="C344" s="39" t="s">
        <v>558</v>
      </c>
      <c r="D344" s="13" t="s">
        <v>16</v>
      </c>
      <c r="E344" s="123">
        <v>102.48</v>
      </c>
      <c r="F344" s="123"/>
      <c r="G344" s="125"/>
      <c r="H344" s="125"/>
      <c r="I344" s="125">
        <f t="shared" si="73"/>
        <v>102.48</v>
      </c>
      <c r="J344" s="62">
        <f>'BIỂU HỢP ĐỒNG'!J333</f>
        <v>1871647</v>
      </c>
      <c r="K344" s="43"/>
      <c r="L344" s="62">
        <f t="shared" si="74"/>
        <v>191806385</v>
      </c>
      <c r="M344" s="43">
        <f t="shared" si="75"/>
        <v>0</v>
      </c>
      <c r="N344" s="43">
        <f t="shared" si="76"/>
        <v>0</v>
      </c>
      <c r="O344" s="43">
        <f t="shared" si="77"/>
        <v>0</v>
      </c>
      <c r="P344" s="43">
        <f t="shared" si="66"/>
        <v>191806385</v>
      </c>
      <c r="Q344" s="100"/>
      <c r="R344" s="117"/>
    </row>
    <row r="345" spans="1:18" hidden="1" x14ac:dyDescent="0.25">
      <c r="A345" s="48" t="str">
        <f t="shared" si="72"/>
        <v>TL</v>
      </c>
      <c r="B345" s="32" t="s">
        <v>559</v>
      </c>
      <c r="C345" s="39" t="s">
        <v>560</v>
      </c>
      <c r="D345" s="13" t="s">
        <v>16</v>
      </c>
      <c r="E345" s="123">
        <v>104.02</v>
      </c>
      <c r="F345" s="123"/>
      <c r="G345" s="125"/>
      <c r="H345" s="125"/>
      <c r="I345" s="125">
        <f t="shared" si="73"/>
        <v>104.02</v>
      </c>
      <c r="J345" s="62">
        <f>'BIỂU HỢP ĐỒNG'!J334</f>
        <v>57102</v>
      </c>
      <c r="K345" s="43"/>
      <c r="L345" s="62">
        <f t="shared" si="74"/>
        <v>5939750</v>
      </c>
      <c r="M345" s="43">
        <f t="shared" si="75"/>
        <v>0</v>
      </c>
      <c r="N345" s="43">
        <f t="shared" si="76"/>
        <v>0</v>
      </c>
      <c r="O345" s="43">
        <f t="shared" si="77"/>
        <v>0</v>
      </c>
      <c r="P345" s="43">
        <f t="shared" si="66"/>
        <v>5939750</v>
      </c>
      <c r="Q345" s="100"/>
      <c r="R345" s="117"/>
    </row>
    <row r="346" spans="1:18" hidden="1" x14ac:dyDescent="0.25">
      <c r="A346" s="48" t="str">
        <f t="shared" si="72"/>
        <v>TL</v>
      </c>
      <c r="B346" s="32" t="s">
        <v>561</v>
      </c>
      <c r="C346" s="39" t="s">
        <v>562</v>
      </c>
      <c r="D346" s="13" t="s">
        <v>16</v>
      </c>
      <c r="E346" s="123">
        <v>104.02</v>
      </c>
      <c r="F346" s="123"/>
      <c r="G346" s="125"/>
      <c r="H346" s="125"/>
      <c r="I346" s="125">
        <f t="shared" si="73"/>
        <v>104.02</v>
      </c>
      <c r="J346" s="62">
        <f>'BIỂU HỢP ĐỒNG'!J335</f>
        <v>232044</v>
      </c>
      <c r="K346" s="43"/>
      <c r="L346" s="62">
        <f t="shared" si="74"/>
        <v>24137217</v>
      </c>
      <c r="M346" s="43">
        <f t="shared" si="75"/>
        <v>0</v>
      </c>
      <c r="N346" s="43">
        <f t="shared" si="76"/>
        <v>0</v>
      </c>
      <c r="O346" s="43">
        <f t="shared" si="77"/>
        <v>0</v>
      </c>
      <c r="P346" s="43">
        <f t="shared" si="66"/>
        <v>24137217</v>
      </c>
      <c r="Q346" s="100"/>
      <c r="R346" s="117"/>
    </row>
    <row r="347" spans="1:18" hidden="1" x14ac:dyDescent="0.25">
      <c r="A347" s="48" t="str">
        <f t="shared" si="72"/>
        <v>TL</v>
      </c>
      <c r="B347" s="32" t="s">
        <v>563</v>
      </c>
      <c r="C347" s="39" t="s">
        <v>564</v>
      </c>
      <c r="D347" s="13" t="s">
        <v>13</v>
      </c>
      <c r="E347" s="123">
        <v>757.68</v>
      </c>
      <c r="F347" s="123"/>
      <c r="G347" s="125"/>
      <c r="H347" s="125"/>
      <c r="I347" s="125">
        <f t="shared" si="73"/>
        <v>757.68</v>
      </c>
      <c r="J347" s="62">
        <f>'BIỂU HỢP ĐỒNG'!J336</f>
        <v>115728</v>
      </c>
      <c r="K347" s="43"/>
      <c r="L347" s="62">
        <f t="shared" si="74"/>
        <v>87684791</v>
      </c>
      <c r="M347" s="43">
        <f t="shared" si="75"/>
        <v>0</v>
      </c>
      <c r="N347" s="43">
        <f t="shared" si="76"/>
        <v>0</v>
      </c>
      <c r="O347" s="43">
        <f t="shared" si="77"/>
        <v>0</v>
      </c>
      <c r="P347" s="43">
        <f t="shared" si="66"/>
        <v>87684791</v>
      </c>
      <c r="Q347" s="100"/>
      <c r="R347" s="117"/>
    </row>
    <row r="348" spans="1:18" ht="31.5" hidden="1" customHeight="1" x14ac:dyDescent="0.25">
      <c r="A348" s="48" t="str">
        <f t="shared" si="72"/>
        <v>TL</v>
      </c>
      <c r="B348" s="32" t="s">
        <v>565</v>
      </c>
      <c r="C348" s="39" t="s">
        <v>566</v>
      </c>
      <c r="D348" s="13" t="s">
        <v>567</v>
      </c>
      <c r="E348" s="123">
        <v>56</v>
      </c>
      <c r="F348" s="123"/>
      <c r="G348" s="125"/>
      <c r="H348" s="125"/>
      <c r="I348" s="125">
        <f t="shared" si="73"/>
        <v>56</v>
      </c>
      <c r="J348" s="62">
        <f>'BIỂU HỢP ĐỒNG'!J337</f>
        <v>561271</v>
      </c>
      <c r="K348" s="43"/>
      <c r="L348" s="62">
        <f t="shared" si="74"/>
        <v>31431176</v>
      </c>
      <c r="M348" s="43">
        <f t="shared" si="75"/>
        <v>0</v>
      </c>
      <c r="N348" s="43">
        <f t="shared" si="76"/>
        <v>0</v>
      </c>
      <c r="O348" s="43">
        <f t="shared" si="77"/>
        <v>0</v>
      </c>
      <c r="P348" s="43">
        <f t="shared" si="66"/>
        <v>31431176</v>
      </c>
      <c r="Q348" s="100"/>
      <c r="R348" s="117"/>
    </row>
    <row r="349" spans="1:18" ht="47.25" hidden="1" customHeight="1" x14ac:dyDescent="0.25">
      <c r="A349" s="48" t="str">
        <f t="shared" si="72"/>
        <v>TL</v>
      </c>
      <c r="B349" s="32" t="s">
        <v>568</v>
      </c>
      <c r="C349" s="39" t="s">
        <v>569</v>
      </c>
      <c r="D349" s="13" t="s">
        <v>250</v>
      </c>
      <c r="E349" s="123">
        <v>56</v>
      </c>
      <c r="F349" s="123"/>
      <c r="G349" s="125"/>
      <c r="H349" s="125"/>
      <c r="I349" s="125">
        <f t="shared" si="73"/>
        <v>56</v>
      </c>
      <c r="J349" s="62">
        <f>'BIỂU HỢP ĐỒNG'!J338</f>
        <v>113802</v>
      </c>
      <c r="K349" s="43"/>
      <c r="L349" s="62">
        <f t="shared" si="74"/>
        <v>6372912</v>
      </c>
      <c r="M349" s="43">
        <f t="shared" si="75"/>
        <v>0</v>
      </c>
      <c r="N349" s="43">
        <f t="shared" si="76"/>
        <v>0</v>
      </c>
      <c r="O349" s="43">
        <f t="shared" si="77"/>
        <v>0</v>
      </c>
      <c r="P349" s="43">
        <f t="shared" si="66"/>
        <v>6372912</v>
      </c>
      <c r="Q349" s="100"/>
      <c r="R349" s="117"/>
    </row>
    <row r="350" spans="1:18" ht="47.25" hidden="1" customHeight="1" x14ac:dyDescent="0.25">
      <c r="A350" s="48" t="str">
        <f t="shared" si="72"/>
        <v>TL</v>
      </c>
      <c r="B350" s="32" t="s">
        <v>570</v>
      </c>
      <c r="C350" s="39" t="s">
        <v>571</v>
      </c>
      <c r="D350" s="13" t="s">
        <v>250</v>
      </c>
      <c r="E350" s="123">
        <v>56</v>
      </c>
      <c r="F350" s="123"/>
      <c r="G350" s="125"/>
      <c r="H350" s="125"/>
      <c r="I350" s="125">
        <f t="shared" si="73"/>
        <v>56</v>
      </c>
      <c r="J350" s="62">
        <f>'BIỂU HỢP ĐỒNG'!J339</f>
        <v>91827</v>
      </c>
      <c r="K350" s="43"/>
      <c r="L350" s="62">
        <f t="shared" si="74"/>
        <v>5142312</v>
      </c>
      <c r="M350" s="43">
        <f t="shared" si="75"/>
        <v>0</v>
      </c>
      <c r="N350" s="43">
        <f t="shared" si="76"/>
        <v>0</v>
      </c>
      <c r="O350" s="43">
        <f t="shared" si="77"/>
        <v>0</v>
      </c>
      <c r="P350" s="43">
        <f t="shared" si="66"/>
        <v>5142312</v>
      </c>
      <c r="Q350" s="100"/>
      <c r="R350" s="117"/>
    </row>
    <row r="351" spans="1:18" hidden="1" x14ac:dyDescent="0.25">
      <c r="A351" s="48" t="str">
        <f t="shared" si="72"/>
        <v>TL</v>
      </c>
      <c r="B351" s="32" t="s">
        <v>572</v>
      </c>
      <c r="C351" s="39" t="s">
        <v>573</v>
      </c>
      <c r="D351" s="13" t="s">
        <v>574</v>
      </c>
      <c r="E351" s="123">
        <v>256.2</v>
      </c>
      <c r="F351" s="123"/>
      <c r="G351" s="125"/>
      <c r="H351" s="125"/>
      <c r="I351" s="125">
        <f t="shared" si="73"/>
        <v>256.2</v>
      </c>
      <c r="J351" s="62">
        <f>'BIỂU HỢP ĐỒNG'!J340</f>
        <v>3619</v>
      </c>
      <c r="K351" s="43"/>
      <c r="L351" s="62">
        <f t="shared" si="74"/>
        <v>927188</v>
      </c>
      <c r="M351" s="43">
        <f t="shared" si="75"/>
        <v>0</v>
      </c>
      <c r="N351" s="43">
        <f t="shared" si="76"/>
        <v>0</v>
      </c>
      <c r="O351" s="43">
        <f t="shared" si="77"/>
        <v>0</v>
      </c>
      <c r="P351" s="43">
        <f t="shared" si="66"/>
        <v>927188</v>
      </c>
      <c r="Q351" s="100"/>
      <c r="R351" s="117"/>
    </row>
    <row r="352" spans="1:18" hidden="1" x14ac:dyDescent="0.25">
      <c r="A352" s="48" t="str">
        <f t="shared" si="72"/>
        <v>TL</v>
      </c>
      <c r="B352" s="32" t="s">
        <v>575</v>
      </c>
      <c r="C352" s="39" t="s">
        <v>576</v>
      </c>
      <c r="D352" s="13" t="s">
        <v>16</v>
      </c>
      <c r="E352" s="123">
        <v>31.32</v>
      </c>
      <c r="F352" s="123"/>
      <c r="G352" s="125"/>
      <c r="H352" s="125"/>
      <c r="I352" s="125">
        <f t="shared" si="73"/>
        <v>31.32</v>
      </c>
      <c r="J352" s="62">
        <f>'BIỂU HỢP ĐỒNG'!J341</f>
        <v>1725249</v>
      </c>
      <c r="K352" s="43"/>
      <c r="L352" s="62">
        <f t="shared" si="74"/>
        <v>54034799</v>
      </c>
      <c r="M352" s="43">
        <f t="shared" si="75"/>
        <v>0</v>
      </c>
      <c r="N352" s="43">
        <f t="shared" si="76"/>
        <v>0</v>
      </c>
      <c r="O352" s="43">
        <f t="shared" si="77"/>
        <v>0</v>
      </c>
      <c r="P352" s="43">
        <f t="shared" si="66"/>
        <v>54034799</v>
      </c>
      <c r="Q352" s="100"/>
      <c r="R352" s="117"/>
    </row>
    <row r="353" spans="1:18" hidden="1" x14ac:dyDescent="0.25">
      <c r="A353" s="48" t="str">
        <f t="shared" si="72"/>
        <v>TL</v>
      </c>
      <c r="B353" s="32" t="s">
        <v>577</v>
      </c>
      <c r="C353" s="39" t="s">
        <v>578</v>
      </c>
      <c r="D353" s="13" t="s">
        <v>90</v>
      </c>
      <c r="E353" s="123">
        <v>1.85</v>
      </c>
      <c r="F353" s="123"/>
      <c r="G353" s="125"/>
      <c r="H353" s="125"/>
      <c r="I353" s="125">
        <f t="shared" si="73"/>
        <v>1.85</v>
      </c>
      <c r="J353" s="62">
        <f>'BIỂU HỢP ĐỒNG'!J342</f>
        <v>28097053</v>
      </c>
      <c r="K353" s="43"/>
      <c r="L353" s="62">
        <f t="shared" si="74"/>
        <v>51979548</v>
      </c>
      <c r="M353" s="43">
        <f t="shared" si="75"/>
        <v>0</v>
      </c>
      <c r="N353" s="43">
        <f t="shared" si="76"/>
        <v>0</v>
      </c>
      <c r="O353" s="43">
        <f t="shared" si="77"/>
        <v>0</v>
      </c>
      <c r="P353" s="43">
        <f t="shared" si="66"/>
        <v>51979548</v>
      </c>
      <c r="Q353" s="100"/>
      <c r="R353" s="117"/>
    </row>
    <row r="354" spans="1:18" hidden="1" x14ac:dyDescent="0.25">
      <c r="A354" s="48" t="str">
        <f t="shared" si="72"/>
        <v>TL</v>
      </c>
      <c r="B354" s="32" t="s">
        <v>579</v>
      </c>
      <c r="C354" s="39" t="s">
        <v>497</v>
      </c>
      <c r="D354" s="13" t="s">
        <v>13</v>
      </c>
      <c r="E354" s="123">
        <v>63.36</v>
      </c>
      <c r="F354" s="123"/>
      <c r="G354" s="125"/>
      <c r="H354" s="125"/>
      <c r="I354" s="125">
        <f t="shared" si="73"/>
        <v>63.36</v>
      </c>
      <c r="J354" s="62">
        <f>'BIỂU HỢP ĐỒNG'!J343</f>
        <v>86606</v>
      </c>
      <c r="K354" s="43"/>
      <c r="L354" s="62">
        <f t="shared" si="74"/>
        <v>5487356</v>
      </c>
      <c r="M354" s="43">
        <f t="shared" si="75"/>
        <v>0</v>
      </c>
      <c r="N354" s="43">
        <f t="shared" si="76"/>
        <v>0</v>
      </c>
      <c r="O354" s="43">
        <f t="shared" si="77"/>
        <v>0</v>
      </c>
      <c r="P354" s="43">
        <f t="shared" si="66"/>
        <v>5487356</v>
      </c>
      <c r="Q354" s="100"/>
      <c r="R354" s="117"/>
    </row>
    <row r="355" spans="1:18" hidden="1" x14ac:dyDescent="0.25">
      <c r="A355" s="48" t="str">
        <f t="shared" si="72"/>
        <v>TL</v>
      </c>
      <c r="B355" s="32" t="s">
        <v>580</v>
      </c>
      <c r="C355" s="39" t="s">
        <v>581</v>
      </c>
      <c r="D355" s="13" t="s">
        <v>297</v>
      </c>
      <c r="E355" s="123">
        <v>78.3</v>
      </c>
      <c r="F355" s="123"/>
      <c r="G355" s="125"/>
      <c r="H355" s="125"/>
      <c r="I355" s="125">
        <f t="shared" si="73"/>
        <v>78.3</v>
      </c>
      <c r="J355" s="62">
        <f>'BIỂU HỢP ĐỒNG'!J344</f>
        <v>36395</v>
      </c>
      <c r="K355" s="43"/>
      <c r="L355" s="62">
        <f t="shared" si="74"/>
        <v>2849729</v>
      </c>
      <c r="M355" s="43">
        <f t="shared" si="75"/>
        <v>0</v>
      </c>
      <c r="N355" s="43">
        <f t="shared" si="76"/>
        <v>0</v>
      </c>
      <c r="O355" s="43">
        <f t="shared" si="77"/>
        <v>0</v>
      </c>
      <c r="P355" s="43">
        <f t="shared" si="66"/>
        <v>2849729</v>
      </c>
      <c r="Q355" s="100"/>
      <c r="R355" s="117"/>
    </row>
    <row r="356" spans="1:18" ht="47.25" hidden="1" customHeight="1" x14ac:dyDescent="0.25">
      <c r="A356" s="48" t="str">
        <f t="shared" si="72"/>
        <v>TL</v>
      </c>
      <c r="B356" s="32" t="s">
        <v>582</v>
      </c>
      <c r="C356" s="39" t="s">
        <v>569</v>
      </c>
      <c r="D356" s="13" t="s">
        <v>250</v>
      </c>
      <c r="E356" s="123">
        <v>36</v>
      </c>
      <c r="F356" s="123"/>
      <c r="G356" s="125"/>
      <c r="H356" s="125"/>
      <c r="I356" s="125">
        <f t="shared" si="73"/>
        <v>36</v>
      </c>
      <c r="J356" s="62">
        <f>'BIỂU HỢP ĐỒNG'!J345</f>
        <v>113802</v>
      </c>
      <c r="K356" s="43"/>
      <c r="L356" s="62">
        <f t="shared" si="74"/>
        <v>4096872</v>
      </c>
      <c r="M356" s="43">
        <f t="shared" si="75"/>
        <v>0</v>
      </c>
      <c r="N356" s="43">
        <f t="shared" si="76"/>
        <v>0</v>
      </c>
      <c r="O356" s="43">
        <f t="shared" si="77"/>
        <v>0</v>
      </c>
      <c r="P356" s="43">
        <f t="shared" si="66"/>
        <v>4096872</v>
      </c>
      <c r="Q356" s="100"/>
      <c r="R356" s="117"/>
    </row>
    <row r="357" spans="1:18" ht="47.25" hidden="1" customHeight="1" x14ac:dyDescent="0.25">
      <c r="A357" s="48" t="str">
        <f t="shared" si="72"/>
        <v>TL</v>
      </c>
      <c r="B357" s="32" t="s">
        <v>583</v>
      </c>
      <c r="C357" s="39" t="s">
        <v>571</v>
      </c>
      <c r="D357" s="13" t="s">
        <v>250</v>
      </c>
      <c r="E357" s="123">
        <v>36</v>
      </c>
      <c r="F357" s="123"/>
      <c r="G357" s="125"/>
      <c r="H357" s="125"/>
      <c r="I357" s="125">
        <f t="shared" si="73"/>
        <v>36</v>
      </c>
      <c r="J357" s="62">
        <f>'BIỂU HỢP ĐỒNG'!J346</f>
        <v>91827</v>
      </c>
      <c r="K357" s="43"/>
      <c r="L357" s="62">
        <f t="shared" si="74"/>
        <v>3305772</v>
      </c>
      <c r="M357" s="43">
        <f t="shared" si="75"/>
        <v>0</v>
      </c>
      <c r="N357" s="43">
        <f t="shared" si="76"/>
        <v>0</v>
      </c>
      <c r="O357" s="43">
        <f t="shared" si="77"/>
        <v>0</v>
      </c>
      <c r="P357" s="43">
        <f t="shared" si="66"/>
        <v>3305772</v>
      </c>
      <c r="Q357" s="100"/>
      <c r="R357" s="117"/>
    </row>
    <row r="358" spans="1:18" ht="47.25" hidden="1" customHeight="1" x14ac:dyDescent="0.25">
      <c r="A358" s="48" t="str">
        <f t="shared" si="72"/>
        <v>TL</v>
      </c>
      <c r="B358" s="32" t="s">
        <v>584</v>
      </c>
      <c r="C358" s="39" t="s">
        <v>585</v>
      </c>
      <c r="D358" s="13" t="s">
        <v>253</v>
      </c>
      <c r="E358" s="123">
        <v>7.83</v>
      </c>
      <c r="F358" s="123"/>
      <c r="G358" s="125"/>
      <c r="H358" s="125"/>
      <c r="I358" s="125">
        <f t="shared" si="73"/>
        <v>7.83</v>
      </c>
      <c r="J358" s="62">
        <f>'BIỂU HỢP ĐỒNG'!J347</f>
        <v>36181</v>
      </c>
      <c r="K358" s="43"/>
      <c r="L358" s="62">
        <f t="shared" si="74"/>
        <v>283297</v>
      </c>
      <c r="M358" s="43">
        <f t="shared" si="75"/>
        <v>0</v>
      </c>
      <c r="N358" s="43">
        <f t="shared" si="76"/>
        <v>0</v>
      </c>
      <c r="O358" s="43">
        <f t="shared" si="77"/>
        <v>0</v>
      </c>
      <c r="P358" s="43">
        <f t="shared" si="66"/>
        <v>283297</v>
      </c>
      <c r="Q358" s="100"/>
      <c r="R358" s="117"/>
    </row>
    <row r="359" spans="1:18" hidden="1" x14ac:dyDescent="0.25">
      <c r="A359" s="48" t="str">
        <f t="shared" si="72"/>
        <v>TL</v>
      </c>
      <c r="B359" s="32" t="s">
        <v>586</v>
      </c>
      <c r="C359" s="39" t="s">
        <v>587</v>
      </c>
      <c r="D359" s="13" t="s">
        <v>16</v>
      </c>
      <c r="E359" s="123">
        <v>17.66</v>
      </c>
      <c r="F359" s="123"/>
      <c r="G359" s="125"/>
      <c r="H359" s="125"/>
      <c r="I359" s="125">
        <f t="shared" si="73"/>
        <v>17.66</v>
      </c>
      <c r="J359" s="62">
        <f>'BIỂU HỢP ĐỒNG'!J348</f>
        <v>842139</v>
      </c>
      <c r="K359" s="43"/>
      <c r="L359" s="62">
        <f t="shared" si="74"/>
        <v>14872175</v>
      </c>
      <c r="M359" s="43">
        <f t="shared" si="75"/>
        <v>0</v>
      </c>
      <c r="N359" s="43">
        <f t="shared" si="76"/>
        <v>0</v>
      </c>
      <c r="O359" s="43">
        <f t="shared" si="77"/>
        <v>0</v>
      </c>
      <c r="P359" s="43">
        <f t="shared" si="66"/>
        <v>14872175</v>
      </c>
      <c r="Q359" s="100"/>
      <c r="R359" s="117"/>
    </row>
    <row r="360" spans="1:18" hidden="1" x14ac:dyDescent="0.25">
      <c r="A360" s="48" t="str">
        <f t="shared" si="72"/>
        <v>TL</v>
      </c>
      <c r="B360" s="32" t="s">
        <v>588</v>
      </c>
      <c r="C360" s="39" t="s">
        <v>589</v>
      </c>
      <c r="D360" s="13" t="s">
        <v>13</v>
      </c>
      <c r="E360" s="123">
        <v>1.82</v>
      </c>
      <c r="F360" s="123"/>
      <c r="G360" s="125"/>
      <c r="H360" s="125"/>
      <c r="I360" s="125">
        <f t="shared" si="73"/>
        <v>1.82</v>
      </c>
      <c r="J360" s="62">
        <f>'BIỂU HỢP ĐỒNG'!J349</f>
        <v>63427</v>
      </c>
      <c r="K360" s="43"/>
      <c r="L360" s="62">
        <f t="shared" si="74"/>
        <v>115437</v>
      </c>
      <c r="M360" s="43">
        <f t="shared" si="75"/>
        <v>0</v>
      </c>
      <c r="N360" s="43">
        <f t="shared" si="76"/>
        <v>0</v>
      </c>
      <c r="O360" s="43">
        <f t="shared" si="77"/>
        <v>0</v>
      </c>
      <c r="P360" s="43">
        <f t="shared" si="66"/>
        <v>115437</v>
      </c>
      <c r="Q360" s="100"/>
      <c r="R360" s="117"/>
    </row>
    <row r="361" spans="1:18" hidden="1" x14ac:dyDescent="0.25">
      <c r="A361" s="48" t="str">
        <f t="shared" si="72"/>
        <v>TL</v>
      </c>
      <c r="B361" s="32" t="s">
        <v>590</v>
      </c>
      <c r="C361" s="39" t="s">
        <v>591</v>
      </c>
      <c r="D361" s="13" t="s">
        <v>13</v>
      </c>
      <c r="E361" s="123">
        <v>420</v>
      </c>
      <c r="F361" s="123"/>
      <c r="G361" s="125"/>
      <c r="H361" s="125"/>
      <c r="I361" s="125">
        <f t="shared" si="73"/>
        <v>420</v>
      </c>
      <c r="J361" s="62">
        <f>'BIỂU HỢP ĐỒNG'!J350</f>
        <v>76805</v>
      </c>
      <c r="K361" s="43"/>
      <c r="L361" s="62">
        <f t="shared" si="74"/>
        <v>32258100</v>
      </c>
      <c r="M361" s="43">
        <f t="shared" si="75"/>
        <v>0</v>
      </c>
      <c r="N361" s="43">
        <f t="shared" si="76"/>
        <v>0</v>
      </c>
      <c r="O361" s="43">
        <f t="shared" si="77"/>
        <v>0</v>
      </c>
      <c r="P361" s="43">
        <f t="shared" si="66"/>
        <v>32258100</v>
      </c>
      <c r="Q361" s="100"/>
      <c r="R361" s="117"/>
    </row>
    <row r="362" spans="1:18" hidden="1" x14ac:dyDescent="0.25">
      <c r="A362" s="48" t="str">
        <f t="shared" si="72"/>
        <v>TL</v>
      </c>
      <c r="B362" s="32" t="s">
        <v>592</v>
      </c>
      <c r="C362" s="39" t="s">
        <v>593</v>
      </c>
      <c r="D362" s="13" t="s">
        <v>16</v>
      </c>
      <c r="E362" s="123">
        <v>4.93</v>
      </c>
      <c r="F362" s="123"/>
      <c r="G362" s="125"/>
      <c r="H362" s="125"/>
      <c r="I362" s="125">
        <f t="shared" si="73"/>
        <v>4.93</v>
      </c>
      <c r="J362" s="62">
        <f>'BIỂU HỢP ĐỒNG'!J351</f>
        <v>1881449</v>
      </c>
      <c r="K362" s="43"/>
      <c r="L362" s="62">
        <f t="shared" si="74"/>
        <v>9275544</v>
      </c>
      <c r="M362" s="43">
        <f t="shared" si="75"/>
        <v>0</v>
      </c>
      <c r="N362" s="43">
        <f t="shared" si="76"/>
        <v>0</v>
      </c>
      <c r="O362" s="43">
        <f t="shared" si="77"/>
        <v>0</v>
      </c>
      <c r="P362" s="43">
        <f t="shared" si="66"/>
        <v>9275544</v>
      </c>
      <c r="Q362" s="100"/>
      <c r="R362" s="117"/>
    </row>
    <row r="363" spans="1:18" hidden="1" x14ac:dyDescent="0.25">
      <c r="A363" s="48" t="str">
        <f t="shared" si="72"/>
        <v>TL</v>
      </c>
      <c r="B363" s="32" t="s">
        <v>594</v>
      </c>
      <c r="C363" s="39" t="s">
        <v>595</v>
      </c>
      <c r="D363" s="13" t="s">
        <v>16</v>
      </c>
      <c r="E363" s="123">
        <v>21.71</v>
      </c>
      <c r="F363" s="123"/>
      <c r="G363" s="125"/>
      <c r="H363" s="125"/>
      <c r="I363" s="125">
        <f t="shared" si="73"/>
        <v>21.71</v>
      </c>
      <c r="J363" s="62">
        <f>'BIỂU HỢP ĐỒNG'!J352</f>
        <v>1145922</v>
      </c>
      <c r="K363" s="43"/>
      <c r="L363" s="62">
        <f t="shared" si="74"/>
        <v>24877967</v>
      </c>
      <c r="M363" s="43">
        <f t="shared" si="75"/>
        <v>0</v>
      </c>
      <c r="N363" s="43">
        <f t="shared" si="76"/>
        <v>0</v>
      </c>
      <c r="O363" s="43">
        <f t="shared" si="77"/>
        <v>0</v>
      </c>
      <c r="P363" s="43">
        <f t="shared" si="66"/>
        <v>24877967</v>
      </c>
      <c r="Q363" s="100"/>
      <c r="R363" s="117"/>
    </row>
    <row r="364" spans="1:18" hidden="1" x14ac:dyDescent="0.25">
      <c r="A364" s="48" t="str">
        <f t="shared" si="72"/>
        <v>TL</v>
      </c>
      <c r="B364" s="32" t="s">
        <v>596</v>
      </c>
      <c r="C364" s="39" t="s">
        <v>597</v>
      </c>
      <c r="D364" s="13" t="s">
        <v>13</v>
      </c>
      <c r="E364" s="123">
        <v>43.9</v>
      </c>
      <c r="F364" s="123"/>
      <c r="G364" s="125"/>
      <c r="H364" s="125"/>
      <c r="I364" s="125">
        <f t="shared" si="73"/>
        <v>43.9</v>
      </c>
      <c r="J364" s="62">
        <f>'BIỂU HỢP ĐỒNG'!J353</f>
        <v>104798</v>
      </c>
      <c r="K364" s="43"/>
      <c r="L364" s="62">
        <f t="shared" si="74"/>
        <v>4600632</v>
      </c>
      <c r="M364" s="43">
        <f t="shared" si="75"/>
        <v>0</v>
      </c>
      <c r="N364" s="43">
        <f t="shared" si="76"/>
        <v>0</v>
      </c>
      <c r="O364" s="43">
        <f t="shared" si="77"/>
        <v>0</v>
      </c>
      <c r="P364" s="43">
        <f t="shared" si="66"/>
        <v>4600632</v>
      </c>
      <c r="Q364" s="100"/>
      <c r="R364" s="117"/>
    </row>
    <row r="365" spans="1:18" hidden="1" x14ac:dyDescent="0.25">
      <c r="A365" s="48" t="str">
        <f t="shared" si="72"/>
        <v>TL</v>
      </c>
      <c r="B365" s="32" t="s">
        <v>598</v>
      </c>
      <c r="C365" s="39" t="s">
        <v>599</v>
      </c>
      <c r="D365" s="13" t="s">
        <v>13</v>
      </c>
      <c r="E365" s="123">
        <v>32.14</v>
      </c>
      <c r="F365" s="123"/>
      <c r="G365" s="125"/>
      <c r="H365" s="125"/>
      <c r="I365" s="125">
        <f t="shared" si="73"/>
        <v>32.14</v>
      </c>
      <c r="J365" s="62">
        <f>'BIỂU HỢP ĐỒNG'!J354</f>
        <v>141724</v>
      </c>
      <c r="K365" s="43"/>
      <c r="L365" s="62">
        <f t="shared" si="74"/>
        <v>4555009</v>
      </c>
      <c r="M365" s="43">
        <f t="shared" si="75"/>
        <v>0</v>
      </c>
      <c r="N365" s="43">
        <f t="shared" si="76"/>
        <v>0</v>
      </c>
      <c r="O365" s="43">
        <f t="shared" si="77"/>
        <v>0</v>
      </c>
      <c r="P365" s="43">
        <f t="shared" si="66"/>
        <v>4555009</v>
      </c>
      <c r="Q365" s="100"/>
      <c r="R365" s="117"/>
    </row>
    <row r="366" spans="1:18" hidden="1" x14ac:dyDescent="0.25">
      <c r="A366" s="48" t="str">
        <f t="shared" si="72"/>
        <v>TL</v>
      </c>
      <c r="B366" s="32" t="s">
        <v>600</v>
      </c>
      <c r="C366" s="39" t="s">
        <v>587</v>
      </c>
      <c r="D366" s="13" t="s">
        <v>16</v>
      </c>
      <c r="E366" s="123">
        <v>2.2200000000000002</v>
      </c>
      <c r="F366" s="123"/>
      <c r="G366" s="125"/>
      <c r="H366" s="125"/>
      <c r="I366" s="125">
        <f t="shared" si="73"/>
        <v>2.2200000000000002</v>
      </c>
      <c r="J366" s="62">
        <f>'BIỂU HỢP ĐỒNG'!J355</f>
        <v>842139</v>
      </c>
      <c r="K366" s="43"/>
      <c r="L366" s="62">
        <f t="shared" si="74"/>
        <v>1869549</v>
      </c>
      <c r="M366" s="43">
        <f t="shared" si="75"/>
        <v>0</v>
      </c>
      <c r="N366" s="43">
        <f t="shared" si="76"/>
        <v>0</v>
      </c>
      <c r="O366" s="43">
        <f t="shared" si="77"/>
        <v>0</v>
      </c>
      <c r="P366" s="43">
        <f t="shared" si="66"/>
        <v>1869549</v>
      </c>
      <c r="Q366" s="100"/>
      <c r="R366" s="117"/>
    </row>
    <row r="367" spans="1:18" hidden="1" x14ac:dyDescent="0.25">
      <c r="A367" s="48" t="str">
        <f t="shared" si="72"/>
        <v>TL</v>
      </c>
      <c r="B367" s="32" t="s">
        <v>601</v>
      </c>
      <c r="C367" s="39" t="s">
        <v>602</v>
      </c>
      <c r="D367" s="13" t="s">
        <v>16</v>
      </c>
      <c r="E367" s="123">
        <v>20.48</v>
      </c>
      <c r="F367" s="123"/>
      <c r="G367" s="125"/>
      <c r="H367" s="125"/>
      <c r="I367" s="125">
        <f t="shared" si="73"/>
        <v>20.48</v>
      </c>
      <c r="J367" s="62">
        <f>'BIỂU HỢP ĐỒNG'!J356</f>
        <v>1245512</v>
      </c>
      <c r="K367" s="43"/>
      <c r="L367" s="62">
        <f t="shared" si="74"/>
        <v>25508086</v>
      </c>
      <c r="M367" s="43">
        <f t="shared" si="75"/>
        <v>0</v>
      </c>
      <c r="N367" s="43">
        <f t="shared" si="76"/>
        <v>0</v>
      </c>
      <c r="O367" s="43">
        <f t="shared" si="77"/>
        <v>0</v>
      </c>
      <c r="P367" s="43">
        <f t="shared" si="66"/>
        <v>25508086</v>
      </c>
      <c r="Q367" s="100"/>
      <c r="R367" s="117"/>
    </row>
    <row r="368" spans="1:18" hidden="1" x14ac:dyDescent="0.25">
      <c r="A368" s="48" t="str">
        <f t="shared" si="72"/>
        <v>TL</v>
      </c>
      <c r="B368" s="32" t="s">
        <v>603</v>
      </c>
      <c r="C368" s="39" t="s">
        <v>587</v>
      </c>
      <c r="D368" s="13" t="s">
        <v>16</v>
      </c>
      <c r="E368" s="123">
        <v>8.19</v>
      </c>
      <c r="F368" s="123"/>
      <c r="G368" s="125"/>
      <c r="H368" s="125"/>
      <c r="I368" s="125">
        <f t="shared" si="73"/>
        <v>8.19</v>
      </c>
      <c r="J368" s="62">
        <f>'BIỂU HỢP ĐỒNG'!J357</f>
        <v>842139</v>
      </c>
      <c r="K368" s="43"/>
      <c r="L368" s="62">
        <f t="shared" si="74"/>
        <v>6897118</v>
      </c>
      <c r="M368" s="43">
        <f t="shared" si="75"/>
        <v>0</v>
      </c>
      <c r="N368" s="43">
        <f t="shared" si="76"/>
        <v>0</v>
      </c>
      <c r="O368" s="43">
        <f t="shared" si="77"/>
        <v>0</v>
      </c>
      <c r="P368" s="43">
        <f t="shared" ref="P368:P431" si="78">SUM(L368:O368)</f>
        <v>6897118</v>
      </c>
      <c r="Q368" s="100"/>
      <c r="R368" s="117"/>
    </row>
    <row r="369" spans="1:18" hidden="1" x14ac:dyDescent="0.25">
      <c r="A369" s="48" t="str">
        <f t="shared" si="72"/>
        <v>TL</v>
      </c>
      <c r="B369" s="32" t="s">
        <v>604</v>
      </c>
      <c r="C369" s="39" t="s">
        <v>605</v>
      </c>
      <c r="D369" s="13" t="s">
        <v>16</v>
      </c>
      <c r="E369" s="123">
        <v>2.98</v>
      </c>
      <c r="F369" s="123"/>
      <c r="G369" s="125"/>
      <c r="H369" s="125"/>
      <c r="I369" s="125">
        <f t="shared" si="73"/>
        <v>2.98</v>
      </c>
      <c r="J369" s="62">
        <f>'BIỂU HỢP ĐỒNG'!J358</f>
        <v>1299241</v>
      </c>
      <c r="K369" s="43"/>
      <c r="L369" s="62">
        <f t="shared" si="74"/>
        <v>3871738</v>
      </c>
      <c r="M369" s="43">
        <f t="shared" si="75"/>
        <v>0</v>
      </c>
      <c r="N369" s="43">
        <f t="shared" si="76"/>
        <v>0</v>
      </c>
      <c r="O369" s="43">
        <f t="shared" si="77"/>
        <v>0</v>
      </c>
      <c r="P369" s="43">
        <f t="shared" si="78"/>
        <v>3871738</v>
      </c>
      <c r="Q369" s="100"/>
      <c r="R369" s="117"/>
    </row>
    <row r="370" spans="1:18" hidden="1" x14ac:dyDescent="0.25">
      <c r="A370" s="48" t="str">
        <f t="shared" si="72"/>
        <v>TL</v>
      </c>
      <c r="B370" s="32" t="s">
        <v>606</v>
      </c>
      <c r="C370" s="39" t="s">
        <v>587</v>
      </c>
      <c r="D370" s="13" t="s">
        <v>16</v>
      </c>
      <c r="E370" s="123">
        <v>1.19</v>
      </c>
      <c r="F370" s="123"/>
      <c r="G370" s="125"/>
      <c r="H370" s="125"/>
      <c r="I370" s="125">
        <f t="shared" si="73"/>
        <v>1.19</v>
      </c>
      <c r="J370" s="62">
        <f>'BIỂU HỢP ĐỒNG'!J359</f>
        <v>842139</v>
      </c>
      <c r="K370" s="43"/>
      <c r="L370" s="62">
        <f t="shared" si="74"/>
        <v>1002145</v>
      </c>
      <c r="M370" s="43">
        <f t="shared" si="75"/>
        <v>0</v>
      </c>
      <c r="N370" s="43">
        <f t="shared" si="76"/>
        <v>0</v>
      </c>
      <c r="O370" s="43">
        <f t="shared" si="77"/>
        <v>0</v>
      </c>
      <c r="P370" s="43">
        <f t="shared" si="78"/>
        <v>1002145</v>
      </c>
      <c r="Q370" s="100"/>
      <c r="R370" s="117"/>
    </row>
    <row r="371" spans="1:18" hidden="1" x14ac:dyDescent="0.25">
      <c r="A371" s="48" t="str">
        <f t="shared" si="72"/>
        <v>TL</v>
      </c>
      <c r="B371" s="32" t="s">
        <v>607</v>
      </c>
      <c r="C371" s="39" t="s">
        <v>608</v>
      </c>
      <c r="D371" s="13" t="s">
        <v>16</v>
      </c>
      <c r="E371" s="123">
        <v>1744.99</v>
      </c>
      <c r="F371" s="123"/>
      <c r="G371" s="125"/>
      <c r="H371" s="125"/>
      <c r="I371" s="125">
        <f t="shared" si="73"/>
        <v>1744.99</v>
      </c>
      <c r="J371" s="62">
        <f>'BIỂU HỢP ĐỒNG'!J360</f>
        <v>20867</v>
      </c>
      <c r="K371" s="43"/>
      <c r="L371" s="62">
        <f t="shared" si="74"/>
        <v>36412706</v>
      </c>
      <c r="M371" s="43">
        <f t="shared" si="75"/>
        <v>0</v>
      </c>
      <c r="N371" s="43">
        <f t="shared" si="76"/>
        <v>0</v>
      </c>
      <c r="O371" s="43">
        <f t="shared" si="77"/>
        <v>0</v>
      </c>
      <c r="P371" s="43">
        <f t="shared" si="78"/>
        <v>36412706</v>
      </c>
      <c r="Q371" s="100"/>
      <c r="R371" s="117"/>
    </row>
    <row r="372" spans="1:18" hidden="1" x14ac:dyDescent="0.25">
      <c r="A372" s="48" t="str">
        <f t="shared" si="72"/>
        <v>TL</v>
      </c>
      <c r="B372" s="32" t="s">
        <v>609</v>
      </c>
      <c r="C372" s="39" t="s">
        <v>610</v>
      </c>
      <c r="D372" s="13" t="s">
        <v>16</v>
      </c>
      <c r="E372" s="123">
        <v>868.65</v>
      </c>
      <c r="F372" s="123"/>
      <c r="G372" s="125"/>
      <c r="H372" s="125"/>
      <c r="I372" s="125">
        <f t="shared" si="73"/>
        <v>868.65</v>
      </c>
      <c r="J372" s="62">
        <f>'BIỂU HỢP ĐỒNG'!J361</f>
        <v>12936</v>
      </c>
      <c r="K372" s="43"/>
      <c r="L372" s="62">
        <f t="shared" si="74"/>
        <v>11236856</v>
      </c>
      <c r="M372" s="43">
        <f t="shared" si="75"/>
        <v>0</v>
      </c>
      <c r="N372" s="43">
        <f t="shared" si="76"/>
        <v>0</v>
      </c>
      <c r="O372" s="43">
        <f t="shared" si="77"/>
        <v>0</v>
      </c>
      <c r="P372" s="43">
        <f t="shared" si="78"/>
        <v>11236856</v>
      </c>
      <c r="Q372" s="100"/>
      <c r="R372" s="117"/>
    </row>
    <row r="373" spans="1:18" hidden="1" x14ac:dyDescent="0.25">
      <c r="A373" s="48" t="str">
        <f t="shared" si="72"/>
        <v>TL</v>
      </c>
      <c r="B373" s="32" t="s">
        <v>611</v>
      </c>
      <c r="C373" s="39" t="s">
        <v>32</v>
      </c>
      <c r="D373" s="13" t="s">
        <v>16</v>
      </c>
      <c r="E373" s="123">
        <v>1187.7</v>
      </c>
      <c r="F373" s="123"/>
      <c r="G373" s="125"/>
      <c r="H373" s="125"/>
      <c r="I373" s="125">
        <f t="shared" si="73"/>
        <v>1187.7</v>
      </c>
      <c r="J373" s="62">
        <f>'BIỂU HỢP ĐỒNG'!J362</f>
        <v>50585</v>
      </c>
      <c r="K373" s="43"/>
      <c r="L373" s="62">
        <f t="shared" si="74"/>
        <v>60079805</v>
      </c>
      <c r="M373" s="43">
        <f t="shared" si="75"/>
        <v>0</v>
      </c>
      <c r="N373" s="43">
        <f t="shared" si="76"/>
        <v>0</v>
      </c>
      <c r="O373" s="43">
        <f t="shared" si="77"/>
        <v>0</v>
      </c>
      <c r="P373" s="43">
        <f t="shared" si="78"/>
        <v>60079805</v>
      </c>
      <c r="Q373" s="100"/>
      <c r="R373" s="117"/>
    </row>
    <row r="374" spans="1:18" hidden="1" x14ac:dyDescent="0.25">
      <c r="A374" s="48" t="str">
        <f t="shared" si="72"/>
        <v>TL</v>
      </c>
      <c r="B374" s="32" t="s">
        <v>612</v>
      </c>
      <c r="C374" s="39" t="s">
        <v>36</v>
      </c>
      <c r="D374" s="13" t="s">
        <v>37</v>
      </c>
      <c r="E374" s="123">
        <v>118.77</v>
      </c>
      <c r="F374" s="123"/>
      <c r="G374" s="125"/>
      <c r="H374" s="125"/>
      <c r="I374" s="125">
        <f t="shared" ref="I374:I405" si="79">SUM(E374:H374)</f>
        <v>118.77</v>
      </c>
      <c r="J374" s="62">
        <f>'BIỂU HỢP ĐỒNG'!J363</f>
        <v>940826</v>
      </c>
      <c r="K374" s="43"/>
      <c r="L374" s="62">
        <f t="shared" ref="L374:L405" si="80">+ROUND(J374*E374,0)</f>
        <v>111741904</v>
      </c>
      <c r="M374" s="43">
        <f t="shared" ref="M374:M405" si="81">+ROUND(F374*J374,0)</f>
        <v>0</v>
      </c>
      <c r="N374" s="43">
        <f t="shared" ref="N374:N405" si="82">+ROUND(G374*J374,0)</f>
        <v>0</v>
      </c>
      <c r="O374" s="43">
        <f t="shared" ref="O374:O405" si="83">+ROUND(H374*J374,0)</f>
        <v>0</v>
      </c>
      <c r="P374" s="43">
        <f t="shared" si="78"/>
        <v>111741904</v>
      </c>
      <c r="Q374" s="100"/>
      <c r="R374" s="117"/>
    </row>
    <row r="375" spans="1:18" hidden="1" x14ac:dyDescent="0.25">
      <c r="A375" s="48" t="str">
        <f t="shared" si="72"/>
        <v>TL</v>
      </c>
      <c r="B375" s="32" t="s">
        <v>613</v>
      </c>
      <c r="C375" s="39" t="s">
        <v>614</v>
      </c>
      <c r="D375" s="13" t="s">
        <v>16</v>
      </c>
      <c r="E375" s="123">
        <v>146.30000000000001</v>
      </c>
      <c r="F375" s="123"/>
      <c r="G375" s="125"/>
      <c r="H375" s="125"/>
      <c r="I375" s="125">
        <f t="shared" si="79"/>
        <v>146.30000000000001</v>
      </c>
      <c r="J375" s="62">
        <f>'BIỂU HỢP ĐỒNG'!J364</f>
        <v>23993</v>
      </c>
      <c r="K375" s="43"/>
      <c r="L375" s="62">
        <f t="shared" si="80"/>
        <v>3510176</v>
      </c>
      <c r="M375" s="43">
        <f t="shared" si="81"/>
        <v>0</v>
      </c>
      <c r="N375" s="43">
        <f t="shared" si="82"/>
        <v>0</v>
      </c>
      <c r="O375" s="43">
        <f t="shared" si="83"/>
        <v>0</v>
      </c>
      <c r="P375" s="43">
        <f t="shared" si="78"/>
        <v>3510176</v>
      </c>
      <c r="Q375" s="100"/>
      <c r="R375" s="117"/>
    </row>
    <row r="376" spans="1:18" hidden="1" x14ac:dyDescent="0.25">
      <c r="A376" s="48" t="str">
        <f t="shared" si="72"/>
        <v>TL</v>
      </c>
      <c r="B376" s="32" t="s">
        <v>615</v>
      </c>
      <c r="C376" s="39" t="s">
        <v>616</v>
      </c>
      <c r="D376" s="13" t="s">
        <v>16</v>
      </c>
      <c r="E376" s="123">
        <v>25.4</v>
      </c>
      <c r="F376" s="123"/>
      <c r="G376" s="125"/>
      <c r="H376" s="125"/>
      <c r="I376" s="125">
        <f t="shared" si="79"/>
        <v>25.4</v>
      </c>
      <c r="J376" s="62">
        <f>'BIỂU HỢP ĐỒNG'!J365</f>
        <v>11161</v>
      </c>
      <c r="K376" s="43"/>
      <c r="L376" s="62">
        <f t="shared" si="80"/>
        <v>283489</v>
      </c>
      <c r="M376" s="43">
        <f t="shared" si="81"/>
        <v>0</v>
      </c>
      <c r="N376" s="43">
        <f t="shared" si="82"/>
        <v>0</v>
      </c>
      <c r="O376" s="43">
        <f t="shared" si="83"/>
        <v>0</v>
      </c>
      <c r="P376" s="43">
        <f t="shared" si="78"/>
        <v>283489</v>
      </c>
      <c r="Q376" s="100"/>
      <c r="R376" s="117"/>
    </row>
    <row r="377" spans="1:18" hidden="1" x14ac:dyDescent="0.25">
      <c r="A377" s="48" t="str">
        <f t="shared" si="72"/>
        <v>TL</v>
      </c>
      <c r="B377" s="32" t="s">
        <v>617</v>
      </c>
      <c r="C377" s="39" t="s">
        <v>618</v>
      </c>
      <c r="D377" s="13" t="s">
        <v>16</v>
      </c>
      <c r="E377" s="123">
        <v>112.25</v>
      </c>
      <c r="F377" s="123"/>
      <c r="G377" s="125"/>
      <c r="H377" s="125"/>
      <c r="I377" s="125">
        <f t="shared" si="79"/>
        <v>112.25</v>
      </c>
      <c r="J377" s="62">
        <f>'BIỂU HỢP ĐỒNG'!J366</f>
        <v>276665</v>
      </c>
      <c r="K377" s="43"/>
      <c r="L377" s="62">
        <f t="shared" si="80"/>
        <v>31055646</v>
      </c>
      <c r="M377" s="43">
        <f t="shared" si="81"/>
        <v>0</v>
      </c>
      <c r="N377" s="43">
        <f t="shared" si="82"/>
        <v>0</v>
      </c>
      <c r="O377" s="43">
        <f t="shared" si="83"/>
        <v>0</v>
      </c>
      <c r="P377" s="43">
        <f t="shared" si="78"/>
        <v>31055646</v>
      </c>
      <c r="Q377" s="100"/>
      <c r="R377" s="117"/>
    </row>
    <row r="378" spans="1:18" hidden="1" x14ac:dyDescent="0.25">
      <c r="A378" s="48" t="str">
        <f t="shared" si="72"/>
        <v>TL</v>
      </c>
      <c r="B378" s="32" t="s">
        <v>619</v>
      </c>
      <c r="C378" s="39" t="s">
        <v>620</v>
      </c>
      <c r="D378" s="13" t="s">
        <v>75</v>
      </c>
      <c r="E378" s="123">
        <v>28061.78</v>
      </c>
      <c r="F378" s="123"/>
      <c r="G378" s="125"/>
      <c r="H378" s="125"/>
      <c r="I378" s="125">
        <f t="shared" si="79"/>
        <v>28061.78</v>
      </c>
      <c r="J378" s="62">
        <f>'BIỂU HỢP ĐỒNG'!J367</f>
        <v>11223</v>
      </c>
      <c r="K378" s="43"/>
      <c r="L378" s="62">
        <f t="shared" si="80"/>
        <v>314937357</v>
      </c>
      <c r="M378" s="43">
        <f t="shared" si="81"/>
        <v>0</v>
      </c>
      <c r="N378" s="43">
        <f t="shared" si="82"/>
        <v>0</v>
      </c>
      <c r="O378" s="43">
        <f t="shared" si="83"/>
        <v>0</v>
      </c>
      <c r="P378" s="43">
        <f t="shared" si="78"/>
        <v>314937357</v>
      </c>
      <c r="Q378" s="100"/>
      <c r="R378" s="117"/>
    </row>
    <row r="379" spans="1:18" hidden="1" x14ac:dyDescent="0.25">
      <c r="A379" s="48" t="str">
        <f t="shared" si="72"/>
        <v>TL</v>
      </c>
      <c r="B379" s="32" t="s">
        <v>621</v>
      </c>
      <c r="C379" s="39" t="s">
        <v>622</v>
      </c>
      <c r="D379" s="13" t="s">
        <v>13</v>
      </c>
      <c r="E379" s="123">
        <v>584.53</v>
      </c>
      <c r="F379" s="123"/>
      <c r="G379" s="125"/>
      <c r="H379" s="125"/>
      <c r="I379" s="125">
        <f t="shared" si="79"/>
        <v>584.53</v>
      </c>
      <c r="J379" s="62">
        <f>'BIỂU HỢP ĐỒNG'!J368</f>
        <v>19714</v>
      </c>
      <c r="K379" s="43"/>
      <c r="L379" s="62">
        <f t="shared" si="80"/>
        <v>11523424</v>
      </c>
      <c r="M379" s="43">
        <f t="shared" si="81"/>
        <v>0</v>
      </c>
      <c r="N379" s="43">
        <f t="shared" si="82"/>
        <v>0</v>
      </c>
      <c r="O379" s="43">
        <f t="shared" si="83"/>
        <v>0</v>
      </c>
      <c r="P379" s="43">
        <f t="shared" si="78"/>
        <v>11523424</v>
      </c>
      <c r="Q379" s="100"/>
      <c r="R379" s="117"/>
    </row>
    <row r="380" spans="1:18" hidden="1" x14ac:dyDescent="0.25">
      <c r="A380" s="48" t="str">
        <f t="shared" si="72"/>
        <v>TL</v>
      </c>
      <c r="B380" s="32" t="s">
        <v>623</v>
      </c>
      <c r="C380" s="39" t="s">
        <v>624</v>
      </c>
      <c r="D380" s="13" t="s">
        <v>16</v>
      </c>
      <c r="E380" s="123">
        <v>413.78</v>
      </c>
      <c r="F380" s="123"/>
      <c r="G380" s="125"/>
      <c r="H380" s="125"/>
      <c r="I380" s="125">
        <f t="shared" si="79"/>
        <v>413.78</v>
      </c>
      <c r="J380" s="62">
        <f>'BIỂU HỢP ĐỒNG'!J369</f>
        <v>267174</v>
      </c>
      <c r="K380" s="43"/>
      <c r="L380" s="62">
        <f t="shared" si="80"/>
        <v>110551258</v>
      </c>
      <c r="M380" s="43">
        <f t="shared" si="81"/>
        <v>0</v>
      </c>
      <c r="N380" s="43">
        <f t="shared" si="82"/>
        <v>0</v>
      </c>
      <c r="O380" s="43">
        <f t="shared" si="83"/>
        <v>0</v>
      </c>
      <c r="P380" s="43">
        <f t="shared" si="78"/>
        <v>110551258</v>
      </c>
      <c r="Q380" s="100"/>
      <c r="R380" s="117"/>
    </row>
    <row r="381" spans="1:18" hidden="1" x14ac:dyDescent="0.25">
      <c r="A381" s="48" t="str">
        <f t="shared" si="72"/>
        <v>TL</v>
      </c>
      <c r="B381" s="32" t="s">
        <v>625</v>
      </c>
      <c r="C381" s="39" t="s">
        <v>626</v>
      </c>
      <c r="D381" s="13" t="s">
        <v>16</v>
      </c>
      <c r="E381" s="123">
        <v>1865.9</v>
      </c>
      <c r="F381" s="123"/>
      <c r="G381" s="125"/>
      <c r="H381" s="125"/>
      <c r="I381" s="125">
        <f t="shared" si="79"/>
        <v>1865.9</v>
      </c>
      <c r="J381" s="62">
        <f>'BIỂU HỢP ĐỒNG'!J370</f>
        <v>45382</v>
      </c>
      <c r="K381" s="43"/>
      <c r="L381" s="62">
        <f t="shared" si="80"/>
        <v>84678274</v>
      </c>
      <c r="M381" s="43">
        <f t="shared" si="81"/>
        <v>0</v>
      </c>
      <c r="N381" s="43">
        <f t="shared" si="82"/>
        <v>0</v>
      </c>
      <c r="O381" s="43">
        <f t="shared" si="83"/>
        <v>0</v>
      </c>
      <c r="P381" s="43">
        <f t="shared" si="78"/>
        <v>84678274</v>
      </c>
      <c r="Q381" s="100"/>
      <c r="R381" s="117"/>
    </row>
    <row r="382" spans="1:18" hidden="1" x14ac:dyDescent="0.25">
      <c r="A382" s="48" t="str">
        <f t="shared" si="72"/>
        <v>TL</v>
      </c>
      <c r="B382" s="32" t="s">
        <v>627</v>
      </c>
      <c r="C382" s="39" t="s">
        <v>628</v>
      </c>
      <c r="D382" s="13" t="s">
        <v>16</v>
      </c>
      <c r="E382" s="123">
        <v>158.4</v>
      </c>
      <c r="F382" s="123"/>
      <c r="G382" s="125"/>
      <c r="H382" s="125"/>
      <c r="I382" s="125">
        <f t="shared" si="79"/>
        <v>158.4</v>
      </c>
      <c r="J382" s="62">
        <f>'BIỂU HỢP ĐỒNG'!J371</f>
        <v>23993</v>
      </c>
      <c r="K382" s="43"/>
      <c r="L382" s="62">
        <f t="shared" si="80"/>
        <v>3800491</v>
      </c>
      <c r="M382" s="43">
        <f t="shared" si="81"/>
        <v>0</v>
      </c>
      <c r="N382" s="43">
        <f t="shared" si="82"/>
        <v>0</v>
      </c>
      <c r="O382" s="43">
        <f t="shared" si="83"/>
        <v>0</v>
      </c>
      <c r="P382" s="43">
        <f t="shared" si="78"/>
        <v>3800491</v>
      </c>
      <c r="Q382" s="100"/>
      <c r="R382" s="117"/>
    </row>
    <row r="383" spans="1:18" ht="31.5" hidden="1" customHeight="1" x14ac:dyDescent="0.25">
      <c r="A383" s="48" t="str">
        <f t="shared" si="72"/>
        <v>TL</v>
      </c>
      <c r="B383" s="32" t="s">
        <v>629</v>
      </c>
      <c r="C383" s="39" t="s">
        <v>630</v>
      </c>
      <c r="D383" s="13" t="s">
        <v>16</v>
      </c>
      <c r="E383" s="123">
        <v>41</v>
      </c>
      <c r="F383" s="123"/>
      <c r="G383" s="125"/>
      <c r="H383" s="125"/>
      <c r="I383" s="125">
        <f t="shared" si="79"/>
        <v>41</v>
      </c>
      <c r="J383" s="62">
        <f>'BIỂU HỢP ĐỒNG'!J372</f>
        <v>7229</v>
      </c>
      <c r="K383" s="43"/>
      <c r="L383" s="62">
        <f t="shared" si="80"/>
        <v>296389</v>
      </c>
      <c r="M383" s="43">
        <f t="shared" si="81"/>
        <v>0</v>
      </c>
      <c r="N383" s="43">
        <f t="shared" si="82"/>
        <v>0</v>
      </c>
      <c r="O383" s="43">
        <f t="shared" si="83"/>
        <v>0</v>
      </c>
      <c r="P383" s="43">
        <f t="shared" si="78"/>
        <v>296389</v>
      </c>
      <c r="Q383" s="100"/>
      <c r="R383" s="117"/>
    </row>
    <row r="384" spans="1:18" hidden="1" x14ac:dyDescent="0.25">
      <c r="A384" s="48" t="str">
        <f t="shared" si="72"/>
        <v>TL</v>
      </c>
      <c r="B384" s="32" t="s">
        <v>631</v>
      </c>
      <c r="C384" s="39" t="s">
        <v>632</v>
      </c>
      <c r="D384" s="13" t="s">
        <v>16</v>
      </c>
      <c r="E384" s="123">
        <v>158.4</v>
      </c>
      <c r="F384" s="123"/>
      <c r="G384" s="125"/>
      <c r="H384" s="125"/>
      <c r="I384" s="125">
        <f t="shared" si="79"/>
        <v>158.4</v>
      </c>
      <c r="J384" s="62">
        <f>'BIỂU HỢP ĐỒNG'!J373</f>
        <v>19746</v>
      </c>
      <c r="K384" s="43"/>
      <c r="L384" s="62">
        <f t="shared" si="80"/>
        <v>3127766</v>
      </c>
      <c r="M384" s="43">
        <f t="shared" si="81"/>
        <v>0</v>
      </c>
      <c r="N384" s="43">
        <f t="shared" si="82"/>
        <v>0</v>
      </c>
      <c r="O384" s="43">
        <f t="shared" si="83"/>
        <v>0</v>
      </c>
      <c r="P384" s="43">
        <f t="shared" si="78"/>
        <v>3127766</v>
      </c>
      <c r="Q384" s="100"/>
      <c r="R384" s="117"/>
    </row>
    <row r="385" spans="1:18" hidden="1" x14ac:dyDescent="0.25">
      <c r="A385" s="48" t="str">
        <f t="shared" si="72"/>
        <v>TL</v>
      </c>
      <c r="B385" s="32" t="s">
        <v>633</v>
      </c>
      <c r="C385" s="39" t="s">
        <v>626</v>
      </c>
      <c r="D385" s="13" t="s">
        <v>16</v>
      </c>
      <c r="E385" s="123">
        <v>158.4</v>
      </c>
      <c r="F385" s="123"/>
      <c r="G385" s="125"/>
      <c r="H385" s="125"/>
      <c r="I385" s="125">
        <f t="shared" si="79"/>
        <v>158.4</v>
      </c>
      <c r="J385" s="62">
        <f>'BIỂU HỢP ĐỒNG'!J374</f>
        <v>45382</v>
      </c>
      <c r="K385" s="43"/>
      <c r="L385" s="62">
        <f t="shared" si="80"/>
        <v>7188509</v>
      </c>
      <c r="M385" s="43">
        <f t="shared" si="81"/>
        <v>0</v>
      </c>
      <c r="N385" s="43">
        <f t="shared" si="82"/>
        <v>0</v>
      </c>
      <c r="O385" s="43">
        <f t="shared" si="83"/>
        <v>0</v>
      </c>
      <c r="P385" s="43">
        <f t="shared" si="78"/>
        <v>7188509</v>
      </c>
      <c r="Q385" s="100"/>
      <c r="R385" s="117"/>
    </row>
    <row r="386" spans="1:18" hidden="1" x14ac:dyDescent="0.25">
      <c r="A386" s="48" t="str">
        <f t="shared" si="72"/>
        <v>TL</v>
      </c>
      <c r="B386" s="32" t="s">
        <v>634</v>
      </c>
      <c r="C386" s="39" t="s">
        <v>620</v>
      </c>
      <c r="D386" s="13" t="s">
        <v>75</v>
      </c>
      <c r="E386" s="123">
        <v>1.53</v>
      </c>
      <c r="F386" s="123"/>
      <c r="G386" s="125"/>
      <c r="H386" s="125"/>
      <c r="I386" s="125">
        <f t="shared" si="79"/>
        <v>1.53</v>
      </c>
      <c r="J386" s="62">
        <f>'BIỂU HỢP ĐỒNG'!J375</f>
        <v>1117897</v>
      </c>
      <c r="K386" s="43"/>
      <c r="L386" s="62">
        <f t="shared" si="80"/>
        <v>1710382</v>
      </c>
      <c r="M386" s="43">
        <f t="shared" si="81"/>
        <v>0</v>
      </c>
      <c r="N386" s="43">
        <f t="shared" si="82"/>
        <v>0</v>
      </c>
      <c r="O386" s="43">
        <f t="shared" si="83"/>
        <v>0</v>
      </c>
      <c r="P386" s="43">
        <f t="shared" si="78"/>
        <v>1710382</v>
      </c>
      <c r="Q386" s="100"/>
      <c r="R386" s="117"/>
    </row>
    <row r="387" spans="1:18" hidden="1" x14ac:dyDescent="0.25">
      <c r="A387" s="48" t="str">
        <f t="shared" si="72"/>
        <v>TL</v>
      </c>
      <c r="B387" s="32" t="s">
        <v>635</v>
      </c>
      <c r="C387" s="39" t="s">
        <v>636</v>
      </c>
      <c r="D387" s="13" t="s">
        <v>13</v>
      </c>
      <c r="E387" s="123">
        <v>18</v>
      </c>
      <c r="F387" s="123"/>
      <c r="G387" s="125"/>
      <c r="H387" s="125"/>
      <c r="I387" s="125">
        <f t="shared" si="79"/>
        <v>18</v>
      </c>
      <c r="J387" s="62">
        <f>'BIỂU HỢP ĐỒNG'!J376</f>
        <v>8913</v>
      </c>
      <c r="K387" s="43"/>
      <c r="L387" s="62">
        <f t="shared" si="80"/>
        <v>160434</v>
      </c>
      <c r="M387" s="43">
        <f t="shared" si="81"/>
        <v>0</v>
      </c>
      <c r="N387" s="43">
        <f t="shared" si="82"/>
        <v>0</v>
      </c>
      <c r="O387" s="43">
        <f t="shared" si="83"/>
        <v>0</v>
      </c>
      <c r="P387" s="43">
        <f t="shared" si="78"/>
        <v>160434</v>
      </c>
      <c r="Q387" s="100"/>
      <c r="R387" s="117"/>
    </row>
    <row r="388" spans="1:18" hidden="1" x14ac:dyDescent="0.25">
      <c r="A388" s="48" t="str">
        <f t="shared" si="72"/>
        <v>TL</v>
      </c>
      <c r="B388" s="32" t="s">
        <v>637</v>
      </c>
      <c r="C388" s="39" t="s">
        <v>554</v>
      </c>
      <c r="D388" s="13" t="s">
        <v>90</v>
      </c>
      <c r="E388" s="123">
        <v>1.0900000000000001</v>
      </c>
      <c r="F388" s="123"/>
      <c r="G388" s="125"/>
      <c r="H388" s="125"/>
      <c r="I388" s="125">
        <f t="shared" si="79"/>
        <v>1.0900000000000001</v>
      </c>
      <c r="J388" s="62">
        <f>'BIỂU HỢP ĐỒNG'!J377</f>
        <v>28765433</v>
      </c>
      <c r="K388" s="43"/>
      <c r="L388" s="62">
        <f t="shared" si="80"/>
        <v>31354322</v>
      </c>
      <c r="M388" s="43">
        <f t="shared" si="81"/>
        <v>0</v>
      </c>
      <c r="N388" s="43">
        <f t="shared" si="82"/>
        <v>0</v>
      </c>
      <c r="O388" s="43">
        <f t="shared" si="83"/>
        <v>0</v>
      </c>
      <c r="P388" s="43">
        <f t="shared" si="78"/>
        <v>31354322</v>
      </c>
      <c r="Q388" s="100"/>
      <c r="R388" s="117"/>
    </row>
    <row r="389" spans="1:18" hidden="1" x14ac:dyDescent="0.25">
      <c r="A389" s="48" t="str">
        <f t="shared" si="72"/>
        <v>TL</v>
      </c>
      <c r="B389" s="32" t="s">
        <v>638</v>
      </c>
      <c r="C389" s="39" t="s">
        <v>556</v>
      </c>
      <c r="D389" s="13" t="s">
        <v>90</v>
      </c>
      <c r="E389" s="123">
        <v>10.51</v>
      </c>
      <c r="F389" s="123"/>
      <c r="G389" s="125"/>
      <c r="H389" s="125"/>
      <c r="I389" s="125">
        <f t="shared" si="79"/>
        <v>10.51</v>
      </c>
      <c r="J389" s="62">
        <f>'BIỂU HỢP ĐỒNG'!J378</f>
        <v>27004108</v>
      </c>
      <c r="K389" s="43"/>
      <c r="L389" s="62">
        <f t="shared" si="80"/>
        <v>283813175</v>
      </c>
      <c r="M389" s="43">
        <f t="shared" si="81"/>
        <v>0</v>
      </c>
      <c r="N389" s="43">
        <f t="shared" si="82"/>
        <v>0</v>
      </c>
      <c r="O389" s="43">
        <f t="shared" si="83"/>
        <v>0</v>
      </c>
      <c r="P389" s="43">
        <f t="shared" si="78"/>
        <v>283813175</v>
      </c>
      <c r="Q389" s="100"/>
      <c r="R389" s="117"/>
    </row>
    <row r="390" spans="1:18" hidden="1" x14ac:dyDescent="0.25">
      <c r="A390" s="48" t="str">
        <f t="shared" si="72"/>
        <v>TL</v>
      </c>
      <c r="B390" s="32" t="s">
        <v>639</v>
      </c>
      <c r="C390" s="39" t="s">
        <v>558</v>
      </c>
      <c r="D390" s="13" t="s">
        <v>16</v>
      </c>
      <c r="E390" s="123">
        <v>83.88</v>
      </c>
      <c r="F390" s="123"/>
      <c r="G390" s="125"/>
      <c r="H390" s="125"/>
      <c r="I390" s="125">
        <f t="shared" si="79"/>
        <v>83.88</v>
      </c>
      <c r="J390" s="62">
        <f>'BIỂU HỢP ĐỒNG'!J379</f>
        <v>1871647</v>
      </c>
      <c r="K390" s="43"/>
      <c r="L390" s="62">
        <f t="shared" si="80"/>
        <v>156993750</v>
      </c>
      <c r="M390" s="43">
        <f t="shared" si="81"/>
        <v>0</v>
      </c>
      <c r="N390" s="43">
        <f t="shared" si="82"/>
        <v>0</v>
      </c>
      <c r="O390" s="43">
        <f t="shared" si="83"/>
        <v>0</v>
      </c>
      <c r="P390" s="43">
        <f t="shared" si="78"/>
        <v>156993750</v>
      </c>
      <c r="Q390" s="100"/>
      <c r="R390" s="117"/>
    </row>
    <row r="391" spans="1:18" hidden="1" x14ac:dyDescent="0.25">
      <c r="A391" s="48" t="str">
        <f t="shared" ref="A391:A454" si="84">A390</f>
        <v>TL</v>
      </c>
      <c r="B391" s="32" t="s">
        <v>640</v>
      </c>
      <c r="C391" s="39" t="s">
        <v>641</v>
      </c>
      <c r="D391" s="13" t="s">
        <v>13</v>
      </c>
      <c r="E391" s="123">
        <v>631.08000000000004</v>
      </c>
      <c r="F391" s="123"/>
      <c r="G391" s="125"/>
      <c r="H391" s="125"/>
      <c r="I391" s="125">
        <f t="shared" si="79"/>
        <v>631.08000000000004</v>
      </c>
      <c r="J391" s="62">
        <f>'BIỂU HỢP ĐỒNG'!J380</f>
        <v>115728</v>
      </c>
      <c r="K391" s="43"/>
      <c r="L391" s="62">
        <f t="shared" si="80"/>
        <v>73033626</v>
      </c>
      <c r="M391" s="43">
        <f t="shared" si="81"/>
        <v>0</v>
      </c>
      <c r="N391" s="43">
        <f t="shared" si="82"/>
        <v>0</v>
      </c>
      <c r="O391" s="43">
        <f t="shared" si="83"/>
        <v>0</v>
      </c>
      <c r="P391" s="43">
        <f t="shared" si="78"/>
        <v>73033626</v>
      </c>
      <c r="Q391" s="100"/>
      <c r="R391" s="117"/>
    </row>
    <row r="392" spans="1:18" ht="31.5" hidden="1" customHeight="1" x14ac:dyDescent="0.25">
      <c r="A392" s="48" t="str">
        <f t="shared" si="84"/>
        <v>TL</v>
      </c>
      <c r="B392" s="32" t="s">
        <v>642</v>
      </c>
      <c r="C392" s="39" t="s">
        <v>643</v>
      </c>
      <c r="D392" s="13" t="s">
        <v>567</v>
      </c>
      <c r="E392" s="123">
        <v>36</v>
      </c>
      <c r="F392" s="123"/>
      <c r="G392" s="125"/>
      <c r="H392" s="125"/>
      <c r="I392" s="125">
        <f t="shared" si="79"/>
        <v>36</v>
      </c>
      <c r="J392" s="62">
        <f>'BIỂU HỢP ĐỒNG'!J381</f>
        <v>561271</v>
      </c>
      <c r="K392" s="43"/>
      <c r="L392" s="62">
        <f t="shared" si="80"/>
        <v>20205756</v>
      </c>
      <c r="M392" s="43">
        <f t="shared" si="81"/>
        <v>0</v>
      </c>
      <c r="N392" s="43">
        <f t="shared" si="82"/>
        <v>0</v>
      </c>
      <c r="O392" s="43">
        <f t="shared" si="83"/>
        <v>0</v>
      </c>
      <c r="P392" s="43">
        <f t="shared" si="78"/>
        <v>20205756</v>
      </c>
      <c r="Q392" s="100"/>
      <c r="R392" s="117"/>
    </row>
    <row r="393" spans="1:18" ht="47.25" hidden="1" customHeight="1" x14ac:dyDescent="0.25">
      <c r="A393" s="48" t="str">
        <f t="shared" si="84"/>
        <v>TL</v>
      </c>
      <c r="B393" s="32" t="s">
        <v>644</v>
      </c>
      <c r="C393" s="39" t="s">
        <v>569</v>
      </c>
      <c r="D393" s="13" t="s">
        <v>250</v>
      </c>
      <c r="E393" s="123">
        <v>36</v>
      </c>
      <c r="F393" s="123"/>
      <c r="G393" s="125"/>
      <c r="H393" s="125"/>
      <c r="I393" s="125">
        <f t="shared" si="79"/>
        <v>36</v>
      </c>
      <c r="J393" s="62">
        <f>'BIỂU HỢP ĐỒNG'!J382</f>
        <v>129899</v>
      </c>
      <c r="K393" s="43"/>
      <c r="L393" s="62">
        <f t="shared" si="80"/>
        <v>4676364</v>
      </c>
      <c r="M393" s="43">
        <f t="shared" si="81"/>
        <v>0</v>
      </c>
      <c r="N393" s="43">
        <f t="shared" si="82"/>
        <v>0</v>
      </c>
      <c r="O393" s="43">
        <f t="shared" si="83"/>
        <v>0</v>
      </c>
      <c r="P393" s="43">
        <f t="shared" si="78"/>
        <v>4676364</v>
      </c>
      <c r="Q393" s="100"/>
      <c r="R393" s="117"/>
    </row>
    <row r="394" spans="1:18" ht="47.25" hidden="1" customHeight="1" x14ac:dyDescent="0.25">
      <c r="A394" s="48" t="str">
        <f t="shared" si="84"/>
        <v>TL</v>
      </c>
      <c r="B394" s="32" t="s">
        <v>645</v>
      </c>
      <c r="C394" s="39" t="s">
        <v>571</v>
      </c>
      <c r="D394" s="13" t="s">
        <v>250</v>
      </c>
      <c r="E394" s="123">
        <v>36</v>
      </c>
      <c r="F394" s="123"/>
      <c r="G394" s="125"/>
      <c r="H394" s="125"/>
      <c r="I394" s="125">
        <f t="shared" si="79"/>
        <v>36</v>
      </c>
      <c r="J394" s="62">
        <f>'BIỂU HỢP ĐỒNG'!J383</f>
        <v>91827</v>
      </c>
      <c r="K394" s="43"/>
      <c r="L394" s="62">
        <f t="shared" si="80"/>
        <v>3305772</v>
      </c>
      <c r="M394" s="43">
        <f t="shared" si="81"/>
        <v>0</v>
      </c>
      <c r="N394" s="43">
        <f t="shared" si="82"/>
        <v>0</v>
      </c>
      <c r="O394" s="43">
        <f t="shared" si="83"/>
        <v>0</v>
      </c>
      <c r="P394" s="43">
        <f t="shared" si="78"/>
        <v>3305772</v>
      </c>
      <c r="Q394" s="100"/>
      <c r="R394" s="117"/>
    </row>
    <row r="395" spans="1:18" ht="31.5" hidden="1" customHeight="1" x14ac:dyDescent="0.25">
      <c r="A395" s="48" t="str">
        <f t="shared" si="84"/>
        <v>TL</v>
      </c>
      <c r="B395" s="32" t="s">
        <v>646</v>
      </c>
      <c r="C395" s="39" t="s">
        <v>647</v>
      </c>
      <c r="D395" s="13" t="s">
        <v>253</v>
      </c>
      <c r="E395" s="123">
        <v>20.97</v>
      </c>
      <c r="F395" s="123"/>
      <c r="G395" s="125"/>
      <c r="H395" s="125"/>
      <c r="I395" s="125">
        <f t="shared" si="79"/>
        <v>20.97</v>
      </c>
      <c r="J395" s="62">
        <f>'BIỂU HỢP ĐỒNG'!J384</f>
        <v>36181</v>
      </c>
      <c r="K395" s="43"/>
      <c r="L395" s="62">
        <f t="shared" si="80"/>
        <v>758716</v>
      </c>
      <c r="M395" s="43">
        <f t="shared" si="81"/>
        <v>0</v>
      </c>
      <c r="N395" s="43">
        <f t="shared" si="82"/>
        <v>0</v>
      </c>
      <c r="O395" s="43">
        <f t="shared" si="83"/>
        <v>0</v>
      </c>
      <c r="P395" s="43">
        <f t="shared" si="78"/>
        <v>758716</v>
      </c>
      <c r="Q395" s="100"/>
      <c r="R395" s="117"/>
    </row>
    <row r="396" spans="1:18" hidden="1" x14ac:dyDescent="0.25">
      <c r="A396" s="48" t="str">
        <f t="shared" si="84"/>
        <v>TL</v>
      </c>
      <c r="B396" s="32" t="s">
        <v>648</v>
      </c>
      <c r="C396" s="39" t="s">
        <v>576</v>
      </c>
      <c r="D396" s="13" t="s">
        <v>16</v>
      </c>
      <c r="E396" s="123">
        <v>19.14</v>
      </c>
      <c r="F396" s="123"/>
      <c r="G396" s="125"/>
      <c r="H396" s="125"/>
      <c r="I396" s="125">
        <f t="shared" si="79"/>
        <v>19.14</v>
      </c>
      <c r="J396" s="62">
        <f>'BIỂU HỢP ĐỒNG'!J385</f>
        <v>1725249</v>
      </c>
      <c r="K396" s="43"/>
      <c r="L396" s="62">
        <f t="shared" si="80"/>
        <v>33021266</v>
      </c>
      <c r="M396" s="43">
        <f t="shared" si="81"/>
        <v>0</v>
      </c>
      <c r="N396" s="43">
        <f t="shared" si="82"/>
        <v>0</v>
      </c>
      <c r="O396" s="43">
        <f t="shared" si="83"/>
        <v>0</v>
      </c>
      <c r="P396" s="43">
        <f t="shared" si="78"/>
        <v>33021266</v>
      </c>
      <c r="Q396" s="100"/>
      <c r="R396" s="117"/>
    </row>
    <row r="397" spans="1:18" hidden="1" x14ac:dyDescent="0.25">
      <c r="A397" s="48" t="str">
        <f t="shared" si="84"/>
        <v>TL</v>
      </c>
      <c r="B397" s="32" t="s">
        <v>649</v>
      </c>
      <c r="C397" s="39" t="s">
        <v>578</v>
      </c>
      <c r="D397" s="13" t="s">
        <v>90</v>
      </c>
      <c r="E397" s="123">
        <v>1.1299999999999999</v>
      </c>
      <c r="F397" s="123"/>
      <c r="G397" s="125"/>
      <c r="H397" s="125"/>
      <c r="I397" s="125">
        <f t="shared" si="79"/>
        <v>1.1299999999999999</v>
      </c>
      <c r="J397" s="62">
        <f>'BIỂU HỢP ĐỒNG'!J386</f>
        <v>28097053</v>
      </c>
      <c r="K397" s="43"/>
      <c r="L397" s="62">
        <f t="shared" si="80"/>
        <v>31749670</v>
      </c>
      <c r="M397" s="43">
        <f t="shared" si="81"/>
        <v>0</v>
      </c>
      <c r="N397" s="43">
        <f t="shared" si="82"/>
        <v>0</v>
      </c>
      <c r="O397" s="43">
        <f t="shared" si="83"/>
        <v>0</v>
      </c>
      <c r="P397" s="43">
        <f t="shared" si="78"/>
        <v>31749670</v>
      </c>
      <c r="Q397" s="100"/>
      <c r="R397" s="117"/>
    </row>
    <row r="398" spans="1:18" hidden="1" x14ac:dyDescent="0.25">
      <c r="A398" s="48" t="str">
        <f t="shared" si="84"/>
        <v>TL</v>
      </c>
      <c r="B398" s="32" t="s">
        <v>650</v>
      </c>
      <c r="C398" s="39" t="s">
        <v>651</v>
      </c>
      <c r="D398" s="13" t="s">
        <v>13</v>
      </c>
      <c r="E398" s="123">
        <v>38.72</v>
      </c>
      <c r="F398" s="123"/>
      <c r="G398" s="125"/>
      <c r="H398" s="125"/>
      <c r="I398" s="125">
        <f t="shared" si="79"/>
        <v>38.72</v>
      </c>
      <c r="J398" s="62">
        <f>'BIỂU HỢP ĐỒNG'!J387</f>
        <v>86606</v>
      </c>
      <c r="K398" s="43"/>
      <c r="L398" s="62">
        <f t="shared" si="80"/>
        <v>3353384</v>
      </c>
      <c r="M398" s="43">
        <f t="shared" si="81"/>
        <v>0</v>
      </c>
      <c r="N398" s="43">
        <f t="shared" si="82"/>
        <v>0</v>
      </c>
      <c r="O398" s="43">
        <f t="shared" si="83"/>
        <v>0</v>
      </c>
      <c r="P398" s="43">
        <f t="shared" si="78"/>
        <v>3353384</v>
      </c>
      <c r="Q398" s="100"/>
      <c r="R398" s="117"/>
    </row>
    <row r="399" spans="1:18" ht="31.5" hidden="1" customHeight="1" x14ac:dyDescent="0.25">
      <c r="A399" s="48" t="str">
        <f t="shared" si="84"/>
        <v>TL</v>
      </c>
      <c r="B399" s="32" t="s">
        <v>652</v>
      </c>
      <c r="C399" s="39" t="s">
        <v>653</v>
      </c>
      <c r="D399" s="13" t="s">
        <v>258</v>
      </c>
      <c r="E399" s="123">
        <v>22</v>
      </c>
      <c r="F399" s="123"/>
      <c r="G399" s="125"/>
      <c r="H399" s="125"/>
      <c r="I399" s="125">
        <f t="shared" si="79"/>
        <v>22</v>
      </c>
      <c r="J399" s="62">
        <f>'BIỂU HỢP ĐỒNG'!J388</f>
        <v>231535</v>
      </c>
      <c r="K399" s="43"/>
      <c r="L399" s="62">
        <f t="shared" si="80"/>
        <v>5093770</v>
      </c>
      <c r="M399" s="43">
        <f t="shared" si="81"/>
        <v>0</v>
      </c>
      <c r="N399" s="43">
        <f t="shared" si="82"/>
        <v>0</v>
      </c>
      <c r="O399" s="43">
        <f t="shared" si="83"/>
        <v>0</v>
      </c>
      <c r="P399" s="43">
        <f t="shared" si="78"/>
        <v>5093770</v>
      </c>
      <c r="Q399" s="100"/>
      <c r="R399" s="117"/>
    </row>
    <row r="400" spans="1:18" ht="47.25" hidden="1" customHeight="1" x14ac:dyDescent="0.25">
      <c r="A400" s="48" t="str">
        <f t="shared" si="84"/>
        <v>TL</v>
      </c>
      <c r="B400" s="32" t="s">
        <v>654</v>
      </c>
      <c r="C400" s="39" t="s">
        <v>569</v>
      </c>
      <c r="D400" s="13" t="s">
        <v>250</v>
      </c>
      <c r="E400" s="123">
        <v>22</v>
      </c>
      <c r="F400" s="123"/>
      <c r="G400" s="125"/>
      <c r="H400" s="125"/>
      <c r="I400" s="125">
        <f t="shared" si="79"/>
        <v>22</v>
      </c>
      <c r="J400" s="62">
        <f>'BIỂU HỢP ĐỒNG'!J389</f>
        <v>113802</v>
      </c>
      <c r="K400" s="43"/>
      <c r="L400" s="62">
        <f t="shared" si="80"/>
        <v>2503644</v>
      </c>
      <c r="M400" s="43">
        <f t="shared" si="81"/>
        <v>0</v>
      </c>
      <c r="N400" s="43">
        <f t="shared" si="82"/>
        <v>0</v>
      </c>
      <c r="O400" s="43">
        <f t="shared" si="83"/>
        <v>0</v>
      </c>
      <c r="P400" s="43">
        <f t="shared" si="78"/>
        <v>2503644</v>
      </c>
      <c r="Q400" s="100"/>
      <c r="R400" s="117"/>
    </row>
    <row r="401" spans="1:18" ht="47.25" hidden="1" customHeight="1" x14ac:dyDescent="0.25">
      <c r="A401" s="48" t="str">
        <f t="shared" si="84"/>
        <v>TL</v>
      </c>
      <c r="B401" s="32" t="s">
        <v>655</v>
      </c>
      <c r="C401" s="39" t="s">
        <v>571</v>
      </c>
      <c r="D401" s="13" t="s">
        <v>250</v>
      </c>
      <c r="E401" s="123">
        <v>22</v>
      </c>
      <c r="F401" s="123"/>
      <c r="G401" s="125"/>
      <c r="H401" s="125"/>
      <c r="I401" s="125">
        <f t="shared" si="79"/>
        <v>22</v>
      </c>
      <c r="J401" s="62">
        <f>'BIỂU HỢP ĐỒNG'!J390</f>
        <v>91827</v>
      </c>
      <c r="K401" s="43"/>
      <c r="L401" s="62">
        <f t="shared" si="80"/>
        <v>2020194</v>
      </c>
      <c r="M401" s="43">
        <f t="shared" si="81"/>
        <v>0</v>
      </c>
      <c r="N401" s="43">
        <f t="shared" si="82"/>
        <v>0</v>
      </c>
      <c r="O401" s="43">
        <f t="shared" si="83"/>
        <v>0</v>
      </c>
      <c r="P401" s="43">
        <f t="shared" si="78"/>
        <v>2020194</v>
      </c>
      <c r="Q401" s="100"/>
      <c r="R401" s="117"/>
    </row>
    <row r="402" spans="1:18" ht="31.5" hidden="1" customHeight="1" x14ac:dyDescent="0.25">
      <c r="A402" s="48" t="str">
        <f t="shared" si="84"/>
        <v>TL</v>
      </c>
      <c r="B402" s="32" t="s">
        <v>656</v>
      </c>
      <c r="C402" s="39" t="s">
        <v>573</v>
      </c>
      <c r="D402" s="13" t="s">
        <v>253</v>
      </c>
      <c r="E402" s="123">
        <v>4.79</v>
      </c>
      <c r="F402" s="123"/>
      <c r="G402" s="125"/>
      <c r="H402" s="125"/>
      <c r="I402" s="125">
        <f t="shared" si="79"/>
        <v>4.79</v>
      </c>
      <c r="J402" s="62">
        <f>'BIỂU HỢP ĐỒNG'!J391</f>
        <v>36181</v>
      </c>
      <c r="K402" s="43"/>
      <c r="L402" s="62">
        <f t="shared" si="80"/>
        <v>173307</v>
      </c>
      <c r="M402" s="43">
        <f t="shared" si="81"/>
        <v>0</v>
      </c>
      <c r="N402" s="43">
        <f t="shared" si="82"/>
        <v>0</v>
      </c>
      <c r="O402" s="43">
        <f t="shared" si="83"/>
        <v>0</v>
      </c>
      <c r="P402" s="43">
        <f t="shared" si="78"/>
        <v>173307</v>
      </c>
      <c r="Q402" s="100"/>
      <c r="R402" s="117"/>
    </row>
    <row r="403" spans="1:18" hidden="1" x14ac:dyDescent="0.25">
      <c r="A403" s="48" t="str">
        <f t="shared" si="84"/>
        <v>TL</v>
      </c>
      <c r="B403" s="32" t="s">
        <v>657</v>
      </c>
      <c r="C403" s="39" t="s">
        <v>595</v>
      </c>
      <c r="D403" s="13" t="s">
        <v>16</v>
      </c>
      <c r="E403" s="123">
        <v>0.23</v>
      </c>
      <c r="F403" s="123"/>
      <c r="G403" s="125"/>
      <c r="H403" s="125"/>
      <c r="I403" s="125">
        <f t="shared" si="79"/>
        <v>0.23</v>
      </c>
      <c r="J403" s="62">
        <f>'BIỂU HỢP ĐỒNG'!J392</f>
        <v>1145922</v>
      </c>
      <c r="K403" s="43"/>
      <c r="L403" s="62">
        <f t="shared" si="80"/>
        <v>263562</v>
      </c>
      <c r="M403" s="43">
        <f t="shared" si="81"/>
        <v>0</v>
      </c>
      <c r="N403" s="43">
        <f t="shared" si="82"/>
        <v>0</v>
      </c>
      <c r="O403" s="43">
        <f t="shared" si="83"/>
        <v>0</v>
      </c>
      <c r="P403" s="43">
        <f t="shared" si="78"/>
        <v>263562</v>
      </c>
      <c r="Q403" s="100"/>
      <c r="R403" s="117"/>
    </row>
    <row r="404" spans="1:18" hidden="1" x14ac:dyDescent="0.25">
      <c r="A404" s="48" t="str">
        <f t="shared" si="84"/>
        <v>TL</v>
      </c>
      <c r="B404" s="32" t="s">
        <v>658</v>
      </c>
      <c r="C404" s="39" t="s">
        <v>597</v>
      </c>
      <c r="D404" s="13" t="s">
        <v>13</v>
      </c>
      <c r="E404" s="123">
        <v>1.32</v>
      </c>
      <c r="F404" s="123"/>
      <c r="G404" s="125"/>
      <c r="H404" s="125"/>
      <c r="I404" s="125">
        <f t="shared" si="79"/>
        <v>1.32</v>
      </c>
      <c r="J404" s="62">
        <f>'BIỂU HỢP ĐỒNG'!J393</f>
        <v>104798</v>
      </c>
      <c r="K404" s="43"/>
      <c r="L404" s="62">
        <f t="shared" si="80"/>
        <v>138333</v>
      </c>
      <c r="M404" s="43">
        <f t="shared" si="81"/>
        <v>0</v>
      </c>
      <c r="N404" s="43">
        <f t="shared" si="82"/>
        <v>0</v>
      </c>
      <c r="O404" s="43">
        <f t="shared" si="83"/>
        <v>0</v>
      </c>
      <c r="P404" s="43">
        <f t="shared" si="78"/>
        <v>138333</v>
      </c>
      <c r="Q404" s="100"/>
      <c r="R404" s="117"/>
    </row>
    <row r="405" spans="1:18" hidden="1" x14ac:dyDescent="0.25">
      <c r="A405" s="48" t="str">
        <f t="shared" si="84"/>
        <v>TL</v>
      </c>
      <c r="B405" s="32" t="s">
        <v>659</v>
      </c>
      <c r="C405" s="39" t="s">
        <v>587</v>
      </c>
      <c r="D405" s="13" t="s">
        <v>16</v>
      </c>
      <c r="E405" s="123">
        <v>11.86</v>
      </c>
      <c r="F405" s="123"/>
      <c r="G405" s="125"/>
      <c r="H405" s="125"/>
      <c r="I405" s="125">
        <f t="shared" si="79"/>
        <v>11.86</v>
      </c>
      <c r="J405" s="62">
        <f>'BIỂU HỢP ĐỒNG'!J394</f>
        <v>842139</v>
      </c>
      <c r="K405" s="43"/>
      <c r="L405" s="62">
        <f t="shared" si="80"/>
        <v>9987769</v>
      </c>
      <c r="M405" s="43">
        <f t="shared" si="81"/>
        <v>0</v>
      </c>
      <c r="N405" s="43">
        <f t="shared" si="82"/>
        <v>0</v>
      </c>
      <c r="O405" s="43">
        <f t="shared" si="83"/>
        <v>0</v>
      </c>
      <c r="P405" s="43">
        <f t="shared" si="78"/>
        <v>9987769</v>
      </c>
      <c r="Q405" s="100"/>
      <c r="R405" s="117"/>
    </row>
    <row r="406" spans="1:18" hidden="1" x14ac:dyDescent="0.25">
      <c r="A406" s="48" t="str">
        <f t="shared" si="84"/>
        <v>TL</v>
      </c>
      <c r="B406" s="32" t="s">
        <v>660</v>
      </c>
      <c r="C406" s="39" t="s">
        <v>661</v>
      </c>
      <c r="D406" s="13" t="s">
        <v>13</v>
      </c>
      <c r="E406" s="123">
        <v>1.1599999999999999</v>
      </c>
      <c r="F406" s="123"/>
      <c r="G406" s="125"/>
      <c r="H406" s="125"/>
      <c r="I406" s="125">
        <f t="shared" ref="I406:I437" si="85">SUM(E406:H406)</f>
        <v>1.1599999999999999</v>
      </c>
      <c r="J406" s="62">
        <f>'BIỂU HỢP ĐỒNG'!J395</f>
        <v>42922</v>
      </c>
      <c r="K406" s="43"/>
      <c r="L406" s="62">
        <f t="shared" ref="L406:L437" si="86">+ROUND(J406*E406,0)</f>
        <v>49790</v>
      </c>
      <c r="M406" s="43">
        <f t="shared" ref="M406:M437" si="87">+ROUND(F406*J406,0)</f>
        <v>0</v>
      </c>
      <c r="N406" s="43">
        <f t="shared" ref="N406:N437" si="88">+ROUND(G406*J406,0)</f>
        <v>0</v>
      </c>
      <c r="O406" s="43">
        <f t="shared" ref="O406:O437" si="89">+ROUND(H406*J406,0)</f>
        <v>0</v>
      </c>
      <c r="P406" s="43">
        <f t="shared" si="78"/>
        <v>49790</v>
      </c>
      <c r="Q406" s="100"/>
      <c r="R406" s="117"/>
    </row>
    <row r="407" spans="1:18" hidden="1" x14ac:dyDescent="0.25">
      <c r="A407" s="48" t="str">
        <f t="shared" si="84"/>
        <v>TL</v>
      </c>
      <c r="B407" s="32" t="s">
        <v>662</v>
      </c>
      <c r="C407" s="39" t="s">
        <v>591</v>
      </c>
      <c r="D407" s="13" t="s">
        <v>13</v>
      </c>
      <c r="E407" s="123">
        <v>270</v>
      </c>
      <c r="F407" s="123"/>
      <c r="G407" s="125"/>
      <c r="H407" s="125"/>
      <c r="I407" s="125">
        <f t="shared" si="85"/>
        <v>270</v>
      </c>
      <c r="J407" s="62">
        <f>'BIỂU HỢP ĐỒNG'!J396</f>
        <v>76805</v>
      </c>
      <c r="K407" s="43"/>
      <c r="L407" s="62">
        <f t="shared" si="86"/>
        <v>20737350</v>
      </c>
      <c r="M407" s="43">
        <f t="shared" si="87"/>
        <v>0</v>
      </c>
      <c r="N407" s="43">
        <f t="shared" si="88"/>
        <v>0</v>
      </c>
      <c r="O407" s="43">
        <f t="shared" si="89"/>
        <v>0</v>
      </c>
      <c r="P407" s="43">
        <f t="shared" si="78"/>
        <v>20737350</v>
      </c>
      <c r="Q407" s="100"/>
      <c r="R407" s="117"/>
    </row>
    <row r="408" spans="1:18" hidden="1" x14ac:dyDescent="0.25">
      <c r="A408" s="48" t="str">
        <f t="shared" si="84"/>
        <v>TL</v>
      </c>
      <c r="B408" s="32" t="s">
        <v>663</v>
      </c>
      <c r="C408" s="39" t="s">
        <v>664</v>
      </c>
      <c r="D408" s="13" t="s">
        <v>16</v>
      </c>
      <c r="E408" s="123">
        <v>14.96</v>
      </c>
      <c r="F408" s="123"/>
      <c r="G408" s="125"/>
      <c r="H408" s="125"/>
      <c r="I408" s="125">
        <f t="shared" si="85"/>
        <v>14.96</v>
      </c>
      <c r="J408" s="62">
        <f>'BIỂU HỢP ĐỒNG'!J397</f>
        <v>1823873</v>
      </c>
      <c r="K408" s="43"/>
      <c r="L408" s="62">
        <f t="shared" si="86"/>
        <v>27285140</v>
      </c>
      <c r="M408" s="43">
        <f t="shared" si="87"/>
        <v>0</v>
      </c>
      <c r="N408" s="43">
        <f t="shared" si="88"/>
        <v>0</v>
      </c>
      <c r="O408" s="43">
        <f t="shared" si="89"/>
        <v>0</v>
      </c>
      <c r="P408" s="43">
        <f t="shared" si="78"/>
        <v>27285140</v>
      </c>
      <c r="Q408" s="100"/>
      <c r="R408" s="117"/>
    </row>
    <row r="409" spans="1:18" hidden="1" x14ac:dyDescent="0.25">
      <c r="A409" s="48" t="str">
        <f t="shared" si="84"/>
        <v>TL</v>
      </c>
      <c r="B409" s="32" t="s">
        <v>665</v>
      </c>
      <c r="C409" s="39" t="s">
        <v>595</v>
      </c>
      <c r="D409" s="13" t="s">
        <v>16</v>
      </c>
      <c r="E409" s="123">
        <v>36.130000000000003</v>
      </c>
      <c r="F409" s="123"/>
      <c r="G409" s="125"/>
      <c r="H409" s="125"/>
      <c r="I409" s="125">
        <f t="shared" si="85"/>
        <v>36.130000000000003</v>
      </c>
      <c r="J409" s="62">
        <f>'BIỂU HỢP ĐỒNG'!J398</f>
        <v>1145922</v>
      </c>
      <c r="K409" s="43"/>
      <c r="L409" s="62">
        <f t="shared" si="86"/>
        <v>41402162</v>
      </c>
      <c r="M409" s="43">
        <f t="shared" si="87"/>
        <v>0</v>
      </c>
      <c r="N409" s="43">
        <f t="shared" si="88"/>
        <v>0</v>
      </c>
      <c r="O409" s="43">
        <f t="shared" si="89"/>
        <v>0</v>
      </c>
      <c r="P409" s="43">
        <f t="shared" si="78"/>
        <v>41402162</v>
      </c>
      <c r="Q409" s="100"/>
      <c r="R409" s="117"/>
    </row>
    <row r="410" spans="1:18" hidden="1" x14ac:dyDescent="0.25">
      <c r="A410" s="48" t="str">
        <f t="shared" si="84"/>
        <v>TL</v>
      </c>
      <c r="B410" s="32" t="s">
        <v>666</v>
      </c>
      <c r="C410" s="39" t="s">
        <v>597</v>
      </c>
      <c r="D410" s="13" t="s">
        <v>13</v>
      </c>
      <c r="E410" s="123">
        <v>55.52</v>
      </c>
      <c r="F410" s="123"/>
      <c r="G410" s="125"/>
      <c r="H410" s="125"/>
      <c r="I410" s="125">
        <f t="shared" si="85"/>
        <v>55.52</v>
      </c>
      <c r="J410" s="62">
        <f>'BIỂU HỢP ĐỒNG'!J399</f>
        <v>104798</v>
      </c>
      <c r="K410" s="43"/>
      <c r="L410" s="62">
        <f t="shared" si="86"/>
        <v>5818385</v>
      </c>
      <c r="M410" s="43">
        <f t="shared" si="87"/>
        <v>0</v>
      </c>
      <c r="N410" s="43">
        <f t="shared" si="88"/>
        <v>0</v>
      </c>
      <c r="O410" s="43">
        <f t="shared" si="89"/>
        <v>0</v>
      </c>
      <c r="P410" s="43">
        <f t="shared" si="78"/>
        <v>5818385</v>
      </c>
      <c r="Q410" s="100"/>
      <c r="R410" s="117"/>
    </row>
    <row r="411" spans="1:18" hidden="1" x14ac:dyDescent="0.25">
      <c r="A411" s="48" t="str">
        <f t="shared" si="84"/>
        <v>TL</v>
      </c>
      <c r="B411" s="32" t="s">
        <v>667</v>
      </c>
      <c r="C411" s="39" t="s">
        <v>599</v>
      </c>
      <c r="D411" s="13" t="s">
        <v>13</v>
      </c>
      <c r="E411" s="123">
        <v>84.33</v>
      </c>
      <c r="F411" s="123"/>
      <c r="G411" s="125"/>
      <c r="H411" s="125"/>
      <c r="I411" s="125">
        <f t="shared" si="85"/>
        <v>84.33</v>
      </c>
      <c r="J411" s="62">
        <f>'BIỂU HỢP ĐỒNG'!J400</f>
        <v>141724</v>
      </c>
      <c r="K411" s="43"/>
      <c r="L411" s="62">
        <f t="shared" si="86"/>
        <v>11951585</v>
      </c>
      <c r="M411" s="43">
        <f t="shared" si="87"/>
        <v>0</v>
      </c>
      <c r="N411" s="43">
        <f t="shared" si="88"/>
        <v>0</v>
      </c>
      <c r="O411" s="43">
        <f t="shared" si="89"/>
        <v>0</v>
      </c>
      <c r="P411" s="43">
        <f t="shared" si="78"/>
        <v>11951585</v>
      </c>
      <c r="Q411" s="100"/>
      <c r="R411" s="117"/>
    </row>
    <row r="412" spans="1:18" hidden="1" x14ac:dyDescent="0.25">
      <c r="A412" s="48" t="str">
        <f t="shared" si="84"/>
        <v>TL</v>
      </c>
      <c r="B412" s="32" t="s">
        <v>668</v>
      </c>
      <c r="C412" s="39" t="s">
        <v>587</v>
      </c>
      <c r="D412" s="13" t="s">
        <v>16</v>
      </c>
      <c r="E412" s="123">
        <v>4.0199999999999996</v>
      </c>
      <c r="F412" s="123"/>
      <c r="G412" s="125"/>
      <c r="H412" s="125"/>
      <c r="I412" s="125">
        <f t="shared" si="85"/>
        <v>4.0199999999999996</v>
      </c>
      <c r="J412" s="62">
        <f>'BIỂU HỢP ĐỒNG'!J401</f>
        <v>842139</v>
      </c>
      <c r="K412" s="43"/>
      <c r="L412" s="62">
        <f t="shared" si="86"/>
        <v>3385399</v>
      </c>
      <c r="M412" s="43">
        <f t="shared" si="87"/>
        <v>0</v>
      </c>
      <c r="N412" s="43">
        <f t="shared" si="88"/>
        <v>0</v>
      </c>
      <c r="O412" s="43">
        <f t="shared" si="89"/>
        <v>0</v>
      </c>
      <c r="P412" s="43">
        <f t="shared" si="78"/>
        <v>3385399</v>
      </c>
      <c r="Q412" s="100"/>
      <c r="R412" s="117"/>
    </row>
    <row r="413" spans="1:18" hidden="1" x14ac:dyDescent="0.25">
      <c r="A413" s="48" t="str">
        <f t="shared" si="84"/>
        <v>TL</v>
      </c>
      <c r="B413" s="32" t="s">
        <v>669</v>
      </c>
      <c r="C413" s="39" t="s">
        <v>670</v>
      </c>
      <c r="D413" s="13" t="s">
        <v>16</v>
      </c>
      <c r="E413" s="123">
        <v>15.38</v>
      </c>
      <c r="F413" s="123"/>
      <c r="G413" s="125"/>
      <c r="H413" s="125"/>
      <c r="I413" s="125">
        <f t="shared" si="85"/>
        <v>15.38</v>
      </c>
      <c r="J413" s="62">
        <f>'BIỂU HỢP ĐỒNG'!J402</f>
        <v>1245512</v>
      </c>
      <c r="K413" s="43"/>
      <c r="L413" s="62">
        <f t="shared" si="86"/>
        <v>19155975</v>
      </c>
      <c r="M413" s="43">
        <f t="shared" si="87"/>
        <v>0</v>
      </c>
      <c r="N413" s="43">
        <f t="shared" si="88"/>
        <v>0</v>
      </c>
      <c r="O413" s="43">
        <f t="shared" si="89"/>
        <v>0</v>
      </c>
      <c r="P413" s="43">
        <f t="shared" si="78"/>
        <v>19155975</v>
      </c>
      <c r="Q413" s="100"/>
      <c r="R413" s="117"/>
    </row>
    <row r="414" spans="1:18" hidden="1" x14ac:dyDescent="0.25">
      <c r="A414" s="48" t="str">
        <f t="shared" si="84"/>
        <v>TL</v>
      </c>
      <c r="B414" s="32" t="s">
        <v>671</v>
      </c>
      <c r="C414" s="39" t="s">
        <v>587</v>
      </c>
      <c r="D414" s="13" t="s">
        <v>16</v>
      </c>
      <c r="E414" s="123">
        <v>6.15</v>
      </c>
      <c r="F414" s="123"/>
      <c r="G414" s="125"/>
      <c r="H414" s="125"/>
      <c r="I414" s="125">
        <f t="shared" si="85"/>
        <v>6.15</v>
      </c>
      <c r="J414" s="62">
        <f>'BIỂU HỢP ĐỒNG'!J403</f>
        <v>842139</v>
      </c>
      <c r="K414" s="43"/>
      <c r="L414" s="62">
        <f t="shared" si="86"/>
        <v>5179155</v>
      </c>
      <c r="M414" s="43">
        <f t="shared" si="87"/>
        <v>0</v>
      </c>
      <c r="N414" s="43">
        <f t="shared" si="88"/>
        <v>0</v>
      </c>
      <c r="O414" s="43">
        <f t="shared" si="89"/>
        <v>0</v>
      </c>
      <c r="P414" s="43">
        <f t="shared" si="78"/>
        <v>5179155</v>
      </c>
      <c r="Q414" s="100"/>
      <c r="R414" s="117"/>
    </row>
    <row r="415" spans="1:18" hidden="1" x14ac:dyDescent="0.25">
      <c r="A415" s="48" t="str">
        <f t="shared" si="84"/>
        <v>TL</v>
      </c>
      <c r="B415" s="32" t="s">
        <v>672</v>
      </c>
      <c r="C415" s="39" t="s">
        <v>670</v>
      </c>
      <c r="D415" s="13" t="s">
        <v>16</v>
      </c>
      <c r="E415" s="123">
        <v>8.58</v>
      </c>
      <c r="F415" s="123"/>
      <c r="G415" s="125"/>
      <c r="H415" s="125"/>
      <c r="I415" s="125">
        <f t="shared" si="85"/>
        <v>8.58</v>
      </c>
      <c r="J415" s="62">
        <f>'BIỂU HỢP ĐỒNG'!J404</f>
        <v>1245512</v>
      </c>
      <c r="K415" s="43"/>
      <c r="L415" s="62">
        <f t="shared" si="86"/>
        <v>10686493</v>
      </c>
      <c r="M415" s="43">
        <f t="shared" si="87"/>
        <v>0</v>
      </c>
      <c r="N415" s="43">
        <f t="shared" si="88"/>
        <v>0</v>
      </c>
      <c r="O415" s="43">
        <f t="shared" si="89"/>
        <v>0</v>
      </c>
      <c r="P415" s="43">
        <f t="shared" si="78"/>
        <v>10686493</v>
      </c>
      <c r="Q415" s="100"/>
      <c r="R415" s="117"/>
    </row>
    <row r="416" spans="1:18" hidden="1" x14ac:dyDescent="0.25">
      <c r="A416" s="48" t="str">
        <f t="shared" si="84"/>
        <v>TL</v>
      </c>
      <c r="B416" s="32" t="s">
        <v>673</v>
      </c>
      <c r="C416" s="39" t="s">
        <v>587</v>
      </c>
      <c r="D416" s="13" t="s">
        <v>16</v>
      </c>
      <c r="E416" s="123">
        <v>3.43</v>
      </c>
      <c r="F416" s="123"/>
      <c r="G416" s="125"/>
      <c r="H416" s="125"/>
      <c r="I416" s="125">
        <f t="shared" si="85"/>
        <v>3.43</v>
      </c>
      <c r="J416" s="62">
        <f>'BIỂU HỢP ĐỒNG'!J405</f>
        <v>842139</v>
      </c>
      <c r="K416" s="43"/>
      <c r="L416" s="62">
        <f t="shared" si="86"/>
        <v>2888537</v>
      </c>
      <c r="M416" s="43">
        <f t="shared" si="87"/>
        <v>0</v>
      </c>
      <c r="N416" s="43">
        <f t="shared" si="88"/>
        <v>0</v>
      </c>
      <c r="O416" s="43">
        <f t="shared" si="89"/>
        <v>0</v>
      </c>
      <c r="P416" s="43">
        <f t="shared" si="78"/>
        <v>2888537</v>
      </c>
      <c r="Q416" s="100"/>
      <c r="R416" s="117"/>
    </row>
    <row r="417" spans="1:18" hidden="1" x14ac:dyDescent="0.25">
      <c r="A417" s="48" t="str">
        <f t="shared" si="84"/>
        <v>TL</v>
      </c>
      <c r="B417" s="32" t="s">
        <v>674</v>
      </c>
      <c r="C417" s="39" t="s">
        <v>608</v>
      </c>
      <c r="D417" s="13" t="s">
        <v>16</v>
      </c>
      <c r="E417" s="123">
        <v>2217.42</v>
      </c>
      <c r="F417" s="123"/>
      <c r="G417" s="125"/>
      <c r="H417" s="125"/>
      <c r="I417" s="125">
        <f t="shared" si="85"/>
        <v>2217.42</v>
      </c>
      <c r="J417" s="62">
        <f>'BIỂU HỢP ĐỒNG'!J406</f>
        <v>20867</v>
      </c>
      <c r="K417" s="43"/>
      <c r="L417" s="62">
        <f t="shared" si="86"/>
        <v>46270903</v>
      </c>
      <c r="M417" s="43">
        <f t="shared" si="87"/>
        <v>0</v>
      </c>
      <c r="N417" s="43">
        <f t="shared" si="88"/>
        <v>0</v>
      </c>
      <c r="O417" s="43">
        <f t="shared" si="89"/>
        <v>0</v>
      </c>
      <c r="P417" s="43">
        <f t="shared" si="78"/>
        <v>46270903</v>
      </c>
      <c r="Q417" s="100"/>
      <c r="R417" s="117"/>
    </row>
    <row r="418" spans="1:18" hidden="1" x14ac:dyDescent="0.25">
      <c r="A418" s="48" t="str">
        <f t="shared" si="84"/>
        <v>TL</v>
      </c>
      <c r="B418" s="32" t="s">
        <v>675</v>
      </c>
      <c r="C418" s="39" t="s">
        <v>610</v>
      </c>
      <c r="D418" s="13" t="s">
        <v>16</v>
      </c>
      <c r="E418" s="123">
        <v>1937.35</v>
      </c>
      <c r="F418" s="123"/>
      <c r="G418" s="125"/>
      <c r="H418" s="125"/>
      <c r="I418" s="125">
        <f t="shared" si="85"/>
        <v>1937.35</v>
      </c>
      <c r="J418" s="62">
        <f>'BIỂU HỢP ĐỒNG'!J407</f>
        <v>12936</v>
      </c>
      <c r="K418" s="43"/>
      <c r="L418" s="62">
        <f t="shared" si="86"/>
        <v>25061560</v>
      </c>
      <c r="M418" s="43">
        <f t="shared" si="87"/>
        <v>0</v>
      </c>
      <c r="N418" s="43">
        <f t="shared" si="88"/>
        <v>0</v>
      </c>
      <c r="O418" s="43">
        <f t="shared" si="89"/>
        <v>0</v>
      </c>
      <c r="P418" s="43">
        <f t="shared" si="78"/>
        <v>25061560</v>
      </c>
      <c r="Q418" s="100"/>
      <c r="R418" s="117"/>
    </row>
    <row r="419" spans="1:18" hidden="1" x14ac:dyDescent="0.25">
      <c r="A419" s="48" t="str">
        <f t="shared" si="84"/>
        <v>TL</v>
      </c>
      <c r="B419" s="32" t="s">
        <v>676</v>
      </c>
      <c r="C419" s="39" t="s">
        <v>32</v>
      </c>
      <c r="D419" s="13" t="s">
        <v>16</v>
      </c>
      <c r="E419" s="123">
        <v>2648.94</v>
      </c>
      <c r="F419" s="123"/>
      <c r="G419" s="125"/>
      <c r="H419" s="125"/>
      <c r="I419" s="125">
        <f t="shared" si="85"/>
        <v>2648.94</v>
      </c>
      <c r="J419" s="62">
        <f>'BIỂU HỢP ĐỒNG'!J408</f>
        <v>50585</v>
      </c>
      <c r="K419" s="43"/>
      <c r="L419" s="62">
        <f t="shared" si="86"/>
        <v>133996630</v>
      </c>
      <c r="M419" s="43">
        <f t="shared" si="87"/>
        <v>0</v>
      </c>
      <c r="N419" s="43">
        <f t="shared" si="88"/>
        <v>0</v>
      </c>
      <c r="O419" s="43">
        <f t="shared" si="89"/>
        <v>0</v>
      </c>
      <c r="P419" s="43">
        <f t="shared" si="78"/>
        <v>133996630</v>
      </c>
      <c r="Q419" s="100"/>
      <c r="R419" s="117"/>
    </row>
    <row r="420" spans="1:18" hidden="1" x14ac:dyDescent="0.25">
      <c r="A420" s="48" t="str">
        <f t="shared" si="84"/>
        <v>TL</v>
      </c>
      <c r="B420" s="32" t="s">
        <v>677</v>
      </c>
      <c r="C420" s="39" t="s">
        <v>36</v>
      </c>
      <c r="D420" s="13" t="s">
        <v>37</v>
      </c>
      <c r="E420" s="123">
        <v>264.89</v>
      </c>
      <c r="F420" s="123"/>
      <c r="G420" s="125"/>
      <c r="H420" s="125"/>
      <c r="I420" s="125">
        <f t="shared" si="85"/>
        <v>264.89</v>
      </c>
      <c r="J420" s="62">
        <f>'BIỂU HỢP ĐỒNG'!J409</f>
        <v>940826</v>
      </c>
      <c r="K420" s="43"/>
      <c r="L420" s="62">
        <f t="shared" si="86"/>
        <v>249215399</v>
      </c>
      <c r="M420" s="43">
        <f t="shared" si="87"/>
        <v>0</v>
      </c>
      <c r="N420" s="43">
        <f t="shared" si="88"/>
        <v>0</v>
      </c>
      <c r="O420" s="43">
        <f t="shared" si="89"/>
        <v>0</v>
      </c>
      <c r="P420" s="43">
        <f t="shared" si="78"/>
        <v>249215399</v>
      </c>
      <c r="Q420" s="100"/>
      <c r="R420" s="117"/>
    </row>
    <row r="421" spans="1:18" hidden="1" x14ac:dyDescent="0.25">
      <c r="A421" s="48" t="str">
        <f t="shared" si="84"/>
        <v>TL</v>
      </c>
      <c r="B421" s="32" t="s">
        <v>678</v>
      </c>
      <c r="C421" s="39" t="s">
        <v>624</v>
      </c>
      <c r="D421" s="13" t="s">
        <v>16</v>
      </c>
      <c r="E421" s="123">
        <v>591.75</v>
      </c>
      <c r="F421" s="123"/>
      <c r="G421" s="125"/>
      <c r="H421" s="125"/>
      <c r="I421" s="125">
        <f t="shared" si="85"/>
        <v>591.75</v>
      </c>
      <c r="J421" s="62">
        <f>'BIỂU HỢP ĐỒNG'!J410</f>
        <v>267174</v>
      </c>
      <c r="K421" s="43"/>
      <c r="L421" s="62">
        <f t="shared" si="86"/>
        <v>158100215</v>
      </c>
      <c r="M421" s="43">
        <f t="shared" si="87"/>
        <v>0</v>
      </c>
      <c r="N421" s="43">
        <f t="shared" si="88"/>
        <v>0</v>
      </c>
      <c r="O421" s="43">
        <f t="shared" si="89"/>
        <v>0</v>
      </c>
      <c r="P421" s="43">
        <f t="shared" si="78"/>
        <v>158100215</v>
      </c>
      <c r="Q421" s="100"/>
      <c r="R421" s="117"/>
    </row>
    <row r="422" spans="1:18" hidden="1" x14ac:dyDescent="0.25">
      <c r="A422" s="48" t="str">
        <f t="shared" si="84"/>
        <v>TL</v>
      </c>
      <c r="B422" s="32" t="s">
        <v>679</v>
      </c>
      <c r="C422" s="39" t="s">
        <v>618</v>
      </c>
      <c r="D422" s="13" t="s">
        <v>16</v>
      </c>
      <c r="E422" s="123">
        <v>116.76</v>
      </c>
      <c r="F422" s="123"/>
      <c r="G422" s="125"/>
      <c r="H422" s="125"/>
      <c r="I422" s="125">
        <f t="shared" si="85"/>
        <v>116.76</v>
      </c>
      <c r="J422" s="62">
        <f>'BIỂU HỢP ĐỒNG'!J411</f>
        <v>276665</v>
      </c>
      <c r="K422" s="43"/>
      <c r="L422" s="62">
        <f t="shared" si="86"/>
        <v>32303405</v>
      </c>
      <c r="M422" s="43">
        <f t="shared" si="87"/>
        <v>0</v>
      </c>
      <c r="N422" s="43">
        <f t="shared" si="88"/>
        <v>0</v>
      </c>
      <c r="O422" s="43">
        <f t="shared" si="89"/>
        <v>0</v>
      </c>
      <c r="P422" s="43">
        <f t="shared" si="78"/>
        <v>32303405</v>
      </c>
      <c r="Q422" s="100"/>
      <c r="R422" s="117"/>
    </row>
    <row r="423" spans="1:18" hidden="1" x14ac:dyDescent="0.25">
      <c r="A423" s="48" t="str">
        <f t="shared" si="84"/>
        <v>TL</v>
      </c>
      <c r="B423" s="32" t="s">
        <v>680</v>
      </c>
      <c r="C423" s="39" t="s">
        <v>614</v>
      </c>
      <c r="D423" s="13" t="s">
        <v>16</v>
      </c>
      <c r="E423" s="123">
        <v>150.88</v>
      </c>
      <c r="F423" s="123"/>
      <c r="G423" s="125"/>
      <c r="H423" s="125"/>
      <c r="I423" s="125">
        <f t="shared" si="85"/>
        <v>150.88</v>
      </c>
      <c r="J423" s="62">
        <f>'BIỂU HỢP ĐỒNG'!J412</f>
        <v>23993</v>
      </c>
      <c r="K423" s="43"/>
      <c r="L423" s="62">
        <f t="shared" si="86"/>
        <v>3620064</v>
      </c>
      <c r="M423" s="43">
        <f t="shared" si="87"/>
        <v>0</v>
      </c>
      <c r="N423" s="43">
        <f t="shared" si="88"/>
        <v>0</v>
      </c>
      <c r="O423" s="43">
        <f t="shared" si="89"/>
        <v>0</v>
      </c>
      <c r="P423" s="43">
        <f t="shared" si="78"/>
        <v>3620064</v>
      </c>
      <c r="Q423" s="100"/>
      <c r="R423" s="117"/>
    </row>
    <row r="424" spans="1:18" hidden="1" x14ac:dyDescent="0.25">
      <c r="A424" s="48" t="str">
        <f t="shared" si="84"/>
        <v>TL</v>
      </c>
      <c r="B424" s="32" t="s">
        <v>681</v>
      </c>
      <c r="C424" s="39" t="s">
        <v>616</v>
      </c>
      <c r="D424" s="13" t="s">
        <v>16</v>
      </c>
      <c r="E424" s="123">
        <v>23</v>
      </c>
      <c r="F424" s="123"/>
      <c r="G424" s="125"/>
      <c r="H424" s="125"/>
      <c r="I424" s="125">
        <f t="shared" si="85"/>
        <v>23</v>
      </c>
      <c r="J424" s="62">
        <f>'BIỂU HỢP ĐỒNG'!J413</f>
        <v>11161</v>
      </c>
      <c r="K424" s="43"/>
      <c r="L424" s="62">
        <f t="shared" si="86"/>
        <v>256703</v>
      </c>
      <c r="M424" s="43">
        <f t="shared" si="87"/>
        <v>0</v>
      </c>
      <c r="N424" s="43">
        <f t="shared" si="88"/>
        <v>0</v>
      </c>
      <c r="O424" s="43">
        <f t="shared" si="89"/>
        <v>0</v>
      </c>
      <c r="P424" s="43">
        <f t="shared" si="78"/>
        <v>256703</v>
      </c>
      <c r="Q424" s="100"/>
      <c r="R424" s="117"/>
    </row>
    <row r="425" spans="1:18" hidden="1" x14ac:dyDescent="0.25">
      <c r="A425" s="48" t="str">
        <f t="shared" si="84"/>
        <v>TL</v>
      </c>
      <c r="B425" s="32" t="s">
        <v>682</v>
      </c>
      <c r="C425" s="39" t="s">
        <v>620</v>
      </c>
      <c r="D425" s="13" t="s">
        <v>75</v>
      </c>
      <c r="E425" s="123">
        <v>29190.38</v>
      </c>
      <c r="F425" s="123"/>
      <c r="G425" s="125"/>
      <c r="H425" s="125"/>
      <c r="I425" s="125">
        <f t="shared" si="85"/>
        <v>29190.38</v>
      </c>
      <c r="J425" s="62">
        <f>'BIỂU HỢP ĐỒNG'!J414</f>
        <v>11223</v>
      </c>
      <c r="K425" s="43"/>
      <c r="L425" s="62">
        <f t="shared" si="86"/>
        <v>327603635</v>
      </c>
      <c r="M425" s="43">
        <f t="shared" si="87"/>
        <v>0</v>
      </c>
      <c r="N425" s="43">
        <f t="shared" si="88"/>
        <v>0</v>
      </c>
      <c r="O425" s="43">
        <f t="shared" si="89"/>
        <v>0</v>
      </c>
      <c r="P425" s="43">
        <f t="shared" si="78"/>
        <v>327603635</v>
      </c>
      <c r="Q425" s="100"/>
      <c r="R425" s="117"/>
    </row>
    <row r="426" spans="1:18" hidden="1" x14ac:dyDescent="0.25">
      <c r="A426" s="48" t="str">
        <f t="shared" si="84"/>
        <v>TL</v>
      </c>
      <c r="B426" s="32" t="s">
        <v>683</v>
      </c>
      <c r="C426" s="39" t="s">
        <v>622</v>
      </c>
      <c r="D426" s="13" t="s">
        <v>13</v>
      </c>
      <c r="E426" s="123">
        <v>791.9</v>
      </c>
      <c r="F426" s="123"/>
      <c r="G426" s="125"/>
      <c r="H426" s="125"/>
      <c r="I426" s="125">
        <f t="shared" si="85"/>
        <v>791.9</v>
      </c>
      <c r="J426" s="62">
        <f>'BIỂU HỢP ĐỒNG'!J415</f>
        <v>19714</v>
      </c>
      <c r="K426" s="43"/>
      <c r="L426" s="62">
        <f t="shared" si="86"/>
        <v>15611517</v>
      </c>
      <c r="M426" s="43">
        <f t="shared" si="87"/>
        <v>0</v>
      </c>
      <c r="N426" s="43">
        <f t="shared" si="88"/>
        <v>0</v>
      </c>
      <c r="O426" s="43">
        <f t="shared" si="89"/>
        <v>0</v>
      </c>
      <c r="P426" s="43">
        <f t="shared" si="78"/>
        <v>15611517</v>
      </c>
      <c r="Q426" s="100"/>
      <c r="R426" s="117"/>
    </row>
    <row r="427" spans="1:18" hidden="1" x14ac:dyDescent="0.25">
      <c r="A427" s="48" t="str">
        <f t="shared" si="84"/>
        <v>TL</v>
      </c>
      <c r="B427" s="32" t="s">
        <v>684</v>
      </c>
      <c r="C427" s="39" t="s">
        <v>685</v>
      </c>
      <c r="D427" s="13" t="s">
        <v>16</v>
      </c>
      <c r="E427" s="123">
        <v>2345.3000000000002</v>
      </c>
      <c r="F427" s="123"/>
      <c r="G427" s="125"/>
      <c r="H427" s="125"/>
      <c r="I427" s="125">
        <f t="shared" si="85"/>
        <v>2345.3000000000002</v>
      </c>
      <c r="J427" s="62">
        <f>'BIỂU HỢP ĐỒNG'!J416</f>
        <v>45382</v>
      </c>
      <c r="K427" s="43"/>
      <c r="L427" s="62">
        <f t="shared" si="86"/>
        <v>106434405</v>
      </c>
      <c r="M427" s="43">
        <f t="shared" si="87"/>
        <v>0</v>
      </c>
      <c r="N427" s="43">
        <f t="shared" si="88"/>
        <v>0</v>
      </c>
      <c r="O427" s="43">
        <f t="shared" si="89"/>
        <v>0</v>
      </c>
      <c r="P427" s="43">
        <f t="shared" si="78"/>
        <v>106434405</v>
      </c>
      <c r="Q427" s="100"/>
      <c r="R427" s="117"/>
    </row>
    <row r="428" spans="1:18" hidden="1" x14ac:dyDescent="0.25">
      <c r="A428" s="48" t="str">
        <f t="shared" si="84"/>
        <v>TL</v>
      </c>
      <c r="B428" s="32" t="s">
        <v>686</v>
      </c>
      <c r="C428" s="39" t="s">
        <v>685</v>
      </c>
      <c r="D428" s="13" t="s">
        <v>16</v>
      </c>
      <c r="E428" s="123">
        <v>156.1</v>
      </c>
      <c r="F428" s="123"/>
      <c r="G428" s="125"/>
      <c r="H428" s="125"/>
      <c r="I428" s="125">
        <f t="shared" si="85"/>
        <v>156.1</v>
      </c>
      <c r="J428" s="62">
        <f>'BIỂU HỢP ĐỒNG'!J417</f>
        <v>45382</v>
      </c>
      <c r="K428" s="43"/>
      <c r="L428" s="62">
        <f t="shared" si="86"/>
        <v>7084130</v>
      </c>
      <c r="M428" s="43">
        <f t="shared" si="87"/>
        <v>0</v>
      </c>
      <c r="N428" s="43">
        <f t="shared" si="88"/>
        <v>0</v>
      </c>
      <c r="O428" s="43">
        <f t="shared" si="89"/>
        <v>0</v>
      </c>
      <c r="P428" s="43">
        <f t="shared" si="78"/>
        <v>7084130</v>
      </c>
      <c r="Q428" s="100"/>
      <c r="R428" s="117"/>
    </row>
    <row r="429" spans="1:18" hidden="1" x14ac:dyDescent="0.25">
      <c r="A429" s="48" t="str">
        <f t="shared" si="84"/>
        <v>TL</v>
      </c>
      <c r="B429" s="32" t="s">
        <v>687</v>
      </c>
      <c r="C429" s="39" t="s">
        <v>628</v>
      </c>
      <c r="D429" s="13" t="s">
        <v>16</v>
      </c>
      <c r="E429" s="123">
        <v>135</v>
      </c>
      <c r="F429" s="123"/>
      <c r="G429" s="125"/>
      <c r="H429" s="125"/>
      <c r="I429" s="125">
        <f t="shared" si="85"/>
        <v>135</v>
      </c>
      <c r="J429" s="62">
        <f>'BIỂU HỢP ĐỒNG'!J418</f>
        <v>23993</v>
      </c>
      <c r="K429" s="43"/>
      <c r="L429" s="62">
        <f t="shared" si="86"/>
        <v>3239055</v>
      </c>
      <c r="M429" s="43">
        <f t="shared" si="87"/>
        <v>0</v>
      </c>
      <c r="N429" s="43">
        <f t="shared" si="88"/>
        <v>0</v>
      </c>
      <c r="O429" s="43">
        <f t="shared" si="89"/>
        <v>0</v>
      </c>
      <c r="P429" s="43">
        <f t="shared" si="78"/>
        <v>3239055</v>
      </c>
      <c r="Q429" s="100"/>
      <c r="R429" s="117"/>
    </row>
    <row r="430" spans="1:18" ht="31.5" hidden="1" customHeight="1" x14ac:dyDescent="0.25">
      <c r="A430" s="48" t="str">
        <f t="shared" si="84"/>
        <v>TL</v>
      </c>
      <c r="B430" s="32" t="s">
        <v>688</v>
      </c>
      <c r="C430" s="39" t="s">
        <v>630</v>
      </c>
      <c r="D430" s="13" t="s">
        <v>16</v>
      </c>
      <c r="E430" s="123">
        <v>35</v>
      </c>
      <c r="F430" s="123"/>
      <c r="G430" s="125"/>
      <c r="H430" s="125"/>
      <c r="I430" s="125">
        <f t="shared" si="85"/>
        <v>35</v>
      </c>
      <c r="J430" s="62">
        <f>'BIỂU HỢP ĐỒNG'!J419</f>
        <v>7229</v>
      </c>
      <c r="K430" s="43"/>
      <c r="L430" s="62">
        <f t="shared" si="86"/>
        <v>253015</v>
      </c>
      <c r="M430" s="43">
        <f t="shared" si="87"/>
        <v>0</v>
      </c>
      <c r="N430" s="43">
        <f t="shared" si="88"/>
        <v>0</v>
      </c>
      <c r="O430" s="43">
        <f t="shared" si="89"/>
        <v>0</v>
      </c>
      <c r="P430" s="43">
        <f t="shared" si="78"/>
        <v>253015</v>
      </c>
      <c r="Q430" s="100"/>
      <c r="R430" s="117"/>
    </row>
    <row r="431" spans="1:18" hidden="1" x14ac:dyDescent="0.25">
      <c r="A431" s="48" t="str">
        <f t="shared" si="84"/>
        <v>TL</v>
      </c>
      <c r="B431" s="32" t="s">
        <v>689</v>
      </c>
      <c r="C431" s="39" t="s">
        <v>632</v>
      </c>
      <c r="D431" s="13" t="s">
        <v>16</v>
      </c>
      <c r="E431" s="123">
        <v>35</v>
      </c>
      <c r="F431" s="123"/>
      <c r="G431" s="125"/>
      <c r="H431" s="125"/>
      <c r="I431" s="125">
        <f t="shared" si="85"/>
        <v>35</v>
      </c>
      <c r="J431" s="62">
        <f>'BIỂU HỢP ĐỒNG'!J420</f>
        <v>19746</v>
      </c>
      <c r="K431" s="43"/>
      <c r="L431" s="62">
        <f t="shared" si="86"/>
        <v>691110</v>
      </c>
      <c r="M431" s="43">
        <f t="shared" si="87"/>
        <v>0</v>
      </c>
      <c r="N431" s="43">
        <f t="shared" si="88"/>
        <v>0</v>
      </c>
      <c r="O431" s="43">
        <f t="shared" si="89"/>
        <v>0</v>
      </c>
      <c r="P431" s="43">
        <f t="shared" si="78"/>
        <v>691110</v>
      </c>
      <c r="Q431" s="100"/>
      <c r="R431" s="117"/>
    </row>
    <row r="432" spans="1:18" hidden="1" x14ac:dyDescent="0.25">
      <c r="A432" s="48" t="str">
        <f t="shared" si="84"/>
        <v>TL</v>
      </c>
      <c r="B432" s="32" t="s">
        <v>690</v>
      </c>
      <c r="C432" s="39" t="s">
        <v>685</v>
      </c>
      <c r="D432" s="13" t="s">
        <v>16</v>
      </c>
      <c r="E432" s="123">
        <v>170</v>
      </c>
      <c r="F432" s="123"/>
      <c r="G432" s="125"/>
      <c r="H432" s="125"/>
      <c r="I432" s="125">
        <f t="shared" si="85"/>
        <v>170</v>
      </c>
      <c r="J432" s="62">
        <f>'BIỂU HỢP ĐỒNG'!J421</f>
        <v>45382</v>
      </c>
      <c r="K432" s="43"/>
      <c r="L432" s="62">
        <f t="shared" si="86"/>
        <v>7714940</v>
      </c>
      <c r="M432" s="43">
        <f t="shared" si="87"/>
        <v>0</v>
      </c>
      <c r="N432" s="43">
        <f t="shared" si="88"/>
        <v>0</v>
      </c>
      <c r="O432" s="43">
        <f t="shared" si="89"/>
        <v>0</v>
      </c>
      <c r="P432" s="43">
        <f t="shared" ref="P432:P495" si="90">SUM(L432:O432)</f>
        <v>7714940</v>
      </c>
      <c r="Q432" s="100"/>
      <c r="R432" s="117"/>
    </row>
    <row r="433" spans="1:18" hidden="1" x14ac:dyDescent="0.25">
      <c r="A433" s="48" t="str">
        <f t="shared" si="84"/>
        <v>TL</v>
      </c>
      <c r="B433" s="32" t="s">
        <v>691</v>
      </c>
      <c r="C433" s="39" t="s">
        <v>692</v>
      </c>
      <c r="D433" s="13" t="s">
        <v>16</v>
      </c>
      <c r="E433" s="123">
        <v>61.52</v>
      </c>
      <c r="F433" s="123"/>
      <c r="G433" s="125"/>
      <c r="H433" s="125"/>
      <c r="I433" s="125">
        <f t="shared" si="85"/>
        <v>61.52</v>
      </c>
      <c r="J433" s="62">
        <f>'BIỂU HỢP ĐỒNG'!J422</f>
        <v>2095204</v>
      </c>
      <c r="K433" s="43"/>
      <c r="L433" s="62">
        <f t="shared" si="86"/>
        <v>128896950</v>
      </c>
      <c r="M433" s="43">
        <f t="shared" si="87"/>
        <v>0</v>
      </c>
      <c r="N433" s="43">
        <f t="shared" si="88"/>
        <v>0</v>
      </c>
      <c r="O433" s="43">
        <f t="shared" si="89"/>
        <v>0</v>
      </c>
      <c r="P433" s="43">
        <f t="shared" si="90"/>
        <v>128896950</v>
      </c>
      <c r="Q433" s="100"/>
      <c r="R433" s="117"/>
    </row>
    <row r="434" spans="1:18" hidden="1" x14ac:dyDescent="0.25">
      <c r="A434" s="48" t="str">
        <f t="shared" si="84"/>
        <v>TL</v>
      </c>
      <c r="B434" s="32" t="s">
        <v>693</v>
      </c>
      <c r="C434" s="39" t="s">
        <v>560</v>
      </c>
      <c r="D434" s="13" t="s">
        <v>16</v>
      </c>
      <c r="E434" s="123">
        <v>63.06</v>
      </c>
      <c r="F434" s="123"/>
      <c r="G434" s="125"/>
      <c r="H434" s="125"/>
      <c r="I434" s="125">
        <f t="shared" si="85"/>
        <v>63.06</v>
      </c>
      <c r="J434" s="62">
        <f>'BIỂU HỢP ĐỒNG'!J423</f>
        <v>57102</v>
      </c>
      <c r="K434" s="43"/>
      <c r="L434" s="62">
        <f t="shared" si="86"/>
        <v>3600852</v>
      </c>
      <c r="M434" s="43">
        <f t="shared" si="87"/>
        <v>0</v>
      </c>
      <c r="N434" s="43">
        <f t="shared" si="88"/>
        <v>0</v>
      </c>
      <c r="O434" s="43">
        <f t="shared" si="89"/>
        <v>0</v>
      </c>
      <c r="P434" s="43">
        <f t="shared" si="90"/>
        <v>3600852</v>
      </c>
      <c r="Q434" s="100"/>
      <c r="R434" s="117"/>
    </row>
    <row r="435" spans="1:18" hidden="1" x14ac:dyDescent="0.25">
      <c r="A435" s="48" t="str">
        <f t="shared" si="84"/>
        <v>TL</v>
      </c>
      <c r="B435" s="32" t="s">
        <v>694</v>
      </c>
      <c r="C435" s="39" t="s">
        <v>562</v>
      </c>
      <c r="D435" s="13" t="s">
        <v>16</v>
      </c>
      <c r="E435" s="123">
        <v>63.06</v>
      </c>
      <c r="F435" s="123"/>
      <c r="G435" s="125"/>
      <c r="H435" s="125"/>
      <c r="I435" s="125">
        <f t="shared" si="85"/>
        <v>63.06</v>
      </c>
      <c r="J435" s="62">
        <f>'BIỂU HỢP ĐỒNG'!J424</f>
        <v>232044</v>
      </c>
      <c r="K435" s="43"/>
      <c r="L435" s="62">
        <f t="shared" si="86"/>
        <v>14632695</v>
      </c>
      <c r="M435" s="43">
        <f t="shared" si="87"/>
        <v>0</v>
      </c>
      <c r="N435" s="43">
        <f t="shared" si="88"/>
        <v>0</v>
      </c>
      <c r="O435" s="43">
        <f t="shared" si="89"/>
        <v>0</v>
      </c>
      <c r="P435" s="43">
        <f t="shared" si="90"/>
        <v>14632695</v>
      </c>
      <c r="Q435" s="100"/>
      <c r="R435" s="117"/>
    </row>
    <row r="436" spans="1:18" hidden="1" x14ac:dyDescent="0.25">
      <c r="A436" s="48" t="str">
        <f t="shared" si="84"/>
        <v>TL</v>
      </c>
      <c r="B436" s="32" t="s">
        <v>695</v>
      </c>
      <c r="C436" s="39" t="s">
        <v>696</v>
      </c>
      <c r="D436" s="13" t="s">
        <v>90</v>
      </c>
      <c r="E436" s="123">
        <v>0.19</v>
      </c>
      <c r="F436" s="123"/>
      <c r="G436" s="125"/>
      <c r="H436" s="125"/>
      <c r="I436" s="125">
        <f t="shared" si="85"/>
        <v>0.19</v>
      </c>
      <c r="J436" s="62">
        <f>'BIỂU HỢP ĐỒNG'!J425</f>
        <v>25844139</v>
      </c>
      <c r="K436" s="43"/>
      <c r="L436" s="62">
        <f t="shared" si="86"/>
        <v>4910386</v>
      </c>
      <c r="M436" s="43">
        <f t="shared" si="87"/>
        <v>0</v>
      </c>
      <c r="N436" s="43">
        <f t="shared" si="88"/>
        <v>0</v>
      </c>
      <c r="O436" s="43">
        <f t="shared" si="89"/>
        <v>0</v>
      </c>
      <c r="P436" s="43">
        <f t="shared" si="90"/>
        <v>4910386</v>
      </c>
      <c r="Q436" s="100"/>
      <c r="R436" s="117"/>
    </row>
    <row r="437" spans="1:18" hidden="1" x14ac:dyDescent="0.25">
      <c r="A437" s="48" t="str">
        <f t="shared" si="84"/>
        <v>TL</v>
      </c>
      <c r="B437" s="32" t="s">
        <v>697</v>
      </c>
      <c r="C437" s="39" t="s">
        <v>698</v>
      </c>
      <c r="D437" s="13" t="s">
        <v>90</v>
      </c>
      <c r="E437" s="123">
        <v>8.92</v>
      </c>
      <c r="F437" s="123"/>
      <c r="G437" s="125"/>
      <c r="H437" s="125"/>
      <c r="I437" s="125">
        <f t="shared" si="85"/>
        <v>8.92</v>
      </c>
      <c r="J437" s="62">
        <f>'BIỂU HỢP ĐỒNG'!J426</f>
        <v>25587312</v>
      </c>
      <c r="K437" s="43"/>
      <c r="L437" s="62">
        <f t="shared" si="86"/>
        <v>228238823</v>
      </c>
      <c r="M437" s="43">
        <f t="shared" si="87"/>
        <v>0</v>
      </c>
      <c r="N437" s="43">
        <f t="shared" si="88"/>
        <v>0</v>
      </c>
      <c r="O437" s="43">
        <f t="shared" si="89"/>
        <v>0</v>
      </c>
      <c r="P437" s="43">
        <f t="shared" si="90"/>
        <v>228238823</v>
      </c>
      <c r="Q437" s="100"/>
      <c r="R437" s="117"/>
    </row>
    <row r="438" spans="1:18" hidden="1" x14ac:dyDescent="0.25">
      <c r="A438" s="48" t="str">
        <f t="shared" si="84"/>
        <v>TL</v>
      </c>
      <c r="B438" s="32" t="s">
        <v>699</v>
      </c>
      <c r="C438" s="39" t="s">
        <v>700</v>
      </c>
      <c r="D438" s="13" t="s">
        <v>16</v>
      </c>
      <c r="E438" s="123">
        <v>40.75</v>
      </c>
      <c r="F438" s="123"/>
      <c r="G438" s="125"/>
      <c r="H438" s="125"/>
      <c r="I438" s="125">
        <f t="shared" ref="I438:I469" si="91">SUM(E438:H438)</f>
        <v>40.75</v>
      </c>
      <c r="J438" s="62">
        <f>'BIỂU HỢP ĐỒNG'!J427</f>
        <v>1141385</v>
      </c>
      <c r="K438" s="43"/>
      <c r="L438" s="62">
        <f t="shared" ref="L438:L469" si="92">+ROUND(J438*E438,0)</f>
        <v>46511439</v>
      </c>
      <c r="M438" s="43">
        <f t="shared" ref="M438:M469" si="93">+ROUND(F438*J438,0)</f>
        <v>0</v>
      </c>
      <c r="N438" s="43">
        <f t="shared" ref="N438:N469" si="94">+ROUND(G438*J438,0)</f>
        <v>0</v>
      </c>
      <c r="O438" s="43">
        <f t="shared" ref="O438:O469" si="95">+ROUND(H438*J438,0)</f>
        <v>0</v>
      </c>
      <c r="P438" s="43">
        <f t="shared" si="90"/>
        <v>46511439</v>
      </c>
      <c r="Q438" s="100"/>
      <c r="R438" s="117"/>
    </row>
    <row r="439" spans="1:18" hidden="1" x14ac:dyDescent="0.25">
      <c r="A439" s="48" t="str">
        <f t="shared" si="84"/>
        <v>TL</v>
      </c>
      <c r="B439" s="32" t="s">
        <v>701</v>
      </c>
      <c r="C439" s="39" t="s">
        <v>702</v>
      </c>
      <c r="D439" s="13" t="s">
        <v>13</v>
      </c>
      <c r="E439" s="123">
        <v>397.77</v>
      </c>
      <c r="F439" s="123"/>
      <c r="G439" s="125"/>
      <c r="H439" s="125"/>
      <c r="I439" s="125">
        <f t="shared" si="91"/>
        <v>397.77</v>
      </c>
      <c r="J439" s="62">
        <f>'BIỂU HỢP ĐỒNG'!J428</f>
        <v>141724</v>
      </c>
      <c r="K439" s="43"/>
      <c r="L439" s="62">
        <f t="shared" si="92"/>
        <v>56373555</v>
      </c>
      <c r="M439" s="43">
        <f t="shared" si="93"/>
        <v>0</v>
      </c>
      <c r="N439" s="43">
        <f t="shared" si="94"/>
        <v>0</v>
      </c>
      <c r="O439" s="43">
        <f t="shared" si="95"/>
        <v>0</v>
      </c>
      <c r="P439" s="43">
        <f t="shared" si="90"/>
        <v>56373555</v>
      </c>
      <c r="Q439" s="100"/>
      <c r="R439" s="117"/>
    </row>
    <row r="440" spans="1:18" hidden="1" x14ac:dyDescent="0.25">
      <c r="A440" s="48" t="str">
        <f t="shared" si="84"/>
        <v>TL</v>
      </c>
      <c r="B440" s="32" t="s">
        <v>703</v>
      </c>
      <c r="C440" s="39" t="s">
        <v>704</v>
      </c>
      <c r="D440" s="13" t="s">
        <v>13</v>
      </c>
      <c r="E440" s="123">
        <v>774.86</v>
      </c>
      <c r="F440" s="123"/>
      <c r="G440" s="125"/>
      <c r="H440" s="125"/>
      <c r="I440" s="125">
        <f t="shared" si="91"/>
        <v>774.86</v>
      </c>
      <c r="J440" s="62">
        <f>'BIỂU HỢP ĐỒNG'!J429</f>
        <v>76805</v>
      </c>
      <c r="K440" s="43"/>
      <c r="L440" s="62">
        <f t="shared" si="92"/>
        <v>59513122</v>
      </c>
      <c r="M440" s="43">
        <f t="shared" si="93"/>
        <v>0</v>
      </c>
      <c r="N440" s="43">
        <f t="shared" si="94"/>
        <v>0</v>
      </c>
      <c r="O440" s="43">
        <f t="shared" si="95"/>
        <v>0</v>
      </c>
      <c r="P440" s="43">
        <f t="shared" si="90"/>
        <v>59513122</v>
      </c>
      <c r="Q440" s="100"/>
      <c r="R440" s="117"/>
    </row>
    <row r="441" spans="1:18" hidden="1" x14ac:dyDescent="0.25">
      <c r="A441" s="48" t="str">
        <f t="shared" si="84"/>
        <v>TL</v>
      </c>
      <c r="B441" s="32" t="s">
        <v>705</v>
      </c>
      <c r="C441" s="39" t="s">
        <v>587</v>
      </c>
      <c r="D441" s="13" t="s">
        <v>16</v>
      </c>
      <c r="E441" s="123">
        <v>23.91</v>
      </c>
      <c r="F441" s="123"/>
      <c r="G441" s="125"/>
      <c r="H441" s="125"/>
      <c r="I441" s="125">
        <f t="shared" si="91"/>
        <v>23.91</v>
      </c>
      <c r="J441" s="62">
        <f>'BIỂU HỢP ĐỒNG'!J430</f>
        <v>842139</v>
      </c>
      <c r="K441" s="43"/>
      <c r="L441" s="62">
        <f t="shared" si="92"/>
        <v>20135543</v>
      </c>
      <c r="M441" s="43">
        <f t="shared" si="93"/>
        <v>0</v>
      </c>
      <c r="N441" s="43">
        <f t="shared" si="94"/>
        <v>0</v>
      </c>
      <c r="O441" s="43">
        <f t="shared" si="95"/>
        <v>0</v>
      </c>
      <c r="P441" s="43">
        <f t="shared" si="90"/>
        <v>20135543</v>
      </c>
      <c r="Q441" s="100"/>
      <c r="R441" s="117"/>
    </row>
    <row r="442" spans="1:18" hidden="1" x14ac:dyDescent="0.25">
      <c r="A442" s="48" t="str">
        <f t="shared" si="84"/>
        <v>TL</v>
      </c>
      <c r="B442" s="32" t="s">
        <v>706</v>
      </c>
      <c r="C442" s="39" t="s">
        <v>707</v>
      </c>
      <c r="D442" s="13" t="s">
        <v>90</v>
      </c>
      <c r="E442" s="123">
        <v>0.02</v>
      </c>
      <c r="F442" s="123"/>
      <c r="G442" s="125"/>
      <c r="H442" s="125"/>
      <c r="I442" s="125">
        <f t="shared" si="91"/>
        <v>0.02</v>
      </c>
      <c r="J442" s="62">
        <f>'BIỂU HỢP ĐỒNG'!J431</f>
        <v>25844139</v>
      </c>
      <c r="K442" s="43"/>
      <c r="L442" s="62">
        <f t="shared" si="92"/>
        <v>516883</v>
      </c>
      <c r="M442" s="43">
        <f t="shared" si="93"/>
        <v>0</v>
      </c>
      <c r="N442" s="43">
        <f t="shared" si="94"/>
        <v>0</v>
      </c>
      <c r="O442" s="43">
        <f t="shared" si="95"/>
        <v>0</v>
      </c>
      <c r="P442" s="43">
        <f t="shared" si="90"/>
        <v>516883</v>
      </c>
      <c r="Q442" s="100"/>
      <c r="R442" s="117"/>
    </row>
    <row r="443" spans="1:18" hidden="1" x14ac:dyDescent="0.25">
      <c r="A443" s="48" t="str">
        <f t="shared" si="84"/>
        <v>TL</v>
      </c>
      <c r="B443" s="32" t="s">
        <v>708</v>
      </c>
      <c r="C443" s="39" t="s">
        <v>709</v>
      </c>
      <c r="D443" s="13" t="s">
        <v>90</v>
      </c>
      <c r="E443" s="123">
        <v>0.31</v>
      </c>
      <c r="F443" s="123"/>
      <c r="G443" s="125"/>
      <c r="H443" s="125"/>
      <c r="I443" s="125">
        <f t="shared" si="91"/>
        <v>0.31</v>
      </c>
      <c r="J443" s="62">
        <f>'BIỂU HỢP ĐỒNG'!J432</f>
        <v>24892659</v>
      </c>
      <c r="K443" s="43"/>
      <c r="L443" s="62">
        <f t="shared" si="92"/>
        <v>7716724</v>
      </c>
      <c r="M443" s="43">
        <f t="shared" si="93"/>
        <v>0</v>
      </c>
      <c r="N443" s="43">
        <f t="shared" si="94"/>
        <v>0</v>
      </c>
      <c r="O443" s="43">
        <f t="shared" si="95"/>
        <v>0</v>
      </c>
      <c r="P443" s="43">
        <f t="shared" si="90"/>
        <v>7716724</v>
      </c>
      <c r="Q443" s="100"/>
      <c r="R443" s="117"/>
    </row>
    <row r="444" spans="1:18" hidden="1" x14ac:dyDescent="0.25">
      <c r="A444" s="48" t="str">
        <f t="shared" si="84"/>
        <v>TL</v>
      </c>
      <c r="B444" s="32" t="s">
        <v>710</v>
      </c>
      <c r="C444" s="39" t="s">
        <v>711</v>
      </c>
      <c r="D444" s="13" t="s">
        <v>75</v>
      </c>
      <c r="E444" s="123">
        <v>41.6</v>
      </c>
      <c r="F444" s="123"/>
      <c r="G444" s="125"/>
      <c r="H444" s="125"/>
      <c r="I444" s="125">
        <f t="shared" si="91"/>
        <v>41.6</v>
      </c>
      <c r="J444" s="62">
        <f>'BIỂU HỢP ĐỒNG'!J433</f>
        <v>23353</v>
      </c>
      <c r="K444" s="43"/>
      <c r="L444" s="62">
        <f t="shared" si="92"/>
        <v>971485</v>
      </c>
      <c r="M444" s="43">
        <f t="shared" si="93"/>
        <v>0</v>
      </c>
      <c r="N444" s="43">
        <f t="shared" si="94"/>
        <v>0</v>
      </c>
      <c r="O444" s="43">
        <f t="shared" si="95"/>
        <v>0</v>
      </c>
      <c r="P444" s="43">
        <f t="shared" si="90"/>
        <v>971485</v>
      </c>
      <c r="Q444" s="100"/>
      <c r="R444" s="117"/>
    </row>
    <row r="445" spans="1:18" hidden="1" x14ac:dyDescent="0.25">
      <c r="A445" s="48" t="str">
        <f t="shared" si="84"/>
        <v>TL</v>
      </c>
      <c r="B445" s="32" t="s">
        <v>712</v>
      </c>
      <c r="C445" s="39" t="s">
        <v>713</v>
      </c>
      <c r="D445" s="13" t="s">
        <v>13</v>
      </c>
      <c r="E445" s="123">
        <v>0.98</v>
      </c>
      <c r="F445" s="123"/>
      <c r="G445" s="125"/>
      <c r="H445" s="125"/>
      <c r="I445" s="125">
        <f t="shared" si="91"/>
        <v>0.98</v>
      </c>
      <c r="J445" s="62">
        <f>'BIỂU HỢP ĐỒNG'!J434</f>
        <v>370346</v>
      </c>
      <c r="K445" s="43"/>
      <c r="L445" s="62">
        <f t="shared" si="92"/>
        <v>362939</v>
      </c>
      <c r="M445" s="43">
        <f t="shared" si="93"/>
        <v>0</v>
      </c>
      <c r="N445" s="43">
        <f t="shared" si="94"/>
        <v>0</v>
      </c>
      <c r="O445" s="43">
        <f t="shared" si="95"/>
        <v>0</v>
      </c>
      <c r="P445" s="43">
        <f t="shared" si="90"/>
        <v>362939</v>
      </c>
      <c r="Q445" s="100"/>
      <c r="R445" s="117"/>
    </row>
    <row r="446" spans="1:18" hidden="1" x14ac:dyDescent="0.25">
      <c r="A446" s="48" t="str">
        <f t="shared" si="84"/>
        <v>TL</v>
      </c>
      <c r="B446" s="32" t="s">
        <v>714</v>
      </c>
      <c r="C446" s="39" t="s">
        <v>715</v>
      </c>
      <c r="D446" s="13" t="s">
        <v>75</v>
      </c>
      <c r="E446" s="123">
        <v>37.6</v>
      </c>
      <c r="F446" s="123"/>
      <c r="G446" s="125"/>
      <c r="H446" s="125"/>
      <c r="I446" s="125">
        <f t="shared" si="91"/>
        <v>37.6</v>
      </c>
      <c r="J446" s="62">
        <f>'BIỂU HỢP ĐỒNG'!J435</f>
        <v>126388</v>
      </c>
      <c r="K446" s="43"/>
      <c r="L446" s="62">
        <f t="shared" si="92"/>
        <v>4752189</v>
      </c>
      <c r="M446" s="43">
        <f t="shared" si="93"/>
        <v>0</v>
      </c>
      <c r="N446" s="43">
        <f t="shared" si="94"/>
        <v>0</v>
      </c>
      <c r="O446" s="43">
        <f t="shared" si="95"/>
        <v>0</v>
      </c>
      <c r="P446" s="43">
        <f t="shared" si="90"/>
        <v>4752189</v>
      </c>
      <c r="Q446" s="100"/>
      <c r="R446" s="117"/>
    </row>
    <row r="447" spans="1:18" hidden="1" x14ac:dyDescent="0.25">
      <c r="A447" s="48" t="str">
        <f t="shared" si="84"/>
        <v>TL</v>
      </c>
      <c r="B447" s="32" t="s">
        <v>716</v>
      </c>
      <c r="C447" s="39" t="s">
        <v>717</v>
      </c>
      <c r="D447" s="13" t="s">
        <v>16</v>
      </c>
      <c r="E447" s="123">
        <v>67.650000000000006</v>
      </c>
      <c r="F447" s="123"/>
      <c r="G447" s="125"/>
      <c r="H447" s="125"/>
      <c r="I447" s="125">
        <f t="shared" si="91"/>
        <v>67.650000000000006</v>
      </c>
      <c r="J447" s="62">
        <f>'BIỂU HỢP ĐỒNG'!J436</f>
        <v>1644233</v>
      </c>
      <c r="K447" s="43"/>
      <c r="L447" s="62">
        <f t="shared" si="92"/>
        <v>111232362</v>
      </c>
      <c r="M447" s="43">
        <f t="shared" si="93"/>
        <v>0</v>
      </c>
      <c r="N447" s="43">
        <f t="shared" si="94"/>
        <v>0</v>
      </c>
      <c r="O447" s="43">
        <f t="shared" si="95"/>
        <v>0</v>
      </c>
      <c r="P447" s="43">
        <f t="shared" si="90"/>
        <v>111232362</v>
      </c>
      <c r="Q447" s="100"/>
      <c r="R447" s="117"/>
    </row>
    <row r="448" spans="1:18" hidden="1" x14ac:dyDescent="0.25">
      <c r="A448" s="48" t="str">
        <f t="shared" si="84"/>
        <v>TL</v>
      </c>
      <c r="B448" s="32" t="s">
        <v>718</v>
      </c>
      <c r="C448" s="39" t="s">
        <v>560</v>
      </c>
      <c r="D448" s="13" t="s">
        <v>16</v>
      </c>
      <c r="E448" s="123">
        <v>68.66</v>
      </c>
      <c r="F448" s="123"/>
      <c r="G448" s="125"/>
      <c r="H448" s="125"/>
      <c r="I448" s="125">
        <f t="shared" si="91"/>
        <v>68.66</v>
      </c>
      <c r="J448" s="62">
        <f>'BIỂU HỢP ĐỒNG'!J437</f>
        <v>57102</v>
      </c>
      <c r="K448" s="43"/>
      <c r="L448" s="62">
        <f t="shared" si="92"/>
        <v>3920623</v>
      </c>
      <c r="M448" s="43">
        <f t="shared" si="93"/>
        <v>0</v>
      </c>
      <c r="N448" s="43">
        <f t="shared" si="94"/>
        <v>0</v>
      </c>
      <c r="O448" s="43">
        <f t="shared" si="95"/>
        <v>0</v>
      </c>
      <c r="P448" s="43">
        <f t="shared" si="90"/>
        <v>3920623</v>
      </c>
      <c r="Q448" s="100"/>
      <c r="R448" s="117"/>
    </row>
    <row r="449" spans="1:18" hidden="1" x14ac:dyDescent="0.25">
      <c r="A449" s="48" t="str">
        <f t="shared" si="84"/>
        <v>TL</v>
      </c>
      <c r="B449" s="32" t="s">
        <v>719</v>
      </c>
      <c r="C449" s="39" t="s">
        <v>562</v>
      </c>
      <c r="D449" s="13" t="s">
        <v>16</v>
      </c>
      <c r="E449" s="123">
        <v>68.66</v>
      </c>
      <c r="F449" s="123"/>
      <c r="G449" s="125"/>
      <c r="H449" s="125"/>
      <c r="I449" s="125">
        <f t="shared" si="91"/>
        <v>68.66</v>
      </c>
      <c r="J449" s="62">
        <f>'BIỂU HỢP ĐỒNG'!J438</f>
        <v>232044</v>
      </c>
      <c r="K449" s="43"/>
      <c r="L449" s="62">
        <f t="shared" si="92"/>
        <v>15932141</v>
      </c>
      <c r="M449" s="43">
        <f t="shared" si="93"/>
        <v>0</v>
      </c>
      <c r="N449" s="43">
        <f t="shared" si="94"/>
        <v>0</v>
      </c>
      <c r="O449" s="43">
        <f t="shared" si="95"/>
        <v>0</v>
      </c>
      <c r="P449" s="43">
        <f t="shared" si="90"/>
        <v>15932141</v>
      </c>
      <c r="Q449" s="100"/>
      <c r="R449" s="117"/>
    </row>
    <row r="450" spans="1:18" hidden="1" x14ac:dyDescent="0.25">
      <c r="A450" s="48" t="str">
        <f t="shared" si="84"/>
        <v>TL</v>
      </c>
      <c r="B450" s="32" t="s">
        <v>720</v>
      </c>
      <c r="C450" s="39" t="s">
        <v>721</v>
      </c>
      <c r="D450" s="13" t="s">
        <v>90</v>
      </c>
      <c r="E450" s="123">
        <v>0.18</v>
      </c>
      <c r="F450" s="123"/>
      <c r="G450" s="125"/>
      <c r="H450" s="125"/>
      <c r="I450" s="125">
        <f t="shared" si="91"/>
        <v>0.18</v>
      </c>
      <c r="J450" s="62">
        <f>'BIỂU HỢP ĐỒNG'!J439</f>
        <v>25177456</v>
      </c>
      <c r="K450" s="43"/>
      <c r="L450" s="62">
        <f t="shared" si="92"/>
        <v>4531942</v>
      </c>
      <c r="M450" s="43">
        <f t="shared" si="93"/>
        <v>0</v>
      </c>
      <c r="N450" s="43">
        <f t="shared" si="94"/>
        <v>0</v>
      </c>
      <c r="O450" s="43">
        <f t="shared" si="95"/>
        <v>0</v>
      </c>
      <c r="P450" s="43">
        <f t="shared" si="90"/>
        <v>4531942</v>
      </c>
      <c r="Q450" s="100"/>
      <c r="R450" s="117"/>
    </row>
    <row r="451" spans="1:18" hidden="1" x14ac:dyDescent="0.25">
      <c r="A451" s="48" t="str">
        <f t="shared" si="84"/>
        <v>TL</v>
      </c>
      <c r="B451" s="32" t="s">
        <v>722</v>
      </c>
      <c r="C451" s="39" t="s">
        <v>723</v>
      </c>
      <c r="D451" s="13" t="s">
        <v>90</v>
      </c>
      <c r="E451" s="123">
        <v>7.88</v>
      </c>
      <c r="F451" s="123"/>
      <c r="G451" s="125"/>
      <c r="H451" s="125"/>
      <c r="I451" s="125">
        <f t="shared" si="91"/>
        <v>7.88</v>
      </c>
      <c r="J451" s="62">
        <f>'BIỂU HỢP ĐỒNG'!J440</f>
        <v>24796382</v>
      </c>
      <c r="K451" s="43"/>
      <c r="L451" s="62">
        <f t="shared" si="92"/>
        <v>195395490</v>
      </c>
      <c r="M451" s="43">
        <f t="shared" si="93"/>
        <v>0</v>
      </c>
      <c r="N451" s="43">
        <f t="shared" si="94"/>
        <v>0</v>
      </c>
      <c r="O451" s="43">
        <f t="shared" si="95"/>
        <v>0</v>
      </c>
      <c r="P451" s="43">
        <f t="shared" si="90"/>
        <v>195395490</v>
      </c>
      <c r="Q451" s="100"/>
      <c r="R451" s="117"/>
    </row>
    <row r="452" spans="1:18" hidden="1" x14ac:dyDescent="0.25">
      <c r="A452" s="48" t="str">
        <f t="shared" si="84"/>
        <v>TL</v>
      </c>
      <c r="B452" s="32" t="s">
        <v>724</v>
      </c>
      <c r="C452" s="39" t="s">
        <v>725</v>
      </c>
      <c r="D452" s="13" t="s">
        <v>16</v>
      </c>
      <c r="E452" s="123">
        <v>52.84</v>
      </c>
      <c r="F452" s="123"/>
      <c r="G452" s="125"/>
      <c r="H452" s="125"/>
      <c r="I452" s="125">
        <f t="shared" si="91"/>
        <v>52.84</v>
      </c>
      <c r="J452" s="62">
        <f>'BIỂU HỢP ĐỒNG'!J441</f>
        <v>2040190</v>
      </c>
      <c r="K452" s="43"/>
      <c r="L452" s="62">
        <f t="shared" si="92"/>
        <v>107803640</v>
      </c>
      <c r="M452" s="43">
        <f t="shared" si="93"/>
        <v>0</v>
      </c>
      <c r="N452" s="43">
        <f t="shared" si="94"/>
        <v>0</v>
      </c>
      <c r="O452" s="43">
        <f t="shared" si="95"/>
        <v>0</v>
      </c>
      <c r="P452" s="43">
        <f t="shared" si="90"/>
        <v>107803640</v>
      </c>
      <c r="Q452" s="100"/>
      <c r="R452" s="117"/>
    </row>
    <row r="453" spans="1:18" hidden="1" x14ac:dyDescent="0.25">
      <c r="A453" s="48" t="str">
        <f t="shared" si="84"/>
        <v>TL</v>
      </c>
      <c r="B453" s="32" t="s">
        <v>726</v>
      </c>
      <c r="C453" s="39" t="s">
        <v>560</v>
      </c>
      <c r="D453" s="13" t="s">
        <v>16</v>
      </c>
      <c r="E453" s="123">
        <v>53.63</v>
      </c>
      <c r="F453" s="123"/>
      <c r="G453" s="125"/>
      <c r="H453" s="125"/>
      <c r="I453" s="125">
        <f t="shared" si="91"/>
        <v>53.63</v>
      </c>
      <c r="J453" s="62">
        <f>'BIỂU HỢP ĐỒNG'!J442</f>
        <v>57102</v>
      </c>
      <c r="K453" s="43"/>
      <c r="L453" s="62">
        <f t="shared" si="92"/>
        <v>3062380</v>
      </c>
      <c r="M453" s="43">
        <f t="shared" si="93"/>
        <v>0</v>
      </c>
      <c r="N453" s="43">
        <f t="shared" si="94"/>
        <v>0</v>
      </c>
      <c r="O453" s="43">
        <f t="shared" si="95"/>
        <v>0</v>
      </c>
      <c r="P453" s="43">
        <f t="shared" si="90"/>
        <v>3062380</v>
      </c>
      <c r="Q453" s="100"/>
      <c r="R453" s="117"/>
    </row>
    <row r="454" spans="1:18" hidden="1" x14ac:dyDescent="0.25">
      <c r="A454" s="48" t="str">
        <f t="shared" si="84"/>
        <v>TL</v>
      </c>
      <c r="B454" s="32" t="s">
        <v>727</v>
      </c>
      <c r="C454" s="39" t="s">
        <v>562</v>
      </c>
      <c r="D454" s="13" t="s">
        <v>16</v>
      </c>
      <c r="E454" s="123">
        <v>53.63</v>
      </c>
      <c r="F454" s="123"/>
      <c r="G454" s="125"/>
      <c r="H454" s="125"/>
      <c r="I454" s="125">
        <f t="shared" si="91"/>
        <v>53.63</v>
      </c>
      <c r="J454" s="62">
        <f>'BIỂU HỢP ĐỒNG'!J443</f>
        <v>232044</v>
      </c>
      <c r="K454" s="43"/>
      <c r="L454" s="62">
        <f t="shared" si="92"/>
        <v>12444520</v>
      </c>
      <c r="M454" s="43">
        <f t="shared" si="93"/>
        <v>0</v>
      </c>
      <c r="N454" s="43">
        <f t="shared" si="94"/>
        <v>0</v>
      </c>
      <c r="O454" s="43">
        <f t="shared" si="95"/>
        <v>0</v>
      </c>
      <c r="P454" s="43">
        <f t="shared" si="90"/>
        <v>12444520</v>
      </c>
      <c r="Q454" s="100"/>
      <c r="R454" s="117"/>
    </row>
    <row r="455" spans="1:18" hidden="1" x14ac:dyDescent="0.25">
      <c r="A455" s="48" t="str">
        <f t="shared" ref="A455:A518" si="96">A454</f>
        <v>TL</v>
      </c>
      <c r="B455" s="32" t="s">
        <v>728</v>
      </c>
      <c r="C455" s="39" t="s">
        <v>729</v>
      </c>
      <c r="D455" s="13" t="s">
        <v>90</v>
      </c>
      <c r="E455" s="123">
        <v>0.16</v>
      </c>
      <c r="F455" s="123"/>
      <c r="G455" s="125"/>
      <c r="H455" s="125"/>
      <c r="I455" s="125">
        <f t="shared" si="91"/>
        <v>0.16</v>
      </c>
      <c r="J455" s="62">
        <f>'BIỂU HỢP ĐỒNG'!J444</f>
        <v>26202055</v>
      </c>
      <c r="K455" s="43"/>
      <c r="L455" s="62">
        <f t="shared" si="92"/>
        <v>4192329</v>
      </c>
      <c r="M455" s="43">
        <f t="shared" si="93"/>
        <v>0</v>
      </c>
      <c r="N455" s="43">
        <f t="shared" si="94"/>
        <v>0</v>
      </c>
      <c r="O455" s="43">
        <f t="shared" si="95"/>
        <v>0</v>
      </c>
      <c r="P455" s="43">
        <f t="shared" si="90"/>
        <v>4192329</v>
      </c>
      <c r="Q455" s="100"/>
      <c r="R455" s="117"/>
    </row>
    <row r="456" spans="1:18" hidden="1" x14ac:dyDescent="0.25">
      <c r="A456" s="48" t="str">
        <f t="shared" si="96"/>
        <v>TL</v>
      </c>
      <c r="B456" s="32" t="s">
        <v>730</v>
      </c>
      <c r="C456" s="39" t="s">
        <v>731</v>
      </c>
      <c r="D456" s="13" t="s">
        <v>90</v>
      </c>
      <c r="E456" s="123">
        <v>6.92</v>
      </c>
      <c r="F456" s="123"/>
      <c r="G456" s="125"/>
      <c r="H456" s="125"/>
      <c r="I456" s="125">
        <f t="shared" si="91"/>
        <v>6.92</v>
      </c>
      <c r="J456" s="62">
        <f>'BIỂU HỢP ĐỒNG'!J445</f>
        <v>25587587</v>
      </c>
      <c r="K456" s="43"/>
      <c r="L456" s="62">
        <f t="shared" si="92"/>
        <v>177066102</v>
      </c>
      <c r="M456" s="43">
        <f t="shared" si="93"/>
        <v>0</v>
      </c>
      <c r="N456" s="43">
        <f t="shared" si="94"/>
        <v>0</v>
      </c>
      <c r="O456" s="43">
        <f t="shared" si="95"/>
        <v>0</v>
      </c>
      <c r="P456" s="43">
        <f t="shared" si="90"/>
        <v>177066102</v>
      </c>
      <c r="Q456" s="100"/>
      <c r="R456" s="117"/>
    </row>
    <row r="457" spans="1:18" hidden="1" x14ac:dyDescent="0.25">
      <c r="A457" s="48" t="str">
        <f t="shared" si="96"/>
        <v>TL</v>
      </c>
      <c r="B457" s="32" t="s">
        <v>732</v>
      </c>
      <c r="C457" s="39" t="s">
        <v>733</v>
      </c>
      <c r="D457" s="13" t="s">
        <v>13</v>
      </c>
      <c r="E457" s="123">
        <v>189.36</v>
      </c>
      <c r="F457" s="123"/>
      <c r="G457" s="125"/>
      <c r="H457" s="125"/>
      <c r="I457" s="125">
        <f t="shared" si="91"/>
        <v>189.36</v>
      </c>
      <c r="J457" s="62">
        <f>'BIỂU HỢP ĐỒNG'!J446</f>
        <v>111276</v>
      </c>
      <c r="K457" s="43"/>
      <c r="L457" s="62">
        <f t="shared" si="92"/>
        <v>21071223</v>
      </c>
      <c r="M457" s="43">
        <f t="shared" si="93"/>
        <v>0</v>
      </c>
      <c r="N457" s="43">
        <f t="shared" si="94"/>
        <v>0</v>
      </c>
      <c r="O457" s="43">
        <f t="shared" si="95"/>
        <v>0</v>
      </c>
      <c r="P457" s="43">
        <f t="shared" si="90"/>
        <v>21071223</v>
      </c>
      <c r="Q457" s="100"/>
      <c r="R457" s="117"/>
    </row>
    <row r="458" spans="1:18" hidden="1" x14ac:dyDescent="0.25">
      <c r="A458" s="48" t="str">
        <f t="shared" si="96"/>
        <v>TL</v>
      </c>
      <c r="B458" s="32" t="s">
        <v>734</v>
      </c>
      <c r="C458" s="39" t="s">
        <v>735</v>
      </c>
      <c r="D458" s="13" t="s">
        <v>16</v>
      </c>
      <c r="E458" s="123">
        <v>4.37</v>
      </c>
      <c r="F458" s="123"/>
      <c r="G458" s="125"/>
      <c r="H458" s="125"/>
      <c r="I458" s="125">
        <f t="shared" si="91"/>
        <v>4.37</v>
      </c>
      <c r="J458" s="62">
        <f>'BIỂU HỢP ĐỒNG'!J447</f>
        <v>2095204</v>
      </c>
      <c r="K458" s="43"/>
      <c r="L458" s="62">
        <f t="shared" si="92"/>
        <v>9156041</v>
      </c>
      <c r="M458" s="43">
        <f t="shared" si="93"/>
        <v>0</v>
      </c>
      <c r="N458" s="43">
        <f t="shared" si="94"/>
        <v>0</v>
      </c>
      <c r="O458" s="43">
        <f t="shared" si="95"/>
        <v>0</v>
      </c>
      <c r="P458" s="43">
        <f t="shared" si="90"/>
        <v>9156041</v>
      </c>
      <c r="Q458" s="100"/>
      <c r="R458" s="117"/>
    </row>
    <row r="459" spans="1:18" hidden="1" x14ac:dyDescent="0.25">
      <c r="A459" s="48" t="str">
        <f t="shared" si="96"/>
        <v>TL</v>
      </c>
      <c r="B459" s="32" t="s">
        <v>736</v>
      </c>
      <c r="C459" s="39" t="s">
        <v>560</v>
      </c>
      <c r="D459" s="13" t="s">
        <v>16</v>
      </c>
      <c r="E459" s="123">
        <v>4.43</v>
      </c>
      <c r="F459" s="123"/>
      <c r="G459" s="125"/>
      <c r="H459" s="125"/>
      <c r="I459" s="125">
        <f t="shared" si="91"/>
        <v>4.43</v>
      </c>
      <c r="J459" s="62">
        <f>'BIỂU HỢP ĐỒNG'!J448</f>
        <v>57102</v>
      </c>
      <c r="K459" s="43"/>
      <c r="L459" s="62">
        <f t="shared" si="92"/>
        <v>252962</v>
      </c>
      <c r="M459" s="43">
        <f t="shared" si="93"/>
        <v>0</v>
      </c>
      <c r="N459" s="43">
        <f t="shared" si="94"/>
        <v>0</v>
      </c>
      <c r="O459" s="43">
        <f t="shared" si="95"/>
        <v>0</v>
      </c>
      <c r="P459" s="43">
        <f t="shared" si="90"/>
        <v>252962</v>
      </c>
      <c r="Q459" s="100"/>
      <c r="R459" s="117"/>
    </row>
    <row r="460" spans="1:18" hidden="1" x14ac:dyDescent="0.25">
      <c r="A460" s="48" t="str">
        <f t="shared" si="96"/>
        <v>TL</v>
      </c>
      <c r="B460" s="32" t="s">
        <v>737</v>
      </c>
      <c r="C460" s="39" t="s">
        <v>738</v>
      </c>
      <c r="D460" s="13" t="s">
        <v>16</v>
      </c>
      <c r="E460" s="123">
        <v>4.43</v>
      </c>
      <c r="F460" s="123"/>
      <c r="G460" s="125"/>
      <c r="H460" s="125"/>
      <c r="I460" s="125">
        <f t="shared" si="91"/>
        <v>4.43</v>
      </c>
      <c r="J460" s="62">
        <f>'BIỂU HỢP ĐỒNG'!J449</f>
        <v>171432</v>
      </c>
      <c r="K460" s="43"/>
      <c r="L460" s="62">
        <f t="shared" si="92"/>
        <v>759444</v>
      </c>
      <c r="M460" s="43">
        <f t="shared" si="93"/>
        <v>0</v>
      </c>
      <c r="N460" s="43">
        <f t="shared" si="94"/>
        <v>0</v>
      </c>
      <c r="O460" s="43">
        <f t="shared" si="95"/>
        <v>0</v>
      </c>
      <c r="P460" s="43">
        <f t="shared" si="90"/>
        <v>759444</v>
      </c>
      <c r="Q460" s="100"/>
      <c r="R460" s="117"/>
    </row>
    <row r="461" spans="1:18" hidden="1" x14ac:dyDescent="0.25">
      <c r="A461" s="48" t="str">
        <f t="shared" si="96"/>
        <v>TL</v>
      </c>
      <c r="B461" s="32" t="s">
        <v>739</v>
      </c>
      <c r="C461" s="39" t="s">
        <v>740</v>
      </c>
      <c r="D461" s="13" t="s">
        <v>90</v>
      </c>
      <c r="E461" s="123">
        <v>0.67</v>
      </c>
      <c r="F461" s="123"/>
      <c r="G461" s="125"/>
      <c r="H461" s="125"/>
      <c r="I461" s="125">
        <f t="shared" si="91"/>
        <v>0.67</v>
      </c>
      <c r="J461" s="62">
        <f>'BIỂU HỢP ĐỒNG'!J450</f>
        <v>25587312</v>
      </c>
      <c r="K461" s="43"/>
      <c r="L461" s="62">
        <f t="shared" si="92"/>
        <v>17143499</v>
      </c>
      <c r="M461" s="43">
        <f t="shared" si="93"/>
        <v>0</v>
      </c>
      <c r="N461" s="43">
        <f t="shared" si="94"/>
        <v>0</v>
      </c>
      <c r="O461" s="43">
        <f t="shared" si="95"/>
        <v>0</v>
      </c>
      <c r="P461" s="43">
        <f t="shared" si="90"/>
        <v>17143499</v>
      </c>
      <c r="Q461" s="100"/>
      <c r="R461" s="117"/>
    </row>
    <row r="462" spans="1:18" hidden="1" x14ac:dyDescent="0.25">
      <c r="A462" s="48" t="str">
        <f t="shared" si="96"/>
        <v>TL</v>
      </c>
      <c r="B462" s="32" t="s">
        <v>741</v>
      </c>
      <c r="C462" s="39" t="s">
        <v>742</v>
      </c>
      <c r="D462" s="13" t="s">
        <v>13</v>
      </c>
      <c r="E462" s="123">
        <v>33.51</v>
      </c>
      <c r="F462" s="123"/>
      <c r="G462" s="125"/>
      <c r="H462" s="125"/>
      <c r="I462" s="125">
        <f t="shared" si="91"/>
        <v>33.51</v>
      </c>
      <c r="J462" s="62">
        <f>'BIỂU HỢP ĐỒNG'!J451</f>
        <v>141724</v>
      </c>
      <c r="K462" s="43"/>
      <c r="L462" s="62">
        <f t="shared" si="92"/>
        <v>4749171</v>
      </c>
      <c r="M462" s="43">
        <f t="shared" si="93"/>
        <v>0</v>
      </c>
      <c r="N462" s="43">
        <f t="shared" si="94"/>
        <v>0</v>
      </c>
      <c r="O462" s="43">
        <f t="shared" si="95"/>
        <v>0</v>
      </c>
      <c r="P462" s="43">
        <f t="shared" si="90"/>
        <v>4749171</v>
      </c>
      <c r="Q462" s="100"/>
      <c r="R462" s="117"/>
    </row>
    <row r="463" spans="1:18" hidden="1" x14ac:dyDescent="0.25">
      <c r="A463" s="48" t="str">
        <f t="shared" si="96"/>
        <v>TL</v>
      </c>
      <c r="B463" s="32" t="s">
        <v>743</v>
      </c>
      <c r="C463" s="39" t="s">
        <v>744</v>
      </c>
      <c r="D463" s="13" t="s">
        <v>16</v>
      </c>
      <c r="E463" s="123">
        <v>61.88</v>
      </c>
      <c r="F463" s="123"/>
      <c r="G463" s="125"/>
      <c r="H463" s="125"/>
      <c r="I463" s="125">
        <f t="shared" si="91"/>
        <v>61.88</v>
      </c>
      <c r="J463" s="62">
        <f>'BIỂU HỢP ĐỒNG'!J452</f>
        <v>1719517</v>
      </c>
      <c r="K463" s="43"/>
      <c r="L463" s="62">
        <f t="shared" si="92"/>
        <v>106403712</v>
      </c>
      <c r="M463" s="43">
        <f t="shared" si="93"/>
        <v>0</v>
      </c>
      <c r="N463" s="43">
        <f t="shared" si="94"/>
        <v>0</v>
      </c>
      <c r="O463" s="43">
        <f t="shared" si="95"/>
        <v>0</v>
      </c>
      <c r="P463" s="43">
        <f t="shared" si="90"/>
        <v>106403712</v>
      </c>
      <c r="Q463" s="100"/>
      <c r="R463" s="117"/>
    </row>
    <row r="464" spans="1:18" hidden="1" x14ac:dyDescent="0.25">
      <c r="A464" s="48" t="str">
        <f t="shared" si="96"/>
        <v>TL</v>
      </c>
      <c r="B464" s="32" t="s">
        <v>745</v>
      </c>
      <c r="C464" s="39" t="s">
        <v>746</v>
      </c>
      <c r="D464" s="13" t="s">
        <v>90</v>
      </c>
      <c r="E464" s="123">
        <v>0.04</v>
      </c>
      <c r="F464" s="123"/>
      <c r="G464" s="125"/>
      <c r="H464" s="125"/>
      <c r="I464" s="125">
        <f t="shared" si="91"/>
        <v>0.04</v>
      </c>
      <c r="J464" s="62">
        <f>'BIỂU HỢP ĐỒNG'!J453</f>
        <v>28097053</v>
      </c>
      <c r="K464" s="43"/>
      <c r="L464" s="62">
        <f t="shared" si="92"/>
        <v>1123882</v>
      </c>
      <c r="M464" s="43">
        <f t="shared" si="93"/>
        <v>0</v>
      </c>
      <c r="N464" s="43">
        <f t="shared" si="94"/>
        <v>0</v>
      </c>
      <c r="O464" s="43">
        <f t="shared" si="95"/>
        <v>0</v>
      </c>
      <c r="P464" s="43">
        <f t="shared" si="90"/>
        <v>1123882</v>
      </c>
      <c r="Q464" s="100"/>
      <c r="R464" s="117"/>
    </row>
    <row r="465" spans="1:18" hidden="1" x14ac:dyDescent="0.25">
      <c r="A465" s="48" t="str">
        <f t="shared" si="96"/>
        <v>TL</v>
      </c>
      <c r="B465" s="32" t="s">
        <v>747</v>
      </c>
      <c r="C465" s="39" t="s">
        <v>748</v>
      </c>
      <c r="D465" s="13" t="s">
        <v>90</v>
      </c>
      <c r="E465" s="123">
        <v>7.65</v>
      </c>
      <c r="F465" s="123"/>
      <c r="G465" s="125"/>
      <c r="H465" s="125"/>
      <c r="I465" s="125">
        <f t="shared" si="91"/>
        <v>7.65</v>
      </c>
      <c r="J465" s="62">
        <f>'BIỂU HỢP ĐỒNG'!J454</f>
        <v>25306325</v>
      </c>
      <c r="K465" s="43"/>
      <c r="L465" s="62">
        <f t="shared" si="92"/>
        <v>193593386</v>
      </c>
      <c r="M465" s="43">
        <f t="shared" si="93"/>
        <v>0</v>
      </c>
      <c r="N465" s="43">
        <f t="shared" si="94"/>
        <v>0</v>
      </c>
      <c r="O465" s="43">
        <f t="shared" si="95"/>
        <v>0</v>
      </c>
      <c r="P465" s="43">
        <f t="shared" si="90"/>
        <v>193593386</v>
      </c>
      <c r="Q465" s="100"/>
      <c r="R465" s="117"/>
    </row>
    <row r="466" spans="1:18" hidden="1" x14ac:dyDescent="0.25">
      <c r="A466" s="48" t="str">
        <f t="shared" si="96"/>
        <v>TL</v>
      </c>
      <c r="B466" s="32" t="s">
        <v>749</v>
      </c>
      <c r="C466" s="39" t="s">
        <v>750</v>
      </c>
      <c r="D466" s="13" t="s">
        <v>90</v>
      </c>
      <c r="E466" s="123">
        <v>0.18</v>
      </c>
      <c r="F466" s="123"/>
      <c r="G466" s="125"/>
      <c r="H466" s="125"/>
      <c r="I466" s="125">
        <f t="shared" si="91"/>
        <v>0.18</v>
      </c>
      <c r="J466" s="62">
        <f>'BIỂU HỢP ĐỒNG'!J455</f>
        <v>24553255</v>
      </c>
      <c r="K466" s="43"/>
      <c r="L466" s="62">
        <f t="shared" si="92"/>
        <v>4419586</v>
      </c>
      <c r="M466" s="43">
        <f t="shared" si="93"/>
        <v>0</v>
      </c>
      <c r="N466" s="43">
        <f t="shared" si="94"/>
        <v>0</v>
      </c>
      <c r="O466" s="43">
        <f t="shared" si="95"/>
        <v>0</v>
      </c>
      <c r="P466" s="43">
        <f t="shared" si="90"/>
        <v>4419586</v>
      </c>
      <c r="Q466" s="100"/>
      <c r="R466" s="117"/>
    </row>
    <row r="467" spans="1:18" hidden="1" x14ac:dyDescent="0.25">
      <c r="A467" s="48" t="str">
        <f t="shared" si="96"/>
        <v>TL</v>
      </c>
      <c r="B467" s="32" t="s">
        <v>751</v>
      </c>
      <c r="C467" s="39" t="s">
        <v>752</v>
      </c>
      <c r="D467" s="13" t="s">
        <v>13</v>
      </c>
      <c r="E467" s="123">
        <v>43.13</v>
      </c>
      <c r="F467" s="123"/>
      <c r="G467" s="125"/>
      <c r="H467" s="125"/>
      <c r="I467" s="125">
        <f t="shared" si="91"/>
        <v>43.13</v>
      </c>
      <c r="J467" s="62">
        <f>'BIỂU HỢP ĐỒNG'!J456</f>
        <v>65242</v>
      </c>
      <c r="K467" s="43"/>
      <c r="L467" s="62">
        <f t="shared" si="92"/>
        <v>2813887</v>
      </c>
      <c r="M467" s="43">
        <f t="shared" si="93"/>
        <v>0</v>
      </c>
      <c r="N467" s="43">
        <f t="shared" si="94"/>
        <v>0</v>
      </c>
      <c r="O467" s="43">
        <f t="shared" si="95"/>
        <v>0</v>
      </c>
      <c r="P467" s="43">
        <f t="shared" si="90"/>
        <v>2813887</v>
      </c>
      <c r="Q467" s="100"/>
      <c r="R467" s="117"/>
    </row>
    <row r="468" spans="1:18" hidden="1" x14ac:dyDescent="0.25">
      <c r="A468" s="48" t="str">
        <f t="shared" si="96"/>
        <v>TL</v>
      </c>
      <c r="B468" s="32" t="s">
        <v>753</v>
      </c>
      <c r="C468" s="39" t="s">
        <v>754</v>
      </c>
      <c r="D468" s="13" t="s">
        <v>16</v>
      </c>
      <c r="E468" s="123">
        <v>3003.24</v>
      </c>
      <c r="F468" s="123"/>
      <c r="G468" s="125"/>
      <c r="H468" s="125"/>
      <c r="I468" s="125">
        <f t="shared" si="91"/>
        <v>3003.24</v>
      </c>
      <c r="J468" s="62">
        <f>'BIỂU HỢP ĐỒNG'!J457</f>
        <v>20867</v>
      </c>
      <c r="K468" s="43"/>
      <c r="L468" s="62">
        <f t="shared" si="92"/>
        <v>62668609</v>
      </c>
      <c r="M468" s="43">
        <f t="shared" si="93"/>
        <v>0</v>
      </c>
      <c r="N468" s="43">
        <f t="shared" si="94"/>
        <v>0</v>
      </c>
      <c r="O468" s="43">
        <f t="shared" si="95"/>
        <v>0</v>
      </c>
      <c r="P468" s="43">
        <f t="shared" si="90"/>
        <v>62668609</v>
      </c>
      <c r="Q468" s="100"/>
      <c r="R468" s="117"/>
    </row>
    <row r="469" spans="1:18" hidden="1" x14ac:dyDescent="0.25">
      <c r="A469" s="48" t="str">
        <f t="shared" si="96"/>
        <v>TL</v>
      </c>
      <c r="B469" s="32" t="s">
        <v>755</v>
      </c>
      <c r="C469" s="39" t="s">
        <v>610</v>
      </c>
      <c r="D469" s="13" t="s">
        <v>16</v>
      </c>
      <c r="E469" s="123">
        <v>2570.15</v>
      </c>
      <c r="F469" s="123"/>
      <c r="G469" s="125"/>
      <c r="H469" s="125"/>
      <c r="I469" s="125">
        <f t="shared" si="91"/>
        <v>2570.15</v>
      </c>
      <c r="J469" s="62">
        <f>'BIỂU HỢP ĐỒNG'!J458</f>
        <v>12936</v>
      </c>
      <c r="K469" s="43"/>
      <c r="L469" s="62">
        <f t="shared" si="92"/>
        <v>33247460</v>
      </c>
      <c r="M469" s="43">
        <f t="shared" si="93"/>
        <v>0</v>
      </c>
      <c r="N469" s="43">
        <f t="shared" si="94"/>
        <v>0</v>
      </c>
      <c r="O469" s="43">
        <f t="shared" si="95"/>
        <v>0</v>
      </c>
      <c r="P469" s="43">
        <f t="shared" si="90"/>
        <v>33247460</v>
      </c>
      <c r="Q469" s="100"/>
      <c r="R469" s="117"/>
    </row>
    <row r="470" spans="1:18" hidden="1" x14ac:dyDescent="0.25">
      <c r="A470" s="48" t="str">
        <f t="shared" si="96"/>
        <v>TL</v>
      </c>
      <c r="B470" s="32" t="s">
        <v>756</v>
      </c>
      <c r="C470" s="39" t="s">
        <v>32</v>
      </c>
      <c r="D470" s="13" t="s">
        <v>16</v>
      </c>
      <c r="E470" s="123">
        <v>3514.17</v>
      </c>
      <c r="F470" s="123"/>
      <c r="G470" s="125"/>
      <c r="H470" s="125"/>
      <c r="I470" s="125">
        <f t="shared" ref="I470:I501" si="97">SUM(E470:H470)</f>
        <v>3514.17</v>
      </c>
      <c r="J470" s="62">
        <f>'BIỂU HỢP ĐỒNG'!J459</f>
        <v>50585</v>
      </c>
      <c r="K470" s="43"/>
      <c r="L470" s="62">
        <f t="shared" ref="L470:L501" si="98">+ROUND(J470*E470,0)</f>
        <v>177764289</v>
      </c>
      <c r="M470" s="43">
        <f t="shared" ref="M470:M501" si="99">+ROUND(F470*J470,0)</f>
        <v>0</v>
      </c>
      <c r="N470" s="43">
        <f t="shared" ref="N470:N501" si="100">+ROUND(G470*J470,0)</f>
        <v>0</v>
      </c>
      <c r="O470" s="43">
        <f t="shared" ref="O470:O501" si="101">+ROUND(H470*J470,0)</f>
        <v>0</v>
      </c>
      <c r="P470" s="43">
        <f t="shared" si="90"/>
        <v>177764289</v>
      </c>
      <c r="Q470" s="100"/>
      <c r="R470" s="117"/>
    </row>
    <row r="471" spans="1:18" hidden="1" x14ac:dyDescent="0.25">
      <c r="A471" s="48" t="str">
        <f t="shared" si="96"/>
        <v>TL</v>
      </c>
      <c r="B471" s="32" t="s">
        <v>757</v>
      </c>
      <c r="C471" s="39" t="s">
        <v>36</v>
      </c>
      <c r="D471" s="13" t="s">
        <v>37</v>
      </c>
      <c r="E471" s="123">
        <v>351.42</v>
      </c>
      <c r="F471" s="123"/>
      <c r="G471" s="125"/>
      <c r="H471" s="125"/>
      <c r="I471" s="125">
        <f t="shared" si="97"/>
        <v>351.42</v>
      </c>
      <c r="J471" s="62">
        <f>'BIỂU HỢP ĐỒNG'!J460</f>
        <v>940826</v>
      </c>
      <c r="K471" s="43"/>
      <c r="L471" s="62">
        <f t="shared" si="98"/>
        <v>330625073</v>
      </c>
      <c r="M471" s="43">
        <f t="shared" si="99"/>
        <v>0</v>
      </c>
      <c r="N471" s="43">
        <f t="shared" si="100"/>
        <v>0</v>
      </c>
      <c r="O471" s="43">
        <f t="shared" si="101"/>
        <v>0</v>
      </c>
      <c r="P471" s="43">
        <f t="shared" si="90"/>
        <v>330625073</v>
      </c>
      <c r="Q471" s="100"/>
      <c r="R471" s="117"/>
    </row>
    <row r="472" spans="1:18" hidden="1" x14ac:dyDescent="0.25">
      <c r="A472" s="48" t="str">
        <f t="shared" si="96"/>
        <v>TL</v>
      </c>
      <c r="B472" s="32" t="s">
        <v>758</v>
      </c>
      <c r="C472" s="39" t="s">
        <v>624</v>
      </c>
      <c r="D472" s="13" t="s">
        <v>16</v>
      </c>
      <c r="E472" s="123">
        <v>460.1</v>
      </c>
      <c r="F472" s="123"/>
      <c r="G472" s="125"/>
      <c r="H472" s="125"/>
      <c r="I472" s="125">
        <f t="shared" si="97"/>
        <v>460.1</v>
      </c>
      <c r="J472" s="62">
        <f>'BIỂU HỢP ĐỒNG'!J461</f>
        <v>267174</v>
      </c>
      <c r="K472" s="43"/>
      <c r="L472" s="62">
        <f t="shared" si="98"/>
        <v>122926757</v>
      </c>
      <c r="M472" s="43">
        <f t="shared" si="99"/>
        <v>0</v>
      </c>
      <c r="N472" s="43">
        <f t="shared" si="100"/>
        <v>0</v>
      </c>
      <c r="O472" s="43">
        <f t="shared" si="101"/>
        <v>0</v>
      </c>
      <c r="P472" s="43">
        <f t="shared" si="90"/>
        <v>122926757</v>
      </c>
      <c r="Q472" s="100"/>
      <c r="R472" s="117"/>
    </row>
    <row r="473" spans="1:18" hidden="1" x14ac:dyDescent="0.25">
      <c r="A473" s="48" t="str">
        <f t="shared" si="96"/>
        <v>TL</v>
      </c>
      <c r="B473" s="32" t="s">
        <v>759</v>
      </c>
      <c r="C473" s="39" t="s">
        <v>614</v>
      </c>
      <c r="D473" s="13" t="s">
        <v>16</v>
      </c>
      <c r="E473" s="123">
        <v>68.430000000000007</v>
      </c>
      <c r="F473" s="123"/>
      <c r="G473" s="125"/>
      <c r="H473" s="125"/>
      <c r="I473" s="125">
        <f t="shared" si="97"/>
        <v>68.430000000000007</v>
      </c>
      <c r="J473" s="62">
        <f>'BIỂU HỢP ĐỒNG'!J462</f>
        <v>23993</v>
      </c>
      <c r="K473" s="43"/>
      <c r="L473" s="62">
        <f t="shared" si="98"/>
        <v>1641841</v>
      </c>
      <c r="M473" s="43">
        <f t="shared" si="99"/>
        <v>0</v>
      </c>
      <c r="N473" s="43">
        <f t="shared" si="100"/>
        <v>0</v>
      </c>
      <c r="O473" s="43">
        <f t="shared" si="101"/>
        <v>0</v>
      </c>
      <c r="P473" s="43">
        <f t="shared" si="90"/>
        <v>1641841</v>
      </c>
      <c r="Q473" s="100"/>
      <c r="R473" s="117"/>
    </row>
    <row r="474" spans="1:18" hidden="1" x14ac:dyDescent="0.25">
      <c r="A474" s="48" t="str">
        <f t="shared" si="96"/>
        <v>TL</v>
      </c>
      <c r="B474" s="32" t="s">
        <v>760</v>
      </c>
      <c r="C474" s="39" t="s">
        <v>616</v>
      </c>
      <c r="D474" s="13" t="s">
        <v>16</v>
      </c>
      <c r="E474" s="123">
        <v>8.5</v>
      </c>
      <c r="F474" s="123"/>
      <c r="G474" s="125"/>
      <c r="H474" s="125"/>
      <c r="I474" s="125">
        <f t="shared" si="97"/>
        <v>8.5</v>
      </c>
      <c r="J474" s="62">
        <f>'BIỂU HỢP ĐỒNG'!J463</f>
        <v>11161</v>
      </c>
      <c r="K474" s="43"/>
      <c r="L474" s="62">
        <f t="shared" si="98"/>
        <v>94869</v>
      </c>
      <c r="M474" s="43">
        <f t="shared" si="99"/>
        <v>0</v>
      </c>
      <c r="N474" s="43">
        <f t="shared" si="100"/>
        <v>0</v>
      </c>
      <c r="O474" s="43">
        <f t="shared" si="101"/>
        <v>0</v>
      </c>
      <c r="P474" s="43">
        <f t="shared" si="90"/>
        <v>94869</v>
      </c>
      <c r="Q474" s="100"/>
      <c r="R474" s="117"/>
    </row>
    <row r="475" spans="1:18" hidden="1" x14ac:dyDescent="0.25">
      <c r="A475" s="48" t="str">
        <f t="shared" si="96"/>
        <v>TL</v>
      </c>
      <c r="B475" s="32" t="s">
        <v>761</v>
      </c>
      <c r="C475" s="39" t="s">
        <v>762</v>
      </c>
      <c r="D475" s="13" t="s">
        <v>16</v>
      </c>
      <c r="E475" s="123">
        <v>18.100000000000001</v>
      </c>
      <c r="F475" s="123"/>
      <c r="G475" s="125"/>
      <c r="H475" s="125"/>
      <c r="I475" s="125">
        <f t="shared" si="97"/>
        <v>18.100000000000001</v>
      </c>
      <c r="J475" s="62">
        <f>'BIỂU HỢP ĐỒNG'!J464</f>
        <v>1723827</v>
      </c>
      <c r="K475" s="43"/>
      <c r="L475" s="62">
        <f t="shared" si="98"/>
        <v>31201269</v>
      </c>
      <c r="M475" s="43">
        <f t="shared" si="99"/>
        <v>0</v>
      </c>
      <c r="N475" s="43">
        <f t="shared" si="100"/>
        <v>0</v>
      </c>
      <c r="O475" s="43">
        <f t="shared" si="101"/>
        <v>0</v>
      </c>
      <c r="P475" s="43">
        <f t="shared" si="90"/>
        <v>31201269</v>
      </c>
      <c r="Q475" s="100"/>
      <c r="R475" s="117"/>
    </row>
    <row r="476" spans="1:18" hidden="1" x14ac:dyDescent="0.25">
      <c r="A476" s="48" t="str">
        <f t="shared" si="96"/>
        <v>TL</v>
      </c>
      <c r="B476" s="32" t="s">
        <v>763</v>
      </c>
      <c r="C476" s="39" t="s">
        <v>618</v>
      </c>
      <c r="D476" s="13" t="s">
        <v>16</v>
      </c>
      <c r="E476" s="123">
        <v>199.99</v>
      </c>
      <c r="F476" s="123"/>
      <c r="G476" s="125"/>
      <c r="H476" s="125"/>
      <c r="I476" s="125">
        <f t="shared" si="97"/>
        <v>199.99</v>
      </c>
      <c r="J476" s="62">
        <f>'BIỂU HỢP ĐỒNG'!J465</f>
        <v>276665</v>
      </c>
      <c r="K476" s="43"/>
      <c r="L476" s="62">
        <f t="shared" si="98"/>
        <v>55330233</v>
      </c>
      <c r="M476" s="43">
        <f t="shared" si="99"/>
        <v>0</v>
      </c>
      <c r="N476" s="43">
        <f t="shared" si="100"/>
        <v>0</v>
      </c>
      <c r="O476" s="43">
        <f t="shared" si="101"/>
        <v>0</v>
      </c>
      <c r="P476" s="43">
        <f t="shared" si="90"/>
        <v>55330233</v>
      </c>
      <c r="Q476" s="100"/>
      <c r="R476" s="117"/>
    </row>
    <row r="477" spans="1:18" hidden="1" x14ac:dyDescent="0.25">
      <c r="A477" s="48" t="str">
        <f t="shared" si="96"/>
        <v>TL</v>
      </c>
      <c r="B477" s="32" t="s">
        <v>764</v>
      </c>
      <c r="C477" s="39" t="s">
        <v>765</v>
      </c>
      <c r="D477" s="13" t="s">
        <v>16</v>
      </c>
      <c r="E477" s="123">
        <v>26.48</v>
      </c>
      <c r="F477" s="123"/>
      <c r="G477" s="125"/>
      <c r="H477" s="125"/>
      <c r="I477" s="125">
        <f t="shared" si="97"/>
        <v>26.48</v>
      </c>
      <c r="J477" s="62">
        <f>'BIỂU HỢP ĐỒNG'!J466</f>
        <v>527970</v>
      </c>
      <c r="K477" s="43"/>
      <c r="L477" s="62">
        <f t="shared" si="98"/>
        <v>13980646</v>
      </c>
      <c r="M477" s="43">
        <f t="shared" si="99"/>
        <v>0</v>
      </c>
      <c r="N477" s="43">
        <f t="shared" si="100"/>
        <v>0</v>
      </c>
      <c r="O477" s="43">
        <f t="shared" si="101"/>
        <v>0</v>
      </c>
      <c r="P477" s="43">
        <f t="shared" si="90"/>
        <v>13980646</v>
      </c>
      <c r="Q477" s="100"/>
      <c r="R477" s="117"/>
    </row>
    <row r="478" spans="1:18" hidden="1" x14ac:dyDescent="0.25">
      <c r="A478" s="48" t="str">
        <f t="shared" si="96"/>
        <v>TL</v>
      </c>
      <c r="B478" s="32" t="s">
        <v>766</v>
      </c>
      <c r="C478" s="39" t="s">
        <v>620</v>
      </c>
      <c r="D478" s="13" t="s">
        <v>75</v>
      </c>
      <c r="E478" s="123">
        <v>50022.75</v>
      </c>
      <c r="F478" s="123"/>
      <c r="G478" s="125"/>
      <c r="H478" s="125"/>
      <c r="I478" s="125">
        <f t="shared" si="97"/>
        <v>50022.75</v>
      </c>
      <c r="J478" s="62">
        <f>'BIỂU HỢP ĐỒNG'!J467</f>
        <v>11223</v>
      </c>
      <c r="K478" s="43"/>
      <c r="L478" s="62">
        <f t="shared" si="98"/>
        <v>561405323</v>
      </c>
      <c r="M478" s="43">
        <f t="shared" si="99"/>
        <v>0</v>
      </c>
      <c r="N478" s="43">
        <f t="shared" si="100"/>
        <v>0</v>
      </c>
      <c r="O478" s="43">
        <f t="shared" si="101"/>
        <v>0</v>
      </c>
      <c r="P478" s="43">
        <f t="shared" si="90"/>
        <v>561405323</v>
      </c>
      <c r="Q478" s="100"/>
      <c r="R478" s="117"/>
    </row>
    <row r="479" spans="1:18" hidden="1" x14ac:dyDescent="0.25">
      <c r="A479" s="48" t="str">
        <f t="shared" si="96"/>
        <v>TL</v>
      </c>
      <c r="B479" s="32" t="s">
        <v>767</v>
      </c>
      <c r="C479" s="39" t="s">
        <v>622</v>
      </c>
      <c r="D479" s="13" t="s">
        <v>13</v>
      </c>
      <c r="E479" s="123">
        <v>1361.95</v>
      </c>
      <c r="F479" s="123"/>
      <c r="G479" s="125"/>
      <c r="H479" s="125"/>
      <c r="I479" s="125">
        <f t="shared" si="97"/>
        <v>1361.95</v>
      </c>
      <c r="J479" s="62">
        <f>'BIỂU HỢP ĐỒNG'!J468</f>
        <v>19714</v>
      </c>
      <c r="K479" s="43"/>
      <c r="L479" s="62">
        <f t="shared" si="98"/>
        <v>26849482</v>
      </c>
      <c r="M479" s="43">
        <f t="shared" si="99"/>
        <v>0</v>
      </c>
      <c r="N479" s="43">
        <f t="shared" si="100"/>
        <v>0</v>
      </c>
      <c r="O479" s="43">
        <f t="shared" si="101"/>
        <v>0</v>
      </c>
      <c r="P479" s="43">
        <f t="shared" si="90"/>
        <v>26849482</v>
      </c>
      <c r="Q479" s="100"/>
      <c r="R479" s="117"/>
    </row>
    <row r="480" spans="1:18" hidden="1" x14ac:dyDescent="0.25">
      <c r="A480" s="48" t="str">
        <f t="shared" si="96"/>
        <v>TL</v>
      </c>
      <c r="B480" s="32" t="s">
        <v>768</v>
      </c>
      <c r="C480" s="39" t="s">
        <v>626</v>
      </c>
      <c r="D480" s="13" t="s">
        <v>16</v>
      </c>
      <c r="E480" s="123">
        <v>3063.17</v>
      </c>
      <c r="F480" s="123"/>
      <c r="G480" s="125"/>
      <c r="H480" s="125"/>
      <c r="I480" s="125">
        <f t="shared" si="97"/>
        <v>3063.17</v>
      </c>
      <c r="J480" s="62">
        <f>'BIỂU HỢP ĐỒNG'!J469</f>
        <v>45382</v>
      </c>
      <c r="K480" s="43"/>
      <c r="L480" s="62">
        <f t="shared" si="98"/>
        <v>139012781</v>
      </c>
      <c r="M480" s="43">
        <f t="shared" si="99"/>
        <v>0</v>
      </c>
      <c r="N480" s="43">
        <f t="shared" si="100"/>
        <v>0</v>
      </c>
      <c r="O480" s="43">
        <f t="shared" si="101"/>
        <v>0</v>
      </c>
      <c r="P480" s="43">
        <f t="shared" si="90"/>
        <v>139012781</v>
      </c>
      <c r="Q480" s="100"/>
      <c r="R480" s="117"/>
    </row>
    <row r="481" spans="1:18" hidden="1" x14ac:dyDescent="0.25">
      <c r="A481" s="48" t="str">
        <f t="shared" si="96"/>
        <v>TL</v>
      </c>
      <c r="B481" s="32" t="s">
        <v>769</v>
      </c>
      <c r="C481" s="39" t="s">
        <v>770</v>
      </c>
      <c r="D481" s="13" t="s">
        <v>90</v>
      </c>
      <c r="E481" s="123">
        <v>6.5693999999999999</v>
      </c>
      <c r="F481" s="123"/>
      <c r="G481" s="125"/>
      <c r="H481" s="125"/>
      <c r="I481" s="125">
        <f t="shared" si="97"/>
        <v>6.5693999999999999</v>
      </c>
      <c r="J481" s="62">
        <f>'BIỂU HỢP ĐỒNG'!J470</f>
        <v>10406267</v>
      </c>
      <c r="K481" s="43"/>
      <c r="L481" s="62">
        <f t="shared" si="98"/>
        <v>68362930</v>
      </c>
      <c r="M481" s="43">
        <f t="shared" si="99"/>
        <v>0</v>
      </c>
      <c r="N481" s="43">
        <f t="shared" si="100"/>
        <v>0</v>
      </c>
      <c r="O481" s="43">
        <f t="shared" si="101"/>
        <v>0</v>
      </c>
      <c r="P481" s="43">
        <f t="shared" si="90"/>
        <v>68362930</v>
      </c>
      <c r="Q481" s="100"/>
      <c r="R481" s="117"/>
    </row>
    <row r="482" spans="1:18" hidden="1" x14ac:dyDescent="0.25">
      <c r="A482" s="48" t="str">
        <f t="shared" si="96"/>
        <v>TL</v>
      </c>
      <c r="B482" s="32" t="s">
        <v>771</v>
      </c>
      <c r="C482" s="39" t="s">
        <v>772</v>
      </c>
      <c r="D482" s="13" t="s">
        <v>90</v>
      </c>
      <c r="E482" s="123">
        <v>6.5693999999999999</v>
      </c>
      <c r="F482" s="123"/>
      <c r="G482" s="125"/>
      <c r="H482" s="125"/>
      <c r="I482" s="125">
        <f t="shared" si="97"/>
        <v>6.5693999999999999</v>
      </c>
      <c r="J482" s="62">
        <f>'BIỂU HỢP ĐỒNG'!J471</f>
        <v>2675075</v>
      </c>
      <c r="K482" s="43"/>
      <c r="L482" s="62">
        <f t="shared" si="98"/>
        <v>17573638</v>
      </c>
      <c r="M482" s="43">
        <f t="shared" si="99"/>
        <v>0</v>
      </c>
      <c r="N482" s="43">
        <f t="shared" si="100"/>
        <v>0</v>
      </c>
      <c r="O482" s="43">
        <f t="shared" si="101"/>
        <v>0</v>
      </c>
      <c r="P482" s="43">
        <f t="shared" si="90"/>
        <v>17573638</v>
      </c>
      <c r="Q482" s="100"/>
      <c r="R482" s="117"/>
    </row>
    <row r="483" spans="1:18" hidden="1" x14ac:dyDescent="0.25">
      <c r="A483" s="48" t="str">
        <f t="shared" si="96"/>
        <v>TL</v>
      </c>
      <c r="B483" s="32" t="s">
        <v>773</v>
      </c>
      <c r="C483" s="39" t="s">
        <v>628</v>
      </c>
      <c r="D483" s="13" t="s">
        <v>16</v>
      </c>
      <c r="E483" s="123">
        <v>380.2</v>
      </c>
      <c r="F483" s="123"/>
      <c r="G483" s="125"/>
      <c r="H483" s="125"/>
      <c r="I483" s="125">
        <f t="shared" si="97"/>
        <v>380.2</v>
      </c>
      <c r="J483" s="62">
        <f>'BIỂU HỢP ĐỒNG'!J472</f>
        <v>23993</v>
      </c>
      <c r="K483" s="43"/>
      <c r="L483" s="62">
        <f t="shared" si="98"/>
        <v>9122139</v>
      </c>
      <c r="M483" s="43">
        <f t="shared" si="99"/>
        <v>0</v>
      </c>
      <c r="N483" s="43">
        <f t="shared" si="100"/>
        <v>0</v>
      </c>
      <c r="O483" s="43">
        <f t="shared" si="101"/>
        <v>0</v>
      </c>
      <c r="P483" s="43">
        <f t="shared" si="90"/>
        <v>9122139</v>
      </c>
      <c r="Q483" s="100"/>
      <c r="R483" s="117"/>
    </row>
    <row r="484" spans="1:18" ht="31.5" hidden="1" customHeight="1" x14ac:dyDescent="0.25">
      <c r="A484" s="48" t="str">
        <f t="shared" si="96"/>
        <v>TL</v>
      </c>
      <c r="B484" s="32" t="s">
        <v>774</v>
      </c>
      <c r="C484" s="39" t="s">
        <v>630</v>
      </c>
      <c r="D484" s="13" t="s">
        <v>16</v>
      </c>
      <c r="E484" s="123">
        <v>81</v>
      </c>
      <c r="F484" s="123"/>
      <c r="G484" s="125"/>
      <c r="H484" s="125"/>
      <c r="I484" s="125">
        <f t="shared" si="97"/>
        <v>81</v>
      </c>
      <c r="J484" s="62">
        <f>'BIỂU HỢP ĐỒNG'!J473</f>
        <v>7229</v>
      </c>
      <c r="K484" s="43"/>
      <c r="L484" s="62">
        <f t="shared" si="98"/>
        <v>585549</v>
      </c>
      <c r="M484" s="43">
        <f t="shared" si="99"/>
        <v>0</v>
      </c>
      <c r="N484" s="43">
        <f t="shared" si="100"/>
        <v>0</v>
      </c>
      <c r="O484" s="43">
        <f t="shared" si="101"/>
        <v>0</v>
      </c>
      <c r="P484" s="43">
        <f t="shared" si="90"/>
        <v>585549</v>
      </c>
      <c r="Q484" s="100"/>
      <c r="R484" s="117"/>
    </row>
    <row r="485" spans="1:18" hidden="1" x14ac:dyDescent="0.25">
      <c r="A485" s="48" t="str">
        <f t="shared" si="96"/>
        <v>TL</v>
      </c>
      <c r="B485" s="32" t="s">
        <v>775</v>
      </c>
      <c r="C485" s="39" t="s">
        <v>632</v>
      </c>
      <c r="D485" s="13" t="s">
        <v>16</v>
      </c>
      <c r="E485" s="123">
        <v>380.2</v>
      </c>
      <c r="F485" s="123"/>
      <c r="G485" s="125"/>
      <c r="H485" s="125"/>
      <c r="I485" s="125">
        <f t="shared" si="97"/>
        <v>380.2</v>
      </c>
      <c r="J485" s="62">
        <f>'BIỂU HỢP ĐỒNG'!J474</f>
        <v>19746</v>
      </c>
      <c r="K485" s="43"/>
      <c r="L485" s="62">
        <f t="shared" si="98"/>
        <v>7507429</v>
      </c>
      <c r="M485" s="43">
        <f t="shared" si="99"/>
        <v>0</v>
      </c>
      <c r="N485" s="43">
        <f t="shared" si="100"/>
        <v>0</v>
      </c>
      <c r="O485" s="43">
        <f t="shared" si="101"/>
        <v>0</v>
      </c>
      <c r="P485" s="43">
        <f t="shared" si="90"/>
        <v>7507429</v>
      </c>
      <c r="Q485" s="100"/>
      <c r="R485" s="117"/>
    </row>
    <row r="486" spans="1:18" hidden="1" x14ac:dyDescent="0.25">
      <c r="A486" s="48" t="str">
        <f t="shared" si="96"/>
        <v>TL</v>
      </c>
      <c r="B486" s="32" t="s">
        <v>776</v>
      </c>
      <c r="C486" s="39" t="s">
        <v>626</v>
      </c>
      <c r="D486" s="13" t="s">
        <v>16</v>
      </c>
      <c r="E486" s="123">
        <v>380.2</v>
      </c>
      <c r="F486" s="123"/>
      <c r="G486" s="125"/>
      <c r="H486" s="125"/>
      <c r="I486" s="125">
        <f t="shared" si="97"/>
        <v>380.2</v>
      </c>
      <c r="J486" s="62">
        <f>'BIỂU HỢP ĐỒNG'!J475</f>
        <v>45382</v>
      </c>
      <c r="K486" s="43"/>
      <c r="L486" s="62">
        <f t="shared" si="98"/>
        <v>17254236</v>
      </c>
      <c r="M486" s="43">
        <f t="shared" si="99"/>
        <v>0</v>
      </c>
      <c r="N486" s="43">
        <f t="shared" si="100"/>
        <v>0</v>
      </c>
      <c r="O486" s="43">
        <f t="shared" si="101"/>
        <v>0</v>
      </c>
      <c r="P486" s="43">
        <f t="shared" si="90"/>
        <v>17254236</v>
      </c>
      <c r="Q486" s="100"/>
      <c r="R486" s="117"/>
    </row>
    <row r="487" spans="1:18" hidden="1" x14ac:dyDescent="0.25">
      <c r="A487" s="48" t="str">
        <f t="shared" si="96"/>
        <v>TL</v>
      </c>
      <c r="B487" s="32" t="s">
        <v>777</v>
      </c>
      <c r="C487" s="39" t="s">
        <v>692</v>
      </c>
      <c r="D487" s="13" t="s">
        <v>16</v>
      </c>
      <c r="E487" s="123">
        <v>168.07</v>
      </c>
      <c r="F487" s="123"/>
      <c r="G487" s="125"/>
      <c r="H487" s="125"/>
      <c r="I487" s="125">
        <f t="shared" si="97"/>
        <v>168.07</v>
      </c>
      <c r="J487" s="62">
        <f>'BIỂU HỢP ĐỒNG'!J476</f>
        <v>2095204</v>
      </c>
      <c r="K487" s="43"/>
      <c r="L487" s="62">
        <f t="shared" si="98"/>
        <v>352140936</v>
      </c>
      <c r="M487" s="43">
        <f t="shared" si="99"/>
        <v>0</v>
      </c>
      <c r="N487" s="43">
        <f t="shared" si="100"/>
        <v>0</v>
      </c>
      <c r="O487" s="43">
        <f t="shared" si="101"/>
        <v>0</v>
      </c>
      <c r="P487" s="43">
        <f t="shared" si="90"/>
        <v>352140936</v>
      </c>
      <c r="Q487" s="100"/>
      <c r="R487" s="117"/>
    </row>
    <row r="488" spans="1:18" hidden="1" x14ac:dyDescent="0.25">
      <c r="A488" s="48" t="str">
        <f t="shared" si="96"/>
        <v>TL</v>
      </c>
      <c r="B488" s="32" t="s">
        <v>778</v>
      </c>
      <c r="C488" s="39" t="s">
        <v>560</v>
      </c>
      <c r="D488" s="13" t="s">
        <v>16</v>
      </c>
      <c r="E488" s="123">
        <v>172.27</v>
      </c>
      <c r="F488" s="123"/>
      <c r="G488" s="125"/>
      <c r="H488" s="125"/>
      <c r="I488" s="125">
        <f t="shared" si="97"/>
        <v>172.27</v>
      </c>
      <c r="J488" s="62">
        <f>'BIỂU HỢP ĐỒNG'!J477</f>
        <v>57102</v>
      </c>
      <c r="K488" s="43"/>
      <c r="L488" s="62">
        <f t="shared" si="98"/>
        <v>9836962</v>
      </c>
      <c r="M488" s="43">
        <f t="shared" si="99"/>
        <v>0</v>
      </c>
      <c r="N488" s="43">
        <f t="shared" si="100"/>
        <v>0</v>
      </c>
      <c r="O488" s="43">
        <f t="shared" si="101"/>
        <v>0</v>
      </c>
      <c r="P488" s="43">
        <f t="shared" si="90"/>
        <v>9836962</v>
      </c>
      <c r="Q488" s="100"/>
      <c r="R488" s="117"/>
    </row>
    <row r="489" spans="1:18" hidden="1" x14ac:dyDescent="0.25">
      <c r="A489" s="48" t="str">
        <f t="shared" si="96"/>
        <v>TL</v>
      </c>
      <c r="B489" s="32" t="s">
        <v>779</v>
      </c>
      <c r="C489" s="39" t="s">
        <v>562</v>
      </c>
      <c r="D489" s="13" t="s">
        <v>16</v>
      </c>
      <c r="E489" s="123">
        <v>172.27</v>
      </c>
      <c r="F489" s="123"/>
      <c r="G489" s="125"/>
      <c r="H489" s="125"/>
      <c r="I489" s="125">
        <f t="shared" si="97"/>
        <v>172.27</v>
      </c>
      <c r="J489" s="62">
        <f>'BIỂU HỢP ĐỒNG'!J478</f>
        <v>232044</v>
      </c>
      <c r="K489" s="43"/>
      <c r="L489" s="62">
        <f t="shared" si="98"/>
        <v>39974220</v>
      </c>
      <c r="M489" s="43">
        <f t="shared" si="99"/>
        <v>0</v>
      </c>
      <c r="N489" s="43">
        <f t="shared" si="100"/>
        <v>0</v>
      </c>
      <c r="O489" s="43">
        <f t="shared" si="101"/>
        <v>0</v>
      </c>
      <c r="P489" s="43">
        <f t="shared" si="90"/>
        <v>39974220</v>
      </c>
      <c r="Q489" s="100"/>
      <c r="R489" s="117"/>
    </row>
    <row r="490" spans="1:18" hidden="1" x14ac:dyDescent="0.25">
      <c r="A490" s="48" t="str">
        <f t="shared" si="96"/>
        <v>TL</v>
      </c>
      <c r="B490" s="32" t="s">
        <v>780</v>
      </c>
      <c r="C490" s="39" t="s">
        <v>696</v>
      </c>
      <c r="D490" s="13" t="s">
        <v>90</v>
      </c>
      <c r="E490" s="123">
        <v>0.9</v>
      </c>
      <c r="F490" s="123"/>
      <c r="G490" s="125"/>
      <c r="H490" s="125"/>
      <c r="I490" s="125">
        <f t="shared" si="97"/>
        <v>0.9</v>
      </c>
      <c r="J490" s="62">
        <f>'BIỂU HỢP ĐỒNG'!J479</f>
        <v>25844139</v>
      </c>
      <c r="K490" s="43"/>
      <c r="L490" s="62">
        <f t="shared" si="98"/>
        <v>23259725</v>
      </c>
      <c r="M490" s="43">
        <f t="shared" si="99"/>
        <v>0</v>
      </c>
      <c r="N490" s="43">
        <f t="shared" si="100"/>
        <v>0</v>
      </c>
      <c r="O490" s="43">
        <f t="shared" si="101"/>
        <v>0</v>
      </c>
      <c r="P490" s="43">
        <f t="shared" si="90"/>
        <v>23259725</v>
      </c>
      <c r="Q490" s="100"/>
      <c r="R490" s="117"/>
    </row>
    <row r="491" spans="1:18" hidden="1" x14ac:dyDescent="0.25">
      <c r="A491" s="48" t="str">
        <f t="shared" si="96"/>
        <v>TL</v>
      </c>
      <c r="B491" s="32" t="s">
        <v>781</v>
      </c>
      <c r="C491" s="39" t="s">
        <v>698</v>
      </c>
      <c r="D491" s="13" t="s">
        <v>90</v>
      </c>
      <c r="E491" s="123">
        <v>25.79</v>
      </c>
      <c r="F491" s="123"/>
      <c r="G491" s="125"/>
      <c r="H491" s="125"/>
      <c r="I491" s="125">
        <f t="shared" si="97"/>
        <v>25.79</v>
      </c>
      <c r="J491" s="62">
        <f>'BIỂU HỢP ĐỒNG'!J480</f>
        <v>25587312</v>
      </c>
      <c r="K491" s="43"/>
      <c r="L491" s="62">
        <f t="shared" si="98"/>
        <v>659896776</v>
      </c>
      <c r="M491" s="43">
        <f t="shared" si="99"/>
        <v>0</v>
      </c>
      <c r="N491" s="43">
        <f t="shared" si="100"/>
        <v>0</v>
      </c>
      <c r="O491" s="43">
        <f t="shared" si="101"/>
        <v>0</v>
      </c>
      <c r="P491" s="43">
        <f t="shared" si="90"/>
        <v>659896776</v>
      </c>
      <c r="Q491" s="100"/>
      <c r="R491" s="117"/>
    </row>
    <row r="492" spans="1:18" hidden="1" x14ac:dyDescent="0.25">
      <c r="A492" s="48" t="str">
        <f t="shared" si="96"/>
        <v>TL</v>
      </c>
      <c r="B492" s="32" t="s">
        <v>782</v>
      </c>
      <c r="C492" s="39" t="s">
        <v>700</v>
      </c>
      <c r="D492" s="13" t="s">
        <v>16</v>
      </c>
      <c r="E492" s="123">
        <v>47.91</v>
      </c>
      <c r="F492" s="123"/>
      <c r="G492" s="125"/>
      <c r="H492" s="125"/>
      <c r="I492" s="125">
        <f t="shared" si="97"/>
        <v>47.91</v>
      </c>
      <c r="J492" s="62">
        <f>'BIỂU HỢP ĐỒNG'!J481</f>
        <v>1141385</v>
      </c>
      <c r="K492" s="43"/>
      <c r="L492" s="62">
        <f t="shared" si="98"/>
        <v>54683755</v>
      </c>
      <c r="M492" s="43">
        <f t="shared" si="99"/>
        <v>0</v>
      </c>
      <c r="N492" s="43">
        <f t="shared" si="100"/>
        <v>0</v>
      </c>
      <c r="O492" s="43">
        <f t="shared" si="101"/>
        <v>0</v>
      </c>
      <c r="P492" s="43">
        <f t="shared" si="90"/>
        <v>54683755</v>
      </c>
      <c r="Q492" s="100"/>
      <c r="R492" s="117"/>
    </row>
    <row r="493" spans="1:18" hidden="1" x14ac:dyDescent="0.25">
      <c r="A493" s="48" t="str">
        <f t="shared" si="96"/>
        <v>TL</v>
      </c>
      <c r="B493" s="32" t="s">
        <v>783</v>
      </c>
      <c r="C493" s="39" t="s">
        <v>702</v>
      </c>
      <c r="D493" s="13" t="s">
        <v>13</v>
      </c>
      <c r="E493" s="123">
        <v>1666.61</v>
      </c>
      <c r="F493" s="123"/>
      <c r="G493" s="125"/>
      <c r="H493" s="125"/>
      <c r="I493" s="125">
        <f t="shared" si="97"/>
        <v>1666.61</v>
      </c>
      <c r="J493" s="62">
        <f>'BIỂU HỢP ĐỒNG'!J482</f>
        <v>141724</v>
      </c>
      <c r="K493" s="43"/>
      <c r="L493" s="62">
        <f t="shared" si="98"/>
        <v>236198636</v>
      </c>
      <c r="M493" s="43">
        <f t="shared" si="99"/>
        <v>0</v>
      </c>
      <c r="N493" s="43">
        <f t="shared" si="100"/>
        <v>0</v>
      </c>
      <c r="O493" s="43">
        <f t="shared" si="101"/>
        <v>0</v>
      </c>
      <c r="P493" s="43">
        <f t="shared" si="90"/>
        <v>236198636</v>
      </c>
      <c r="Q493" s="100"/>
      <c r="R493" s="117"/>
    </row>
    <row r="494" spans="1:18" hidden="1" x14ac:dyDescent="0.25">
      <c r="A494" s="48" t="str">
        <f t="shared" si="96"/>
        <v>TL</v>
      </c>
      <c r="B494" s="32" t="s">
        <v>784</v>
      </c>
      <c r="C494" s="39" t="s">
        <v>704</v>
      </c>
      <c r="D494" s="13" t="s">
        <v>13</v>
      </c>
      <c r="E494" s="123">
        <v>1480.84</v>
      </c>
      <c r="F494" s="123"/>
      <c r="G494" s="125"/>
      <c r="H494" s="125"/>
      <c r="I494" s="125">
        <f t="shared" si="97"/>
        <v>1480.84</v>
      </c>
      <c r="J494" s="62">
        <f>'BIỂU HỢP ĐỒNG'!J483</f>
        <v>76805</v>
      </c>
      <c r="K494" s="43"/>
      <c r="L494" s="62">
        <f t="shared" si="98"/>
        <v>113735916</v>
      </c>
      <c r="M494" s="43">
        <f t="shared" si="99"/>
        <v>0</v>
      </c>
      <c r="N494" s="43">
        <f t="shared" si="100"/>
        <v>0</v>
      </c>
      <c r="O494" s="43">
        <f t="shared" si="101"/>
        <v>0</v>
      </c>
      <c r="P494" s="43">
        <f t="shared" si="90"/>
        <v>113735916</v>
      </c>
      <c r="Q494" s="100"/>
      <c r="R494" s="117"/>
    </row>
    <row r="495" spans="1:18" hidden="1" x14ac:dyDescent="0.25">
      <c r="A495" s="48" t="str">
        <f t="shared" si="96"/>
        <v>TL</v>
      </c>
      <c r="B495" s="32" t="s">
        <v>785</v>
      </c>
      <c r="C495" s="39" t="s">
        <v>587</v>
      </c>
      <c r="D495" s="13" t="s">
        <v>16</v>
      </c>
      <c r="E495" s="123">
        <v>47.91</v>
      </c>
      <c r="F495" s="123"/>
      <c r="G495" s="125"/>
      <c r="H495" s="125"/>
      <c r="I495" s="125">
        <f t="shared" si="97"/>
        <v>47.91</v>
      </c>
      <c r="J495" s="62">
        <f>'BIỂU HỢP ĐỒNG'!J484</f>
        <v>842139</v>
      </c>
      <c r="K495" s="43"/>
      <c r="L495" s="62">
        <f t="shared" si="98"/>
        <v>40346879</v>
      </c>
      <c r="M495" s="43">
        <f t="shared" si="99"/>
        <v>0</v>
      </c>
      <c r="N495" s="43">
        <f t="shared" si="100"/>
        <v>0</v>
      </c>
      <c r="O495" s="43">
        <f t="shared" si="101"/>
        <v>0</v>
      </c>
      <c r="P495" s="43">
        <f t="shared" si="90"/>
        <v>40346879</v>
      </c>
      <c r="Q495" s="100"/>
      <c r="R495" s="117"/>
    </row>
    <row r="496" spans="1:18" hidden="1" x14ac:dyDescent="0.25">
      <c r="A496" s="48" t="str">
        <f t="shared" si="96"/>
        <v>TL</v>
      </c>
      <c r="B496" s="32" t="s">
        <v>786</v>
      </c>
      <c r="C496" s="39" t="s">
        <v>707</v>
      </c>
      <c r="D496" s="13" t="s">
        <v>90</v>
      </c>
      <c r="E496" s="123">
        <v>7.0000000000000007E-2</v>
      </c>
      <c r="F496" s="123"/>
      <c r="G496" s="125"/>
      <c r="H496" s="125"/>
      <c r="I496" s="125">
        <f t="shared" si="97"/>
        <v>7.0000000000000007E-2</v>
      </c>
      <c r="J496" s="62">
        <f>'BIỂU HỢP ĐỒNG'!J485</f>
        <v>25844139</v>
      </c>
      <c r="K496" s="43"/>
      <c r="L496" s="62">
        <f t="shared" si="98"/>
        <v>1809090</v>
      </c>
      <c r="M496" s="43">
        <f t="shared" si="99"/>
        <v>0</v>
      </c>
      <c r="N496" s="43">
        <f t="shared" si="100"/>
        <v>0</v>
      </c>
      <c r="O496" s="43">
        <f t="shared" si="101"/>
        <v>0</v>
      </c>
      <c r="P496" s="43">
        <f t="shared" ref="P496:P559" si="102">SUM(L496:O496)</f>
        <v>1809090</v>
      </c>
      <c r="Q496" s="100"/>
      <c r="R496" s="117"/>
    </row>
    <row r="497" spans="1:18" hidden="1" x14ac:dyDescent="0.25">
      <c r="A497" s="48" t="str">
        <f t="shared" si="96"/>
        <v>TL</v>
      </c>
      <c r="B497" s="32" t="s">
        <v>787</v>
      </c>
      <c r="C497" s="39" t="s">
        <v>709</v>
      </c>
      <c r="D497" s="13" t="s">
        <v>90</v>
      </c>
      <c r="E497" s="123">
        <v>0.97</v>
      </c>
      <c r="F497" s="123"/>
      <c r="G497" s="125"/>
      <c r="H497" s="125"/>
      <c r="I497" s="125">
        <f t="shared" si="97"/>
        <v>0.97</v>
      </c>
      <c r="J497" s="62">
        <f>'BIỂU HỢP ĐỒNG'!J486</f>
        <v>24892659</v>
      </c>
      <c r="K497" s="43"/>
      <c r="L497" s="62">
        <f t="shared" si="98"/>
        <v>24145879</v>
      </c>
      <c r="M497" s="43">
        <f t="shared" si="99"/>
        <v>0</v>
      </c>
      <c r="N497" s="43">
        <f t="shared" si="100"/>
        <v>0</v>
      </c>
      <c r="O497" s="43">
        <f t="shared" si="101"/>
        <v>0</v>
      </c>
      <c r="P497" s="43">
        <f t="shared" si="102"/>
        <v>24145879</v>
      </c>
      <c r="Q497" s="100"/>
      <c r="R497" s="117"/>
    </row>
    <row r="498" spans="1:18" hidden="1" x14ac:dyDescent="0.25">
      <c r="A498" s="48" t="str">
        <f t="shared" si="96"/>
        <v>TL</v>
      </c>
      <c r="B498" s="32" t="s">
        <v>788</v>
      </c>
      <c r="C498" s="39" t="s">
        <v>711</v>
      </c>
      <c r="D498" s="13" t="s">
        <v>75</v>
      </c>
      <c r="E498" s="123">
        <v>131.04</v>
      </c>
      <c r="F498" s="123"/>
      <c r="G498" s="125"/>
      <c r="H498" s="125"/>
      <c r="I498" s="125">
        <f t="shared" si="97"/>
        <v>131.04</v>
      </c>
      <c r="J498" s="62">
        <f>'BIỂU HỢP ĐỒNG'!J487</f>
        <v>23353</v>
      </c>
      <c r="K498" s="43"/>
      <c r="L498" s="62">
        <f t="shared" si="98"/>
        <v>3060177</v>
      </c>
      <c r="M498" s="43">
        <f t="shared" si="99"/>
        <v>0</v>
      </c>
      <c r="N498" s="43">
        <f t="shared" si="100"/>
        <v>0</v>
      </c>
      <c r="O498" s="43">
        <f t="shared" si="101"/>
        <v>0</v>
      </c>
      <c r="P498" s="43">
        <f t="shared" si="102"/>
        <v>3060177</v>
      </c>
      <c r="Q498" s="100"/>
      <c r="R498" s="117"/>
    </row>
    <row r="499" spans="1:18" hidden="1" x14ac:dyDescent="0.25">
      <c r="A499" s="48" t="str">
        <f t="shared" si="96"/>
        <v>TL</v>
      </c>
      <c r="B499" s="32" t="s">
        <v>789</v>
      </c>
      <c r="C499" s="39" t="s">
        <v>713</v>
      </c>
      <c r="D499" s="13" t="s">
        <v>13</v>
      </c>
      <c r="E499" s="123">
        <v>1.01</v>
      </c>
      <c r="F499" s="123"/>
      <c r="G499" s="125"/>
      <c r="H499" s="125"/>
      <c r="I499" s="125">
        <f t="shared" si="97"/>
        <v>1.01</v>
      </c>
      <c r="J499" s="62">
        <f>'BIỂU HỢP ĐỒNG'!J488</f>
        <v>370346</v>
      </c>
      <c r="K499" s="43"/>
      <c r="L499" s="62">
        <f t="shared" si="98"/>
        <v>374049</v>
      </c>
      <c r="M499" s="43">
        <f t="shared" si="99"/>
        <v>0</v>
      </c>
      <c r="N499" s="43">
        <f t="shared" si="100"/>
        <v>0</v>
      </c>
      <c r="O499" s="43">
        <f t="shared" si="101"/>
        <v>0</v>
      </c>
      <c r="P499" s="43">
        <f t="shared" si="102"/>
        <v>374049</v>
      </c>
      <c r="Q499" s="100"/>
      <c r="R499" s="117"/>
    </row>
    <row r="500" spans="1:18" hidden="1" x14ac:dyDescent="0.25">
      <c r="A500" s="48" t="str">
        <f t="shared" si="96"/>
        <v>TL</v>
      </c>
      <c r="B500" s="32" t="s">
        <v>790</v>
      </c>
      <c r="C500" s="39" t="s">
        <v>715</v>
      </c>
      <c r="D500" s="13" t="s">
        <v>75</v>
      </c>
      <c r="E500" s="123">
        <v>112</v>
      </c>
      <c r="F500" s="123"/>
      <c r="G500" s="125"/>
      <c r="H500" s="125"/>
      <c r="I500" s="125">
        <f t="shared" si="97"/>
        <v>112</v>
      </c>
      <c r="J500" s="62">
        <f>'BIỂU HỢP ĐỒNG'!J489</f>
        <v>126388</v>
      </c>
      <c r="K500" s="43"/>
      <c r="L500" s="62">
        <f t="shared" si="98"/>
        <v>14155456</v>
      </c>
      <c r="M500" s="43">
        <f t="shared" si="99"/>
        <v>0</v>
      </c>
      <c r="N500" s="43">
        <f t="shared" si="100"/>
        <v>0</v>
      </c>
      <c r="O500" s="43">
        <f t="shared" si="101"/>
        <v>0</v>
      </c>
      <c r="P500" s="43">
        <f t="shared" si="102"/>
        <v>14155456</v>
      </c>
      <c r="Q500" s="100"/>
      <c r="R500" s="117"/>
    </row>
    <row r="501" spans="1:18" hidden="1" x14ac:dyDescent="0.25">
      <c r="A501" s="48" t="str">
        <f t="shared" si="96"/>
        <v>TL</v>
      </c>
      <c r="B501" s="32" t="s">
        <v>791</v>
      </c>
      <c r="C501" s="39" t="s">
        <v>717</v>
      </c>
      <c r="D501" s="13" t="s">
        <v>16</v>
      </c>
      <c r="E501" s="123">
        <v>105.07</v>
      </c>
      <c r="F501" s="123"/>
      <c r="G501" s="125"/>
      <c r="H501" s="125"/>
      <c r="I501" s="125">
        <f t="shared" si="97"/>
        <v>105.07</v>
      </c>
      <c r="J501" s="62">
        <f>'BIỂU HỢP ĐỒNG'!J490</f>
        <v>1718850</v>
      </c>
      <c r="K501" s="43"/>
      <c r="L501" s="62">
        <f t="shared" si="98"/>
        <v>180599570</v>
      </c>
      <c r="M501" s="43">
        <f t="shared" si="99"/>
        <v>0</v>
      </c>
      <c r="N501" s="43">
        <f t="shared" si="100"/>
        <v>0</v>
      </c>
      <c r="O501" s="43">
        <f t="shared" si="101"/>
        <v>0</v>
      </c>
      <c r="P501" s="43">
        <f t="shared" si="102"/>
        <v>180599570</v>
      </c>
      <c r="Q501" s="100"/>
      <c r="R501" s="117"/>
    </row>
    <row r="502" spans="1:18" hidden="1" x14ac:dyDescent="0.25">
      <c r="A502" s="48" t="str">
        <f t="shared" si="96"/>
        <v>TL</v>
      </c>
      <c r="B502" s="32" t="s">
        <v>792</v>
      </c>
      <c r="C502" s="39" t="s">
        <v>560</v>
      </c>
      <c r="D502" s="13" t="s">
        <v>16</v>
      </c>
      <c r="E502" s="123">
        <v>106.65</v>
      </c>
      <c r="F502" s="123"/>
      <c r="G502" s="125"/>
      <c r="H502" s="125"/>
      <c r="I502" s="125">
        <f t="shared" ref="I502:I528" si="103">SUM(E502:H502)</f>
        <v>106.65</v>
      </c>
      <c r="J502" s="62">
        <f>'BIỂU HỢP ĐỒNG'!J491</f>
        <v>57102</v>
      </c>
      <c r="K502" s="43"/>
      <c r="L502" s="62">
        <f t="shared" ref="L502:L528" si="104">+ROUND(J502*E502,0)</f>
        <v>6089928</v>
      </c>
      <c r="M502" s="43">
        <f t="shared" ref="M502:M528" si="105">+ROUND(F502*J502,0)</f>
        <v>0</v>
      </c>
      <c r="N502" s="43">
        <f t="shared" ref="N502:N528" si="106">+ROUND(G502*J502,0)</f>
        <v>0</v>
      </c>
      <c r="O502" s="43">
        <f t="shared" ref="O502:O528" si="107">+ROUND(H502*J502,0)</f>
        <v>0</v>
      </c>
      <c r="P502" s="43">
        <f t="shared" si="102"/>
        <v>6089928</v>
      </c>
      <c r="Q502" s="100"/>
      <c r="R502" s="117"/>
    </row>
    <row r="503" spans="1:18" hidden="1" x14ac:dyDescent="0.25">
      <c r="A503" s="48" t="str">
        <f t="shared" si="96"/>
        <v>TL</v>
      </c>
      <c r="B503" s="32" t="s">
        <v>793</v>
      </c>
      <c r="C503" s="39" t="s">
        <v>562</v>
      </c>
      <c r="D503" s="13" t="s">
        <v>16</v>
      </c>
      <c r="E503" s="123">
        <v>106.65</v>
      </c>
      <c r="F503" s="123"/>
      <c r="G503" s="125"/>
      <c r="H503" s="125"/>
      <c r="I503" s="125">
        <f t="shared" si="103"/>
        <v>106.65</v>
      </c>
      <c r="J503" s="62">
        <f>'BIỂU HỢP ĐỒNG'!J492</f>
        <v>232044</v>
      </c>
      <c r="K503" s="43"/>
      <c r="L503" s="62">
        <f t="shared" si="104"/>
        <v>24747493</v>
      </c>
      <c r="M503" s="43">
        <f t="shared" si="105"/>
        <v>0</v>
      </c>
      <c r="N503" s="43">
        <f t="shared" si="106"/>
        <v>0</v>
      </c>
      <c r="O503" s="43">
        <f t="shared" si="107"/>
        <v>0</v>
      </c>
      <c r="P503" s="43">
        <f t="shared" si="102"/>
        <v>24747493</v>
      </c>
      <c r="Q503" s="100"/>
      <c r="R503" s="117"/>
    </row>
    <row r="504" spans="1:18" hidden="1" x14ac:dyDescent="0.25">
      <c r="A504" s="48" t="str">
        <f t="shared" si="96"/>
        <v>TL</v>
      </c>
      <c r="B504" s="32" t="s">
        <v>794</v>
      </c>
      <c r="C504" s="39" t="s">
        <v>721</v>
      </c>
      <c r="D504" s="13" t="s">
        <v>90</v>
      </c>
      <c r="E504" s="123">
        <v>0.36</v>
      </c>
      <c r="F504" s="123"/>
      <c r="G504" s="125"/>
      <c r="H504" s="125"/>
      <c r="I504" s="125">
        <f t="shared" si="103"/>
        <v>0.36</v>
      </c>
      <c r="J504" s="62">
        <f>'BIỂU HỢP ĐỒNG'!J493</f>
        <v>25177456</v>
      </c>
      <c r="K504" s="43"/>
      <c r="L504" s="62">
        <f t="shared" si="104"/>
        <v>9063884</v>
      </c>
      <c r="M504" s="43">
        <f t="shared" si="105"/>
        <v>0</v>
      </c>
      <c r="N504" s="43">
        <f t="shared" si="106"/>
        <v>0</v>
      </c>
      <c r="O504" s="43">
        <f t="shared" si="107"/>
        <v>0</v>
      </c>
      <c r="P504" s="43">
        <f t="shared" si="102"/>
        <v>9063884</v>
      </c>
      <c r="Q504" s="100"/>
      <c r="R504" s="117"/>
    </row>
    <row r="505" spans="1:18" hidden="1" x14ac:dyDescent="0.25">
      <c r="A505" s="48" t="str">
        <f t="shared" si="96"/>
        <v>TL</v>
      </c>
      <c r="B505" s="32" t="s">
        <v>795</v>
      </c>
      <c r="C505" s="39" t="s">
        <v>723</v>
      </c>
      <c r="D505" s="13" t="s">
        <v>90</v>
      </c>
      <c r="E505" s="123">
        <v>16.29</v>
      </c>
      <c r="F505" s="123"/>
      <c r="G505" s="125"/>
      <c r="H505" s="125"/>
      <c r="I505" s="125">
        <f t="shared" si="103"/>
        <v>16.29</v>
      </c>
      <c r="J505" s="62">
        <f>'BIỂU HỢP ĐỒNG'!J494</f>
        <v>24796382</v>
      </c>
      <c r="K505" s="43"/>
      <c r="L505" s="62">
        <f t="shared" si="104"/>
        <v>403933063</v>
      </c>
      <c r="M505" s="43">
        <f t="shared" si="105"/>
        <v>0</v>
      </c>
      <c r="N505" s="43">
        <f t="shared" si="106"/>
        <v>0</v>
      </c>
      <c r="O505" s="43">
        <f t="shared" si="107"/>
        <v>0</v>
      </c>
      <c r="P505" s="43">
        <f t="shared" si="102"/>
        <v>403933063</v>
      </c>
      <c r="Q505" s="100"/>
      <c r="R505" s="117"/>
    </row>
    <row r="506" spans="1:18" hidden="1" x14ac:dyDescent="0.25">
      <c r="A506" s="48" t="str">
        <f t="shared" si="96"/>
        <v>TL</v>
      </c>
      <c r="B506" s="32" t="s">
        <v>796</v>
      </c>
      <c r="C506" s="39" t="s">
        <v>651</v>
      </c>
      <c r="D506" s="13" t="s">
        <v>13</v>
      </c>
      <c r="E506" s="123">
        <v>170.77</v>
      </c>
      <c r="F506" s="123"/>
      <c r="G506" s="125"/>
      <c r="H506" s="125"/>
      <c r="I506" s="125">
        <f t="shared" si="103"/>
        <v>170.77</v>
      </c>
      <c r="J506" s="62">
        <f>'BIỂU HỢP ĐỒNG'!J495</f>
        <v>65242</v>
      </c>
      <c r="K506" s="43"/>
      <c r="L506" s="62">
        <f t="shared" si="104"/>
        <v>11141376</v>
      </c>
      <c r="M506" s="43">
        <f t="shared" si="105"/>
        <v>0</v>
      </c>
      <c r="N506" s="43">
        <f t="shared" si="106"/>
        <v>0</v>
      </c>
      <c r="O506" s="43">
        <f t="shared" si="107"/>
        <v>0</v>
      </c>
      <c r="P506" s="43">
        <f t="shared" si="102"/>
        <v>11141376</v>
      </c>
      <c r="Q506" s="100"/>
      <c r="R506" s="117"/>
    </row>
    <row r="507" spans="1:18" hidden="1" x14ac:dyDescent="0.25">
      <c r="A507" s="48" t="str">
        <f t="shared" si="96"/>
        <v>TL</v>
      </c>
      <c r="B507" s="32" t="s">
        <v>797</v>
      </c>
      <c r="C507" s="39" t="s">
        <v>725</v>
      </c>
      <c r="D507" s="13" t="s">
        <v>16</v>
      </c>
      <c r="E507" s="123">
        <v>87.11</v>
      </c>
      <c r="F507" s="123"/>
      <c r="G507" s="125"/>
      <c r="H507" s="125"/>
      <c r="I507" s="125">
        <f t="shared" si="103"/>
        <v>87.11</v>
      </c>
      <c r="J507" s="62">
        <f>'BIỂU HỢP ĐỒNG'!J496</f>
        <v>2040190</v>
      </c>
      <c r="K507" s="43"/>
      <c r="L507" s="62">
        <f t="shared" si="104"/>
        <v>177720951</v>
      </c>
      <c r="M507" s="43">
        <f t="shared" si="105"/>
        <v>0</v>
      </c>
      <c r="N507" s="43">
        <f t="shared" si="106"/>
        <v>0</v>
      </c>
      <c r="O507" s="43">
        <f t="shared" si="107"/>
        <v>0</v>
      </c>
      <c r="P507" s="43">
        <f t="shared" si="102"/>
        <v>177720951</v>
      </c>
      <c r="Q507" s="100"/>
      <c r="R507" s="117"/>
    </row>
    <row r="508" spans="1:18" hidden="1" x14ac:dyDescent="0.25">
      <c r="A508" s="48" t="str">
        <f t="shared" si="96"/>
        <v>TL</v>
      </c>
      <c r="B508" s="32" t="s">
        <v>798</v>
      </c>
      <c r="C508" s="39" t="s">
        <v>560</v>
      </c>
      <c r="D508" s="13" t="s">
        <v>16</v>
      </c>
      <c r="E508" s="123">
        <v>88.41</v>
      </c>
      <c r="F508" s="123"/>
      <c r="G508" s="125"/>
      <c r="H508" s="125"/>
      <c r="I508" s="125">
        <f t="shared" si="103"/>
        <v>88.41</v>
      </c>
      <c r="J508" s="62">
        <f>'BIỂU HỢP ĐỒNG'!J497</f>
        <v>57102</v>
      </c>
      <c r="K508" s="43"/>
      <c r="L508" s="62">
        <f t="shared" si="104"/>
        <v>5048388</v>
      </c>
      <c r="M508" s="43">
        <f t="shared" si="105"/>
        <v>0</v>
      </c>
      <c r="N508" s="43">
        <f t="shared" si="106"/>
        <v>0</v>
      </c>
      <c r="O508" s="43">
        <f t="shared" si="107"/>
        <v>0</v>
      </c>
      <c r="P508" s="43">
        <f t="shared" si="102"/>
        <v>5048388</v>
      </c>
      <c r="Q508" s="100"/>
      <c r="R508" s="117"/>
    </row>
    <row r="509" spans="1:18" hidden="1" x14ac:dyDescent="0.25">
      <c r="A509" s="48" t="str">
        <f t="shared" si="96"/>
        <v>TL</v>
      </c>
      <c r="B509" s="32" t="s">
        <v>799</v>
      </c>
      <c r="C509" s="39" t="s">
        <v>562</v>
      </c>
      <c r="D509" s="13" t="s">
        <v>16</v>
      </c>
      <c r="E509" s="123">
        <v>88.41</v>
      </c>
      <c r="F509" s="123"/>
      <c r="G509" s="125"/>
      <c r="H509" s="125"/>
      <c r="I509" s="125">
        <f t="shared" si="103"/>
        <v>88.41</v>
      </c>
      <c r="J509" s="62">
        <f>'BIỂU HỢP ĐỒNG'!J498</f>
        <v>232044</v>
      </c>
      <c r="K509" s="43"/>
      <c r="L509" s="62">
        <f t="shared" si="104"/>
        <v>20515010</v>
      </c>
      <c r="M509" s="43">
        <f t="shared" si="105"/>
        <v>0</v>
      </c>
      <c r="N509" s="43">
        <f t="shared" si="106"/>
        <v>0</v>
      </c>
      <c r="O509" s="43">
        <f t="shared" si="107"/>
        <v>0</v>
      </c>
      <c r="P509" s="43">
        <f t="shared" si="102"/>
        <v>20515010</v>
      </c>
      <c r="Q509" s="100"/>
      <c r="R509" s="117"/>
    </row>
    <row r="510" spans="1:18" hidden="1" x14ac:dyDescent="0.25">
      <c r="A510" s="48" t="str">
        <f t="shared" si="96"/>
        <v>TL</v>
      </c>
      <c r="B510" s="32" t="s">
        <v>800</v>
      </c>
      <c r="C510" s="39" t="s">
        <v>729</v>
      </c>
      <c r="D510" s="13" t="s">
        <v>90</v>
      </c>
      <c r="E510" s="123">
        <v>0.35</v>
      </c>
      <c r="F510" s="123"/>
      <c r="G510" s="125"/>
      <c r="H510" s="125"/>
      <c r="I510" s="125">
        <f t="shared" si="103"/>
        <v>0.35</v>
      </c>
      <c r="J510" s="62">
        <f>'BIỂU HỢP ĐỒNG'!J499</f>
        <v>26202055</v>
      </c>
      <c r="K510" s="43"/>
      <c r="L510" s="62">
        <f t="shared" si="104"/>
        <v>9170719</v>
      </c>
      <c r="M510" s="43">
        <f t="shared" si="105"/>
        <v>0</v>
      </c>
      <c r="N510" s="43">
        <f t="shared" si="106"/>
        <v>0</v>
      </c>
      <c r="O510" s="43">
        <f t="shared" si="107"/>
        <v>0</v>
      </c>
      <c r="P510" s="43">
        <f t="shared" si="102"/>
        <v>9170719</v>
      </c>
      <c r="Q510" s="100"/>
      <c r="R510" s="117"/>
    </row>
    <row r="511" spans="1:18" hidden="1" x14ac:dyDescent="0.25">
      <c r="A511" s="48" t="str">
        <f t="shared" si="96"/>
        <v>TL</v>
      </c>
      <c r="B511" s="32" t="s">
        <v>801</v>
      </c>
      <c r="C511" s="39" t="s">
        <v>731</v>
      </c>
      <c r="D511" s="13" t="s">
        <v>90</v>
      </c>
      <c r="E511" s="123">
        <v>14.67</v>
      </c>
      <c r="F511" s="123"/>
      <c r="G511" s="125"/>
      <c r="H511" s="125"/>
      <c r="I511" s="125">
        <f t="shared" si="103"/>
        <v>14.67</v>
      </c>
      <c r="J511" s="62">
        <f>'BIỂU HỢP ĐỒNG'!J500</f>
        <v>25587587</v>
      </c>
      <c r="K511" s="43"/>
      <c r="L511" s="62">
        <f t="shared" si="104"/>
        <v>375369901</v>
      </c>
      <c r="M511" s="43">
        <f t="shared" si="105"/>
        <v>0</v>
      </c>
      <c r="N511" s="43">
        <f t="shared" si="106"/>
        <v>0</v>
      </c>
      <c r="O511" s="43">
        <f t="shared" si="107"/>
        <v>0</v>
      </c>
      <c r="P511" s="43">
        <f t="shared" si="102"/>
        <v>375369901</v>
      </c>
      <c r="Q511" s="100"/>
      <c r="R511" s="117"/>
    </row>
    <row r="512" spans="1:18" hidden="1" x14ac:dyDescent="0.25">
      <c r="A512" s="48" t="str">
        <f t="shared" si="96"/>
        <v>TL</v>
      </c>
      <c r="B512" s="32" t="s">
        <v>802</v>
      </c>
      <c r="C512" s="39" t="s">
        <v>733</v>
      </c>
      <c r="D512" s="13" t="s">
        <v>13</v>
      </c>
      <c r="E512" s="123">
        <v>385.41</v>
      </c>
      <c r="F512" s="123"/>
      <c r="G512" s="125"/>
      <c r="H512" s="125"/>
      <c r="I512" s="125">
        <f t="shared" si="103"/>
        <v>385.41</v>
      </c>
      <c r="J512" s="62">
        <f>'BIỂU HỢP ĐỒNG'!J501</f>
        <v>111276</v>
      </c>
      <c r="K512" s="43"/>
      <c r="L512" s="62">
        <f t="shared" si="104"/>
        <v>42886883</v>
      </c>
      <c r="M512" s="43">
        <f t="shared" si="105"/>
        <v>0</v>
      </c>
      <c r="N512" s="43">
        <f t="shared" si="106"/>
        <v>0</v>
      </c>
      <c r="O512" s="43">
        <f t="shared" si="107"/>
        <v>0</v>
      </c>
      <c r="P512" s="43">
        <f t="shared" si="102"/>
        <v>42886883</v>
      </c>
      <c r="Q512" s="100"/>
      <c r="R512" s="117"/>
    </row>
    <row r="513" spans="1:18" hidden="1" x14ac:dyDescent="0.25">
      <c r="A513" s="48" t="str">
        <f t="shared" si="96"/>
        <v>TL</v>
      </c>
      <c r="B513" s="32" t="s">
        <v>803</v>
      </c>
      <c r="C513" s="39" t="s">
        <v>804</v>
      </c>
      <c r="D513" s="13" t="s">
        <v>16</v>
      </c>
      <c r="E513" s="123">
        <v>93.87</v>
      </c>
      <c r="F513" s="123"/>
      <c r="G513" s="125"/>
      <c r="H513" s="125"/>
      <c r="I513" s="125">
        <f t="shared" si="103"/>
        <v>93.87</v>
      </c>
      <c r="J513" s="62">
        <f>'BIỂU HỢP ĐỒNG'!J502</f>
        <v>1707891</v>
      </c>
      <c r="K513" s="43"/>
      <c r="L513" s="62">
        <f t="shared" si="104"/>
        <v>160319728</v>
      </c>
      <c r="M513" s="43">
        <f t="shared" si="105"/>
        <v>0</v>
      </c>
      <c r="N513" s="43">
        <f t="shared" si="106"/>
        <v>0</v>
      </c>
      <c r="O513" s="43">
        <f t="shared" si="107"/>
        <v>0</v>
      </c>
      <c r="P513" s="43">
        <f t="shared" si="102"/>
        <v>160319728</v>
      </c>
      <c r="Q513" s="100"/>
      <c r="R513" s="117"/>
    </row>
    <row r="514" spans="1:18" hidden="1" x14ac:dyDescent="0.25">
      <c r="A514" s="48" t="str">
        <f t="shared" si="96"/>
        <v>TL</v>
      </c>
      <c r="B514" s="32" t="s">
        <v>805</v>
      </c>
      <c r="C514" s="39" t="s">
        <v>806</v>
      </c>
      <c r="D514" s="13" t="s">
        <v>90</v>
      </c>
      <c r="E514" s="123">
        <v>5.74</v>
      </c>
      <c r="F514" s="123"/>
      <c r="G514" s="125"/>
      <c r="H514" s="125"/>
      <c r="I514" s="125">
        <f t="shared" si="103"/>
        <v>5.74</v>
      </c>
      <c r="J514" s="62">
        <f>'BIỂU HỢP ĐỒNG'!J503</f>
        <v>28097053</v>
      </c>
      <c r="K514" s="43"/>
      <c r="L514" s="62">
        <f t="shared" si="104"/>
        <v>161277084</v>
      </c>
      <c r="M514" s="43">
        <f t="shared" si="105"/>
        <v>0</v>
      </c>
      <c r="N514" s="43">
        <f t="shared" si="106"/>
        <v>0</v>
      </c>
      <c r="O514" s="43">
        <f t="shared" si="107"/>
        <v>0</v>
      </c>
      <c r="P514" s="43">
        <f t="shared" si="102"/>
        <v>161277084</v>
      </c>
      <c r="Q514" s="100"/>
      <c r="R514" s="117"/>
    </row>
    <row r="515" spans="1:18" hidden="1" x14ac:dyDescent="0.25">
      <c r="A515" s="48" t="str">
        <f t="shared" si="96"/>
        <v>TL</v>
      </c>
      <c r="B515" s="32" t="s">
        <v>807</v>
      </c>
      <c r="C515" s="39" t="s">
        <v>808</v>
      </c>
      <c r="D515" s="13" t="s">
        <v>90</v>
      </c>
      <c r="E515" s="123">
        <v>9.69</v>
      </c>
      <c r="F515" s="123"/>
      <c r="G515" s="125"/>
      <c r="H515" s="125"/>
      <c r="I515" s="125">
        <f t="shared" si="103"/>
        <v>9.69</v>
      </c>
      <c r="J515" s="62">
        <f>'BIỂU HỢP ĐỒNG'!J504</f>
        <v>26811910</v>
      </c>
      <c r="K515" s="43"/>
      <c r="L515" s="62">
        <f t="shared" si="104"/>
        <v>259807408</v>
      </c>
      <c r="M515" s="43">
        <f t="shared" si="105"/>
        <v>0</v>
      </c>
      <c r="N515" s="43">
        <f t="shared" si="106"/>
        <v>0</v>
      </c>
      <c r="O515" s="43">
        <f t="shared" si="107"/>
        <v>0</v>
      </c>
      <c r="P515" s="43">
        <f t="shared" si="102"/>
        <v>259807408</v>
      </c>
      <c r="Q515" s="100"/>
      <c r="R515" s="117"/>
    </row>
    <row r="516" spans="1:18" hidden="1" x14ac:dyDescent="0.25">
      <c r="A516" s="48" t="str">
        <f t="shared" si="96"/>
        <v>TL</v>
      </c>
      <c r="B516" s="32" t="s">
        <v>809</v>
      </c>
      <c r="C516" s="39" t="s">
        <v>497</v>
      </c>
      <c r="D516" s="13" t="s">
        <v>13</v>
      </c>
      <c r="E516" s="123">
        <v>464.88</v>
      </c>
      <c r="F516" s="123"/>
      <c r="G516" s="125"/>
      <c r="H516" s="125"/>
      <c r="I516" s="125">
        <f t="shared" si="103"/>
        <v>464.88</v>
      </c>
      <c r="J516" s="62">
        <f>'BIỂU HỢP ĐỒNG'!J505</f>
        <v>86606</v>
      </c>
      <c r="K516" s="43"/>
      <c r="L516" s="62">
        <f t="shared" si="104"/>
        <v>40261397</v>
      </c>
      <c r="M516" s="43">
        <f t="shared" si="105"/>
        <v>0</v>
      </c>
      <c r="N516" s="43">
        <f t="shared" si="106"/>
        <v>0</v>
      </c>
      <c r="O516" s="43">
        <f t="shared" si="107"/>
        <v>0</v>
      </c>
      <c r="P516" s="43">
        <f t="shared" si="102"/>
        <v>40261397</v>
      </c>
      <c r="Q516" s="100"/>
      <c r="R516" s="117"/>
    </row>
    <row r="517" spans="1:18" ht="31.5" hidden="1" customHeight="1" x14ac:dyDescent="0.25">
      <c r="A517" s="48" t="str">
        <f t="shared" si="96"/>
        <v>TL</v>
      </c>
      <c r="B517" s="32" t="s">
        <v>810</v>
      </c>
      <c r="C517" s="39" t="s">
        <v>257</v>
      </c>
      <c r="D517" s="13" t="s">
        <v>258</v>
      </c>
      <c r="E517" s="123">
        <v>596</v>
      </c>
      <c r="F517" s="123"/>
      <c r="G517" s="125"/>
      <c r="H517" s="125"/>
      <c r="I517" s="125">
        <f t="shared" si="103"/>
        <v>596</v>
      </c>
      <c r="J517" s="62">
        <f>'BIỂU HỢP ĐỒNG'!J506</f>
        <v>142868</v>
      </c>
      <c r="K517" s="43"/>
      <c r="L517" s="62">
        <f t="shared" si="104"/>
        <v>85149328</v>
      </c>
      <c r="M517" s="43">
        <f t="shared" si="105"/>
        <v>0</v>
      </c>
      <c r="N517" s="43">
        <f t="shared" si="106"/>
        <v>0</v>
      </c>
      <c r="O517" s="43">
        <f t="shared" si="107"/>
        <v>0</v>
      </c>
      <c r="P517" s="43">
        <f t="shared" si="102"/>
        <v>85149328</v>
      </c>
      <c r="Q517" s="100"/>
      <c r="R517" s="117"/>
    </row>
    <row r="518" spans="1:18" ht="47.25" hidden="1" customHeight="1" x14ac:dyDescent="0.25">
      <c r="A518" s="48" t="str">
        <f t="shared" si="96"/>
        <v>TL</v>
      </c>
      <c r="B518" s="32" t="s">
        <v>811</v>
      </c>
      <c r="C518" s="39" t="s">
        <v>249</v>
      </c>
      <c r="D518" s="13" t="s">
        <v>250</v>
      </c>
      <c r="E518" s="123">
        <v>596</v>
      </c>
      <c r="F518" s="123"/>
      <c r="G518" s="125"/>
      <c r="H518" s="125"/>
      <c r="I518" s="125">
        <f t="shared" si="103"/>
        <v>596</v>
      </c>
      <c r="J518" s="62">
        <f>'BIỂU HỢP ĐỒNG'!J507</f>
        <v>52812</v>
      </c>
      <c r="K518" s="43"/>
      <c r="L518" s="62">
        <f t="shared" si="104"/>
        <v>31475952</v>
      </c>
      <c r="M518" s="43">
        <f t="shared" si="105"/>
        <v>0</v>
      </c>
      <c r="N518" s="43">
        <f t="shared" si="106"/>
        <v>0</v>
      </c>
      <c r="O518" s="43">
        <f t="shared" si="107"/>
        <v>0</v>
      </c>
      <c r="P518" s="43">
        <f t="shared" si="102"/>
        <v>31475952</v>
      </c>
      <c r="Q518" s="100"/>
      <c r="R518" s="117"/>
    </row>
    <row r="519" spans="1:18" ht="47.25" hidden="1" customHeight="1" x14ac:dyDescent="0.25">
      <c r="A519" s="48" t="str">
        <f t="shared" ref="A519:A582" si="108">A518</f>
        <v>TL</v>
      </c>
      <c r="B519" s="32" t="s">
        <v>812</v>
      </c>
      <c r="C519" s="39" t="s">
        <v>255</v>
      </c>
      <c r="D519" s="13" t="s">
        <v>250</v>
      </c>
      <c r="E519" s="123">
        <v>596</v>
      </c>
      <c r="F519" s="123"/>
      <c r="G519" s="125"/>
      <c r="H519" s="125"/>
      <c r="I519" s="125">
        <f t="shared" si="103"/>
        <v>596</v>
      </c>
      <c r="J519" s="62">
        <f>'BIỂU HỢP ĐỒNG'!J508</f>
        <v>42761</v>
      </c>
      <c r="K519" s="43"/>
      <c r="L519" s="62">
        <f t="shared" si="104"/>
        <v>25485556</v>
      </c>
      <c r="M519" s="43">
        <f t="shared" si="105"/>
        <v>0</v>
      </c>
      <c r="N519" s="43">
        <f t="shared" si="106"/>
        <v>0</v>
      </c>
      <c r="O519" s="43">
        <f t="shared" si="107"/>
        <v>0</v>
      </c>
      <c r="P519" s="43">
        <f t="shared" si="102"/>
        <v>25485556</v>
      </c>
      <c r="Q519" s="100"/>
      <c r="R519" s="117"/>
    </row>
    <row r="520" spans="1:18" hidden="1" x14ac:dyDescent="0.25">
      <c r="A520" s="48" t="str">
        <f t="shared" si="108"/>
        <v>TL</v>
      </c>
      <c r="B520" s="32" t="s">
        <v>813</v>
      </c>
      <c r="C520" s="39" t="s">
        <v>814</v>
      </c>
      <c r="D520" s="13" t="s">
        <v>13</v>
      </c>
      <c r="E520" s="123">
        <v>625.79999999999995</v>
      </c>
      <c r="F520" s="123"/>
      <c r="G520" s="125"/>
      <c r="H520" s="125"/>
      <c r="I520" s="125">
        <f t="shared" si="103"/>
        <v>625.79999999999995</v>
      </c>
      <c r="J520" s="62">
        <f>'BIỂU HỢP ĐỒNG'!J509</f>
        <v>76805</v>
      </c>
      <c r="K520" s="43"/>
      <c r="L520" s="62">
        <f t="shared" si="104"/>
        <v>48064569</v>
      </c>
      <c r="M520" s="43">
        <f t="shared" si="105"/>
        <v>0</v>
      </c>
      <c r="N520" s="43">
        <f t="shared" si="106"/>
        <v>0</v>
      </c>
      <c r="O520" s="43">
        <f t="shared" si="107"/>
        <v>0</v>
      </c>
      <c r="P520" s="43">
        <f t="shared" si="102"/>
        <v>48064569</v>
      </c>
      <c r="Q520" s="100"/>
      <c r="R520" s="117"/>
    </row>
    <row r="521" spans="1:18" hidden="1" x14ac:dyDescent="0.25">
      <c r="A521" s="48" t="str">
        <f t="shared" si="108"/>
        <v>TL</v>
      </c>
      <c r="B521" s="32" t="s">
        <v>815</v>
      </c>
      <c r="C521" s="39" t="s">
        <v>816</v>
      </c>
      <c r="D521" s="13" t="s">
        <v>817</v>
      </c>
      <c r="E521" s="123">
        <v>3</v>
      </c>
      <c r="F521" s="123"/>
      <c r="G521" s="125"/>
      <c r="H521" s="125"/>
      <c r="I521" s="125">
        <f t="shared" si="103"/>
        <v>3</v>
      </c>
      <c r="J521" s="62">
        <f>'BIỂU HỢP ĐỒNG'!J510</f>
        <v>3030388</v>
      </c>
      <c r="K521" s="43"/>
      <c r="L521" s="62">
        <f t="shared" si="104"/>
        <v>9091164</v>
      </c>
      <c r="M521" s="43">
        <f t="shared" si="105"/>
        <v>0</v>
      </c>
      <c r="N521" s="43">
        <f t="shared" si="106"/>
        <v>0</v>
      </c>
      <c r="O521" s="43">
        <f t="shared" si="107"/>
        <v>0</v>
      </c>
      <c r="P521" s="43">
        <f t="shared" si="102"/>
        <v>9091164</v>
      </c>
      <c r="Q521" s="100"/>
      <c r="R521" s="117"/>
    </row>
    <row r="522" spans="1:18" hidden="1" x14ac:dyDescent="0.25">
      <c r="A522" s="48" t="str">
        <f t="shared" si="108"/>
        <v>TL</v>
      </c>
      <c r="B522" s="32" t="s">
        <v>818</v>
      </c>
      <c r="C522" s="39" t="s">
        <v>624</v>
      </c>
      <c r="D522" s="13" t="s">
        <v>16</v>
      </c>
      <c r="E522" s="123">
        <v>2142.86</v>
      </c>
      <c r="F522" s="123"/>
      <c r="G522" s="125"/>
      <c r="H522" s="125"/>
      <c r="I522" s="125">
        <f t="shared" si="103"/>
        <v>2142.86</v>
      </c>
      <c r="J522" s="62">
        <f>'BIỂU HỢP ĐỒNG'!J511</f>
        <v>267174</v>
      </c>
      <c r="K522" s="43"/>
      <c r="L522" s="62">
        <f t="shared" si="104"/>
        <v>572516478</v>
      </c>
      <c r="M522" s="43">
        <f t="shared" si="105"/>
        <v>0</v>
      </c>
      <c r="N522" s="43">
        <f t="shared" si="106"/>
        <v>0</v>
      </c>
      <c r="O522" s="43">
        <f t="shared" si="107"/>
        <v>0</v>
      </c>
      <c r="P522" s="43">
        <f t="shared" si="102"/>
        <v>572516478</v>
      </c>
      <c r="Q522" s="100"/>
      <c r="R522" s="117"/>
    </row>
    <row r="523" spans="1:18" hidden="1" x14ac:dyDescent="0.25">
      <c r="A523" s="48" t="str">
        <f t="shared" si="108"/>
        <v>TL</v>
      </c>
      <c r="B523" s="32" t="s">
        <v>819</v>
      </c>
      <c r="C523" s="39" t="s">
        <v>614</v>
      </c>
      <c r="D523" s="13" t="s">
        <v>16</v>
      </c>
      <c r="E523" s="123">
        <v>300.61</v>
      </c>
      <c r="F523" s="123"/>
      <c r="G523" s="125"/>
      <c r="H523" s="125"/>
      <c r="I523" s="125">
        <f t="shared" si="103"/>
        <v>300.61</v>
      </c>
      <c r="J523" s="62">
        <f>'BIỂU HỢP ĐỒNG'!J512</f>
        <v>23993</v>
      </c>
      <c r="K523" s="43"/>
      <c r="L523" s="62">
        <f t="shared" si="104"/>
        <v>7212536</v>
      </c>
      <c r="M523" s="43">
        <f t="shared" si="105"/>
        <v>0</v>
      </c>
      <c r="N523" s="43">
        <f t="shared" si="106"/>
        <v>0</v>
      </c>
      <c r="O523" s="43">
        <f t="shared" si="107"/>
        <v>0</v>
      </c>
      <c r="P523" s="43">
        <f t="shared" si="102"/>
        <v>7212536</v>
      </c>
      <c r="Q523" s="100"/>
      <c r="R523" s="117"/>
    </row>
    <row r="524" spans="1:18" hidden="1" x14ac:dyDescent="0.25">
      <c r="A524" s="48" t="str">
        <f t="shared" si="108"/>
        <v>TL</v>
      </c>
      <c r="B524" s="32" t="s">
        <v>820</v>
      </c>
      <c r="C524" s="39" t="s">
        <v>626</v>
      </c>
      <c r="D524" s="13" t="s">
        <v>16</v>
      </c>
      <c r="E524" s="123">
        <v>300.61</v>
      </c>
      <c r="F524" s="123"/>
      <c r="G524" s="125"/>
      <c r="H524" s="125"/>
      <c r="I524" s="125">
        <f t="shared" si="103"/>
        <v>300.61</v>
      </c>
      <c r="J524" s="62">
        <f>'BIỂU HỢP ĐỒNG'!J513</f>
        <v>45382</v>
      </c>
      <c r="K524" s="43"/>
      <c r="L524" s="62">
        <f t="shared" si="104"/>
        <v>13642283</v>
      </c>
      <c r="M524" s="43">
        <f t="shared" si="105"/>
        <v>0</v>
      </c>
      <c r="N524" s="43">
        <f t="shared" si="106"/>
        <v>0</v>
      </c>
      <c r="O524" s="43">
        <f t="shared" si="107"/>
        <v>0</v>
      </c>
      <c r="P524" s="43">
        <f t="shared" si="102"/>
        <v>13642283</v>
      </c>
      <c r="Q524" s="100"/>
      <c r="R524" s="117"/>
    </row>
    <row r="525" spans="1:18" hidden="1" x14ac:dyDescent="0.25">
      <c r="A525" s="48" t="str">
        <f t="shared" si="108"/>
        <v>TL</v>
      </c>
      <c r="B525" s="32" t="s">
        <v>821</v>
      </c>
      <c r="C525" s="39" t="s">
        <v>822</v>
      </c>
      <c r="D525" s="13" t="s">
        <v>90</v>
      </c>
      <c r="E525" s="123">
        <v>198.36</v>
      </c>
      <c r="F525" s="123"/>
      <c r="G525" s="125"/>
      <c r="H525" s="125"/>
      <c r="I525" s="125">
        <f t="shared" si="103"/>
        <v>198.36</v>
      </c>
      <c r="J525" s="62">
        <f>'BIỂU HỢP ĐỒNG'!J514</f>
        <v>1630632</v>
      </c>
      <c r="K525" s="43"/>
      <c r="L525" s="62">
        <f t="shared" si="104"/>
        <v>323452164</v>
      </c>
      <c r="M525" s="43">
        <f t="shared" si="105"/>
        <v>0</v>
      </c>
      <c r="N525" s="43">
        <f t="shared" si="106"/>
        <v>0</v>
      </c>
      <c r="O525" s="43">
        <f t="shared" si="107"/>
        <v>0</v>
      </c>
      <c r="P525" s="43">
        <f t="shared" si="102"/>
        <v>323452164</v>
      </c>
      <c r="Q525" s="100"/>
      <c r="R525" s="117"/>
    </row>
    <row r="526" spans="1:18" hidden="1" x14ac:dyDescent="0.25">
      <c r="A526" s="48" t="str">
        <f t="shared" si="108"/>
        <v>TL</v>
      </c>
      <c r="B526" s="32" t="s">
        <v>823</v>
      </c>
      <c r="C526" s="39" t="s">
        <v>824</v>
      </c>
      <c r="D526" s="13" t="s">
        <v>75</v>
      </c>
      <c r="E526" s="123">
        <v>2349</v>
      </c>
      <c r="F526" s="123"/>
      <c r="G526" s="125"/>
      <c r="H526" s="125"/>
      <c r="I526" s="125">
        <f t="shared" si="103"/>
        <v>2349</v>
      </c>
      <c r="J526" s="62">
        <f>'BIỂU HỢP ĐỒNG'!J515</f>
        <v>67386</v>
      </c>
      <c r="K526" s="43"/>
      <c r="L526" s="62">
        <f t="shared" si="104"/>
        <v>158289714</v>
      </c>
      <c r="M526" s="43">
        <f t="shared" si="105"/>
        <v>0</v>
      </c>
      <c r="N526" s="43">
        <f t="shared" si="106"/>
        <v>0</v>
      </c>
      <c r="O526" s="43">
        <f t="shared" si="107"/>
        <v>0</v>
      </c>
      <c r="P526" s="43">
        <f t="shared" si="102"/>
        <v>158289714</v>
      </c>
      <c r="Q526" s="100"/>
      <c r="R526" s="117"/>
    </row>
    <row r="527" spans="1:18" hidden="1" x14ac:dyDescent="0.25">
      <c r="A527" s="48" t="str">
        <f t="shared" si="108"/>
        <v>TL</v>
      </c>
      <c r="B527" s="32" t="s">
        <v>825</v>
      </c>
      <c r="C527" s="39" t="s">
        <v>826</v>
      </c>
      <c r="D527" s="13" t="s">
        <v>75</v>
      </c>
      <c r="E527" s="123">
        <v>261</v>
      </c>
      <c r="F527" s="123"/>
      <c r="G527" s="125"/>
      <c r="H527" s="125"/>
      <c r="I527" s="125">
        <f t="shared" si="103"/>
        <v>261</v>
      </c>
      <c r="J527" s="62">
        <f>'BIỂU HỢP ĐỒNG'!J516</f>
        <v>67386</v>
      </c>
      <c r="K527" s="43"/>
      <c r="L527" s="62">
        <f t="shared" si="104"/>
        <v>17587746</v>
      </c>
      <c r="M527" s="43">
        <f t="shared" si="105"/>
        <v>0</v>
      </c>
      <c r="N527" s="43">
        <f t="shared" si="106"/>
        <v>0</v>
      </c>
      <c r="O527" s="43">
        <f t="shared" si="107"/>
        <v>0</v>
      </c>
      <c r="P527" s="43">
        <f t="shared" si="102"/>
        <v>17587746</v>
      </c>
      <c r="Q527" s="100"/>
      <c r="R527" s="117"/>
    </row>
    <row r="528" spans="1:18" hidden="1" x14ac:dyDescent="0.25">
      <c r="A528" s="48" t="str">
        <f t="shared" si="108"/>
        <v>TL</v>
      </c>
      <c r="B528" s="32" t="s">
        <v>827</v>
      </c>
      <c r="C528" s="39" t="s">
        <v>828</v>
      </c>
      <c r="D528" s="13" t="s">
        <v>75</v>
      </c>
      <c r="E528" s="123">
        <v>2349</v>
      </c>
      <c r="F528" s="123"/>
      <c r="G528" s="125"/>
      <c r="H528" s="125"/>
      <c r="I528" s="125">
        <f t="shared" si="103"/>
        <v>2349</v>
      </c>
      <c r="J528" s="62">
        <f>'BIỂU HỢP ĐỒNG'!J517</f>
        <v>52562</v>
      </c>
      <c r="K528" s="43"/>
      <c r="L528" s="62">
        <f t="shared" si="104"/>
        <v>123468138</v>
      </c>
      <c r="M528" s="43">
        <f t="shared" si="105"/>
        <v>0</v>
      </c>
      <c r="N528" s="43">
        <f t="shared" si="106"/>
        <v>0</v>
      </c>
      <c r="O528" s="43">
        <f t="shared" si="107"/>
        <v>0</v>
      </c>
      <c r="P528" s="43">
        <f t="shared" si="102"/>
        <v>123468138</v>
      </c>
      <c r="Q528" s="100"/>
      <c r="R528" s="117"/>
    </row>
    <row r="529" spans="1:18" s="22" customFormat="1" ht="31.5" hidden="1" customHeight="1" x14ac:dyDescent="0.25">
      <c r="A529" s="48" t="str">
        <f t="shared" si="108"/>
        <v>TL</v>
      </c>
      <c r="B529" s="29">
        <v>8</v>
      </c>
      <c r="C529" s="12" t="s">
        <v>829</v>
      </c>
      <c r="D529" s="79"/>
      <c r="E529" s="123"/>
      <c r="F529" s="123"/>
      <c r="G529" s="125"/>
      <c r="H529" s="125"/>
      <c r="I529" s="125"/>
      <c r="J529" s="62"/>
      <c r="K529" s="43"/>
      <c r="L529" s="62"/>
      <c r="M529" s="43"/>
      <c r="N529" s="43"/>
      <c r="O529" s="43"/>
      <c r="P529" s="43">
        <f t="shared" si="102"/>
        <v>0</v>
      </c>
      <c r="Q529" s="100"/>
      <c r="R529" s="117"/>
    </row>
    <row r="530" spans="1:18" hidden="1" x14ac:dyDescent="0.25">
      <c r="A530" s="48" t="str">
        <f t="shared" si="108"/>
        <v>TL</v>
      </c>
      <c r="B530" s="32" t="s">
        <v>830</v>
      </c>
      <c r="C530" s="39" t="s">
        <v>831</v>
      </c>
      <c r="D530" s="13" t="s">
        <v>16</v>
      </c>
      <c r="E530" s="123">
        <v>58</v>
      </c>
      <c r="F530" s="123"/>
      <c r="G530" s="125"/>
      <c r="H530" s="125"/>
      <c r="I530" s="125">
        <f t="shared" ref="I530:I561" si="109">SUM(E530:H530)</f>
        <v>58</v>
      </c>
      <c r="J530" s="62">
        <f>'BIỂU HỢP ĐỒNG'!J519</f>
        <v>1682152</v>
      </c>
      <c r="K530" s="43"/>
      <c r="L530" s="62">
        <f t="shared" ref="L530:L561" si="110">+ROUND(J530*E530,0)</f>
        <v>97564816</v>
      </c>
      <c r="M530" s="43">
        <f t="shared" ref="M530:M561" si="111">+ROUND(F530*J530,0)</f>
        <v>0</v>
      </c>
      <c r="N530" s="43">
        <f t="shared" ref="N530:N561" si="112">+ROUND(G530*J530,0)</f>
        <v>0</v>
      </c>
      <c r="O530" s="43">
        <f t="shared" ref="O530:O561" si="113">+ROUND(H530*J530,0)</f>
        <v>0</v>
      </c>
      <c r="P530" s="43">
        <f t="shared" si="102"/>
        <v>97564816</v>
      </c>
      <c r="Q530" s="100"/>
      <c r="R530" s="117"/>
    </row>
    <row r="531" spans="1:18" ht="31.5" hidden="1" customHeight="1" x14ac:dyDescent="0.25">
      <c r="A531" s="48" t="str">
        <f t="shared" si="108"/>
        <v>TL</v>
      </c>
      <c r="B531" s="32" t="s">
        <v>832</v>
      </c>
      <c r="C531" s="39" t="s">
        <v>833</v>
      </c>
      <c r="D531" s="13" t="s">
        <v>90</v>
      </c>
      <c r="E531" s="123">
        <v>0.5</v>
      </c>
      <c r="F531" s="123"/>
      <c r="G531" s="125"/>
      <c r="H531" s="125"/>
      <c r="I531" s="125">
        <f t="shared" si="109"/>
        <v>0.5</v>
      </c>
      <c r="J531" s="62">
        <f>'BIỂU HỢP ĐỒNG'!J520</f>
        <v>28765433</v>
      </c>
      <c r="K531" s="43"/>
      <c r="L531" s="62">
        <f t="shared" si="110"/>
        <v>14382717</v>
      </c>
      <c r="M531" s="43">
        <f t="shared" si="111"/>
        <v>0</v>
      </c>
      <c r="N531" s="43">
        <f t="shared" si="112"/>
        <v>0</v>
      </c>
      <c r="O531" s="43">
        <f t="shared" si="113"/>
        <v>0</v>
      </c>
      <c r="P531" s="43">
        <f t="shared" si="102"/>
        <v>14382717</v>
      </c>
      <c r="Q531" s="100"/>
      <c r="R531" s="117"/>
    </row>
    <row r="532" spans="1:18" ht="31.5" hidden="1" customHeight="1" x14ac:dyDescent="0.25">
      <c r="A532" s="48" t="str">
        <f t="shared" si="108"/>
        <v>TL</v>
      </c>
      <c r="B532" s="32" t="s">
        <v>834</v>
      </c>
      <c r="C532" s="39" t="s">
        <v>835</v>
      </c>
      <c r="D532" s="13" t="s">
        <v>90</v>
      </c>
      <c r="E532" s="123">
        <v>8.65</v>
      </c>
      <c r="F532" s="123"/>
      <c r="G532" s="125"/>
      <c r="H532" s="125"/>
      <c r="I532" s="125">
        <f t="shared" si="109"/>
        <v>8.65</v>
      </c>
      <c r="J532" s="62">
        <f>'BIỂU HỢP ĐỒNG'!J521</f>
        <v>27004108</v>
      </c>
      <c r="K532" s="43"/>
      <c r="L532" s="62">
        <f t="shared" si="110"/>
        <v>233585534</v>
      </c>
      <c r="M532" s="43">
        <f t="shared" si="111"/>
        <v>0</v>
      </c>
      <c r="N532" s="43">
        <f t="shared" si="112"/>
        <v>0</v>
      </c>
      <c r="O532" s="43">
        <f t="shared" si="113"/>
        <v>0</v>
      </c>
      <c r="P532" s="43">
        <f t="shared" si="102"/>
        <v>233585534</v>
      </c>
      <c r="Q532" s="100"/>
      <c r="R532" s="117"/>
    </row>
    <row r="533" spans="1:18" ht="31.5" hidden="1" customHeight="1" x14ac:dyDescent="0.25">
      <c r="A533" s="48" t="str">
        <f t="shared" si="108"/>
        <v>TL</v>
      </c>
      <c r="B533" s="32" t="s">
        <v>836</v>
      </c>
      <c r="C533" s="39" t="s">
        <v>336</v>
      </c>
      <c r="D533" s="13" t="s">
        <v>13</v>
      </c>
      <c r="E533" s="123">
        <v>635.1</v>
      </c>
      <c r="F533" s="123"/>
      <c r="G533" s="125"/>
      <c r="H533" s="125"/>
      <c r="I533" s="125">
        <f t="shared" si="109"/>
        <v>635.1</v>
      </c>
      <c r="J533" s="62">
        <f>'BIỂU HỢP ĐỒNG'!J522</f>
        <v>102621</v>
      </c>
      <c r="K533" s="43"/>
      <c r="L533" s="62">
        <f t="shared" si="110"/>
        <v>65174597</v>
      </c>
      <c r="M533" s="43">
        <f t="shared" si="111"/>
        <v>0</v>
      </c>
      <c r="N533" s="43">
        <f t="shared" si="112"/>
        <v>0</v>
      </c>
      <c r="O533" s="43">
        <f t="shared" si="113"/>
        <v>0</v>
      </c>
      <c r="P533" s="43">
        <f t="shared" si="102"/>
        <v>65174597</v>
      </c>
      <c r="Q533" s="100"/>
      <c r="R533" s="117"/>
    </row>
    <row r="534" spans="1:18" ht="31.5" hidden="1" customHeight="1" x14ac:dyDescent="0.25">
      <c r="A534" s="48" t="str">
        <f t="shared" si="108"/>
        <v>TL</v>
      </c>
      <c r="B534" s="32" t="s">
        <v>837</v>
      </c>
      <c r="C534" s="39" t="s">
        <v>838</v>
      </c>
      <c r="D534" s="13" t="s">
        <v>250</v>
      </c>
      <c r="E534" s="123">
        <v>58</v>
      </c>
      <c r="F534" s="123"/>
      <c r="G534" s="125"/>
      <c r="H534" s="125"/>
      <c r="I534" s="125">
        <f t="shared" si="109"/>
        <v>58</v>
      </c>
      <c r="J534" s="62">
        <f>'BIỂU HỢP ĐỒNG'!J523</f>
        <v>113802</v>
      </c>
      <c r="K534" s="43"/>
      <c r="L534" s="62">
        <f t="shared" si="110"/>
        <v>6600516</v>
      </c>
      <c r="M534" s="43">
        <f t="shared" si="111"/>
        <v>0</v>
      </c>
      <c r="N534" s="43">
        <f t="shared" si="112"/>
        <v>0</v>
      </c>
      <c r="O534" s="43">
        <f t="shared" si="113"/>
        <v>0</v>
      </c>
      <c r="P534" s="43">
        <f t="shared" si="102"/>
        <v>6600516</v>
      </c>
      <c r="Q534" s="100"/>
      <c r="R534" s="117"/>
    </row>
    <row r="535" spans="1:18" ht="47.25" hidden="1" customHeight="1" x14ac:dyDescent="0.25">
      <c r="A535" s="48" t="str">
        <f t="shared" si="108"/>
        <v>TL</v>
      </c>
      <c r="B535" s="32" t="s">
        <v>839</v>
      </c>
      <c r="C535" s="39" t="s">
        <v>571</v>
      </c>
      <c r="D535" s="13" t="s">
        <v>250</v>
      </c>
      <c r="E535" s="123">
        <v>58</v>
      </c>
      <c r="F535" s="123"/>
      <c r="G535" s="125"/>
      <c r="H535" s="125"/>
      <c r="I535" s="125">
        <f t="shared" si="109"/>
        <v>58</v>
      </c>
      <c r="J535" s="62">
        <f>'BIỂU HỢP ĐỒNG'!J524</f>
        <v>91827</v>
      </c>
      <c r="K535" s="43"/>
      <c r="L535" s="62">
        <f t="shared" si="110"/>
        <v>5325966</v>
      </c>
      <c r="M535" s="43">
        <f t="shared" si="111"/>
        <v>0</v>
      </c>
      <c r="N535" s="43">
        <f t="shared" si="112"/>
        <v>0</v>
      </c>
      <c r="O535" s="43">
        <f t="shared" si="113"/>
        <v>0</v>
      </c>
      <c r="P535" s="43">
        <f t="shared" si="102"/>
        <v>5325966</v>
      </c>
      <c r="Q535" s="100"/>
      <c r="R535" s="117"/>
    </row>
    <row r="536" spans="1:18" ht="47.25" hidden="1" customHeight="1" x14ac:dyDescent="0.25">
      <c r="A536" s="48" t="str">
        <f t="shared" si="108"/>
        <v>TL</v>
      </c>
      <c r="B536" s="32" t="s">
        <v>840</v>
      </c>
      <c r="C536" s="39" t="s">
        <v>585</v>
      </c>
      <c r="D536" s="13" t="s">
        <v>253</v>
      </c>
      <c r="E536" s="123">
        <v>14.5</v>
      </c>
      <c r="F536" s="123"/>
      <c r="G536" s="125"/>
      <c r="H536" s="125"/>
      <c r="I536" s="125">
        <f t="shared" si="109"/>
        <v>14.5</v>
      </c>
      <c r="J536" s="62">
        <f>'BIỂU HỢP ĐỒNG'!J525</f>
        <v>36181</v>
      </c>
      <c r="K536" s="43"/>
      <c r="L536" s="62">
        <f t="shared" si="110"/>
        <v>524625</v>
      </c>
      <c r="M536" s="43">
        <f t="shared" si="111"/>
        <v>0</v>
      </c>
      <c r="N536" s="43">
        <f t="shared" si="112"/>
        <v>0</v>
      </c>
      <c r="O536" s="43">
        <f t="shared" si="113"/>
        <v>0</v>
      </c>
      <c r="P536" s="43">
        <f t="shared" si="102"/>
        <v>524625</v>
      </c>
      <c r="Q536" s="100"/>
      <c r="R536" s="117"/>
    </row>
    <row r="537" spans="1:18" ht="31.5" hidden="1" customHeight="1" x14ac:dyDescent="0.25">
      <c r="A537" s="48" t="str">
        <f t="shared" si="108"/>
        <v>TL</v>
      </c>
      <c r="B537" s="32" t="s">
        <v>841</v>
      </c>
      <c r="C537" s="39" t="s">
        <v>842</v>
      </c>
      <c r="D537" s="13" t="s">
        <v>567</v>
      </c>
      <c r="E537" s="123">
        <v>58</v>
      </c>
      <c r="F537" s="123"/>
      <c r="G537" s="125"/>
      <c r="H537" s="125"/>
      <c r="I537" s="125">
        <f t="shared" si="109"/>
        <v>58</v>
      </c>
      <c r="J537" s="62">
        <f>'BIỂU HỢP ĐỒNG'!J526</f>
        <v>304120</v>
      </c>
      <c r="K537" s="43"/>
      <c r="L537" s="62">
        <f t="shared" si="110"/>
        <v>17638960</v>
      </c>
      <c r="M537" s="43">
        <f t="shared" si="111"/>
        <v>0</v>
      </c>
      <c r="N537" s="43">
        <f t="shared" si="112"/>
        <v>0</v>
      </c>
      <c r="O537" s="43">
        <f t="shared" si="113"/>
        <v>0</v>
      </c>
      <c r="P537" s="43">
        <f t="shared" si="102"/>
        <v>17638960</v>
      </c>
      <c r="Q537" s="100"/>
      <c r="R537" s="117"/>
    </row>
    <row r="538" spans="1:18" hidden="1" x14ac:dyDescent="0.25">
      <c r="A538" s="48" t="str">
        <f t="shared" si="108"/>
        <v>TL</v>
      </c>
      <c r="B538" s="32" t="s">
        <v>843</v>
      </c>
      <c r="C538" s="39" t="s">
        <v>831</v>
      </c>
      <c r="D538" s="13" t="s">
        <v>16</v>
      </c>
      <c r="E538" s="123">
        <v>16.72</v>
      </c>
      <c r="F538" s="123"/>
      <c r="G538" s="125"/>
      <c r="H538" s="125"/>
      <c r="I538" s="125">
        <f t="shared" si="109"/>
        <v>16.72</v>
      </c>
      <c r="J538" s="62">
        <f>'BIỂU HỢP ĐỒNG'!J527</f>
        <v>1606063</v>
      </c>
      <c r="K538" s="43"/>
      <c r="L538" s="62">
        <f t="shared" si="110"/>
        <v>26853373</v>
      </c>
      <c r="M538" s="43">
        <f t="shared" si="111"/>
        <v>0</v>
      </c>
      <c r="N538" s="43">
        <f t="shared" si="112"/>
        <v>0</v>
      </c>
      <c r="O538" s="43">
        <f t="shared" si="113"/>
        <v>0</v>
      </c>
      <c r="P538" s="43">
        <f t="shared" si="102"/>
        <v>26853373</v>
      </c>
      <c r="Q538" s="100"/>
      <c r="R538" s="117"/>
    </row>
    <row r="539" spans="1:18" ht="31.5" hidden="1" customHeight="1" x14ac:dyDescent="0.25">
      <c r="A539" s="48" t="str">
        <f t="shared" si="108"/>
        <v>TL</v>
      </c>
      <c r="B539" s="32" t="s">
        <v>844</v>
      </c>
      <c r="C539" s="39" t="s">
        <v>833</v>
      </c>
      <c r="D539" s="13" t="s">
        <v>90</v>
      </c>
      <c r="E539" s="123">
        <v>0.16</v>
      </c>
      <c r="F539" s="123"/>
      <c r="G539" s="125"/>
      <c r="H539" s="125"/>
      <c r="I539" s="125">
        <f t="shared" si="109"/>
        <v>0.16</v>
      </c>
      <c r="J539" s="62">
        <f>'BIỂU HỢP ĐỒNG'!J528</f>
        <v>28765433</v>
      </c>
      <c r="K539" s="43"/>
      <c r="L539" s="62">
        <f t="shared" si="110"/>
        <v>4602469</v>
      </c>
      <c r="M539" s="43">
        <f t="shared" si="111"/>
        <v>0</v>
      </c>
      <c r="N539" s="43">
        <f t="shared" si="112"/>
        <v>0</v>
      </c>
      <c r="O539" s="43">
        <f t="shared" si="113"/>
        <v>0</v>
      </c>
      <c r="P539" s="43">
        <f t="shared" si="102"/>
        <v>4602469</v>
      </c>
      <c r="Q539" s="100"/>
      <c r="R539" s="117"/>
    </row>
    <row r="540" spans="1:18" ht="31.5" hidden="1" customHeight="1" x14ac:dyDescent="0.25">
      <c r="A540" s="48" t="str">
        <f t="shared" si="108"/>
        <v>TL</v>
      </c>
      <c r="B540" s="32" t="s">
        <v>845</v>
      </c>
      <c r="C540" s="39" t="s">
        <v>835</v>
      </c>
      <c r="D540" s="13" t="s">
        <v>90</v>
      </c>
      <c r="E540" s="123">
        <v>2.39</v>
      </c>
      <c r="F540" s="123"/>
      <c r="G540" s="125"/>
      <c r="H540" s="125"/>
      <c r="I540" s="125">
        <f t="shared" si="109"/>
        <v>2.39</v>
      </c>
      <c r="J540" s="62">
        <f>'BIỂU HỢP ĐỒNG'!J529</f>
        <v>27004108</v>
      </c>
      <c r="K540" s="43"/>
      <c r="L540" s="62">
        <f t="shared" si="110"/>
        <v>64539818</v>
      </c>
      <c r="M540" s="43">
        <f t="shared" si="111"/>
        <v>0</v>
      </c>
      <c r="N540" s="43">
        <f t="shared" si="112"/>
        <v>0</v>
      </c>
      <c r="O540" s="43">
        <f t="shared" si="113"/>
        <v>0</v>
      </c>
      <c r="P540" s="43">
        <f t="shared" si="102"/>
        <v>64539818</v>
      </c>
      <c r="Q540" s="100"/>
      <c r="R540" s="117"/>
    </row>
    <row r="541" spans="1:18" ht="31.5" hidden="1" customHeight="1" x14ac:dyDescent="0.25">
      <c r="A541" s="48" t="str">
        <f t="shared" si="108"/>
        <v>TL</v>
      </c>
      <c r="B541" s="32" t="s">
        <v>846</v>
      </c>
      <c r="C541" s="39" t="s">
        <v>336</v>
      </c>
      <c r="D541" s="13" t="s">
        <v>13</v>
      </c>
      <c r="E541" s="123">
        <v>173.66</v>
      </c>
      <c r="F541" s="123"/>
      <c r="G541" s="125"/>
      <c r="H541" s="125"/>
      <c r="I541" s="125">
        <f t="shared" si="109"/>
        <v>173.66</v>
      </c>
      <c r="J541" s="62">
        <f>'BIỂU HỢP ĐỒNG'!J530</f>
        <v>102621</v>
      </c>
      <c r="K541" s="43"/>
      <c r="L541" s="62">
        <f t="shared" si="110"/>
        <v>17821163</v>
      </c>
      <c r="M541" s="43">
        <f t="shared" si="111"/>
        <v>0</v>
      </c>
      <c r="N541" s="43">
        <f t="shared" si="112"/>
        <v>0</v>
      </c>
      <c r="O541" s="43">
        <f t="shared" si="113"/>
        <v>0</v>
      </c>
      <c r="P541" s="43">
        <f t="shared" si="102"/>
        <v>17821163</v>
      </c>
      <c r="Q541" s="100"/>
      <c r="R541" s="117"/>
    </row>
    <row r="542" spans="1:18" ht="31.5" hidden="1" customHeight="1" x14ac:dyDescent="0.25">
      <c r="A542" s="48" t="str">
        <f t="shared" si="108"/>
        <v>TL</v>
      </c>
      <c r="B542" s="32" t="s">
        <v>847</v>
      </c>
      <c r="C542" s="39" t="s">
        <v>838</v>
      </c>
      <c r="D542" s="13" t="s">
        <v>250</v>
      </c>
      <c r="E542" s="123">
        <v>19</v>
      </c>
      <c r="F542" s="123"/>
      <c r="G542" s="125"/>
      <c r="H542" s="125"/>
      <c r="I542" s="125">
        <f t="shared" si="109"/>
        <v>19</v>
      </c>
      <c r="J542" s="62">
        <f>'BIỂU HỢP ĐỒNG'!J531</f>
        <v>113802</v>
      </c>
      <c r="K542" s="43"/>
      <c r="L542" s="62">
        <f t="shared" si="110"/>
        <v>2162238</v>
      </c>
      <c r="M542" s="43">
        <f t="shared" si="111"/>
        <v>0</v>
      </c>
      <c r="N542" s="43">
        <f t="shared" si="112"/>
        <v>0</v>
      </c>
      <c r="O542" s="43">
        <f t="shared" si="113"/>
        <v>0</v>
      </c>
      <c r="P542" s="43">
        <f t="shared" si="102"/>
        <v>2162238</v>
      </c>
      <c r="Q542" s="100"/>
      <c r="R542" s="117"/>
    </row>
    <row r="543" spans="1:18" ht="47.25" hidden="1" customHeight="1" x14ac:dyDescent="0.25">
      <c r="A543" s="48" t="str">
        <f t="shared" si="108"/>
        <v>TL</v>
      </c>
      <c r="B543" s="32" t="s">
        <v>848</v>
      </c>
      <c r="C543" s="39" t="s">
        <v>571</v>
      </c>
      <c r="D543" s="13" t="s">
        <v>250</v>
      </c>
      <c r="E543" s="123">
        <v>19</v>
      </c>
      <c r="F543" s="123"/>
      <c r="G543" s="125"/>
      <c r="H543" s="125"/>
      <c r="I543" s="125">
        <f t="shared" si="109"/>
        <v>19</v>
      </c>
      <c r="J543" s="62">
        <f>'BIỂU HỢP ĐỒNG'!J532</f>
        <v>91827</v>
      </c>
      <c r="K543" s="43"/>
      <c r="L543" s="62">
        <f t="shared" si="110"/>
        <v>1744713</v>
      </c>
      <c r="M543" s="43">
        <f t="shared" si="111"/>
        <v>0</v>
      </c>
      <c r="N543" s="43">
        <f t="shared" si="112"/>
        <v>0</v>
      </c>
      <c r="O543" s="43">
        <f t="shared" si="113"/>
        <v>0</v>
      </c>
      <c r="P543" s="43">
        <f t="shared" si="102"/>
        <v>1744713</v>
      </c>
      <c r="Q543" s="100"/>
      <c r="R543" s="117"/>
    </row>
    <row r="544" spans="1:18" ht="31.5" hidden="1" customHeight="1" x14ac:dyDescent="0.25">
      <c r="A544" s="48" t="str">
        <f t="shared" si="108"/>
        <v>TL</v>
      </c>
      <c r="B544" s="32" t="s">
        <v>849</v>
      </c>
      <c r="C544" s="39" t="s">
        <v>647</v>
      </c>
      <c r="D544" s="13" t="s">
        <v>253</v>
      </c>
      <c r="E544" s="123">
        <v>4.18</v>
      </c>
      <c r="F544" s="123"/>
      <c r="G544" s="125"/>
      <c r="H544" s="125"/>
      <c r="I544" s="125">
        <f t="shared" si="109"/>
        <v>4.18</v>
      </c>
      <c r="J544" s="62">
        <f>'BIỂU HỢP ĐỒNG'!J533</f>
        <v>36181</v>
      </c>
      <c r="K544" s="43"/>
      <c r="L544" s="62">
        <f t="shared" si="110"/>
        <v>151237</v>
      </c>
      <c r="M544" s="43">
        <f t="shared" si="111"/>
        <v>0</v>
      </c>
      <c r="N544" s="43">
        <f t="shared" si="112"/>
        <v>0</v>
      </c>
      <c r="O544" s="43">
        <f t="shared" si="113"/>
        <v>0</v>
      </c>
      <c r="P544" s="43">
        <f t="shared" si="102"/>
        <v>151237</v>
      </c>
      <c r="Q544" s="100"/>
      <c r="R544" s="117"/>
    </row>
    <row r="545" spans="1:18" ht="31.5" hidden="1" customHeight="1" x14ac:dyDescent="0.25">
      <c r="A545" s="48" t="str">
        <f t="shared" si="108"/>
        <v>TL</v>
      </c>
      <c r="B545" s="32" t="s">
        <v>850</v>
      </c>
      <c r="C545" s="39" t="s">
        <v>842</v>
      </c>
      <c r="D545" s="13" t="s">
        <v>567</v>
      </c>
      <c r="E545" s="123">
        <v>19</v>
      </c>
      <c r="F545" s="123"/>
      <c r="G545" s="125"/>
      <c r="H545" s="125"/>
      <c r="I545" s="125">
        <f t="shared" si="109"/>
        <v>19</v>
      </c>
      <c r="J545" s="62">
        <f>'BIỂU HỢP ĐỒNG'!J534</f>
        <v>304120</v>
      </c>
      <c r="K545" s="43"/>
      <c r="L545" s="62">
        <f t="shared" si="110"/>
        <v>5778280</v>
      </c>
      <c r="M545" s="43">
        <f t="shared" si="111"/>
        <v>0</v>
      </c>
      <c r="N545" s="43">
        <f t="shared" si="112"/>
        <v>0</v>
      </c>
      <c r="O545" s="43">
        <f t="shared" si="113"/>
        <v>0</v>
      </c>
      <c r="P545" s="43">
        <f t="shared" si="102"/>
        <v>5778280</v>
      </c>
      <c r="Q545" s="100"/>
      <c r="R545" s="117"/>
    </row>
    <row r="546" spans="1:18" hidden="1" x14ac:dyDescent="0.25">
      <c r="A546" s="48" t="str">
        <f t="shared" si="108"/>
        <v>TL</v>
      </c>
      <c r="B546" s="32" t="s">
        <v>851</v>
      </c>
      <c r="C546" s="39" t="s">
        <v>831</v>
      </c>
      <c r="D546" s="13" t="s">
        <v>16</v>
      </c>
      <c r="E546" s="123">
        <v>73.150000000000006</v>
      </c>
      <c r="F546" s="123"/>
      <c r="G546" s="125"/>
      <c r="H546" s="125"/>
      <c r="I546" s="125">
        <f t="shared" si="109"/>
        <v>73.150000000000006</v>
      </c>
      <c r="J546" s="62">
        <f>'BIỂU HỢP ĐỒNG'!J535</f>
        <v>1682152</v>
      </c>
      <c r="K546" s="43"/>
      <c r="L546" s="62">
        <f t="shared" si="110"/>
        <v>123049419</v>
      </c>
      <c r="M546" s="43">
        <f t="shared" si="111"/>
        <v>0</v>
      </c>
      <c r="N546" s="43">
        <f t="shared" si="112"/>
        <v>0</v>
      </c>
      <c r="O546" s="43">
        <f t="shared" si="113"/>
        <v>0</v>
      </c>
      <c r="P546" s="43">
        <f t="shared" si="102"/>
        <v>123049419</v>
      </c>
      <c r="Q546" s="100"/>
      <c r="R546" s="117"/>
    </row>
    <row r="547" spans="1:18" ht="31.5" hidden="1" customHeight="1" x14ac:dyDescent="0.25">
      <c r="A547" s="48" t="str">
        <f t="shared" si="108"/>
        <v>TL</v>
      </c>
      <c r="B547" s="32" t="s">
        <v>852</v>
      </c>
      <c r="C547" s="39" t="s">
        <v>833</v>
      </c>
      <c r="D547" s="13" t="s">
        <v>90</v>
      </c>
      <c r="E547" s="123">
        <v>0.51</v>
      </c>
      <c r="F547" s="123"/>
      <c r="G547" s="125"/>
      <c r="H547" s="125"/>
      <c r="I547" s="125">
        <f t="shared" si="109"/>
        <v>0.51</v>
      </c>
      <c r="J547" s="62">
        <f>'BIỂU HỢP ĐỒNG'!J536</f>
        <v>28765433</v>
      </c>
      <c r="K547" s="43"/>
      <c r="L547" s="62">
        <f t="shared" si="110"/>
        <v>14670371</v>
      </c>
      <c r="M547" s="43">
        <f t="shared" si="111"/>
        <v>0</v>
      </c>
      <c r="N547" s="43">
        <f t="shared" si="112"/>
        <v>0</v>
      </c>
      <c r="O547" s="43">
        <f t="shared" si="113"/>
        <v>0</v>
      </c>
      <c r="P547" s="43">
        <f t="shared" si="102"/>
        <v>14670371</v>
      </c>
      <c r="Q547" s="100"/>
      <c r="R547" s="117"/>
    </row>
    <row r="548" spans="1:18" ht="31.5" hidden="1" customHeight="1" x14ac:dyDescent="0.25">
      <c r="A548" s="48" t="str">
        <f t="shared" si="108"/>
        <v>TL</v>
      </c>
      <c r="B548" s="32" t="s">
        <v>853</v>
      </c>
      <c r="C548" s="39" t="s">
        <v>835</v>
      </c>
      <c r="D548" s="13" t="s">
        <v>90</v>
      </c>
      <c r="E548" s="123">
        <v>11.44</v>
      </c>
      <c r="F548" s="123"/>
      <c r="G548" s="125"/>
      <c r="H548" s="125"/>
      <c r="I548" s="125">
        <f t="shared" si="109"/>
        <v>11.44</v>
      </c>
      <c r="J548" s="62">
        <f>'BIỂU HỢP ĐỒNG'!J537</f>
        <v>27004108</v>
      </c>
      <c r="K548" s="43"/>
      <c r="L548" s="62">
        <f t="shared" si="110"/>
        <v>308926996</v>
      </c>
      <c r="M548" s="43">
        <f t="shared" si="111"/>
        <v>0</v>
      </c>
      <c r="N548" s="43">
        <f t="shared" si="112"/>
        <v>0</v>
      </c>
      <c r="O548" s="43">
        <f t="shared" si="113"/>
        <v>0</v>
      </c>
      <c r="P548" s="43">
        <f t="shared" si="102"/>
        <v>308926996</v>
      </c>
      <c r="Q548" s="100"/>
      <c r="R548" s="117"/>
    </row>
    <row r="549" spans="1:18" ht="31.5" hidden="1" customHeight="1" x14ac:dyDescent="0.25">
      <c r="A549" s="48" t="str">
        <f t="shared" si="108"/>
        <v>TL</v>
      </c>
      <c r="B549" s="32" t="s">
        <v>854</v>
      </c>
      <c r="C549" s="39" t="s">
        <v>336</v>
      </c>
      <c r="D549" s="13" t="s">
        <v>13</v>
      </c>
      <c r="E549" s="123">
        <v>650</v>
      </c>
      <c r="F549" s="123"/>
      <c r="G549" s="125"/>
      <c r="H549" s="125"/>
      <c r="I549" s="125">
        <f t="shared" si="109"/>
        <v>650</v>
      </c>
      <c r="J549" s="62">
        <f>'BIỂU HỢP ĐỒNG'!J538</f>
        <v>115728</v>
      </c>
      <c r="K549" s="43"/>
      <c r="L549" s="62">
        <f t="shared" si="110"/>
        <v>75223200</v>
      </c>
      <c r="M549" s="43">
        <f t="shared" si="111"/>
        <v>0</v>
      </c>
      <c r="N549" s="43">
        <f t="shared" si="112"/>
        <v>0</v>
      </c>
      <c r="O549" s="43">
        <f t="shared" si="113"/>
        <v>0</v>
      </c>
      <c r="P549" s="43">
        <f t="shared" si="102"/>
        <v>75223200</v>
      </c>
      <c r="Q549" s="100"/>
      <c r="R549" s="117"/>
    </row>
    <row r="550" spans="1:18" ht="31.5" hidden="1" customHeight="1" x14ac:dyDescent="0.25">
      <c r="A550" s="48" t="str">
        <f t="shared" si="108"/>
        <v>TL</v>
      </c>
      <c r="B550" s="32" t="s">
        <v>855</v>
      </c>
      <c r="C550" s="39" t="s">
        <v>838</v>
      </c>
      <c r="D550" s="13" t="s">
        <v>250</v>
      </c>
      <c r="E550" s="123">
        <v>55</v>
      </c>
      <c r="F550" s="123"/>
      <c r="G550" s="125"/>
      <c r="H550" s="125"/>
      <c r="I550" s="125">
        <f t="shared" si="109"/>
        <v>55</v>
      </c>
      <c r="J550" s="62">
        <f>'BIỂU HỢP ĐỒNG'!J539</f>
        <v>113802</v>
      </c>
      <c r="K550" s="43"/>
      <c r="L550" s="62">
        <f t="shared" si="110"/>
        <v>6259110</v>
      </c>
      <c r="M550" s="43">
        <f t="shared" si="111"/>
        <v>0</v>
      </c>
      <c r="N550" s="43">
        <f t="shared" si="112"/>
        <v>0</v>
      </c>
      <c r="O550" s="43">
        <f t="shared" si="113"/>
        <v>0</v>
      </c>
      <c r="P550" s="43">
        <f t="shared" si="102"/>
        <v>6259110</v>
      </c>
      <c r="Q550" s="100"/>
      <c r="R550" s="117"/>
    </row>
    <row r="551" spans="1:18" ht="47.25" hidden="1" customHeight="1" x14ac:dyDescent="0.25">
      <c r="A551" s="48" t="str">
        <f t="shared" si="108"/>
        <v>TL</v>
      </c>
      <c r="B551" s="32" t="s">
        <v>856</v>
      </c>
      <c r="C551" s="39" t="s">
        <v>571</v>
      </c>
      <c r="D551" s="13" t="s">
        <v>250</v>
      </c>
      <c r="E551" s="123">
        <v>55</v>
      </c>
      <c r="F551" s="123"/>
      <c r="G551" s="125"/>
      <c r="H551" s="125"/>
      <c r="I551" s="125">
        <f t="shared" si="109"/>
        <v>55</v>
      </c>
      <c r="J551" s="62">
        <f>'BIỂU HỢP ĐỒNG'!J540</f>
        <v>91827</v>
      </c>
      <c r="K551" s="43"/>
      <c r="L551" s="62">
        <f t="shared" si="110"/>
        <v>5050485</v>
      </c>
      <c r="M551" s="43">
        <f t="shared" si="111"/>
        <v>0</v>
      </c>
      <c r="N551" s="43">
        <f t="shared" si="112"/>
        <v>0</v>
      </c>
      <c r="O551" s="43">
        <f t="shared" si="113"/>
        <v>0</v>
      </c>
      <c r="P551" s="43">
        <f t="shared" si="102"/>
        <v>5050485</v>
      </c>
      <c r="Q551" s="100"/>
      <c r="R551" s="117"/>
    </row>
    <row r="552" spans="1:18" ht="31.5" hidden="1" customHeight="1" x14ac:dyDescent="0.25">
      <c r="A552" s="48" t="str">
        <f t="shared" si="108"/>
        <v>TL</v>
      </c>
      <c r="B552" s="32" t="s">
        <v>857</v>
      </c>
      <c r="C552" s="39" t="s">
        <v>647</v>
      </c>
      <c r="D552" s="13" t="s">
        <v>253</v>
      </c>
      <c r="E552" s="123">
        <v>18.29</v>
      </c>
      <c r="F552" s="123"/>
      <c r="G552" s="125"/>
      <c r="H552" s="125"/>
      <c r="I552" s="125">
        <f t="shared" si="109"/>
        <v>18.29</v>
      </c>
      <c r="J552" s="62">
        <f>'BIỂU HỢP ĐỒNG'!J541</f>
        <v>36181</v>
      </c>
      <c r="K552" s="43"/>
      <c r="L552" s="62">
        <f t="shared" si="110"/>
        <v>661750</v>
      </c>
      <c r="M552" s="43">
        <f t="shared" si="111"/>
        <v>0</v>
      </c>
      <c r="N552" s="43">
        <f t="shared" si="112"/>
        <v>0</v>
      </c>
      <c r="O552" s="43">
        <f t="shared" si="113"/>
        <v>0</v>
      </c>
      <c r="P552" s="43">
        <f t="shared" si="102"/>
        <v>661750</v>
      </c>
      <c r="Q552" s="100"/>
      <c r="R552" s="117"/>
    </row>
    <row r="553" spans="1:18" ht="31.5" hidden="1" customHeight="1" x14ac:dyDescent="0.25">
      <c r="A553" s="48" t="str">
        <f t="shared" si="108"/>
        <v>TL</v>
      </c>
      <c r="B553" s="32" t="s">
        <v>858</v>
      </c>
      <c r="C553" s="39" t="s">
        <v>859</v>
      </c>
      <c r="D553" s="13" t="s">
        <v>567</v>
      </c>
      <c r="E553" s="123">
        <v>55</v>
      </c>
      <c r="F553" s="123"/>
      <c r="G553" s="125"/>
      <c r="H553" s="125"/>
      <c r="I553" s="125">
        <f t="shared" si="109"/>
        <v>55</v>
      </c>
      <c r="J553" s="62">
        <f>'BIỂU HỢP ĐỒNG'!J542</f>
        <v>319273</v>
      </c>
      <c r="K553" s="43"/>
      <c r="L553" s="62">
        <f t="shared" si="110"/>
        <v>17560015</v>
      </c>
      <c r="M553" s="43">
        <f t="shared" si="111"/>
        <v>0</v>
      </c>
      <c r="N553" s="43">
        <f t="shared" si="112"/>
        <v>0</v>
      </c>
      <c r="O553" s="43">
        <f t="shared" si="113"/>
        <v>0</v>
      </c>
      <c r="P553" s="43">
        <f t="shared" si="102"/>
        <v>17560015</v>
      </c>
      <c r="Q553" s="100"/>
      <c r="R553" s="117"/>
    </row>
    <row r="554" spans="1:18" hidden="1" x14ac:dyDescent="0.25">
      <c r="A554" s="48" t="str">
        <f t="shared" si="108"/>
        <v>TL</v>
      </c>
      <c r="B554" s="32" t="s">
        <v>860</v>
      </c>
      <c r="C554" s="39" t="s">
        <v>831</v>
      </c>
      <c r="D554" s="13" t="s">
        <v>16</v>
      </c>
      <c r="E554" s="123">
        <v>374</v>
      </c>
      <c r="F554" s="123"/>
      <c r="G554" s="125"/>
      <c r="H554" s="125"/>
      <c r="I554" s="125">
        <f t="shared" si="109"/>
        <v>374</v>
      </c>
      <c r="J554" s="62">
        <f>'BIỂU HỢP ĐỒNG'!J543</f>
        <v>1682152</v>
      </c>
      <c r="K554" s="43"/>
      <c r="L554" s="62">
        <f t="shared" si="110"/>
        <v>629124848</v>
      </c>
      <c r="M554" s="43">
        <f t="shared" si="111"/>
        <v>0</v>
      </c>
      <c r="N554" s="43">
        <f t="shared" si="112"/>
        <v>0</v>
      </c>
      <c r="O554" s="43">
        <f t="shared" si="113"/>
        <v>0</v>
      </c>
      <c r="P554" s="43">
        <f t="shared" si="102"/>
        <v>629124848</v>
      </c>
      <c r="Q554" s="100"/>
      <c r="R554" s="117"/>
    </row>
    <row r="555" spans="1:18" ht="31.5" hidden="1" customHeight="1" x14ac:dyDescent="0.25">
      <c r="A555" s="48" t="str">
        <f t="shared" si="108"/>
        <v>TL</v>
      </c>
      <c r="B555" s="32" t="s">
        <v>861</v>
      </c>
      <c r="C555" s="39" t="s">
        <v>833</v>
      </c>
      <c r="D555" s="13" t="s">
        <v>90</v>
      </c>
      <c r="E555" s="123">
        <v>2.9</v>
      </c>
      <c r="F555" s="123"/>
      <c r="G555" s="125"/>
      <c r="H555" s="125"/>
      <c r="I555" s="125">
        <f t="shared" si="109"/>
        <v>2.9</v>
      </c>
      <c r="J555" s="62">
        <f>'BIỂU HỢP ĐỒNG'!J544</f>
        <v>28765433</v>
      </c>
      <c r="K555" s="43"/>
      <c r="L555" s="62">
        <f t="shared" si="110"/>
        <v>83419756</v>
      </c>
      <c r="M555" s="43">
        <f t="shared" si="111"/>
        <v>0</v>
      </c>
      <c r="N555" s="43">
        <f t="shared" si="112"/>
        <v>0</v>
      </c>
      <c r="O555" s="43">
        <f t="shared" si="113"/>
        <v>0</v>
      </c>
      <c r="P555" s="43">
        <f t="shared" si="102"/>
        <v>83419756</v>
      </c>
      <c r="Q555" s="100"/>
      <c r="R555" s="117"/>
    </row>
    <row r="556" spans="1:18" ht="31.5" hidden="1" customHeight="1" x14ac:dyDescent="0.25">
      <c r="A556" s="48" t="str">
        <f t="shared" si="108"/>
        <v>TL</v>
      </c>
      <c r="B556" s="32" t="s">
        <v>862</v>
      </c>
      <c r="C556" s="39" t="s">
        <v>835</v>
      </c>
      <c r="D556" s="13" t="s">
        <v>90</v>
      </c>
      <c r="E556" s="123">
        <v>56.85</v>
      </c>
      <c r="F556" s="123"/>
      <c r="G556" s="125"/>
      <c r="H556" s="125"/>
      <c r="I556" s="125">
        <f t="shared" si="109"/>
        <v>56.85</v>
      </c>
      <c r="J556" s="62">
        <f>'BIỂU HỢP ĐỒNG'!J545</f>
        <v>27004108</v>
      </c>
      <c r="K556" s="43"/>
      <c r="L556" s="62">
        <f t="shared" si="110"/>
        <v>1535183540</v>
      </c>
      <c r="M556" s="43">
        <f t="shared" si="111"/>
        <v>0</v>
      </c>
      <c r="N556" s="43">
        <f t="shared" si="112"/>
        <v>0</v>
      </c>
      <c r="O556" s="43">
        <f t="shared" si="113"/>
        <v>0</v>
      </c>
      <c r="P556" s="43">
        <f t="shared" si="102"/>
        <v>1535183540</v>
      </c>
      <c r="Q556" s="100"/>
      <c r="R556" s="117"/>
    </row>
    <row r="557" spans="1:18" ht="31.5" hidden="1" customHeight="1" x14ac:dyDescent="0.25">
      <c r="A557" s="48" t="str">
        <f t="shared" si="108"/>
        <v>TL</v>
      </c>
      <c r="B557" s="32" t="s">
        <v>863</v>
      </c>
      <c r="C557" s="39" t="s">
        <v>336</v>
      </c>
      <c r="D557" s="13" t="s">
        <v>13</v>
      </c>
      <c r="E557" s="123">
        <v>3476</v>
      </c>
      <c r="F557" s="123"/>
      <c r="G557" s="125"/>
      <c r="H557" s="125"/>
      <c r="I557" s="125">
        <f t="shared" si="109"/>
        <v>3476</v>
      </c>
      <c r="J557" s="62">
        <f>'BIỂU HỢP ĐỒNG'!J546</f>
        <v>115728</v>
      </c>
      <c r="K557" s="43"/>
      <c r="L557" s="62">
        <f t="shared" si="110"/>
        <v>402270528</v>
      </c>
      <c r="M557" s="43">
        <f t="shared" si="111"/>
        <v>0</v>
      </c>
      <c r="N557" s="43">
        <f t="shared" si="112"/>
        <v>0</v>
      </c>
      <c r="O557" s="43">
        <f t="shared" si="113"/>
        <v>0</v>
      </c>
      <c r="P557" s="43">
        <f t="shared" si="102"/>
        <v>402270528</v>
      </c>
      <c r="Q557" s="100"/>
      <c r="R557" s="117"/>
    </row>
    <row r="558" spans="1:18" ht="31.5" hidden="1" customHeight="1" x14ac:dyDescent="0.25">
      <c r="A558" s="48" t="str">
        <f t="shared" si="108"/>
        <v>TL</v>
      </c>
      <c r="B558" s="32" t="s">
        <v>864</v>
      </c>
      <c r="C558" s="39" t="s">
        <v>838</v>
      </c>
      <c r="D558" s="13" t="s">
        <v>250</v>
      </c>
      <c r="E558" s="123">
        <v>309</v>
      </c>
      <c r="F558" s="123"/>
      <c r="G558" s="125"/>
      <c r="H558" s="125"/>
      <c r="I558" s="125">
        <f t="shared" si="109"/>
        <v>309</v>
      </c>
      <c r="J558" s="62">
        <f>'BIỂU HỢP ĐỒNG'!J547</f>
        <v>113802</v>
      </c>
      <c r="K558" s="43"/>
      <c r="L558" s="62">
        <f t="shared" si="110"/>
        <v>35164818</v>
      </c>
      <c r="M558" s="43">
        <f t="shared" si="111"/>
        <v>0</v>
      </c>
      <c r="N558" s="43">
        <f t="shared" si="112"/>
        <v>0</v>
      </c>
      <c r="O558" s="43">
        <f t="shared" si="113"/>
        <v>0</v>
      </c>
      <c r="P558" s="43">
        <f t="shared" si="102"/>
        <v>35164818</v>
      </c>
      <c r="Q558" s="100"/>
      <c r="R558" s="117"/>
    </row>
    <row r="559" spans="1:18" ht="47.25" hidden="1" customHeight="1" x14ac:dyDescent="0.25">
      <c r="A559" s="48" t="str">
        <f t="shared" si="108"/>
        <v>TL</v>
      </c>
      <c r="B559" s="32" t="s">
        <v>865</v>
      </c>
      <c r="C559" s="39" t="s">
        <v>571</v>
      </c>
      <c r="D559" s="13" t="s">
        <v>250</v>
      </c>
      <c r="E559" s="123">
        <v>309</v>
      </c>
      <c r="F559" s="123"/>
      <c r="G559" s="125"/>
      <c r="H559" s="125"/>
      <c r="I559" s="125">
        <f t="shared" si="109"/>
        <v>309</v>
      </c>
      <c r="J559" s="62">
        <f>'BIỂU HỢP ĐỒNG'!J548</f>
        <v>91827</v>
      </c>
      <c r="K559" s="43"/>
      <c r="L559" s="62">
        <f t="shared" si="110"/>
        <v>28374543</v>
      </c>
      <c r="M559" s="43">
        <f t="shared" si="111"/>
        <v>0</v>
      </c>
      <c r="N559" s="43">
        <f t="shared" si="112"/>
        <v>0</v>
      </c>
      <c r="O559" s="43">
        <f t="shared" si="113"/>
        <v>0</v>
      </c>
      <c r="P559" s="43">
        <f t="shared" si="102"/>
        <v>28374543</v>
      </c>
      <c r="Q559" s="100"/>
      <c r="R559" s="117"/>
    </row>
    <row r="560" spans="1:18" ht="31.5" hidden="1" customHeight="1" x14ac:dyDescent="0.25">
      <c r="A560" s="48" t="str">
        <f t="shared" si="108"/>
        <v>TL</v>
      </c>
      <c r="B560" s="32" t="s">
        <v>866</v>
      </c>
      <c r="C560" s="39" t="s">
        <v>647</v>
      </c>
      <c r="D560" s="13" t="s">
        <v>253</v>
      </c>
      <c r="E560" s="123">
        <v>93.5</v>
      </c>
      <c r="F560" s="123"/>
      <c r="G560" s="125"/>
      <c r="H560" s="125"/>
      <c r="I560" s="125">
        <f t="shared" si="109"/>
        <v>93.5</v>
      </c>
      <c r="J560" s="62">
        <f>'BIỂU HỢP ĐỒNG'!J549</f>
        <v>36181</v>
      </c>
      <c r="K560" s="43"/>
      <c r="L560" s="62">
        <f t="shared" si="110"/>
        <v>3382924</v>
      </c>
      <c r="M560" s="43">
        <f t="shared" si="111"/>
        <v>0</v>
      </c>
      <c r="N560" s="43">
        <f t="shared" si="112"/>
        <v>0</v>
      </c>
      <c r="O560" s="43">
        <f t="shared" si="113"/>
        <v>0</v>
      </c>
      <c r="P560" s="43">
        <f t="shared" ref="P560:P623" si="114">SUM(L560:O560)</f>
        <v>3382924</v>
      </c>
      <c r="Q560" s="100"/>
      <c r="R560" s="117"/>
    </row>
    <row r="561" spans="1:18" ht="31.5" hidden="1" customHeight="1" x14ac:dyDescent="0.25">
      <c r="A561" s="48" t="str">
        <f t="shared" si="108"/>
        <v>TL</v>
      </c>
      <c r="B561" s="32" t="s">
        <v>867</v>
      </c>
      <c r="C561" s="39" t="s">
        <v>859</v>
      </c>
      <c r="D561" s="13" t="s">
        <v>567</v>
      </c>
      <c r="E561" s="123">
        <v>309</v>
      </c>
      <c r="F561" s="123"/>
      <c r="G561" s="125"/>
      <c r="H561" s="125"/>
      <c r="I561" s="125">
        <f t="shared" si="109"/>
        <v>309</v>
      </c>
      <c r="J561" s="62">
        <f>'BIỂU HỢP ĐỒNG'!J550</f>
        <v>319273</v>
      </c>
      <c r="K561" s="43"/>
      <c r="L561" s="62">
        <f t="shared" si="110"/>
        <v>98655357</v>
      </c>
      <c r="M561" s="43">
        <f t="shared" si="111"/>
        <v>0</v>
      </c>
      <c r="N561" s="43">
        <f t="shared" si="112"/>
        <v>0</v>
      </c>
      <c r="O561" s="43">
        <f t="shared" si="113"/>
        <v>0</v>
      </c>
      <c r="P561" s="43">
        <f t="shared" si="114"/>
        <v>98655357</v>
      </c>
      <c r="Q561" s="100"/>
      <c r="R561" s="117"/>
    </row>
    <row r="562" spans="1:18" hidden="1" x14ac:dyDescent="0.25">
      <c r="A562" s="48" t="str">
        <f t="shared" si="108"/>
        <v>TL</v>
      </c>
      <c r="B562" s="32" t="s">
        <v>868</v>
      </c>
      <c r="C562" s="39" t="s">
        <v>334</v>
      </c>
      <c r="D562" s="13" t="s">
        <v>16</v>
      </c>
      <c r="E562" s="123">
        <v>3.52</v>
      </c>
      <c r="F562" s="123"/>
      <c r="G562" s="125"/>
      <c r="H562" s="125"/>
      <c r="I562" s="125">
        <f t="shared" ref="I562:I593" si="115">SUM(E562:H562)</f>
        <v>3.52</v>
      </c>
      <c r="J562" s="62">
        <f>'BIỂU HỢP ĐỒNG'!J551</f>
        <v>1631803</v>
      </c>
      <c r="K562" s="43"/>
      <c r="L562" s="62">
        <f t="shared" ref="L562:L593" si="116">+ROUND(J562*E562,0)</f>
        <v>5743947</v>
      </c>
      <c r="M562" s="43">
        <f t="shared" ref="M562:M593" si="117">+ROUND(F562*J562,0)</f>
        <v>0</v>
      </c>
      <c r="N562" s="43">
        <f t="shared" ref="N562:N593" si="118">+ROUND(G562*J562,0)</f>
        <v>0</v>
      </c>
      <c r="O562" s="43">
        <f t="shared" ref="O562:O593" si="119">+ROUND(H562*J562,0)</f>
        <v>0</v>
      </c>
      <c r="P562" s="43">
        <f t="shared" si="114"/>
        <v>5743947</v>
      </c>
      <c r="Q562" s="100"/>
      <c r="R562" s="117"/>
    </row>
    <row r="563" spans="1:18" ht="31.5" hidden="1" customHeight="1" x14ac:dyDescent="0.25">
      <c r="A563" s="48" t="str">
        <f t="shared" si="108"/>
        <v>TL</v>
      </c>
      <c r="B563" s="32" t="s">
        <v>869</v>
      </c>
      <c r="C563" s="39" t="s">
        <v>246</v>
      </c>
      <c r="D563" s="13" t="s">
        <v>90</v>
      </c>
      <c r="E563" s="123">
        <v>0.18</v>
      </c>
      <c r="F563" s="123"/>
      <c r="G563" s="125"/>
      <c r="H563" s="125"/>
      <c r="I563" s="125">
        <f t="shared" si="115"/>
        <v>0.18</v>
      </c>
      <c r="J563" s="62">
        <f>'BIỂU HỢP ĐỒNG'!J552</f>
        <v>27096238</v>
      </c>
      <c r="K563" s="43"/>
      <c r="L563" s="62">
        <f t="shared" si="116"/>
        <v>4877323</v>
      </c>
      <c r="M563" s="43">
        <f t="shared" si="117"/>
        <v>0</v>
      </c>
      <c r="N563" s="43">
        <f t="shared" si="118"/>
        <v>0</v>
      </c>
      <c r="O563" s="43">
        <f t="shared" si="119"/>
        <v>0</v>
      </c>
      <c r="P563" s="43">
        <f t="shared" si="114"/>
        <v>4877323</v>
      </c>
      <c r="Q563" s="100"/>
      <c r="R563" s="117"/>
    </row>
    <row r="564" spans="1:18" ht="31.5" hidden="1" customHeight="1" x14ac:dyDescent="0.25">
      <c r="A564" s="48" t="str">
        <f t="shared" si="108"/>
        <v>TL</v>
      </c>
      <c r="B564" s="32" t="s">
        <v>870</v>
      </c>
      <c r="C564" s="39" t="s">
        <v>871</v>
      </c>
      <c r="D564" s="13" t="s">
        <v>13</v>
      </c>
      <c r="E564" s="123">
        <v>11</v>
      </c>
      <c r="F564" s="123"/>
      <c r="G564" s="125"/>
      <c r="H564" s="125"/>
      <c r="I564" s="125">
        <f t="shared" si="115"/>
        <v>11</v>
      </c>
      <c r="J564" s="62">
        <f>'BIỂU HỢP ĐỒNG'!J553</f>
        <v>86606</v>
      </c>
      <c r="K564" s="43"/>
      <c r="L564" s="62">
        <f t="shared" si="116"/>
        <v>952666</v>
      </c>
      <c r="M564" s="43">
        <f t="shared" si="117"/>
        <v>0</v>
      </c>
      <c r="N564" s="43">
        <f t="shared" si="118"/>
        <v>0</v>
      </c>
      <c r="O564" s="43">
        <f t="shared" si="119"/>
        <v>0</v>
      </c>
      <c r="P564" s="43">
        <f t="shared" si="114"/>
        <v>952666</v>
      </c>
      <c r="Q564" s="100"/>
      <c r="R564" s="117"/>
    </row>
    <row r="565" spans="1:18" ht="31.5" hidden="1" customHeight="1" x14ac:dyDescent="0.25">
      <c r="A565" s="48" t="str">
        <f t="shared" si="108"/>
        <v>TL</v>
      </c>
      <c r="B565" s="32" t="s">
        <v>872</v>
      </c>
      <c r="C565" s="39" t="s">
        <v>240</v>
      </c>
      <c r="D565" s="13" t="s">
        <v>16</v>
      </c>
      <c r="E565" s="123">
        <v>1.3</v>
      </c>
      <c r="F565" s="123"/>
      <c r="G565" s="125"/>
      <c r="H565" s="125"/>
      <c r="I565" s="125">
        <f t="shared" si="115"/>
        <v>1.3</v>
      </c>
      <c r="J565" s="62">
        <f>'BIỂU HỢP ĐỒNG'!J554</f>
        <v>842139</v>
      </c>
      <c r="K565" s="43"/>
      <c r="L565" s="62">
        <f t="shared" si="116"/>
        <v>1094781</v>
      </c>
      <c r="M565" s="43">
        <f t="shared" si="117"/>
        <v>0</v>
      </c>
      <c r="N565" s="43">
        <f t="shared" si="118"/>
        <v>0</v>
      </c>
      <c r="O565" s="43">
        <f t="shared" si="119"/>
        <v>0</v>
      </c>
      <c r="P565" s="43">
        <f t="shared" si="114"/>
        <v>1094781</v>
      </c>
      <c r="Q565" s="100"/>
      <c r="R565" s="117"/>
    </row>
    <row r="566" spans="1:18" ht="31.5" hidden="1" customHeight="1" x14ac:dyDescent="0.25">
      <c r="A566" s="48" t="str">
        <f t="shared" si="108"/>
        <v>TL</v>
      </c>
      <c r="B566" s="32" t="s">
        <v>873</v>
      </c>
      <c r="C566" s="39" t="s">
        <v>874</v>
      </c>
      <c r="D566" s="13" t="s">
        <v>250</v>
      </c>
      <c r="E566" s="123">
        <v>10</v>
      </c>
      <c r="F566" s="123"/>
      <c r="G566" s="125"/>
      <c r="H566" s="125"/>
      <c r="I566" s="125">
        <f t="shared" si="115"/>
        <v>10</v>
      </c>
      <c r="J566" s="62">
        <f>'BIỂU HỢP ĐỒNG'!J555</f>
        <v>69167</v>
      </c>
      <c r="K566" s="43"/>
      <c r="L566" s="62">
        <f t="shared" si="116"/>
        <v>691670</v>
      </c>
      <c r="M566" s="43">
        <f t="shared" si="117"/>
        <v>0</v>
      </c>
      <c r="N566" s="43">
        <f t="shared" si="118"/>
        <v>0</v>
      </c>
      <c r="O566" s="43">
        <f t="shared" si="119"/>
        <v>0</v>
      </c>
      <c r="P566" s="43">
        <f t="shared" si="114"/>
        <v>691670</v>
      </c>
      <c r="Q566" s="100"/>
      <c r="R566" s="117"/>
    </row>
    <row r="567" spans="1:18" ht="47.25" hidden="1" customHeight="1" x14ac:dyDescent="0.25">
      <c r="A567" s="48" t="str">
        <f t="shared" si="108"/>
        <v>TL</v>
      </c>
      <c r="B567" s="32" t="s">
        <v>875</v>
      </c>
      <c r="C567" s="39" t="s">
        <v>876</v>
      </c>
      <c r="D567" s="13" t="s">
        <v>250</v>
      </c>
      <c r="E567" s="123">
        <v>10</v>
      </c>
      <c r="F567" s="123"/>
      <c r="G567" s="125"/>
      <c r="H567" s="125"/>
      <c r="I567" s="125">
        <f t="shared" si="115"/>
        <v>10</v>
      </c>
      <c r="J567" s="62">
        <f>'BIỂU HỢP ĐỒNG'!J556</f>
        <v>52812</v>
      </c>
      <c r="K567" s="43"/>
      <c r="L567" s="62">
        <f t="shared" si="116"/>
        <v>528120</v>
      </c>
      <c r="M567" s="43">
        <f t="shared" si="117"/>
        <v>0</v>
      </c>
      <c r="N567" s="43">
        <f t="shared" si="118"/>
        <v>0</v>
      </c>
      <c r="O567" s="43">
        <f t="shared" si="119"/>
        <v>0</v>
      </c>
      <c r="P567" s="43">
        <f t="shared" si="114"/>
        <v>528120</v>
      </c>
      <c r="Q567" s="100"/>
      <c r="R567" s="117"/>
    </row>
    <row r="568" spans="1:18" ht="31.5" hidden="1" customHeight="1" x14ac:dyDescent="0.25">
      <c r="A568" s="48" t="str">
        <f t="shared" si="108"/>
        <v>TL</v>
      </c>
      <c r="B568" s="32" t="s">
        <v>877</v>
      </c>
      <c r="C568" s="39" t="s">
        <v>284</v>
      </c>
      <c r="D568" s="13" t="s">
        <v>274</v>
      </c>
      <c r="E568" s="123">
        <v>0.88</v>
      </c>
      <c r="F568" s="123"/>
      <c r="G568" s="125"/>
      <c r="H568" s="125"/>
      <c r="I568" s="125">
        <f t="shared" si="115"/>
        <v>0.88</v>
      </c>
      <c r="J568" s="62">
        <f>'BIỂU HỢP ĐỒNG'!J557</f>
        <v>32162</v>
      </c>
      <c r="K568" s="43"/>
      <c r="L568" s="62">
        <f t="shared" si="116"/>
        <v>28303</v>
      </c>
      <c r="M568" s="43">
        <f t="shared" si="117"/>
        <v>0</v>
      </c>
      <c r="N568" s="43">
        <f t="shared" si="118"/>
        <v>0</v>
      </c>
      <c r="O568" s="43">
        <f t="shared" si="119"/>
        <v>0</v>
      </c>
      <c r="P568" s="43">
        <f t="shared" si="114"/>
        <v>28303</v>
      </c>
      <c r="Q568" s="100"/>
      <c r="R568" s="117"/>
    </row>
    <row r="569" spans="1:18" ht="31.5" hidden="1" customHeight="1" x14ac:dyDescent="0.25">
      <c r="A569" s="48" t="str">
        <f t="shared" si="108"/>
        <v>TL</v>
      </c>
      <c r="B569" s="32" t="s">
        <v>878</v>
      </c>
      <c r="C569" s="39" t="s">
        <v>257</v>
      </c>
      <c r="D569" s="13" t="s">
        <v>258</v>
      </c>
      <c r="E569" s="123">
        <v>10</v>
      </c>
      <c r="F569" s="123"/>
      <c r="G569" s="125"/>
      <c r="H569" s="125"/>
      <c r="I569" s="125">
        <f t="shared" si="115"/>
        <v>10</v>
      </c>
      <c r="J569" s="62">
        <f>'BIỂU HỢP ĐỒNG'!J558</f>
        <v>142868</v>
      </c>
      <c r="K569" s="43"/>
      <c r="L569" s="62">
        <f t="shared" si="116"/>
        <v>1428680</v>
      </c>
      <c r="M569" s="43">
        <f t="shared" si="117"/>
        <v>0</v>
      </c>
      <c r="N569" s="43">
        <f t="shared" si="118"/>
        <v>0</v>
      </c>
      <c r="O569" s="43">
        <f t="shared" si="119"/>
        <v>0</v>
      </c>
      <c r="P569" s="43">
        <f t="shared" si="114"/>
        <v>1428680</v>
      </c>
      <c r="Q569" s="100"/>
      <c r="R569" s="117"/>
    </row>
    <row r="570" spans="1:18" hidden="1" x14ac:dyDescent="0.25">
      <c r="A570" s="48" t="str">
        <f t="shared" si="108"/>
        <v>TL</v>
      </c>
      <c r="B570" s="32" t="s">
        <v>879</v>
      </c>
      <c r="C570" s="39" t="s">
        <v>334</v>
      </c>
      <c r="D570" s="13" t="s">
        <v>16</v>
      </c>
      <c r="E570" s="123">
        <v>17.95</v>
      </c>
      <c r="F570" s="123"/>
      <c r="G570" s="125"/>
      <c r="H570" s="125"/>
      <c r="I570" s="125">
        <f t="shared" si="115"/>
        <v>17.95</v>
      </c>
      <c r="J570" s="62">
        <f>'BIỂU HỢP ĐỒNG'!J559</f>
        <v>1471205</v>
      </c>
      <c r="K570" s="43"/>
      <c r="L570" s="62">
        <f t="shared" si="116"/>
        <v>26408130</v>
      </c>
      <c r="M570" s="43">
        <f t="shared" si="117"/>
        <v>0</v>
      </c>
      <c r="N570" s="43">
        <f t="shared" si="118"/>
        <v>0</v>
      </c>
      <c r="O570" s="43">
        <f t="shared" si="119"/>
        <v>0</v>
      </c>
      <c r="P570" s="43">
        <f t="shared" si="114"/>
        <v>26408130</v>
      </c>
      <c r="Q570" s="100"/>
      <c r="R570" s="117"/>
    </row>
    <row r="571" spans="1:18" ht="31.5" hidden="1" customHeight="1" x14ac:dyDescent="0.25">
      <c r="A571" s="48" t="str">
        <f t="shared" si="108"/>
        <v>TL</v>
      </c>
      <c r="B571" s="32" t="s">
        <v>880</v>
      </c>
      <c r="C571" s="39" t="s">
        <v>246</v>
      </c>
      <c r="D571" s="13" t="s">
        <v>90</v>
      </c>
      <c r="E571" s="123">
        <v>0.9</v>
      </c>
      <c r="F571" s="123"/>
      <c r="G571" s="125"/>
      <c r="H571" s="125"/>
      <c r="I571" s="125">
        <f t="shared" si="115"/>
        <v>0.9</v>
      </c>
      <c r="J571" s="62">
        <f>'BIỂU HỢP ĐỒNG'!J560</f>
        <v>27096238</v>
      </c>
      <c r="K571" s="43"/>
      <c r="L571" s="62">
        <f t="shared" si="116"/>
        <v>24386614</v>
      </c>
      <c r="M571" s="43">
        <f t="shared" si="117"/>
        <v>0</v>
      </c>
      <c r="N571" s="43">
        <f t="shared" si="118"/>
        <v>0</v>
      </c>
      <c r="O571" s="43">
        <f t="shared" si="119"/>
        <v>0</v>
      </c>
      <c r="P571" s="43">
        <f t="shared" si="114"/>
        <v>24386614</v>
      </c>
      <c r="Q571" s="100"/>
      <c r="R571" s="117"/>
    </row>
    <row r="572" spans="1:18" ht="31.5" hidden="1" customHeight="1" x14ac:dyDescent="0.25">
      <c r="A572" s="48" t="str">
        <f t="shared" si="108"/>
        <v>TL</v>
      </c>
      <c r="B572" s="32" t="s">
        <v>881</v>
      </c>
      <c r="C572" s="39" t="s">
        <v>871</v>
      </c>
      <c r="D572" s="13" t="s">
        <v>13</v>
      </c>
      <c r="E572" s="123">
        <v>44.34</v>
      </c>
      <c r="F572" s="123"/>
      <c r="G572" s="125"/>
      <c r="H572" s="125"/>
      <c r="I572" s="125">
        <f t="shared" si="115"/>
        <v>44.34</v>
      </c>
      <c r="J572" s="62">
        <f>'BIỂU HỢP ĐỒNG'!J561</f>
        <v>86606</v>
      </c>
      <c r="K572" s="43"/>
      <c r="L572" s="62">
        <f t="shared" si="116"/>
        <v>3840110</v>
      </c>
      <c r="M572" s="43">
        <f t="shared" si="117"/>
        <v>0</v>
      </c>
      <c r="N572" s="43">
        <f t="shared" si="118"/>
        <v>0</v>
      </c>
      <c r="O572" s="43">
        <f t="shared" si="119"/>
        <v>0</v>
      </c>
      <c r="P572" s="43">
        <f t="shared" si="114"/>
        <v>3840110</v>
      </c>
      <c r="Q572" s="100"/>
      <c r="R572" s="117"/>
    </row>
    <row r="573" spans="1:18" ht="47.25" hidden="1" customHeight="1" x14ac:dyDescent="0.25">
      <c r="A573" s="48" t="str">
        <f t="shared" si="108"/>
        <v>TL</v>
      </c>
      <c r="B573" s="32" t="s">
        <v>882</v>
      </c>
      <c r="C573" s="39" t="s">
        <v>349</v>
      </c>
      <c r="D573" s="13" t="s">
        <v>250</v>
      </c>
      <c r="E573" s="123">
        <v>34</v>
      </c>
      <c r="F573" s="123"/>
      <c r="G573" s="125"/>
      <c r="H573" s="125"/>
      <c r="I573" s="125">
        <f t="shared" si="115"/>
        <v>34</v>
      </c>
      <c r="J573" s="62">
        <f>'BIỂU HỢP ĐỒNG'!J562</f>
        <v>79217</v>
      </c>
      <c r="K573" s="43"/>
      <c r="L573" s="62">
        <f t="shared" si="116"/>
        <v>2693378</v>
      </c>
      <c r="M573" s="43">
        <f t="shared" si="117"/>
        <v>0</v>
      </c>
      <c r="N573" s="43">
        <f t="shared" si="118"/>
        <v>0</v>
      </c>
      <c r="O573" s="43">
        <f t="shared" si="119"/>
        <v>0</v>
      </c>
      <c r="P573" s="43">
        <f t="shared" si="114"/>
        <v>2693378</v>
      </c>
      <c r="Q573" s="100"/>
      <c r="R573" s="117"/>
    </row>
    <row r="574" spans="1:18" ht="47.25" hidden="1" customHeight="1" x14ac:dyDescent="0.25">
      <c r="A574" s="48" t="str">
        <f t="shared" si="108"/>
        <v>TL</v>
      </c>
      <c r="B574" s="32" t="s">
        <v>883</v>
      </c>
      <c r="C574" s="39" t="s">
        <v>351</v>
      </c>
      <c r="D574" s="13" t="s">
        <v>250</v>
      </c>
      <c r="E574" s="123">
        <v>34</v>
      </c>
      <c r="F574" s="123"/>
      <c r="G574" s="125"/>
      <c r="H574" s="125"/>
      <c r="I574" s="125">
        <f t="shared" si="115"/>
        <v>34</v>
      </c>
      <c r="J574" s="62">
        <f>'BIỂU HỢP ĐỒNG'!J563</f>
        <v>65424</v>
      </c>
      <c r="K574" s="43"/>
      <c r="L574" s="62">
        <f t="shared" si="116"/>
        <v>2224416</v>
      </c>
      <c r="M574" s="43">
        <f t="shared" si="117"/>
        <v>0</v>
      </c>
      <c r="N574" s="43">
        <f t="shared" si="118"/>
        <v>0</v>
      </c>
      <c r="O574" s="43">
        <f t="shared" si="119"/>
        <v>0</v>
      </c>
      <c r="P574" s="43">
        <f t="shared" si="114"/>
        <v>2224416</v>
      </c>
      <c r="Q574" s="100"/>
      <c r="R574" s="117"/>
    </row>
    <row r="575" spans="1:18" ht="31.5" hidden="1" customHeight="1" x14ac:dyDescent="0.25">
      <c r="A575" s="48" t="str">
        <f t="shared" si="108"/>
        <v>TL</v>
      </c>
      <c r="B575" s="32" t="s">
        <v>884</v>
      </c>
      <c r="C575" s="39" t="s">
        <v>284</v>
      </c>
      <c r="D575" s="13" t="s">
        <v>253</v>
      </c>
      <c r="E575" s="123">
        <v>4.49</v>
      </c>
      <c r="F575" s="123"/>
      <c r="G575" s="125"/>
      <c r="H575" s="125"/>
      <c r="I575" s="125">
        <f t="shared" si="115"/>
        <v>4.49</v>
      </c>
      <c r="J575" s="62">
        <f>'BIỂU HỢP ĐỒNG'!J564</f>
        <v>32162</v>
      </c>
      <c r="K575" s="43"/>
      <c r="L575" s="62">
        <f t="shared" si="116"/>
        <v>144407</v>
      </c>
      <c r="M575" s="43">
        <f t="shared" si="117"/>
        <v>0</v>
      </c>
      <c r="N575" s="43">
        <f t="shared" si="118"/>
        <v>0</v>
      </c>
      <c r="O575" s="43">
        <f t="shared" si="119"/>
        <v>0</v>
      </c>
      <c r="P575" s="43">
        <f t="shared" si="114"/>
        <v>144407</v>
      </c>
      <c r="Q575" s="100"/>
      <c r="R575" s="117"/>
    </row>
    <row r="576" spans="1:18" ht="31.5" hidden="1" customHeight="1" x14ac:dyDescent="0.25">
      <c r="A576" s="48" t="str">
        <f t="shared" si="108"/>
        <v>TL</v>
      </c>
      <c r="B576" s="32" t="s">
        <v>885</v>
      </c>
      <c r="C576" s="39" t="s">
        <v>355</v>
      </c>
      <c r="D576" s="13" t="s">
        <v>258</v>
      </c>
      <c r="E576" s="123">
        <v>34</v>
      </c>
      <c r="F576" s="123"/>
      <c r="G576" s="125"/>
      <c r="H576" s="125"/>
      <c r="I576" s="125">
        <f t="shared" si="115"/>
        <v>34</v>
      </c>
      <c r="J576" s="62">
        <f>'BIỂU HỢP ĐỒNG'!J565</f>
        <v>120701</v>
      </c>
      <c r="K576" s="43"/>
      <c r="L576" s="62">
        <f t="shared" si="116"/>
        <v>4103834</v>
      </c>
      <c r="M576" s="43">
        <f t="shared" si="117"/>
        <v>0</v>
      </c>
      <c r="N576" s="43">
        <f t="shared" si="118"/>
        <v>0</v>
      </c>
      <c r="O576" s="43">
        <f t="shared" si="119"/>
        <v>0</v>
      </c>
      <c r="P576" s="43">
        <f t="shared" si="114"/>
        <v>4103834</v>
      </c>
      <c r="Q576" s="100"/>
      <c r="R576" s="117"/>
    </row>
    <row r="577" spans="1:18" hidden="1" x14ac:dyDescent="0.25">
      <c r="A577" s="48" t="str">
        <f t="shared" si="108"/>
        <v>TL</v>
      </c>
      <c r="B577" s="32" t="s">
        <v>886</v>
      </c>
      <c r="C577" s="39" t="s">
        <v>334</v>
      </c>
      <c r="D577" s="13" t="s">
        <v>16</v>
      </c>
      <c r="E577" s="123">
        <v>2.09</v>
      </c>
      <c r="F577" s="123"/>
      <c r="G577" s="125"/>
      <c r="H577" s="125"/>
      <c r="I577" s="125">
        <f t="shared" si="115"/>
        <v>2.09</v>
      </c>
      <c r="J577" s="62">
        <f>'BIỂU HỢP ĐỒNG'!J566</f>
        <v>1631803</v>
      </c>
      <c r="K577" s="43"/>
      <c r="L577" s="62">
        <f t="shared" si="116"/>
        <v>3410468</v>
      </c>
      <c r="M577" s="43">
        <f t="shared" si="117"/>
        <v>0</v>
      </c>
      <c r="N577" s="43">
        <f t="shared" si="118"/>
        <v>0</v>
      </c>
      <c r="O577" s="43">
        <f t="shared" si="119"/>
        <v>0</v>
      </c>
      <c r="P577" s="43">
        <f t="shared" si="114"/>
        <v>3410468</v>
      </c>
      <c r="Q577" s="100"/>
      <c r="R577" s="117"/>
    </row>
    <row r="578" spans="1:18" ht="31.5" hidden="1" customHeight="1" x14ac:dyDescent="0.25">
      <c r="A578" s="48" t="str">
        <f t="shared" si="108"/>
        <v>TL</v>
      </c>
      <c r="B578" s="32" t="s">
        <v>887</v>
      </c>
      <c r="C578" s="39" t="s">
        <v>246</v>
      </c>
      <c r="D578" s="13" t="s">
        <v>90</v>
      </c>
      <c r="E578" s="123">
        <v>0.14000000000000001</v>
      </c>
      <c r="F578" s="123"/>
      <c r="G578" s="125"/>
      <c r="H578" s="125"/>
      <c r="I578" s="125">
        <f t="shared" si="115"/>
        <v>0.14000000000000001</v>
      </c>
      <c r="J578" s="62">
        <f>'BIỂU HỢP ĐỒNG'!J567</f>
        <v>27096238</v>
      </c>
      <c r="K578" s="43"/>
      <c r="L578" s="62">
        <f t="shared" si="116"/>
        <v>3793473</v>
      </c>
      <c r="M578" s="43">
        <f t="shared" si="117"/>
        <v>0</v>
      </c>
      <c r="N578" s="43">
        <f t="shared" si="118"/>
        <v>0</v>
      </c>
      <c r="O578" s="43">
        <f t="shared" si="119"/>
        <v>0</v>
      </c>
      <c r="P578" s="43">
        <f t="shared" si="114"/>
        <v>3793473</v>
      </c>
      <c r="Q578" s="100"/>
      <c r="R578" s="117"/>
    </row>
    <row r="579" spans="1:18" ht="31.5" hidden="1" customHeight="1" x14ac:dyDescent="0.25">
      <c r="A579" s="48" t="str">
        <f t="shared" si="108"/>
        <v>TL</v>
      </c>
      <c r="B579" s="32" t="s">
        <v>888</v>
      </c>
      <c r="C579" s="39" t="s">
        <v>871</v>
      </c>
      <c r="D579" s="13" t="s">
        <v>13</v>
      </c>
      <c r="E579" s="123">
        <v>6.16</v>
      </c>
      <c r="F579" s="123"/>
      <c r="G579" s="125"/>
      <c r="H579" s="125"/>
      <c r="I579" s="125">
        <f t="shared" si="115"/>
        <v>6.16</v>
      </c>
      <c r="J579" s="62">
        <f>'BIỂU HỢP ĐỒNG'!J568</f>
        <v>86606</v>
      </c>
      <c r="K579" s="43"/>
      <c r="L579" s="62">
        <f t="shared" si="116"/>
        <v>533493</v>
      </c>
      <c r="M579" s="43">
        <f t="shared" si="117"/>
        <v>0</v>
      </c>
      <c r="N579" s="43">
        <f t="shared" si="118"/>
        <v>0</v>
      </c>
      <c r="O579" s="43">
        <f t="shared" si="119"/>
        <v>0</v>
      </c>
      <c r="P579" s="43">
        <f t="shared" si="114"/>
        <v>533493</v>
      </c>
      <c r="Q579" s="100"/>
      <c r="R579" s="117"/>
    </row>
    <row r="580" spans="1:18" ht="47.25" hidden="1" customHeight="1" x14ac:dyDescent="0.25">
      <c r="A580" s="48" t="str">
        <f t="shared" si="108"/>
        <v>TL</v>
      </c>
      <c r="B580" s="32" t="s">
        <v>889</v>
      </c>
      <c r="C580" s="39" t="s">
        <v>349</v>
      </c>
      <c r="D580" s="13" t="s">
        <v>250</v>
      </c>
      <c r="E580" s="123">
        <v>5</v>
      </c>
      <c r="F580" s="123"/>
      <c r="G580" s="125"/>
      <c r="H580" s="125"/>
      <c r="I580" s="125">
        <f t="shared" si="115"/>
        <v>5</v>
      </c>
      <c r="J580" s="62">
        <f>'BIỂU HỢP ĐỒNG'!J569</f>
        <v>79217</v>
      </c>
      <c r="K580" s="43"/>
      <c r="L580" s="62">
        <f t="shared" si="116"/>
        <v>396085</v>
      </c>
      <c r="M580" s="43">
        <f t="shared" si="117"/>
        <v>0</v>
      </c>
      <c r="N580" s="43">
        <f t="shared" si="118"/>
        <v>0</v>
      </c>
      <c r="O580" s="43">
        <f t="shared" si="119"/>
        <v>0</v>
      </c>
      <c r="P580" s="43">
        <f t="shared" si="114"/>
        <v>396085</v>
      </c>
      <c r="Q580" s="100"/>
      <c r="R580" s="117"/>
    </row>
    <row r="581" spans="1:18" ht="47.25" hidden="1" customHeight="1" x14ac:dyDescent="0.25">
      <c r="A581" s="48" t="str">
        <f t="shared" si="108"/>
        <v>TL</v>
      </c>
      <c r="B581" s="32" t="s">
        <v>890</v>
      </c>
      <c r="C581" s="39" t="s">
        <v>351</v>
      </c>
      <c r="D581" s="13" t="s">
        <v>250</v>
      </c>
      <c r="E581" s="123">
        <v>5</v>
      </c>
      <c r="F581" s="123"/>
      <c r="G581" s="125"/>
      <c r="H581" s="125"/>
      <c r="I581" s="125">
        <f t="shared" si="115"/>
        <v>5</v>
      </c>
      <c r="J581" s="62">
        <f>'BIỂU HỢP ĐỒNG'!J570</f>
        <v>65424</v>
      </c>
      <c r="K581" s="43"/>
      <c r="L581" s="62">
        <f t="shared" si="116"/>
        <v>327120</v>
      </c>
      <c r="M581" s="43">
        <f t="shared" si="117"/>
        <v>0</v>
      </c>
      <c r="N581" s="43">
        <f t="shared" si="118"/>
        <v>0</v>
      </c>
      <c r="O581" s="43">
        <f t="shared" si="119"/>
        <v>0</v>
      </c>
      <c r="P581" s="43">
        <f t="shared" si="114"/>
        <v>327120</v>
      </c>
      <c r="Q581" s="100"/>
      <c r="R581" s="117"/>
    </row>
    <row r="582" spans="1:18" ht="31.5" hidden="1" customHeight="1" x14ac:dyDescent="0.25">
      <c r="A582" s="48" t="str">
        <f t="shared" si="108"/>
        <v>TL</v>
      </c>
      <c r="B582" s="32" t="s">
        <v>891</v>
      </c>
      <c r="C582" s="39" t="s">
        <v>284</v>
      </c>
      <c r="D582" s="13" t="s">
        <v>274</v>
      </c>
      <c r="E582" s="123">
        <v>0.52</v>
      </c>
      <c r="F582" s="123"/>
      <c r="G582" s="125"/>
      <c r="H582" s="125"/>
      <c r="I582" s="125">
        <f t="shared" si="115"/>
        <v>0.52</v>
      </c>
      <c r="J582" s="62">
        <f>'BIỂU HỢP ĐỒNG'!J571</f>
        <v>32162</v>
      </c>
      <c r="K582" s="43"/>
      <c r="L582" s="62">
        <f t="shared" si="116"/>
        <v>16724</v>
      </c>
      <c r="M582" s="43">
        <f t="shared" si="117"/>
        <v>0</v>
      </c>
      <c r="N582" s="43">
        <f t="shared" si="118"/>
        <v>0</v>
      </c>
      <c r="O582" s="43">
        <f t="shared" si="119"/>
        <v>0</v>
      </c>
      <c r="P582" s="43">
        <f t="shared" si="114"/>
        <v>16724</v>
      </c>
      <c r="Q582" s="100"/>
      <c r="R582" s="117"/>
    </row>
    <row r="583" spans="1:18" ht="31.5" hidden="1" customHeight="1" x14ac:dyDescent="0.25">
      <c r="A583" s="48" t="str">
        <f t="shared" ref="A583:A646" si="120">A582</f>
        <v>TL</v>
      </c>
      <c r="B583" s="32" t="s">
        <v>892</v>
      </c>
      <c r="C583" s="39" t="s">
        <v>355</v>
      </c>
      <c r="D583" s="13" t="s">
        <v>258</v>
      </c>
      <c r="E583" s="123">
        <v>5</v>
      </c>
      <c r="F583" s="123"/>
      <c r="G583" s="125"/>
      <c r="H583" s="125"/>
      <c r="I583" s="125">
        <f t="shared" si="115"/>
        <v>5</v>
      </c>
      <c r="J583" s="62">
        <f>'BIỂU HỢP ĐỒNG'!J572</f>
        <v>120701</v>
      </c>
      <c r="K583" s="43"/>
      <c r="L583" s="62">
        <f t="shared" si="116"/>
        <v>603505</v>
      </c>
      <c r="M583" s="43">
        <f t="shared" si="117"/>
        <v>0</v>
      </c>
      <c r="N583" s="43">
        <f t="shared" si="118"/>
        <v>0</v>
      </c>
      <c r="O583" s="43">
        <f t="shared" si="119"/>
        <v>0</v>
      </c>
      <c r="P583" s="43">
        <f t="shared" si="114"/>
        <v>603505</v>
      </c>
      <c r="Q583" s="100"/>
      <c r="R583" s="117"/>
    </row>
    <row r="584" spans="1:18" hidden="1" x14ac:dyDescent="0.25">
      <c r="A584" s="48" t="str">
        <f t="shared" si="120"/>
        <v>TL</v>
      </c>
      <c r="B584" s="32" t="s">
        <v>893</v>
      </c>
      <c r="C584" s="39" t="s">
        <v>334</v>
      </c>
      <c r="D584" s="13" t="s">
        <v>16</v>
      </c>
      <c r="E584" s="123">
        <v>140.49</v>
      </c>
      <c r="F584" s="123"/>
      <c r="G584" s="125"/>
      <c r="H584" s="125"/>
      <c r="I584" s="125">
        <f t="shared" si="115"/>
        <v>140.49</v>
      </c>
      <c r="J584" s="62">
        <f>'BIỂU HỢP ĐỒNG'!J573</f>
        <v>1631803</v>
      </c>
      <c r="K584" s="43"/>
      <c r="L584" s="62">
        <f t="shared" si="116"/>
        <v>229252003</v>
      </c>
      <c r="M584" s="43">
        <f t="shared" si="117"/>
        <v>0</v>
      </c>
      <c r="N584" s="43">
        <f t="shared" si="118"/>
        <v>0</v>
      </c>
      <c r="O584" s="43">
        <f t="shared" si="119"/>
        <v>0</v>
      </c>
      <c r="P584" s="43">
        <f t="shared" si="114"/>
        <v>229252003</v>
      </c>
      <c r="Q584" s="100"/>
      <c r="R584" s="117"/>
    </row>
    <row r="585" spans="1:18" ht="31.5" hidden="1" customHeight="1" x14ac:dyDescent="0.25">
      <c r="A585" s="48" t="str">
        <f t="shared" si="120"/>
        <v>TL</v>
      </c>
      <c r="B585" s="32" t="s">
        <v>894</v>
      </c>
      <c r="C585" s="39" t="s">
        <v>246</v>
      </c>
      <c r="D585" s="13" t="s">
        <v>90</v>
      </c>
      <c r="E585" s="123">
        <v>6.68</v>
      </c>
      <c r="F585" s="123"/>
      <c r="G585" s="125"/>
      <c r="H585" s="125"/>
      <c r="I585" s="125">
        <f t="shared" si="115"/>
        <v>6.68</v>
      </c>
      <c r="J585" s="62">
        <f>'BIỂU HỢP ĐỒNG'!J574</f>
        <v>27096238</v>
      </c>
      <c r="K585" s="43"/>
      <c r="L585" s="62">
        <f t="shared" si="116"/>
        <v>181002870</v>
      </c>
      <c r="M585" s="43">
        <f t="shared" si="117"/>
        <v>0</v>
      </c>
      <c r="N585" s="43">
        <f t="shared" si="118"/>
        <v>0</v>
      </c>
      <c r="O585" s="43">
        <f t="shared" si="119"/>
        <v>0</v>
      </c>
      <c r="P585" s="43">
        <f t="shared" si="114"/>
        <v>181002870</v>
      </c>
      <c r="Q585" s="100"/>
      <c r="R585" s="117"/>
    </row>
    <row r="586" spans="1:18" ht="31.5" hidden="1" customHeight="1" x14ac:dyDescent="0.25">
      <c r="A586" s="48" t="str">
        <f t="shared" si="120"/>
        <v>TL</v>
      </c>
      <c r="B586" s="32" t="s">
        <v>895</v>
      </c>
      <c r="C586" s="39" t="s">
        <v>871</v>
      </c>
      <c r="D586" s="13" t="s">
        <v>13</v>
      </c>
      <c r="E586" s="123">
        <v>321.66000000000003</v>
      </c>
      <c r="F586" s="123"/>
      <c r="G586" s="125"/>
      <c r="H586" s="125"/>
      <c r="I586" s="125">
        <f t="shared" si="115"/>
        <v>321.66000000000003</v>
      </c>
      <c r="J586" s="62">
        <f>'BIỂU HỢP ĐỒNG'!J575</f>
        <v>86606</v>
      </c>
      <c r="K586" s="43"/>
      <c r="L586" s="62">
        <f t="shared" si="116"/>
        <v>27857686</v>
      </c>
      <c r="M586" s="43">
        <f t="shared" si="117"/>
        <v>0</v>
      </c>
      <c r="N586" s="43">
        <f t="shared" si="118"/>
        <v>0</v>
      </c>
      <c r="O586" s="43">
        <f t="shared" si="119"/>
        <v>0</v>
      </c>
      <c r="P586" s="43">
        <f t="shared" si="114"/>
        <v>27857686</v>
      </c>
      <c r="Q586" s="100"/>
      <c r="R586" s="117"/>
    </row>
    <row r="587" spans="1:18" ht="47.25" hidden="1" customHeight="1" x14ac:dyDescent="0.25">
      <c r="A587" s="48" t="str">
        <f t="shared" si="120"/>
        <v>TL</v>
      </c>
      <c r="B587" s="32" t="s">
        <v>896</v>
      </c>
      <c r="C587" s="39" t="s">
        <v>351</v>
      </c>
      <c r="D587" s="13" t="s">
        <v>250</v>
      </c>
      <c r="E587" s="123">
        <v>224</v>
      </c>
      <c r="F587" s="123"/>
      <c r="G587" s="125"/>
      <c r="H587" s="125"/>
      <c r="I587" s="125">
        <f t="shared" si="115"/>
        <v>224</v>
      </c>
      <c r="J587" s="62">
        <f>'BIỂU HỢP ĐỒNG'!J576</f>
        <v>65424</v>
      </c>
      <c r="K587" s="43"/>
      <c r="L587" s="62">
        <f t="shared" si="116"/>
        <v>14654976</v>
      </c>
      <c r="M587" s="43">
        <f t="shared" si="117"/>
        <v>0</v>
      </c>
      <c r="N587" s="43">
        <f t="shared" si="118"/>
        <v>0</v>
      </c>
      <c r="O587" s="43">
        <f t="shared" si="119"/>
        <v>0</v>
      </c>
      <c r="P587" s="43">
        <f t="shared" si="114"/>
        <v>14654976</v>
      </c>
      <c r="Q587" s="100"/>
      <c r="R587" s="117"/>
    </row>
    <row r="588" spans="1:18" ht="47.25" hidden="1" customHeight="1" x14ac:dyDescent="0.25">
      <c r="A588" s="48" t="str">
        <f t="shared" si="120"/>
        <v>TL</v>
      </c>
      <c r="B588" s="32" t="s">
        <v>897</v>
      </c>
      <c r="C588" s="39" t="s">
        <v>351</v>
      </c>
      <c r="D588" s="13" t="s">
        <v>250</v>
      </c>
      <c r="E588" s="123">
        <v>224</v>
      </c>
      <c r="F588" s="123"/>
      <c r="G588" s="125"/>
      <c r="H588" s="125"/>
      <c r="I588" s="125">
        <f t="shared" si="115"/>
        <v>224</v>
      </c>
      <c r="J588" s="62">
        <f>'BIỂU HỢP ĐỒNG'!J577</f>
        <v>65424</v>
      </c>
      <c r="K588" s="43"/>
      <c r="L588" s="62">
        <f t="shared" si="116"/>
        <v>14654976</v>
      </c>
      <c r="M588" s="43">
        <f t="shared" si="117"/>
        <v>0</v>
      </c>
      <c r="N588" s="43">
        <f t="shared" si="118"/>
        <v>0</v>
      </c>
      <c r="O588" s="43">
        <f t="shared" si="119"/>
        <v>0</v>
      </c>
      <c r="P588" s="43">
        <f t="shared" si="114"/>
        <v>14654976</v>
      </c>
      <c r="Q588" s="100"/>
      <c r="R588" s="117"/>
    </row>
    <row r="589" spans="1:18" ht="31.5" hidden="1" customHeight="1" x14ac:dyDescent="0.25">
      <c r="A589" s="48" t="str">
        <f t="shared" si="120"/>
        <v>TL</v>
      </c>
      <c r="B589" s="32" t="s">
        <v>898</v>
      </c>
      <c r="C589" s="39" t="s">
        <v>284</v>
      </c>
      <c r="D589" s="13" t="s">
        <v>253</v>
      </c>
      <c r="E589" s="123">
        <v>35.119999999999997</v>
      </c>
      <c r="F589" s="123"/>
      <c r="G589" s="125"/>
      <c r="H589" s="125"/>
      <c r="I589" s="125">
        <f t="shared" si="115"/>
        <v>35.119999999999997</v>
      </c>
      <c r="J589" s="62">
        <f>'BIỂU HỢP ĐỒNG'!J578</f>
        <v>32162</v>
      </c>
      <c r="K589" s="43"/>
      <c r="L589" s="62">
        <f t="shared" si="116"/>
        <v>1129529</v>
      </c>
      <c r="M589" s="43">
        <f t="shared" si="117"/>
        <v>0</v>
      </c>
      <c r="N589" s="43">
        <f t="shared" si="118"/>
        <v>0</v>
      </c>
      <c r="O589" s="43">
        <f t="shared" si="119"/>
        <v>0</v>
      </c>
      <c r="P589" s="43">
        <f t="shared" si="114"/>
        <v>1129529</v>
      </c>
      <c r="Q589" s="100"/>
      <c r="R589" s="117"/>
    </row>
    <row r="590" spans="1:18" ht="31.5" hidden="1" customHeight="1" x14ac:dyDescent="0.25">
      <c r="A590" s="48" t="str">
        <f t="shared" si="120"/>
        <v>TL</v>
      </c>
      <c r="B590" s="32" t="s">
        <v>899</v>
      </c>
      <c r="C590" s="39" t="s">
        <v>355</v>
      </c>
      <c r="D590" s="13" t="s">
        <v>258</v>
      </c>
      <c r="E590" s="123">
        <v>224</v>
      </c>
      <c r="F590" s="123"/>
      <c r="G590" s="125"/>
      <c r="H590" s="125"/>
      <c r="I590" s="125">
        <f t="shared" si="115"/>
        <v>224</v>
      </c>
      <c r="J590" s="62">
        <f>'BIỂU HỢP ĐỒNG'!J579</f>
        <v>120701</v>
      </c>
      <c r="K590" s="43"/>
      <c r="L590" s="62">
        <f t="shared" si="116"/>
        <v>27037024</v>
      </c>
      <c r="M590" s="43">
        <f t="shared" si="117"/>
        <v>0</v>
      </c>
      <c r="N590" s="43">
        <f t="shared" si="118"/>
        <v>0</v>
      </c>
      <c r="O590" s="43">
        <f t="shared" si="119"/>
        <v>0</v>
      </c>
      <c r="P590" s="43">
        <f t="shared" si="114"/>
        <v>27037024</v>
      </c>
      <c r="Q590" s="100"/>
      <c r="R590" s="117"/>
    </row>
    <row r="591" spans="1:18" hidden="1" x14ac:dyDescent="0.25">
      <c r="A591" s="48" t="str">
        <f t="shared" si="120"/>
        <v>TL</v>
      </c>
      <c r="B591" s="32" t="s">
        <v>900</v>
      </c>
      <c r="C591" s="39" t="s">
        <v>901</v>
      </c>
      <c r="D591" s="13" t="s">
        <v>16</v>
      </c>
      <c r="E591" s="123">
        <v>2.1</v>
      </c>
      <c r="F591" s="123"/>
      <c r="G591" s="125"/>
      <c r="H591" s="125"/>
      <c r="I591" s="125">
        <f t="shared" si="115"/>
        <v>2.1</v>
      </c>
      <c r="J591" s="62">
        <f>'BIỂU HỢP ĐỒNG'!J580</f>
        <v>1399730</v>
      </c>
      <c r="K591" s="43"/>
      <c r="L591" s="62">
        <f t="shared" si="116"/>
        <v>2939433</v>
      </c>
      <c r="M591" s="43">
        <f t="shared" si="117"/>
        <v>0</v>
      </c>
      <c r="N591" s="43">
        <f t="shared" si="118"/>
        <v>0</v>
      </c>
      <c r="O591" s="43">
        <f t="shared" si="119"/>
        <v>0</v>
      </c>
      <c r="P591" s="43">
        <f t="shared" si="114"/>
        <v>2939433</v>
      </c>
      <c r="Q591" s="100"/>
      <c r="R591" s="117"/>
    </row>
    <row r="592" spans="1:18" hidden="1" x14ac:dyDescent="0.25">
      <c r="A592" s="48" t="str">
        <f t="shared" si="120"/>
        <v>TL</v>
      </c>
      <c r="B592" s="32" t="s">
        <v>902</v>
      </c>
      <c r="C592" s="39" t="s">
        <v>125</v>
      </c>
      <c r="D592" s="13" t="s">
        <v>13</v>
      </c>
      <c r="E592" s="123">
        <v>9.1</v>
      </c>
      <c r="F592" s="123"/>
      <c r="G592" s="125"/>
      <c r="H592" s="125"/>
      <c r="I592" s="125">
        <f t="shared" si="115"/>
        <v>9.1</v>
      </c>
      <c r="J592" s="62">
        <f>'BIỂU HỢP ĐỒNG'!J581</f>
        <v>65242</v>
      </c>
      <c r="K592" s="43"/>
      <c r="L592" s="62">
        <f t="shared" si="116"/>
        <v>593702</v>
      </c>
      <c r="M592" s="43">
        <f t="shared" si="117"/>
        <v>0</v>
      </c>
      <c r="N592" s="43">
        <f t="shared" si="118"/>
        <v>0</v>
      </c>
      <c r="O592" s="43">
        <f t="shared" si="119"/>
        <v>0</v>
      </c>
      <c r="P592" s="43">
        <f t="shared" si="114"/>
        <v>593702</v>
      </c>
      <c r="Q592" s="100"/>
      <c r="R592" s="117"/>
    </row>
    <row r="593" spans="1:18" ht="31.5" hidden="1" customHeight="1" x14ac:dyDescent="0.25">
      <c r="A593" s="48" t="str">
        <f t="shared" si="120"/>
        <v>TL</v>
      </c>
      <c r="B593" s="32" t="s">
        <v>903</v>
      </c>
      <c r="C593" s="39" t="s">
        <v>240</v>
      </c>
      <c r="D593" s="13" t="s">
        <v>16</v>
      </c>
      <c r="E593" s="123">
        <v>97.48</v>
      </c>
      <c r="F593" s="123"/>
      <c r="G593" s="125"/>
      <c r="H593" s="125"/>
      <c r="I593" s="125">
        <f t="shared" si="115"/>
        <v>97.48</v>
      </c>
      <c r="J593" s="62">
        <f>'BIỂU HỢP ĐỒNG'!J582</f>
        <v>842139</v>
      </c>
      <c r="K593" s="43"/>
      <c r="L593" s="62">
        <f t="shared" si="116"/>
        <v>82091710</v>
      </c>
      <c r="M593" s="43">
        <f t="shared" si="117"/>
        <v>0</v>
      </c>
      <c r="N593" s="62">
        <f t="shared" si="118"/>
        <v>0</v>
      </c>
      <c r="O593" s="43">
        <f t="shared" si="119"/>
        <v>0</v>
      </c>
      <c r="P593" s="43">
        <f t="shared" si="114"/>
        <v>82091710</v>
      </c>
      <c r="Q593" s="100"/>
      <c r="R593" s="117"/>
    </row>
    <row r="594" spans="1:18" ht="31.5" hidden="1" customHeight="1" x14ac:dyDescent="0.25">
      <c r="A594" s="48" t="str">
        <f t="shared" si="120"/>
        <v>TL</v>
      </c>
      <c r="B594" s="32" t="s">
        <v>904</v>
      </c>
      <c r="C594" s="39" t="s">
        <v>905</v>
      </c>
      <c r="D594" s="13" t="s">
        <v>16</v>
      </c>
      <c r="E594" s="123">
        <v>80.209999999999994</v>
      </c>
      <c r="F594" s="123"/>
      <c r="G594" s="129">
        <v>-32.412500000000001</v>
      </c>
      <c r="H594" s="125"/>
      <c r="I594" s="125">
        <f t="shared" ref="I594:I625" si="121">SUM(E594:H594)</f>
        <v>47.797499999999992</v>
      </c>
      <c r="J594" s="62">
        <f>'BIỂU HỢP ĐỒNG'!J583</f>
        <v>1631803</v>
      </c>
      <c r="K594" s="43"/>
      <c r="L594" s="62">
        <f t="shared" ref="L594:L625" si="122">+ROUND(J594*E594,0)</f>
        <v>130886919</v>
      </c>
      <c r="M594" s="43">
        <f t="shared" ref="M594:M603" si="123">+ROUND(F594*J594,0)</f>
        <v>0</v>
      </c>
      <c r="N594" s="126">
        <f>+ROUND(G594*J594,-3)</f>
        <v>-52891000</v>
      </c>
      <c r="O594" s="43">
        <f t="shared" ref="O594:O625" si="124">+ROUND(H594*J594,0)</f>
        <v>0</v>
      </c>
      <c r="P594" s="43">
        <f t="shared" si="114"/>
        <v>77995919</v>
      </c>
      <c r="Q594" s="100"/>
      <c r="R594" s="117"/>
    </row>
    <row r="595" spans="1:18" ht="31.5" hidden="1" customHeight="1" x14ac:dyDescent="0.25">
      <c r="A595" s="48" t="str">
        <f t="shared" si="120"/>
        <v>TL</v>
      </c>
      <c r="B595" s="32" t="s">
        <v>906</v>
      </c>
      <c r="C595" s="39" t="s">
        <v>871</v>
      </c>
      <c r="D595" s="13" t="s">
        <v>13</v>
      </c>
      <c r="E595" s="123">
        <v>1162</v>
      </c>
      <c r="F595" s="123"/>
      <c r="G595" s="129">
        <v>-968.27</v>
      </c>
      <c r="H595" s="125"/>
      <c r="I595" s="125">
        <f t="shared" si="121"/>
        <v>193.73000000000002</v>
      </c>
      <c r="J595" s="62">
        <f>'BIỂU HỢP ĐỒNG'!J584</f>
        <v>250782</v>
      </c>
      <c r="K595" s="43"/>
      <c r="L595" s="62">
        <f t="shared" si="122"/>
        <v>291408684</v>
      </c>
      <c r="M595" s="43">
        <f t="shared" si="123"/>
        <v>0</v>
      </c>
      <c r="N595" s="126">
        <f>+ROUND(G595*J595,-3)</f>
        <v>-242825000</v>
      </c>
      <c r="O595" s="43">
        <f t="shared" si="124"/>
        <v>0</v>
      </c>
      <c r="P595" s="43">
        <f t="shared" si="114"/>
        <v>48583684</v>
      </c>
      <c r="Q595" s="100"/>
      <c r="R595" s="117"/>
    </row>
    <row r="596" spans="1:18" ht="31.5" hidden="1" customHeight="1" x14ac:dyDescent="0.25">
      <c r="A596" s="48" t="str">
        <f t="shared" si="120"/>
        <v>TL</v>
      </c>
      <c r="B596" s="32" t="s">
        <v>907</v>
      </c>
      <c r="C596" s="39" t="s">
        <v>246</v>
      </c>
      <c r="D596" s="13" t="s">
        <v>90</v>
      </c>
      <c r="E596" s="123">
        <v>10.6</v>
      </c>
      <c r="F596" s="123"/>
      <c r="G596" s="129">
        <v>-5.1128999999999998</v>
      </c>
      <c r="H596" s="125"/>
      <c r="I596" s="125">
        <f t="shared" si="121"/>
        <v>5.4870999999999999</v>
      </c>
      <c r="J596" s="62">
        <f>'BIỂU HỢP ĐỒNG'!J585</f>
        <v>27096238</v>
      </c>
      <c r="K596" s="43"/>
      <c r="L596" s="62">
        <f t="shared" si="122"/>
        <v>287220123</v>
      </c>
      <c r="M596" s="43">
        <f t="shared" si="123"/>
        <v>0</v>
      </c>
      <c r="N596" s="126">
        <f>+ROUND(G596*J596,-3)</f>
        <v>-138540000</v>
      </c>
      <c r="O596" s="43">
        <f t="shared" si="124"/>
        <v>0</v>
      </c>
      <c r="P596" s="43">
        <f t="shared" si="114"/>
        <v>148680123</v>
      </c>
      <c r="Q596" s="100"/>
      <c r="R596" s="117"/>
    </row>
    <row r="597" spans="1:18" ht="31.5" hidden="1" customHeight="1" x14ac:dyDescent="0.25">
      <c r="A597" s="48" t="str">
        <f t="shared" si="120"/>
        <v>TL</v>
      </c>
      <c r="B597" s="32" t="s">
        <v>908</v>
      </c>
      <c r="C597" s="39" t="s">
        <v>246</v>
      </c>
      <c r="D597" s="13" t="s">
        <v>90</v>
      </c>
      <c r="E597" s="123">
        <v>8.3000000000000007</v>
      </c>
      <c r="F597" s="123"/>
      <c r="G597" s="129">
        <v>-6.5187999999999997</v>
      </c>
      <c r="H597" s="125"/>
      <c r="I597" s="125">
        <f t="shared" si="121"/>
        <v>1.781200000000001</v>
      </c>
      <c r="J597" s="62">
        <f>'BIỂU HỢP ĐỒNG'!J586</f>
        <v>27096238</v>
      </c>
      <c r="K597" s="43"/>
      <c r="L597" s="62">
        <f t="shared" si="122"/>
        <v>224898775</v>
      </c>
      <c r="M597" s="43">
        <f t="shared" si="123"/>
        <v>0</v>
      </c>
      <c r="N597" s="126">
        <f>+ROUND(G597*J597,-3)</f>
        <v>-176635000</v>
      </c>
      <c r="O597" s="43">
        <f t="shared" si="124"/>
        <v>0</v>
      </c>
      <c r="P597" s="43">
        <f t="shared" si="114"/>
        <v>48263775</v>
      </c>
      <c r="Q597" s="100"/>
      <c r="R597" s="117"/>
    </row>
    <row r="598" spans="1:18" ht="47.25" hidden="1" customHeight="1" x14ac:dyDescent="0.25">
      <c r="A598" s="48" t="str">
        <f t="shared" si="120"/>
        <v>TL</v>
      </c>
      <c r="B598" s="32" t="s">
        <v>909</v>
      </c>
      <c r="C598" s="39" t="s">
        <v>910</v>
      </c>
      <c r="D598" s="13" t="s">
        <v>250</v>
      </c>
      <c r="E598" s="123">
        <v>243</v>
      </c>
      <c r="F598" s="123"/>
      <c r="G598" s="125"/>
      <c r="H598" s="125"/>
      <c r="I598" s="125">
        <f t="shared" si="121"/>
        <v>243</v>
      </c>
      <c r="J598" s="62">
        <f>'BIỂU HỢP ĐỒNG'!J587</f>
        <v>69167</v>
      </c>
      <c r="K598" s="43"/>
      <c r="L598" s="62">
        <f t="shared" si="122"/>
        <v>16807581</v>
      </c>
      <c r="M598" s="43">
        <f t="shared" si="123"/>
        <v>0</v>
      </c>
      <c r="N598" s="43">
        <f t="shared" ref="N598:N629" si="125">+ROUND(G598*J598,0)</f>
        <v>0</v>
      </c>
      <c r="O598" s="43">
        <f t="shared" si="124"/>
        <v>0</v>
      </c>
      <c r="P598" s="43">
        <f t="shared" si="114"/>
        <v>16807581</v>
      </c>
      <c r="Q598" s="100"/>
      <c r="R598" s="117"/>
    </row>
    <row r="599" spans="1:18" ht="47.25" hidden="1" customHeight="1" x14ac:dyDescent="0.25">
      <c r="A599" s="48" t="str">
        <f t="shared" si="120"/>
        <v>TL</v>
      </c>
      <c r="B599" s="32" t="s">
        <v>911</v>
      </c>
      <c r="C599" s="39" t="s">
        <v>876</v>
      </c>
      <c r="D599" s="13" t="s">
        <v>250</v>
      </c>
      <c r="E599" s="123">
        <v>243</v>
      </c>
      <c r="F599" s="123"/>
      <c r="G599" s="125"/>
      <c r="H599" s="125"/>
      <c r="I599" s="125">
        <f t="shared" si="121"/>
        <v>243</v>
      </c>
      <c r="J599" s="62">
        <f>'BIỂU HỢP ĐỒNG'!J588</f>
        <v>52812</v>
      </c>
      <c r="K599" s="43"/>
      <c r="L599" s="62">
        <f t="shared" si="122"/>
        <v>12833316</v>
      </c>
      <c r="M599" s="43">
        <f t="shared" si="123"/>
        <v>0</v>
      </c>
      <c r="N599" s="43">
        <f t="shared" si="125"/>
        <v>0</v>
      </c>
      <c r="O599" s="43">
        <f t="shared" si="124"/>
        <v>0</v>
      </c>
      <c r="P599" s="43">
        <f t="shared" si="114"/>
        <v>12833316</v>
      </c>
      <c r="Q599" s="100"/>
      <c r="R599" s="117"/>
    </row>
    <row r="600" spans="1:18" ht="31.5" hidden="1" customHeight="1" x14ac:dyDescent="0.25">
      <c r="A600" s="48" t="str">
        <f t="shared" si="120"/>
        <v>TL</v>
      </c>
      <c r="B600" s="32" t="s">
        <v>912</v>
      </c>
      <c r="C600" s="39" t="s">
        <v>284</v>
      </c>
      <c r="D600" s="13" t="s">
        <v>253</v>
      </c>
      <c r="E600" s="123">
        <v>20.05</v>
      </c>
      <c r="F600" s="123"/>
      <c r="G600" s="125"/>
      <c r="H600" s="125"/>
      <c r="I600" s="125">
        <f t="shared" si="121"/>
        <v>20.05</v>
      </c>
      <c r="J600" s="62">
        <f>'BIỂU HỢP ĐỒNG'!J589</f>
        <v>32162</v>
      </c>
      <c r="K600" s="43"/>
      <c r="L600" s="62">
        <f t="shared" si="122"/>
        <v>644848</v>
      </c>
      <c r="M600" s="43">
        <f t="shared" si="123"/>
        <v>0</v>
      </c>
      <c r="N600" s="43">
        <f t="shared" si="125"/>
        <v>0</v>
      </c>
      <c r="O600" s="43">
        <f t="shared" si="124"/>
        <v>0</v>
      </c>
      <c r="P600" s="43">
        <f t="shared" si="114"/>
        <v>644848</v>
      </c>
      <c r="Q600" s="100"/>
      <c r="R600" s="117"/>
    </row>
    <row r="601" spans="1:18" ht="31.5" hidden="1" customHeight="1" x14ac:dyDescent="0.25">
      <c r="A601" s="48" t="str">
        <f t="shared" si="120"/>
        <v>TL</v>
      </c>
      <c r="B601" s="32" t="s">
        <v>913</v>
      </c>
      <c r="C601" s="39" t="s">
        <v>257</v>
      </c>
      <c r="D601" s="13" t="s">
        <v>258</v>
      </c>
      <c r="E601" s="123">
        <v>243</v>
      </c>
      <c r="F601" s="123"/>
      <c r="G601" s="125"/>
      <c r="H601" s="125"/>
      <c r="I601" s="125">
        <f t="shared" si="121"/>
        <v>243</v>
      </c>
      <c r="J601" s="62">
        <f>'BIỂU HỢP ĐỒNG'!J590</f>
        <v>142868</v>
      </c>
      <c r="K601" s="43"/>
      <c r="L601" s="62">
        <f t="shared" si="122"/>
        <v>34716924</v>
      </c>
      <c r="M601" s="43">
        <f t="shared" si="123"/>
        <v>0</v>
      </c>
      <c r="N601" s="43">
        <f t="shared" si="125"/>
        <v>0</v>
      </c>
      <c r="O601" s="43">
        <f t="shared" si="124"/>
        <v>0</v>
      </c>
      <c r="P601" s="43">
        <f t="shared" si="114"/>
        <v>34716924</v>
      </c>
      <c r="Q601" s="100"/>
      <c r="R601" s="117"/>
    </row>
    <row r="602" spans="1:18" ht="31.5" hidden="1" customHeight="1" x14ac:dyDescent="0.25">
      <c r="A602" s="48" t="str">
        <f t="shared" si="120"/>
        <v>TL</v>
      </c>
      <c r="B602" s="32" t="s">
        <v>914</v>
      </c>
      <c r="C602" s="39" t="s">
        <v>240</v>
      </c>
      <c r="D602" s="13" t="s">
        <v>16</v>
      </c>
      <c r="E602" s="123">
        <v>7.9</v>
      </c>
      <c r="F602" s="123"/>
      <c r="G602" s="125"/>
      <c r="H602" s="125"/>
      <c r="I602" s="125">
        <f t="shared" si="121"/>
        <v>7.9</v>
      </c>
      <c r="J602" s="62">
        <f>'BIỂU HỢP ĐỒNG'!J591</f>
        <v>842139</v>
      </c>
      <c r="K602" s="43"/>
      <c r="L602" s="62">
        <f t="shared" si="122"/>
        <v>6652898</v>
      </c>
      <c r="M602" s="43">
        <f t="shared" si="123"/>
        <v>0</v>
      </c>
      <c r="N602" s="43">
        <f t="shared" si="125"/>
        <v>0</v>
      </c>
      <c r="O602" s="43">
        <f t="shared" si="124"/>
        <v>0</v>
      </c>
      <c r="P602" s="43">
        <f t="shared" si="114"/>
        <v>6652898</v>
      </c>
      <c r="Q602" s="100"/>
      <c r="R602" s="117"/>
    </row>
    <row r="603" spans="1:18" hidden="1" x14ac:dyDescent="0.25">
      <c r="A603" s="48" t="str">
        <f t="shared" si="120"/>
        <v>TL</v>
      </c>
      <c r="B603" s="32" t="s">
        <v>915</v>
      </c>
      <c r="C603" s="39" t="s">
        <v>364</v>
      </c>
      <c r="D603" s="13" t="s">
        <v>13</v>
      </c>
      <c r="E603" s="123">
        <v>77.3</v>
      </c>
      <c r="F603" s="123"/>
      <c r="G603" s="125"/>
      <c r="H603" s="125"/>
      <c r="I603" s="125">
        <f t="shared" si="121"/>
        <v>77.3</v>
      </c>
      <c r="J603" s="62">
        <f>'BIỂU HỢP ĐỒNG'!J592</f>
        <v>96659</v>
      </c>
      <c r="K603" s="43"/>
      <c r="L603" s="62">
        <f t="shared" si="122"/>
        <v>7471741</v>
      </c>
      <c r="M603" s="43">
        <f t="shared" si="123"/>
        <v>0</v>
      </c>
      <c r="N603" s="43">
        <f t="shared" si="125"/>
        <v>0</v>
      </c>
      <c r="O603" s="43">
        <f t="shared" si="124"/>
        <v>0</v>
      </c>
      <c r="P603" s="43">
        <f t="shared" si="114"/>
        <v>7471741</v>
      </c>
      <c r="Q603" s="100"/>
      <c r="R603" s="117"/>
    </row>
    <row r="604" spans="1:18" ht="31.5" hidden="1" customHeight="1" x14ac:dyDescent="0.25">
      <c r="A604" s="48" t="str">
        <f t="shared" si="120"/>
        <v>TL</v>
      </c>
      <c r="B604" s="32" t="s">
        <v>916</v>
      </c>
      <c r="C604" s="39" t="s">
        <v>917</v>
      </c>
      <c r="D604" s="13" t="s">
        <v>16</v>
      </c>
      <c r="E604" s="123">
        <v>6.1</v>
      </c>
      <c r="F604" s="128">
        <f>'[4]PHỤ LỤC GIÁ HỢP ĐỒNG'!$K$62</f>
        <v>-8.5679999999999978E-2</v>
      </c>
      <c r="G604" s="125"/>
      <c r="H604" s="125"/>
      <c r="I604" s="125">
        <f t="shared" si="121"/>
        <v>6.0143199999999997</v>
      </c>
      <c r="J604" s="62">
        <f>'BIỂU HỢP ĐỒNG'!J593</f>
        <v>610299</v>
      </c>
      <c r="K604" s="43"/>
      <c r="L604" s="62">
        <f t="shared" si="122"/>
        <v>3722824</v>
      </c>
      <c r="M604" s="126">
        <f>+ROUND(F604*J605,0)</f>
        <v>-20226</v>
      </c>
      <c r="N604" s="43">
        <f t="shared" si="125"/>
        <v>0</v>
      </c>
      <c r="O604" s="43">
        <f t="shared" si="124"/>
        <v>0</v>
      </c>
      <c r="P604" s="43">
        <f t="shared" si="114"/>
        <v>3702598</v>
      </c>
      <c r="Q604" s="100"/>
      <c r="R604" s="117"/>
    </row>
    <row r="605" spans="1:18" ht="31.5" hidden="1" customHeight="1" x14ac:dyDescent="0.25">
      <c r="A605" s="48" t="str">
        <f t="shared" si="120"/>
        <v>TL</v>
      </c>
      <c r="B605" s="32" t="s">
        <v>918</v>
      </c>
      <c r="C605" s="39" t="s">
        <v>919</v>
      </c>
      <c r="D605" s="13" t="s">
        <v>13</v>
      </c>
      <c r="E605" s="123">
        <v>1383.98</v>
      </c>
      <c r="F605" s="123"/>
      <c r="G605" s="125"/>
      <c r="H605" s="125"/>
      <c r="I605" s="125">
        <f t="shared" si="121"/>
        <v>1383.98</v>
      </c>
      <c r="J605" s="62">
        <f>'BIỂU HỢP ĐỒNG'!J594</f>
        <v>236061</v>
      </c>
      <c r="K605" s="43"/>
      <c r="L605" s="62">
        <f t="shared" si="122"/>
        <v>326703703</v>
      </c>
      <c r="M605" s="43">
        <f t="shared" ref="M605:M636" si="126">+ROUND(F605*J605,0)</f>
        <v>0</v>
      </c>
      <c r="N605" s="43">
        <f t="shared" si="125"/>
        <v>0</v>
      </c>
      <c r="O605" s="43">
        <f t="shared" si="124"/>
        <v>0</v>
      </c>
      <c r="P605" s="43">
        <f t="shared" si="114"/>
        <v>326703703</v>
      </c>
      <c r="Q605" s="100"/>
      <c r="R605" s="117"/>
    </row>
    <row r="606" spans="1:18" hidden="1" x14ac:dyDescent="0.25">
      <c r="A606" s="48" t="str">
        <f t="shared" si="120"/>
        <v>TL</v>
      </c>
      <c r="B606" s="32" t="s">
        <v>920</v>
      </c>
      <c r="C606" s="39" t="s">
        <v>366</v>
      </c>
      <c r="D606" s="13" t="s">
        <v>13</v>
      </c>
      <c r="E606" s="123">
        <v>5082.66</v>
      </c>
      <c r="F606" s="123"/>
      <c r="G606" s="125"/>
      <c r="H606" s="125"/>
      <c r="I606" s="125">
        <f t="shared" si="121"/>
        <v>5082.66</v>
      </c>
      <c r="J606" s="62">
        <f>'BIỂU HỢP ĐỒNG'!J595</f>
        <v>72328</v>
      </c>
      <c r="K606" s="43"/>
      <c r="L606" s="62">
        <f t="shared" si="122"/>
        <v>367618632</v>
      </c>
      <c r="M606" s="43">
        <f t="shared" si="126"/>
        <v>0</v>
      </c>
      <c r="N606" s="43">
        <f t="shared" si="125"/>
        <v>0</v>
      </c>
      <c r="O606" s="43">
        <f t="shared" si="124"/>
        <v>0</v>
      </c>
      <c r="P606" s="43">
        <f t="shared" si="114"/>
        <v>367618632</v>
      </c>
      <c r="Q606" s="100"/>
      <c r="R606" s="117"/>
    </row>
    <row r="607" spans="1:18" ht="31.5" hidden="1" customHeight="1" x14ac:dyDescent="0.25">
      <c r="A607" s="48" t="str">
        <f t="shared" si="120"/>
        <v>TL</v>
      </c>
      <c r="B607" s="32" t="s">
        <v>921</v>
      </c>
      <c r="C607" s="39" t="s">
        <v>368</v>
      </c>
      <c r="D607" s="13" t="s">
        <v>16</v>
      </c>
      <c r="E607" s="123">
        <v>44.66</v>
      </c>
      <c r="F607" s="123"/>
      <c r="G607" s="125"/>
      <c r="H607" s="125"/>
      <c r="I607" s="125">
        <f t="shared" si="121"/>
        <v>44.66</v>
      </c>
      <c r="J607" s="62">
        <f>'BIỂU HỢP ĐỒNG'!J596</f>
        <v>1881449</v>
      </c>
      <c r="K607" s="43"/>
      <c r="L607" s="62">
        <f t="shared" si="122"/>
        <v>84025512</v>
      </c>
      <c r="M607" s="43">
        <f t="shared" si="126"/>
        <v>0</v>
      </c>
      <c r="N607" s="43">
        <f t="shared" si="125"/>
        <v>0</v>
      </c>
      <c r="O607" s="43">
        <f t="shared" si="124"/>
        <v>0</v>
      </c>
      <c r="P607" s="43">
        <f t="shared" si="114"/>
        <v>84025512</v>
      </c>
      <c r="Q607" s="100"/>
      <c r="R607" s="117"/>
    </row>
    <row r="608" spans="1:18" hidden="1" x14ac:dyDescent="0.25">
      <c r="A608" s="48" t="str">
        <f t="shared" si="120"/>
        <v>TL</v>
      </c>
      <c r="B608" s="32" t="s">
        <v>922</v>
      </c>
      <c r="C608" s="39" t="s">
        <v>125</v>
      </c>
      <c r="D608" s="13" t="s">
        <v>13</v>
      </c>
      <c r="E608" s="123">
        <v>214</v>
      </c>
      <c r="F608" s="123"/>
      <c r="G608" s="125"/>
      <c r="H608" s="125"/>
      <c r="I608" s="125">
        <f t="shared" si="121"/>
        <v>214</v>
      </c>
      <c r="J608" s="62">
        <f>'BIỂU HỢP ĐỒNG'!J597</f>
        <v>104798</v>
      </c>
      <c r="K608" s="43"/>
      <c r="L608" s="62">
        <f t="shared" si="122"/>
        <v>22426772</v>
      </c>
      <c r="M608" s="43">
        <f t="shared" si="126"/>
        <v>0</v>
      </c>
      <c r="N608" s="43">
        <f t="shared" si="125"/>
        <v>0</v>
      </c>
      <c r="O608" s="43">
        <f t="shared" si="124"/>
        <v>0</v>
      </c>
      <c r="P608" s="43">
        <f t="shared" si="114"/>
        <v>22426772</v>
      </c>
      <c r="Q608" s="100"/>
      <c r="R608" s="117"/>
    </row>
    <row r="609" spans="1:18" ht="31.5" hidden="1" customHeight="1" x14ac:dyDescent="0.25">
      <c r="A609" s="48" t="str">
        <f t="shared" si="120"/>
        <v>TL</v>
      </c>
      <c r="B609" s="32" t="s">
        <v>923</v>
      </c>
      <c r="C609" s="39" t="s">
        <v>368</v>
      </c>
      <c r="D609" s="13" t="s">
        <v>16</v>
      </c>
      <c r="E609" s="123">
        <v>42</v>
      </c>
      <c r="F609" s="123"/>
      <c r="G609" s="125"/>
      <c r="H609" s="125"/>
      <c r="I609" s="125">
        <f t="shared" si="121"/>
        <v>42</v>
      </c>
      <c r="J609" s="62">
        <f>'BIỂU HỢP ĐỒNG'!J598</f>
        <v>1881449</v>
      </c>
      <c r="K609" s="43"/>
      <c r="L609" s="62">
        <f t="shared" si="122"/>
        <v>79020858</v>
      </c>
      <c r="M609" s="43">
        <f t="shared" si="126"/>
        <v>0</v>
      </c>
      <c r="N609" s="43">
        <f t="shared" si="125"/>
        <v>0</v>
      </c>
      <c r="O609" s="43">
        <f t="shared" si="124"/>
        <v>0</v>
      </c>
      <c r="P609" s="43">
        <f t="shared" si="114"/>
        <v>79020858</v>
      </c>
      <c r="Q609" s="100"/>
      <c r="R609" s="117"/>
    </row>
    <row r="610" spans="1:18" hidden="1" x14ac:dyDescent="0.25">
      <c r="A610" s="48" t="str">
        <f t="shared" si="120"/>
        <v>TL</v>
      </c>
      <c r="B610" s="32" t="s">
        <v>924</v>
      </c>
      <c r="C610" s="39" t="s">
        <v>125</v>
      </c>
      <c r="D610" s="13" t="s">
        <v>13</v>
      </c>
      <c r="E610" s="123">
        <v>151.46</v>
      </c>
      <c r="F610" s="123"/>
      <c r="G610" s="125"/>
      <c r="H610" s="125"/>
      <c r="I610" s="125">
        <f t="shared" si="121"/>
        <v>151.46</v>
      </c>
      <c r="J610" s="62">
        <f>'BIỂU HỢP ĐỒNG'!J599</f>
        <v>65242</v>
      </c>
      <c r="K610" s="43"/>
      <c r="L610" s="62">
        <f t="shared" si="122"/>
        <v>9881553</v>
      </c>
      <c r="M610" s="43">
        <f t="shared" si="126"/>
        <v>0</v>
      </c>
      <c r="N610" s="43">
        <f t="shared" si="125"/>
        <v>0</v>
      </c>
      <c r="O610" s="43">
        <f t="shared" si="124"/>
        <v>0</v>
      </c>
      <c r="P610" s="43">
        <f t="shared" si="114"/>
        <v>9881553</v>
      </c>
      <c r="Q610" s="100"/>
      <c r="R610" s="117"/>
    </row>
    <row r="611" spans="1:18" ht="47.25" hidden="1" customHeight="1" x14ac:dyDescent="0.25">
      <c r="A611" s="48" t="str">
        <f t="shared" si="120"/>
        <v>TL</v>
      </c>
      <c r="B611" s="32" t="s">
        <v>925</v>
      </c>
      <c r="C611" s="39" t="s">
        <v>926</v>
      </c>
      <c r="D611" s="13" t="s">
        <v>16</v>
      </c>
      <c r="E611" s="123">
        <v>133</v>
      </c>
      <c r="F611" s="123"/>
      <c r="G611" s="125"/>
      <c r="H611" s="125"/>
      <c r="I611" s="125">
        <f t="shared" si="121"/>
        <v>133</v>
      </c>
      <c r="J611" s="62">
        <f>'BIỂU HỢP ĐỒNG'!J600</f>
        <v>1399730</v>
      </c>
      <c r="K611" s="43"/>
      <c r="L611" s="62">
        <f t="shared" si="122"/>
        <v>186164090</v>
      </c>
      <c r="M611" s="43">
        <f t="shared" si="126"/>
        <v>0</v>
      </c>
      <c r="N611" s="43">
        <f t="shared" si="125"/>
        <v>0</v>
      </c>
      <c r="O611" s="43">
        <f t="shared" si="124"/>
        <v>0</v>
      </c>
      <c r="P611" s="43">
        <f t="shared" si="114"/>
        <v>186164090</v>
      </c>
      <c r="Q611" s="100"/>
      <c r="R611" s="117"/>
    </row>
    <row r="612" spans="1:18" ht="31.5" hidden="1" customHeight="1" x14ac:dyDescent="0.25">
      <c r="A612" s="48" t="str">
        <f t="shared" si="120"/>
        <v>TL</v>
      </c>
      <c r="B612" s="32" t="s">
        <v>927</v>
      </c>
      <c r="C612" s="39" t="s">
        <v>240</v>
      </c>
      <c r="D612" s="13" t="s">
        <v>16</v>
      </c>
      <c r="E612" s="123">
        <v>10</v>
      </c>
      <c r="F612" s="123"/>
      <c r="G612" s="125"/>
      <c r="H612" s="125"/>
      <c r="I612" s="125">
        <f t="shared" si="121"/>
        <v>10</v>
      </c>
      <c r="J612" s="62">
        <f>'BIỂU HỢP ĐỒNG'!J601</f>
        <v>842139</v>
      </c>
      <c r="K612" s="43"/>
      <c r="L612" s="62">
        <f t="shared" si="122"/>
        <v>8421390</v>
      </c>
      <c r="M612" s="43">
        <f t="shared" si="126"/>
        <v>0</v>
      </c>
      <c r="N612" s="43">
        <f t="shared" si="125"/>
        <v>0</v>
      </c>
      <c r="O612" s="43">
        <f t="shared" si="124"/>
        <v>0</v>
      </c>
      <c r="P612" s="43">
        <f t="shared" si="114"/>
        <v>8421390</v>
      </c>
      <c r="Q612" s="100"/>
      <c r="R612" s="117"/>
    </row>
    <row r="613" spans="1:18" hidden="1" x14ac:dyDescent="0.25">
      <c r="A613" s="48" t="str">
        <f t="shared" si="120"/>
        <v>TL</v>
      </c>
      <c r="B613" s="32" t="s">
        <v>928</v>
      </c>
      <c r="C613" s="39" t="s">
        <v>125</v>
      </c>
      <c r="D613" s="13" t="s">
        <v>13</v>
      </c>
      <c r="E613" s="123">
        <v>297.38</v>
      </c>
      <c r="F613" s="123"/>
      <c r="G613" s="125"/>
      <c r="H613" s="125"/>
      <c r="I613" s="125">
        <f t="shared" si="121"/>
        <v>297.38</v>
      </c>
      <c r="J613" s="62">
        <f>'BIỂU HỢP ĐỒNG'!J602</f>
        <v>104798</v>
      </c>
      <c r="K613" s="43"/>
      <c r="L613" s="62">
        <f t="shared" si="122"/>
        <v>31164829</v>
      </c>
      <c r="M613" s="43">
        <f t="shared" si="126"/>
        <v>0</v>
      </c>
      <c r="N613" s="43">
        <f t="shared" si="125"/>
        <v>0</v>
      </c>
      <c r="O613" s="43">
        <f t="shared" si="124"/>
        <v>0</v>
      </c>
      <c r="P613" s="43">
        <f t="shared" si="114"/>
        <v>31164829</v>
      </c>
      <c r="Q613" s="100"/>
      <c r="R613" s="117"/>
    </row>
    <row r="614" spans="1:18" ht="47.25" hidden="1" customHeight="1" x14ac:dyDescent="0.25">
      <c r="A614" s="48" t="str">
        <f t="shared" si="120"/>
        <v>TL</v>
      </c>
      <c r="B614" s="32" t="s">
        <v>929</v>
      </c>
      <c r="C614" s="39" t="s">
        <v>926</v>
      </c>
      <c r="D614" s="13" t="s">
        <v>16</v>
      </c>
      <c r="E614" s="123">
        <v>81.77</v>
      </c>
      <c r="F614" s="123"/>
      <c r="G614" s="125"/>
      <c r="H614" s="125"/>
      <c r="I614" s="125">
        <f t="shared" si="121"/>
        <v>81.77</v>
      </c>
      <c r="J614" s="62">
        <f>'BIỂU HỢP ĐỒNG'!J603</f>
        <v>1399730</v>
      </c>
      <c r="K614" s="43"/>
      <c r="L614" s="62">
        <f t="shared" si="122"/>
        <v>114455922</v>
      </c>
      <c r="M614" s="43">
        <f t="shared" si="126"/>
        <v>0</v>
      </c>
      <c r="N614" s="43">
        <f t="shared" si="125"/>
        <v>0</v>
      </c>
      <c r="O614" s="43">
        <f t="shared" si="124"/>
        <v>0</v>
      </c>
      <c r="P614" s="43">
        <f t="shared" si="114"/>
        <v>114455922</v>
      </c>
      <c r="Q614" s="100"/>
      <c r="R614" s="117"/>
    </row>
    <row r="615" spans="1:18" ht="31.5" hidden="1" customHeight="1" x14ac:dyDescent="0.25">
      <c r="A615" s="48" t="str">
        <f t="shared" si="120"/>
        <v>TL</v>
      </c>
      <c r="B615" s="32" t="s">
        <v>930</v>
      </c>
      <c r="C615" s="39" t="s">
        <v>240</v>
      </c>
      <c r="D615" s="13" t="s">
        <v>16</v>
      </c>
      <c r="E615" s="123">
        <v>12.78</v>
      </c>
      <c r="F615" s="123"/>
      <c r="G615" s="125"/>
      <c r="H615" s="125"/>
      <c r="I615" s="125">
        <f t="shared" si="121"/>
        <v>12.78</v>
      </c>
      <c r="J615" s="62">
        <f>'BIỂU HỢP ĐỒNG'!J604</f>
        <v>842139</v>
      </c>
      <c r="K615" s="43"/>
      <c r="L615" s="62">
        <f t="shared" si="122"/>
        <v>10762536</v>
      </c>
      <c r="M615" s="43">
        <f t="shared" si="126"/>
        <v>0</v>
      </c>
      <c r="N615" s="43">
        <f t="shared" si="125"/>
        <v>0</v>
      </c>
      <c r="O615" s="43">
        <f t="shared" si="124"/>
        <v>0</v>
      </c>
      <c r="P615" s="43">
        <f t="shared" si="114"/>
        <v>10762536</v>
      </c>
      <c r="Q615" s="100"/>
      <c r="R615" s="117"/>
    </row>
    <row r="616" spans="1:18" hidden="1" x14ac:dyDescent="0.25">
      <c r="A616" s="48" t="str">
        <f t="shared" si="120"/>
        <v>TL</v>
      </c>
      <c r="B616" s="32" t="s">
        <v>931</v>
      </c>
      <c r="C616" s="39" t="s">
        <v>125</v>
      </c>
      <c r="D616" s="13" t="s">
        <v>13</v>
      </c>
      <c r="E616" s="123">
        <v>238.26</v>
      </c>
      <c r="F616" s="123"/>
      <c r="G616" s="125"/>
      <c r="H616" s="125"/>
      <c r="I616" s="125">
        <f t="shared" si="121"/>
        <v>238.26</v>
      </c>
      <c r="J616" s="62">
        <f>'BIỂU HỢP ĐỒNG'!J605</f>
        <v>104798</v>
      </c>
      <c r="K616" s="43"/>
      <c r="L616" s="62">
        <f t="shared" si="122"/>
        <v>24969171</v>
      </c>
      <c r="M616" s="43">
        <f t="shared" si="126"/>
        <v>0</v>
      </c>
      <c r="N616" s="43">
        <f t="shared" si="125"/>
        <v>0</v>
      </c>
      <c r="O616" s="43">
        <f t="shared" si="124"/>
        <v>0</v>
      </c>
      <c r="P616" s="43">
        <f t="shared" si="114"/>
        <v>24969171</v>
      </c>
      <c r="Q616" s="100"/>
      <c r="R616" s="117"/>
    </row>
    <row r="617" spans="1:18" hidden="1" x14ac:dyDescent="0.25">
      <c r="A617" s="48" t="str">
        <f t="shared" si="120"/>
        <v>TL</v>
      </c>
      <c r="B617" s="32" t="s">
        <v>932</v>
      </c>
      <c r="C617" s="39" t="s">
        <v>933</v>
      </c>
      <c r="D617" s="13" t="s">
        <v>16</v>
      </c>
      <c r="E617" s="123">
        <v>55</v>
      </c>
      <c r="F617" s="123"/>
      <c r="G617" s="125"/>
      <c r="H617" s="125"/>
      <c r="I617" s="125">
        <f t="shared" si="121"/>
        <v>55</v>
      </c>
      <c r="J617" s="62">
        <f>'BIỂU HỢP ĐỒNG'!J606</f>
        <v>1332575</v>
      </c>
      <c r="K617" s="43"/>
      <c r="L617" s="62">
        <f t="shared" si="122"/>
        <v>73291625</v>
      </c>
      <c r="M617" s="43">
        <f t="shared" si="126"/>
        <v>0</v>
      </c>
      <c r="N617" s="43">
        <f t="shared" si="125"/>
        <v>0</v>
      </c>
      <c r="O617" s="43">
        <f t="shared" si="124"/>
        <v>0</v>
      </c>
      <c r="P617" s="43">
        <f t="shared" si="114"/>
        <v>73291625</v>
      </c>
      <c r="Q617" s="100"/>
      <c r="R617" s="117"/>
    </row>
    <row r="618" spans="1:18" ht="31.5" hidden="1" customHeight="1" x14ac:dyDescent="0.25">
      <c r="A618" s="48" t="str">
        <f t="shared" si="120"/>
        <v>TL</v>
      </c>
      <c r="B618" s="32" t="s">
        <v>934</v>
      </c>
      <c r="C618" s="39" t="s">
        <v>240</v>
      </c>
      <c r="D618" s="13" t="s">
        <v>16</v>
      </c>
      <c r="E618" s="123">
        <v>22</v>
      </c>
      <c r="F618" s="123"/>
      <c r="G618" s="125"/>
      <c r="H618" s="125"/>
      <c r="I618" s="125">
        <f t="shared" si="121"/>
        <v>22</v>
      </c>
      <c r="J618" s="62">
        <f>'BIỂU HỢP ĐỒNG'!J607</f>
        <v>842139</v>
      </c>
      <c r="K618" s="43"/>
      <c r="L618" s="62">
        <f t="shared" si="122"/>
        <v>18527058</v>
      </c>
      <c r="M618" s="43">
        <f t="shared" si="126"/>
        <v>0</v>
      </c>
      <c r="N618" s="43">
        <f t="shared" si="125"/>
        <v>0</v>
      </c>
      <c r="O618" s="43">
        <f t="shared" si="124"/>
        <v>0</v>
      </c>
      <c r="P618" s="43">
        <f t="shared" si="114"/>
        <v>18527058</v>
      </c>
      <c r="Q618" s="100"/>
      <c r="R618" s="117"/>
    </row>
    <row r="619" spans="1:18" hidden="1" x14ac:dyDescent="0.25">
      <c r="A619" s="48" t="str">
        <f t="shared" si="120"/>
        <v>TL</v>
      </c>
      <c r="B619" s="32" t="s">
        <v>935</v>
      </c>
      <c r="C619" s="39" t="s">
        <v>933</v>
      </c>
      <c r="D619" s="13" t="s">
        <v>16</v>
      </c>
      <c r="E619" s="123">
        <v>74</v>
      </c>
      <c r="F619" s="123"/>
      <c r="G619" s="125"/>
      <c r="H619" s="125"/>
      <c r="I619" s="125">
        <f t="shared" si="121"/>
        <v>74</v>
      </c>
      <c r="J619" s="62">
        <f>'BIỂU HỢP ĐỒNG'!J608</f>
        <v>1299241</v>
      </c>
      <c r="K619" s="43"/>
      <c r="L619" s="62">
        <f t="shared" si="122"/>
        <v>96143834</v>
      </c>
      <c r="M619" s="43">
        <f t="shared" si="126"/>
        <v>0</v>
      </c>
      <c r="N619" s="43">
        <f t="shared" si="125"/>
        <v>0</v>
      </c>
      <c r="O619" s="43">
        <f t="shared" si="124"/>
        <v>0</v>
      </c>
      <c r="P619" s="43">
        <f t="shared" si="114"/>
        <v>96143834</v>
      </c>
      <c r="Q619" s="100"/>
      <c r="R619" s="117"/>
    </row>
    <row r="620" spans="1:18" hidden="1" x14ac:dyDescent="0.25">
      <c r="A620" s="48" t="str">
        <f t="shared" si="120"/>
        <v>TL</v>
      </c>
      <c r="B620" s="32" t="s">
        <v>936</v>
      </c>
      <c r="C620" s="39" t="s">
        <v>937</v>
      </c>
      <c r="D620" s="13" t="s">
        <v>16</v>
      </c>
      <c r="E620" s="123">
        <v>43</v>
      </c>
      <c r="F620" s="123"/>
      <c r="G620" s="125"/>
      <c r="H620" s="125"/>
      <c r="I620" s="125">
        <f t="shared" si="121"/>
        <v>43</v>
      </c>
      <c r="J620" s="62">
        <f>'BIỂU HỢP ĐỒNG'!J609</f>
        <v>667791</v>
      </c>
      <c r="K620" s="43"/>
      <c r="L620" s="62">
        <f t="shared" si="122"/>
        <v>28715013</v>
      </c>
      <c r="M620" s="43">
        <f t="shared" si="126"/>
        <v>0</v>
      </c>
      <c r="N620" s="43">
        <f t="shared" si="125"/>
        <v>0</v>
      </c>
      <c r="O620" s="43">
        <f t="shared" si="124"/>
        <v>0</v>
      </c>
      <c r="P620" s="43">
        <f t="shared" si="114"/>
        <v>28715013</v>
      </c>
      <c r="Q620" s="100"/>
      <c r="R620" s="117"/>
    </row>
    <row r="621" spans="1:18" ht="31.5" hidden="1" customHeight="1" x14ac:dyDescent="0.25">
      <c r="A621" s="48" t="str">
        <f t="shared" si="120"/>
        <v>TL</v>
      </c>
      <c r="B621" s="32" t="s">
        <v>938</v>
      </c>
      <c r="C621" s="39" t="s">
        <v>240</v>
      </c>
      <c r="D621" s="13" t="s">
        <v>16</v>
      </c>
      <c r="E621" s="123">
        <v>21</v>
      </c>
      <c r="F621" s="123"/>
      <c r="G621" s="125"/>
      <c r="H621" s="125"/>
      <c r="I621" s="125">
        <f t="shared" si="121"/>
        <v>21</v>
      </c>
      <c r="J621" s="62">
        <f>'BIỂU HỢP ĐỒNG'!J610</f>
        <v>842139</v>
      </c>
      <c r="K621" s="43"/>
      <c r="L621" s="62">
        <f t="shared" si="122"/>
        <v>17684919</v>
      </c>
      <c r="M621" s="43">
        <f t="shared" si="126"/>
        <v>0</v>
      </c>
      <c r="N621" s="43">
        <f t="shared" si="125"/>
        <v>0</v>
      </c>
      <c r="O621" s="43">
        <f t="shared" si="124"/>
        <v>0</v>
      </c>
      <c r="P621" s="43">
        <f t="shared" si="114"/>
        <v>17684919</v>
      </c>
      <c r="Q621" s="100"/>
      <c r="R621" s="117"/>
    </row>
    <row r="622" spans="1:18" hidden="1" x14ac:dyDescent="0.25">
      <c r="A622" s="48" t="str">
        <f t="shared" si="120"/>
        <v>TL</v>
      </c>
      <c r="B622" s="32" t="s">
        <v>939</v>
      </c>
      <c r="C622" s="39" t="s">
        <v>940</v>
      </c>
      <c r="D622" s="13" t="s">
        <v>16</v>
      </c>
      <c r="E622" s="123">
        <v>3.76</v>
      </c>
      <c r="F622" s="123"/>
      <c r="G622" s="125"/>
      <c r="H622" s="125"/>
      <c r="I622" s="125">
        <f t="shared" si="121"/>
        <v>3.76</v>
      </c>
      <c r="J622" s="62">
        <f>'BIỂU HỢP ĐỒNG'!J611</f>
        <v>1881449</v>
      </c>
      <c r="K622" s="43"/>
      <c r="L622" s="62">
        <f t="shared" si="122"/>
        <v>7074248</v>
      </c>
      <c r="M622" s="43">
        <f t="shared" si="126"/>
        <v>0</v>
      </c>
      <c r="N622" s="43">
        <f t="shared" si="125"/>
        <v>0</v>
      </c>
      <c r="O622" s="43">
        <f t="shared" si="124"/>
        <v>0</v>
      </c>
      <c r="P622" s="43">
        <f t="shared" si="114"/>
        <v>7074248</v>
      </c>
      <c r="Q622" s="100"/>
      <c r="R622" s="117"/>
    </row>
    <row r="623" spans="1:18" hidden="1" x14ac:dyDescent="0.25">
      <c r="A623" s="48" t="str">
        <f t="shared" si="120"/>
        <v>TL</v>
      </c>
      <c r="B623" s="32" t="s">
        <v>941</v>
      </c>
      <c r="C623" s="39" t="s">
        <v>125</v>
      </c>
      <c r="D623" s="13" t="s">
        <v>13</v>
      </c>
      <c r="E623" s="123">
        <v>11.83</v>
      </c>
      <c r="F623" s="123"/>
      <c r="G623" s="125"/>
      <c r="H623" s="125"/>
      <c r="I623" s="125">
        <f t="shared" si="121"/>
        <v>11.83</v>
      </c>
      <c r="J623" s="62">
        <f>'BIỂU HỢP ĐỒNG'!J612</f>
        <v>104798</v>
      </c>
      <c r="K623" s="43"/>
      <c r="L623" s="62">
        <f t="shared" si="122"/>
        <v>1239760</v>
      </c>
      <c r="M623" s="43">
        <f t="shared" si="126"/>
        <v>0</v>
      </c>
      <c r="N623" s="43">
        <f t="shared" si="125"/>
        <v>0</v>
      </c>
      <c r="O623" s="43">
        <f t="shared" si="124"/>
        <v>0</v>
      </c>
      <c r="P623" s="43">
        <f t="shared" si="114"/>
        <v>1239760</v>
      </c>
      <c r="Q623" s="100"/>
      <c r="R623" s="117"/>
    </row>
    <row r="624" spans="1:18" ht="31.5" hidden="1" customHeight="1" x14ac:dyDescent="0.25">
      <c r="A624" s="48" t="str">
        <f t="shared" si="120"/>
        <v>TL</v>
      </c>
      <c r="B624" s="32" t="s">
        <v>942</v>
      </c>
      <c r="C624" s="39" t="s">
        <v>368</v>
      </c>
      <c r="D624" s="13" t="s">
        <v>16</v>
      </c>
      <c r="E624" s="123">
        <v>3.69</v>
      </c>
      <c r="F624" s="123"/>
      <c r="G624" s="125"/>
      <c r="H624" s="125"/>
      <c r="I624" s="125">
        <f t="shared" si="121"/>
        <v>3.69</v>
      </c>
      <c r="J624" s="62">
        <f>'BIỂU HỢP ĐỒNG'!J613</f>
        <v>1881449</v>
      </c>
      <c r="K624" s="43"/>
      <c r="L624" s="62">
        <f t="shared" si="122"/>
        <v>6942547</v>
      </c>
      <c r="M624" s="43">
        <f t="shared" si="126"/>
        <v>0</v>
      </c>
      <c r="N624" s="43">
        <f t="shared" si="125"/>
        <v>0</v>
      </c>
      <c r="O624" s="43">
        <f t="shared" si="124"/>
        <v>0</v>
      </c>
      <c r="P624" s="43">
        <f t="shared" ref="P624:P686" si="127">SUM(L624:O624)</f>
        <v>6942547</v>
      </c>
      <c r="Q624" s="100"/>
      <c r="R624" s="117"/>
    </row>
    <row r="625" spans="1:18" hidden="1" x14ac:dyDescent="0.25">
      <c r="A625" s="48" t="str">
        <f t="shared" si="120"/>
        <v>TL</v>
      </c>
      <c r="B625" s="32" t="s">
        <v>943</v>
      </c>
      <c r="C625" s="39" t="s">
        <v>125</v>
      </c>
      <c r="D625" s="13" t="s">
        <v>13</v>
      </c>
      <c r="E625" s="123">
        <v>5.86</v>
      </c>
      <c r="F625" s="123"/>
      <c r="G625" s="125"/>
      <c r="H625" s="125"/>
      <c r="I625" s="125">
        <f t="shared" si="121"/>
        <v>5.86</v>
      </c>
      <c r="J625" s="62">
        <f>'BIỂU HỢP ĐỒNG'!J614</f>
        <v>65242</v>
      </c>
      <c r="K625" s="43"/>
      <c r="L625" s="62">
        <f t="shared" si="122"/>
        <v>382318</v>
      </c>
      <c r="M625" s="43">
        <f t="shared" si="126"/>
        <v>0</v>
      </c>
      <c r="N625" s="43">
        <f t="shared" si="125"/>
        <v>0</v>
      </c>
      <c r="O625" s="43">
        <f t="shared" si="124"/>
        <v>0</v>
      </c>
      <c r="P625" s="43">
        <f t="shared" si="127"/>
        <v>382318</v>
      </c>
      <c r="Q625" s="100"/>
      <c r="R625" s="117"/>
    </row>
    <row r="626" spans="1:18" ht="31.5" hidden="1" customHeight="1" x14ac:dyDescent="0.25">
      <c r="A626" s="48" t="str">
        <f t="shared" si="120"/>
        <v>TL</v>
      </c>
      <c r="B626" s="32" t="s">
        <v>944</v>
      </c>
      <c r="C626" s="39" t="s">
        <v>240</v>
      </c>
      <c r="D626" s="13" t="s">
        <v>16</v>
      </c>
      <c r="E626" s="123">
        <v>1.78</v>
      </c>
      <c r="F626" s="123"/>
      <c r="G626" s="125"/>
      <c r="H626" s="125"/>
      <c r="I626" s="125">
        <f t="shared" ref="I626:I657" si="128">SUM(E626:H626)</f>
        <v>1.78</v>
      </c>
      <c r="J626" s="62">
        <f>'BIỂU HỢP ĐỒNG'!J615</f>
        <v>842139</v>
      </c>
      <c r="K626" s="43"/>
      <c r="L626" s="62">
        <f t="shared" ref="L626:L657" si="129">+ROUND(J626*E626,0)</f>
        <v>1499007</v>
      </c>
      <c r="M626" s="43">
        <f t="shared" si="126"/>
        <v>0</v>
      </c>
      <c r="N626" s="43">
        <f t="shared" si="125"/>
        <v>0</v>
      </c>
      <c r="O626" s="43">
        <f t="shared" ref="O626:O657" si="130">+ROUND(H626*J626,0)</f>
        <v>0</v>
      </c>
      <c r="P626" s="43">
        <f t="shared" si="127"/>
        <v>1499007</v>
      </c>
      <c r="Q626" s="100"/>
      <c r="R626" s="117"/>
    </row>
    <row r="627" spans="1:18" hidden="1" x14ac:dyDescent="0.25">
      <c r="A627" s="48" t="str">
        <f t="shared" si="120"/>
        <v>TL</v>
      </c>
      <c r="B627" s="32" t="s">
        <v>945</v>
      </c>
      <c r="C627" s="39" t="s">
        <v>122</v>
      </c>
      <c r="D627" s="13" t="s">
        <v>16</v>
      </c>
      <c r="E627" s="123">
        <v>9.41</v>
      </c>
      <c r="F627" s="123"/>
      <c r="G627" s="125"/>
      <c r="H627" s="125"/>
      <c r="I627" s="125">
        <f t="shared" si="128"/>
        <v>9.41</v>
      </c>
      <c r="J627" s="62">
        <f>'BIỂU HỢP ĐỒNG'!J616</f>
        <v>1866757</v>
      </c>
      <c r="K627" s="43"/>
      <c r="L627" s="62">
        <f t="shared" si="129"/>
        <v>17566183</v>
      </c>
      <c r="M627" s="43">
        <f t="shared" si="126"/>
        <v>0</v>
      </c>
      <c r="N627" s="43">
        <f t="shared" si="125"/>
        <v>0</v>
      </c>
      <c r="O627" s="43">
        <f t="shared" si="130"/>
        <v>0</v>
      </c>
      <c r="P627" s="43">
        <f t="shared" si="127"/>
        <v>17566183</v>
      </c>
      <c r="Q627" s="100"/>
      <c r="R627" s="117"/>
    </row>
    <row r="628" spans="1:18" hidden="1" x14ac:dyDescent="0.25">
      <c r="A628" s="48" t="str">
        <f t="shared" si="120"/>
        <v>TL</v>
      </c>
      <c r="B628" s="32" t="s">
        <v>946</v>
      </c>
      <c r="C628" s="39" t="s">
        <v>947</v>
      </c>
      <c r="D628" s="13" t="s">
        <v>13</v>
      </c>
      <c r="E628" s="123">
        <v>54.1</v>
      </c>
      <c r="F628" s="123"/>
      <c r="G628" s="125"/>
      <c r="H628" s="125"/>
      <c r="I628" s="125">
        <f t="shared" si="128"/>
        <v>54.1</v>
      </c>
      <c r="J628" s="62">
        <f>'BIỂU HỢP ĐỒNG'!J617</f>
        <v>79477</v>
      </c>
      <c r="K628" s="43"/>
      <c r="L628" s="62">
        <f t="shared" si="129"/>
        <v>4299706</v>
      </c>
      <c r="M628" s="43">
        <f t="shared" si="126"/>
        <v>0</v>
      </c>
      <c r="N628" s="43">
        <f t="shared" si="125"/>
        <v>0</v>
      </c>
      <c r="O628" s="43">
        <f t="shared" si="130"/>
        <v>0</v>
      </c>
      <c r="P628" s="43">
        <f t="shared" si="127"/>
        <v>4299706</v>
      </c>
      <c r="Q628" s="100"/>
      <c r="R628" s="117"/>
    </row>
    <row r="629" spans="1:18" hidden="1" x14ac:dyDescent="0.25">
      <c r="A629" s="48" t="str">
        <f t="shared" si="120"/>
        <v>TL</v>
      </c>
      <c r="B629" s="32" t="s">
        <v>948</v>
      </c>
      <c r="C629" s="39" t="s">
        <v>242</v>
      </c>
      <c r="D629" s="13" t="s">
        <v>16</v>
      </c>
      <c r="E629" s="123">
        <v>0.98</v>
      </c>
      <c r="F629" s="123"/>
      <c r="G629" s="125"/>
      <c r="H629" s="125"/>
      <c r="I629" s="125">
        <f t="shared" si="128"/>
        <v>0.98</v>
      </c>
      <c r="J629" s="62">
        <f>'BIỂU HỢP ĐỒNG'!J618</f>
        <v>1551168</v>
      </c>
      <c r="K629" s="43"/>
      <c r="L629" s="62">
        <f t="shared" si="129"/>
        <v>1520145</v>
      </c>
      <c r="M629" s="43">
        <f t="shared" si="126"/>
        <v>0</v>
      </c>
      <c r="N629" s="43">
        <f t="shared" si="125"/>
        <v>0</v>
      </c>
      <c r="O629" s="43">
        <f t="shared" si="130"/>
        <v>0</v>
      </c>
      <c r="P629" s="43">
        <f t="shared" si="127"/>
        <v>1520145</v>
      </c>
      <c r="Q629" s="100"/>
      <c r="R629" s="117"/>
    </row>
    <row r="630" spans="1:18" ht="31.5" hidden="1" customHeight="1" x14ac:dyDescent="0.25">
      <c r="A630" s="48" t="str">
        <f t="shared" si="120"/>
        <v>TL</v>
      </c>
      <c r="B630" s="32" t="s">
        <v>949</v>
      </c>
      <c r="C630" s="39" t="s">
        <v>871</v>
      </c>
      <c r="D630" s="13" t="s">
        <v>13</v>
      </c>
      <c r="E630" s="123">
        <v>3.16</v>
      </c>
      <c r="F630" s="123"/>
      <c r="G630" s="125"/>
      <c r="H630" s="125"/>
      <c r="I630" s="125">
        <f t="shared" si="128"/>
        <v>3.16</v>
      </c>
      <c r="J630" s="62">
        <f>'BIỂU HỢP ĐỒNG'!J619</f>
        <v>86606</v>
      </c>
      <c r="K630" s="43"/>
      <c r="L630" s="62">
        <f t="shared" si="129"/>
        <v>273675</v>
      </c>
      <c r="M630" s="43">
        <f t="shared" si="126"/>
        <v>0</v>
      </c>
      <c r="N630" s="43">
        <f t="shared" ref="N630:N661" si="131">+ROUND(G630*J630,0)</f>
        <v>0</v>
      </c>
      <c r="O630" s="43">
        <f t="shared" si="130"/>
        <v>0</v>
      </c>
      <c r="P630" s="43">
        <f t="shared" si="127"/>
        <v>273675</v>
      </c>
      <c r="Q630" s="100"/>
      <c r="R630" s="117"/>
    </row>
    <row r="631" spans="1:18" ht="31.5" hidden="1" customHeight="1" x14ac:dyDescent="0.25">
      <c r="A631" s="48" t="str">
        <f t="shared" si="120"/>
        <v>TL</v>
      </c>
      <c r="B631" s="32" t="s">
        <v>950</v>
      </c>
      <c r="C631" s="39" t="s">
        <v>246</v>
      </c>
      <c r="D631" s="13" t="s">
        <v>90</v>
      </c>
      <c r="E631" s="123">
        <v>0.01</v>
      </c>
      <c r="F631" s="123"/>
      <c r="G631" s="125"/>
      <c r="H631" s="125"/>
      <c r="I631" s="125">
        <f t="shared" si="128"/>
        <v>0.01</v>
      </c>
      <c r="J631" s="62">
        <f>'BIỂU HỢP ĐỒNG'!J620</f>
        <v>27096238</v>
      </c>
      <c r="K631" s="43"/>
      <c r="L631" s="62">
        <f t="shared" si="129"/>
        <v>270962</v>
      </c>
      <c r="M631" s="43">
        <f t="shared" si="126"/>
        <v>0</v>
      </c>
      <c r="N631" s="43">
        <f t="shared" si="131"/>
        <v>0</v>
      </c>
      <c r="O631" s="43">
        <f t="shared" si="130"/>
        <v>0</v>
      </c>
      <c r="P631" s="43">
        <f t="shared" si="127"/>
        <v>270962</v>
      </c>
      <c r="Q631" s="100"/>
      <c r="R631" s="117"/>
    </row>
    <row r="632" spans="1:18" ht="31.5" hidden="1" customHeight="1" x14ac:dyDescent="0.25">
      <c r="A632" s="48" t="str">
        <f t="shared" si="120"/>
        <v>TL</v>
      </c>
      <c r="B632" s="32" t="s">
        <v>951</v>
      </c>
      <c r="C632" s="39" t="s">
        <v>246</v>
      </c>
      <c r="D632" s="13" t="s">
        <v>90</v>
      </c>
      <c r="E632" s="123">
        <v>0.11</v>
      </c>
      <c r="F632" s="123"/>
      <c r="G632" s="125"/>
      <c r="H632" s="125"/>
      <c r="I632" s="125">
        <f t="shared" si="128"/>
        <v>0.11</v>
      </c>
      <c r="J632" s="62">
        <f>'BIỂU HỢP ĐỒNG'!J621</f>
        <v>27096238</v>
      </c>
      <c r="K632" s="43"/>
      <c r="L632" s="62">
        <f t="shared" si="129"/>
        <v>2980586</v>
      </c>
      <c r="M632" s="43">
        <f t="shared" si="126"/>
        <v>0</v>
      </c>
      <c r="N632" s="43">
        <f t="shared" si="131"/>
        <v>0</v>
      </c>
      <c r="O632" s="43">
        <f t="shared" si="130"/>
        <v>0</v>
      </c>
      <c r="P632" s="43">
        <f t="shared" si="127"/>
        <v>2980586</v>
      </c>
      <c r="Q632" s="100"/>
      <c r="R632" s="117"/>
    </row>
    <row r="633" spans="1:18" ht="47.25" hidden="1" customHeight="1" x14ac:dyDescent="0.25">
      <c r="A633" s="48" t="str">
        <f t="shared" si="120"/>
        <v>TL</v>
      </c>
      <c r="B633" s="32" t="s">
        <v>952</v>
      </c>
      <c r="C633" s="39" t="s">
        <v>272</v>
      </c>
      <c r="D633" s="13" t="s">
        <v>90</v>
      </c>
      <c r="E633" s="123">
        <v>2.4500000000000002</v>
      </c>
      <c r="F633" s="123"/>
      <c r="G633" s="125"/>
      <c r="H633" s="125"/>
      <c r="I633" s="125">
        <f t="shared" si="128"/>
        <v>2.4500000000000002</v>
      </c>
      <c r="J633" s="62">
        <f>'BIỂU HỢP ĐỒNG'!J622</f>
        <v>51234</v>
      </c>
      <c r="K633" s="43"/>
      <c r="L633" s="62">
        <f t="shared" si="129"/>
        <v>125523</v>
      </c>
      <c r="M633" s="43">
        <f t="shared" si="126"/>
        <v>0</v>
      </c>
      <c r="N633" s="43">
        <f t="shared" si="131"/>
        <v>0</v>
      </c>
      <c r="O633" s="43">
        <f t="shared" si="130"/>
        <v>0</v>
      </c>
      <c r="P633" s="43">
        <f t="shared" si="127"/>
        <v>125523</v>
      </c>
      <c r="Q633" s="100"/>
      <c r="R633" s="117"/>
    </row>
    <row r="634" spans="1:18" ht="31.5" hidden="1" customHeight="1" x14ac:dyDescent="0.25">
      <c r="A634" s="48" t="str">
        <f t="shared" si="120"/>
        <v>TL</v>
      </c>
      <c r="B634" s="32" t="s">
        <v>953</v>
      </c>
      <c r="C634" s="39" t="s">
        <v>284</v>
      </c>
      <c r="D634" s="13" t="s">
        <v>274</v>
      </c>
      <c r="E634" s="123">
        <v>0.24</v>
      </c>
      <c r="F634" s="123"/>
      <c r="G634" s="125"/>
      <c r="H634" s="125"/>
      <c r="I634" s="125">
        <f t="shared" si="128"/>
        <v>0.24</v>
      </c>
      <c r="J634" s="62">
        <f>'BIỂU HỢP ĐỒNG'!J623</f>
        <v>32162</v>
      </c>
      <c r="K634" s="43"/>
      <c r="L634" s="62">
        <f t="shared" si="129"/>
        <v>7719</v>
      </c>
      <c r="M634" s="43">
        <f t="shared" si="126"/>
        <v>0</v>
      </c>
      <c r="N634" s="43">
        <f t="shared" si="131"/>
        <v>0</v>
      </c>
      <c r="O634" s="43">
        <f t="shared" si="130"/>
        <v>0</v>
      </c>
      <c r="P634" s="43">
        <f t="shared" si="127"/>
        <v>7719</v>
      </c>
      <c r="Q634" s="100"/>
      <c r="R634" s="117"/>
    </row>
    <row r="635" spans="1:18" ht="31.5" hidden="1" customHeight="1" x14ac:dyDescent="0.25">
      <c r="A635" s="48" t="str">
        <f t="shared" si="120"/>
        <v>TL</v>
      </c>
      <c r="B635" s="32" t="s">
        <v>954</v>
      </c>
      <c r="C635" s="39" t="s">
        <v>257</v>
      </c>
      <c r="D635" s="13" t="s">
        <v>258</v>
      </c>
      <c r="E635" s="123">
        <v>6</v>
      </c>
      <c r="F635" s="123"/>
      <c r="G635" s="125"/>
      <c r="H635" s="125"/>
      <c r="I635" s="125">
        <f t="shared" si="128"/>
        <v>6</v>
      </c>
      <c r="J635" s="62">
        <f>'BIỂU HỢP ĐỒNG'!J624</f>
        <v>142868</v>
      </c>
      <c r="K635" s="43"/>
      <c r="L635" s="62">
        <f t="shared" si="129"/>
        <v>857208</v>
      </c>
      <c r="M635" s="43">
        <f t="shared" si="126"/>
        <v>0</v>
      </c>
      <c r="N635" s="43">
        <f t="shared" si="131"/>
        <v>0</v>
      </c>
      <c r="O635" s="43">
        <f t="shared" si="130"/>
        <v>0</v>
      </c>
      <c r="P635" s="43">
        <f t="shared" si="127"/>
        <v>857208</v>
      </c>
      <c r="Q635" s="100"/>
      <c r="R635" s="117"/>
    </row>
    <row r="636" spans="1:18" hidden="1" x14ac:dyDescent="0.25">
      <c r="A636" s="48" t="str">
        <f t="shared" si="120"/>
        <v>TL</v>
      </c>
      <c r="B636" s="32" t="s">
        <v>955</v>
      </c>
      <c r="C636" s="39" t="s">
        <v>242</v>
      </c>
      <c r="D636" s="13" t="s">
        <v>16</v>
      </c>
      <c r="E636" s="123">
        <v>0.28000000000000003</v>
      </c>
      <c r="F636" s="123"/>
      <c r="G636" s="125"/>
      <c r="H636" s="125"/>
      <c r="I636" s="125">
        <f t="shared" si="128"/>
        <v>0.28000000000000003</v>
      </c>
      <c r="J636" s="62">
        <f>'BIỂU HỢP ĐỒNG'!J625</f>
        <v>1631803</v>
      </c>
      <c r="K636" s="43"/>
      <c r="L636" s="62">
        <f t="shared" si="129"/>
        <v>456905</v>
      </c>
      <c r="M636" s="43">
        <f t="shared" si="126"/>
        <v>0</v>
      </c>
      <c r="N636" s="43">
        <f t="shared" si="131"/>
        <v>0</v>
      </c>
      <c r="O636" s="43">
        <f t="shared" si="130"/>
        <v>0</v>
      </c>
      <c r="P636" s="43">
        <f t="shared" si="127"/>
        <v>456905</v>
      </c>
      <c r="Q636" s="100"/>
      <c r="R636" s="117"/>
    </row>
    <row r="637" spans="1:18" ht="31.5" hidden="1" customHeight="1" x14ac:dyDescent="0.25">
      <c r="A637" s="48" t="str">
        <f t="shared" si="120"/>
        <v>TL</v>
      </c>
      <c r="B637" s="32" t="s">
        <v>956</v>
      </c>
      <c r="C637" s="39" t="s">
        <v>871</v>
      </c>
      <c r="D637" s="13" t="s">
        <v>13</v>
      </c>
      <c r="E637" s="123">
        <v>5.61</v>
      </c>
      <c r="F637" s="123"/>
      <c r="G637" s="125"/>
      <c r="H637" s="125"/>
      <c r="I637" s="125">
        <f t="shared" si="128"/>
        <v>5.61</v>
      </c>
      <c r="J637" s="62">
        <f>'BIỂU HỢP ĐỒNG'!J626</f>
        <v>86606</v>
      </c>
      <c r="K637" s="43"/>
      <c r="L637" s="62">
        <f t="shared" si="129"/>
        <v>485860</v>
      </c>
      <c r="M637" s="43">
        <f t="shared" ref="M637:M670" si="132">+ROUND(F637*J637,0)</f>
        <v>0</v>
      </c>
      <c r="N637" s="43">
        <f t="shared" si="131"/>
        <v>0</v>
      </c>
      <c r="O637" s="43">
        <f t="shared" si="130"/>
        <v>0</v>
      </c>
      <c r="P637" s="43">
        <f t="shared" si="127"/>
        <v>485860</v>
      </c>
      <c r="Q637" s="100"/>
      <c r="R637" s="117"/>
    </row>
    <row r="638" spans="1:18" ht="31.5" hidden="1" customHeight="1" x14ac:dyDescent="0.25">
      <c r="A638" s="48" t="str">
        <f t="shared" si="120"/>
        <v>TL</v>
      </c>
      <c r="B638" s="32" t="s">
        <v>957</v>
      </c>
      <c r="C638" s="39" t="s">
        <v>246</v>
      </c>
      <c r="D638" s="13" t="s">
        <v>90</v>
      </c>
      <c r="E638" s="123">
        <v>0.01</v>
      </c>
      <c r="F638" s="123"/>
      <c r="G638" s="125"/>
      <c r="H638" s="125"/>
      <c r="I638" s="125">
        <f t="shared" si="128"/>
        <v>0.01</v>
      </c>
      <c r="J638" s="62">
        <f>'BIỂU HỢP ĐỒNG'!J627</f>
        <v>27096238</v>
      </c>
      <c r="K638" s="43"/>
      <c r="L638" s="62">
        <f t="shared" si="129"/>
        <v>270962</v>
      </c>
      <c r="M638" s="43">
        <f t="shared" si="132"/>
        <v>0</v>
      </c>
      <c r="N638" s="43">
        <f t="shared" si="131"/>
        <v>0</v>
      </c>
      <c r="O638" s="43">
        <f t="shared" si="130"/>
        <v>0</v>
      </c>
      <c r="P638" s="43">
        <f t="shared" si="127"/>
        <v>270962</v>
      </c>
      <c r="Q638" s="100"/>
      <c r="R638" s="117"/>
    </row>
    <row r="639" spans="1:18" ht="31.5" hidden="1" customHeight="1" x14ac:dyDescent="0.25">
      <c r="A639" s="48" t="str">
        <f t="shared" si="120"/>
        <v>TL</v>
      </c>
      <c r="B639" s="32" t="s">
        <v>958</v>
      </c>
      <c r="C639" s="39" t="s">
        <v>246</v>
      </c>
      <c r="D639" s="13" t="s">
        <v>90</v>
      </c>
      <c r="E639" s="123">
        <v>0.02</v>
      </c>
      <c r="F639" s="123"/>
      <c r="G639" s="125"/>
      <c r="H639" s="125"/>
      <c r="I639" s="125">
        <f t="shared" si="128"/>
        <v>0.02</v>
      </c>
      <c r="J639" s="62">
        <f>'BIỂU HỢP ĐỒNG'!J628</f>
        <v>27096238</v>
      </c>
      <c r="K639" s="43"/>
      <c r="L639" s="62">
        <f t="shared" si="129"/>
        <v>541925</v>
      </c>
      <c r="M639" s="43">
        <f t="shared" si="132"/>
        <v>0</v>
      </c>
      <c r="N639" s="43">
        <f t="shared" si="131"/>
        <v>0</v>
      </c>
      <c r="O639" s="43">
        <f t="shared" si="130"/>
        <v>0</v>
      </c>
      <c r="P639" s="43">
        <f t="shared" si="127"/>
        <v>541925</v>
      </c>
      <c r="Q639" s="100"/>
      <c r="R639" s="117"/>
    </row>
    <row r="640" spans="1:18" ht="47.25" hidden="1" customHeight="1" x14ac:dyDescent="0.25">
      <c r="A640" s="48" t="str">
        <f t="shared" si="120"/>
        <v>TL</v>
      </c>
      <c r="B640" s="32" t="s">
        <v>959</v>
      </c>
      <c r="C640" s="39" t="s">
        <v>249</v>
      </c>
      <c r="D640" s="13" t="s">
        <v>250</v>
      </c>
      <c r="E640" s="123">
        <v>3</v>
      </c>
      <c r="F640" s="123"/>
      <c r="G640" s="125"/>
      <c r="H640" s="125"/>
      <c r="I640" s="125">
        <f t="shared" si="128"/>
        <v>3</v>
      </c>
      <c r="J640" s="62">
        <f>'BIỂU HỢP ĐỒNG'!J629</f>
        <v>52812</v>
      </c>
      <c r="K640" s="43"/>
      <c r="L640" s="62">
        <f t="shared" si="129"/>
        <v>158436</v>
      </c>
      <c r="M640" s="43">
        <f t="shared" si="132"/>
        <v>0</v>
      </c>
      <c r="N640" s="43">
        <f t="shared" si="131"/>
        <v>0</v>
      </c>
      <c r="O640" s="43">
        <f t="shared" si="130"/>
        <v>0</v>
      </c>
      <c r="P640" s="43">
        <f t="shared" si="127"/>
        <v>158436</v>
      </c>
      <c r="Q640" s="100"/>
      <c r="R640" s="117"/>
    </row>
    <row r="641" spans="1:18" ht="47.25" hidden="1" customHeight="1" x14ac:dyDescent="0.25">
      <c r="A641" s="48" t="str">
        <f t="shared" si="120"/>
        <v>TL</v>
      </c>
      <c r="B641" s="32" t="s">
        <v>960</v>
      </c>
      <c r="C641" s="39" t="s">
        <v>255</v>
      </c>
      <c r="D641" s="13" t="s">
        <v>250</v>
      </c>
      <c r="E641" s="123">
        <v>3</v>
      </c>
      <c r="F641" s="123"/>
      <c r="G641" s="125"/>
      <c r="H641" s="125"/>
      <c r="I641" s="125">
        <f t="shared" si="128"/>
        <v>3</v>
      </c>
      <c r="J641" s="62">
        <f>'BIỂU HỢP ĐỒNG'!J630</f>
        <v>42761</v>
      </c>
      <c r="K641" s="43"/>
      <c r="L641" s="62">
        <f t="shared" si="129"/>
        <v>128283</v>
      </c>
      <c r="M641" s="43">
        <f t="shared" si="132"/>
        <v>0</v>
      </c>
      <c r="N641" s="43">
        <f t="shared" si="131"/>
        <v>0</v>
      </c>
      <c r="O641" s="43">
        <f t="shared" si="130"/>
        <v>0</v>
      </c>
      <c r="P641" s="43">
        <f t="shared" si="127"/>
        <v>128283</v>
      </c>
      <c r="Q641" s="100"/>
      <c r="R641" s="117"/>
    </row>
    <row r="642" spans="1:18" ht="31.5" hidden="1" customHeight="1" x14ac:dyDescent="0.25">
      <c r="A642" s="48" t="str">
        <f t="shared" si="120"/>
        <v>TL</v>
      </c>
      <c r="B642" s="32" t="s">
        <v>961</v>
      </c>
      <c r="C642" s="39" t="s">
        <v>284</v>
      </c>
      <c r="D642" s="13" t="s">
        <v>274</v>
      </c>
      <c r="E642" s="123">
        <v>7.0000000000000007E-2</v>
      </c>
      <c r="F642" s="123"/>
      <c r="G642" s="125"/>
      <c r="H642" s="125"/>
      <c r="I642" s="125">
        <f t="shared" si="128"/>
        <v>7.0000000000000007E-2</v>
      </c>
      <c r="J642" s="62">
        <f>'BIỂU HỢP ĐỒNG'!J631</f>
        <v>32162</v>
      </c>
      <c r="K642" s="43"/>
      <c r="L642" s="62">
        <f t="shared" si="129"/>
        <v>2251</v>
      </c>
      <c r="M642" s="43">
        <f t="shared" si="132"/>
        <v>0</v>
      </c>
      <c r="N642" s="43">
        <f t="shared" si="131"/>
        <v>0</v>
      </c>
      <c r="O642" s="43">
        <f t="shared" si="130"/>
        <v>0</v>
      </c>
      <c r="P642" s="43">
        <f t="shared" si="127"/>
        <v>2251</v>
      </c>
      <c r="Q642" s="100"/>
      <c r="R642" s="117"/>
    </row>
    <row r="643" spans="1:18" ht="31.5" hidden="1" customHeight="1" x14ac:dyDescent="0.25">
      <c r="A643" s="48" t="str">
        <f t="shared" si="120"/>
        <v>TL</v>
      </c>
      <c r="B643" s="32" t="s">
        <v>962</v>
      </c>
      <c r="C643" s="39" t="s">
        <v>257</v>
      </c>
      <c r="D643" s="13" t="s">
        <v>258</v>
      </c>
      <c r="E643" s="123">
        <v>3</v>
      </c>
      <c r="F643" s="123"/>
      <c r="G643" s="125"/>
      <c r="H643" s="125"/>
      <c r="I643" s="125">
        <f t="shared" si="128"/>
        <v>3</v>
      </c>
      <c r="J643" s="62">
        <f>'BIỂU HỢP ĐỒNG'!J632</f>
        <v>294187</v>
      </c>
      <c r="K643" s="43"/>
      <c r="L643" s="62">
        <f t="shared" si="129"/>
        <v>882561</v>
      </c>
      <c r="M643" s="43">
        <f t="shared" si="132"/>
        <v>0</v>
      </c>
      <c r="N643" s="43">
        <f t="shared" si="131"/>
        <v>0</v>
      </c>
      <c r="O643" s="43">
        <f t="shared" si="130"/>
        <v>0</v>
      </c>
      <c r="P643" s="43">
        <f t="shared" si="127"/>
        <v>882561</v>
      </c>
      <c r="Q643" s="100"/>
      <c r="R643" s="117"/>
    </row>
    <row r="644" spans="1:18" hidden="1" x14ac:dyDescent="0.25">
      <c r="A644" s="48" t="str">
        <f t="shared" si="120"/>
        <v>TL</v>
      </c>
      <c r="B644" s="32" t="s">
        <v>963</v>
      </c>
      <c r="C644" s="39" t="s">
        <v>299</v>
      </c>
      <c r="D644" s="13" t="s">
        <v>258</v>
      </c>
      <c r="E644" s="123">
        <v>2</v>
      </c>
      <c r="F644" s="123"/>
      <c r="G644" s="125"/>
      <c r="H644" s="125"/>
      <c r="I644" s="125">
        <f t="shared" si="128"/>
        <v>2</v>
      </c>
      <c r="J644" s="62">
        <f>'BIỂU HỢP ĐỒNG'!J633</f>
        <v>787114</v>
      </c>
      <c r="K644" s="43"/>
      <c r="L644" s="62">
        <f t="shared" si="129"/>
        <v>1574228</v>
      </c>
      <c r="M644" s="43">
        <f t="shared" si="132"/>
        <v>0</v>
      </c>
      <c r="N644" s="43">
        <f t="shared" si="131"/>
        <v>0</v>
      </c>
      <c r="O644" s="43">
        <f t="shared" si="130"/>
        <v>0</v>
      </c>
      <c r="P644" s="43">
        <f t="shared" si="127"/>
        <v>1574228</v>
      </c>
      <c r="Q644" s="100"/>
      <c r="R644" s="117"/>
    </row>
    <row r="645" spans="1:18" ht="47.25" hidden="1" customHeight="1" x14ac:dyDescent="0.25">
      <c r="A645" s="48" t="str">
        <f t="shared" si="120"/>
        <v>TL</v>
      </c>
      <c r="B645" s="32" t="s">
        <v>964</v>
      </c>
      <c r="C645" s="39" t="s">
        <v>120</v>
      </c>
      <c r="D645" s="13" t="s">
        <v>16</v>
      </c>
      <c r="E645" s="123">
        <v>0.02</v>
      </c>
      <c r="F645" s="123"/>
      <c r="G645" s="125"/>
      <c r="H645" s="125"/>
      <c r="I645" s="125">
        <f t="shared" si="128"/>
        <v>0.02</v>
      </c>
      <c r="J645" s="62">
        <f>'BIỂU HỢP ĐỒNG'!J634</f>
        <v>1191268</v>
      </c>
      <c r="K645" s="43"/>
      <c r="L645" s="62">
        <f t="shared" si="129"/>
        <v>23825</v>
      </c>
      <c r="M645" s="43">
        <f t="shared" si="132"/>
        <v>0</v>
      </c>
      <c r="N645" s="43">
        <f t="shared" si="131"/>
        <v>0</v>
      </c>
      <c r="O645" s="43">
        <f t="shared" si="130"/>
        <v>0</v>
      </c>
      <c r="P645" s="43">
        <f t="shared" si="127"/>
        <v>23825</v>
      </c>
      <c r="Q645" s="100"/>
      <c r="R645" s="117"/>
    </row>
    <row r="646" spans="1:18" hidden="1" x14ac:dyDescent="0.25">
      <c r="A646" s="48" t="str">
        <f t="shared" si="120"/>
        <v>TL</v>
      </c>
      <c r="B646" s="32" t="s">
        <v>965</v>
      </c>
      <c r="C646" s="39" t="s">
        <v>278</v>
      </c>
      <c r="D646" s="13" t="s">
        <v>16</v>
      </c>
      <c r="E646" s="123">
        <v>0.27</v>
      </c>
      <c r="F646" s="123"/>
      <c r="G646" s="125"/>
      <c r="H646" s="125"/>
      <c r="I646" s="125">
        <f t="shared" si="128"/>
        <v>0.27</v>
      </c>
      <c r="J646" s="62">
        <f>'BIỂU HỢP ĐỒNG'!J635</f>
        <v>1533135</v>
      </c>
      <c r="K646" s="43"/>
      <c r="L646" s="62">
        <f t="shared" si="129"/>
        <v>413946</v>
      </c>
      <c r="M646" s="43">
        <f t="shared" si="132"/>
        <v>0</v>
      </c>
      <c r="N646" s="43">
        <f t="shared" si="131"/>
        <v>0</v>
      </c>
      <c r="O646" s="43">
        <f t="shared" si="130"/>
        <v>0</v>
      </c>
      <c r="P646" s="43">
        <f t="shared" si="127"/>
        <v>413946</v>
      </c>
      <c r="Q646" s="100"/>
      <c r="R646" s="117"/>
    </row>
    <row r="647" spans="1:18" ht="31.5" hidden="1" customHeight="1" x14ac:dyDescent="0.25">
      <c r="A647" s="48" t="str">
        <f t="shared" ref="A647:A686" si="133">A646</f>
        <v>TL</v>
      </c>
      <c r="B647" s="32" t="s">
        <v>966</v>
      </c>
      <c r="C647" s="39" t="s">
        <v>871</v>
      </c>
      <c r="D647" s="13" t="s">
        <v>13</v>
      </c>
      <c r="E647" s="123">
        <v>0.53</v>
      </c>
      <c r="F647" s="123"/>
      <c r="G647" s="125"/>
      <c r="H647" s="125"/>
      <c r="I647" s="125">
        <f t="shared" si="128"/>
        <v>0.53</v>
      </c>
      <c r="J647" s="62">
        <f>'BIỂU HỢP ĐỒNG'!J636</f>
        <v>86606</v>
      </c>
      <c r="K647" s="43"/>
      <c r="L647" s="62">
        <f t="shared" si="129"/>
        <v>45901</v>
      </c>
      <c r="M647" s="43">
        <f t="shared" si="132"/>
        <v>0</v>
      </c>
      <c r="N647" s="43">
        <f t="shared" si="131"/>
        <v>0</v>
      </c>
      <c r="O647" s="43">
        <f t="shared" si="130"/>
        <v>0</v>
      </c>
      <c r="P647" s="43">
        <f t="shared" si="127"/>
        <v>45901</v>
      </c>
      <c r="Q647" s="100"/>
      <c r="R647" s="117"/>
    </row>
    <row r="648" spans="1:18" hidden="1" x14ac:dyDescent="0.25">
      <c r="A648" s="48" t="str">
        <f t="shared" si="133"/>
        <v>TL</v>
      </c>
      <c r="B648" s="32" t="s">
        <v>967</v>
      </c>
      <c r="C648" s="39" t="s">
        <v>968</v>
      </c>
      <c r="D648" s="13" t="s">
        <v>75</v>
      </c>
      <c r="E648" s="123">
        <v>3</v>
      </c>
      <c r="F648" s="123"/>
      <c r="G648" s="125"/>
      <c r="H648" s="125"/>
      <c r="I648" s="125">
        <f t="shared" si="128"/>
        <v>3</v>
      </c>
      <c r="J648" s="62">
        <f>'BIỂU HỢP ĐỒNG'!J637</f>
        <v>46054</v>
      </c>
      <c r="K648" s="43"/>
      <c r="L648" s="62">
        <f t="shared" si="129"/>
        <v>138162</v>
      </c>
      <c r="M648" s="43">
        <f t="shared" si="132"/>
        <v>0</v>
      </c>
      <c r="N648" s="43">
        <f t="shared" si="131"/>
        <v>0</v>
      </c>
      <c r="O648" s="43">
        <f t="shared" si="130"/>
        <v>0</v>
      </c>
      <c r="P648" s="43">
        <f t="shared" si="127"/>
        <v>138162</v>
      </c>
      <c r="Q648" s="100"/>
      <c r="R648" s="117"/>
    </row>
    <row r="649" spans="1:18" ht="47.25" hidden="1" customHeight="1" x14ac:dyDescent="0.25">
      <c r="A649" s="48" t="str">
        <f t="shared" si="133"/>
        <v>TL</v>
      </c>
      <c r="B649" s="32" t="s">
        <v>969</v>
      </c>
      <c r="C649" s="39" t="s">
        <v>272</v>
      </c>
      <c r="D649" s="13" t="s">
        <v>90</v>
      </c>
      <c r="E649" s="123">
        <v>0.68</v>
      </c>
      <c r="F649" s="123"/>
      <c r="G649" s="125"/>
      <c r="H649" s="125"/>
      <c r="I649" s="125">
        <f t="shared" si="128"/>
        <v>0.68</v>
      </c>
      <c r="J649" s="62">
        <f>'BIỂU HỢP ĐỒNG'!J638</f>
        <v>51234</v>
      </c>
      <c r="K649" s="43"/>
      <c r="L649" s="62">
        <f t="shared" si="129"/>
        <v>34839</v>
      </c>
      <c r="M649" s="43">
        <f t="shared" si="132"/>
        <v>0</v>
      </c>
      <c r="N649" s="43">
        <f t="shared" si="131"/>
        <v>0</v>
      </c>
      <c r="O649" s="43">
        <f t="shared" si="130"/>
        <v>0</v>
      </c>
      <c r="P649" s="43">
        <f t="shared" si="127"/>
        <v>34839</v>
      </c>
      <c r="Q649" s="100"/>
      <c r="R649" s="117"/>
    </row>
    <row r="650" spans="1:18" ht="31.5" hidden="1" customHeight="1" x14ac:dyDescent="0.25">
      <c r="A650" s="48" t="str">
        <f t="shared" si="133"/>
        <v>TL</v>
      </c>
      <c r="B650" s="32" t="s">
        <v>970</v>
      </c>
      <c r="C650" s="39" t="s">
        <v>284</v>
      </c>
      <c r="D650" s="13" t="s">
        <v>274</v>
      </c>
      <c r="E650" s="123">
        <v>7.0000000000000007E-2</v>
      </c>
      <c r="F650" s="123"/>
      <c r="G650" s="125"/>
      <c r="H650" s="125"/>
      <c r="I650" s="125">
        <f t="shared" si="128"/>
        <v>7.0000000000000007E-2</v>
      </c>
      <c r="J650" s="62">
        <f>'BIỂU HỢP ĐỒNG'!J639</f>
        <v>32162</v>
      </c>
      <c r="K650" s="43"/>
      <c r="L650" s="62">
        <f t="shared" si="129"/>
        <v>2251</v>
      </c>
      <c r="M650" s="43">
        <f t="shared" si="132"/>
        <v>0</v>
      </c>
      <c r="N650" s="43">
        <f t="shared" si="131"/>
        <v>0</v>
      </c>
      <c r="O650" s="43">
        <f t="shared" si="130"/>
        <v>0</v>
      </c>
      <c r="P650" s="43">
        <f t="shared" si="127"/>
        <v>2251</v>
      </c>
      <c r="Q650" s="100"/>
      <c r="R650" s="117"/>
    </row>
    <row r="651" spans="1:18" ht="47.25" hidden="1" customHeight="1" x14ac:dyDescent="0.25">
      <c r="A651" s="48" t="str">
        <f t="shared" si="133"/>
        <v>TL</v>
      </c>
      <c r="B651" s="32" t="s">
        <v>971</v>
      </c>
      <c r="C651" s="39" t="s">
        <v>120</v>
      </c>
      <c r="D651" s="13" t="s">
        <v>16</v>
      </c>
      <c r="E651" s="123">
        <v>0.03</v>
      </c>
      <c r="F651" s="123"/>
      <c r="G651" s="125"/>
      <c r="H651" s="125"/>
      <c r="I651" s="125">
        <f t="shared" si="128"/>
        <v>0.03</v>
      </c>
      <c r="J651" s="62">
        <f>'BIỂU HỢP ĐỒNG'!J640</f>
        <v>1191268</v>
      </c>
      <c r="K651" s="43"/>
      <c r="L651" s="62">
        <f t="shared" si="129"/>
        <v>35738</v>
      </c>
      <c r="M651" s="43">
        <f t="shared" si="132"/>
        <v>0</v>
      </c>
      <c r="N651" s="43">
        <f t="shared" si="131"/>
        <v>0</v>
      </c>
      <c r="O651" s="43">
        <f t="shared" si="130"/>
        <v>0</v>
      </c>
      <c r="P651" s="43">
        <f t="shared" si="127"/>
        <v>35738</v>
      </c>
      <c r="Q651" s="100"/>
      <c r="R651" s="117"/>
    </row>
    <row r="652" spans="1:18" ht="31.5" hidden="1" customHeight="1" x14ac:dyDescent="0.25">
      <c r="A652" s="48" t="str">
        <f t="shared" si="133"/>
        <v>TL</v>
      </c>
      <c r="B652" s="32" t="s">
        <v>972</v>
      </c>
      <c r="C652" s="39" t="s">
        <v>973</v>
      </c>
      <c r="D652" s="13" t="s">
        <v>90</v>
      </c>
      <c r="E652" s="123">
        <v>0.02</v>
      </c>
      <c r="F652" s="123"/>
      <c r="G652" s="125"/>
      <c r="H652" s="125"/>
      <c r="I652" s="125">
        <f t="shared" si="128"/>
        <v>0.02</v>
      </c>
      <c r="J652" s="62">
        <f>'BIỂU HỢP ĐỒNG'!J641</f>
        <v>26022934</v>
      </c>
      <c r="K652" s="43"/>
      <c r="L652" s="62">
        <f t="shared" si="129"/>
        <v>520459</v>
      </c>
      <c r="M652" s="43">
        <f t="shared" si="132"/>
        <v>0</v>
      </c>
      <c r="N652" s="43">
        <f t="shared" si="131"/>
        <v>0</v>
      </c>
      <c r="O652" s="43">
        <f t="shared" si="130"/>
        <v>0</v>
      </c>
      <c r="P652" s="43">
        <f t="shared" si="127"/>
        <v>520459</v>
      </c>
      <c r="Q652" s="100"/>
      <c r="R652" s="117"/>
    </row>
    <row r="653" spans="1:18" hidden="1" x14ac:dyDescent="0.25">
      <c r="A653" s="48" t="str">
        <f t="shared" si="133"/>
        <v>TL</v>
      </c>
      <c r="B653" s="32" t="s">
        <v>974</v>
      </c>
      <c r="C653" s="39" t="s">
        <v>278</v>
      </c>
      <c r="D653" s="13" t="s">
        <v>16</v>
      </c>
      <c r="E653" s="123">
        <v>0.3</v>
      </c>
      <c r="F653" s="123"/>
      <c r="G653" s="125"/>
      <c r="H653" s="125"/>
      <c r="I653" s="125">
        <f t="shared" si="128"/>
        <v>0.3</v>
      </c>
      <c r="J653" s="62">
        <f>'BIỂU HỢP ĐỒNG'!J642</f>
        <v>1533135</v>
      </c>
      <c r="K653" s="43"/>
      <c r="L653" s="62">
        <f t="shared" si="129"/>
        <v>459941</v>
      </c>
      <c r="M653" s="43">
        <f t="shared" si="132"/>
        <v>0</v>
      </c>
      <c r="N653" s="43">
        <f t="shared" si="131"/>
        <v>0</v>
      </c>
      <c r="O653" s="43">
        <f t="shared" si="130"/>
        <v>0</v>
      </c>
      <c r="P653" s="43">
        <f t="shared" si="127"/>
        <v>459941</v>
      </c>
      <c r="Q653" s="100"/>
      <c r="R653" s="117"/>
    </row>
    <row r="654" spans="1:18" ht="31.5" hidden="1" customHeight="1" x14ac:dyDescent="0.25">
      <c r="A654" s="48" t="str">
        <f t="shared" si="133"/>
        <v>TL</v>
      </c>
      <c r="B654" s="32" t="s">
        <v>975</v>
      </c>
      <c r="C654" s="39" t="s">
        <v>871</v>
      </c>
      <c r="D654" s="13" t="s">
        <v>13</v>
      </c>
      <c r="E654" s="123">
        <v>3.72</v>
      </c>
      <c r="F654" s="123"/>
      <c r="G654" s="125"/>
      <c r="H654" s="125"/>
      <c r="I654" s="125">
        <f t="shared" si="128"/>
        <v>3.72</v>
      </c>
      <c r="J654" s="62">
        <f>'BIỂU HỢP ĐỒNG'!J643</f>
        <v>86606</v>
      </c>
      <c r="K654" s="43"/>
      <c r="L654" s="62">
        <f t="shared" si="129"/>
        <v>322174</v>
      </c>
      <c r="M654" s="43">
        <f t="shared" si="132"/>
        <v>0</v>
      </c>
      <c r="N654" s="43">
        <f t="shared" si="131"/>
        <v>0</v>
      </c>
      <c r="O654" s="43">
        <f t="shared" si="130"/>
        <v>0</v>
      </c>
      <c r="P654" s="43">
        <f t="shared" si="127"/>
        <v>322174</v>
      </c>
      <c r="Q654" s="100"/>
      <c r="R654" s="117"/>
    </row>
    <row r="655" spans="1:18" hidden="1" x14ac:dyDescent="0.25">
      <c r="A655" s="48" t="str">
        <f t="shared" si="133"/>
        <v>TL</v>
      </c>
      <c r="B655" s="32" t="s">
        <v>976</v>
      </c>
      <c r="C655" s="39" t="s">
        <v>968</v>
      </c>
      <c r="D655" s="13" t="s">
        <v>75</v>
      </c>
      <c r="E655" s="123">
        <v>6</v>
      </c>
      <c r="F655" s="123"/>
      <c r="G655" s="125"/>
      <c r="H655" s="125"/>
      <c r="I655" s="125">
        <f t="shared" si="128"/>
        <v>6</v>
      </c>
      <c r="J655" s="62">
        <f>'BIỂU HỢP ĐỒNG'!J644</f>
        <v>46054</v>
      </c>
      <c r="K655" s="43"/>
      <c r="L655" s="62">
        <f t="shared" si="129"/>
        <v>276324</v>
      </c>
      <c r="M655" s="43">
        <f t="shared" si="132"/>
        <v>0</v>
      </c>
      <c r="N655" s="43">
        <f t="shared" si="131"/>
        <v>0</v>
      </c>
      <c r="O655" s="43">
        <f t="shared" si="130"/>
        <v>0</v>
      </c>
      <c r="P655" s="43">
        <f t="shared" si="127"/>
        <v>276324</v>
      </c>
      <c r="Q655" s="100"/>
      <c r="R655" s="117"/>
    </row>
    <row r="656" spans="1:18" ht="47.25" hidden="1" customHeight="1" x14ac:dyDescent="0.25">
      <c r="A656" s="48" t="str">
        <f t="shared" si="133"/>
        <v>TL</v>
      </c>
      <c r="B656" s="32" t="s">
        <v>977</v>
      </c>
      <c r="C656" s="39" t="s">
        <v>272</v>
      </c>
      <c r="D656" s="13" t="s">
        <v>90</v>
      </c>
      <c r="E656" s="123">
        <v>0.75</v>
      </c>
      <c r="F656" s="123"/>
      <c r="G656" s="125"/>
      <c r="H656" s="125"/>
      <c r="I656" s="125">
        <f t="shared" si="128"/>
        <v>0.75</v>
      </c>
      <c r="J656" s="62">
        <f>'BIỂU HỢP ĐỒNG'!J645</f>
        <v>51234</v>
      </c>
      <c r="K656" s="43"/>
      <c r="L656" s="62">
        <f t="shared" si="129"/>
        <v>38426</v>
      </c>
      <c r="M656" s="43">
        <f t="shared" si="132"/>
        <v>0</v>
      </c>
      <c r="N656" s="43">
        <f t="shared" si="131"/>
        <v>0</v>
      </c>
      <c r="O656" s="43">
        <f t="shared" si="130"/>
        <v>0</v>
      </c>
      <c r="P656" s="43">
        <f t="shared" si="127"/>
        <v>38426</v>
      </c>
      <c r="Q656" s="100"/>
      <c r="R656" s="117"/>
    </row>
    <row r="657" spans="1:18" ht="31.5" hidden="1" customHeight="1" x14ac:dyDescent="0.25">
      <c r="A657" s="48" t="str">
        <f t="shared" si="133"/>
        <v>TL</v>
      </c>
      <c r="B657" s="32" t="s">
        <v>978</v>
      </c>
      <c r="C657" s="39" t="s">
        <v>284</v>
      </c>
      <c r="D657" s="13" t="s">
        <v>274</v>
      </c>
      <c r="E657" s="123">
        <v>0.08</v>
      </c>
      <c r="F657" s="123"/>
      <c r="G657" s="125"/>
      <c r="H657" s="125"/>
      <c r="I657" s="125">
        <f t="shared" si="128"/>
        <v>0.08</v>
      </c>
      <c r="J657" s="62">
        <f>'BIỂU HỢP ĐỒNG'!J646</f>
        <v>32162</v>
      </c>
      <c r="K657" s="43"/>
      <c r="L657" s="62">
        <f t="shared" si="129"/>
        <v>2573</v>
      </c>
      <c r="M657" s="43">
        <f t="shared" si="132"/>
        <v>0</v>
      </c>
      <c r="N657" s="43">
        <f t="shared" si="131"/>
        <v>0</v>
      </c>
      <c r="O657" s="43">
        <f t="shared" si="130"/>
        <v>0</v>
      </c>
      <c r="P657" s="43">
        <f t="shared" si="127"/>
        <v>2573</v>
      </c>
      <c r="Q657" s="100"/>
      <c r="R657" s="117"/>
    </row>
    <row r="658" spans="1:18" ht="31.5" hidden="1" customHeight="1" x14ac:dyDescent="0.25">
      <c r="A658" s="48" t="str">
        <f t="shared" si="133"/>
        <v>TL</v>
      </c>
      <c r="B658" s="32" t="s">
        <v>979</v>
      </c>
      <c r="C658" s="39" t="s">
        <v>980</v>
      </c>
      <c r="D658" s="13" t="s">
        <v>16</v>
      </c>
      <c r="E658" s="123">
        <v>67.97</v>
      </c>
      <c r="F658" s="123"/>
      <c r="G658" s="125"/>
      <c r="H658" s="125"/>
      <c r="I658" s="125">
        <f t="shared" ref="I658:I670" si="134">SUM(E658:H658)</f>
        <v>67.97</v>
      </c>
      <c r="J658" s="62">
        <f>'BIỂU HỢP ĐỒNG'!J647</f>
        <v>527970</v>
      </c>
      <c r="K658" s="43"/>
      <c r="L658" s="62">
        <f t="shared" ref="L658:L670" si="135">+ROUND(J658*E658,0)</f>
        <v>35886121</v>
      </c>
      <c r="M658" s="43">
        <f t="shared" si="132"/>
        <v>0</v>
      </c>
      <c r="N658" s="43">
        <f t="shared" si="131"/>
        <v>0</v>
      </c>
      <c r="O658" s="43">
        <f t="shared" ref="O658:O670" si="136">+ROUND(H658*J658,0)</f>
        <v>0</v>
      </c>
      <c r="P658" s="43">
        <f t="shared" si="127"/>
        <v>35886121</v>
      </c>
      <c r="Q658" s="100"/>
      <c r="R658" s="117"/>
    </row>
    <row r="659" spans="1:18" hidden="1" x14ac:dyDescent="0.25">
      <c r="A659" s="48" t="str">
        <f t="shared" si="133"/>
        <v>TL</v>
      </c>
      <c r="B659" s="32" t="s">
        <v>981</v>
      </c>
      <c r="C659" s="39" t="s">
        <v>319</v>
      </c>
      <c r="D659" s="13" t="s">
        <v>16</v>
      </c>
      <c r="E659" s="123">
        <v>31.01</v>
      </c>
      <c r="F659" s="123"/>
      <c r="G659" s="125"/>
      <c r="H659" s="125"/>
      <c r="I659" s="125">
        <f t="shared" si="134"/>
        <v>31.01</v>
      </c>
      <c r="J659" s="62">
        <f>'BIỂU HỢP ĐỒNG'!J648</f>
        <v>1561916</v>
      </c>
      <c r="K659" s="43"/>
      <c r="L659" s="62">
        <f t="shared" si="135"/>
        <v>48435015</v>
      </c>
      <c r="M659" s="43">
        <f t="shared" si="132"/>
        <v>0</v>
      </c>
      <c r="N659" s="43">
        <f t="shared" si="131"/>
        <v>0</v>
      </c>
      <c r="O659" s="43">
        <f t="shared" si="136"/>
        <v>0</v>
      </c>
      <c r="P659" s="43">
        <f t="shared" si="127"/>
        <v>48435015</v>
      </c>
      <c r="Q659" s="100"/>
      <c r="R659" s="117"/>
    </row>
    <row r="660" spans="1:18" hidden="1" x14ac:dyDescent="0.25">
      <c r="A660" s="48" t="str">
        <f t="shared" si="133"/>
        <v>TL</v>
      </c>
      <c r="B660" s="32" t="s">
        <v>982</v>
      </c>
      <c r="C660" s="39" t="s">
        <v>125</v>
      </c>
      <c r="D660" s="13" t="s">
        <v>13</v>
      </c>
      <c r="E660" s="123">
        <v>45.88</v>
      </c>
      <c r="F660" s="123"/>
      <c r="G660" s="125"/>
      <c r="H660" s="125"/>
      <c r="I660" s="125">
        <f t="shared" si="134"/>
        <v>45.88</v>
      </c>
      <c r="J660" s="62">
        <f>'BIỂU HỢP ĐỒNG'!J649</f>
        <v>104798</v>
      </c>
      <c r="K660" s="43"/>
      <c r="L660" s="62">
        <f t="shared" si="135"/>
        <v>4808132</v>
      </c>
      <c r="M660" s="43">
        <f t="shared" si="132"/>
        <v>0</v>
      </c>
      <c r="N660" s="43">
        <f t="shared" si="131"/>
        <v>0</v>
      </c>
      <c r="O660" s="43">
        <f t="shared" si="136"/>
        <v>0</v>
      </c>
      <c r="P660" s="43">
        <f t="shared" si="127"/>
        <v>4808132</v>
      </c>
      <c r="Q660" s="100"/>
      <c r="R660" s="117"/>
    </row>
    <row r="661" spans="1:18" ht="31.5" hidden="1" customHeight="1" x14ac:dyDescent="0.25">
      <c r="A661" s="48" t="str">
        <f t="shared" si="133"/>
        <v>TL</v>
      </c>
      <c r="B661" s="32" t="s">
        <v>983</v>
      </c>
      <c r="C661" s="39" t="s">
        <v>240</v>
      </c>
      <c r="D661" s="13" t="s">
        <v>16</v>
      </c>
      <c r="E661" s="123">
        <v>16.010000000000002</v>
      </c>
      <c r="F661" s="123"/>
      <c r="G661" s="125"/>
      <c r="H661" s="125"/>
      <c r="I661" s="125">
        <f t="shared" si="134"/>
        <v>16.010000000000002</v>
      </c>
      <c r="J661" s="62">
        <f>'BIỂU HỢP ĐỒNG'!J650</f>
        <v>842139</v>
      </c>
      <c r="K661" s="43"/>
      <c r="L661" s="62">
        <f t="shared" si="135"/>
        <v>13482645</v>
      </c>
      <c r="M661" s="43">
        <f t="shared" si="132"/>
        <v>0</v>
      </c>
      <c r="N661" s="43">
        <f t="shared" si="131"/>
        <v>0</v>
      </c>
      <c r="O661" s="43">
        <f t="shared" si="136"/>
        <v>0</v>
      </c>
      <c r="P661" s="43">
        <f t="shared" si="127"/>
        <v>13482645</v>
      </c>
      <c r="Q661" s="100"/>
      <c r="R661" s="117"/>
    </row>
    <row r="662" spans="1:18" hidden="1" x14ac:dyDescent="0.25">
      <c r="A662" s="48" t="str">
        <f t="shared" si="133"/>
        <v>TL</v>
      </c>
      <c r="B662" s="32" t="s">
        <v>984</v>
      </c>
      <c r="C662" s="39" t="s">
        <v>122</v>
      </c>
      <c r="D662" s="13" t="s">
        <v>16</v>
      </c>
      <c r="E662" s="123">
        <v>42.82</v>
      </c>
      <c r="F662" s="123"/>
      <c r="G662" s="125"/>
      <c r="H662" s="125"/>
      <c r="I662" s="125">
        <f t="shared" si="134"/>
        <v>42.82</v>
      </c>
      <c r="J662" s="62">
        <f>'BIỂU HỢP ĐỒNG'!J651</f>
        <v>1866757</v>
      </c>
      <c r="K662" s="43"/>
      <c r="L662" s="62">
        <f t="shared" si="135"/>
        <v>79934535</v>
      </c>
      <c r="M662" s="43">
        <f t="shared" si="132"/>
        <v>0</v>
      </c>
      <c r="N662" s="43">
        <f t="shared" ref="N662:N670" si="137">+ROUND(G662*J662,0)</f>
        <v>0</v>
      </c>
      <c r="O662" s="43">
        <f t="shared" si="136"/>
        <v>0</v>
      </c>
      <c r="P662" s="43">
        <f t="shared" si="127"/>
        <v>79934535</v>
      </c>
      <c r="Q662" s="100"/>
      <c r="R662" s="117"/>
    </row>
    <row r="663" spans="1:18" hidden="1" x14ac:dyDescent="0.25">
      <c r="A663" s="48" t="str">
        <f t="shared" si="133"/>
        <v>TL</v>
      </c>
      <c r="B663" s="32" t="s">
        <v>985</v>
      </c>
      <c r="C663" s="39" t="s">
        <v>947</v>
      </c>
      <c r="D663" s="13" t="s">
        <v>13</v>
      </c>
      <c r="E663" s="123">
        <v>354.6</v>
      </c>
      <c r="F663" s="123"/>
      <c r="G663" s="125"/>
      <c r="H663" s="125"/>
      <c r="I663" s="125">
        <f t="shared" si="134"/>
        <v>354.6</v>
      </c>
      <c r="J663" s="62">
        <f>'BIỂU HỢP ĐỒNG'!J652</f>
        <v>96659</v>
      </c>
      <c r="K663" s="43"/>
      <c r="L663" s="62">
        <f t="shared" si="135"/>
        <v>34275281</v>
      </c>
      <c r="M663" s="43">
        <f t="shared" si="132"/>
        <v>0</v>
      </c>
      <c r="N663" s="43">
        <f t="shared" si="137"/>
        <v>0</v>
      </c>
      <c r="O663" s="43">
        <f t="shared" si="136"/>
        <v>0</v>
      </c>
      <c r="P663" s="43">
        <f t="shared" si="127"/>
        <v>34275281</v>
      </c>
      <c r="Q663" s="100"/>
      <c r="R663" s="117"/>
    </row>
    <row r="664" spans="1:18" hidden="1" x14ac:dyDescent="0.25">
      <c r="A664" s="48" t="str">
        <f t="shared" si="133"/>
        <v>TL</v>
      </c>
      <c r="B664" s="32" t="s">
        <v>986</v>
      </c>
      <c r="C664" s="39" t="s">
        <v>987</v>
      </c>
      <c r="D664" s="13" t="s">
        <v>16</v>
      </c>
      <c r="E664" s="123">
        <v>0.37</v>
      </c>
      <c r="F664" s="123"/>
      <c r="G664" s="125"/>
      <c r="H664" s="125"/>
      <c r="I664" s="125">
        <f t="shared" si="134"/>
        <v>0.37</v>
      </c>
      <c r="J664" s="62">
        <f>'BIỂU HỢP ĐỒNG'!J653</f>
        <v>2081456</v>
      </c>
      <c r="K664" s="43"/>
      <c r="L664" s="62">
        <f t="shared" si="135"/>
        <v>770139</v>
      </c>
      <c r="M664" s="43">
        <f t="shared" si="132"/>
        <v>0</v>
      </c>
      <c r="N664" s="43">
        <f t="shared" si="137"/>
        <v>0</v>
      </c>
      <c r="O664" s="43">
        <f t="shared" si="136"/>
        <v>0</v>
      </c>
      <c r="P664" s="43">
        <f t="shared" si="127"/>
        <v>770139</v>
      </c>
      <c r="Q664" s="100"/>
      <c r="R664" s="117"/>
    </row>
    <row r="665" spans="1:18" hidden="1" x14ac:dyDescent="0.25">
      <c r="A665" s="48" t="str">
        <f t="shared" si="133"/>
        <v>TL</v>
      </c>
      <c r="B665" s="32" t="s">
        <v>988</v>
      </c>
      <c r="C665" s="39" t="s">
        <v>125</v>
      </c>
      <c r="D665" s="13" t="s">
        <v>13</v>
      </c>
      <c r="E665" s="123">
        <v>1.95</v>
      </c>
      <c r="F665" s="123"/>
      <c r="G665" s="125"/>
      <c r="H665" s="125"/>
      <c r="I665" s="125">
        <f t="shared" si="134"/>
        <v>1.95</v>
      </c>
      <c r="J665" s="62">
        <f>'BIỂU HỢP ĐỒNG'!J654</f>
        <v>104798</v>
      </c>
      <c r="K665" s="43"/>
      <c r="L665" s="62">
        <f t="shared" si="135"/>
        <v>204356</v>
      </c>
      <c r="M665" s="43">
        <f t="shared" si="132"/>
        <v>0</v>
      </c>
      <c r="N665" s="43">
        <f t="shared" si="137"/>
        <v>0</v>
      </c>
      <c r="O665" s="43">
        <f t="shared" si="136"/>
        <v>0</v>
      </c>
      <c r="P665" s="43">
        <f t="shared" si="127"/>
        <v>204356</v>
      </c>
      <c r="Q665" s="100"/>
      <c r="R665" s="117"/>
    </row>
    <row r="666" spans="1:18" ht="31.5" hidden="1" customHeight="1" x14ac:dyDescent="0.25">
      <c r="A666" s="48" t="str">
        <f t="shared" si="133"/>
        <v>TL</v>
      </c>
      <c r="B666" s="32" t="s">
        <v>989</v>
      </c>
      <c r="C666" s="39" t="s">
        <v>332</v>
      </c>
      <c r="D666" s="13" t="s">
        <v>90</v>
      </c>
      <c r="E666" s="123">
        <v>0.06</v>
      </c>
      <c r="F666" s="123"/>
      <c r="G666" s="125"/>
      <c r="H666" s="125"/>
      <c r="I666" s="125">
        <f t="shared" si="134"/>
        <v>0.06</v>
      </c>
      <c r="J666" s="62">
        <f>'BIỂU HỢP ĐỒNG'!J655</f>
        <v>26204757</v>
      </c>
      <c r="K666" s="43"/>
      <c r="L666" s="62">
        <f t="shared" si="135"/>
        <v>1572285</v>
      </c>
      <c r="M666" s="43">
        <f t="shared" si="132"/>
        <v>0</v>
      </c>
      <c r="N666" s="43">
        <f t="shared" si="137"/>
        <v>0</v>
      </c>
      <c r="O666" s="43">
        <f t="shared" si="136"/>
        <v>0</v>
      </c>
      <c r="P666" s="43">
        <f t="shared" si="127"/>
        <v>1572285</v>
      </c>
      <c r="Q666" s="100"/>
      <c r="R666" s="117"/>
    </row>
    <row r="667" spans="1:18" ht="31.5" hidden="1" customHeight="1" x14ac:dyDescent="0.25">
      <c r="A667" s="48" t="str">
        <f t="shared" si="133"/>
        <v>TL</v>
      </c>
      <c r="B667" s="32" t="s">
        <v>990</v>
      </c>
      <c r="C667" s="39" t="s">
        <v>991</v>
      </c>
      <c r="D667" s="13" t="s">
        <v>16</v>
      </c>
      <c r="E667" s="123">
        <v>406</v>
      </c>
      <c r="F667" s="123"/>
      <c r="G667" s="125"/>
      <c r="H667" s="125"/>
      <c r="I667" s="125">
        <f t="shared" si="134"/>
        <v>406</v>
      </c>
      <c r="J667" s="62">
        <f>'BIỂU HỢP ĐỒNG'!J656</f>
        <v>167496</v>
      </c>
      <c r="K667" s="43"/>
      <c r="L667" s="62">
        <f t="shared" si="135"/>
        <v>68003376</v>
      </c>
      <c r="M667" s="43">
        <f t="shared" si="132"/>
        <v>0</v>
      </c>
      <c r="N667" s="43">
        <f t="shared" si="137"/>
        <v>0</v>
      </c>
      <c r="O667" s="43">
        <f t="shared" si="136"/>
        <v>0</v>
      </c>
      <c r="P667" s="43">
        <f t="shared" si="127"/>
        <v>68003376</v>
      </c>
      <c r="Q667" s="100"/>
      <c r="R667" s="117"/>
    </row>
    <row r="668" spans="1:18" hidden="1" x14ac:dyDescent="0.25">
      <c r="A668" s="48" t="str">
        <f t="shared" si="133"/>
        <v>TL</v>
      </c>
      <c r="B668" s="32" t="s">
        <v>992</v>
      </c>
      <c r="C668" s="39" t="s">
        <v>993</v>
      </c>
      <c r="D668" s="13" t="s">
        <v>16</v>
      </c>
      <c r="E668" s="123">
        <v>406</v>
      </c>
      <c r="F668" s="123"/>
      <c r="G668" s="125"/>
      <c r="H668" s="125"/>
      <c r="I668" s="125">
        <f t="shared" si="134"/>
        <v>406</v>
      </c>
      <c r="J668" s="62">
        <f>'BIỂU HỢP ĐỒNG'!J657</f>
        <v>56948</v>
      </c>
      <c r="K668" s="43"/>
      <c r="L668" s="62">
        <f t="shared" si="135"/>
        <v>23120888</v>
      </c>
      <c r="M668" s="43">
        <f t="shared" si="132"/>
        <v>0</v>
      </c>
      <c r="N668" s="43">
        <f t="shared" si="137"/>
        <v>0</v>
      </c>
      <c r="O668" s="43">
        <f t="shared" si="136"/>
        <v>0</v>
      </c>
      <c r="P668" s="43">
        <f t="shared" si="127"/>
        <v>23120888</v>
      </c>
      <c r="Q668" s="100"/>
      <c r="R668" s="117"/>
    </row>
    <row r="669" spans="1:18" hidden="1" x14ac:dyDescent="0.25">
      <c r="A669" s="48" t="str">
        <f t="shared" si="133"/>
        <v>TL</v>
      </c>
      <c r="B669" s="32" t="s">
        <v>994</v>
      </c>
      <c r="C669" s="39" t="s">
        <v>47</v>
      </c>
      <c r="D669" s="13" t="s">
        <v>16</v>
      </c>
      <c r="E669" s="123">
        <v>406</v>
      </c>
      <c r="F669" s="123"/>
      <c r="G669" s="125"/>
      <c r="H669" s="125"/>
      <c r="I669" s="125">
        <f t="shared" si="134"/>
        <v>406</v>
      </c>
      <c r="J669" s="62">
        <f>'BIỂU HỢP ĐỒNG'!J658</f>
        <v>2096</v>
      </c>
      <c r="K669" s="43"/>
      <c r="L669" s="62">
        <f t="shared" si="135"/>
        <v>850976</v>
      </c>
      <c r="M669" s="43">
        <f t="shared" si="132"/>
        <v>0</v>
      </c>
      <c r="N669" s="43">
        <f t="shared" si="137"/>
        <v>0</v>
      </c>
      <c r="O669" s="43">
        <f t="shared" si="136"/>
        <v>0</v>
      </c>
      <c r="P669" s="43">
        <f t="shared" si="127"/>
        <v>850976</v>
      </c>
      <c r="Q669" s="100"/>
      <c r="R669" s="117"/>
    </row>
    <row r="670" spans="1:18" ht="31.5" hidden="1" customHeight="1" x14ac:dyDescent="0.25">
      <c r="A670" s="48" t="str">
        <f t="shared" si="133"/>
        <v>TL</v>
      </c>
      <c r="B670" s="32" t="s">
        <v>995</v>
      </c>
      <c r="C670" s="39" t="s">
        <v>996</v>
      </c>
      <c r="D670" s="13" t="s">
        <v>13</v>
      </c>
      <c r="E670" s="123">
        <v>461.2</v>
      </c>
      <c r="F670" s="123"/>
      <c r="G670" s="125"/>
      <c r="H670" s="125"/>
      <c r="I670" s="125">
        <f t="shared" si="134"/>
        <v>461.2</v>
      </c>
      <c r="J670" s="62">
        <f>'BIỂU HỢP ĐỒNG'!J659</f>
        <v>20017</v>
      </c>
      <c r="K670" s="43"/>
      <c r="L670" s="62">
        <f t="shared" si="135"/>
        <v>9231840</v>
      </c>
      <c r="M670" s="43">
        <f t="shared" si="132"/>
        <v>0</v>
      </c>
      <c r="N670" s="43">
        <f t="shared" si="137"/>
        <v>0</v>
      </c>
      <c r="O670" s="43">
        <f t="shared" si="136"/>
        <v>0</v>
      </c>
      <c r="P670" s="43">
        <f t="shared" si="127"/>
        <v>9231840</v>
      </c>
      <c r="Q670" s="100"/>
      <c r="R670" s="117"/>
    </row>
    <row r="671" spans="1:18" s="22" customFormat="1" ht="63" hidden="1" customHeight="1" x14ac:dyDescent="0.25">
      <c r="A671" s="48" t="str">
        <f t="shared" si="133"/>
        <v>TL</v>
      </c>
      <c r="B671" s="29">
        <f>'BIỂU HỢP ĐỒNG'!B1350</f>
        <v>20</v>
      </c>
      <c r="C671" s="12" t="str">
        <f>'BIỂU HỢP ĐỒNG'!D1350</f>
        <v>ĐẢM BẢO AN TOÀN GIAO THÔNG TRONG QUÁ TRÌNH THI CÔNG ĐƯỜNG, CỐNG THOÁT NƯỚC</v>
      </c>
      <c r="D671" s="79"/>
      <c r="E671" s="130"/>
      <c r="F671" s="130"/>
      <c r="G671" s="131"/>
      <c r="H671" s="131"/>
      <c r="I671" s="131"/>
      <c r="J671" s="63"/>
      <c r="K671" s="60"/>
      <c r="L671" s="63"/>
      <c r="M671" s="60"/>
      <c r="N671" s="60"/>
      <c r="O671" s="60"/>
      <c r="P671" s="43">
        <f t="shared" si="127"/>
        <v>0</v>
      </c>
      <c r="Q671" s="100"/>
      <c r="R671" s="117"/>
    </row>
    <row r="672" spans="1:18" hidden="1" x14ac:dyDescent="0.25">
      <c r="A672" s="48" t="str">
        <f t="shared" si="133"/>
        <v>TL</v>
      </c>
      <c r="B672" s="32" t="str">
        <f>'BIỂU HỢP ĐỒNG'!B1351</f>
        <v>20.1</v>
      </c>
      <c r="C672" s="39" t="str">
        <f>'BIỂU HỢP ĐỒNG'!D1351</f>
        <v>Lắp đặt biển báo tam giác D700</v>
      </c>
      <c r="D672" s="13" t="str">
        <f>'BIỂU HỢP ĐỒNG'!I1351</f>
        <v>cái</v>
      </c>
      <c r="E672" s="123">
        <f>'BIỂU HỢP ĐỒNG'!G1351</f>
        <v>6</v>
      </c>
      <c r="F672" s="123"/>
      <c r="G672" s="125"/>
      <c r="H672" s="125"/>
      <c r="I672" s="125"/>
      <c r="J672" s="62">
        <f>'BIỂU HỢP ĐỒNG'!J1351</f>
        <v>366870</v>
      </c>
      <c r="K672" s="43"/>
      <c r="L672" s="62">
        <f t="shared" ref="L672:L686" si="138">+ROUND(J672*E672,0)</f>
        <v>2201220</v>
      </c>
      <c r="M672" s="43">
        <f t="shared" ref="M672:M686" si="139">+ROUND(F672*J672,0)</f>
        <v>0</v>
      </c>
      <c r="N672" s="43">
        <f t="shared" ref="N672:N686" si="140">+ROUND(G672*J672,0)</f>
        <v>0</v>
      </c>
      <c r="O672" s="43">
        <f t="shared" ref="O672:O686" si="141">+ROUND(H672*J672,0)</f>
        <v>0</v>
      </c>
      <c r="P672" s="43">
        <f t="shared" si="127"/>
        <v>2201220</v>
      </c>
      <c r="Q672" s="100"/>
      <c r="R672" s="117"/>
    </row>
    <row r="673" spans="1:18" hidden="1" x14ac:dyDescent="0.25">
      <c r="A673" s="48" t="str">
        <f t="shared" si="133"/>
        <v>TL</v>
      </c>
      <c r="B673" s="32" t="str">
        <f>'BIỂU HỢP ĐỒNG'!B1352</f>
        <v>20.2</v>
      </c>
      <c r="C673" s="39" t="str">
        <f>'BIỂU HỢP ĐỒNG'!D1352</f>
        <v>Biển chữ nhật 440</v>
      </c>
      <c r="D673" s="13" t="str">
        <f>'BIỂU HỢP ĐỒNG'!I1352</f>
        <v>cái</v>
      </c>
      <c r="E673" s="123">
        <f>'BIỂU HỢP ĐỒNG'!G1352</f>
        <v>2</v>
      </c>
      <c r="F673" s="123"/>
      <c r="G673" s="125"/>
      <c r="H673" s="125"/>
      <c r="I673" s="125"/>
      <c r="J673" s="62">
        <f>'BIỂU HỢP ĐỒNG'!J1352</f>
        <v>1775137</v>
      </c>
      <c r="K673" s="43"/>
      <c r="L673" s="62">
        <f t="shared" si="138"/>
        <v>3550274</v>
      </c>
      <c r="M673" s="43">
        <f t="shared" si="139"/>
        <v>0</v>
      </c>
      <c r="N673" s="43">
        <f t="shared" si="140"/>
        <v>0</v>
      </c>
      <c r="O673" s="43">
        <f t="shared" si="141"/>
        <v>0</v>
      </c>
      <c r="P673" s="43">
        <f t="shared" si="127"/>
        <v>3550274</v>
      </c>
      <c r="Q673" s="100"/>
      <c r="R673" s="117"/>
    </row>
    <row r="674" spans="1:18" hidden="1" x14ac:dyDescent="0.25">
      <c r="A674" s="48" t="str">
        <f t="shared" si="133"/>
        <v>TL</v>
      </c>
      <c r="B674" s="32" t="str">
        <f>'BIỂU HỢP ĐỒNG'!B1353</f>
        <v>20.3</v>
      </c>
      <c r="C674" s="39" t="str">
        <f>'BIỂU HỢP ĐỒNG'!D1353</f>
        <v>Biển chữ nhật 441</v>
      </c>
      <c r="D674" s="13" t="str">
        <f>'BIỂU HỢP ĐỒNG'!I1353</f>
        <v>cái</v>
      </c>
      <c r="E674" s="123">
        <f>'BIỂU HỢP ĐỒNG'!G1353</f>
        <v>2</v>
      </c>
      <c r="F674" s="123"/>
      <c r="G674" s="125"/>
      <c r="H674" s="125"/>
      <c r="I674" s="125"/>
      <c r="J674" s="62">
        <f>'BIỂU HỢP ĐỒNG'!J1353</f>
        <v>1775137</v>
      </c>
      <c r="K674" s="43"/>
      <c r="L674" s="62">
        <f t="shared" si="138"/>
        <v>3550274</v>
      </c>
      <c r="M674" s="43">
        <f t="shared" si="139"/>
        <v>0</v>
      </c>
      <c r="N674" s="43">
        <f t="shared" si="140"/>
        <v>0</v>
      </c>
      <c r="O674" s="43">
        <f t="shared" si="141"/>
        <v>0</v>
      </c>
      <c r="P674" s="43">
        <f t="shared" si="127"/>
        <v>3550274</v>
      </c>
      <c r="Q674" s="100"/>
      <c r="R674" s="117"/>
    </row>
    <row r="675" spans="1:18" hidden="1" x14ac:dyDescent="0.25">
      <c r="A675" s="48" t="str">
        <f t="shared" si="133"/>
        <v>TL</v>
      </c>
      <c r="B675" s="32" t="str">
        <f>'BIỂU HỢP ĐỒNG'!B1354</f>
        <v>20.4</v>
      </c>
      <c r="C675" s="39" t="str">
        <f>'BIỂU HỢP ĐỒNG'!D1354</f>
        <v>Biển chữ nhật</v>
      </c>
      <c r="D675" s="13" t="str">
        <f>'BIỂU HỢP ĐỒNG'!I1354</f>
        <v>cái</v>
      </c>
      <c r="E675" s="123">
        <f>'BIỂU HỢP ĐỒNG'!G1354</f>
        <v>2</v>
      </c>
      <c r="F675" s="123"/>
      <c r="G675" s="125"/>
      <c r="H675" s="125"/>
      <c r="I675" s="125"/>
      <c r="J675" s="62">
        <f>'BIỂU HỢP ĐỒNG'!J1354</f>
        <v>1775137</v>
      </c>
      <c r="K675" s="43"/>
      <c r="L675" s="62">
        <f t="shared" si="138"/>
        <v>3550274</v>
      </c>
      <c r="M675" s="43">
        <f t="shared" si="139"/>
        <v>0</v>
      </c>
      <c r="N675" s="43">
        <f t="shared" si="140"/>
        <v>0</v>
      </c>
      <c r="O675" s="43">
        <f t="shared" si="141"/>
        <v>0</v>
      </c>
      <c r="P675" s="43">
        <f t="shared" si="127"/>
        <v>3550274</v>
      </c>
      <c r="Q675" s="100"/>
      <c r="R675" s="117"/>
    </row>
    <row r="676" spans="1:18" hidden="1" x14ac:dyDescent="0.25">
      <c r="A676" s="48" t="str">
        <f t="shared" si="133"/>
        <v>TL</v>
      </c>
      <c r="B676" s="32" t="str">
        <f>'BIỂU HỢP ĐỒNG'!B1355</f>
        <v>20.5</v>
      </c>
      <c r="C676" s="39" t="str">
        <f>'BIỂU HỢP ĐỒNG'!D1355</f>
        <v>Giá đỡ liên hợp</v>
      </c>
      <c r="D676" s="13" t="str">
        <f>'BIỂU HỢP ĐỒNG'!I1355</f>
        <v>cái</v>
      </c>
      <c r="E676" s="123">
        <f>'BIỂU HỢP ĐỒNG'!G1355</f>
        <v>2</v>
      </c>
      <c r="F676" s="123"/>
      <c r="G676" s="125"/>
      <c r="H676" s="125"/>
      <c r="I676" s="125"/>
      <c r="J676" s="62">
        <f>'BIỂU HỢP ĐỒNG'!J1355</f>
        <v>901085</v>
      </c>
      <c r="K676" s="43"/>
      <c r="L676" s="62">
        <f t="shared" si="138"/>
        <v>1802170</v>
      </c>
      <c r="M676" s="43">
        <f t="shared" si="139"/>
        <v>0</v>
      </c>
      <c r="N676" s="43">
        <f t="shared" si="140"/>
        <v>0</v>
      </c>
      <c r="O676" s="43">
        <f t="shared" si="141"/>
        <v>0</v>
      </c>
      <c r="P676" s="43">
        <f t="shared" si="127"/>
        <v>1802170</v>
      </c>
      <c r="Q676" s="100"/>
      <c r="R676" s="117"/>
    </row>
    <row r="677" spans="1:18" hidden="1" x14ac:dyDescent="0.25">
      <c r="A677" s="48" t="str">
        <f t="shared" si="133"/>
        <v>TL</v>
      </c>
      <c r="B677" s="32" t="str">
        <f>'BIỂU HỢP ĐỒNG'!B1356</f>
        <v>20.6</v>
      </c>
      <c r="C677" s="39" t="str">
        <f>'BIỂU HỢP ĐỒNG'!D1356</f>
        <v>Hàng rào cọc tiêu ống nhựa D80, L=1.2m</v>
      </c>
      <c r="D677" s="13" t="str">
        <f>'BIỂU HỢP ĐỒNG'!I1356</f>
        <v>m</v>
      </c>
      <c r="E677" s="123">
        <f>'BIỂU HỢP ĐỒNG'!G1356</f>
        <v>146</v>
      </c>
      <c r="F677" s="123"/>
      <c r="G677" s="125"/>
      <c r="H677" s="125"/>
      <c r="I677" s="125"/>
      <c r="J677" s="62">
        <f>'BIỂU HỢP ĐỒNG'!J1356</f>
        <v>57340</v>
      </c>
      <c r="K677" s="43"/>
      <c r="L677" s="62">
        <f t="shared" si="138"/>
        <v>8371640</v>
      </c>
      <c r="M677" s="43">
        <f t="shared" si="139"/>
        <v>0</v>
      </c>
      <c r="N677" s="43">
        <f t="shared" si="140"/>
        <v>0</v>
      </c>
      <c r="O677" s="43">
        <f t="shared" si="141"/>
        <v>0</v>
      </c>
      <c r="P677" s="43">
        <f t="shared" si="127"/>
        <v>8371640</v>
      </c>
      <c r="Q677" s="100"/>
      <c r="R677" s="117"/>
    </row>
    <row r="678" spans="1:18" hidden="1" x14ac:dyDescent="0.25">
      <c r="A678" s="48" t="str">
        <f t="shared" si="133"/>
        <v>TL</v>
      </c>
      <c r="B678" s="32" t="str">
        <f>'BIỂU HỢP ĐỒNG'!B1357</f>
        <v>20.7</v>
      </c>
      <c r="C678" s="39" t="str">
        <f>'BIỂU HỢP ĐỒNG'!D1357</f>
        <v>Cuộn rào cảnh báo</v>
      </c>
      <c r="D678" s="13" t="str">
        <f>'BIỂU HỢP ĐỒNG'!I1357</f>
        <v>m</v>
      </c>
      <c r="E678" s="123">
        <f>'BIỂU HỢP ĐỒNG'!G1357</f>
        <v>580</v>
      </c>
      <c r="F678" s="123"/>
      <c r="G678" s="125"/>
      <c r="H678" s="125"/>
      <c r="I678" s="125"/>
      <c r="J678" s="62">
        <f>'BIỂU HỢP ĐỒNG'!J1357</f>
        <v>12872</v>
      </c>
      <c r="K678" s="43"/>
      <c r="L678" s="62">
        <f t="shared" si="138"/>
        <v>7465760</v>
      </c>
      <c r="M678" s="43">
        <f t="shared" si="139"/>
        <v>0</v>
      </c>
      <c r="N678" s="43">
        <f t="shared" si="140"/>
        <v>0</v>
      </c>
      <c r="O678" s="43">
        <f t="shared" si="141"/>
        <v>0</v>
      </c>
      <c r="P678" s="43">
        <f t="shared" si="127"/>
        <v>7465760</v>
      </c>
      <c r="Q678" s="100"/>
      <c r="R678" s="117"/>
    </row>
    <row r="679" spans="1:18" hidden="1" x14ac:dyDescent="0.25">
      <c r="A679" s="48" t="str">
        <f t="shared" si="133"/>
        <v>TL</v>
      </c>
      <c r="B679" s="32" t="str">
        <f>'BIỂU HỢP ĐỒNG'!B1358</f>
        <v>20.8</v>
      </c>
      <c r="C679" s="39" t="str">
        <f>'BIỂU HỢP ĐỒNG'!D1358</f>
        <v>Bê tông tấm đan C12, đá 1x2</v>
      </c>
      <c r="D679" s="13" t="str">
        <f>'BIỂU HỢP ĐỒNG'!I1358</f>
        <v>m3</v>
      </c>
      <c r="E679" s="123">
        <f>'BIỂU HỢP ĐỒNG'!G1358</f>
        <v>2</v>
      </c>
      <c r="F679" s="123"/>
      <c r="G679" s="125"/>
      <c r="H679" s="125"/>
      <c r="I679" s="125"/>
      <c r="J679" s="62">
        <f>'BIỂU HỢP ĐỒNG'!J1358</f>
        <v>1487782</v>
      </c>
      <c r="K679" s="43"/>
      <c r="L679" s="62">
        <f t="shared" si="138"/>
        <v>2975564</v>
      </c>
      <c r="M679" s="43">
        <f t="shared" si="139"/>
        <v>0</v>
      </c>
      <c r="N679" s="43">
        <f t="shared" si="140"/>
        <v>0</v>
      </c>
      <c r="O679" s="43">
        <f t="shared" si="141"/>
        <v>0</v>
      </c>
      <c r="P679" s="43">
        <f t="shared" si="127"/>
        <v>2975564</v>
      </c>
      <c r="Q679" s="100"/>
      <c r="R679" s="117"/>
    </row>
    <row r="680" spans="1:18" hidden="1" x14ac:dyDescent="0.25">
      <c r="A680" s="48" t="str">
        <f t="shared" si="133"/>
        <v>TL</v>
      </c>
      <c r="B680" s="32" t="str">
        <f>'BIỂU HỢP ĐỒNG'!B1359</f>
        <v>20.9</v>
      </c>
      <c r="C680" s="39" t="str">
        <f>'BIỂU HỢP ĐỒNG'!D1359</f>
        <v>Công trực đảm bảo giao thông</v>
      </c>
      <c r="D680" s="13" t="str">
        <f>'BIỂU HỢP ĐỒNG'!I1359</f>
        <v>công</v>
      </c>
      <c r="E680" s="123">
        <f>'BIỂU HỢP ĐỒNG'!G1359</f>
        <v>50</v>
      </c>
      <c r="F680" s="123"/>
      <c r="G680" s="125"/>
      <c r="H680" s="125"/>
      <c r="I680" s="125"/>
      <c r="J680" s="62">
        <f>'BIỂU HỢP ĐỒNG'!J1359</f>
        <v>280167</v>
      </c>
      <c r="K680" s="43"/>
      <c r="L680" s="62">
        <f t="shared" si="138"/>
        <v>14008350</v>
      </c>
      <c r="M680" s="43">
        <f t="shared" si="139"/>
        <v>0</v>
      </c>
      <c r="N680" s="43">
        <f t="shared" si="140"/>
        <v>0</v>
      </c>
      <c r="O680" s="43">
        <f t="shared" si="141"/>
        <v>0</v>
      </c>
      <c r="P680" s="43">
        <f t="shared" si="127"/>
        <v>14008350</v>
      </c>
      <c r="Q680" s="100"/>
      <c r="R680" s="117"/>
    </row>
    <row r="681" spans="1:18" hidden="1" x14ac:dyDescent="0.25">
      <c r="A681" s="48" t="str">
        <f t="shared" si="133"/>
        <v>TL</v>
      </c>
      <c r="B681" s="32" t="str">
        <f>'BIỂU HỢP ĐỒNG'!B1360</f>
        <v>20.10</v>
      </c>
      <c r="C681" s="39" t="str">
        <f>'BIỂU HỢP ĐỒNG'!D1360</f>
        <v>Bộ đàm cầm tay</v>
      </c>
      <c r="D681" s="13" t="str">
        <f>'BIỂU HỢP ĐỒNG'!I1360</f>
        <v>cái</v>
      </c>
      <c r="E681" s="123">
        <f>'BIỂU HỢP ĐỒNG'!G1360</f>
        <v>2</v>
      </c>
      <c r="F681" s="123"/>
      <c r="G681" s="125"/>
      <c r="H681" s="125"/>
      <c r="I681" s="125"/>
      <c r="J681" s="62">
        <f>'BIỂU HỢP ĐỒNG'!J1360</f>
        <v>482724</v>
      </c>
      <c r="K681" s="43"/>
      <c r="L681" s="62">
        <f t="shared" si="138"/>
        <v>965448</v>
      </c>
      <c r="M681" s="43">
        <f t="shared" si="139"/>
        <v>0</v>
      </c>
      <c r="N681" s="43">
        <f t="shared" si="140"/>
        <v>0</v>
      </c>
      <c r="O681" s="43">
        <f t="shared" si="141"/>
        <v>0</v>
      </c>
      <c r="P681" s="43">
        <f t="shared" si="127"/>
        <v>965448</v>
      </c>
      <c r="Q681" s="100"/>
      <c r="R681" s="117"/>
    </row>
    <row r="682" spans="1:18" hidden="1" x14ac:dyDescent="0.25">
      <c r="A682" s="48" t="str">
        <f t="shared" si="133"/>
        <v>TL</v>
      </c>
      <c r="B682" s="32" t="str">
        <f>'BIỂU HỢP ĐỒNG'!B1361</f>
        <v>20.11</v>
      </c>
      <c r="C682" s="39" t="str">
        <f>'BIỂU HỢP ĐỒNG'!D1361</f>
        <v>Đèn pin ban đêm</v>
      </c>
      <c r="D682" s="13" t="str">
        <f>'BIỂU HỢP ĐỒNG'!I1361</f>
        <v>cái</v>
      </c>
      <c r="E682" s="123">
        <f>'BIỂU HỢP ĐỒNG'!G1361</f>
        <v>2</v>
      </c>
      <c r="F682" s="123"/>
      <c r="G682" s="125"/>
      <c r="H682" s="125"/>
      <c r="I682" s="125"/>
      <c r="J682" s="62">
        <f>'BIỂU HỢP ĐỒNG'!J1361</f>
        <v>81332</v>
      </c>
      <c r="K682" s="43"/>
      <c r="L682" s="62">
        <f t="shared" si="138"/>
        <v>162664</v>
      </c>
      <c r="M682" s="43">
        <f t="shared" si="139"/>
        <v>0</v>
      </c>
      <c r="N682" s="43">
        <f t="shared" si="140"/>
        <v>0</v>
      </c>
      <c r="O682" s="43">
        <f t="shared" si="141"/>
        <v>0</v>
      </c>
      <c r="P682" s="43">
        <f t="shared" si="127"/>
        <v>162664</v>
      </c>
      <c r="Q682" s="100"/>
      <c r="R682" s="117"/>
    </row>
    <row r="683" spans="1:18" hidden="1" x14ac:dyDescent="0.25">
      <c r="A683" s="48" t="str">
        <f t="shared" si="133"/>
        <v>TL</v>
      </c>
      <c r="B683" s="32" t="str">
        <f>'BIỂU HỢP ĐỒNG'!B1362</f>
        <v>20.12</v>
      </c>
      <c r="C683" s="39" t="str">
        <f>'BIỂU HỢP ĐỒNG'!D1362</f>
        <v>Gậy đảm bảo ATGT</v>
      </c>
      <c r="D683" s="13" t="str">
        <f>'BIỂU HỢP ĐỒNG'!I1362</f>
        <v>cái</v>
      </c>
      <c r="E683" s="123">
        <f>'BIỂU HỢP ĐỒNG'!G1362</f>
        <v>2</v>
      </c>
      <c r="F683" s="123"/>
      <c r="G683" s="125"/>
      <c r="H683" s="125"/>
      <c r="I683" s="125"/>
      <c r="J683" s="62">
        <f>'BIỂU HỢP ĐỒNG'!J1362</f>
        <v>99471</v>
      </c>
      <c r="K683" s="43"/>
      <c r="L683" s="62">
        <f t="shared" si="138"/>
        <v>198942</v>
      </c>
      <c r="M683" s="43">
        <f t="shared" si="139"/>
        <v>0</v>
      </c>
      <c r="N683" s="43">
        <f t="shared" si="140"/>
        <v>0</v>
      </c>
      <c r="O683" s="43">
        <f t="shared" si="141"/>
        <v>0</v>
      </c>
      <c r="P683" s="43">
        <f t="shared" si="127"/>
        <v>198942</v>
      </c>
      <c r="Q683" s="100"/>
      <c r="R683" s="117"/>
    </row>
    <row r="684" spans="1:18" hidden="1" x14ac:dyDescent="0.25">
      <c r="A684" s="48" t="str">
        <f t="shared" si="133"/>
        <v>TL</v>
      </c>
      <c r="B684" s="32" t="str">
        <f>'BIỂU HỢP ĐỒNG'!B1363</f>
        <v>20.13</v>
      </c>
      <c r="C684" s="39" t="str">
        <f>'BIỂU HỢP ĐỒNG'!D1363</f>
        <v>Còi</v>
      </c>
      <c r="D684" s="13" t="str">
        <f>'BIỂU HỢP ĐỒNG'!I1363</f>
        <v>cái</v>
      </c>
      <c r="E684" s="123">
        <f>'BIỂU HỢP ĐỒNG'!G1363</f>
        <v>2</v>
      </c>
      <c r="F684" s="123"/>
      <c r="G684" s="125"/>
      <c r="H684" s="125"/>
      <c r="I684" s="125"/>
      <c r="J684" s="62">
        <f>'BIỂU HỢP ĐỒNG'!J1363</f>
        <v>128726</v>
      </c>
      <c r="K684" s="43"/>
      <c r="L684" s="62">
        <f t="shared" si="138"/>
        <v>257452</v>
      </c>
      <c r="M684" s="43">
        <f t="shared" si="139"/>
        <v>0</v>
      </c>
      <c r="N684" s="43">
        <f t="shared" si="140"/>
        <v>0</v>
      </c>
      <c r="O684" s="43">
        <f t="shared" si="141"/>
        <v>0</v>
      </c>
      <c r="P684" s="43">
        <f t="shared" si="127"/>
        <v>257452</v>
      </c>
      <c r="Q684" s="100"/>
      <c r="R684" s="117"/>
    </row>
    <row r="685" spans="1:18" hidden="1" x14ac:dyDescent="0.25">
      <c r="A685" s="48" t="str">
        <f t="shared" si="133"/>
        <v>TL</v>
      </c>
      <c r="B685" s="32" t="str">
        <f>'BIỂU HỢP ĐỒNG'!B1364</f>
        <v>20.14</v>
      </c>
      <c r="C685" s="39" t="str">
        <f>'BIỂU HỢP ĐỒNG'!D1364</f>
        <v>Áo phản quang</v>
      </c>
      <c r="D685" s="13" t="str">
        <f>'BIỂU HỢP ĐỒNG'!I1364</f>
        <v>cái</v>
      </c>
      <c r="E685" s="123">
        <f>'BIỂU HỢP ĐỒNG'!G1364</f>
        <v>2</v>
      </c>
      <c r="F685" s="123"/>
      <c r="G685" s="125"/>
      <c r="H685" s="125"/>
      <c r="I685" s="125"/>
      <c r="J685" s="62">
        <f>'BIỂU HỢP ĐỒNG'!J1364</f>
        <v>57927</v>
      </c>
      <c r="K685" s="43"/>
      <c r="L685" s="62">
        <f t="shared" si="138"/>
        <v>115854</v>
      </c>
      <c r="M685" s="43">
        <f t="shared" si="139"/>
        <v>0</v>
      </c>
      <c r="N685" s="43">
        <f t="shared" si="140"/>
        <v>0</v>
      </c>
      <c r="O685" s="43">
        <f t="shared" si="141"/>
        <v>0</v>
      </c>
      <c r="P685" s="43">
        <f t="shared" si="127"/>
        <v>115854</v>
      </c>
      <c r="Q685" s="100"/>
      <c r="R685" s="117"/>
    </row>
    <row r="686" spans="1:18" hidden="1" x14ac:dyDescent="0.25">
      <c r="A686" s="48" t="str">
        <f t="shared" si="133"/>
        <v>TL</v>
      </c>
      <c r="B686" s="32" t="str">
        <f>'BIỂU HỢP ĐỒNG'!B1365</f>
        <v>20.15</v>
      </c>
      <c r="C686" s="39" t="str">
        <f>'BIỂU HỢP ĐỒNG'!D1365</f>
        <v>Đèn chỉ huỷ</v>
      </c>
      <c r="D686" s="13" t="str">
        <f>'BIỂU HỢP ĐỒNG'!I1365</f>
        <v>cái</v>
      </c>
      <c r="E686" s="123">
        <f>'BIỂU HỢP ĐỒNG'!G1365</f>
        <v>2</v>
      </c>
      <c r="F686" s="123"/>
      <c r="G686" s="125"/>
      <c r="H686" s="125"/>
      <c r="I686" s="125"/>
      <c r="J686" s="62">
        <f>'BIỂU HỢP ĐỒNG'!J1365</f>
        <v>57927</v>
      </c>
      <c r="K686" s="43"/>
      <c r="L686" s="62">
        <f t="shared" si="138"/>
        <v>115854</v>
      </c>
      <c r="M686" s="43">
        <f t="shared" si="139"/>
        <v>0</v>
      </c>
      <c r="N686" s="43">
        <f t="shared" si="140"/>
        <v>0</v>
      </c>
      <c r="O686" s="43">
        <f t="shared" si="141"/>
        <v>0</v>
      </c>
      <c r="P686" s="43">
        <f t="shared" si="127"/>
        <v>115854</v>
      </c>
      <c r="Q686" s="100"/>
      <c r="R686" s="117"/>
    </row>
    <row r="687" spans="1:18" s="22" customFormat="1" hidden="1" x14ac:dyDescent="0.25">
      <c r="A687" s="48"/>
      <c r="B687" s="29">
        <v>21</v>
      </c>
      <c r="C687" s="12" t="s">
        <v>2028</v>
      </c>
      <c r="D687" s="79"/>
      <c r="E687" s="130"/>
      <c r="F687" s="130"/>
      <c r="G687" s="131"/>
      <c r="H687" s="131"/>
      <c r="I687" s="131"/>
      <c r="J687" s="63"/>
      <c r="K687" s="60"/>
      <c r="L687" s="63"/>
      <c r="M687" s="60"/>
      <c r="N687" s="60"/>
      <c r="O687" s="60"/>
      <c r="P687" s="60"/>
      <c r="Q687" s="105"/>
      <c r="R687" s="132"/>
    </row>
    <row r="688" spans="1:18" hidden="1" x14ac:dyDescent="0.25">
      <c r="A688" s="48"/>
      <c r="B688" s="32" t="s">
        <v>1945</v>
      </c>
      <c r="C688" s="133" t="s">
        <v>122</v>
      </c>
      <c r="D688" s="134" t="s">
        <v>16</v>
      </c>
      <c r="E688" s="123"/>
      <c r="F688" s="123">
        <f>'[4]PHỤ LỤC GIÁ HỢP ĐỒNG'!$K$144</f>
        <v>29.4</v>
      </c>
      <c r="G688" s="125"/>
      <c r="H688" s="125"/>
      <c r="I688" s="125"/>
      <c r="J688" s="62"/>
      <c r="K688" s="43">
        <f>'[4]PHỤ LỤC GIÁ HỢP ĐỒNG'!$M$144</f>
        <v>1866757</v>
      </c>
      <c r="L688" s="62"/>
      <c r="M688" s="43"/>
      <c r="N688" s="43"/>
      <c r="O688" s="43"/>
      <c r="P688" s="43"/>
      <c r="Q688" s="100"/>
      <c r="R688" s="117"/>
    </row>
    <row r="689" spans="1:18" hidden="1" x14ac:dyDescent="0.25">
      <c r="A689" s="48"/>
      <c r="B689" s="32" t="s">
        <v>1947</v>
      </c>
      <c r="C689" s="133" t="s">
        <v>2029</v>
      </c>
      <c r="D689" s="134" t="s">
        <v>16</v>
      </c>
      <c r="E689" s="123"/>
      <c r="F689" s="123">
        <f>'[4]PHỤ LỤC GIÁ HỢP ĐỒNG'!$K$145</f>
        <v>3.24</v>
      </c>
      <c r="G689" s="125"/>
      <c r="H689" s="125"/>
      <c r="I689" s="125"/>
      <c r="J689" s="62"/>
      <c r="K689" s="43">
        <f>'[4]PHỤ LỤC GIÁ HỢP ĐỒNG'!$M$145</f>
        <v>1399730</v>
      </c>
      <c r="L689" s="62"/>
      <c r="M689" s="43"/>
      <c r="N689" s="43"/>
      <c r="O689" s="43"/>
      <c r="P689" s="43"/>
      <c r="Q689" s="100"/>
      <c r="R689" s="117"/>
    </row>
    <row r="690" spans="1:18" hidden="1" x14ac:dyDescent="0.25">
      <c r="A690" s="48"/>
      <c r="B690" s="32" t="s">
        <v>1949</v>
      </c>
      <c r="C690" s="133" t="s">
        <v>2030</v>
      </c>
      <c r="D690" s="134" t="s">
        <v>13</v>
      </c>
      <c r="E690" s="123"/>
      <c r="F690" s="123">
        <f>'[4]PHỤ LỤC GIÁ HỢP ĐỒNG'!$K$146</f>
        <v>90</v>
      </c>
      <c r="G690" s="125"/>
      <c r="H690" s="125"/>
      <c r="I690" s="125"/>
      <c r="J690" s="62"/>
      <c r="K690" s="43">
        <f>'[4]PHỤ LỤC GIÁ HỢP ĐỒNG'!$M$146</f>
        <v>79477</v>
      </c>
      <c r="L690" s="62"/>
      <c r="M690" s="43"/>
      <c r="N690" s="43"/>
      <c r="O690" s="43"/>
      <c r="P690" s="43"/>
      <c r="Q690" s="100"/>
      <c r="R690" s="117"/>
    </row>
    <row r="691" spans="1:18" s="22" customFormat="1" ht="21.75" hidden="1" customHeight="1" x14ac:dyDescent="0.25">
      <c r="A691" s="48" t="str">
        <f>A686</f>
        <v>TL</v>
      </c>
      <c r="B691" s="29">
        <f>'BIỂU HỢP ĐỒNG'!B1380</f>
        <v>22</v>
      </c>
      <c r="C691" s="12" t="str">
        <f>'BIỂU HỢP ĐỒNG'!D1380</f>
        <v>CHI PHÍ BẢO HIỂM</v>
      </c>
      <c r="D691" s="79">
        <f>'BIỂU HỢP ĐỒNG'!I1380</f>
        <v>0</v>
      </c>
      <c r="E691" s="130"/>
      <c r="F691" s="130"/>
      <c r="G691" s="131"/>
      <c r="H691" s="131"/>
      <c r="I691" s="131"/>
      <c r="J691" s="63"/>
      <c r="K691" s="60"/>
      <c r="L691" s="63"/>
      <c r="M691" s="60"/>
      <c r="N691" s="60"/>
      <c r="O691" s="60"/>
      <c r="P691" s="43">
        <f>SUM(L691:O691)</f>
        <v>0</v>
      </c>
      <c r="Q691" s="100"/>
      <c r="R691" s="117"/>
    </row>
    <row r="692" spans="1:18" ht="37.5" hidden="1" customHeight="1" x14ac:dyDescent="0.25">
      <c r="A692" s="48" t="str">
        <f>A691</f>
        <v>TL</v>
      </c>
      <c r="B692" s="32" t="str">
        <f>'BIỂU HỢP ĐỒNG'!B1381</f>
        <v>22.1</v>
      </c>
      <c r="C692" s="39" t="str">
        <f>'BIỂU HỢP ĐỒNG'!D1381</f>
        <v>Chi phí bảo hiểm thi công phần đường, hệ thống thoát nước</v>
      </c>
      <c r="D692" s="13" t="str">
        <f>'BIỂU HỢP ĐỒNG'!I1381</f>
        <v>Khoản</v>
      </c>
      <c r="E692" s="123">
        <f>'BIỂU HỢP ĐỒNG'!F1381</f>
        <v>1</v>
      </c>
      <c r="F692" s="123"/>
      <c r="G692" s="125"/>
      <c r="H692" s="125"/>
      <c r="I692" s="125"/>
      <c r="J692" s="62">
        <f>'BIỂU HỢP ĐỒNG'!J1381</f>
        <v>474623503</v>
      </c>
      <c r="K692" s="43"/>
      <c r="L692" s="62">
        <f>'BIỂU HỢP ĐỒNG'!L1381</f>
        <v>242576117.0949963</v>
      </c>
      <c r="M692" s="43">
        <f>+ROUND(F692*J692,0)</f>
        <v>0</v>
      </c>
      <c r="N692" s="43">
        <f>+ROUND(G692*J692,0)</f>
        <v>0</v>
      </c>
      <c r="O692" s="43">
        <f>+ROUND(H692*J692,0)</f>
        <v>0</v>
      </c>
      <c r="P692" s="62">
        <f>SUM(L692:O692)</f>
        <v>242576117.0949963</v>
      </c>
      <c r="Q692" s="100"/>
      <c r="R692" s="117"/>
    </row>
    <row r="693" spans="1:18" s="22" customFormat="1" ht="43.5" hidden="1" customHeight="1" x14ac:dyDescent="0.25">
      <c r="A693" s="48" t="str">
        <f>A692</f>
        <v>TL</v>
      </c>
      <c r="B693" s="29">
        <f>'BIỂU HỢP ĐỒNG'!B1383</f>
        <v>23</v>
      </c>
      <c r="C693" s="12" t="str">
        <f>'BIỂU HỢP ĐỒNG'!D1383</f>
        <v>CHI PHÍ DỰ PHÒNG (6,67%*CPXD)</v>
      </c>
      <c r="D693" s="79" t="str">
        <f>'BIỂU HỢP ĐỒNG'!I1383</f>
        <v>Khoản</v>
      </c>
      <c r="E693" s="130">
        <f>'BIỂU HỢP ĐỒNG'!F1383</f>
        <v>1</v>
      </c>
      <c r="F693" s="130"/>
      <c r="G693" s="131"/>
      <c r="H693" s="131"/>
      <c r="I693" s="131"/>
      <c r="J693" s="63"/>
      <c r="K693" s="60"/>
      <c r="L693" s="63">
        <f>'BIỂU HỢP ĐỒNG'!L1383</f>
        <v>8106839888.3200359</v>
      </c>
      <c r="M693" s="60">
        <f>+ROUND(F693*J693,0)</f>
        <v>0</v>
      </c>
      <c r="N693" s="126">
        <f>'[4]PHỤ LỤC GIÁ HỢP ĐỒNG'!$S$113</f>
        <v>-3613922000</v>
      </c>
      <c r="O693" s="60">
        <f>+ROUND(H693*J693,0)</f>
        <v>0</v>
      </c>
      <c r="P693" s="62">
        <f>SUM(L693:O693)</f>
        <v>4492917888.3200359</v>
      </c>
      <c r="Q693" s="100"/>
      <c r="R693" s="117"/>
    </row>
    <row r="694" spans="1:18" s="22" customFormat="1" ht="51" hidden="1" customHeight="1" x14ac:dyDescent="0.25">
      <c r="A694" s="48" t="str">
        <f>A693</f>
        <v>TL</v>
      </c>
      <c r="B694" s="29">
        <v>24</v>
      </c>
      <c r="C694" s="12" t="s">
        <v>2031</v>
      </c>
      <c r="D694" s="79" t="s">
        <v>1972</v>
      </c>
      <c r="E694" s="130"/>
      <c r="F694" s="130"/>
      <c r="G694" s="131"/>
      <c r="H694" s="131"/>
      <c r="I694" s="131"/>
      <c r="J694" s="63"/>
      <c r="K694" s="60"/>
      <c r="L694" s="63"/>
      <c r="M694" s="60"/>
      <c r="N694" s="60"/>
      <c r="O694" s="60"/>
      <c r="P694" s="43">
        <f>SUM(L694:O694)</f>
        <v>0</v>
      </c>
      <c r="Q694" s="100"/>
      <c r="R694" s="117"/>
    </row>
    <row r="695" spans="1:18" s="22" customFormat="1" ht="29.25" hidden="1" customHeight="1" x14ac:dyDescent="0.25">
      <c r="A695" s="48"/>
      <c r="B695" s="29">
        <v>25</v>
      </c>
      <c r="C695" s="12" t="s">
        <v>2032</v>
      </c>
      <c r="D695" s="79"/>
      <c r="E695" s="130"/>
      <c r="F695" s="130"/>
      <c r="G695" s="131"/>
      <c r="H695" s="131"/>
      <c r="I695" s="131"/>
      <c r="J695" s="63"/>
      <c r="K695" s="60"/>
      <c r="L695" s="63"/>
      <c r="M695" s="60"/>
      <c r="N695" s="126">
        <v>-271910000</v>
      </c>
      <c r="O695" s="60"/>
      <c r="P695" s="43">
        <f>SUM(L695:O695)</f>
        <v>-271910000</v>
      </c>
      <c r="Q695" s="100"/>
      <c r="R695" s="117"/>
    </row>
    <row r="696" spans="1:18" s="9" customFormat="1" ht="63.75" customHeight="1" x14ac:dyDescent="0.25">
      <c r="A696" s="48" t="s">
        <v>1985</v>
      </c>
      <c r="B696" s="46" t="s">
        <v>2033</v>
      </c>
      <c r="C696" s="47" t="s">
        <v>2034</v>
      </c>
      <c r="D696" s="44"/>
      <c r="E696" s="135"/>
      <c r="F696" s="135"/>
      <c r="G696" s="135"/>
      <c r="H696" s="135"/>
      <c r="I696" s="135"/>
      <c r="J696" s="65"/>
      <c r="K696" s="65">
        <f>'BIỂU HỢP ĐỒNG'!M1384</f>
        <v>194624562000</v>
      </c>
      <c r="L696" s="66">
        <f>ROUND(SUM(L697:L1547),-3)</f>
        <v>194624562000</v>
      </c>
      <c r="M696" s="66">
        <f>ROUND(SUM(M697:M1547),-3)</f>
        <v>0</v>
      </c>
      <c r="N696" s="122">
        <f>ROUND(SUM(N697:N1549),-3)</f>
        <v>-1505522000</v>
      </c>
      <c r="O696" s="66">
        <f>ROUND(SUM(O697:O1547),-3)</f>
        <v>0</v>
      </c>
      <c r="P696" s="66">
        <f>ROUND(SUM(P697:P1549),-3)</f>
        <v>193119040000</v>
      </c>
      <c r="Q696" s="100"/>
      <c r="R696" s="117"/>
    </row>
    <row r="697" spans="1:18" s="22" customFormat="1" ht="57" customHeight="1" x14ac:dyDescent="0.25">
      <c r="A697" s="48" t="str">
        <f t="shared" ref="A697:A760" si="142">A696</f>
        <v>HT</v>
      </c>
      <c r="B697" s="29">
        <v>9</v>
      </c>
      <c r="C697" s="12" t="s">
        <v>997</v>
      </c>
      <c r="D697" s="79"/>
      <c r="E697" s="123"/>
      <c r="F697" s="136"/>
      <c r="G697" s="125"/>
      <c r="H697" s="125"/>
      <c r="I697" s="125"/>
      <c r="J697" s="62"/>
      <c r="K697" s="43"/>
      <c r="L697" s="62"/>
      <c r="M697" s="77"/>
      <c r="N697" s="43"/>
      <c r="O697" s="43"/>
      <c r="P697" s="43"/>
      <c r="Q697" s="100"/>
      <c r="R697" s="117"/>
    </row>
    <row r="698" spans="1:18" x14ac:dyDescent="0.25">
      <c r="A698" s="48" t="str">
        <f t="shared" si="142"/>
        <v>HT</v>
      </c>
      <c r="B698" s="32" t="s">
        <v>998</v>
      </c>
      <c r="C698" s="39" t="s">
        <v>12</v>
      </c>
      <c r="D698" s="13" t="s">
        <v>13</v>
      </c>
      <c r="E698" s="123">
        <v>95711</v>
      </c>
      <c r="F698" s="136"/>
      <c r="G698" s="125"/>
      <c r="H698" s="125"/>
      <c r="I698" s="125">
        <f t="shared" ref="I698:I729" si="143">SUM(E698:H698)</f>
        <v>95711</v>
      </c>
      <c r="J698" s="62">
        <f>'BIỂU HỢP ĐỒNG'!J661</f>
        <v>646</v>
      </c>
      <c r="K698" s="43"/>
      <c r="L698" s="62">
        <f t="shared" ref="L698:L729" si="144">+ROUND(J698*E698,0)</f>
        <v>61829306</v>
      </c>
      <c r="M698" s="77">
        <f t="shared" ref="M698:M729" si="145">+ROUND(F698*J698,0)</f>
        <v>0</v>
      </c>
      <c r="N698" s="43">
        <f t="shared" ref="N698:N729" si="146">+ROUND(G698*J698,0)</f>
        <v>0</v>
      </c>
      <c r="O698" s="43">
        <f t="shared" ref="O698:O729" si="147">+ROUND(H698*J698,0)</f>
        <v>0</v>
      </c>
      <c r="P698" s="43">
        <f t="shared" ref="P698:P761" si="148">SUM(L698:O698)</f>
        <v>61829306</v>
      </c>
      <c r="Q698" s="100"/>
      <c r="R698" s="117"/>
    </row>
    <row r="699" spans="1:18" x14ac:dyDescent="0.25">
      <c r="A699" s="48" t="str">
        <f t="shared" si="142"/>
        <v>HT</v>
      </c>
      <c r="B699" s="32" t="s">
        <v>999</v>
      </c>
      <c r="C699" s="39" t="s">
        <v>1000</v>
      </c>
      <c r="D699" s="13" t="s">
        <v>16</v>
      </c>
      <c r="E699" s="123">
        <v>44.5</v>
      </c>
      <c r="F699" s="136"/>
      <c r="G699" s="125"/>
      <c r="H699" s="125"/>
      <c r="I699" s="125">
        <f t="shared" si="143"/>
        <v>44.5</v>
      </c>
      <c r="J699" s="62">
        <f>'BIỂU HỢP ĐỒNG'!J662</f>
        <v>23801</v>
      </c>
      <c r="K699" s="43"/>
      <c r="L699" s="62">
        <f t="shared" si="144"/>
        <v>1059145</v>
      </c>
      <c r="M699" s="77">
        <f t="shared" si="145"/>
        <v>0</v>
      </c>
      <c r="N699" s="43">
        <f t="shared" si="146"/>
        <v>0</v>
      </c>
      <c r="O699" s="43">
        <f t="shared" si="147"/>
        <v>0</v>
      </c>
      <c r="P699" s="43">
        <f t="shared" si="148"/>
        <v>1059145</v>
      </c>
      <c r="Q699" s="100"/>
      <c r="R699" s="117"/>
    </row>
    <row r="700" spans="1:18" x14ac:dyDescent="0.25">
      <c r="A700" s="48" t="str">
        <f t="shared" si="142"/>
        <v>HT</v>
      </c>
      <c r="B700" s="32" t="s">
        <v>1001</v>
      </c>
      <c r="C700" s="39" t="s">
        <v>15</v>
      </c>
      <c r="D700" s="13" t="s">
        <v>16</v>
      </c>
      <c r="E700" s="123">
        <v>1897.6</v>
      </c>
      <c r="F700" s="136"/>
      <c r="G700" s="125"/>
      <c r="H700" s="125"/>
      <c r="I700" s="125">
        <f t="shared" si="143"/>
        <v>1897.6</v>
      </c>
      <c r="J700" s="62">
        <f>'BIỂU HỢP ĐỒNG'!J663</f>
        <v>20072</v>
      </c>
      <c r="K700" s="43"/>
      <c r="L700" s="62">
        <f t="shared" si="144"/>
        <v>38088627</v>
      </c>
      <c r="M700" s="77">
        <f t="shared" si="145"/>
        <v>0</v>
      </c>
      <c r="N700" s="43">
        <f t="shared" si="146"/>
        <v>0</v>
      </c>
      <c r="O700" s="43">
        <f t="shared" si="147"/>
        <v>0</v>
      </c>
      <c r="P700" s="43">
        <f t="shared" si="148"/>
        <v>38088627</v>
      </c>
      <c r="Q700" s="100"/>
      <c r="R700" s="117"/>
    </row>
    <row r="701" spans="1:18" x14ac:dyDescent="0.25">
      <c r="A701" s="48" t="str">
        <f t="shared" si="142"/>
        <v>HT</v>
      </c>
      <c r="B701" s="32" t="s">
        <v>1002</v>
      </c>
      <c r="C701" s="39" t="s">
        <v>18</v>
      </c>
      <c r="D701" s="13" t="s">
        <v>16</v>
      </c>
      <c r="E701" s="123">
        <v>1726</v>
      </c>
      <c r="F701" s="136"/>
      <c r="G701" s="125"/>
      <c r="H701" s="125"/>
      <c r="I701" s="125">
        <f t="shared" si="143"/>
        <v>1726</v>
      </c>
      <c r="J701" s="62">
        <f>'BIỂU HỢP ĐỒNG'!J664</f>
        <v>30610</v>
      </c>
      <c r="K701" s="43"/>
      <c r="L701" s="62">
        <f t="shared" si="144"/>
        <v>52832860</v>
      </c>
      <c r="M701" s="77">
        <f t="shared" si="145"/>
        <v>0</v>
      </c>
      <c r="N701" s="43">
        <f t="shared" si="146"/>
        <v>0</v>
      </c>
      <c r="O701" s="43">
        <f t="shared" si="147"/>
        <v>0</v>
      </c>
      <c r="P701" s="43">
        <f t="shared" si="148"/>
        <v>52832860</v>
      </c>
      <c r="Q701" s="100"/>
      <c r="R701" s="117"/>
    </row>
    <row r="702" spans="1:18" x14ac:dyDescent="0.25">
      <c r="A702" s="48" t="str">
        <f t="shared" si="142"/>
        <v>HT</v>
      </c>
      <c r="B702" s="32" t="s">
        <v>1003</v>
      </c>
      <c r="C702" s="39" t="s">
        <v>20</v>
      </c>
      <c r="D702" s="13" t="s">
        <v>16</v>
      </c>
      <c r="E702" s="123">
        <v>3344.1</v>
      </c>
      <c r="F702" s="136"/>
      <c r="G702" s="125"/>
      <c r="H702" s="125"/>
      <c r="I702" s="125">
        <f t="shared" si="143"/>
        <v>3344.1</v>
      </c>
      <c r="J702" s="62">
        <f>'BIỂU HỢP ĐỒNG'!J665</f>
        <v>12342</v>
      </c>
      <c r="K702" s="43"/>
      <c r="L702" s="62">
        <f t="shared" si="144"/>
        <v>41272882</v>
      </c>
      <c r="M702" s="77">
        <f t="shared" si="145"/>
        <v>0</v>
      </c>
      <c r="N702" s="43">
        <f t="shared" si="146"/>
        <v>0</v>
      </c>
      <c r="O702" s="43">
        <f t="shared" si="147"/>
        <v>0</v>
      </c>
      <c r="P702" s="43">
        <f t="shared" si="148"/>
        <v>41272882</v>
      </c>
      <c r="Q702" s="100"/>
      <c r="R702" s="117"/>
    </row>
    <row r="703" spans="1:18" x14ac:dyDescent="0.25">
      <c r="A703" s="48" t="str">
        <f t="shared" si="142"/>
        <v>HT</v>
      </c>
      <c r="B703" s="32" t="s">
        <v>1004</v>
      </c>
      <c r="C703" s="39" t="s">
        <v>22</v>
      </c>
      <c r="D703" s="13" t="s">
        <v>16</v>
      </c>
      <c r="E703" s="123">
        <v>3344.1</v>
      </c>
      <c r="F703" s="136"/>
      <c r="G703" s="125"/>
      <c r="H703" s="125"/>
      <c r="I703" s="125">
        <f t="shared" si="143"/>
        <v>3344.1</v>
      </c>
      <c r="J703" s="62">
        <f>'BIỂU HỢP ĐỒNG'!J666</f>
        <v>12936</v>
      </c>
      <c r="K703" s="43"/>
      <c r="L703" s="62">
        <f t="shared" si="144"/>
        <v>43259278</v>
      </c>
      <c r="M703" s="77">
        <f t="shared" si="145"/>
        <v>0</v>
      </c>
      <c r="N703" s="43">
        <f t="shared" si="146"/>
        <v>0</v>
      </c>
      <c r="O703" s="43">
        <f t="shared" si="147"/>
        <v>0</v>
      </c>
      <c r="P703" s="43">
        <f t="shared" si="148"/>
        <v>43259278</v>
      </c>
      <c r="Q703" s="100"/>
      <c r="R703" s="117"/>
    </row>
    <row r="704" spans="1:18" x14ac:dyDescent="0.25">
      <c r="A704" s="48" t="str">
        <f t="shared" si="142"/>
        <v>HT</v>
      </c>
      <c r="B704" s="32" t="s">
        <v>1005</v>
      </c>
      <c r="C704" s="39" t="s">
        <v>24</v>
      </c>
      <c r="D704" s="13" t="s">
        <v>16</v>
      </c>
      <c r="E704" s="123">
        <v>6541.1</v>
      </c>
      <c r="F704" s="136"/>
      <c r="G704" s="125"/>
      <c r="H704" s="125"/>
      <c r="I704" s="125">
        <f t="shared" si="143"/>
        <v>6541.1</v>
      </c>
      <c r="J704" s="62">
        <f>'BIỂU HỢP ĐỒNG'!J667</f>
        <v>8251</v>
      </c>
      <c r="K704" s="43"/>
      <c r="L704" s="62">
        <f t="shared" si="144"/>
        <v>53970616</v>
      </c>
      <c r="M704" s="77">
        <f t="shared" si="145"/>
        <v>0</v>
      </c>
      <c r="N704" s="43">
        <f t="shared" si="146"/>
        <v>0</v>
      </c>
      <c r="O704" s="43">
        <f t="shared" si="147"/>
        <v>0</v>
      </c>
      <c r="P704" s="43">
        <f t="shared" si="148"/>
        <v>53970616</v>
      </c>
      <c r="Q704" s="100"/>
      <c r="R704" s="117"/>
    </row>
    <row r="705" spans="1:18" x14ac:dyDescent="0.25">
      <c r="A705" s="48" t="str">
        <f t="shared" si="142"/>
        <v>HT</v>
      </c>
      <c r="B705" s="32" t="s">
        <v>1006</v>
      </c>
      <c r="C705" s="39" t="s">
        <v>1007</v>
      </c>
      <c r="D705" s="13" t="s">
        <v>16</v>
      </c>
      <c r="E705" s="123">
        <v>195955</v>
      </c>
      <c r="F705" s="136"/>
      <c r="G705" s="125"/>
      <c r="H705" s="125"/>
      <c r="I705" s="125">
        <f t="shared" si="143"/>
        <v>195955</v>
      </c>
      <c r="J705" s="62">
        <f>'BIỂU HỢP ĐỒNG'!J668</f>
        <v>12936</v>
      </c>
      <c r="K705" s="43"/>
      <c r="L705" s="62">
        <f t="shared" si="144"/>
        <v>2534873880</v>
      </c>
      <c r="M705" s="77">
        <f t="shared" si="145"/>
        <v>0</v>
      </c>
      <c r="N705" s="43">
        <f t="shared" si="146"/>
        <v>0</v>
      </c>
      <c r="O705" s="43">
        <f t="shared" si="147"/>
        <v>0</v>
      </c>
      <c r="P705" s="43">
        <f t="shared" si="148"/>
        <v>2534873880</v>
      </c>
      <c r="Q705" s="100"/>
      <c r="R705" s="117"/>
    </row>
    <row r="706" spans="1:18" ht="31.5" customHeight="1" x14ac:dyDescent="0.25">
      <c r="A706" s="48" t="str">
        <f t="shared" si="142"/>
        <v>HT</v>
      </c>
      <c r="B706" s="32" t="s">
        <v>1008</v>
      </c>
      <c r="C706" s="39" t="s">
        <v>28</v>
      </c>
      <c r="D706" s="13" t="s">
        <v>16</v>
      </c>
      <c r="E706" s="123">
        <v>34746</v>
      </c>
      <c r="F706" s="136"/>
      <c r="G706" s="125"/>
      <c r="H706" s="125"/>
      <c r="I706" s="125">
        <f t="shared" si="143"/>
        <v>34746</v>
      </c>
      <c r="J706" s="62">
        <f>'BIỂU HỢP ĐỒNG'!J669</f>
        <v>12936</v>
      </c>
      <c r="K706" s="43"/>
      <c r="L706" s="62">
        <f t="shared" si="144"/>
        <v>449474256</v>
      </c>
      <c r="M706" s="77">
        <f t="shared" si="145"/>
        <v>0</v>
      </c>
      <c r="N706" s="43">
        <f t="shared" si="146"/>
        <v>0</v>
      </c>
      <c r="O706" s="43">
        <f t="shared" si="147"/>
        <v>0</v>
      </c>
      <c r="P706" s="43">
        <f t="shared" si="148"/>
        <v>449474256</v>
      </c>
      <c r="Q706" s="100"/>
      <c r="R706" s="117"/>
    </row>
    <row r="707" spans="1:18" ht="47.25" customHeight="1" x14ac:dyDescent="0.25">
      <c r="A707" s="48" t="str">
        <f t="shared" si="142"/>
        <v>HT</v>
      </c>
      <c r="B707" s="32" t="s">
        <v>1009</v>
      </c>
      <c r="C707" s="39" t="s">
        <v>30</v>
      </c>
      <c r="D707" s="13" t="s">
        <v>16</v>
      </c>
      <c r="E707" s="123">
        <v>15874</v>
      </c>
      <c r="F707" s="136"/>
      <c r="G707" s="125"/>
      <c r="H707" s="125"/>
      <c r="I707" s="125">
        <f t="shared" si="143"/>
        <v>15874</v>
      </c>
      <c r="J707" s="62">
        <f>'BIỂU HỢP ĐỒNG'!J670</f>
        <v>15775</v>
      </c>
      <c r="K707" s="43"/>
      <c r="L707" s="62">
        <f t="shared" si="144"/>
        <v>250412350</v>
      </c>
      <c r="M707" s="77">
        <f t="shared" si="145"/>
        <v>0</v>
      </c>
      <c r="N707" s="43">
        <f t="shared" si="146"/>
        <v>0</v>
      </c>
      <c r="O707" s="43">
        <f t="shared" si="147"/>
        <v>0</v>
      </c>
      <c r="P707" s="43">
        <f t="shared" si="148"/>
        <v>250412350</v>
      </c>
      <c r="Q707" s="100"/>
      <c r="R707" s="117"/>
    </row>
    <row r="708" spans="1:18" x14ac:dyDescent="0.25">
      <c r="A708" s="48" t="str">
        <f t="shared" si="142"/>
        <v>HT</v>
      </c>
      <c r="B708" s="32" t="s">
        <v>1010</v>
      </c>
      <c r="C708" s="39" t="s">
        <v>32</v>
      </c>
      <c r="D708" s="13" t="s">
        <v>16</v>
      </c>
      <c r="E708" s="123">
        <v>272217.12</v>
      </c>
      <c r="F708" s="136"/>
      <c r="G708" s="125"/>
      <c r="H708" s="125"/>
      <c r="I708" s="125">
        <f t="shared" si="143"/>
        <v>272217.12</v>
      </c>
      <c r="J708" s="62">
        <f>'BIỂU HỢP ĐỒNG'!J671</f>
        <v>50585</v>
      </c>
      <c r="K708" s="43"/>
      <c r="L708" s="62">
        <f t="shared" si="144"/>
        <v>13770103015</v>
      </c>
      <c r="M708" s="77">
        <f t="shared" si="145"/>
        <v>0</v>
      </c>
      <c r="N708" s="43">
        <f t="shared" si="146"/>
        <v>0</v>
      </c>
      <c r="O708" s="43">
        <f t="shared" si="147"/>
        <v>0</v>
      </c>
      <c r="P708" s="43">
        <f t="shared" si="148"/>
        <v>13770103015</v>
      </c>
      <c r="Q708" s="100"/>
      <c r="R708" s="117"/>
    </row>
    <row r="709" spans="1:18" x14ac:dyDescent="0.25">
      <c r="A709" s="48" t="str">
        <f t="shared" si="142"/>
        <v>HT</v>
      </c>
      <c r="B709" s="32" t="s">
        <v>1011</v>
      </c>
      <c r="C709" s="39" t="s">
        <v>34</v>
      </c>
      <c r="D709" s="13" t="s">
        <v>16</v>
      </c>
      <c r="E709" s="123">
        <v>22280.75</v>
      </c>
      <c r="F709" s="136"/>
      <c r="G709" s="125"/>
      <c r="H709" s="125"/>
      <c r="I709" s="125">
        <f t="shared" si="143"/>
        <v>22280.75</v>
      </c>
      <c r="J709" s="62">
        <f>'BIỂU HỢP ĐỒNG'!J672</f>
        <v>54405</v>
      </c>
      <c r="K709" s="43"/>
      <c r="L709" s="62">
        <f t="shared" si="144"/>
        <v>1212184204</v>
      </c>
      <c r="M709" s="77">
        <f t="shared" si="145"/>
        <v>0</v>
      </c>
      <c r="N709" s="43">
        <f t="shared" si="146"/>
        <v>0</v>
      </c>
      <c r="O709" s="43">
        <f t="shared" si="147"/>
        <v>0</v>
      </c>
      <c r="P709" s="43">
        <f t="shared" si="148"/>
        <v>1212184204</v>
      </c>
      <c r="Q709" s="100"/>
      <c r="R709" s="117"/>
    </row>
    <row r="710" spans="1:18" x14ac:dyDescent="0.25">
      <c r="A710" s="48" t="str">
        <f t="shared" si="142"/>
        <v>HT</v>
      </c>
      <c r="B710" s="32" t="s">
        <v>1012</v>
      </c>
      <c r="C710" s="39" t="s">
        <v>36</v>
      </c>
      <c r="D710" s="13" t="s">
        <v>37</v>
      </c>
      <c r="E710" s="123">
        <v>29449.79</v>
      </c>
      <c r="F710" s="136"/>
      <c r="G710" s="125"/>
      <c r="H710" s="125"/>
      <c r="I710" s="125">
        <f t="shared" si="143"/>
        <v>29449.79</v>
      </c>
      <c r="J710" s="62">
        <f>'BIỂU HỢP ĐỒNG'!J673</f>
        <v>1032698</v>
      </c>
      <c r="K710" s="43"/>
      <c r="L710" s="62">
        <f t="shared" si="144"/>
        <v>30412739233</v>
      </c>
      <c r="M710" s="77">
        <f t="shared" si="145"/>
        <v>0</v>
      </c>
      <c r="N710" s="43">
        <f t="shared" si="146"/>
        <v>0</v>
      </c>
      <c r="O710" s="43">
        <f t="shared" si="147"/>
        <v>0</v>
      </c>
      <c r="P710" s="43">
        <f t="shared" si="148"/>
        <v>30412739233</v>
      </c>
      <c r="Q710" s="100"/>
      <c r="R710" s="117"/>
    </row>
    <row r="711" spans="1:18" x14ac:dyDescent="0.25">
      <c r="A711" s="48" t="str">
        <f t="shared" si="142"/>
        <v>HT</v>
      </c>
      <c r="B711" s="32" t="s">
        <v>1013</v>
      </c>
      <c r="C711" s="39" t="s">
        <v>41</v>
      </c>
      <c r="D711" s="13" t="s">
        <v>16</v>
      </c>
      <c r="E711" s="123">
        <v>65786.64</v>
      </c>
      <c r="F711" s="136"/>
      <c r="G711" s="125"/>
      <c r="H711" s="125"/>
      <c r="I711" s="125">
        <f t="shared" si="143"/>
        <v>65786.64</v>
      </c>
      <c r="J711" s="62">
        <f>'BIỂU HỢP ĐỒNG'!J674</f>
        <v>40424</v>
      </c>
      <c r="K711" s="43"/>
      <c r="L711" s="62">
        <f t="shared" si="144"/>
        <v>2659359135</v>
      </c>
      <c r="M711" s="77">
        <f t="shared" si="145"/>
        <v>0</v>
      </c>
      <c r="N711" s="43">
        <f t="shared" si="146"/>
        <v>0</v>
      </c>
      <c r="O711" s="43">
        <f t="shared" si="147"/>
        <v>0</v>
      </c>
      <c r="P711" s="43">
        <f t="shared" si="148"/>
        <v>2659359135</v>
      </c>
      <c r="Q711" s="100"/>
      <c r="R711" s="117"/>
    </row>
    <row r="712" spans="1:18" x14ac:dyDescent="0.25">
      <c r="A712" s="48" t="str">
        <f t="shared" si="142"/>
        <v>HT</v>
      </c>
      <c r="B712" s="32" t="s">
        <v>1014</v>
      </c>
      <c r="C712" s="39" t="s">
        <v>43</v>
      </c>
      <c r="D712" s="13" t="s">
        <v>16</v>
      </c>
      <c r="E712" s="123">
        <v>2276.92</v>
      </c>
      <c r="F712" s="136"/>
      <c r="G712" s="125"/>
      <c r="H712" s="125"/>
      <c r="I712" s="125">
        <f t="shared" si="143"/>
        <v>2276.92</v>
      </c>
      <c r="J712" s="62">
        <f>'BIỂU HỢP ĐỒNG'!J675</f>
        <v>45382</v>
      </c>
      <c r="K712" s="43"/>
      <c r="L712" s="62">
        <f t="shared" si="144"/>
        <v>103331183</v>
      </c>
      <c r="M712" s="77">
        <f t="shared" si="145"/>
        <v>0</v>
      </c>
      <c r="N712" s="43">
        <f t="shared" si="146"/>
        <v>0</v>
      </c>
      <c r="O712" s="43">
        <f t="shared" si="147"/>
        <v>0</v>
      </c>
      <c r="P712" s="43">
        <f t="shared" si="148"/>
        <v>103331183</v>
      </c>
      <c r="Q712" s="100"/>
      <c r="R712" s="117"/>
    </row>
    <row r="713" spans="1:18" ht="31.5" customHeight="1" x14ac:dyDescent="0.25">
      <c r="A713" s="48" t="str">
        <f t="shared" si="142"/>
        <v>HT</v>
      </c>
      <c r="B713" s="32" t="s">
        <v>1015</v>
      </c>
      <c r="C713" s="39" t="s">
        <v>1016</v>
      </c>
      <c r="D713" s="13" t="s">
        <v>16</v>
      </c>
      <c r="E713" s="123">
        <v>1748.8</v>
      </c>
      <c r="F713" s="136"/>
      <c r="G713" s="125"/>
      <c r="H713" s="125"/>
      <c r="I713" s="125">
        <f t="shared" si="143"/>
        <v>1748.8</v>
      </c>
      <c r="J713" s="62">
        <f>'BIỂU HỢP ĐỒNG'!J676</f>
        <v>56948</v>
      </c>
      <c r="K713" s="43"/>
      <c r="L713" s="62">
        <f t="shared" si="144"/>
        <v>99590662</v>
      </c>
      <c r="M713" s="77">
        <f t="shared" si="145"/>
        <v>0</v>
      </c>
      <c r="N713" s="43">
        <f t="shared" si="146"/>
        <v>0</v>
      </c>
      <c r="O713" s="43">
        <f t="shared" si="147"/>
        <v>0</v>
      </c>
      <c r="P713" s="43">
        <f t="shared" si="148"/>
        <v>99590662</v>
      </c>
      <c r="Q713" s="100"/>
      <c r="R713" s="117"/>
    </row>
    <row r="714" spans="1:18" x14ac:dyDescent="0.25">
      <c r="A714" s="48" t="str">
        <f t="shared" si="142"/>
        <v>HT</v>
      </c>
      <c r="B714" s="32" t="s">
        <v>1017</v>
      </c>
      <c r="C714" s="39" t="s">
        <v>47</v>
      </c>
      <c r="D714" s="13" t="s">
        <v>16</v>
      </c>
      <c r="E714" s="123">
        <v>34906.18</v>
      </c>
      <c r="F714" s="136"/>
      <c r="G714" s="125"/>
      <c r="H714" s="125"/>
      <c r="I714" s="125">
        <f t="shared" si="143"/>
        <v>34906.18</v>
      </c>
      <c r="J714" s="62">
        <f>'BIỂU HỢP ĐỒNG'!J677</f>
        <v>2096</v>
      </c>
      <c r="K714" s="43"/>
      <c r="L714" s="62">
        <f t="shared" si="144"/>
        <v>73163353</v>
      </c>
      <c r="M714" s="77">
        <f t="shared" si="145"/>
        <v>0</v>
      </c>
      <c r="N714" s="43">
        <f t="shared" si="146"/>
        <v>0</v>
      </c>
      <c r="O714" s="43">
        <f t="shared" si="147"/>
        <v>0</v>
      </c>
      <c r="P714" s="43">
        <f t="shared" si="148"/>
        <v>73163353</v>
      </c>
      <c r="Q714" s="100"/>
      <c r="R714" s="117"/>
    </row>
    <row r="715" spans="1:18" ht="31.5" customHeight="1" x14ac:dyDescent="0.25">
      <c r="A715" s="48" t="str">
        <f t="shared" si="142"/>
        <v>HT</v>
      </c>
      <c r="B715" s="32" t="s">
        <v>1018</v>
      </c>
      <c r="C715" s="39" t="s">
        <v>49</v>
      </c>
      <c r="D715" s="13" t="s">
        <v>16</v>
      </c>
      <c r="E715" s="123">
        <v>105090.8</v>
      </c>
      <c r="F715" s="136"/>
      <c r="G715" s="125"/>
      <c r="H715" s="125"/>
      <c r="I715" s="125">
        <f t="shared" si="143"/>
        <v>105090.8</v>
      </c>
      <c r="J715" s="62">
        <f>'BIỂU HỢP ĐỒNG'!J678</f>
        <v>8251</v>
      </c>
      <c r="K715" s="43"/>
      <c r="L715" s="62">
        <f t="shared" si="144"/>
        <v>867104191</v>
      </c>
      <c r="M715" s="77">
        <f t="shared" si="145"/>
        <v>0</v>
      </c>
      <c r="N715" s="43">
        <f t="shared" si="146"/>
        <v>0</v>
      </c>
      <c r="O715" s="43">
        <f t="shared" si="147"/>
        <v>0</v>
      </c>
      <c r="P715" s="43">
        <f t="shared" si="148"/>
        <v>867104191</v>
      </c>
      <c r="Q715" s="100"/>
      <c r="R715" s="117"/>
    </row>
    <row r="716" spans="1:18" x14ac:dyDescent="0.25">
      <c r="A716" s="48" t="str">
        <f t="shared" si="142"/>
        <v>HT</v>
      </c>
      <c r="B716" s="32" t="s">
        <v>1019</v>
      </c>
      <c r="C716" s="39" t="s">
        <v>1020</v>
      </c>
      <c r="D716" s="13" t="s">
        <v>16</v>
      </c>
      <c r="E716" s="123">
        <v>2816.8</v>
      </c>
      <c r="F716" s="136"/>
      <c r="G716" s="125"/>
      <c r="H716" s="125"/>
      <c r="I716" s="125">
        <f t="shared" si="143"/>
        <v>2816.8</v>
      </c>
      <c r="J716" s="62">
        <f>'BIỂU HỢP ĐỒNG'!J679</f>
        <v>270205</v>
      </c>
      <c r="K716" s="43"/>
      <c r="L716" s="62">
        <f t="shared" si="144"/>
        <v>761113444</v>
      </c>
      <c r="M716" s="77">
        <f t="shared" si="145"/>
        <v>0</v>
      </c>
      <c r="N716" s="43">
        <f t="shared" si="146"/>
        <v>0</v>
      </c>
      <c r="O716" s="43">
        <f t="shared" si="147"/>
        <v>0</v>
      </c>
      <c r="P716" s="43">
        <f t="shared" si="148"/>
        <v>761113444</v>
      </c>
      <c r="Q716" s="100"/>
      <c r="R716" s="117"/>
    </row>
    <row r="717" spans="1:18" ht="31.5" customHeight="1" x14ac:dyDescent="0.25">
      <c r="A717" s="48" t="str">
        <f t="shared" si="142"/>
        <v>HT</v>
      </c>
      <c r="B717" s="32" t="s">
        <v>1021</v>
      </c>
      <c r="C717" s="39" t="s">
        <v>51</v>
      </c>
      <c r="D717" s="13" t="s">
        <v>13</v>
      </c>
      <c r="E717" s="123">
        <v>78311</v>
      </c>
      <c r="F717" s="136"/>
      <c r="G717" s="125"/>
      <c r="H717" s="125"/>
      <c r="I717" s="125">
        <f t="shared" si="143"/>
        <v>78311</v>
      </c>
      <c r="J717" s="62">
        <f>'BIỂU HỢP ĐỒNG'!J680</f>
        <v>20017</v>
      </c>
      <c r="K717" s="43"/>
      <c r="L717" s="62">
        <f t="shared" si="144"/>
        <v>1567551287</v>
      </c>
      <c r="M717" s="77">
        <f t="shared" si="145"/>
        <v>0</v>
      </c>
      <c r="N717" s="43">
        <f t="shared" si="146"/>
        <v>0</v>
      </c>
      <c r="O717" s="43">
        <f t="shared" si="147"/>
        <v>0</v>
      </c>
      <c r="P717" s="43">
        <f t="shared" si="148"/>
        <v>1567551287</v>
      </c>
      <c r="Q717" s="100"/>
      <c r="R717" s="117"/>
    </row>
    <row r="718" spans="1:18" ht="31.5" customHeight="1" x14ac:dyDescent="0.25">
      <c r="A718" s="48" t="str">
        <f t="shared" si="142"/>
        <v>HT</v>
      </c>
      <c r="B718" s="32" t="s">
        <v>1022</v>
      </c>
      <c r="C718" s="39" t="s">
        <v>1023</v>
      </c>
      <c r="D718" s="13" t="s">
        <v>13</v>
      </c>
      <c r="E718" s="123">
        <v>6176</v>
      </c>
      <c r="F718" s="136"/>
      <c r="G718" s="125"/>
      <c r="H718" s="125"/>
      <c r="I718" s="125">
        <f t="shared" si="143"/>
        <v>6176</v>
      </c>
      <c r="J718" s="62">
        <f>'BIỂU HỢP ĐỒNG'!J681</f>
        <v>224210</v>
      </c>
      <c r="K718" s="43"/>
      <c r="L718" s="62">
        <f t="shared" si="144"/>
        <v>1384720960</v>
      </c>
      <c r="M718" s="77">
        <f t="shared" si="145"/>
        <v>0</v>
      </c>
      <c r="N718" s="43">
        <f t="shared" si="146"/>
        <v>0</v>
      </c>
      <c r="O718" s="43">
        <f t="shared" si="147"/>
        <v>0</v>
      </c>
      <c r="P718" s="43">
        <f t="shared" si="148"/>
        <v>1384720960</v>
      </c>
      <c r="Q718" s="100"/>
      <c r="R718" s="117"/>
    </row>
    <row r="719" spans="1:18" ht="31.5" customHeight="1" x14ac:dyDescent="0.25">
      <c r="A719" s="48" t="str">
        <f t="shared" si="142"/>
        <v>HT</v>
      </c>
      <c r="B719" s="32" t="s">
        <v>1024</v>
      </c>
      <c r="C719" s="39" t="s">
        <v>1025</v>
      </c>
      <c r="D719" s="13" t="s">
        <v>75</v>
      </c>
      <c r="E719" s="123">
        <v>295500</v>
      </c>
      <c r="F719" s="136"/>
      <c r="G719" s="125"/>
      <c r="H719" s="125"/>
      <c r="I719" s="125">
        <f t="shared" si="143"/>
        <v>295500</v>
      </c>
      <c r="J719" s="62">
        <f>'BIỂU HỢP ĐỒNG'!J682</f>
        <v>10831</v>
      </c>
      <c r="K719" s="43"/>
      <c r="L719" s="62">
        <f t="shared" si="144"/>
        <v>3200560500</v>
      </c>
      <c r="M719" s="77">
        <f t="shared" si="145"/>
        <v>0</v>
      </c>
      <c r="N719" s="43">
        <f t="shared" si="146"/>
        <v>0</v>
      </c>
      <c r="O719" s="43">
        <f t="shared" si="147"/>
        <v>0</v>
      </c>
      <c r="P719" s="43">
        <f t="shared" si="148"/>
        <v>3200560500</v>
      </c>
      <c r="Q719" s="100"/>
      <c r="R719" s="117"/>
    </row>
    <row r="720" spans="1:18" x14ac:dyDescent="0.25">
      <c r="A720" s="48" t="str">
        <f t="shared" si="142"/>
        <v>HT</v>
      </c>
      <c r="B720" s="32" t="s">
        <v>1026</v>
      </c>
      <c r="C720" s="39" t="s">
        <v>55</v>
      </c>
      <c r="D720" s="13" t="s">
        <v>16</v>
      </c>
      <c r="E720" s="123">
        <v>3136</v>
      </c>
      <c r="F720" s="136"/>
      <c r="G720" s="125"/>
      <c r="H720" s="125"/>
      <c r="I720" s="125">
        <f t="shared" si="143"/>
        <v>3136</v>
      </c>
      <c r="J720" s="62">
        <f>'BIỂU HỢP ĐỒNG'!J683</f>
        <v>12936</v>
      </c>
      <c r="K720" s="43"/>
      <c r="L720" s="62">
        <f t="shared" si="144"/>
        <v>40567296</v>
      </c>
      <c r="M720" s="77">
        <f t="shared" si="145"/>
        <v>0</v>
      </c>
      <c r="N720" s="43">
        <f t="shared" si="146"/>
        <v>0</v>
      </c>
      <c r="O720" s="43">
        <f t="shared" si="147"/>
        <v>0</v>
      </c>
      <c r="P720" s="43">
        <f t="shared" si="148"/>
        <v>40567296</v>
      </c>
      <c r="Q720" s="100"/>
      <c r="R720" s="117"/>
    </row>
    <row r="721" spans="1:18" ht="31.5" customHeight="1" x14ac:dyDescent="0.25">
      <c r="A721" s="48" t="str">
        <f t="shared" si="142"/>
        <v>HT</v>
      </c>
      <c r="B721" s="32" t="s">
        <v>1027</v>
      </c>
      <c r="C721" s="39" t="s">
        <v>64</v>
      </c>
      <c r="D721" s="13" t="s">
        <v>16</v>
      </c>
      <c r="E721" s="123">
        <v>1355</v>
      </c>
      <c r="F721" s="136"/>
      <c r="G721" s="125"/>
      <c r="H721" s="125"/>
      <c r="I721" s="125">
        <f t="shared" si="143"/>
        <v>1355</v>
      </c>
      <c r="J721" s="62">
        <f>'BIỂU HỢP ĐỒNG'!J684</f>
        <v>12936</v>
      </c>
      <c r="K721" s="43"/>
      <c r="L721" s="62">
        <f t="shared" si="144"/>
        <v>17528280</v>
      </c>
      <c r="M721" s="77">
        <f t="shared" si="145"/>
        <v>0</v>
      </c>
      <c r="N721" s="43">
        <f t="shared" si="146"/>
        <v>0</v>
      </c>
      <c r="O721" s="43">
        <f t="shared" si="147"/>
        <v>0</v>
      </c>
      <c r="P721" s="43">
        <f t="shared" si="148"/>
        <v>17528280</v>
      </c>
      <c r="Q721" s="100"/>
      <c r="R721" s="117"/>
    </row>
    <row r="722" spans="1:18" x14ac:dyDescent="0.25">
      <c r="A722" s="48" t="str">
        <f t="shared" si="142"/>
        <v>HT</v>
      </c>
      <c r="B722" s="32" t="s">
        <v>1028</v>
      </c>
      <c r="C722" s="39" t="s">
        <v>59</v>
      </c>
      <c r="D722" s="13" t="s">
        <v>16</v>
      </c>
      <c r="E722" s="123">
        <v>1355</v>
      </c>
      <c r="F722" s="136"/>
      <c r="G722" s="125"/>
      <c r="H722" s="125"/>
      <c r="I722" s="125">
        <f t="shared" si="143"/>
        <v>1355</v>
      </c>
      <c r="J722" s="62">
        <f>'BIỂU HỢP ĐỒNG'!J685</f>
        <v>12342</v>
      </c>
      <c r="K722" s="43"/>
      <c r="L722" s="62">
        <f t="shared" si="144"/>
        <v>16723410</v>
      </c>
      <c r="M722" s="77">
        <f t="shared" si="145"/>
        <v>0</v>
      </c>
      <c r="N722" s="43">
        <f t="shared" si="146"/>
        <v>0</v>
      </c>
      <c r="O722" s="43">
        <f t="shared" si="147"/>
        <v>0</v>
      </c>
      <c r="P722" s="43">
        <f t="shared" si="148"/>
        <v>16723410</v>
      </c>
      <c r="Q722" s="100"/>
      <c r="R722" s="117"/>
    </row>
    <row r="723" spans="1:18" ht="31.5" customHeight="1" x14ac:dyDescent="0.25">
      <c r="A723" s="48" t="str">
        <f t="shared" si="142"/>
        <v>HT</v>
      </c>
      <c r="B723" s="32" t="s">
        <v>1029</v>
      </c>
      <c r="C723" s="39" t="s">
        <v>1030</v>
      </c>
      <c r="D723" s="13" t="s">
        <v>62</v>
      </c>
      <c r="E723" s="123">
        <v>1531.15</v>
      </c>
      <c r="F723" s="136"/>
      <c r="G723" s="125"/>
      <c r="H723" s="125"/>
      <c r="I723" s="125">
        <f t="shared" si="143"/>
        <v>1531.15</v>
      </c>
      <c r="J723" s="62">
        <f>'BIỂU HỢP ĐỒNG'!J686</f>
        <v>6611</v>
      </c>
      <c r="K723" s="43"/>
      <c r="L723" s="62">
        <f t="shared" si="144"/>
        <v>10122433</v>
      </c>
      <c r="M723" s="77">
        <f t="shared" si="145"/>
        <v>0</v>
      </c>
      <c r="N723" s="43">
        <f t="shared" si="146"/>
        <v>0</v>
      </c>
      <c r="O723" s="43">
        <f t="shared" si="147"/>
        <v>0</v>
      </c>
      <c r="P723" s="43">
        <f t="shared" si="148"/>
        <v>10122433</v>
      </c>
      <c r="Q723" s="100"/>
      <c r="R723" s="117"/>
    </row>
    <row r="724" spans="1:18" x14ac:dyDescent="0.25">
      <c r="A724" s="48" t="str">
        <f t="shared" si="142"/>
        <v>HT</v>
      </c>
      <c r="B724" s="32" t="s">
        <v>1031</v>
      </c>
      <c r="C724" s="39" t="s">
        <v>68</v>
      </c>
      <c r="D724" s="13" t="s">
        <v>16</v>
      </c>
      <c r="E724" s="123">
        <v>17</v>
      </c>
      <c r="F724" s="136"/>
      <c r="G724" s="125"/>
      <c r="H724" s="125"/>
      <c r="I724" s="125">
        <f t="shared" si="143"/>
        <v>17</v>
      </c>
      <c r="J724" s="62">
        <f>'BIỂU HỢP ĐỒNG'!J687</f>
        <v>877622</v>
      </c>
      <c r="K724" s="43"/>
      <c r="L724" s="62">
        <f t="shared" si="144"/>
        <v>14919574</v>
      </c>
      <c r="M724" s="77">
        <f t="shared" si="145"/>
        <v>0</v>
      </c>
      <c r="N724" s="43">
        <f t="shared" si="146"/>
        <v>0</v>
      </c>
      <c r="O724" s="43">
        <f t="shared" si="147"/>
        <v>0</v>
      </c>
      <c r="P724" s="43">
        <f t="shared" si="148"/>
        <v>14919574</v>
      </c>
      <c r="Q724" s="100"/>
      <c r="R724" s="117"/>
    </row>
    <row r="725" spans="1:18" x14ac:dyDescent="0.25">
      <c r="A725" s="48" t="str">
        <f t="shared" si="142"/>
        <v>HT</v>
      </c>
      <c r="B725" s="32" t="s">
        <v>1032</v>
      </c>
      <c r="C725" s="39" t="s">
        <v>70</v>
      </c>
      <c r="D725" s="13" t="s">
        <v>13</v>
      </c>
      <c r="E725" s="123">
        <v>131</v>
      </c>
      <c r="F725" s="136"/>
      <c r="G725" s="125"/>
      <c r="H725" s="125"/>
      <c r="I725" s="125">
        <f t="shared" si="143"/>
        <v>131</v>
      </c>
      <c r="J725" s="62">
        <f>'BIỂU HỢP ĐỒNG'!J688</f>
        <v>26716</v>
      </c>
      <c r="K725" s="43"/>
      <c r="L725" s="62">
        <f t="shared" si="144"/>
        <v>3499796</v>
      </c>
      <c r="M725" s="77">
        <f t="shared" si="145"/>
        <v>0</v>
      </c>
      <c r="N725" s="43">
        <f t="shared" si="146"/>
        <v>0</v>
      </c>
      <c r="O725" s="43">
        <f t="shared" si="147"/>
        <v>0</v>
      </c>
      <c r="P725" s="43">
        <f t="shared" si="148"/>
        <v>3499796</v>
      </c>
      <c r="Q725" s="100"/>
      <c r="R725" s="117"/>
    </row>
    <row r="726" spans="1:18" x14ac:dyDescent="0.25">
      <c r="A726" s="48" t="str">
        <f t="shared" si="142"/>
        <v>HT</v>
      </c>
      <c r="B726" s="32" t="s">
        <v>1033</v>
      </c>
      <c r="C726" s="39" t="s">
        <v>72</v>
      </c>
      <c r="D726" s="13" t="s">
        <v>16</v>
      </c>
      <c r="E726" s="123">
        <v>34</v>
      </c>
      <c r="F726" s="136"/>
      <c r="G726" s="125"/>
      <c r="H726" s="125"/>
      <c r="I726" s="125">
        <f t="shared" si="143"/>
        <v>34</v>
      </c>
      <c r="J726" s="62">
        <f>'BIỂU HỢP ĐỒNG'!J689</f>
        <v>32141</v>
      </c>
      <c r="K726" s="43"/>
      <c r="L726" s="62">
        <f t="shared" si="144"/>
        <v>1092794</v>
      </c>
      <c r="M726" s="77">
        <f t="shared" si="145"/>
        <v>0</v>
      </c>
      <c r="N726" s="43">
        <f t="shared" si="146"/>
        <v>0</v>
      </c>
      <c r="O726" s="43">
        <f t="shared" si="147"/>
        <v>0</v>
      </c>
      <c r="P726" s="43">
        <f t="shared" si="148"/>
        <v>1092794</v>
      </c>
      <c r="Q726" s="100"/>
      <c r="R726" s="117"/>
    </row>
    <row r="727" spans="1:18" ht="63" customHeight="1" x14ac:dyDescent="0.25">
      <c r="A727" s="48" t="str">
        <f t="shared" si="142"/>
        <v>HT</v>
      </c>
      <c r="B727" s="32" t="s">
        <v>1034</v>
      </c>
      <c r="C727" s="39" t="s">
        <v>1035</v>
      </c>
      <c r="D727" s="13" t="s">
        <v>75</v>
      </c>
      <c r="E727" s="123">
        <v>10540</v>
      </c>
      <c r="F727" s="136"/>
      <c r="G727" s="125"/>
      <c r="H727" s="125"/>
      <c r="I727" s="125">
        <f t="shared" si="143"/>
        <v>10540</v>
      </c>
      <c r="J727" s="62">
        <f>'BIỂU HỢP ĐỒNG'!J690</f>
        <v>69175</v>
      </c>
      <c r="K727" s="43"/>
      <c r="L727" s="62">
        <f t="shared" si="144"/>
        <v>729104500</v>
      </c>
      <c r="M727" s="77">
        <f t="shared" si="145"/>
        <v>0</v>
      </c>
      <c r="N727" s="43">
        <f t="shared" si="146"/>
        <v>0</v>
      </c>
      <c r="O727" s="43">
        <f t="shared" si="147"/>
        <v>0</v>
      </c>
      <c r="P727" s="43">
        <f t="shared" si="148"/>
        <v>729104500</v>
      </c>
      <c r="Q727" s="100"/>
      <c r="R727" s="117"/>
    </row>
    <row r="728" spans="1:18" ht="31.5" customHeight="1" x14ac:dyDescent="0.25">
      <c r="A728" s="48" t="str">
        <f t="shared" si="142"/>
        <v>HT</v>
      </c>
      <c r="B728" s="32" t="s">
        <v>1036</v>
      </c>
      <c r="C728" s="39" t="s">
        <v>77</v>
      </c>
      <c r="D728" s="13" t="s">
        <v>16</v>
      </c>
      <c r="E728" s="123">
        <v>2129</v>
      </c>
      <c r="F728" s="136"/>
      <c r="G728" s="125"/>
      <c r="H728" s="125"/>
      <c r="I728" s="125">
        <f t="shared" si="143"/>
        <v>2129</v>
      </c>
      <c r="J728" s="62">
        <f>'BIỂU HỢP ĐỒNG'!J691</f>
        <v>271833</v>
      </c>
      <c r="K728" s="43"/>
      <c r="L728" s="62">
        <f t="shared" si="144"/>
        <v>578732457</v>
      </c>
      <c r="M728" s="77">
        <f t="shared" si="145"/>
        <v>0</v>
      </c>
      <c r="N728" s="43">
        <f t="shared" si="146"/>
        <v>0</v>
      </c>
      <c r="O728" s="43">
        <f t="shared" si="147"/>
        <v>0</v>
      </c>
      <c r="P728" s="43">
        <f t="shared" si="148"/>
        <v>578732457</v>
      </c>
      <c r="Q728" s="100"/>
      <c r="R728" s="117"/>
    </row>
    <row r="729" spans="1:18" x14ac:dyDescent="0.25">
      <c r="A729" s="48" t="str">
        <f t="shared" si="142"/>
        <v>HT</v>
      </c>
      <c r="B729" s="32" t="s">
        <v>1037</v>
      </c>
      <c r="C729" s="39" t="s">
        <v>1038</v>
      </c>
      <c r="D729" s="13" t="s">
        <v>16</v>
      </c>
      <c r="E729" s="123">
        <v>2673</v>
      </c>
      <c r="F729" s="136"/>
      <c r="G729" s="125"/>
      <c r="H729" s="125"/>
      <c r="I729" s="125">
        <f t="shared" si="143"/>
        <v>2673</v>
      </c>
      <c r="J729" s="62">
        <f>'BIỂU HỢP ĐỒNG'!J692</f>
        <v>271833</v>
      </c>
      <c r="K729" s="43"/>
      <c r="L729" s="62">
        <f t="shared" si="144"/>
        <v>726609609</v>
      </c>
      <c r="M729" s="77">
        <f t="shared" si="145"/>
        <v>0</v>
      </c>
      <c r="N729" s="43">
        <f t="shared" si="146"/>
        <v>0</v>
      </c>
      <c r="O729" s="43">
        <f t="shared" si="147"/>
        <v>0</v>
      </c>
      <c r="P729" s="43">
        <f t="shared" si="148"/>
        <v>726609609</v>
      </c>
      <c r="Q729" s="100"/>
      <c r="R729" s="117"/>
    </row>
    <row r="730" spans="1:18" x14ac:dyDescent="0.25">
      <c r="A730" s="48" t="str">
        <f t="shared" si="142"/>
        <v>HT</v>
      </c>
      <c r="B730" s="32" t="s">
        <v>1039</v>
      </c>
      <c r="C730" s="39" t="s">
        <v>79</v>
      </c>
      <c r="D730" s="13" t="s">
        <v>16</v>
      </c>
      <c r="E730" s="123">
        <v>261</v>
      </c>
      <c r="F730" s="136"/>
      <c r="G730" s="125"/>
      <c r="H730" s="125"/>
      <c r="I730" s="125">
        <f t="shared" ref="I730:I759" si="149">SUM(E730:H730)</f>
        <v>261</v>
      </c>
      <c r="J730" s="62">
        <f>'BIỂU HỢP ĐỒNG'!J693</f>
        <v>20867</v>
      </c>
      <c r="K730" s="43"/>
      <c r="L730" s="62">
        <f t="shared" ref="L730:L759" si="150">+ROUND(J730*E730,0)</f>
        <v>5446287</v>
      </c>
      <c r="M730" s="77">
        <f t="shared" ref="M730:M759" si="151">+ROUND(F730*J730,0)</f>
        <v>0</v>
      </c>
      <c r="N730" s="43">
        <f t="shared" ref="N730:N759" si="152">+ROUND(G730*J730,0)</f>
        <v>0</v>
      </c>
      <c r="O730" s="43">
        <f t="shared" ref="O730:O759" si="153">+ROUND(H730*J730,0)</f>
        <v>0</v>
      </c>
      <c r="P730" s="43">
        <f t="shared" si="148"/>
        <v>5446287</v>
      </c>
      <c r="Q730" s="100"/>
      <c r="R730" s="117"/>
    </row>
    <row r="731" spans="1:18" x14ac:dyDescent="0.25">
      <c r="A731" s="48" t="str">
        <f t="shared" si="142"/>
        <v>HT</v>
      </c>
      <c r="B731" s="32" t="s">
        <v>1040</v>
      </c>
      <c r="C731" s="39" t="s">
        <v>81</v>
      </c>
      <c r="D731" s="13" t="s">
        <v>16</v>
      </c>
      <c r="E731" s="123">
        <v>261</v>
      </c>
      <c r="F731" s="136"/>
      <c r="G731" s="125"/>
      <c r="H731" s="125"/>
      <c r="I731" s="125">
        <f t="shared" si="149"/>
        <v>261</v>
      </c>
      <c r="J731" s="62">
        <f>'BIỂU HỢP ĐỒNG'!J694</f>
        <v>12936</v>
      </c>
      <c r="K731" s="43"/>
      <c r="L731" s="62">
        <f t="shared" si="150"/>
        <v>3376296</v>
      </c>
      <c r="M731" s="77">
        <f t="shared" si="151"/>
        <v>0</v>
      </c>
      <c r="N731" s="43">
        <f t="shared" si="152"/>
        <v>0</v>
      </c>
      <c r="O731" s="43">
        <f t="shared" si="153"/>
        <v>0</v>
      </c>
      <c r="P731" s="43">
        <f t="shared" si="148"/>
        <v>3376296</v>
      </c>
      <c r="Q731" s="100"/>
      <c r="R731" s="117"/>
    </row>
    <row r="732" spans="1:18" x14ac:dyDescent="0.25">
      <c r="A732" s="48" t="str">
        <f t="shared" si="142"/>
        <v>HT</v>
      </c>
      <c r="B732" s="32" t="s">
        <v>1041</v>
      </c>
      <c r="C732" s="39" t="s">
        <v>83</v>
      </c>
      <c r="D732" s="13" t="s">
        <v>75</v>
      </c>
      <c r="E732" s="123">
        <v>16</v>
      </c>
      <c r="F732" s="136"/>
      <c r="G732" s="125"/>
      <c r="H732" s="125"/>
      <c r="I732" s="125">
        <f t="shared" si="149"/>
        <v>16</v>
      </c>
      <c r="J732" s="62">
        <f>'BIỂU HỢP ĐỒNG'!J695</f>
        <v>301142</v>
      </c>
      <c r="K732" s="43"/>
      <c r="L732" s="62">
        <f t="shared" si="150"/>
        <v>4818272</v>
      </c>
      <c r="M732" s="77">
        <f t="shared" si="151"/>
        <v>0</v>
      </c>
      <c r="N732" s="43">
        <f t="shared" si="152"/>
        <v>0</v>
      </c>
      <c r="O732" s="43">
        <f t="shared" si="153"/>
        <v>0</v>
      </c>
      <c r="P732" s="43">
        <f t="shared" si="148"/>
        <v>4818272</v>
      </c>
      <c r="Q732" s="100"/>
      <c r="R732" s="117"/>
    </row>
    <row r="733" spans="1:18" x14ac:dyDescent="0.25">
      <c r="A733" s="48" t="str">
        <f t="shared" si="142"/>
        <v>HT</v>
      </c>
      <c r="B733" s="32" t="s">
        <v>1042</v>
      </c>
      <c r="C733" s="39" t="s">
        <v>85</v>
      </c>
      <c r="D733" s="13" t="s">
        <v>75</v>
      </c>
      <c r="E733" s="123">
        <v>375</v>
      </c>
      <c r="F733" s="136"/>
      <c r="G733" s="125"/>
      <c r="H733" s="125"/>
      <c r="I733" s="125">
        <f t="shared" si="149"/>
        <v>375</v>
      </c>
      <c r="J733" s="62">
        <f>'BIỂU HỢP ĐỒNG'!J696</f>
        <v>191443</v>
      </c>
      <c r="K733" s="43"/>
      <c r="L733" s="62">
        <f t="shared" si="150"/>
        <v>71791125</v>
      </c>
      <c r="M733" s="77">
        <f t="shared" si="151"/>
        <v>0</v>
      </c>
      <c r="N733" s="43">
        <f t="shared" si="152"/>
        <v>0</v>
      </c>
      <c r="O733" s="43">
        <f t="shared" si="153"/>
        <v>0</v>
      </c>
      <c r="P733" s="43">
        <f t="shared" si="148"/>
        <v>71791125</v>
      </c>
      <c r="Q733" s="100"/>
      <c r="R733" s="117"/>
    </row>
    <row r="734" spans="1:18" x14ac:dyDescent="0.25">
      <c r="A734" s="48" t="str">
        <f t="shared" si="142"/>
        <v>HT</v>
      </c>
      <c r="B734" s="32" t="s">
        <v>1043</v>
      </c>
      <c r="C734" s="39" t="s">
        <v>87</v>
      </c>
      <c r="D734" s="13" t="s">
        <v>75</v>
      </c>
      <c r="E734" s="123">
        <v>375</v>
      </c>
      <c r="F734" s="136"/>
      <c r="G734" s="125"/>
      <c r="H734" s="125"/>
      <c r="I734" s="125">
        <f t="shared" si="149"/>
        <v>375</v>
      </c>
      <c r="J734" s="62">
        <f>'BIỂU HỢP ĐỒNG'!J697</f>
        <v>184138</v>
      </c>
      <c r="K734" s="43"/>
      <c r="L734" s="62">
        <f t="shared" si="150"/>
        <v>69051750</v>
      </c>
      <c r="M734" s="77">
        <f t="shared" si="151"/>
        <v>0</v>
      </c>
      <c r="N734" s="43">
        <f t="shared" si="152"/>
        <v>0</v>
      </c>
      <c r="O734" s="43">
        <f t="shared" si="153"/>
        <v>0</v>
      </c>
      <c r="P734" s="43">
        <f t="shared" si="148"/>
        <v>69051750</v>
      </c>
      <c r="Q734" s="100"/>
      <c r="R734" s="117"/>
    </row>
    <row r="735" spans="1:18" x14ac:dyDescent="0.25">
      <c r="A735" s="48" t="str">
        <f t="shared" si="142"/>
        <v>HT</v>
      </c>
      <c r="B735" s="32" t="s">
        <v>1044</v>
      </c>
      <c r="C735" s="39" t="s">
        <v>89</v>
      </c>
      <c r="D735" s="13" t="s">
        <v>90</v>
      </c>
      <c r="E735" s="123">
        <v>3.77</v>
      </c>
      <c r="F735" s="136"/>
      <c r="G735" s="125"/>
      <c r="H735" s="125"/>
      <c r="I735" s="125">
        <f t="shared" si="149"/>
        <v>3.77</v>
      </c>
      <c r="J735" s="62">
        <f>'BIỂU HỢP ĐỒNG'!J698</f>
        <v>33697650</v>
      </c>
      <c r="K735" s="43"/>
      <c r="L735" s="62">
        <f t="shared" si="150"/>
        <v>127040141</v>
      </c>
      <c r="M735" s="77">
        <f t="shared" si="151"/>
        <v>0</v>
      </c>
      <c r="N735" s="43">
        <f t="shared" si="152"/>
        <v>0</v>
      </c>
      <c r="O735" s="43">
        <f t="shared" si="153"/>
        <v>0</v>
      </c>
      <c r="P735" s="43">
        <f t="shared" si="148"/>
        <v>127040141</v>
      </c>
      <c r="Q735" s="100"/>
      <c r="R735" s="117"/>
    </row>
    <row r="736" spans="1:18" x14ac:dyDescent="0.25">
      <c r="A736" s="48" t="str">
        <f t="shared" si="142"/>
        <v>HT</v>
      </c>
      <c r="B736" s="32" t="s">
        <v>1045</v>
      </c>
      <c r="C736" s="39" t="s">
        <v>92</v>
      </c>
      <c r="D736" s="13" t="s">
        <v>75</v>
      </c>
      <c r="E736" s="123">
        <v>259.8</v>
      </c>
      <c r="F736" s="136"/>
      <c r="G736" s="125"/>
      <c r="H736" s="125"/>
      <c r="I736" s="125">
        <f t="shared" si="149"/>
        <v>259.8</v>
      </c>
      <c r="J736" s="62">
        <f>'BIỂU HỢP ĐỒNG'!J699</f>
        <v>17859</v>
      </c>
      <c r="K736" s="43"/>
      <c r="L736" s="62">
        <f t="shared" si="150"/>
        <v>4639768</v>
      </c>
      <c r="M736" s="77">
        <f t="shared" si="151"/>
        <v>0</v>
      </c>
      <c r="N736" s="43">
        <f t="shared" si="152"/>
        <v>0</v>
      </c>
      <c r="O736" s="43">
        <f t="shared" si="153"/>
        <v>0</v>
      </c>
      <c r="P736" s="43">
        <f t="shared" si="148"/>
        <v>4639768</v>
      </c>
      <c r="Q736" s="100"/>
      <c r="R736" s="117"/>
    </row>
    <row r="737" spans="1:19" ht="47.25" customHeight="1" x14ac:dyDescent="0.25">
      <c r="A737" s="48" t="str">
        <f t="shared" si="142"/>
        <v>HT</v>
      </c>
      <c r="B737" s="32" t="s">
        <v>1046</v>
      </c>
      <c r="C737" s="39" t="s">
        <v>94</v>
      </c>
      <c r="D737" s="13" t="s">
        <v>13</v>
      </c>
      <c r="E737" s="123">
        <v>51397</v>
      </c>
      <c r="F737" s="136">
        <v>176.91</v>
      </c>
      <c r="G737" s="125"/>
      <c r="H737" s="125"/>
      <c r="I737" s="125">
        <f t="shared" si="149"/>
        <v>51573.91</v>
      </c>
      <c r="J737" s="62">
        <f>'BIỂU HỢP ĐỒNG'!J700</f>
        <v>11015</v>
      </c>
      <c r="K737" s="43"/>
      <c r="L737" s="62">
        <f t="shared" si="150"/>
        <v>566137955</v>
      </c>
      <c r="M737" s="77">
        <f t="shared" si="151"/>
        <v>1948664</v>
      </c>
      <c r="N737" s="43">
        <f t="shared" si="152"/>
        <v>0</v>
      </c>
      <c r="O737" s="43">
        <f t="shared" si="153"/>
        <v>0</v>
      </c>
      <c r="P737" s="43">
        <f t="shared" si="148"/>
        <v>568086619</v>
      </c>
      <c r="Q737" s="100"/>
      <c r="R737" s="117"/>
    </row>
    <row r="738" spans="1:19" ht="31.5" customHeight="1" x14ac:dyDescent="0.25">
      <c r="A738" s="48" t="str">
        <f t="shared" si="142"/>
        <v>HT</v>
      </c>
      <c r="B738" s="32" t="s">
        <v>1047</v>
      </c>
      <c r="C738" s="39" t="s">
        <v>96</v>
      </c>
      <c r="D738" s="13" t="s">
        <v>90</v>
      </c>
      <c r="E738" s="123">
        <v>7318.93</v>
      </c>
      <c r="F738" s="136">
        <v>25.191984000000001</v>
      </c>
      <c r="G738" s="125"/>
      <c r="H738" s="125"/>
      <c r="I738" s="125">
        <f t="shared" si="149"/>
        <v>7344.1219840000003</v>
      </c>
      <c r="J738" s="62">
        <f>'BIỂU HỢP ĐỒNG'!J701</f>
        <v>1646788</v>
      </c>
      <c r="K738" s="43"/>
      <c r="L738" s="62">
        <f t="shared" si="150"/>
        <v>12052726097</v>
      </c>
      <c r="M738" s="77">
        <f t="shared" si="151"/>
        <v>41485857</v>
      </c>
      <c r="N738" s="43">
        <f t="shared" si="152"/>
        <v>0</v>
      </c>
      <c r="O738" s="43">
        <f t="shared" si="153"/>
        <v>0</v>
      </c>
      <c r="P738" s="43">
        <f t="shared" si="148"/>
        <v>12094211954</v>
      </c>
      <c r="Q738" s="100"/>
      <c r="R738" s="117"/>
    </row>
    <row r="739" spans="1:19" ht="31.5" customHeight="1" x14ac:dyDescent="0.25">
      <c r="A739" s="48" t="str">
        <f t="shared" si="142"/>
        <v>HT</v>
      </c>
      <c r="B739" s="32" t="s">
        <v>1048</v>
      </c>
      <c r="C739" s="39" t="s">
        <v>98</v>
      </c>
      <c r="D739" s="13" t="s">
        <v>99</v>
      </c>
      <c r="E739" s="123">
        <v>73.19</v>
      </c>
      <c r="F739" s="136">
        <v>0.25191999999999998</v>
      </c>
      <c r="G739" s="125"/>
      <c r="H739" s="125"/>
      <c r="I739" s="125">
        <f t="shared" si="149"/>
        <v>73.441919999999996</v>
      </c>
      <c r="J739" s="62">
        <f>'BIỂU HỢP ĐỒNG'!J702</f>
        <v>10502023</v>
      </c>
      <c r="K739" s="43"/>
      <c r="L739" s="62">
        <f t="shared" si="150"/>
        <v>768643063</v>
      </c>
      <c r="M739" s="77">
        <f t="shared" si="151"/>
        <v>2645670</v>
      </c>
      <c r="N739" s="43">
        <f t="shared" si="152"/>
        <v>0</v>
      </c>
      <c r="O739" s="43">
        <f t="shared" si="153"/>
        <v>0</v>
      </c>
      <c r="P739" s="43">
        <f t="shared" si="148"/>
        <v>771288733</v>
      </c>
      <c r="Q739" s="100"/>
      <c r="R739" s="117"/>
    </row>
    <row r="740" spans="1:19" ht="31.5" customHeight="1" x14ac:dyDescent="0.25">
      <c r="A740" s="48" t="str">
        <f t="shared" si="142"/>
        <v>HT</v>
      </c>
      <c r="B740" s="32" t="s">
        <v>1049</v>
      </c>
      <c r="C740" s="39" t="s">
        <v>101</v>
      </c>
      <c r="D740" s="13" t="s">
        <v>13</v>
      </c>
      <c r="E740" s="123">
        <v>51397</v>
      </c>
      <c r="F740" s="136">
        <v>176.91</v>
      </c>
      <c r="G740" s="125"/>
      <c r="H740" s="125"/>
      <c r="I740" s="125">
        <f t="shared" si="149"/>
        <v>51573.91</v>
      </c>
      <c r="J740" s="62">
        <f>'BIỂU HỢP ĐỒNG'!J703</f>
        <v>26753</v>
      </c>
      <c r="K740" s="43"/>
      <c r="L740" s="62">
        <f t="shared" si="150"/>
        <v>1375023941</v>
      </c>
      <c r="M740" s="77">
        <f t="shared" si="151"/>
        <v>4732873</v>
      </c>
      <c r="N740" s="43">
        <f t="shared" si="152"/>
        <v>0</v>
      </c>
      <c r="O740" s="43">
        <f t="shared" si="153"/>
        <v>0</v>
      </c>
      <c r="P740" s="43">
        <f t="shared" si="148"/>
        <v>1379756814</v>
      </c>
      <c r="Q740" s="100"/>
      <c r="R740" s="117"/>
    </row>
    <row r="741" spans="1:19" x14ac:dyDescent="0.25">
      <c r="A741" s="48" t="str">
        <f t="shared" si="142"/>
        <v>HT</v>
      </c>
      <c r="B741" s="32" t="s">
        <v>1050</v>
      </c>
      <c r="C741" s="39" t="s">
        <v>103</v>
      </c>
      <c r="D741" s="13" t="s">
        <v>16</v>
      </c>
      <c r="E741" s="123">
        <v>12513</v>
      </c>
      <c r="F741" s="136">
        <v>42.458399999999997</v>
      </c>
      <c r="G741" s="125"/>
      <c r="H741" s="125"/>
      <c r="I741" s="125">
        <f t="shared" si="149"/>
        <v>12555.4584</v>
      </c>
      <c r="J741" s="62">
        <f>'BIỂU HỢP ĐỒNG'!J704</f>
        <v>361291</v>
      </c>
      <c r="K741" s="43"/>
      <c r="L741" s="62">
        <f t="shared" si="150"/>
        <v>4520834283</v>
      </c>
      <c r="M741" s="77">
        <f t="shared" si="151"/>
        <v>15339838</v>
      </c>
      <c r="N741" s="43">
        <f t="shared" si="152"/>
        <v>0</v>
      </c>
      <c r="O741" s="43">
        <f t="shared" si="153"/>
        <v>0</v>
      </c>
      <c r="P741" s="43">
        <f t="shared" si="148"/>
        <v>4536174121</v>
      </c>
      <c r="Q741" s="100"/>
      <c r="R741" s="117"/>
    </row>
    <row r="742" spans="1:19" x14ac:dyDescent="0.25">
      <c r="A742" s="48" t="str">
        <f t="shared" si="142"/>
        <v>HT</v>
      </c>
      <c r="B742" s="32" t="s">
        <v>1051</v>
      </c>
      <c r="C742" s="39" t="s">
        <v>105</v>
      </c>
      <c r="D742" s="13" t="s">
        <v>16</v>
      </c>
      <c r="E742" s="123">
        <v>18194</v>
      </c>
      <c r="F742" s="136">
        <v>60.1494</v>
      </c>
      <c r="G742" s="125"/>
      <c r="H742" s="125"/>
      <c r="I742" s="125">
        <f t="shared" si="149"/>
        <v>18254.149399999998</v>
      </c>
      <c r="J742" s="62">
        <f>'BIỂU HỢP ĐỒNG'!J705</f>
        <v>335812</v>
      </c>
      <c r="K742" s="43"/>
      <c r="L742" s="62">
        <f t="shared" si="150"/>
        <v>6109763528</v>
      </c>
      <c r="M742" s="77">
        <f t="shared" si="151"/>
        <v>20198890</v>
      </c>
      <c r="N742" s="43">
        <f t="shared" si="152"/>
        <v>0</v>
      </c>
      <c r="O742" s="43">
        <f t="shared" si="153"/>
        <v>0</v>
      </c>
      <c r="P742" s="43">
        <f t="shared" si="148"/>
        <v>6129962418</v>
      </c>
      <c r="Q742" s="100"/>
      <c r="R742" s="117"/>
    </row>
    <row r="743" spans="1:19" x14ac:dyDescent="0.25">
      <c r="A743" s="48" t="str">
        <f t="shared" si="142"/>
        <v>HT</v>
      </c>
      <c r="B743" s="32" t="s">
        <v>1052</v>
      </c>
      <c r="C743" s="39" t="s">
        <v>118</v>
      </c>
      <c r="D743" s="13" t="s">
        <v>13</v>
      </c>
      <c r="E743" s="123">
        <v>434.1</v>
      </c>
      <c r="F743" s="136"/>
      <c r="G743" s="125"/>
      <c r="H743" s="125"/>
      <c r="I743" s="125">
        <f t="shared" si="149"/>
        <v>434.1</v>
      </c>
      <c r="J743" s="62">
        <f>'BIỂU HỢP ĐỒNG'!J706</f>
        <v>330389</v>
      </c>
      <c r="K743" s="43"/>
      <c r="L743" s="62">
        <f t="shared" si="150"/>
        <v>143421865</v>
      </c>
      <c r="M743" s="77">
        <f t="shared" si="151"/>
        <v>0</v>
      </c>
      <c r="N743" s="43">
        <f t="shared" si="152"/>
        <v>0</v>
      </c>
      <c r="O743" s="43">
        <f t="shared" si="153"/>
        <v>0</v>
      </c>
      <c r="P743" s="43">
        <f t="shared" si="148"/>
        <v>143421865</v>
      </c>
      <c r="Q743" s="100"/>
      <c r="R743" s="117"/>
    </row>
    <row r="744" spans="1:19" ht="47.25" customHeight="1" x14ac:dyDescent="0.25">
      <c r="A744" s="48" t="str">
        <f t="shared" si="142"/>
        <v>HT</v>
      </c>
      <c r="B744" s="32" t="s">
        <v>1053</v>
      </c>
      <c r="C744" s="39" t="s">
        <v>120</v>
      </c>
      <c r="D744" s="13" t="s">
        <v>16</v>
      </c>
      <c r="E744" s="123">
        <v>34.5</v>
      </c>
      <c r="F744" s="136"/>
      <c r="G744" s="125"/>
      <c r="H744" s="125"/>
      <c r="I744" s="125">
        <f t="shared" si="149"/>
        <v>34.5</v>
      </c>
      <c r="J744" s="62">
        <f>'BIỂU HỢP ĐỒNG'!J707</f>
        <v>1197457</v>
      </c>
      <c r="K744" s="43"/>
      <c r="L744" s="62">
        <f t="shared" si="150"/>
        <v>41312267</v>
      </c>
      <c r="M744" s="77">
        <f t="shared" si="151"/>
        <v>0</v>
      </c>
      <c r="N744" s="43">
        <f t="shared" si="152"/>
        <v>0</v>
      </c>
      <c r="O744" s="43">
        <f t="shared" si="153"/>
        <v>0</v>
      </c>
      <c r="P744" s="43">
        <f t="shared" si="148"/>
        <v>41312267</v>
      </c>
      <c r="Q744" s="100"/>
      <c r="R744" s="117"/>
    </row>
    <row r="745" spans="1:19" x14ac:dyDescent="0.25">
      <c r="A745" s="48" t="str">
        <f t="shared" si="142"/>
        <v>HT</v>
      </c>
      <c r="B745" s="32" t="s">
        <v>1054</v>
      </c>
      <c r="C745" s="39" t="s">
        <v>122</v>
      </c>
      <c r="D745" s="13" t="s">
        <v>16</v>
      </c>
      <c r="E745" s="123">
        <v>3.5</v>
      </c>
      <c r="F745" s="136"/>
      <c r="G745" s="125"/>
      <c r="H745" s="125"/>
      <c r="I745" s="125">
        <f t="shared" si="149"/>
        <v>3.5</v>
      </c>
      <c r="J745" s="62">
        <f>'BIỂU HỢP ĐỒNG'!J708</f>
        <v>1587082</v>
      </c>
      <c r="K745" s="43"/>
      <c r="L745" s="62">
        <f t="shared" si="150"/>
        <v>5554787</v>
      </c>
      <c r="M745" s="77">
        <f t="shared" si="151"/>
        <v>0</v>
      </c>
      <c r="N745" s="43">
        <f t="shared" si="152"/>
        <v>0</v>
      </c>
      <c r="O745" s="43">
        <f t="shared" si="153"/>
        <v>0</v>
      </c>
      <c r="P745" s="43">
        <f t="shared" si="148"/>
        <v>5554787</v>
      </c>
      <c r="Q745" s="100"/>
      <c r="R745" s="117"/>
    </row>
    <row r="746" spans="1:19" ht="47.25" customHeight="1" x14ac:dyDescent="0.25">
      <c r="A746" s="48" t="str">
        <f t="shared" si="142"/>
        <v>HT</v>
      </c>
      <c r="B746" s="32" t="s">
        <v>1055</v>
      </c>
      <c r="C746" s="39" t="s">
        <v>120</v>
      </c>
      <c r="D746" s="13" t="s">
        <v>16</v>
      </c>
      <c r="E746" s="123">
        <v>1.8</v>
      </c>
      <c r="F746" s="136"/>
      <c r="G746" s="125"/>
      <c r="H746" s="125"/>
      <c r="I746" s="125">
        <f t="shared" si="149"/>
        <v>1.8</v>
      </c>
      <c r="J746" s="62">
        <f>'BIỂU HỢP ĐỒNG'!J709</f>
        <v>1197457</v>
      </c>
      <c r="K746" s="43"/>
      <c r="L746" s="62">
        <f t="shared" si="150"/>
        <v>2155423</v>
      </c>
      <c r="M746" s="77">
        <f t="shared" si="151"/>
        <v>0</v>
      </c>
      <c r="N746" s="43">
        <f t="shared" si="152"/>
        <v>0</v>
      </c>
      <c r="O746" s="43">
        <f t="shared" si="153"/>
        <v>0</v>
      </c>
      <c r="P746" s="43">
        <f t="shared" si="148"/>
        <v>2155423</v>
      </c>
      <c r="Q746" s="100"/>
      <c r="R746" s="117"/>
    </row>
    <row r="747" spans="1:19" x14ac:dyDescent="0.25">
      <c r="A747" s="48" t="str">
        <f t="shared" si="142"/>
        <v>HT</v>
      </c>
      <c r="B747" s="32" t="s">
        <v>1056</v>
      </c>
      <c r="C747" s="39" t="s">
        <v>125</v>
      </c>
      <c r="D747" s="13" t="s">
        <v>126</v>
      </c>
      <c r="E747" s="123">
        <v>0.18</v>
      </c>
      <c r="F747" s="136"/>
      <c r="G747" s="125"/>
      <c r="H747" s="125"/>
      <c r="I747" s="125">
        <f t="shared" si="149"/>
        <v>0.18</v>
      </c>
      <c r="J747" s="62">
        <f>'BIỂU HỢP ĐỒNG'!J710</f>
        <v>103942.99</v>
      </c>
      <c r="K747" s="43"/>
      <c r="L747" s="62">
        <f t="shared" si="150"/>
        <v>18710</v>
      </c>
      <c r="M747" s="77">
        <f t="shared" si="151"/>
        <v>0</v>
      </c>
      <c r="N747" s="43">
        <f t="shared" si="152"/>
        <v>0</v>
      </c>
      <c r="O747" s="43">
        <f t="shared" si="153"/>
        <v>0</v>
      </c>
      <c r="P747" s="43">
        <f t="shared" si="148"/>
        <v>18710</v>
      </c>
      <c r="Q747" s="100"/>
      <c r="R747" s="117"/>
    </row>
    <row r="748" spans="1:19" ht="47.25" customHeight="1" x14ac:dyDescent="0.25">
      <c r="A748" s="48" t="str">
        <f t="shared" si="142"/>
        <v>HT</v>
      </c>
      <c r="B748" s="32" t="s">
        <v>1057</v>
      </c>
      <c r="C748" s="39" t="s">
        <v>120</v>
      </c>
      <c r="D748" s="13" t="s">
        <v>16</v>
      </c>
      <c r="E748" s="123">
        <v>1.2</v>
      </c>
      <c r="F748" s="136">
        <v>16.468</v>
      </c>
      <c r="G748" s="125"/>
      <c r="H748" s="125"/>
      <c r="I748" s="125">
        <f t="shared" si="149"/>
        <v>17.667999999999999</v>
      </c>
      <c r="J748" s="62">
        <f>'BIỂU HỢP ĐỒNG'!J711</f>
        <v>1197457</v>
      </c>
      <c r="K748" s="43"/>
      <c r="L748" s="62">
        <f t="shared" si="150"/>
        <v>1436948</v>
      </c>
      <c r="M748" s="77">
        <f t="shared" si="151"/>
        <v>19719722</v>
      </c>
      <c r="N748" s="43">
        <f t="shared" si="152"/>
        <v>0</v>
      </c>
      <c r="O748" s="43">
        <f t="shared" si="153"/>
        <v>0</v>
      </c>
      <c r="P748" s="43">
        <f t="shared" si="148"/>
        <v>21156670</v>
      </c>
      <c r="Q748" s="100"/>
      <c r="R748" s="117"/>
    </row>
    <row r="749" spans="1:19" ht="31.5" customHeight="1" x14ac:dyDescent="0.25">
      <c r="A749" s="48" t="str">
        <f t="shared" si="142"/>
        <v>HT</v>
      </c>
      <c r="B749" s="32" t="s">
        <v>1058</v>
      </c>
      <c r="C749" s="39" t="s">
        <v>129</v>
      </c>
      <c r="D749" s="13" t="s">
        <v>75</v>
      </c>
      <c r="E749" s="123">
        <v>99.5</v>
      </c>
      <c r="F749" s="136"/>
      <c r="G749" s="125"/>
      <c r="H749" s="125"/>
      <c r="I749" s="125">
        <f t="shared" si="149"/>
        <v>99.5</v>
      </c>
      <c r="J749" s="62">
        <f>'BIỂU HỢP ĐỒNG'!J712</f>
        <v>320960</v>
      </c>
      <c r="K749" s="43"/>
      <c r="L749" s="62">
        <f t="shared" si="150"/>
        <v>31935520</v>
      </c>
      <c r="M749" s="77">
        <f t="shared" si="151"/>
        <v>0</v>
      </c>
      <c r="N749" s="43">
        <f t="shared" si="152"/>
        <v>0</v>
      </c>
      <c r="O749" s="43">
        <f t="shared" si="153"/>
        <v>0</v>
      </c>
      <c r="P749" s="43">
        <f t="shared" si="148"/>
        <v>31935520</v>
      </c>
      <c r="Q749" s="100"/>
      <c r="R749" s="117"/>
    </row>
    <row r="750" spans="1:19" x14ac:dyDescent="0.25">
      <c r="A750" s="48" t="str">
        <f t="shared" si="142"/>
        <v>HT</v>
      </c>
      <c r="B750" s="32" t="s">
        <v>1059</v>
      </c>
      <c r="C750" s="39" t="s">
        <v>125</v>
      </c>
      <c r="D750" s="13" t="s">
        <v>126</v>
      </c>
      <c r="E750" s="123">
        <v>15.2</v>
      </c>
      <c r="F750" s="136"/>
      <c r="G750" s="125"/>
      <c r="H750" s="125"/>
      <c r="I750" s="125">
        <f t="shared" si="149"/>
        <v>15.2</v>
      </c>
      <c r="J750" s="62">
        <f>'BIỂU HỢP ĐỒNG'!J713</f>
        <v>10394299</v>
      </c>
      <c r="K750" s="43"/>
      <c r="L750" s="62">
        <f t="shared" si="150"/>
        <v>157993345</v>
      </c>
      <c r="M750" s="77">
        <f t="shared" si="151"/>
        <v>0</v>
      </c>
      <c r="N750" s="43">
        <f t="shared" si="152"/>
        <v>0</v>
      </c>
      <c r="O750" s="43">
        <f t="shared" si="153"/>
        <v>0</v>
      </c>
      <c r="P750" s="43">
        <f t="shared" si="148"/>
        <v>157993345</v>
      </c>
      <c r="Q750" s="100"/>
      <c r="R750" s="117"/>
    </row>
    <row r="751" spans="1:19" ht="47.25" customHeight="1" x14ac:dyDescent="0.25">
      <c r="A751" s="48" t="str">
        <f t="shared" si="142"/>
        <v>HT</v>
      </c>
      <c r="B751" s="32" t="s">
        <v>1060</v>
      </c>
      <c r="C751" s="39" t="s">
        <v>120</v>
      </c>
      <c r="D751" s="13" t="s">
        <v>16</v>
      </c>
      <c r="E751" s="123">
        <v>116.28</v>
      </c>
      <c r="F751" s="136"/>
      <c r="G751" s="125"/>
      <c r="H751" s="125"/>
      <c r="I751" s="125">
        <f t="shared" si="149"/>
        <v>116.28</v>
      </c>
      <c r="J751" s="62">
        <f>'BIỂU HỢP ĐỒNG'!J714</f>
        <v>1197457</v>
      </c>
      <c r="K751" s="43"/>
      <c r="L751" s="62">
        <f t="shared" si="150"/>
        <v>139240300</v>
      </c>
      <c r="M751" s="77">
        <f t="shared" si="151"/>
        <v>0</v>
      </c>
      <c r="N751" s="43">
        <f t="shared" si="152"/>
        <v>0</v>
      </c>
      <c r="O751" s="43">
        <f t="shared" si="153"/>
        <v>0</v>
      </c>
      <c r="P751" s="43">
        <f t="shared" si="148"/>
        <v>139240300</v>
      </c>
      <c r="Q751" s="100"/>
      <c r="R751" s="117"/>
    </row>
    <row r="752" spans="1:19" x14ac:dyDescent="0.25">
      <c r="A752" s="48" t="str">
        <f t="shared" si="142"/>
        <v>HT</v>
      </c>
      <c r="B752" s="32" t="s">
        <v>1061</v>
      </c>
      <c r="C752" s="39" t="s">
        <v>137</v>
      </c>
      <c r="D752" s="13" t="s">
        <v>75</v>
      </c>
      <c r="E752" s="123">
        <v>6080</v>
      </c>
      <c r="F752" s="137">
        <v>-835.56</v>
      </c>
      <c r="G752" s="125"/>
      <c r="H752" s="125"/>
      <c r="I752" s="125">
        <f t="shared" si="149"/>
        <v>5244.4400000000005</v>
      </c>
      <c r="J752" s="81">
        <f>'BIỂU HỢP ĐỒNG'!J715</f>
        <v>388691</v>
      </c>
      <c r="K752" s="43"/>
      <c r="L752" s="62">
        <f t="shared" si="150"/>
        <v>2363241280</v>
      </c>
      <c r="M752" s="138">
        <f t="shared" si="151"/>
        <v>-324774652</v>
      </c>
      <c r="N752" s="43">
        <f t="shared" si="152"/>
        <v>0</v>
      </c>
      <c r="O752" s="43">
        <f t="shared" si="153"/>
        <v>0</v>
      </c>
      <c r="P752" s="43">
        <f t="shared" si="148"/>
        <v>2038466628</v>
      </c>
      <c r="Q752" s="100"/>
      <c r="R752" s="117"/>
      <c r="S752" t="s">
        <v>2035</v>
      </c>
    </row>
    <row r="753" spans="1:19" x14ac:dyDescent="0.25">
      <c r="A753" s="48" t="str">
        <f t="shared" si="142"/>
        <v>HT</v>
      </c>
      <c r="B753" s="32" t="s">
        <v>1062</v>
      </c>
      <c r="C753" s="39" t="s">
        <v>125</v>
      </c>
      <c r="D753" s="13" t="s">
        <v>126</v>
      </c>
      <c r="E753" s="123">
        <v>0.47</v>
      </c>
      <c r="F753" s="136"/>
      <c r="G753" s="125"/>
      <c r="H753" s="125"/>
      <c r="I753" s="125">
        <f t="shared" si="149"/>
        <v>0.47</v>
      </c>
      <c r="J753" s="62">
        <f>'BIỂU HỢP ĐỒNG'!J716</f>
        <v>10394299</v>
      </c>
      <c r="K753" s="43"/>
      <c r="L753" s="62">
        <f t="shared" si="150"/>
        <v>4885321</v>
      </c>
      <c r="M753" s="77">
        <f t="shared" si="151"/>
        <v>0</v>
      </c>
      <c r="N753" s="43">
        <f t="shared" si="152"/>
        <v>0</v>
      </c>
      <c r="O753" s="43">
        <f t="shared" si="153"/>
        <v>0</v>
      </c>
      <c r="P753" s="43">
        <f t="shared" si="148"/>
        <v>4885321</v>
      </c>
      <c r="Q753" s="100"/>
      <c r="R753" s="117"/>
    </row>
    <row r="754" spans="1:19" ht="47.25" customHeight="1" x14ac:dyDescent="0.25">
      <c r="A754" s="48" t="str">
        <f t="shared" si="142"/>
        <v>HT</v>
      </c>
      <c r="B754" s="32" t="s">
        <v>1063</v>
      </c>
      <c r="C754" s="39" t="s">
        <v>120</v>
      </c>
      <c r="D754" s="13" t="s">
        <v>16</v>
      </c>
      <c r="E754" s="123">
        <v>0.28000000000000003</v>
      </c>
      <c r="F754" s="136"/>
      <c r="G754" s="125"/>
      <c r="H754" s="125"/>
      <c r="I754" s="125">
        <f t="shared" si="149"/>
        <v>0.28000000000000003</v>
      </c>
      <c r="J754" s="62">
        <f>'BIỂU HỢP ĐỒNG'!J717</f>
        <v>1197457</v>
      </c>
      <c r="K754" s="43"/>
      <c r="L754" s="62">
        <f t="shared" si="150"/>
        <v>335288</v>
      </c>
      <c r="M754" s="77">
        <f t="shared" si="151"/>
        <v>0</v>
      </c>
      <c r="N754" s="43">
        <f t="shared" si="152"/>
        <v>0</v>
      </c>
      <c r="O754" s="43">
        <f t="shared" si="153"/>
        <v>0</v>
      </c>
      <c r="P754" s="43">
        <f t="shared" si="148"/>
        <v>335288</v>
      </c>
      <c r="Q754" s="100"/>
      <c r="R754" s="117"/>
    </row>
    <row r="755" spans="1:19" x14ac:dyDescent="0.25">
      <c r="A755" s="48" t="str">
        <f t="shared" si="142"/>
        <v>HT</v>
      </c>
      <c r="B755" s="32" t="s">
        <v>1064</v>
      </c>
      <c r="C755" s="39" t="s">
        <v>141</v>
      </c>
      <c r="D755" s="13" t="s">
        <v>75</v>
      </c>
      <c r="E755" s="123">
        <v>46.6</v>
      </c>
      <c r="F755" s="136">
        <v>18.84</v>
      </c>
      <c r="G755" s="125"/>
      <c r="H755" s="125"/>
      <c r="I755" s="125">
        <f t="shared" si="149"/>
        <v>65.44</v>
      </c>
      <c r="J755" s="62">
        <f>'BIỂU HỢP ĐỒNG'!J718</f>
        <v>169013</v>
      </c>
      <c r="K755" s="43"/>
      <c r="L755" s="62">
        <f t="shared" si="150"/>
        <v>7876006</v>
      </c>
      <c r="M755" s="77">
        <f t="shared" si="151"/>
        <v>3184205</v>
      </c>
      <c r="N755" s="43">
        <f t="shared" si="152"/>
        <v>0</v>
      </c>
      <c r="O755" s="43">
        <f t="shared" si="153"/>
        <v>0</v>
      </c>
      <c r="P755" s="43">
        <f t="shared" si="148"/>
        <v>11060211</v>
      </c>
      <c r="Q755" s="100"/>
      <c r="R755" s="117"/>
    </row>
    <row r="756" spans="1:19" x14ac:dyDescent="0.25">
      <c r="A756" s="48" t="str">
        <f t="shared" si="142"/>
        <v>HT</v>
      </c>
      <c r="B756" s="32" t="s">
        <v>1065</v>
      </c>
      <c r="C756" s="39" t="s">
        <v>143</v>
      </c>
      <c r="D756" s="13" t="s">
        <v>37</v>
      </c>
      <c r="E756" s="123">
        <v>48.48</v>
      </c>
      <c r="F756" s="136"/>
      <c r="G756" s="125"/>
      <c r="H756" s="125"/>
      <c r="I756" s="125">
        <f t="shared" si="149"/>
        <v>48.48</v>
      </c>
      <c r="J756" s="62">
        <f>'BIỂU HỢP ĐỒNG'!J719</f>
        <v>646440</v>
      </c>
      <c r="K756" s="43"/>
      <c r="L756" s="62">
        <f t="shared" si="150"/>
        <v>31339411</v>
      </c>
      <c r="M756" s="77">
        <f t="shared" si="151"/>
        <v>0</v>
      </c>
      <c r="N756" s="43">
        <f t="shared" si="152"/>
        <v>0</v>
      </c>
      <c r="O756" s="43">
        <f t="shared" si="153"/>
        <v>0</v>
      </c>
      <c r="P756" s="43">
        <f t="shared" si="148"/>
        <v>31339411</v>
      </c>
      <c r="Q756" s="100"/>
      <c r="R756" s="117"/>
    </row>
    <row r="757" spans="1:19" x14ac:dyDescent="0.25">
      <c r="A757" s="48" t="str">
        <f t="shared" si="142"/>
        <v>HT</v>
      </c>
      <c r="B757" s="32" t="s">
        <v>1066</v>
      </c>
      <c r="C757" s="39" t="s">
        <v>145</v>
      </c>
      <c r="D757" s="13" t="s">
        <v>146</v>
      </c>
      <c r="E757" s="123">
        <v>7</v>
      </c>
      <c r="F757" s="136"/>
      <c r="G757" s="125"/>
      <c r="H757" s="125"/>
      <c r="I757" s="125">
        <f t="shared" si="149"/>
        <v>7</v>
      </c>
      <c r="J757" s="62">
        <f>'BIỂU HỢP ĐỒNG'!J720</f>
        <v>1909908</v>
      </c>
      <c r="K757" s="43"/>
      <c r="L757" s="62">
        <f t="shared" si="150"/>
        <v>13369356</v>
      </c>
      <c r="M757" s="77">
        <f t="shared" si="151"/>
        <v>0</v>
      </c>
      <c r="N757" s="43">
        <f t="shared" si="152"/>
        <v>0</v>
      </c>
      <c r="O757" s="43">
        <f t="shared" si="153"/>
        <v>0</v>
      </c>
      <c r="P757" s="43">
        <f t="shared" si="148"/>
        <v>13369356</v>
      </c>
      <c r="Q757" s="100"/>
      <c r="R757" s="117"/>
    </row>
    <row r="758" spans="1:19" x14ac:dyDescent="0.25">
      <c r="A758" s="48" t="str">
        <f t="shared" si="142"/>
        <v>HT</v>
      </c>
      <c r="B758" s="32" t="s">
        <v>1067</v>
      </c>
      <c r="C758" s="39" t="s">
        <v>47</v>
      </c>
      <c r="D758" s="13" t="s">
        <v>16</v>
      </c>
      <c r="E758" s="123">
        <v>1501.7</v>
      </c>
      <c r="F758" s="137">
        <v>-206.38332</v>
      </c>
      <c r="G758" s="125"/>
      <c r="H758" s="125"/>
      <c r="I758" s="125">
        <f t="shared" si="149"/>
        <v>1295.3166800000001</v>
      </c>
      <c r="J758" s="81">
        <f>'BIỂU HỢP ĐỒNG'!J721</f>
        <v>2096</v>
      </c>
      <c r="K758" s="43"/>
      <c r="L758" s="62">
        <f t="shared" si="150"/>
        <v>3147563</v>
      </c>
      <c r="M758" s="138">
        <f t="shared" si="151"/>
        <v>-432579</v>
      </c>
      <c r="N758" s="43">
        <f t="shared" si="152"/>
        <v>0</v>
      </c>
      <c r="O758" s="43">
        <f t="shared" si="153"/>
        <v>0</v>
      </c>
      <c r="P758" s="43">
        <f t="shared" si="148"/>
        <v>2714984</v>
      </c>
      <c r="Q758" s="100"/>
      <c r="R758" s="117"/>
      <c r="S758" t="s">
        <v>2036</v>
      </c>
    </row>
    <row r="759" spans="1:19" ht="47.25" customHeight="1" x14ac:dyDescent="0.25">
      <c r="A759" s="48" t="str">
        <f t="shared" si="142"/>
        <v>HT</v>
      </c>
      <c r="B759" s="32" t="s">
        <v>1068</v>
      </c>
      <c r="C759" s="39" t="s">
        <v>1069</v>
      </c>
      <c r="D759" s="13" t="s">
        <v>150</v>
      </c>
      <c r="E759" s="123">
        <v>21.34</v>
      </c>
      <c r="F759" s="137">
        <v>-2.9328159999999999</v>
      </c>
      <c r="G759" s="125"/>
      <c r="H759" s="125"/>
      <c r="I759" s="125">
        <f t="shared" si="149"/>
        <v>18.407184000000001</v>
      </c>
      <c r="J759" s="81">
        <f>'BIỂU HỢP ĐỒNG'!J722</f>
        <v>963779</v>
      </c>
      <c r="K759" s="43"/>
      <c r="L759" s="62">
        <f t="shared" si="150"/>
        <v>20567044</v>
      </c>
      <c r="M759" s="138">
        <f t="shared" si="151"/>
        <v>-2826586</v>
      </c>
      <c r="N759" s="43">
        <f t="shared" si="152"/>
        <v>0</v>
      </c>
      <c r="O759" s="43">
        <f t="shared" si="153"/>
        <v>0</v>
      </c>
      <c r="P759" s="43">
        <f t="shared" si="148"/>
        <v>17740458</v>
      </c>
      <c r="Q759" s="100"/>
      <c r="R759" s="117"/>
      <c r="S759" t="s">
        <v>2037</v>
      </c>
    </row>
    <row r="760" spans="1:19" s="22" customFormat="1" ht="47.25" customHeight="1" x14ac:dyDescent="0.25">
      <c r="A760" s="48" t="str">
        <f t="shared" si="142"/>
        <v>HT</v>
      </c>
      <c r="B760" s="29">
        <v>10</v>
      </c>
      <c r="C760" s="12" t="s">
        <v>1070</v>
      </c>
      <c r="D760" s="79"/>
      <c r="E760" s="123"/>
      <c r="F760" s="136"/>
      <c r="G760" s="125"/>
      <c r="H760" s="125"/>
      <c r="I760" s="125"/>
      <c r="J760" s="62"/>
      <c r="K760" s="43"/>
      <c r="L760" s="62"/>
      <c r="M760" s="77"/>
      <c r="N760" s="43"/>
      <c r="O760" s="43"/>
      <c r="P760" s="43">
        <f t="shared" si="148"/>
        <v>0</v>
      </c>
      <c r="Q760" s="100"/>
      <c r="R760" s="117"/>
    </row>
    <row r="761" spans="1:19" x14ac:dyDescent="0.25">
      <c r="A761" s="48" t="str">
        <f t="shared" ref="A761:A824" si="154">A760</f>
        <v>HT</v>
      </c>
      <c r="B761" s="32" t="s">
        <v>1071</v>
      </c>
      <c r="C761" s="39" t="s">
        <v>1072</v>
      </c>
      <c r="D761" s="13" t="s">
        <v>16</v>
      </c>
      <c r="E761" s="123">
        <v>3.87</v>
      </c>
      <c r="F761" s="136"/>
      <c r="G761" s="125"/>
      <c r="H761" s="125"/>
      <c r="I761" s="125">
        <f t="shared" ref="I761:I787" si="155">SUM(E761:H761)</f>
        <v>3.87</v>
      </c>
      <c r="J761" s="62">
        <f>'BIỂU HỢP ĐỒNG'!J724</f>
        <v>20072</v>
      </c>
      <c r="K761" s="43"/>
      <c r="L761" s="62">
        <f t="shared" ref="L761:L787" si="156">+ROUND(J761*E761,0)</f>
        <v>77679</v>
      </c>
      <c r="M761" s="77">
        <f t="shared" ref="M761:M787" si="157">+ROUND(F761*J761,0)</f>
        <v>0</v>
      </c>
      <c r="N761" s="43">
        <f t="shared" ref="N761:N787" si="158">+ROUND(G761*J761,0)</f>
        <v>0</v>
      </c>
      <c r="O761" s="43">
        <f t="shared" ref="O761:O787" si="159">+ROUND(H761*J761,0)</f>
        <v>0</v>
      </c>
      <c r="P761" s="43">
        <f t="shared" si="148"/>
        <v>77679</v>
      </c>
      <c r="Q761" s="100"/>
      <c r="R761" s="117"/>
    </row>
    <row r="762" spans="1:19" x14ac:dyDescent="0.25">
      <c r="A762" s="48" t="str">
        <f t="shared" si="154"/>
        <v>HT</v>
      </c>
      <c r="B762" s="32" t="s">
        <v>1073</v>
      </c>
      <c r="C762" s="39" t="s">
        <v>183</v>
      </c>
      <c r="D762" s="13" t="s">
        <v>16</v>
      </c>
      <c r="E762" s="123">
        <v>8.76</v>
      </c>
      <c r="F762" s="136"/>
      <c r="G762" s="125"/>
      <c r="H762" s="125"/>
      <c r="I762" s="125">
        <f t="shared" si="155"/>
        <v>8.76</v>
      </c>
      <c r="J762" s="62">
        <f>'BIỂU HỢP ĐỒNG'!J725</f>
        <v>23801</v>
      </c>
      <c r="K762" s="43"/>
      <c r="L762" s="62">
        <f t="shared" si="156"/>
        <v>208497</v>
      </c>
      <c r="M762" s="77">
        <f t="shared" si="157"/>
        <v>0</v>
      </c>
      <c r="N762" s="43">
        <f t="shared" si="158"/>
        <v>0</v>
      </c>
      <c r="O762" s="43">
        <f t="shared" si="159"/>
        <v>0</v>
      </c>
      <c r="P762" s="43">
        <f t="shared" ref="P762:P825" si="160">SUM(L762:O762)</f>
        <v>208497</v>
      </c>
      <c r="Q762" s="100"/>
      <c r="R762" s="117"/>
    </row>
    <row r="763" spans="1:19" x14ac:dyDescent="0.25">
      <c r="A763" s="48" t="str">
        <f t="shared" si="154"/>
        <v>HT</v>
      </c>
      <c r="B763" s="32" t="s">
        <v>1074</v>
      </c>
      <c r="C763" s="39" t="s">
        <v>185</v>
      </c>
      <c r="D763" s="13" t="s">
        <v>16</v>
      </c>
      <c r="E763" s="123">
        <v>322.19</v>
      </c>
      <c r="F763" s="136"/>
      <c r="G763" s="125"/>
      <c r="H763" s="125"/>
      <c r="I763" s="125">
        <f t="shared" si="155"/>
        <v>322.19</v>
      </c>
      <c r="J763" s="62">
        <f>'BIỂU HỢP ĐỒNG'!J726</f>
        <v>23801</v>
      </c>
      <c r="K763" s="43"/>
      <c r="L763" s="62">
        <f t="shared" si="156"/>
        <v>7668444</v>
      </c>
      <c r="M763" s="77">
        <f t="shared" si="157"/>
        <v>0</v>
      </c>
      <c r="N763" s="43">
        <f t="shared" si="158"/>
        <v>0</v>
      </c>
      <c r="O763" s="43">
        <f t="shared" si="159"/>
        <v>0</v>
      </c>
      <c r="P763" s="43">
        <f t="shared" si="160"/>
        <v>7668444</v>
      </c>
      <c r="Q763" s="100"/>
      <c r="R763" s="117"/>
    </row>
    <row r="764" spans="1:19" x14ac:dyDescent="0.25">
      <c r="A764" s="48" t="str">
        <f t="shared" si="154"/>
        <v>HT</v>
      </c>
      <c r="B764" s="32" t="s">
        <v>1075</v>
      </c>
      <c r="C764" s="39" t="s">
        <v>155</v>
      </c>
      <c r="D764" s="13" t="s">
        <v>16</v>
      </c>
      <c r="E764" s="123">
        <v>22.8</v>
      </c>
      <c r="F764" s="136"/>
      <c r="G764" s="125"/>
      <c r="H764" s="125"/>
      <c r="I764" s="125">
        <f t="shared" si="155"/>
        <v>22.8</v>
      </c>
      <c r="J764" s="62">
        <f>'BIỂU HỢP ĐỒNG'!J727</f>
        <v>30610</v>
      </c>
      <c r="K764" s="43"/>
      <c r="L764" s="62">
        <f t="shared" si="156"/>
        <v>697908</v>
      </c>
      <c r="M764" s="77">
        <f t="shared" si="157"/>
        <v>0</v>
      </c>
      <c r="N764" s="43">
        <f t="shared" si="158"/>
        <v>0</v>
      </c>
      <c r="O764" s="43">
        <f t="shared" si="159"/>
        <v>0</v>
      </c>
      <c r="P764" s="43">
        <f t="shared" si="160"/>
        <v>697908</v>
      </c>
      <c r="Q764" s="100"/>
      <c r="R764" s="117"/>
    </row>
    <row r="765" spans="1:19" x14ac:dyDescent="0.25">
      <c r="A765" s="48" t="str">
        <f t="shared" si="154"/>
        <v>HT</v>
      </c>
      <c r="B765" s="32" t="s">
        <v>1076</v>
      </c>
      <c r="C765" s="39" t="s">
        <v>20</v>
      </c>
      <c r="D765" s="13" t="s">
        <v>16</v>
      </c>
      <c r="E765" s="123">
        <v>43</v>
      </c>
      <c r="F765" s="136"/>
      <c r="G765" s="125"/>
      <c r="H765" s="125"/>
      <c r="I765" s="125">
        <f t="shared" si="155"/>
        <v>43</v>
      </c>
      <c r="J765" s="62">
        <f>'BIỂU HỢP ĐỒNG'!J728</f>
        <v>12342</v>
      </c>
      <c r="K765" s="43"/>
      <c r="L765" s="62">
        <f t="shared" si="156"/>
        <v>530706</v>
      </c>
      <c r="M765" s="77">
        <f t="shared" si="157"/>
        <v>0</v>
      </c>
      <c r="N765" s="43">
        <f t="shared" si="158"/>
        <v>0</v>
      </c>
      <c r="O765" s="43">
        <f t="shared" si="159"/>
        <v>0</v>
      </c>
      <c r="P765" s="43">
        <f t="shared" si="160"/>
        <v>530706</v>
      </c>
      <c r="Q765" s="100"/>
      <c r="R765" s="117"/>
    </row>
    <row r="766" spans="1:19" ht="31.5" customHeight="1" x14ac:dyDescent="0.25">
      <c r="A766" s="48" t="str">
        <f t="shared" si="154"/>
        <v>HT</v>
      </c>
      <c r="B766" s="32" t="s">
        <v>1077</v>
      </c>
      <c r="C766" s="39" t="s">
        <v>158</v>
      </c>
      <c r="D766" s="13" t="s">
        <v>16</v>
      </c>
      <c r="E766" s="123">
        <v>43</v>
      </c>
      <c r="F766" s="136"/>
      <c r="G766" s="125"/>
      <c r="H766" s="125"/>
      <c r="I766" s="125">
        <f t="shared" si="155"/>
        <v>43</v>
      </c>
      <c r="J766" s="62">
        <f>'BIỂU HỢP ĐỒNG'!J729</f>
        <v>12936</v>
      </c>
      <c r="K766" s="43"/>
      <c r="L766" s="62">
        <f t="shared" si="156"/>
        <v>556248</v>
      </c>
      <c r="M766" s="77">
        <f t="shared" si="157"/>
        <v>0</v>
      </c>
      <c r="N766" s="43">
        <f t="shared" si="158"/>
        <v>0</v>
      </c>
      <c r="O766" s="43">
        <f t="shared" si="159"/>
        <v>0</v>
      </c>
      <c r="P766" s="43">
        <f t="shared" si="160"/>
        <v>556248</v>
      </c>
      <c r="Q766" s="100"/>
      <c r="R766" s="117"/>
    </row>
    <row r="767" spans="1:19" x14ac:dyDescent="0.25">
      <c r="A767" s="48" t="str">
        <f t="shared" si="154"/>
        <v>HT</v>
      </c>
      <c r="B767" s="32" t="s">
        <v>1078</v>
      </c>
      <c r="C767" s="39" t="s">
        <v>190</v>
      </c>
      <c r="D767" s="13" t="s">
        <v>16</v>
      </c>
      <c r="E767" s="123">
        <v>1059</v>
      </c>
      <c r="F767" s="136"/>
      <c r="G767" s="125"/>
      <c r="H767" s="125"/>
      <c r="I767" s="125">
        <f t="shared" si="155"/>
        <v>1059</v>
      </c>
      <c r="J767" s="62">
        <f>'BIỂU HỢP ĐỒNG'!J730</f>
        <v>8251</v>
      </c>
      <c r="K767" s="43"/>
      <c r="L767" s="62">
        <f t="shared" si="156"/>
        <v>8737809</v>
      </c>
      <c r="M767" s="77">
        <f t="shared" si="157"/>
        <v>0</v>
      </c>
      <c r="N767" s="43">
        <f t="shared" si="158"/>
        <v>0</v>
      </c>
      <c r="O767" s="43">
        <f t="shared" si="159"/>
        <v>0</v>
      </c>
      <c r="P767" s="43">
        <f t="shared" si="160"/>
        <v>8737809</v>
      </c>
      <c r="Q767" s="100"/>
      <c r="R767" s="117"/>
    </row>
    <row r="768" spans="1:19" x14ac:dyDescent="0.25">
      <c r="A768" s="48" t="str">
        <f t="shared" si="154"/>
        <v>HT</v>
      </c>
      <c r="B768" s="32" t="s">
        <v>1079</v>
      </c>
      <c r="C768" s="39" t="s">
        <v>192</v>
      </c>
      <c r="D768" s="13" t="s">
        <v>16</v>
      </c>
      <c r="E768" s="123">
        <v>5744</v>
      </c>
      <c r="F768" s="136"/>
      <c r="G768" s="125"/>
      <c r="H768" s="125"/>
      <c r="I768" s="125">
        <f t="shared" si="155"/>
        <v>5744</v>
      </c>
      <c r="J768" s="62">
        <f>'BIỂU HỢP ĐỒNG'!J731</f>
        <v>32141</v>
      </c>
      <c r="K768" s="43"/>
      <c r="L768" s="62">
        <f t="shared" si="156"/>
        <v>184617904</v>
      </c>
      <c r="M768" s="77">
        <f t="shared" si="157"/>
        <v>0</v>
      </c>
      <c r="N768" s="43">
        <f t="shared" si="158"/>
        <v>0</v>
      </c>
      <c r="O768" s="43">
        <f t="shared" si="159"/>
        <v>0</v>
      </c>
      <c r="P768" s="43">
        <f t="shared" si="160"/>
        <v>184617904</v>
      </c>
      <c r="Q768" s="100"/>
      <c r="R768" s="117"/>
    </row>
    <row r="769" spans="1:18" ht="31.5" customHeight="1" x14ac:dyDescent="0.25">
      <c r="A769" s="48" t="str">
        <f t="shared" si="154"/>
        <v>HT</v>
      </c>
      <c r="B769" s="32" t="s">
        <v>1080</v>
      </c>
      <c r="C769" s="39" t="s">
        <v>160</v>
      </c>
      <c r="D769" s="13" t="s">
        <v>16</v>
      </c>
      <c r="E769" s="123">
        <v>566</v>
      </c>
      <c r="F769" s="136"/>
      <c r="G769" s="125"/>
      <c r="H769" s="125"/>
      <c r="I769" s="125">
        <f t="shared" si="155"/>
        <v>566</v>
      </c>
      <c r="J769" s="62">
        <f>'BIỂU HỢP ĐỒNG'!J732</f>
        <v>12936</v>
      </c>
      <c r="K769" s="43"/>
      <c r="L769" s="62">
        <f t="shared" si="156"/>
        <v>7321776</v>
      </c>
      <c r="M769" s="77">
        <f t="shared" si="157"/>
        <v>0</v>
      </c>
      <c r="N769" s="43">
        <f t="shared" si="158"/>
        <v>0</v>
      </c>
      <c r="O769" s="43">
        <f t="shared" si="159"/>
        <v>0</v>
      </c>
      <c r="P769" s="43">
        <f t="shared" si="160"/>
        <v>7321776</v>
      </c>
      <c r="Q769" s="100"/>
      <c r="R769" s="117"/>
    </row>
    <row r="770" spans="1:18" x14ac:dyDescent="0.25">
      <c r="A770" s="48" t="str">
        <f t="shared" si="154"/>
        <v>HT</v>
      </c>
      <c r="B770" s="32" t="s">
        <v>1081</v>
      </c>
      <c r="C770" s="39" t="s">
        <v>195</v>
      </c>
      <c r="D770" s="13" t="s">
        <v>16</v>
      </c>
      <c r="E770" s="123">
        <v>7645.26</v>
      </c>
      <c r="F770" s="136"/>
      <c r="G770" s="125"/>
      <c r="H770" s="125"/>
      <c r="I770" s="125">
        <f t="shared" si="155"/>
        <v>7645.26</v>
      </c>
      <c r="J770" s="62">
        <f>'BIỂU HỢP ĐỒNG'!J733</f>
        <v>50585</v>
      </c>
      <c r="K770" s="43"/>
      <c r="L770" s="62">
        <f t="shared" si="156"/>
        <v>386735477</v>
      </c>
      <c r="M770" s="77">
        <f t="shared" si="157"/>
        <v>0</v>
      </c>
      <c r="N770" s="43">
        <f t="shared" si="158"/>
        <v>0</v>
      </c>
      <c r="O770" s="43">
        <f t="shared" si="159"/>
        <v>0</v>
      </c>
      <c r="P770" s="43">
        <f t="shared" si="160"/>
        <v>386735477</v>
      </c>
      <c r="Q770" s="100"/>
      <c r="R770" s="117"/>
    </row>
    <row r="771" spans="1:18" x14ac:dyDescent="0.25">
      <c r="A771" s="48" t="str">
        <f t="shared" si="154"/>
        <v>HT</v>
      </c>
      <c r="B771" s="32" t="s">
        <v>1082</v>
      </c>
      <c r="C771" s="39" t="s">
        <v>32</v>
      </c>
      <c r="D771" s="13" t="s">
        <v>16</v>
      </c>
      <c r="E771" s="123">
        <v>773.89</v>
      </c>
      <c r="F771" s="136"/>
      <c r="G771" s="125"/>
      <c r="H771" s="125"/>
      <c r="I771" s="125">
        <f t="shared" si="155"/>
        <v>773.89</v>
      </c>
      <c r="J771" s="62">
        <f>'BIỂU HỢP ĐỒNG'!J734</f>
        <v>50585</v>
      </c>
      <c r="K771" s="43"/>
      <c r="L771" s="62">
        <f t="shared" si="156"/>
        <v>39147226</v>
      </c>
      <c r="M771" s="77">
        <f t="shared" si="157"/>
        <v>0</v>
      </c>
      <c r="N771" s="43">
        <f t="shared" si="158"/>
        <v>0</v>
      </c>
      <c r="O771" s="43">
        <f t="shared" si="159"/>
        <v>0</v>
      </c>
      <c r="P771" s="43">
        <f t="shared" si="160"/>
        <v>39147226</v>
      </c>
      <c r="Q771" s="100"/>
      <c r="R771" s="117"/>
    </row>
    <row r="772" spans="1:18" x14ac:dyDescent="0.25">
      <c r="A772" s="48" t="str">
        <f t="shared" si="154"/>
        <v>HT</v>
      </c>
      <c r="B772" s="32" t="s">
        <v>1083</v>
      </c>
      <c r="C772" s="39" t="s">
        <v>36</v>
      </c>
      <c r="D772" s="13" t="s">
        <v>37</v>
      </c>
      <c r="E772" s="123">
        <v>841.92</v>
      </c>
      <c r="F772" s="136"/>
      <c r="G772" s="125"/>
      <c r="H772" s="125"/>
      <c r="I772" s="125">
        <f t="shared" si="155"/>
        <v>841.92</v>
      </c>
      <c r="J772" s="62">
        <f>'BIỂU HỢP ĐỒNG'!J735</f>
        <v>1032698</v>
      </c>
      <c r="K772" s="43"/>
      <c r="L772" s="62">
        <f t="shared" si="156"/>
        <v>869449100</v>
      </c>
      <c r="M772" s="77">
        <f t="shared" si="157"/>
        <v>0</v>
      </c>
      <c r="N772" s="43">
        <f t="shared" si="158"/>
        <v>0</v>
      </c>
      <c r="O772" s="43">
        <f t="shared" si="159"/>
        <v>0</v>
      </c>
      <c r="P772" s="43">
        <f t="shared" si="160"/>
        <v>869449100</v>
      </c>
      <c r="Q772" s="100"/>
      <c r="R772" s="117"/>
    </row>
    <row r="773" spans="1:18" ht="47.25" customHeight="1" x14ac:dyDescent="0.25">
      <c r="A773" s="48" t="str">
        <f t="shared" si="154"/>
        <v>HT</v>
      </c>
      <c r="B773" s="32" t="s">
        <v>1084</v>
      </c>
      <c r="C773" s="39" t="s">
        <v>94</v>
      </c>
      <c r="D773" s="13" t="s">
        <v>13</v>
      </c>
      <c r="E773" s="123">
        <v>175</v>
      </c>
      <c r="F773" s="136"/>
      <c r="G773" s="125"/>
      <c r="H773" s="125"/>
      <c r="I773" s="125">
        <f t="shared" si="155"/>
        <v>175</v>
      </c>
      <c r="J773" s="62">
        <f>'BIỂU HỢP ĐỒNG'!J736</f>
        <v>11015</v>
      </c>
      <c r="K773" s="43"/>
      <c r="L773" s="62">
        <f t="shared" si="156"/>
        <v>1927625</v>
      </c>
      <c r="M773" s="77">
        <f t="shared" si="157"/>
        <v>0</v>
      </c>
      <c r="N773" s="43">
        <f t="shared" si="158"/>
        <v>0</v>
      </c>
      <c r="O773" s="43">
        <f t="shared" si="159"/>
        <v>0</v>
      </c>
      <c r="P773" s="43">
        <f t="shared" si="160"/>
        <v>1927625</v>
      </c>
      <c r="Q773" s="100"/>
      <c r="R773" s="117"/>
    </row>
    <row r="774" spans="1:18" ht="47.25" customHeight="1" x14ac:dyDescent="0.25">
      <c r="A774" s="48" t="str">
        <f t="shared" si="154"/>
        <v>HT</v>
      </c>
      <c r="B774" s="32" t="s">
        <v>1085</v>
      </c>
      <c r="C774" s="39" t="s">
        <v>200</v>
      </c>
      <c r="D774" s="13" t="s">
        <v>13</v>
      </c>
      <c r="E774" s="123">
        <v>66</v>
      </c>
      <c r="F774" s="136"/>
      <c r="G774" s="125"/>
      <c r="H774" s="125"/>
      <c r="I774" s="125">
        <f t="shared" si="155"/>
        <v>66</v>
      </c>
      <c r="J774" s="62">
        <f>'BIỂU HỢP ĐỒNG'!J737</f>
        <v>9552</v>
      </c>
      <c r="K774" s="43"/>
      <c r="L774" s="62">
        <f t="shared" si="156"/>
        <v>630432</v>
      </c>
      <c r="M774" s="77">
        <f t="shared" si="157"/>
        <v>0</v>
      </c>
      <c r="N774" s="43">
        <f t="shared" si="158"/>
        <v>0</v>
      </c>
      <c r="O774" s="43">
        <f t="shared" si="159"/>
        <v>0</v>
      </c>
      <c r="P774" s="43">
        <f t="shared" si="160"/>
        <v>630432</v>
      </c>
      <c r="Q774" s="100"/>
      <c r="R774" s="117"/>
    </row>
    <row r="775" spans="1:18" ht="31.5" customHeight="1" x14ac:dyDescent="0.25">
      <c r="A775" s="48" t="str">
        <f t="shared" si="154"/>
        <v>HT</v>
      </c>
      <c r="B775" s="32" t="s">
        <v>1086</v>
      </c>
      <c r="C775" s="39" t="s">
        <v>96</v>
      </c>
      <c r="D775" s="13" t="s">
        <v>90</v>
      </c>
      <c r="E775" s="123">
        <v>32.75</v>
      </c>
      <c r="F775" s="136"/>
      <c r="G775" s="125"/>
      <c r="H775" s="125"/>
      <c r="I775" s="125">
        <f t="shared" si="155"/>
        <v>32.75</v>
      </c>
      <c r="J775" s="62">
        <f>'BIỂU HỢP ĐỒNG'!J738</f>
        <v>1646788</v>
      </c>
      <c r="K775" s="43"/>
      <c r="L775" s="62">
        <f t="shared" si="156"/>
        <v>53932307</v>
      </c>
      <c r="M775" s="77">
        <f t="shared" si="157"/>
        <v>0</v>
      </c>
      <c r="N775" s="43">
        <f t="shared" si="158"/>
        <v>0</v>
      </c>
      <c r="O775" s="43">
        <f t="shared" si="159"/>
        <v>0</v>
      </c>
      <c r="P775" s="43">
        <f t="shared" si="160"/>
        <v>53932307</v>
      </c>
      <c r="Q775" s="100"/>
      <c r="R775" s="117"/>
    </row>
    <row r="776" spans="1:18" ht="31.5" customHeight="1" x14ac:dyDescent="0.25">
      <c r="A776" s="48" t="str">
        <f t="shared" si="154"/>
        <v>HT</v>
      </c>
      <c r="B776" s="32" t="s">
        <v>1087</v>
      </c>
      <c r="C776" s="39" t="s">
        <v>98</v>
      </c>
      <c r="D776" s="13" t="s">
        <v>99</v>
      </c>
      <c r="E776" s="123">
        <v>0.33</v>
      </c>
      <c r="F776" s="136"/>
      <c r="G776" s="125"/>
      <c r="H776" s="125"/>
      <c r="I776" s="125">
        <f t="shared" si="155"/>
        <v>0.33</v>
      </c>
      <c r="J776" s="62">
        <f>'BIỂU HỢP ĐỒNG'!J739</f>
        <v>10502023</v>
      </c>
      <c r="K776" s="43"/>
      <c r="L776" s="62">
        <f t="shared" si="156"/>
        <v>3465668</v>
      </c>
      <c r="M776" s="77">
        <f t="shared" si="157"/>
        <v>0</v>
      </c>
      <c r="N776" s="43">
        <f t="shared" si="158"/>
        <v>0</v>
      </c>
      <c r="O776" s="43">
        <f t="shared" si="159"/>
        <v>0</v>
      </c>
      <c r="P776" s="43">
        <f t="shared" si="160"/>
        <v>3465668</v>
      </c>
      <c r="Q776" s="100"/>
      <c r="R776" s="117"/>
    </row>
    <row r="777" spans="1:18" ht="31.5" customHeight="1" x14ac:dyDescent="0.25">
      <c r="A777" s="48" t="str">
        <f t="shared" si="154"/>
        <v>HT</v>
      </c>
      <c r="B777" s="32" t="s">
        <v>1088</v>
      </c>
      <c r="C777" s="39" t="s">
        <v>110</v>
      </c>
      <c r="D777" s="13" t="s">
        <v>13</v>
      </c>
      <c r="E777" s="123">
        <v>175</v>
      </c>
      <c r="F777" s="136"/>
      <c r="G777" s="125"/>
      <c r="H777" s="125"/>
      <c r="I777" s="125">
        <f t="shared" si="155"/>
        <v>175</v>
      </c>
      <c r="J777" s="62">
        <f>'BIỂU HỢP ĐỒNG'!J740</f>
        <v>15319</v>
      </c>
      <c r="K777" s="43"/>
      <c r="L777" s="62">
        <f t="shared" si="156"/>
        <v>2680825</v>
      </c>
      <c r="M777" s="77">
        <f t="shared" si="157"/>
        <v>0</v>
      </c>
      <c r="N777" s="43">
        <f t="shared" si="158"/>
        <v>0</v>
      </c>
      <c r="O777" s="43">
        <f t="shared" si="159"/>
        <v>0</v>
      </c>
      <c r="P777" s="43">
        <f t="shared" si="160"/>
        <v>2680825</v>
      </c>
      <c r="Q777" s="100"/>
      <c r="R777" s="117"/>
    </row>
    <row r="778" spans="1:18" ht="47.25" customHeight="1" x14ac:dyDescent="0.25">
      <c r="A778" s="48" t="str">
        <f t="shared" si="154"/>
        <v>HT</v>
      </c>
      <c r="B778" s="32" t="s">
        <v>1089</v>
      </c>
      <c r="C778" s="39" t="s">
        <v>94</v>
      </c>
      <c r="D778" s="13" t="s">
        <v>13</v>
      </c>
      <c r="E778" s="123">
        <v>263</v>
      </c>
      <c r="F778" s="136"/>
      <c r="G778" s="125"/>
      <c r="H778" s="125"/>
      <c r="I778" s="125">
        <f t="shared" si="155"/>
        <v>263</v>
      </c>
      <c r="J778" s="62">
        <f>'BIỂU HỢP ĐỒNG'!J741</f>
        <v>11015</v>
      </c>
      <c r="K778" s="43"/>
      <c r="L778" s="62">
        <f t="shared" si="156"/>
        <v>2896945</v>
      </c>
      <c r="M778" s="77">
        <f t="shared" si="157"/>
        <v>0</v>
      </c>
      <c r="N778" s="43">
        <f t="shared" si="158"/>
        <v>0</v>
      </c>
      <c r="O778" s="43">
        <f t="shared" si="159"/>
        <v>0</v>
      </c>
      <c r="P778" s="43">
        <f t="shared" si="160"/>
        <v>2896945</v>
      </c>
      <c r="Q778" s="100"/>
      <c r="R778" s="117"/>
    </row>
    <row r="779" spans="1:18" ht="31.5" customHeight="1" x14ac:dyDescent="0.25">
      <c r="A779" s="48" t="str">
        <f t="shared" si="154"/>
        <v>HT</v>
      </c>
      <c r="B779" s="32" t="s">
        <v>1090</v>
      </c>
      <c r="C779" s="39" t="s">
        <v>96</v>
      </c>
      <c r="D779" s="13" t="s">
        <v>90</v>
      </c>
      <c r="E779" s="123">
        <v>37.450000000000003</v>
      </c>
      <c r="F779" s="136"/>
      <c r="G779" s="125"/>
      <c r="H779" s="125"/>
      <c r="I779" s="125">
        <f t="shared" si="155"/>
        <v>37.450000000000003</v>
      </c>
      <c r="J779" s="62">
        <f>'BIỂU HỢP ĐỒNG'!J742</f>
        <v>1646788</v>
      </c>
      <c r="K779" s="43"/>
      <c r="L779" s="62">
        <f t="shared" si="156"/>
        <v>61672211</v>
      </c>
      <c r="M779" s="77">
        <f t="shared" si="157"/>
        <v>0</v>
      </c>
      <c r="N779" s="43">
        <f t="shared" si="158"/>
        <v>0</v>
      </c>
      <c r="O779" s="43">
        <f t="shared" si="159"/>
        <v>0</v>
      </c>
      <c r="P779" s="43">
        <f t="shared" si="160"/>
        <v>61672211</v>
      </c>
      <c r="Q779" s="100"/>
      <c r="R779" s="117"/>
    </row>
    <row r="780" spans="1:18" ht="31.5" customHeight="1" x14ac:dyDescent="0.25">
      <c r="A780" s="48" t="str">
        <f t="shared" si="154"/>
        <v>HT</v>
      </c>
      <c r="B780" s="32" t="s">
        <v>1091</v>
      </c>
      <c r="C780" s="39" t="s">
        <v>98</v>
      </c>
      <c r="D780" s="13" t="s">
        <v>99</v>
      </c>
      <c r="E780" s="123">
        <v>0.37</v>
      </c>
      <c r="F780" s="136"/>
      <c r="G780" s="125"/>
      <c r="H780" s="125"/>
      <c r="I780" s="125">
        <f t="shared" si="155"/>
        <v>0.37</v>
      </c>
      <c r="J780" s="62">
        <f>'BIỂU HỢP ĐỒNG'!J743</f>
        <v>10502023</v>
      </c>
      <c r="K780" s="43"/>
      <c r="L780" s="62">
        <f t="shared" si="156"/>
        <v>3885749</v>
      </c>
      <c r="M780" s="77">
        <f t="shared" si="157"/>
        <v>0</v>
      </c>
      <c r="N780" s="43">
        <f t="shared" si="158"/>
        <v>0</v>
      </c>
      <c r="O780" s="43">
        <f t="shared" si="159"/>
        <v>0</v>
      </c>
      <c r="P780" s="43">
        <f t="shared" si="160"/>
        <v>3885749</v>
      </c>
      <c r="Q780" s="100"/>
      <c r="R780" s="117"/>
    </row>
    <row r="781" spans="1:18" ht="31.5" customHeight="1" x14ac:dyDescent="0.25">
      <c r="A781" s="48" t="str">
        <f t="shared" si="154"/>
        <v>HT</v>
      </c>
      <c r="B781" s="32" t="s">
        <v>1092</v>
      </c>
      <c r="C781" s="39" t="s">
        <v>208</v>
      </c>
      <c r="D781" s="13" t="s">
        <v>13</v>
      </c>
      <c r="E781" s="123">
        <v>263</v>
      </c>
      <c r="F781" s="136"/>
      <c r="G781" s="125"/>
      <c r="H781" s="125"/>
      <c r="I781" s="125">
        <f t="shared" si="155"/>
        <v>263</v>
      </c>
      <c r="J781" s="62">
        <f>'BIỂU HỢP ĐỒNG'!J744</f>
        <v>26753</v>
      </c>
      <c r="K781" s="43"/>
      <c r="L781" s="62">
        <f t="shared" si="156"/>
        <v>7036039</v>
      </c>
      <c r="M781" s="77">
        <f t="shared" si="157"/>
        <v>0</v>
      </c>
      <c r="N781" s="43">
        <f t="shared" si="158"/>
        <v>0</v>
      </c>
      <c r="O781" s="43">
        <f t="shared" si="159"/>
        <v>0</v>
      </c>
      <c r="P781" s="43">
        <f t="shared" si="160"/>
        <v>7036039</v>
      </c>
      <c r="Q781" s="100"/>
      <c r="R781" s="117"/>
    </row>
    <row r="782" spans="1:18" x14ac:dyDescent="0.25">
      <c r="A782" s="48" t="str">
        <f t="shared" si="154"/>
        <v>HT</v>
      </c>
      <c r="B782" s="32" t="s">
        <v>1093</v>
      </c>
      <c r="C782" s="39" t="s">
        <v>210</v>
      </c>
      <c r="D782" s="13" t="s">
        <v>16</v>
      </c>
      <c r="E782" s="123">
        <v>38.56</v>
      </c>
      <c r="F782" s="136"/>
      <c r="G782" s="125"/>
      <c r="H782" s="125"/>
      <c r="I782" s="125">
        <f t="shared" si="155"/>
        <v>38.56</v>
      </c>
      <c r="J782" s="70">
        <f>'BIỂU HỢP ĐỒNG'!J745</f>
        <v>361291</v>
      </c>
      <c r="K782" s="43"/>
      <c r="L782" s="62">
        <f t="shared" si="156"/>
        <v>13931381</v>
      </c>
      <c r="M782" s="77">
        <f t="shared" si="157"/>
        <v>0</v>
      </c>
      <c r="N782" s="43">
        <f t="shared" si="158"/>
        <v>0</v>
      </c>
      <c r="O782" s="43">
        <f t="shared" si="159"/>
        <v>0</v>
      </c>
      <c r="P782" s="43">
        <f t="shared" si="160"/>
        <v>13931381</v>
      </c>
      <c r="Q782" s="100"/>
      <c r="R782" s="117"/>
    </row>
    <row r="783" spans="1:18" ht="47.25" customHeight="1" x14ac:dyDescent="0.25">
      <c r="A783" s="48" t="str">
        <f t="shared" si="154"/>
        <v>HT</v>
      </c>
      <c r="B783" s="32" t="s">
        <v>1094</v>
      </c>
      <c r="C783" s="39" t="s">
        <v>94</v>
      </c>
      <c r="D783" s="13" t="s">
        <v>13</v>
      </c>
      <c r="E783" s="123">
        <v>2529</v>
      </c>
      <c r="F783" s="136"/>
      <c r="G783" s="125"/>
      <c r="H783" s="125"/>
      <c r="I783" s="125">
        <f t="shared" si="155"/>
        <v>2529</v>
      </c>
      <c r="J783" s="62">
        <f>'BIỂU HỢP ĐỒNG'!J746</f>
        <v>11015</v>
      </c>
      <c r="K783" s="43"/>
      <c r="L783" s="62">
        <f t="shared" si="156"/>
        <v>27856935</v>
      </c>
      <c r="M783" s="77">
        <f t="shared" si="157"/>
        <v>0</v>
      </c>
      <c r="N783" s="43">
        <f t="shared" si="158"/>
        <v>0</v>
      </c>
      <c r="O783" s="43">
        <f t="shared" si="159"/>
        <v>0</v>
      </c>
      <c r="P783" s="43">
        <f t="shared" si="160"/>
        <v>27856935</v>
      </c>
      <c r="Q783" s="100"/>
      <c r="R783" s="117"/>
    </row>
    <row r="784" spans="1:18" ht="31.5" customHeight="1" x14ac:dyDescent="0.25">
      <c r="A784" s="48" t="str">
        <f t="shared" si="154"/>
        <v>HT</v>
      </c>
      <c r="B784" s="32" t="s">
        <v>1095</v>
      </c>
      <c r="C784" s="39" t="s">
        <v>96</v>
      </c>
      <c r="D784" s="13" t="s">
        <v>90</v>
      </c>
      <c r="E784" s="123">
        <v>360.13</v>
      </c>
      <c r="F784" s="136"/>
      <c r="G784" s="125"/>
      <c r="H784" s="125"/>
      <c r="I784" s="125">
        <f t="shared" si="155"/>
        <v>360.13</v>
      </c>
      <c r="J784" s="62">
        <f>'BIỂU HỢP ĐỒNG'!J747</f>
        <v>1646788</v>
      </c>
      <c r="K784" s="43"/>
      <c r="L784" s="62">
        <f t="shared" si="156"/>
        <v>593057762</v>
      </c>
      <c r="M784" s="77">
        <f t="shared" si="157"/>
        <v>0</v>
      </c>
      <c r="N784" s="43">
        <f t="shared" si="158"/>
        <v>0</v>
      </c>
      <c r="O784" s="43">
        <f t="shared" si="159"/>
        <v>0</v>
      </c>
      <c r="P784" s="43">
        <f t="shared" si="160"/>
        <v>593057762</v>
      </c>
      <c r="Q784" s="100"/>
      <c r="R784" s="117"/>
    </row>
    <row r="785" spans="1:18" ht="31.5" customHeight="1" x14ac:dyDescent="0.25">
      <c r="A785" s="48" t="str">
        <f t="shared" si="154"/>
        <v>HT</v>
      </c>
      <c r="B785" s="32" t="s">
        <v>1096</v>
      </c>
      <c r="C785" s="39" t="s">
        <v>98</v>
      </c>
      <c r="D785" s="13" t="s">
        <v>99</v>
      </c>
      <c r="E785" s="123">
        <v>3.6</v>
      </c>
      <c r="F785" s="136"/>
      <c r="G785" s="125"/>
      <c r="H785" s="125"/>
      <c r="I785" s="125">
        <f t="shared" si="155"/>
        <v>3.6</v>
      </c>
      <c r="J785" s="62">
        <f>'BIỂU HỢP ĐỒNG'!J748</f>
        <v>10502023</v>
      </c>
      <c r="K785" s="43"/>
      <c r="L785" s="62">
        <f t="shared" si="156"/>
        <v>37807283</v>
      </c>
      <c r="M785" s="77">
        <f t="shared" si="157"/>
        <v>0</v>
      </c>
      <c r="N785" s="43">
        <f t="shared" si="158"/>
        <v>0</v>
      </c>
      <c r="O785" s="43">
        <f t="shared" si="159"/>
        <v>0</v>
      </c>
      <c r="P785" s="43">
        <f t="shared" si="160"/>
        <v>37807283</v>
      </c>
      <c r="Q785" s="100"/>
      <c r="R785" s="117"/>
    </row>
    <row r="786" spans="1:18" ht="31.5" customHeight="1" x14ac:dyDescent="0.25">
      <c r="A786" s="48" t="str">
        <f t="shared" si="154"/>
        <v>HT</v>
      </c>
      <c r="B786" s="32" t="s">
        <v>1097</v>
      </c>
      <c r="C786" s="39" t="s">
        <v>208</v>
      </c>
      <c r="D786" s="13" t="s">
        <v>13</v>
      </c>
      <c r="E786" s="123">
        <v>2529</v>
      </c>
      <c r="F786" s="136"/>
      <c r="G786" s="125"/>
      <c r="H786" s="125"/>
      <c r="I786" s="125">
        <f t="shared" si="155"/>
        <v>2529</v>
      </c>
      <c r="J786" s="62">
        <f>'BIỂU HỢP ĐỒNG'!J749</f>
        <v>26753</v>
      </c>
      <c r="K786" s="43"/>
      <c r="L786" s="62">
        <f t="shared" si="156"/>
        <v>67658337</v>
      </c>
      <c r="M786" s="77">
        <f t="shared" si="157"/>
        <v>0</v>
      </c>
      <c r="N786" s="43">
        <f t="shared" si="158"/>
        <v>0</v>
      </c>
      <c r="O786" s="43">
        <f t="shared" si="159"/>
        <v>0</v>
      </c>
      <c r="P786" s="43">
        <f t="shared" si="160"/>
        <v>67658337</v>
      </c>
      <c r="Q786" s="100"/>
      <c r="R786" s="117"/>
    </row>
    <row r="787" spans="1:18" x14ac:dyDescent="0.25">
      <c r="A787" s="48" t="str">
        <f t="shared" si="154"/>
        <v>HT</v>
      </c>
      <c r="B787" s="32" t="s">
        <v>1098</v>
      </c>
      <c r="C787" s="39" t="s">
        <v>210</v>
      </c>
      <c r="D787" s="13" t="s">
        <v>16</v>
      </c>
      <c r="E787" s="123">
        <v>379</v>
      </c>
      <c r="F787" s="136"/>
      <c r="G787" s="125"/>
      <c r="H787" s="125"/>
      <c r="I787" s="125">
        <f t="shared" si="155"/>
        <v>379</v>
      </c>
      <c r="J787" s="70">
        <f>'BIỂU HỢP ĐỒNG'!J750</f>
        <v>361291</v>
      </c>
      <c r="K787" s="43"/>
      <c r="L787" s="62">
        <f t="shared" si="156"/>
        <v>136929289</v>
      </c>
      <c r="M787" s="77">
        <f t="shared" si="157"/>
        <v>0</v>
      </c>
      <c r="N787" s="43">
        <f t="shared" si="158"/>
        <v>0</v>
      </c>
      <c r="O787" s="43">
        <f t="shared" si="159"/>
        <v>0</v>
      </c>
      <c r="P787" s="43">
        <f t="shared" si="160"/>
        <v>136929289</v>
      </c>
      <c r="Q787" s="100"/>
      <c r="R787" s="117"/>
    </row>
    <row r="788" spans="1:18" s="22" customFormat="1" ht="31.5" customHeight="1" x14ac:dyDescent="0.25">
      <c r="A788" s="48" t="str">
        <f t="shared" si="154"/>
        <v>HT</v>
      </c>
      <c r="B788" s="29">
        <v>11</v>
      </c>
      <c r="C788" s="12" t="s">
        <v>1099</v>
      </c>
      <c r="D788" s="79"/>
      <c r="E788" s="123"/>
      <c r="F788" s="136"/>
      <c r="G788" s="125"/>
      <c r="H788" s="125"/>
      <c r="I788" s="125"/>
      <c r="J788" s="62"/>
      <c r="K788" s="43"/>
      <c r="L788" s="62"/>
      <c r="M788" s="77"/>
      <c r="N788" s="43"/>
      <c r="O788" s="43"/>
      <c r="P788" s="43">
        <f t="shared" si="160"/>
        <v>0</v>
      </c>
      <c r="Q788" s="100"/>
      <c r="R788" s="117"/>
    </row>
    <row r="789" spans="1:18" x14ac:dyDescent="0.25">
      <c r="A789" s="48" t="str">
        <f t="shared" si="154"/>
        <v>HT</v>
      </c>
      <c r="B789" s="32" t="s">
        <v>1100</v>
      </c>
      <c r="C789" s="39" t="s">
        <v>218</v>
      </c>
      <c r="D789" s="13" t="s">
        <v>16</v>
      </c>
      <c r="E789" s="123">
        <v>991.54</v>
      </c>
      <c r="F789" s="136">
        <v>1675.9692500000001</v>
      </c>
      <c r="G789" s="125"/>
      <c r="H789" s="125"/>
      <c r="I789" s="125">
        <f t="shared" ref="I789:I824" si="161">SUM(E789:H789)</f>
        <v>2667.5092500000001</v>
      </c>
      <c r="J789" s="62">
        <f>'BIỂU HỢP ĐỒNG'!J752</f>
        <v>17057</v>
      </c>
      <c r="K789" s="43"/>
      <c r="L789" s="62">
        <f t="shared" ref="L789:L824" si="162">+ROUND(J789*E789,0)</f>
        <v>16912698</v>
      </c>
      <c r="M789" s="77">
        <f t="shared" ref="M789:M824" si="163">+ROUND(F789*J789,0)</f>
        <v>28587007</v>
      </c>
      <c r="N789" s="43">
        <f t="shared" ref="N789:N824" si="164">+ROUND(G789*J789,0)</f>
        <v>0</v>
      </c>
      <c r="O789" s="43">
        <f t="shared" ref="O789:O824" si="165">+ROUND(H789*J789,0)</f>
        <v>0</v>
      </c>
      <c r="P789" s="43">
        <f t="shared" si="160"/>
        <v>45499705</v>
      </c>
      <c r="Q789" s="100"/>
      <c r="R789" s="117"/>
    </row>
    <row r="790" spans="1:18" x14ac:dyDescent="0.25">
      <c r="A790" s="48" t="str">
        <f t="shared" si="154"/>
        <v>HT</v>
      </c>
      <c r="B790" s="32" t="s">
        <v>1101</v>
      </c>
      <c r="C790" s="39" t="s">
        <v>222</v>
      </c>
      <c r="D790" s="13" t="s">
        <v>16</v>
      </c>
      <c r="E790" s="123">
        <v>152.56</v>
      </c>
      <c r="F790" s="136">
        <v>2832.8984999999998</v>
      </c>
      <c r="G790" s="125"/>
      <c r="H790" s="125"/>
      <c r="I790" s="125">
        <f t="shared" si="161"/>
        <v>2985.4584999999997</v>
      </c>
      <c r="J790" s="62">
        <f>'BIỂU HỢP ĐỒNG'!J753</f>
        <v>7229</v>
      </c>
      <c r="K790" s="43"/>
      <c r="L790" s="62">
        <f t="shared" si="162"/>
        <v>1102856</v>
      </c>
      <c r="M790" s="77">
        <f t="shared" si="163"/>
        <v>20479023</v>
      </c>
      <c r="N790" s="43">
        <f t="shared" si="164"/>
        <v>0</v>
      </c>
      <c r="O790" s="43">
        <f t="shared" si="165"/>
        <v>0</v>
      </c>
      <c r="P790" s="43">
        <f t="shared" si="160"/>
        <v>21581879</v>
      </c>
      <c r="Q790" s="100"/>
      <c r="R790" s="117"/>
    </row>
    <row r="791" spans="1:18" x14ac:dyDescent="0.25">
      <c r="A791" s="48" t="str">
        <f t="shared" si="154"/>
        <v>HT</v>
      </c>
      <c r="B791" s="32" t="s">
        <v>1102</v>
      </c>
      <c r="C791" s="39" t="s">
        <v>41</v>
      </c>
      <c r="D791" s="13" t="s">
        <v>16</v>
      </c>
      <c r="E791" s="123">
        <v>991.54</v>
      </c>
      <c r="F791" s="136"/>
      <c r="G791" s="125"/>
      <c r="H791" s="125"/>
      <c r="I791" s="125">
        <f t="shared" si="161"/>
        <v>991.54</v>
      </c>
      <c r="J791" s="62">
        <f>'BIỂU HỢP ĐỒNG'!J754</f>
        <v>40424</v>
      </c>
      <c r="K791" s="43"/>
      <c r="L791" s="62">
        <f t="shared" si="162"/>
        <v>40082013</v>
      </c>
      <c r="M791" s="77">
        <f t="shared" si="163"/>
        <v>0</v>
      </c>
      <c r="N791" s="43">
        <f t="shared" si="164"/>
        <v>0</v>
      </c>
      <c r="O791" s="43">
        <f t="shared" si="165"/>
        <v>0</v>
      </c>
      <c r="P791" s="43">
        <f t="shared" si="160"/>
        <v>40082013</v>
      </c>
      <c r="Q791" s="100"/>
      <c r="R791" s="117"/>
    </row>
    <row r="792" spans="1:18" ht="31.5" customHeight="1" x14ac:dyDescent="0.25">
      <c r="A792" s="48" t="str">
        <f t="shared" si="154"/>
        <v>HT</v>
      </c>
      <c r="B792" s="32" t="s">
        <v>1103</v>
      </c>
      <c r="C792" s="39" t="s">
        <v>228</v>
      </c>
      <c r="D792" s="13" t="s">
        <v>16</v>
      </c>
      <c r="E792" s="123">
        <v>991.54</v>
      </c>
      <c r="F792" s="136"/>
      <c r="G792" s="125"/>
      <c r="H792" s="125"/>
      <c r="I792" s="125">
        <f t="shared" si="161"/>
        <v>991.54</v>
      </c>
      <c r="J792" s="62">
        <f>'BIỂU HỢP ĐỒNG'!J755</f>
        <v>2096</v>
      </c>
      <c r="K792" s="43"/>
      <c r="L792" s="62">
        <f t="shared" si="162"/>
        <v>2078268</v>
      </c>
      <c r="M792" s="77">
        <f t="shared" si="163"/>
        <v>0</v>
      </c>
      <c r="N792" s="43">
        <f t="shared" si="164"/>
        <v>0</v>
      </c>
      <c r="O792" s="43">
        <f t="shared" si="165"/>
        <v>0</v>
      </c>
      <c r="P792" s="43">
        <f t="shared" si="160"/>
        <v>2078268</v>
      </c>
      <c r="Q792" s="100"/>
      <c r="R792" s="117"/>
    </row>
    <row r="793" spans="1:18" ht="31.5" customHeight="1" x14ac:dyDescent="0.25">
      <c r="A793" s="48" t="str">
        <f t="shared" si="154"/>
        <v>HT</v>
      </c>
      <c r="B793" s="32" t="s">
        <v>1104</v>
      </c>
      <c r="C793" s="39" t="s">
        <v>232</v>
      </c>
      <c r="D793" s="13" t="s">
        <v>16</v>
      </c>
      <c r="E793" s="123">
        <v>360.74</v>
      </c>
      <c r="F793" s="136"/>
      <c r="G793" s="125"/>
      <c r="H793" s="125"/>
      <c r="I793" s="125">
        <f t="shared" si="161"/>
        <v>360.74</v>
      </c>
      <c r="J793" s="62">
        <f>'BIỂU HỢP ĐỒNG'!J756</f>
        <v>359304</v>
      </c>
      <c r="K793" s="43"/>
      <c r="L793" s="62">
        <f t="shared" si="162"/>
        <v>129615325</v>
      </c>
      <c r="M793" s="77">
        <f t="shared" si="163"/>
        <v>0</v>
      </c>
      <c r="N793" s="43">
        <f t="shared" si="164"/>
        <v>0</v>
      </c>
      <c r="O793" s="43">
        <f t="shared" si="165"/>
        <v>0</v>
      </c>
      <c r="P793" s="43">
        <f t="shared" si="160"/>
        <v>129615325</v>
      </c>
      <c r="Q793" s="100"/>
      <c r="R793" s="117"/>
    </row>
    <row r="794" spans="1:18" ht="31.5" customHeight="1" x14ac:dyDescent="0.25">
      <c r="A794" s="48" t="str">
        <f t="shared" si="154"/>
        <v>HT</v>
      </c>
      <c r="B794" s="32" t="s">
        <v>1105</v>
      </c>
      <c r="C794" s="39" t="s">
        <v>160</v>
      </c>
      <c r="D794" s="13" t="s">
        <v>16</v>
      </c>
      <c r="E794" s="123">
        <v>1842.9</v>
      </c>
      <c r="F794" s="136"/>
      <c r="G794" s="125"/>
      <c r="H794" s="125"/>
      <c r="I794" s="125">
        <f t="shared" si="161"/>
        <v>1842.9</v>
      </c>
      <c r="J794" s="62">
        <f>'BIỂU HỢP ĐỒNG'!J757</f>
        <v>12936</v>
      </c>
      <c r="K794" s="43"/>
      <c r="L794" s="62">
        <f t="shared" si="162"/>
        <v>23839754</v>
      </c>
      <c r="M794" s="77">
        <f t="shared" si="163"/>
        <v>0</v>
      </c>
      <c r="N794" s="43">
        <f t="shared" si="164"/>
        <v>0</v>
      </c>
      <c r="O794" s="43">
        <f t="shared" si="165"/>
        <v>0</v>
      </c>
      <c r="P794" s="43">
        <f t="shared" si="160"/>
        <v>23839754</v>
      </c>
      <c r="Q794" s="100"/>
      <c r="R794" s="117"/>
    </row>
    <row r="795" spans="1:18" x14ac:dyDescent="0.25">
      <c r="A795" s="48" t="str">
        <f t="shared" si="154"/>
        <v>HT</v>
      </c>
      <c r="B795" s="32" t="s">
        <v>1106</v>
      </c>
      <c r="C795" s="39" t="s">
        <v>32</v>
      </c>
      <c r="D795" s="13" t="s">
        <v>16</v>
      </c>
      <c r="E795" s="123">
        <v>2519.8000000000002</v>
      </c>
      <c r="F795" s="136"/>
      <c r="G795" s="125"/>
      <c r="H795" s="125"/>
      <c r="I795" s="125">
        <f t="shared" si="161"/>
        <v>2519.8000000000002</v>
      </c>
      <c r="J795" s="62">
        <f>'BIỂU HỢP ĐỒNG'!J758</f>
        <v>50585</v>
      </c>
      <c r="K795" s="43"/>
      <c r="L795" s="62">
        <f t="shared" si="162"/>
        <v>127464083</v>
      </c>
      <c r="M795" s="77">
        <f t="shared" si="163"/>
        <v>0</v>
      </c>
      <c r="N795" s="43">
        <f t="shared" si="164"/>
        <v>0</v>
      </c>
      <c r="O795" s="43">
        <f t="shared" si="165"/>
        <v>0</v>
      </c>
      <c r="P795" s="43">
        <f t="shared" si="160"/>
        <v>127464083</v>
      </c>
      <c r="Q795" s="100"/>
      <c r="R795" s="117"/>
    </row>
    <row r="796" spans="1:18" x14ac:dyDescent="0.25">
      <c r="A796" s="48" t="str">
        <f t="shared" si="154"/>
        <v>HT</v>
      </c>
      <c r="B796" s="32" t="s">
        <v>1107</v>
      </c>
      <c r="C796" s="39" t="s">
        <v>36</v>
      </c>
      <c r="D796" s="13" t="s">
        <v>37</v>
      </c>
      <c r="E796" s="123">
        <v>251.98</v>
      </c>
      <c r="F796" s="136"/>
      <c r="G796" s="125"/>
      <c r="H796" s="125"/>
      <c r="I796" s="125">
        <f t="shared" si="161"/>
        <v>251.98</v>
      </c>
      <c r="J796" s="62">
        <f>'BIỂU HỢP ĐỒNG'!J759</f>
        <v>1032698</v>
      </c>
      <c r="K796" s="43"/>
      <c r="L796" s="62">
        <f t="shared" si="162"/>
        <v>260219242</v>
      </c>
      <c r="M796" s="77">
        <f t="shared" si="163"/>
        <v>0</v>
      </c>
      <c r="N796" s="43">
        <f t="shared" si="164"/>
        <v>0</v>
      </c>
      <c r="O796" s="43">
        <f t="shared" si="165"/>
        <v>0</v>
      </c>
      <c r="P796" s="43">
        <f t="shared" si="160"/>
        <v>260219242</v>
      </c>
      <c r="Q796" s="100"/>
      <c r="R796" s="117"/>
    </row>
    <row r="797" spans="1:18" x14ac:dyDescent="0.25">
      <c r="A797" s="48" t="str">
        <f t="shared" si="154"/>
        <v>HT</v>
      </c>
      <c r="B797" s="32" t="s">
        <v>1108</v>
      </c>
      <c r="C797" s="39" t="s">
        <v>301</v>
      </c>
      <c r="D797" s="13" t="s">
        <v>16</v>
      </c>
      <c r="E797" s="123">
        <v>1.1000000000000001</v>
      </c>
      <c r="F797" s="136"/>
      <c r="G797" s="125"/>
      <c r="H797" s="125"/>
      <c r="I797" s="125">
        <f t="shared" si="161"/>
        <v>1.1000000000000001</v>
      </c>
      <c r="J797" s="62">
        <f>'BIỂU HỢP ĐỒNG'!J760</f>
        <v>1557317</v>
      </c>
      <c r="K797" s="43"/>
      <c r="L797" s="62">
        <f t="shared" si="162"/>
        <v>1713049</v>
      </c>
      <c r="M797" s="77">
        <f t="shared" si="163"/>
        <v>0</v>
      </c>
      <c r="N797" s="43">
        <f t="shared" si="164"/>
        <v>0</v>
      </c>
      <c r="O797" s="43">
        <f t="shared" si="165"/>
        <v>0</v>
      </c>
      <c r="P797" s="43">
        <f t="shared" si="160"/>
        <v>1713049</v>
      </c>
      <c r="Q797" s="100"/>
      <c r="R797" s="117"/>
    </row>
    <row r="798" spans="1:18" ht="47.25" customHeight="1" x14ac:dyDescent="0.25">
      <c r="A798" s="48" t="str">
        <f t="shared" si="154"/>
        <v>HT</v>
      </c>
      <c r="B798" s="32" t="s">
        <v>1109</v>
      </c>
      <c r="C798" s="39" t="s">
        <v>120</v>
      </c>
      <c r="D798" s="13" t="s">
        <v>16</v>
      </c>
      <c r="E798" s="123">
        <v>4.0999999999999996</v>
      </c>
      <c r="F798" s="136"/>
      <c r="G798" s="125"/>
      <c r="H798" s="125"/>
      <c r="I798" s="125">
        <f t="shared" si="161"/>
        <v>4.0999999999999996</v>
      </c>
      <c r="J798" s="62">
        <f>'BIỂU HỢP ĐỒNG'!J761</f>
        <v>1197457</v>
      </c>
      <c r="K798" s="43"/>
      <c r="L798" s="62">
        <f t="shared" si="162"/>
        <v>4909574</v>
      </c>
      <c r="M798" s="77">
        <f t="shared" si="163"/>
        <v>0</v>
      </c>
      <c r="N798" s="43">
        <f t="shared" si="164"/>
        <v>0</v>
      </c>
      <c r="O798" s="43">
        <f t="shared" si="165"/>
        <v>0</v>
      </c>
      <c r="P798" s="43">
        <f t="shared" si="160"/>
        <v>4909574</v>
      </c>
      <c r="Q798" s="100"/>
      <c r="R798" s="117"/>
    </row>
    <row r="799" spans="1:18" x14ac:dyDescent="0.25">
      <c r="A799" s="48" t="str">
        <f t="shared" si="154"/>
        <v>HT</v>
      </c>
      <c r="B799" s="32" t="s">
        <v>1110</v>
      </c>
      <c r="C799" s="39" t="s">
        <v>125</v>
      </c>
      <c r="D799" s="13" t="s">
        <v>126</v>
      </c>
      <c r="E799" s="123">
        <v>0.43</v>
      </c>
      <c r="F799" s="136"/>
      <c r="G799" s="125"/>
      <c r="H799" s="125"/>
      <c r="I799" s="125">
        <f t="shared" si="161"/>
        <v>0.43</v>
      </c>
      <c r="J799" s="62">
        <f>'BIỂU HỢP ĐỒNG'!J762</f>
        <v>10479792</v>
      </c>
      <c r="K799" s="43"/>
      <c r="L799" s="62">
        <f t="shared" si="162"/>
        <v>4506311</v>
      </c>
      <c r="M799" s="77">
        <f t="shared" si="163"/>
        <v>0</v>
      </c>
      <c r="N799" s="43">
        <f t="shared" si="164"/>
        <v>0</v>
      </c>
      <c r="O799" s="43">
        <f t="shared" si="165"/>
        <v>0</v>
      </c>
      <c r="P799" s="43">
        <f t="shared" si="160"/>
        <v>4506311</v>
      </c>
      <c r="Q799" s="100"/>
      <c r="R799" s="117"/>
    </row>
    <row r="800" spans="1:18" x14ac:dyDescent="0.25">
      <c r="A800" s="48" t="str">
        <f t="shared" si="154"/>
        <v>HT</v>
      </c>
      <c r="B800" s="32" t="s">
        <v>1111</v>
      </c>
      <c r="C800" s="39" t="s">
        <v>305</v>
      </c>
      <c r="D800" s="13" t="s">
        <v>13</v>
      </c>
      <c r="E800" s="123">
        <v>25.6</v>
      </c>
      <c r="F800" s="136"/>
      <c r="G800" s="125"/>
      <c r="H800" s="125"/>
      <c r="I800" s="125">
        <f t="shared" si="161"/>
        <v>25.6</v>
      </c>
      <c r="J800" s="62">
        <f>'BIỂU HỢP ĐỒNG'!J763</f>
        <v>43066</v>
      </c>
      <c r="K800" s="43"/>
      <c r="L800" s="62">
        <f t="shared" si="162"/>
        <v>1102490</v>
      </c>
      <c r="M800" s="77">
        <f t="shared" si="163"/>
        <v>0</v>
      </c>
      <c r="N800" s="43">
        <f t="shared" si="164"/>
        <v>0</v>
      </c>
      <c r="O800" s="43">
        <f t="shared" si="165"/>
        <v>0</v>
      </c>
      <c r="P800" s="43">
        <f t="shared" si="160"/>
        <v>1102490</v>
      </c>
      <c r="Q800" s="100"/>
      <c r="R800" s="117"/>
    </row>
    <row r="801" spans="1:18" ht="47.25" customHeight="1" x14ac:dyDescent="0.25">
      <c r="A801" s="48" t="str">
        <f t="shared" si="154"/>
        <v>HT</v>
      </c>
      <c r="B801" s="32" t="s">
        <v>1112</v>
      </c>
      <c r="C801" s="39" t="s">
        <v>272</v>
      </c>
      <c r="D801" s="13" t="s">
        <v>90</v>
      </c>
      <c r="E801" s="123">
        <v>2.75</v>
      </c>
      <c r="F801" s="136"/>
      <c r="G801" s="125"/>
      <c r="H801" s="125"/>
      <c r="I801" s="125">
        <f t="shared" si="161"/>
        <v>2.75</v>
      </c>
      <c r="J801" s="62">
        <f>'BIỂU HỢP ĐỒNG'!J764</f>
        <v>51234</v>
      </c>
      <c r="K801" s="43"/>
      <c r="L801" s="62">
        <f t="shared" si="162"/>
        <v>140894</v>
      </c>
      <c r="M801" s="77">
        <f t="shared" si="163"/>
        <v>0</v>
      </c>
      <c r="N801" s="43">
        <f t="shared" si="164"/>
        <v>0</v>
      </c>
      <c r="O801" s="43">
        <f t="shared" si="165"/>
        <v>0</v>
      </c>
      <c r="P801" s="43">
        <f t="shared" si="160"/>
        <v>140894</v>
      </c>
      <c r="Q801" s="100"/>
      <c r="R801" s="117"/>
    </row>
    <row r="802" spans="1:18" ht="47.25" customHeight="1" x14ac:dyDescent="0.25">
      <c r="A802" s="48" t="str">
        <f t="shared" si="154"/>
        <v>HT</v>
      </c>
      <c r="B802" s="32" t="s">
        <v>1113</v>
      </c>
      <c r="C802" s="39" t="s">
        <v>293</v>
      </c>
      <c r="D802" s="13" t="s">
        <v>90</v>
      </c>
      <c r="E802" s="123">
        <v>2.75</v>
      </c>
      <c r="F802" s="136"/>
      <c r="G802" s="125"/>
      <c r="H802" s="125"/>
      <c r="I802" s="125">
        <f t="shared" si="161"/>
        <v>2.75</v>
      </c>
      <c r="J802" s="62">
        <f>'BIỂU HỢP ĐỒNG'!J765</f>
        <v>33301</v>
      </c>
      <c r="K802" s="43"/>
      <c r="L802" s="62">
        <f t="shared" si="162"/>
        <v>91578</v>
      </c>
      <c r="M802" s="77">
        <f t="shared" si="163"/>
        <v>0</v>
      </c>
      <c r="N802" s="43">
        <f t="shared" si="164"/>
        <v>0</v>
      </c>
      <c r="O802" s="43">
        <f t="shared" si="165"/>
        <v>0</v>
      </c>
      <c r="P802" s="43">
        <f t="shared" si="160"/>
        <v>91578</v>
      </c>
      <c r="Q802" s="100"/>
      <c r="R802" s="117"/>
    </row>
    <row r="803" spans="1:18" ht="31.5" customHeight="1" x14ac:dyDescent="0.25">
      <c r="A803" s="48" t="str">
        <f t="shared" si="154"/>
        <v>HT</v>
      </c>
      <c r="B803" s="32" t="s">
        <v>1114</v>
      </c>
      <c r="C803" s="39" t="s">
        <v>284</v>
      </c>
      <c r="D803" s="13" t="s">
        <v>274</v>
      </c>
      <c r="E803" s="123">
        <v>0.28000000000000003</v>
      </c>
      <c r="F803" s="136"/>
      <c r="G803" s="125"/>
      <c r="H803" s="125"/>
      <c r="I803" s="125">
        <f t="shared" si="161"/>
        <v>0.28000000000000003</v>
      </c>
      <c r="J803" s="62">
        <f>'BIỂU HỢP ĐỒNG'!J766</f>
        <v>32162</v>
      </c>
      <c r="K803" s="43"/>
      <c r="L803" s="62">
        <f t="shared" si="162"/>
        <v>9005</v>
      </c>
      <c r="M803" s="77">
        <f t="shared" si="163"/>
        <v>0</v>
      </c>
      <c r="N803" s="43">
        <f t="shared" si="164"/>
        <v>0</v>
      </c>
      <c r="O803" s="43">
        <f t="shared" si="165"/>
        <v>0</v>
      </c>
      <c r="P803" s="43">
        <f t="shared" si="160"/>
        <v>9005</v>
      </c>
      <c r="Q803" s="100"/>
      <c r="R803" s="117"/>
    </row>
    <row r="804" spans="1:18" ht="31.5" customHeight="1" x14ac:dyDescent="0.25">
      <c r="A804" s="48" t="str">
        <f t="shared" si="154"/>
        <v>HT</v>
      </c>
      <c r="B804" s="32" t="s">
        <v>1115</v>
      </c>
      <c r="C804" s="39" t="s">
        <v>310</v>
      </c>
      <c r="D804" s="13" t="s">
        <v>250</v>
      </c>
      <c r="E804" s="123">
        <v>100</v>
      </c>
      <c r="F804" s="136"/>
      <c r="G804" s="125"/>
      <c r="H804" s="125"/>
      <c r="I804" s="125">
        <f t="shared" si="161"/>
        <v>100</v>
      </c>
      <c r="J804" s="62">
        <f>'BIỂU HỢP ĐỒNG'!J767</f>
        <v>9700</v>
      </c>
      <c r="K804" s="43"/>
      <c r="L804" s="62">
        <f t="shared" si="162"/>
        <v>970000</v>
      </c>
      <c r="M804" s="77">
        <f t="shared" si="163"/>
        <v>0</v>
      </c>
      <c r="N804" s="43">
        <f t="shared" si="164"/>
        <v>0</v>
      </c>
      <c r="O804" s="43">
        <f t="shared" si="165"/>
        <v>0</v>
      </c>
      <c r="P804" s="43">
        <f t="shared" si="160"/>
        <v>970000</v>
      </c>
      <c r="Q804" s="100"/>
      <c r="R804" s="117"/>
    </row>
    <row r="805" spans="1:18" x14ac:dyDescent="0.25">
      <c r="A805" s="48" t="str">
        <f t="shared" si="154"/>
        <v>HT</v>
      </c>
      <c r="B805" s="32" t="s">
        <v>1116</v>
      </c>
      <c r="C805" s="39" t="s">
        <v>125</v>
      </c>
      <c r="D805" s="13" t="s">
        <v>126</v>
      </c>
      <c r="E805" s="123">
        <v>7.0000000000000007E-2</v>
      </c>
      <c r="F805" s="136"/>
      <c r="G805" s="125"/>
      <c r="H805" s="125"/>
      <c r="I805" s="125">
        <f t="shared" si="161"/>
        <v>7.0000000000000007E-2</v>
      </c>
      <c r="J805" s="62">
        <f>'BIỂU HỢP ĐỒNG'!J768</f>
        <v>10479792</v>
      </c>
      <c r="K805" s="43"/>
      <c r="L805" s="62">
        <f t="shared" si="162"/>
        <v>733585</v>
      </c>
      <c r="M805" s="77">
        <f t="shared" si="163"/>
        <v>0</v>
      </c>
      <c r="N805" s="43">
        <f t="shared" si="164"/>
        <v>0</v>
      </c>
      <c r="O805" s="43">
        <f t="shared" si="165"/>
        <v>0</v>
      </c>
      <c r="P805" s="43">
        <f t="shared" si="160"/>
        <v>733585</v>
      </c>
      <c r="Q805" s="100"/>
      <c r="R805" s="117"/>
    </row>
    <row r="806" spans="1:18" ht="31.5" customHeight="1" x14ac:dyDescent="0.25">
      <c r="A806" s="48" t="str">
        <f t="shared" si="154"/>
        <v>HT</v>
      </c>
      <c r="B806" s="32" t="s">
        <v>1117</v>
      </c>
      <c r="C806" s="39" t="s">
        <v>1118</v>
      </c>
      <c r="D806" s="13" t="s">
        <v>16</v>
      </c>
      <c r="E806" s="123">
        <v>1.6</v>
      </c>
      <c r="F806" s="136"/>
      <c r="G806" s="125"/>
      <c r="H806" s="125"/>
      <c r="I806" s="125">
        <f t="shared" si="161"/>
        <v>1.6</v>
      </c>
      <c r="J806" s="62">
        <f>'BIỂU HỢP ĐỒNG'!J769</f>
        <v>1649892</v>
      </c>
      <c r="K806" s="43"/>
      <c r="L806" s="62">
        <f t="shared" si="162"/>
        <v>2639827</v>
      </c>
      <c r="M806" s="77">
        <f t="shared" si="163"/>
        <v>0</v>
      </c>
      <c r="N806" s="43">
        <f t="shared" si="164"/>
        <v>0</v>
      </c>
      <c r="O806" s="43">
        <f t="shared" si="165"/>
        <v>0</v>
      </c>
      <c r="P806" s="43">
        <f t="shared" si="160"/>
        <v>2639827</v>
      </c>
      <c r="Q806" s="100"/>
      <c r="R806" s="117"/>
    </row>
    <row r="807" spans="1:18" ht="31.5" customHeight="1" x14ac:dyDescent="0.25">
      <c r="A807" s="48" t="str">
        <f t="shared" si="154"/>
        <v>HT</v>
      </c>
      <c r="B807" s="32" t="s">
        <v>1119</v>
      </c>
      <c r="C807" s="39" t="s">
        <v>240</v>
      </c>
      <c r="D807" s="13" t="s">
        <v>16</v>
      </c>
      <c r="E807" s="123">
        <v>6.9</v>
      </c>
      <c r="F807" s="136"/>
      <c r="G807" s="125"/>
      <c r="H807" s="125"/>
      <c r="I807" s="125">
        <f t="shared" si="161"/>
        <v>6.9</v>
      </c>
      <c r="J807" s="62">
        <f>'BIỂU HỢP ĐỒNG'!J770</f>
        <v>851305</v>
      </c>
      <c r="K807" s="43"/>
      <c r="L807" s="62">
        <f t="shared" si="162"/>
        <v>5874005</v>
      </c>
      <c r="M807" s="77">
        <f t="shared" si="163"/>
        <v>0</v>
      </c>
      <c r="N807" s="43">
        <f t="shared" si="164"/>
        <v>0</v>
      </c>
      <c r="O807" s="43">
        <f t="shared" si="165"/>
        <v>0</v>
      </c>
      <c r="P807" s="43">
        <f t="shared" si="160"/>
        <v>5874005</v>
      </c>
      <c r="Q807" s="100"/>
      <c r="R807" s="117"/>
    </row>
    <row r="808" spans="1:18" ht="31.5" customHeight="1" x14ac:dyDescent="0.25">
      <c r="A808" s="48" t="str">
        <f t="shared" si="154"/>
        <v>HT</v>
      </c>
      <c r="B808" s="32" t="s">
        <v>1120</v>
      </c>
      <c r="C808" s="39" t="s">
        <v>1121</v>
      </c>
      <c r="D808" s="13" t="s">
        <v>90</v>
      </c>
      <c r="E808" s="123">
        <v>0.1</v>
      </c>
      <c r="F808" s="136"/>
      <c r="G808" s="125"/>
      <c r="H808" s="125"/>
      <c r="I808" s="125">
        <f t="shared" si="161"/>
        <v>0.1</v>
      </c>
      <c r="J808" s="62">
        <f>'BIỂU HỢP ĐỒNG'!J771</f>
        <v>24850511</v>
      </c>
      <c r="K808" s="43"/>
      <c r="L808" s="62">
        <f t="shared" si="162"/>
        <v>2485051</v>
      </c>
      <c r="M808" s="77">
        <f t="shared" si="163"/>
        <v>0</v>
      </c>
      <c r="N808" s="43">
        <f t="shared" si="164"/>
        <v>0</v>
      </c>
      <c r="O808" s="43">
        <f t="shared" si="165"/>
        <v>0</v>
      </c>
      <c r="P808" s="43">
        <f t="shared" si="160"/>
        <v>2485051</v>
      </c>
      <c r="Q808" s="100"/>
      <c r="R808" s="117"/>
    </row>
    <row r="809" spans="1:18" ht="31.5" customHeight="1" x14ac:dyDescent="0.25">
      <c r="A809" s="48" t="str">
        <f t="shared" si="154"/>
        <v>HT</v>
      </c>
      <c r="B809" s="32" t="s">
        <v>1122</v>
      </c>
      <c r="C809" s="39" t="s">
        <v>1123</v>
      </c>
      <c r="D809" s="13" t="s">
        <v>90</v>
      </c>
      <c r="E809" s="123">
        <v>0.2</v>
      </c>
      <c r="F809" s="136"/>
      <c r="G809" s="125"/>
      <c r="H809" s="125"/>
      <c r="I809" s="125">
        <f t="shared" si="161"/>
        <v>0.2</v>
      </c>
      <c r="J809" s="62">
        <f>'BIỂU HỢP ĐỒNG'!J772</f>
        <v>24510303</v>
      </c>
      <c r="K809" s="43"/>
      <c r="L809" s="62">
        <f t="shared" si="162"/>
        <v>4902061</v>
      </c>
      <c r="M809" s="77">
        <f t="shared" si="163"/>
        <v>0</v>
      </c>
      <c r="N809" s="43">
        <f t="shared" si="164"/>
        <v>0</v>
      </c>
      <c r="O809" s="43">
        <f t="shared" si="165"/>
        <v>0</v>
      </c>
      <c r="P809" s="43">
        <f t="shared" si="160"/>
        <v>4902061</v>
      </c>
      <c r="Q809" s="100"/>
      <c r="R809" s="117"/>
    </row>
    <row r="810" spans="1:18" ht="31.5" customHeight="1" x14ac:dyDescent="0.25">
      <c r="A810" s="48" t="str">
        <f t="shared" si="154"/>
        <v>HT</v>
      </c>
      <c r="B810" s="32" t="s">
        <v>1124</v>
      </c>
      <c r="C810" s="39" t="s">
        <v>312</v>
      </c>
      <c r="D810" s="13" t="s">
        <v>16</v>
      </c>
      <c r="E810" s="123">
        <v>21.8</v>
      </c>
      <c r="F810" s="136"/>
      <c r="G810" s="125"/>
      <c r="H810" s="125"/>
      <c r="I810" s="125">
        <f t="shared" si="161"/>
        <v>21.8</v>
      </c>
      <c r="J810" s="62">
        <f>'BIỂU HỢP ĐỒNG'!J773</f>
        <v>1568156</v>
      </c>
      <c r="K810" s="43"/>
      <c r="L810" s="62">
        <f t="shared" si="162"/>
        <v>34185801</v>
      </c>
      <c r="M810" s="77">
        <f t="shared" si="163"/>
        <v>0</v>
      </c>
      <c r="N810" s="43">
        <f t="shared" si="164"/>
        <v>0</v>
      </c>
      <c r="O810" s="43">
        <f t="shared" si="165"/>
        <v>0</v>
      </c>
      <c r="P810" s="43">
        <f t="shared" si="160"/>
        <v>34185801</v>
      </c>
      <c r="Q810" s="100"/>
      <c r="R810" s="117"/>
    </row>
    <row r="811" spans="1:18" ht="31.5" customHeight="1" x14ac:dyDescent="0.25">
      <c r="A811" s="48" t="str">
        <f t="shared" si="154"/>
        <v>HT</v>
      </c>
      <c r="B811" s="32" t="s">
        <v>1125</v>
      </c>
      <c r="C811" s="39" t="s">
        <v>240</v>
      </c>
      <c r="D811" s="13" t="s">
        <v>16</v>
      </c>
      <c r="E811" s="123">
        <v>16.3</v>
      </c>
      <c r="F811" s="136"/>
      <c r="G811" s="125"/>
      <c r="H811" s="125"/>
      <c r="I811" s="125">
        <f t="shared" si="161"/>
        <v>16.3</v>
      </c>
      <c r="J811" s="62">
        <f>'BIỂU HỢP ĐỒNG'!J774</f>
        <v>851305</v>
      </c>
      <c r="K811" s="43"/>
      <c r="L811" s="62">
        <f t="shared" si="162"/>
        <v>13876272</v>
      </c>
      <c r="M811" s="77">
        <f t="shared" si="163"/>
        <v>0</v>
      </c>
      <c r="N811" s="43">
        <f t="shared" si="164"/>
        <v>0</v>
      </c>
      <c r="O811" s="43">
        <f t="shared" si="165"/>
        <v>0</v>
      </c>
      <c r="P811" s="43">
        <f t="shared" si="160"/>
        <v>13876272</v>
      </c>
      <c r="Q811" s="100"/>
      <c r="R811" s="117"/>
    </row>
    <row r="812" spans="1:18" ht="31.5" customHeight="1" x14ac:dyDescent="0.25">
      <c r="A812" s="48" t="str">
        <f t="shared" si="154"/>
        <v>HT</v>
      </c>
      <c r="B812" s="32" t="s">
        <v>1126</v>
      </c>
      <c r="C812" s="39" t="s">
        <v>315</v>
      </c>
      <c r="D812" s="13" t="s">
        <v>16</v>
      </c>
      <c r="E812" s="123">
        <v>1449.24</v>
      </c>
      <c r="F812" s="136"/>
      <c r="G812" s="125"/>
      <c r="H812" s="125"/>
      <c r="I812" s="125">
        <f t="shared" si="161"/>
        <v>1449.24</v>
      </c>
      <c r="J812" s="62">
        <f>'BIỂU HỢP ĐỒNG'!J775</f>
        <v>23993</v>
      </c>
      <c r="K812" s="43"/>
      <c r="L812" s="62">
        <f t="shared" si="162"/>
        <v>34771615</v>
      </c>
      <c r="M812" s="77">
        <f t="shared" si="163"/>
        <v>0</v>
      </c>
      <c r="N812" s="43">
        <f t="shared" si="164"/>
        <v>0</v>
      </c>
      <c r="O812" s="43">
        <f t="shared" si="165"/>
        <v>0</v>
      </c>
      <c r="P812" s="43">
        <f t="shared" si="160"/>
        <v>34771615</v>
      </c>
      <c r="Q812" s="100"/>
      <c r="R812" s="117"/>
    </row>
    <row r="813" spans="1:18" ht="31.5" customHeight="1" x14ac:dyDescent="0.25">
      <c r="A813" s="48" t="str">
        <f t="shared" si="154"/>
        <v>HT</v>
      </c>
      <c r="B813" s="32" t="s">
        <v>1127</v>
      </c>
      <c r="C813" s="39" t="s">
        <v>317</v>
      </c>
      <c r="D813" s="13" t="s">
        <v>16</v>
      </c>
      <c r="E813" s="123">
        <v>4959.1099999999997</v>
      </c>
      <c r="F813" s="136"/>
      <c r="G813" s="125"/>
      <c r="H813" s="125"/>
      <c r="I813" s="125">
        <f t="shared" si="161"/>
        <v>4959.1099999999997</v>
      </c>
      <c r="J813" s="62">
        <f>'BIỂU HỢP ĐỒNG'!J776</f>
        <v>32141</v>
      </c>
      <c r="K813" s="43"/>
      <c r="L813" s="62">
        <f t="shared" si="162"/>
        <v>159390755</v>
      </c>
      <c r="M813" s="77">
        <f t="shared" si="163"/>
        <v>0</v>
      </c>
      <c r="N813" s="43">
        <f t="shared" si="164"/>
        <v>0</v>
      </c>
      <c r="O813" s="43">
        <f t="shared" si="165"/>
        <v>0</v>
      </c>
      <c r="P813" s="43">
        <f t="shared" si="160"/>
        <v>159390755</v>
      </c>
      <c r="Q813" s="100"/>
      <c r="R813" s="117"/>
    </row>
    <row r="814" spans="1:18" x14ac:dyDescent="0.25">
      <c r="A814" s="48" t="str">
        <f t="shared" si="154"/>
        <v>HT</v>
      </c>
      <c r="B814" s="32" t="s">
        <v>1128</v>
      </c>
      <c r="C814" s="39" t="s">
        <v>1129</v>
      </c>
      <c r="D814" s="13" t="s">
        <v>16</v>
      </c>
      <c r="E814" s="123">
        <v>4.7</v>
      </c>
      <c r="F814" s="136"/>
      <c r="G814" s="125"/>
      <c r="H814" s="125"/>
      <c r="I814" s="125">
        <f t="shared" si="161"/>
        <v>4.7</v>
      </c>
      <c r="J814" s="62">
        <f>'BIỂU HỢP ĐỒNG'!J777</f>
        <v>1915334</v>
      </c>
      <c r="K814" s="43"/>
      <c r="L814" s="62">
        <f t="shared" si="162"/>
        <v>9002070</v>
      </c>
      <c r="M814" s="77">
        <f t="shared" si="163"/>
        <v>0</v>
      </c>
      <c r="N814" s="43">
        <f t="shared" si="164"/>
        <v>0</v>
      </c>
      <c r="O814" s="43">
        <f t="shared" si="165"/>
        <v>0</v>
      </c>
      <c r="P814" s="43">
        <f t="shared" si="160"/>
        <v>9002070</v>
      </c>
      <c r="Q814" s="100"/>
      <c r="R814" s="117"/>
    </row>
    <row r="815" spans="1:18" x14ac:dyDescent="0.25">
      <c r="A815" s="48" t="str">
        <f t="shared" si="154"/>
        <v>HT</v>
      </c>
      <c r="B815" s="32" t="s">
        <v>1130</v>
      </c>
      <c r="C815" s="39" t="s">
        <v>319</v>
      </c>
      <c r="D815" s="13" t="s">
        <v>16</v>
      </c>
      <c r="E815" s="123">
        <v>96.2</v>
      </c>
      <c r="F815" s="136"/>
      <c r="G815" s="125"/>
      <c r="H815" s="125"/>
      <c r="I815" s="125">
        <f t="shared" si="161"/>
        <v>96.2</v>
      </c>
      <c r="J815" s="62">
        <f>'BIỂU HỢP ĐỒNG'!J778</f>
        <v>1568156</v>
      </c>
      <c r="K815" s="43"/>
      <c r="L815" s="62">
        <f t="shared" si="162"/>
        <v>150856607</v>
      </c>
      <c r="M815" s="77">
        <f t="shared" si="163"/>
        <v>0</v>
      </c>
      <c r="N815" s="43">
        <f t="shared" si="164"/>
        <v>0</v>
      </c>
      <c r="O815" s="43">
        <f t="shared" si="165"/>
        <v>0</v>
      </c>
      <c r="P815" s="43">
        <f t="shared" si="160"/>
        <v>150856607</v>
      </c>
      <c r="Q815" s="100"/>
      <c r="R815" s="117"/>
    </row>
    <row r="816" spans="1:18" ht="31.5" customHeight="1" x14ac:dyDescent="0.25">
      <c r="A816" s="48" t="str">
        <f t="shared" si="154"/>
        <v>HT</v>
      </c>
      <c r="B816" s="32" t="s">
        <v>1131</v>
      </c>
      <c r="C816" s="39" t="s">
        <v>1132</v>
      </c>
      <c r="D816" s="13" t="s">
        <v>90</v>
      </c>
      <c r="E816" s="123">
        <v>0.8</v>
      </c>
      <c r="F816" s="136"/>
      <c r="G816" s="125"/>
      <c r="H816" s="125"/>
      <c r="I816" s="125">
        <f t="shared" si="161"/>
        <v>0.8</v>
      </c>
      <c r="J816" s="62">
        <f>'BIỂU HỢP ĐỒNG'!J779</f>
        <v>25286847</v>
      </c>
      <c r="K816" s="43"/>
      <c r="L816" s="62">
        <f t="shared" si="162"/>
        <v>20229478</v>
      </c>
      <c r="M816" s="77">
        <f t="shared" si="163"/>
        <v>0</v>
      </c>
      <c r="N816" s="43">
        <f t="shared" si="164"/>
        <v>0</v>
      </c>
      <c r="O816" s="43">
        <f t="shared" si="165"/>
        <v>0</v>
      </c>
      <c r="P816" s="43">
        <f t="shared" si="160"/>
        <v>20229478</v>
      </c>
      <c r="Q816" s="100"/>
      <c r="R816" s="117"/>
    </row>
    <row r="817" spans="1:18" x14ac:dyDescent="0.25">
      <c r="A817" s="48" t="str">
        <f t="shared" si="154"/>
        <v>HT</v>
      </c>
      <c r="B817" s="32" t="s">
        <v>1133</v>
      </c>
      <c r="C817" s="39" t="s">
        <v>125</v>
      </c>
      <c r="D817" s="13" t="s">
        <v>13</v>
      </c>
      <c r="E817" s="123">
        <v>181.3</v>
      </c>
      <c r="F817" s="136"/>
      <c r="G817" s="125"/>
      <c r="H817" s="125"/>
      <c r="I817" s="125">
        <f t="shared" si="161"/>
        <v>181.3</v>
      </c>
      <c r="J817" s="62">
        <f>'BIỂU HỢP ĐỒNG'!J780</f>
        <v>104798</v>
      </c>
      <c r="K817" s="43"/>
      <c r="L817" s="62">
        <f t="shared" si="162"/>
        <v>18999877</v>
      </c>
      <c r="M817" s="77">
        <f t="shared" si="163"/>
        <v>0</v>
      </c>
      <c r="N817" s="43">
        <f t="shared" si="164"/>
        <v>0</v>
      </c>
      <c r="O817" s="43">
        <f t="shared" si="165"/>
        <v>0</v>
      </c>
      <c r="P817" s="43">
        <f t="shared" si="160"/>
        <v>18999877</v>
      </c>
      <c r="Q817" s="100"/>
      <c r="R817" s="117"/>
    </row>
    <row r="818" spans="1:18" ht="31.5" customHeight="1" x14ac:dyDescent="0.25">
      <c r="A818" s="48" t="str">
        <f t="shared" si="154"/>
        <v>HT</v>
      </c>
      <c r="B818" s="32" t="s">
        <v>1134</v>
      </c>
      <c r="C818" s="39" t="s">
        <v>240</v>
      </c>
      <c r="D818" s="13" t="s">
        <v>16</v>
      </c>
      <c r="E818" s="123">
        <v>44.8</v>
      </c>
      <c r="F818" s="136"/>
      <c r="G818" s="125"/>
      <c r="H818" s="125"/>
      <c r="I818" s="125">
        <f t="shared" si="161"/>
        <v>44.8</v>
      </c>
      <c r="J818" s="62">
        <f>'BIỂU HỢP ĐỒNG'!J781</f>
        <v>851305</v>
      </c>
      <c r="K818" s="43"/>
      <c r="L818" s="62">
        <f t="shared" si="162"/>
        <v>38138464</v>
      </c>
      <c r="M818" s="77">
        <f t="shared" si="163"/>
        <v>0</v>
      </c>
      <c r="N818" s="43">
        <f t="shared" si="164"/>
        <v>0</v>
      </c>
      <c r="O818" s="43">
        <f t="shared" si="165"/>
        <v>0</v>
      </c>
      <c r="P818" s="43">
        <f t="shared" si="160"/>
        <v>38138464</v>
      </c>
      <c r="Q818" s="100"/>
      <c r="R818" s="117"/>
    </row>
    <row r="819" spans="1:18" x14ac:dyDescent="0.25">
      <c r="A819" s="48" t="str">
        <f t="shared" si="154"/>
        <v>HT</v>
      </c>
      <c r="B819" s="32" t="s">
        <v>1135</v>
      </c>
      <c r="C819" s="39" t="s">
        <v>323</v>
      </c>
      <c r="D819" s="13" t="s">
        <v>16</v>
      </c>
      <c r="E819" s="123">
        <v>96.4</v>
      </c>
      <c r="F819" s="136"/>
      <c r="G819" s="125"/>
      <c r="H819" s="125"/>
      <c r="I819" s="125">
        <f t="shared" si="161"/>
        <v>96.4</v>
      </c>
      <c r="J819" s="62">
        <f>'BIỂU HỢP ĐỒNG'!J782</f>
        <v>1850255</v>
      </c>
      <c r="K819" s="43"/>
      <c r="L819" s="62">
        <f t="shared" si="162"/>
        <v>178364582</v>
      </c>
      <c r="M819" s="77">
        <f t="shared" si="163"/>
        <v>0</v>
      </c>
      <c r="N819" s="43">
        <f t="shared" si="164"/>
        <v>0</v>
      </c>
      <c r="O819" s="43">
        <f t="shared" si="165"/>
        <v>0</v>
      </c>
      <c r="P819" s="43">
        <f t="shared" si="160"/>
        <v>178364582</v>
      </c>
      <c r="Q819" s="100"/>
      <c r="R819" s="117"/>
    </row>
    <row r="820" spans="1:18" ht="31.5" customHeight="1" x14ac:dyDescent="0.25">
      <c r="A820" s="48" t="str">
        <f t="shared" si="154"/>
        <v>HT</v>
      </c>
      <c r="B820" s="32" t="s">
        <v>1136</v>
      </c>
      <c r="C820" s="39" t="s">
        <v>325</v>
      </c>
      <c r="D820" s="13" t="s">
        <v>13</v>
      </c>
      <c r="E820" s="123">
        <v>1014.4</v>
      </c>
      <c r="F820" s="136"/>
      <c r="G820" s="125"/>
      <c r="H820" s="125"/>
      <c r="I820" s="125">
        <f t="shared" si="161"/>
        <v>1014.4</v>
      </c>
      <c r="J820" s="62">
        <f>'BIỂU HỢP ĐỒNG'!J783</f>
        <v>96763</v>
      </c>
      <c r="K820" s="43"/>
      <c r="L820" s="62">
        <f t="shared" si="162"/>
        <v>98156387</v>
      </c>
      <c r="M820" s="77">
        <f t="shared" si="163"/>
        <v>0</v>
      </c>
      <c r="N820" s="43">
        <f t="shared" si="164"/>
        <v>0</v>
      </c>
      <c r="O820" s="43">
        <f t="shared" si="165"/>
        <v>0</v>
      </c>
      <c r="P820" s="43">
        <f t="shared" si="160"/>
        <v>98156387</v>
      </c>
      <c r="Q820" s="100"/>
      <c r="R820" s="117"/>
    </row>
    <row r="821" spans="1:18" ht="31.5" customHeight="1" x14ac:dyDescent="0.25">
      <c r="A821" s="48" t="str">
        <f t="shared" si="154"/>
        <v>HT</v>
      </c>
      <c r="B821" s="32" t="s">
        <v>1137</v>
      </c>
      <c r="C821" s="39" t="s">
        <v>1025</v>
      </c>
      <c r="D821" s="13" t="s">
        <v>75</v>
      </c>
      <c r="E821" s="123">
        <v>161</v>
      </c>
      <c r="F821" s="136"/>
      <c r="G821" s="125"/>
      <c r="H821" s="125"/>
      <c r="I821" s="125">
        <f t="shared" si="161"/>
        <v>161</v>
      </c>
      <c r="J821" s="62">
        <f>'BIỂU HỢP ĐỒNG'!J784</f>
        <v>10831</v>
      </c>
      <c r="K821" s="43"/>
      <c r="L821" s="62">
        <f t="shared" si="162"/>
        <v>1743791</v>
      </c>
      <c r="M821" s="77">
        <f t="shared" si="163"/>
        <v>0</v>
      </c>
      <c r="N821" s="43">
        <f t="shared" si="164"/>
        <v>0</v>
      </c>
      <c r="O821" s="43">
        <f t="shared" si="165"/>
        <v>0</v>
      </c>
      <c r="P821" s="43">
        <f t="shared" si="160"/>
        <v>1743791</v>
      </c>
      <c r="Q821" s="100"/>
      <c r="R821" s="117"/>
    </row>
    <row r="822" spans="1:18" x14ac:dyDescent="0.25">
      <c r="A822" s="48" t="str">
        <f t="shared" si="154"/>
        <v>HT</v>
      </c>
      <c r="B822" s="32" t="s">
        <v>1138</v>
      </c>
      <c r="C822" s="39" t="s">
        <v>329</v>
      </c>
      <c r="D822" s="13" t="s">
        <v>16</v>
      </c>
      <c r="E822" s="123">
        <v>1.58</v>
      </c>
      <c r="F822" s="136"/>
      <c r="G822" s="125"/>
      <c r="H822" s="125"/>
      <c r="I822" s="125">
        <f t="shared" si="161"/>
        <v>1.58</v>
      </c>
      <c r="J822" s="62">
        <f>'BIỂU HỢP ĐỒNG'!J785</f>
        <v>2087940</v>
      </c>
      <c r="K822" s="43"/>
      <c r="L822" s="62">
        <f t="shared" si="162"/>
        <v>3298945</v>
      </c>
      <c r="M822" s="77">
        <f t="shared" si="163"/>
        <v>0</v>
      </c>
      <c r="N822" s="43">
        <f t="shared" si="164"/>
        <v>0</v>
      </c>
      <c r="O822" s="43">
        <f t="shared" si="165"/>
        <v>0</v>
      </c>
      <c r="P822" s="43">
        <f t="shared" si="160"/>
        <v>3298945</v>
      </c>
      <c r="Q822" s="100"/>
      <c r="R822" s="117"/>
    </row>
    <row r="823" spans="1:18" x14ac:dyDescent="0.25">
      <c r="A823" s="48" t="str">
        <f t="shared" si="154"/>
        <v>HT</v>
      </c>
      <c r="B823" s="32" t="s">
        <v>1139</v>
      </c>
      <c r="C823" s="39" t="s">
        <v>125</v>
      </c>
      <c r="D823" s="13" t="s">
        <v>13</v>
      </c>
      <c r="E823" s="123">
        <v>13.39</v>
      </c>
      <c r="F823" s="136"/>
      <c r="G823" s="125"/>
      <c r="H823" s="125"/>
      <c r="I823" s="125">
        <f t="shared" si="161"/>
        <v>13.39</v>
      </c>
      <c r="J823" s="62">
        <f>'BIỂU HỢP ĐỒNG'!J786</f>
        <v>104798</v>
      </c>
      <c r="K823" s="43"/>
      <c r="L823" s="62">
        <f t="shared" si="162"/>
        <v>1403245</v>
      </c>
      <c r="M823" s="77">
        <f t="shared" si="163"/>
        <v>0</v>
      </c>
      <c r="N823" s="43">
        <f t="shared" si="164"/>
        <v>0</v>
      </c>
      <c r="O823" s="43">
        <f t="shared" si="165"/>
        <v>0</v>
      </c>
      <c r="P823" s="43">
        <f t="shared" si="160"/>
        <v>1403245</v>
      </c>
      <c r="Q823" s="100"/>
      <c r="R823" s="117"/>
    </row>
    <row r="824" spans="1:18" ht="31.5" customHeight="1" x14ac:dyDescent="0.25">
      <c r="A824" s="48" t="str">
        <f t="shared" si="154"/>
        <v>HT</v>
      </c>
      <c r="B824" s="32" t="s">
        <v>1140</v>
      </c>
      <c r="C824" s="39" t="s">
        <v>332</v>
      </c>
      <c r="D824" s="13" t="s">
        <v>90</v>
      </c>
      <c r="E824" s="123">
        <v>0.16</v>
      </c>
      <c r="F824" s="136"/>
      <c r="G824" s="125"/>
      <c r="H824" s="125"/>
      <c r="I824" s="125">
        <f t="shared" si="161"/>
        <v>0.16</v>
      </c>
      <c r="J824" s="62">
        <f>'BIỂU HỢP ĐỒNG'!J787</f>
        <v>26211154</v>
      </c>
      <c r="K824" s="43"/>
      <c r="L824" s="62">
        <f t="shared" si="162"/>
        <v>4193785</v>
      </c>
      <c r="M824" s="77">
        <f t="shared" si="163"/>
        <v>0</v>
      </c>
      <c r="N824" s="43">
        <f t="shared" si="164"/>
        <v>0</v>
      </c>
      <c r="O824" s="43">
        <f t="shared" si="165"/>
        <v>0</v>
      </c>
      <c r="P824" s="43">
        <f t="shared" si="160"/>
        <v>4193785</v>
      </c>
      <c r="Q824" s="100"/>
      <c r="R824" s="117"/>
    </row>
    <row r="825" spans="1:18" s="22" customFormat="1" ht="47.25" customHeight="1" x14ac:dyDescent="0.25">
      <c r="A825" s="48" t="str">
        <f t="shared" ref="A825:A888" si="166">A824</f>
        <v>HT</v>
      </c>
      <c r="B825" s="29">
        <v>12</v>
      </c>
      <c r="C825" s="12" t="s">
        <v>1141</v>
      </c>
      <c r="D825" s="79"/>
      <c r="E825" s="123"/>
      <c r="F825" s="136"/>
      <c r="G825" s="125"/>
      <c r="H825" s="125"/>
      <c r="I825" s="125"/>
      <c r="J825" s="62"/>
      <c r="K825" s="43"/>
      <c r="L825" s="62"/>
      <c r="M825" s="77"/>
      <c r="N825" s="43"/>
      <c r="O825" s="43"/>
      <c r="P825" s="43">
        <f t="shared" si="160"/>
        <v>0</v>
      </c>
      <c r="Q825" s="100"/>
      <c r="R825" s="117"/>
    </row>
    <row r="826" spans="1:18" ht="31.5" customHeight="1" x14ac:dyDescent="0.25">
      <c r="A826" s="48" t="str">
        <f t="shared" si="166"/>
        <v>HT</v>
      </c>
      <c r="B826" s="32" t="s">
        <v>1142</v>
      </c>
      <c r="C826" s="39" t="s">
        <v>510</v>
      </c>
      <c r="D826" s="13" t="s">
        <v>13</v>
      </c>
      <c r="E826" s="123">
        <v>2599</v>
      </c>
      <c r="F826" s="136"/>
      <c r="G826" s="125"/>
      <c r="H826" s="125"/>
      <c r="I826" s="125">
        <f t="shared" ref="I826:I846" si="167">SUM(E826:H826)</f>
        <v>2599</v>
      </c>
      <c r="J826" s="62">
        <f>'BIỂU HỢP ĐỒNG'!J789</f>
        <v>519576</v>
      </c>
      <c r="K826" s="43"/>
      <c r="L826" s="62">
        <f t="shared" ref="L826:L846" si="168">+ROUND(J826*E826,0)</f>
        <v>1350378024</v>
      </c>
      <c r="M826" s="77">
        <f t="shared" ref="M826:M846" si="169">+ROUND(F826*J826,0)</f>
        <v>0</v>
      </c>
      <c r="N826" s="43">
        <f t="shared" ref="N826:N846" si="170">+ROUND(G826*J826,0)</f>
        <v>0</v>
      </c>
      <c r="O826" s="43">
        <f t="shared" ref="O826:O846" si="171">+ROUND(H826*J826,0)</f>
        <v>0</v>
      </c>
      <c r="P826" s="43">
        <f t="shared" ref="P826:P889" si="172">SUM(L826:O826)</f>
        <v>1350378024</v>
      </c>
      <c r="Q826" s="100"/>
      <c r="R826" s="117"/>
    </row>
    <row r="827" spans="1:18" x14ac:dyDescent="0.25">
      <c r="A827" s="48" t="str">
        <f t="shared" si="166"/>
        <v>HT</v>
      </c>
      <c r="B827" s="32" t="s">
        <v>1143</v>
      </c>
      <c r="C827" s="39" t="s">
        <v>512</v>
      </c>
      <c r="D827" s="13" t="s">
        <v>13</v>
      </c>
      <c r="E827" s="123">
        <v>136.82</v>
      </c>
      <c r="F827" s="136"/>
      <c r="G827" s="125"/>
      <c r="H827" s="125"/>
      <c r="I827" s="125">
        <f t="shared" si="167"/>
        <v>136.82</v>
      </c>
      <c r="J827" s="62">
        <f>'BIỂU HỢP ĐỒNG'!J790</f>
        <v>1113651</v>
      </c>
      <c r="K827" s="43"/>
      <c r="L827" s="62">
        <f t="shared" si="168"/>
        <v>152369730</v>
      </c>
      <c r="M827" s="77">
        <f t="shared" si="169"/>
        <v>0</v>
      </c>
      <c r="N827" s="43">
        <f t="shared" si="170"/>
        <v>0</v>
      </c>
      <c r="O827" s="43">
        <f t="shared" si="171"/>
        <v>0</v>
      </c>
      <c r="P827" s="43">
        <f t="shared" si="172"/>
        <v>152369730</v>
      </c>
      <c r="Q827" s="100"/>
      <c r="R827" s="117"/>
    </row>
    <row r="828" spans="1:18" ht="31.5" customHeight="1" x14ac:dyDescent="0.25">
      <c r="A828" s="48" t="str">
        <f t="shared" si="166"/>
        <v>HT</v>
      </c>
      <c r="B828" s="32" t="s">
        <v>1144</v>
      </c>
      <c r="C828" s="39" t="s">
        <v>514</v>
      </c>
      <c r="D828" s="13" t="s">
        <v>515</v>
      </c>
      <c r="E828" s="123">
        <v>94</v>
      </c>
      <c r="F828" s="136"/>
      <c r="G828" s="125"/>
      <c r="H828" s="125"/>
      <c r="I828" s="125">
        <f t="shared" si="167"/>
        <v>94</v>
      </c>
      <c r="J828" s="62">
        <f>'BIỂU HỢP ĐỒNG'!J791</f>
        <v>56885</v>
      </c>
      <c r="K828" s="43"/>
      <c r="L828" s="62">
        <f t="shared" si="168"/>
        <v>5347190</v>
      </c>
      <c r="M828" s="77">
        <f t="shared" si="169"/>
        <v>0</v>
      </c>
      <c r="N828" s="43">
        <f t="shared" si="170"/>
        <v>0</v>
      </c>
      <c r="O828" s="43">
        <f t="shared" si="171"/>
        <v>0</v>
      </c>
      <c r="P828" s="43">
        <f t="shared" si="172"/>
        <v>5347190</v>
      </c>
      <c r="Q828" s="100"/>
      <c r="R828" s="117"/>
    </row>
    <row r="829" spans="1:18" ht="47.25" customHeight="1" x14ac:dyDescent="0.25">
      <c r="A829" s="48" t="str">
        <f t="shared" si="166"/>
        <v>HT</v>
      </c>
      <c r="B829" s="32" t="s">
        <v>1145</v>
      </c>
      <c r="C829" s="39" t="s">
        <v>517</v>
      </c>
      <c r="D829" s="13" t="s">
        <v>258</v>
      </c>
      <c r="E829" s="123">
        <v>44</v>
      </c>
      <c r="F829" s="136"/>
      <c r="G829" s="125"/>
      <c r="H829" s="125"/>
      <c r="I829" s="125">
        <f t="shared" si="167"/>
        <v>44</v>
      </c>
      <c r="J829" s="62">
        <f>'BIỂU HỢP ĐỒNG'!J792</f>
        <v>305237</v>
      </c>
      <c r="K829" s="43"/>
      <c r="L829" s="62">
        <f t="shared" si="168"/>
        <v>13430428</v>
      </c>
      <c r="M829" s="77">
        <f t="shared" si="169"/>
        <v>0</v>
      </c>
      <c r="N829" s="43">
        <f t="shared" si="170"/>
        <v>0</v>
      </c>
      <c r="O829" s="43">
        <f t="shared" si="171"/>
        <v>0</v>
      </c>
      <c r="P829" s="43">
        <f t="shared" si="172"/>
        <v>13430428</v>
      </c>
      <c r="Q829" s="100"/>
      <c r="R829" s="117"/>
    </row>
    <row r="830" spans="1:18" ht="47.25" customHeight="1" x14ac:dyDescent="0.25">
      <c r="A830" s="48" t="str">
        <f t="shared" si="166"/>
        <v>HT</v>
      </c>
      <c r="B830" s="32" t="s">
        <v>1146</v>
      </c>
      <c r="C830" s="39" t="s">
        <v>519</v>
      </c>
      <c r="D830" s="13" t="s">
        <v>258</v>
      </c>
      <c r="E830" s="123">
        <v>33</v>
      </c>
      <c r="F830" s="136"/>
      <c r="G830" s="125"/>
      <c r="H830" s="125"/>
      <c r="I830" s="125">
        <f t="shared" si="167"/>
        <v>33</v>
      </c>
      <c r="J830" s="62">
        <f>'BIỂU HỢP ĐỒNG'!J793</f>
        <v>320389</v>
      </c>
      <c r="K830" s="43"/>
      <c r="L830" s="62">
        <f t="shared" si="168"/>
        <v>10572837</v>
      </c>
      <c r="M830" s="77">
        <f t="shared" si="169"/>
        <v>0</v>
      </c>
      <c r="N830" s="43">
        <f t="shared" si="170"/>
        <v>0</v>
      </c>
      <c r="O830" s="43">
        <f t="shared" si="171"/>
        <v>0</v>
      </c>
      <c r="P830" s="43">
        <f t="shared" si="172"/>
        <v>10572837</v>
      </c>
      <c r="Q830" s="100"/>
      <c r="R830" s="117"/>
    </row>
    <row r="831" spans="1:18" ht="47.25" customHeight="1" x14ac:dyDescent="0.25">
      <c r="A831" s="48" t="str">
        <f t="shared" si="166"/>
        <v>HT</v>
      </c>
      <c r="B831" s="32" t="s">
        <v>1147</v>
      </c>
      <c r="C831" s="39" t="s">
        <v>521</v>
      </c>
      <c r="D831" s="13" t="s">
        <v>258</v>
      </c>
      <c r="E831" s="123">
        <v>10</v>
      </c>
      <c r="F831" s="136"/>
      <c r="G831" s="125"/>
      <c r="H831" s="125"/>
      <c r="I831" s="125">
        <f t="shared" si="167"/>
        <v>10</v>
      </c>
      <c r="J831" s="62">
        <f>'BIỂU HỢP ĐỒNG'!J794</f>
        <v>314327</v>
      </c>
      <c r="K831" s="43"/>
      <c r="L831" s="62">
        <f t="shared" si="168"/>
        <v>3143270</v>
      </c>
      <c r="M831" s="77">
        <f t="shared" si="169"/>
        <v>0</v>
      </c>
      <c r="N831" s="43">
        <f t="shared" si="170"/>
        <v>0</v>
      </c>
      <c r="O831" s="43">
        <f t="shared" si="171"/>
        <v>0</v>
      </c>
      <c r="P831" s="43">
        <f t="shared" si="172"/>
        <v>3143270</v>
      </c>
      <c r="Q831" s="100"/>
      <c r="R831" s="117"/>
    </row>
    <row r="832" spans="1:18" ht="47.25" customHeight="1" x14ac:dyDescent="0.25">
      <c r="A832" s="48" t="str">
        <f t="shared" si="166"/>
        <v>HT</v>
      </c>
      <c r="B832" s="32" t="s">
        <v>1148</v>
      </c>
      <c r="C832" s="39" t="s">
        <v>1149</v>
      </c>
      <c r="D832" s="13" t="s">
        <v>258</v>
      </c>
      <c r="E832" s="123">
        <v>1</v>
      </c>
      <c r="F832" s="136"/>
      <c r="G832" s="125"/>
      <c r="H832" s="125"/>
      <c r="I832" s="125">
        <f t="shared" si="167"/>
        <v>1</v>
      </c>
      <c r="J832" s="62">
        <f>'BIỂU HỢP ĐỒNG'!J795</f>
        <v>314327</v>
      </c>
      <c r="K832" s="43"/>
      <c r="L832" s="62">
        <f t="shared" si="168"/>
        <v>314327</v>
      </c>
      <c r="M832" s="77">
        <f t="shared" si="169"/>
        <v>0</v>
      </c>
      <c r="N832" s="43">
        <f t="shared" si="170"/>
        <v>0</v>
      </c>
      <c r="O832" s="43">
        <f t="shared" si="171"/>
        <v>0</v>
      </c>
      <c r="P832" s="43">
        <f t="shared" si="172"/>
        <v>314327</v>
      </c>
      <c r="Q832" s="100"/>
      <c r="R832" s="117"/>
    </row>
    <row r="833" spans="1:18" ht="47.25" customHeight="1" x14ac:dyDescent="0.25">
      <c r="A833" s="48" t="str">
        <f t="shared" si="166"/>
        <v>HT</v>
      </c>
      <c r="B833" s="32" t="s">
        <v>1150</v>
      </c>
      <c r="C833" s="39" t="s">
        <v>523</v>
      </c>
      <c r="D833" s="13" t="s">
        <v>258</v>
      </c>
      <c r="E833" s="123">
        <v>3</v>
      </c>
      <c r="F833" s="136"/>
      <c r="G833" s="125"/>
      <c r="H833" s="125"/>
      <c r="I833" s="125">
        <f t="shared" si="167"/>
        <v>3</v>
      </c>
      <c r="J833" s="62">
        <f>'BIỂU HỢP ĐỒNG'!J796</f>
        <v>314327</v>
      </c>
      <c r="K833" s="43"/>
      <c r="L833" s="62">
        <f t="shared" si="168"/>
        <v>942981</v>
      </c>
      <c r="M833" s="77">
        <f t="shared" si="169"/>
        <v>0</v>
      </c>
      <c r="N833" s="43">
        <f t="shared" si="170"/>
        <v>0</v>
      </c>
      <c r="O833" s="43">
        <f t="shared" si="171"/>
        <v>0</v>
      </c>
      <c r="P833" s="43">
        <f t="shared" si="172"/>
        <v>942981</v>
      </c>
      <c r="Q833" s="100"/>
      <c r="R833" s="117"/>
    </row>
    <row r="834" spans="1:18" x14ac:dyDescent="0.25">
      <c r="A834" s="48" t="str">
        <f t="shared" si="166"/>
        <v>HT</v>
      </c>
      <c r="B834" s="32" t="s">
        <v>1151</v>
      </c>
      <c r="C834" s="39" t="s">
        <v>527</v>
      </c>
      <c r="D834" s="13" t="s">
        <v>258</v>
      </c>
      <c r="E834" s="123">
        <v>44</v>
      </c>
      <c r="F834" s="136"/>
      <c r="G834" s="125"/>
      <c r="H834" s="125"/>
      <c r="I834" s="125">
        <f t="shared" si="167"/>
        <v>44</v>
      </c>
      <c r="J834" s="62">
        <f>'BIỂU HỢP ĐỒNG'!J797</f>
        <v>492731</v>
      </c>
      <c r="K834" s="43"/>
      <c r="L834" s="62">
        <f t="shared" si="168"/>
        <v>21680164</v>
      </c>
      <c r="M834" s="77">
        <f t="shared" si="169"/>
        <v>0</v>
      </c>
      <c r="N834" s="43">
        <f t="shared" si="170"/>
        <v>0</v>
      </c>
      <c r="O834" s="43">
        <f t="shared" si="171"/>
        <v>0</v>
      </c>
      <c r="P834" s="43">
        <f t="shared" si="172"/>
        <v>21680164</v>
      </c>
      <c r="Q834" s="100"/>
      <c r="R834" s="117"/>
    </row>
    <row r="835" spans="1:18" x14ac:dyDescent="0.25">
      <c r="A835" s="48" t="str">
        <f t="shared" si="166"/>
        <v>HT</v>
      </c>
      <c r="B835" s="32" t="s">
        <v>1152</v>
      </c>
      <c r="C835" s="39" t="s">
        <v>529</v>
      </c>
      <c r="D835" s="13" t="s">
        <v>258</v>
      </c>
      <c r="E835" s="123">
        <v>33</v>
      </c>
      <c r="F835" s="136"/>
      <c r="G835" s="125"/>
      <c r="H835" s="125"/>
      <c r="I835" s="125">
        <f t="shared" si="167"/>
        <v>33</v>
      </c>
      <c r="J835" s="62">
        <f>'BIỂU HỢP ĐỒNG'!J798</f>
        <v>1021897</v>
      </c>
      <c r="K835" s="43"/>
      <c r="L835" s="62">
        <f t="shared" si="168"/>
        <v>33722601</v>
      </c>
      <c r="M835" s="77">
        <f t="shared" si="169"/>
        <v>0</v>
      </c>
      <c r="N835" s="43">
        <f t="shared" si="170"/>
        <v>0</v>
      </c>
      <c r="O835" s="43">
        <f t="shared" si="171"/>
        <v>0</v>
      </c>
      <c r="P835" s="43">
        <f t="shared" si="172"/>
        <v>33722601</v>
      </c>
      <c r="Q835" s="100"/>
      <c r="R835" s="117"/>
    </row>
    <row r="836" spans="1:18" x14ac:dyDescent="0.25">
      <c r="A836" s="48" t="str">
        <f t="shared" si="166"/>
        <v>HT</v>
      </c>
      <c r="B836" s="32" t="s">
        <v>1153</v>
      </c>
      <c r="C836" s="39" t="s">
        <v>531</v>
      </c>
      <c r="D836" s="13" t="s">
        <v>258</v>
      </c>
      <c r="E836" s="123">
        <v>10</v>
      </c>
      <c r="F836" s="136"/>
      <c r="G836" s="125"/>
      <c r="H836" s="125"/>
      <c r="I836" s="125">
        <f t="shared" si="167"/>
        <v>10</v>
      </c>
      <c r="J836" s="62">
        <f>'BIỂU HỢP ĐỒNG'!J799</f>
        <v>1021897</v>
      </c>
      <c r="K836" s="43"/>
      <c r="L836" s="62">
        <f t="shared" si="168"/>
        <v>10218970</v>
      </c>
      <c r="M836" s="77">
        <f t="shared" si="169"/>
        <v>0</v>
      </c>
      <c r="N836" s="43">
        <f t="shared" si="170"/>
        <v>0</v>
      </c>
      <c r="O836" s="43">
        <f t="shared" si="171"/>
        <v>0</v>
      </c>
      <c r="P836" s="43">
        <f t="shared" si="172"/>
        <v>10218970</v>
      </c>
      <c r="Q836" s="100"/>
      <c r="R836" s="117"/>
    </row>
    <row r="837" spans="1:18" x14ac:dyDescent="0.25">
      <c r="A837" s="48" t="str">
        <f t="shared" si="166"/>
        <v>HT</v>
      </c>
      <c r="B837" s="32" t="s">
        <v>1154</v>
      </c>
      <c r="C837" s="39" t="s">
        <v>1155</v>
      </c>
      <c r="D837" s="13" t="s">
        <v>258</v>
      </c>
      <c r="E837" s="123">
        <v>1</v>
      </c>
      <c r="F837" s="136"/>
      <c r="G837" s="125"/>
      <c r="H837" s="125"/>
      <c r="I837" s="125">
        <f t="shared" si="167"/>
        <v>1</v>
      </c>
      <c r="J837" s="62">
        <f>'BIỂU HỢP ĐỒNG'!J800</f>
        <v>1021897</v>
      </c>
      <c r="K837" s="43"/>
      <c r="L837" s="62">
        <f t="shared" si="168"/>
        <v>1021897</v>
      </c>
      <c r="M837" s="77">
        <f t="shared" si="169"/>
        <v>0</v>
      </c>
      <c r="N837" s="43">
        <f t="shared" si="170"/>
        <v>0</v>
      </c>
      <c r="O837" s="43">
        <f t="shared" si="171"/>
        <v>0</v>
      </c>
      <c r="P837" s="43">
        <f t="shared" si="172"/>
        <v>1021897</v>
      </c>
      <c r="Q837" s="100"/>
      <c r="R837" s="117"/>
    </row>
    <row r="838" spans="1:18" x14ac:dyDescent="0.25">
      <c r="A838" s="48" t="str">
        <f t="shared" si="166"/>
        <v>HT</v>
      </c>
      <c r="B838" s="32" t="s">
        <v>1156</v>
      </c>
      <c r="C838" s="39" t="s">
        <v>535</v>
      </c>
      <c r="D838" s="13" t="s">
        <v>258</v>
      </c>
      <c r="E838" s="123">
        <v>3</v>
      </c>
      <c r="F838" s="136"/>
      <c r="G838" s="125"/>
      <c r="H838" s="125"/>
      <c r="I838" s="125">
        <f t="shared" si="167"/>
        <v>3</v>
      </c>
      <c r="J838" s="62">
        <f>'BIỂU HỢP ĐỒNG'!J801</f>
        <v>804708</v>
      </c>
      <c r="K838" s="43"/>
      <c r="L838" s="62">
        <f t="shared" si="168"/>
        <v>2414124</v>
      </c>
      <c r="M838" s="77">
        <f t="shared" si="169"/>
        <v>0</v>
      </c>
      <c r="N838" s="43">
        <f t="shared" si="170"/>
        <v>0</v>
      </c>
      <c r="O838" s="43">
        <f t="shared" si="171"/>
        <v>0</v>
      </c>
      <c r="P838" s="43">
        <f t="shared" si="172"/>
        <v>2414124</v>
      </c>
      <c r="Q838" s="100"/>
      <c r="R838" s="117"/>
    </row>
    <row r="839" spans="1:18" x14ac:dyDescent="0.25">
      <c r="A839" s="48" t="str">
        <f t="shared" si="166"/>
        <v>HT</v>
      </c>
      <c r="B839" s="32" t="s">
        <v>1157</v>
      </c>
      <c r="C839" s="39" t="s">
        <v>537</v>
      </c>
      <c r="D839" s="13" t="s">
        <v>75</v>
      </c>
      <c r="E839" s="123">
        <v>275</v>
      </c>
      <c r="F839" s="136"/>
      <c r="G839" s="125"/>
      <c r="H839" s="125"/>
      <c r="I839" s="125">
        <f t="shared" si="167"/>
        <v>275</v>
      </c>
      <c r="J839" s="62">
        <f>'BIỂU HỢP ĐỒNG'!J802</f>
        <v>171892</v>
      </c>
      <c r="K839" s="43"/>
      <c r="L839" s="62">
        <f t="shared" si="168"/>
        <v>47270300</v>
      </c>
      <c r="M839" s="77">
        <f t="shared" si="169"/>
        <v>0</v>
      </c>
      <c r="N839" s="43">
        <f t="shared" si="170"/>
        <v>0</v>
      </c>
      <c r="O839" s="43">
        <f t="shared" si="171"/>
        <v>0</v>
      </c>
      <c r="P839" s="43">
        <f t="shared" si="172"/>
        <v>47270300</v>
      </c>
      <c r="Q839" s="100"/>
      <c r="R839" s="117"/>
    </row>
    <row r="840" spans="1:18" x14ac:dyDescent="0.25">
      <c r="A840" s="48" t="str">
        <f t="shared" si="166"/>
        <v>HT</v>
      </c>
      <c r="B840" s="32" t="s">
        <v>1158</v>
      </c>
      <c r="C840" s="39" t="s">
        <v>1159</v>
      </c>
      <c r="D840" s="13" t="s">
        <v>1160</v>
      </c>
      <c r="E840" s="123">
        <v>4.3499999999999996</v>
      </c>
      <c r="F840" s="136"/>
      <c r="G840" s="125"/>
      <c r="H840" s="125"/>
      <c r="I840" s="125">
        <f t="shared" si="167"/>
        <v>4.3499999999999996</v>
      </c>
      <c r="J840" s="62">
        <f>'BIỂU HỢP ĐỒNG'!J803</f>
        <v>9382399</v>
      </c>
      <c r="K840" s="43"/>
      <c r="L840" s="62">
        <f t="shared" si="168"/>
        <v>40813436</v>
      </c>
      <c r="M840" s="77">
        <f t="shared" si="169"/>
        <v>0</v>
      </c>
      <c r="N840" s="43">
        <f t="shared" si="170"/>
        <v>0</v>
      </c>
      <c r="O840" s="43">
        <f t="shared" si="171"/>
        <v>0</v>
      </c>
      <c r="P840" s="43">
        <f t="shared" si="172"/>
        <v>40813436</v>
      </c>
      <c r="Q840" s="100"/>
      <c r="R840" s="117"/>
    </row>
    <row r="841" spans="1:18" x14ac:dyDescent="0.25">
      <c r="A841" s="48" t="str">
        <f t="shared" si="166"/>
        <v>HT</v>
      </c>
      <c r="B841" s="32" t="s">
        <v>1161</v>
      </c>
      <c r="C841" s="39" t="s">
        <v>1162</v>
      </c>
      <c r="D841" s="13" t="s">
        <v>75</v>
      </c>
      <c r="E841" s="123">
        <v>435</v>
      </c>
      <c r="F841" s="136"/>
      <c r="G841" s="125"/>
      <c r="H841" s="125"/>
      <c r="I841" s="125">
        <f t="shared" si="167"/>
        <v>435</v>
      </c>
      <c r="J841" s="62">
        <f>'BIỂU HỢP ĐỒNG'!J804</f>
        <v>856508</v>
      </c>
      <c r="K841" s="43"/>
      <c r="L841" s="62">
        <f t="shared" si="168"/>
        <v>372580980</v>
      </c>
      <c r="M841" s="77">
        <f t="shared" si="169"/>
        <v>0</v>
      </c>
      <c r="N841" s="43">
        <f t="shared" si="170"/>
        <v>0</v>
      </c>
      <c r="O841" s="43">
        <f t="shared" si="171"/>
        <v>0</v>
      </c>
      <c r="P841" s="43">
        <f t="shared" si="172"/>
        <v>372580980</v>
      </c>
      <c r="Q841" s="100"/>
      <c r="R841" s="117"/>
    </row>
    <row r="842" spans="1:18" x14ac:dyDescent="0.25">
      <c r="A842" s="48" t="str">
        <f t="shared" si="166"/>
        <v>HT</v>
      </c>
      <c r="B842" s="32" t="s">
        <v>1163</v>
      </c>
      <c r="C842" s="39" t="s">
        <v>539</v>
      </c>
      <c r="D842" s="13" t="s">
        <v>258</v>
      </c>
      <c r="E842" s="123">
        <v>2</v>
      </c>
      <c r="F842" s="136"/>
      <c r="G842" s="125"/>
      <c r="H842" s="125"/>
      <c r="I842" s="125">
        <f t="shared" si="167"/>
        <v>2</v>
      </c>
      <c r="J842" s="62">
        <f>'BIỂU HỢP ĐỒNG'!J805</f>
        <v>383011</v>
      </c>
      <c r="K842" s="43"/>
      <c r="L842" s="62">
        <f t="shared" si="168"/>
        <v>766022</v>
      </c>
      <c r="M842" s="77">
        <f t="shared" si="169"/>
        <v>0</v>
      </c>
      <c r="N842" s="43">
        <f t="shared" si="170"/>
        <v>0</v>
      </c>
      <c r="O842" s="43">
        <f t="shared" si="171"/>
        <v>0</v>
      </c>
      <c r="P842" s="43">
        <f t="shared" si="172"/>
        <v>766022</v>
      </c>
      <c r="Q842" s="100"/>
      <c r="R842" s="117"/>
    </row>
    <row r="843" spans="1:18" x14ac:dyDescent="0.25">
      <c r="A843" s="48" t="str">
        <f t="shared" si="166"/>
        <v>HT</v>
      </c>
      <c r="B843" s="32" t="s">
        <v>1164</v>
      </c>
      <c r="C843" s="39" t="s">
        <v>541</v>
      </c>
      <c r="D843" s="13" t="s">
        <v>258</v>
      </c>
      <c r="E843" s="123">
        <v>21</v>
      </c>
      <c r="F843" s="136"/>
      <c r="G843" s="125"/>
      <c r="H843" s="125"/>
      <c r="I843" s="125">
        <f t="shared" si="167"/>
        <v>21</v>
      </c>
      <c r="J843" s="62">
        <f>'BIỂU HỢP ĐỒNG'!J806</f>
        <v>308087</v>
      </c>
      <c r="K843" s="43"/>
      <c r="L843" s="62">
        <f t="shared" si="168"/>
        <v>6469827</v>
      </c>
      <c r="M843" s="77">
        <f t="shared" si="169"/>
        <v>0</v>
      </c>
      <c r="N843" s="43">
        <f t="shared" si="170"/>
        <v>0</v>
      </c>
      <c r="O843" s="43">
        <f t="shared" si="171"/>
        <v>0</v>
      </c>
      <c r="P843" s="43">
        <f t="shared" si="172"/>
        <v>6469827</v>
      </c>
      <c r="Q843" s="100"/>
      <c r="R843" s="117"/>
    </row>
    <row r="844" spans="1:18" x14ac:dyDescent="0.25">
      <c r="A844" s="48" t="str">
        <f t="shared" si="166"/>
        <v>HT</v>
      </c>
      <c r="B844" s="32" t="s">
        <v>1165</v>
      </c>
      <c r="C844" s="39" t="s">
        <v>1166</v>
      </c>
      <c r="D844" s="13" t="s">
        <v>515</v>
      </c>
      <c r="E844" s="123">
        <v>1</v>
      </c>
      <c r="F844" s="136"/>
      <c r="G844" s="125"/>
      <c r="H844" s="125"/>
      <c r="I844" s="125">
        <f t="shared" si="167"/>
        <v>1</v>
      </c>
      <c r="J844" s="62">
        <f>'BIỂU HỢP ĐỒNG'!J807</f>
        <v>40152</v>
      </c>
      <c r="K844" s="43"/>
      <c r="L844" s="62">
        <f t="shared" si="168"/>
        <v>40152</v>
      </c>
      <c r="M844" s="77">
        <f t="shared" si="169"/>
        <v>0</v>
      </c>
      <c r="N844" s="43">
        <f t="shared" si="170"/>
        <v>0</v>
      </c>
      <c r="O844" s="43">
        <f t="shared" si="171"/>
        <v>0</v>
      </c>
      <c r="P844" s="43">
        <f t="shared" si="172"/>
        <v>40152</v>
      </c>
      <c r="Q844" s="100"/>
      <c r="R844" s="117"/>
    </row>
    <row r="845" spans="1:18" x14ac:dyDescent="0.25">
      <c r="A845" s="48" t="str">
        <f t="shared" si="166"/>
        <v>HT</v>
      </c>
      <c r="B845" s="32" t="s">
        <v>1167</v>
      </c>
      <c r="C845" s="39" t="s">
        <v>543</v>
      </c>
      <c r="D845" s="13" t="s">
        <v>258</v>
      </c>
      <c r="E845" s="123">
        <v>359</v>
      </c>
      <c r="F845" s="136"/>
      <c r="G845" s="125"/>
      <c r="H845" s="125"/>
      <c r="I845" s="125">
        <f t="shared" si="167"/>
        <v>359</v>
      </c>
      <c r="J845" s="62">
        <f>'BIỂU HỢP ĐỒNG'!J808</f>
        <v>266456</v>
      </c>
      <c r="K845" s="43"/>
      <c r="L845" s="62">
        <f t="shared" si="168"/>
        <v>95657704</v>
      </c>
      <c r="M845" s="77">
        <f t="shared" si="169"/>
        <v>0</v>
      </c>
      <c r="N845" s="43">
        <f t="shared" si="170"/>
        <v>0</v>
      </c>
      <c r="O845" s="43">
        <f t="shared" si="171"/>
        <v>0</v>
      </c>
      <c r="P845" s="43">
        <f t="shared" si="172"/>
        <v>95657704</v>
      </c>
      <c r="Q845" s="100"/>
      <c r="R845" s="117"/>
    </row>
    <row r="846" spans="1:18" x14ac:dyDescent="0.25">
      <c r="A846" s="48" t="str">
        <f t="shared" si="166"/>
        <v>HT</v>
      </c>
      <c r="B846" s="32" t="s">
        <v>1168</v>
      </c>
      <c r="C846" s="39" t="s">
        <v>545</v>
      </c>
      <c r="D846" s="13" t="s">
        <v>258</v>
      </c>
      <c r="E846" s="123">
        <v>89</v>
      </c>
      <c r="F846" s="136"/>
      <c r="G846" s="125"/>
      <c r="H846" s="125"/>
      <c r="I846" s="125">
        <f t="shared" si="167"/>
        <v>89</v>
      </c>
      <c r="J846" s="62">
        <f>'BIỂU HỢP ĐỒNG'!J809</f>
        <v>50931</v>
      </c>
      <c r="K846" s="43"/>
      <c r="L846" s="62">
        <f t="shared" si="168"/>
        <v>4532859</v>
      </c>
      <c r="M846" s="77">
        <f t="shared" si="169"/>
        <v>0</v>
      </c>
      <c r="N846" s="43">
        <f t="shared" si="170"/>
        <v>0</v>
      </c>
      <c r="O846" s="43">
        <f t="shared" si="171"/>
        <v>0</v>
      </c>
      <c r="P846" s="43">
        <f t="shared" si="172"/>
        <v>4532859</v>
      </c>
      <c r="Q846" s="100"/>
      <c r="R846" s="117"/>
    </row>
    <row r="847" spans="1:18" s="22" customFormat="1" ht="31.5" customHeight="1" x14ac:dyDescent="0.25">
      <c r="A847" s="48" t="str">
        <f t="shared" si="166"/>
        <v>HT</v>
      </c>
      <c r="B847" s="29">
        <v>13</v>
      </c>
      <c r="C847" s="12" t="s">
        <v>1169</v>
      </c>
      <c r="D847" s="79"/>
      <c r="E847" s="123"/>
      <c r="F847" s="136"/>
      <c r="G847" s="125"/>
      <c r="H847" s="125"/>
      <c r="I847" s="125"/>
      <c r="J847" s="62"/>
      <c r="K847" s="43"/>
      <c r="L847" s="62"/>
      <c r="M847" s="77"/>
      <c r="N847" s="43"/>
      <c r="O847" s="43"/>
      <c r="P847" s="43">
        <f t="shared" si="172"/>
        <v>0</v>
      </c>
      <c r="Q847" s="100"/>
      <c r="R847" s="117"/>
    </row>
    <row r="848" spans="1:18" x14ac:dyDescent="0.25">
      <c r="A848" s="48" t="str">
        <f t="shared" si="166"/>
        <v>HT</v>
      </c>
      <c r="B848" s="32" t="s">
        <v>1170</v>
      </c>
      <c r="C848" s="39" t="s">
        <v>554</v>
      </c>
      <c r="D848" s="13" t="s">
        <v>90</v>
      </c>
      <c r="E848" s="123">
        <v>1.03</v>
      </c>
      <c r="F848" s="136"/>
      <c r="G848" s="125"/>
      <c r="H848" s="125"/>
      <c r="I848" s="125">
        <f t="shared" ref="I848:I879" si="173">SUM(E848:H848)</f>
        <v>1.03</v>
      </c>
      <c r="J848" s="62">
        <f>'BIỂU HỢP ĐỒNG'!J811</f>
        <v>28771832</v>
      </c>
      <c r="K848" s="43"/>
      <c r="L848" s="62">
        <f t="shared" ref="L848:L879" si="174">+ROUND(J848*E848,0)</f>
        <v>29634987</v>
      </c>
      <c r="M848" s="77">
        <f t="shared" ref="M848:M879" si="175">+ROUND(F848*J848,0)</f>
        <v>0</v>
      </c>
      <c r="N848" s="43">
        <f t="shared" ref="N848:N879" si="176">+ROUND(G848*J848,0)</f>
        <v>0</v>
      </c>
      <c r="O848" s="43">
        <f t="shared" ref="O848:O879" si="177">+ROUND(H848*J848,0)</f>
        <v>0</v>
      </c>
      <c r="P848" s="43">
        <f t="shared" si="172"/>
        <v>29634987</v>
      </c>
      <c r="Q848" s="100"/>
      <c r="R848" s="117"/>
    </row>
    <row r="849" spans="1:18" x14ac:dyDescent="0.25">
      <c r="A849" s="48" t="str">
        <f t="shared" si="166"/>
        <v>HT</v>
      </c>
      <c r="B849" s="32" t="s">
        <v>1171</v>
      </c>
      <c r="C849" s="39" t="s">
        <v>556</v>
      </c>
      <c r="D849" s="13" t="s">
        <v>90</v>
      </c>
      <c r="E849" s="123">
        <v>11.03</v>
      </c>
      <c r="F849" s="136"/>
      <c r="G849" s="125"/>
      <c r="H849" s="125"/>
      <c r="I849" s="125">
        <f t="shared" si="173"/>
        <v>11.03</v>
      </c>
      <c r="J849" s="62">
        <f>'BIỂU HỢP ĐỒNG'!J812</f>
        <v>27010601</v>
      </c>
      <c r="K849" s="43"/>
      <c r="L849" s="62">
        <f t="shared" si="174"/>
        <v>297926929</v>
      </c>
      <c r="M849" s="77">
        <f t="shared" si="175"/>
        <v>0</v>
      </c>
      <c r="N849" s="43">
        <f t="shared" si="176"/>
        <v>0</v>
      </c>
      <c r="O849" s="43">
        <f t="shared" si="177"/>
        <v>0</v>
      </c>
      <c r="P849" s="43">
        <f t="shared" si="172"/>
        <v>297926929</v>
      </c>
      <c r="Q849" s="100"/>
      <c r="R849" s="117"/>
    </row>
    <row r="850" spans="1:18" x14ac:dyDescent="0.25">
      <c r="A850" s="48" t="str">
        <f t="shared" si="166"/>
        <v>HT</v>
      </c>
      <c r="B850" s="32" t="s">
        <v>1172</v>
      </c>
      <c r="C850" s="39" t="s">
        <v>1173</v>
      </c>
      <c r="D850" s="13" t="s">
        <v>90</v>
      </c>
      <c r="E850" s="123">
        <v>0.19</v>
      </c>
      <c r="F850" s="136"/>
      <c r="G850" s="125"/>
      <c r="H850" s="125"/>
      <c r="I850" s="125">
        <f t="shared" si="173"/>
        <v>0.19</v>
      </c>
      <c r="J850" s="62">
        <f>'BIỂU HỢP ĐỒNG'!J813</f>
        <v>27010601</v>
      </c>
      <c r="K850" s="43"/>
      <c r="L850" s="62">
        <f t="shared" si="174"/>
        <v>5132014</v>
      </c>
      <c r="M850" s="77">
        <f t="shared" si="175"/>
        <v>0</v>
      </c>
      <c r="N850" s="43">
        <f t="shared" si="176"/>
        <v>0</v>
      </c>
      <c r="O850" s="43">
        <f t="shared" si="177"/>
        <v>0</v>
      </c>
      <c r="P850" s="43">
        <f t="shared" si="172"/>
        <v>5132014</v>
      </c>
      <c r="Q850" s="100"/>
      <c r="R850" s="117"/>
    </row>
    <row r="851" spans="1:18" x14ac:dyDescent="0.25">
      <c r="A851" s="48" t="str">
        <f t="shared" si="166"/>
        <v>HT</v>
      </c>
      <c r="B851" s="32" t="s">
        <v>1174</v>
      </c>
      <c r="C851" s="39" t="s">
        <v>558</v>
      </c>
      <c r="D851" s="13" t="s">
        <v>16</v>
      </c>
      <c r="E851" s="123">
        <v>85.68</v>
      </c>
      <c r="F851" s="136"/>
      <c r="G851" s="125"/>
      <c r="H851" s="125"/>
      <c r="I851" s="125">
        <f t="shared" si="173"/>
        <v>85.68</v>
      </c>
      <c r="J851" s="62">
        <f>'BIỂU HỢP ĐỒNG'!J814</f>
        <v>1877466</v>
      </c>
      <c r="K851" s="43"/>
      <c r="L851" s="62">
        <f t="shared" si="174"/>
        <v>160861287</v>
      </c>
      <c r="M851" s="77">
        <f t="shared" si="175"/>
        <v>0</v>
      </c>
      <c r="N851" s="43">
        <f t="shared" si="176"/>
        <v>0</v>
      </c>
      <c r="O851" s="43">
        <f t="shared" si="177"/>
        <v>0</v>
      </c>
      <c r="P851" s="43">
        <f t="shared" si="172"/>
        <v>160861287</v>
      </c>
      <c r="Q851" s="100"/>
      <c r="R851" s="117"/>
    </row>
    <row r="852" spans="1:18" x14ac:dyDescent="0.25">
      <c r="A852" s="48" t="str">
        <f t="shared" si="166"/>
        <v>HT</v>
      </c>
      <c r="B852" s="32" t="s">
        <v>1175</v>
      </c>
      <c r="C852" s="39" t="s">
        <v>641</v>
      </c>
      <c r="D852" s="13" t="s">
        <v>13</v>
      </c>
      <c r="E852" s="123">
        <v>620.16</v>
      </c>
      <c r="F852" s="136"/>
      <c r="G852" s="125"/>
      <c r="H852" s="125"/>
      <c r="I852" s="125">
        <f t="shared" si="173"/>
        <v>620.16</v>
      </c>
      <c r="J852" s="62">
        <f>'BIỂU HỢP ĐỒNG'!J815</f>
        <v>115728</v>
      </c>
      <c r="K852" s="43"/>
      <c r="L852" s="62">
        <f t="shared" si="174"/>
        <v>71769876</v>
      </c>
      <c r="M852" s="77">
        <f t="shared" si="175"/>
        <v>0</v>
      </c>
      <c r="N852" s="43">
        <f t="shared" si="176"/>
        <v>0</v>
      </c>
      <c r="O852" s="43">
        <f t="shared" si="177"/>
        <v>0</v>
      </c>
      <c r="P852" s="43">
        <f t="shared" si="172"/>
        <v>71769876</v>
      </c>
      <c r="Q852" s="100"/>
      <c r="R852" s="117"/>
    </row>
    <row r="853" spans="1:18" ht="31.5" customHeight="1" x14ac:dyDescent="0.25">
      <c r="A853" s="48" t="str">
        <f t="shared" si="166"/>
        <v>HT</v>
      </c>
      <c r="B853" s="32" t="s">
        <v>1176</v>
      </c>
      <c r="C853" s="39" t="s">
        <v>643</v>
      </c>
      <c r="D853" s="13" t="s">
        <v>567</v>
      </c>
      <c r="E853" s="123">
        <v>34</v>
      </c>
      <c r="F853" s="136"/>
      <c r="G853" s="125"/>
      <c r="H853" s="125"/>
      <c r="I853" s="125">
        <f t="shared" si="173"/>
        <v>34</v>
      </c>
      <c r="J853" s="62">
        <f>'BIỂU HỢP ĐỒNG'!J816</f>
        <v>561271</v>
      </c>
      <c r="K853" s="43"/>
      <c r="L853" s="62">
        <f t="shared" si="174"/>
        <v>19083214</v>
      </c>
      <c r="M853" s="77">
        <f t="shared" si="175"/>
        <v>0</v>
      </c>
      <c r="N853" s="43">
        <f t="shared" si="176"/>
        <v>0</v>
      </c>
      <c r="O853" s="43">
        <f t="shared" si="177"/>
        <v>0</v>
      </c>
      <c r="P853" s="43">
        <f t="shared" si="172"/>
        <v>19083214</v>
      </c>
      <c r="Q853" s="100"/>
      <c r="R853" s="117"/>
    </row>
    <row r="854" spans="1:18" ht="47.25" customHeight="1" x14ac:dyDescent="0.25">
      <c r="A854" s="48" t="str">
        <f t="shared" si="166"/>
        <v>HT</v>
      </c>
      <c r="B854" s="32" t="s">
        <v>1177</v>
      </c>
      <c r="C854" s="39" t="s">
        <v>569</v>
      </c>
      <c r="D854" s="13" t="s">
        <v>250</v>
      </c>
      <c r="E854" s="123">
        <v>34</v>
      </c>
      <c r="F854" s="136"/>
      <c r="G854" s="125"/>
      <c r="H854" s="125"/>
      <c r="I854" s="125">
        <f t="shared" si="173"/>
        <v>34</v>
      </c>
      <c r="J854" s="62">
        <f>'BIỂU HỢP ĐỒNG'!J817</f>
        <v>129899</v>
      </c>
      <c r="K854" s="43"/>
      <c r="L854" s="62">
        <f t="shared" si="174"/>
        <v>4416566</v>
      </c>
      <c r="M854" s="77">
        <f t="shared" si="175"/>
        <v>0</v>
      </c>
      <c r="N854" s="43">
        <f t="shared" si="176"/>
        <v>0</v>
      </c>
      <c r="O854" s="43">
        <f t="shared" si="177"/>
        <v>0</v>
      </c>
      <c r="P854" s="43">
        <f t="shared" si="172"/>
        <v>4416566</v>
      </c>
      <c r="Q854" s="100"/>
      <c r="R854" s="117"/>
    </row>
    <row r="855" spans="1:18" ht="47.25" customHeight="1" x14ac:dyDescent="0.25">
      <c r="A855" s="48" t="str">
        <f t="shared" si="166"/>
        <v>HT</v>
      </c>
      <c r="B855" s="32" t="s">
        <v>1178</v>
      </c>
      <c r="C855" s="39" t="s">
        <v>571</v>
      </c>
      <c r="D855" s="13" t="s">
        <v>250</v>
      </c>
      <c r="E855" s="123">
        <v>34</v>
      </c>
      <c r="F855" s="136"/>
      <c r="G855" s="125"/>
      <c r="H855" s="125"/>
      <c r="I855" s="125">
        <f t="shared" si="173"/>
        <v>34</v>
      </c>
      <c r="J855" s="62">
        <f>'BIỂU HỢP ĐỒNG'!J818</f>
        <v>91827</v>
      </c>
      <c r="K855" s="43"/>
      <c r="L855" s="62">
        <f t="shared" si="174"/>
        <v>3122118</v>
      </c>
      <c r="M855" s="77">
        <f t="shared" si="175"/>
        <v>0</v>
      </c>
      <c r="N855" s="43">
        <f t="shared" si="176"/>
        <v>0</v>
      </c>
      <c r="O855" s="43">
        <f t="shared" si="177"/>
        <v>0</v>
      </c>
      <c r="P855" s="43">
        <f t="shared" si="172"/>
        <v>3122118</v>
      </c>
      <c r="Q855" s="100"/>
      <c r="R855" s="117"/>
    </row>
    <row r="856" spans="1:18" ht="31.5" customHeight="1" x14ac:dyDescent="0.25">
      <c r="A856" s="48" t="str">
        <f t="shared" si="166"/>
        <v>HT</v>
      </c>
      <c r="B856" s="32" t="s">
        <v>1179</v>
      </c>
      <c r="C856" s="39" t="s">
        <v>647</v>
      </c>
      <c r="D856" s="13" t="s">
        <v>253</v>
      </c>
      <c r="E856" s="123">
        <v>21.42</v>
      </c>
      <c r="F856" s="136"/>
      <c r="G856" s="125"/>
      <c r="H856" s="125"/>
      <c r="I856" s="125">
        <f t="shared" si="173"/>
        <v>21.42</v>
      </c>
      <c r="J856" s="62">
        <f>'BIỂU HỢP ĐỒNG'!J819</f>
        <v>36181</v>
      </c>
      <c r="K856" s="43"/>
      <c r="L856" s="62">
        <f t="shared" si="174"/>
        <v>774997</v>
      </c>
      <c r="M856" s="77">
        <f t="shared" si="175"/>
        <v>0</v>
      </c>
      <c r="N856" s="43">
        <f t="shared" si="176"/>
        <v>0</v>
      </c>
      <c r="O856" s="43">
        <f t="shared" si="177"/>
        <v>0</v>
      </c>
      <c r="P856" s="43">
        <f t="shared" si="172"/>
        <v>774997</v>
      </c>
      <c r="Q856" s="100"/>
      <c r="R856" s="117"/>
    </row>
    <row r="857" spans="1:18" x14ac:dyDescent="0.25">
      <c r="A857" s="48" t="str">
        <f t="shared" si="166"/>
        <v>HT</v>
      </c>
      <c r="B857" s="32" t="s">
        <v>1180</v>
      </c>
      <c r="C857" s="39" t="s">
        <v>576</v>
      </c>
      <c r="D857" s="13" t="s">
        <v>16</v>
      </c>
      <c r="E857" s="123">
        <v>18.27</v>
      </c>
      <c r="F857" s="136"/>
      <c r="G857" s="125"/>
      <c r="H857" s="125"/>
      <c r="I857" s="125">
        <f t="shared" si="173"/>
        <v>18.27</v>
      </c>
      <c r="J857" s="62">
        <f>'BIỂU HỢP ĐỒNG'!J820</f>
        <v>1731173</v>
      </c>
      <c r="K857" s="43"/>
      <c r="L857" s="62">
        <f t="shared" si="174"/>
        <v>31628531</v>
      </c>
      <c r="M857" s="77">
        <f t="shared" si="175"/>
        <v>0</v>
      </c>
      <c r="N857" s="43">
        <f t="shared" si="176"/>
        <v>0</v>
      </c>
      <c r="O857" s="43">
        <f t="shared" si="177"/>
        <v>0</v>
      </c>
      <c r="P857" s="43">
        <f t="shared" si="172"/>
        <v>31628531</v>
      </c>
      <c r="Q857" s="100"/>
      <c r="R857" s="117"/>
    </row>
    <row r="858" spans="1:18" x14ac:dyDescent="0.25">
      <c r="A858" s="48" t="str">
        <f t="shared" si="166"/>
        <v>HT</v>
      </c>
      <c r="B858" s="32" t="s">
        <v>1181</v>
      </c>
      <c r="C858" s="39" t="s">
        <v>578</v>
      </c>
      <c r="D858" s="13" t="s">
        <v>90</v>
      </c>
      <c r="E858" s="123">
        <v>1.08</v>
      </c>
      <c r="F858" s="136"/>
      <c r="G858" s="125"/>
      <c r="H858" s="125"/>
      <c r="I858" s="125">
        <f t="shared" si="173"/>
        <v>1.08</v>
      </c>
      <c r="J858" s="62">
        <f>'BIỂU HỢP ĐỒNG'!J821</f>
        <v>28103452</v>
      </c>
      <c r="K858" s="43"/>
      <c r="L858" s="62">
        <f t="shared" si="174"/>
        <v>30351728</v>
      </c>
      <c r="M858" s="77">
        <f t="shared" si="175"/>
        <v>0</v>
      </c>
      <c r="N858" s="43">
        <f t="shared" si="176"/>
        <v>0</v>
      </c>
      <c r="O858" s="43">
        <f t="shared" si="177"/>
        <v>0</v>
      </c>
      <c r="P858" s="43">
        <f t="shared" si="172"/>
        <v>30351728</v>
      </c>
      <c r="Q858" s="100"/>
      <c r="R858" s="117"/>
    </row>
    <row r="859" spans="1:18" x14ac:dyDescent="0.25">
      <c r="A859" s="48" t="str">
        <f t="shared" si="166"/>
        <v>HT</v>
      </c>
      <c r="B859" s="32" t="s">
        <v>1182</v>
      </c>
      <c r="C859" s="39" t="s">
        <v>651</v>
      </c>
      <c r="D859" s="13" t="s">
        <v>13</v>
      </c>
      <c r="E859" s="123">
        <v>36.96</v>
      </c>
      <c r="F859" s="136"/>
      <c r="G859" s="125"/>
      <c r="H859" s="125"/>
      <c r="I859" s="125">
        <f t="shared" si="173"/>
        <v>36.96</v>
      </c>
      <c r="J859" s="62">
        <f>'BIỂU HỢP ĐỒNG'!J822</f>
        <v>86606</v>
      </c>
      <c r="K859" s="43"/>
      <c r="L859" s="62">
        <f t="shared" si="174"/>
        <v>3200958</v>
      </c>
      <c r="M859" s="77">
        <f t="shared" si="175"/>
        <v>0</v>
      </c>
      <c r="N859" s="43">
        <f t="shared" si="176"/>
        <v>0</v>
      </c>
      <c r="O859" s="43">
        <f t="shared" si="177"/>
        <v>0</v>
      </c>
      <c r="P859" s="43">
        <f t="shared" si="172"/>
        <v>3200958</v>
      </c>
      <c r="Q859" s="100"/>
      <c r="R859" s="117"/>
    </row>
    <row r="860" spans="1:18" ht="31.5" customHeight="1" x14ac:dyDescent="0.25">
      <c r="A860" s="48" t="str">
        <f t="shared" si="166"/>
        <v>HT</v>
      </c>
      <c r="B860" s="32" t="s">
        <v>1183</v>
      </c>
      <c r="C860" s="39" t="s">
        <v>653</v>
      </c>
      <c r="D860" s="13" t="s">
        <v>258</v>
      </c>
      <c r="E860" s="123">
        <v>21</v>
      </c>
      <c r="F860" s="136"/>
      <c r="G860" s="125"/>
      <c r="H860" s="125"/>
      <c r="I860" s="125">
        <f t="shared" si="173"/>
        <v>21</v>
      </c>
      <c r="J860" s="62">
        <f>'BIỂU HỢP ĐỒNG'!J823</f>
        <v>231535</v>
      </c>
      <c r="K860" s="43"/>
      <c r="L860" s="62">
        <f t="shared" si="174"/>
        <v>4862235</v>
      </c>
      <c r="M860" s="77">
        <f t="shared" si="175"/>
        <v>0</v>
      </c>
      <c r="N860" s="43">
        <f t="shared" si="176"/>
        <v>0</v>
      </c>
      <c r="O860" s="43">
        <f t="shared" si="177"/>
        <v>0</v>
      </c>
      <c r="P860" s="43">
        <f t="shared" si="172"/>
        <v>4862235</v>
      </c>
      <c r="Q860" s="100"/>
      <c r="R860" s="117"/>
    </row>
    <row r="861" spans="1:18" ht="47.25" customHeight="1" x14ac:dyDescent="0.25">
      <c r="A861" s="48" t="str">
        <f t="shared" si="166"/>
        <v>HT</v>
      </c>
      <c r="B861" s="32" t="s">
        <v>1184</v>
      </c>
      <c r="C861" s="39" t="s">
        <v>569</v>
      </c>
      <c r="D861" s="13" t="s">
        <v>250</v>
      </c>
      <c r="E861" s="123">
        <v>21</v>
      </c>
      <c r="F861" s="136"/>
      <c r="G861" s="125"/>
      <c r="H861" s="125"/>
      <c r="I861" s="125">
        <f t="shared" si="173"/>
        <v>21</v>
      </c>
      <c r="J861" s="62">
        <f>'BIỂU HỢP ĐỒNG'!J824</f>
        <v>113802</v>
      </c>
      <c r="K861" s="43"/>
      <c r="L861" s="62">
        <f t="shared" si="174"/>
        <v>2389842</v>
      </c>
      <c r="M861" s="77">
        <f t="shared" si="175"/>
        <v>0</v>
      </c>
      <c r="N861" s="43">
        <f t="shared" si="176"/>
        <v>0</v>
      </c>
      <c r="O861" s="43">
        <f t="shared" si="177"/>
        <v>0</v>
      </c>
      <c r="P861" s="43">
        <f t="shared" si="172"/>
        <v>2389842</v>
      </c>
      <c r="Q861" s="100"/>
      <c r="R861" s="117"/>
    </row>
    <row r="862" spans="1:18" ht="47.25" customHeight="1" x14ac:dyDescent="0.25">
      <c r="A862" s="48" t="str">
        <f t="shared" si="166"/>
        <v>HT</v>
      </c>
      <c r="B862" s="32" t="s">
        <v>1185</v>
      </c>
      <c r="C862" s="39" t="s">
        <v>571</v>
      </c>
      <c r="D862" s="13" t="s">
        <v>250</v>
      </c>
      <c r="E862" s="123">
        <v>21</v>
      </c>
      <c r="F862" s="136"/>
      <c r="G862" s="125"/>
      <c r="H862" s="125"/>
      <c r="I862" s="125">
        <f t="shared" si="173"/>
        <v>21</v>
      </c>
      <c r="J862" s="62">
        <f>'BIỂU HỢP ĐỒNG'!J825</f>
        <v>91827</v>
      </c>
      <c r="K862" s="43"/>
      <c r="L862" s="62">
        <f t="shared" si="174"/>
        <v>1928367</v>
      </c>
      <c r="M862" s="77">
        <f t="shared" si="175"/>
        <v>0</v>
      </c>
      <c r="N862" s="43">
        <f t="shared" si="176"/>
        <v>0</v>
      </c>
      <c r="O862" s="43">
        <f t="shared" si="177"/>
        <v>0</v>
      </c>
      <c r="P862" s="43">
        <f t="shared" si="172"/>
        <v>1928367</v>
      </c>
      <c r="Q862" s="100"/>
      <c r="R862" s="117"/>
    </row>
    <row r="863" spans="1:18" ht="31.5" customHeight="1" x14ac:dyDescent="0.25">
      <c r="A863" s="48" t="str">
        <f t="shared" si="166"/>
        <v>HT</v>
      </c>
      <c r="B863" s="32" t="s">
        <v>1186</v>
      </c>
      <c r="C863" s="39" t="s">
        <v>573</v>
      </c>
      <c r="D863" s="13" t="s">
        <v>253</v>
      </c>
      <c r="E863" s="123">
        <v>4.57</v>
      </c>
      <c r="F863" s="136"/>
      <c r="G863" s="125"/>
      <c r="H863" s="125"/>
      <c r="I863" s="125">
        <f t="shared" si="173"/>
        <v>4.57</v>
      </c>
      <c r="J863" s="62">
        <f>'BIỂU HỢP ĐỒNG'!J826</f>
        <v>36181</v>
      </c>
      <c r="K863" s="43"/>
      <c r="L863" s="62">
        <f t="shared" si="174"/>
        <v>165347</v>
      </c>
      <c r="M863" s="77">
        <f t="shared" si="175"/>
        <v>0</v>
      </c>
      <c r="N863" s="43">
        <f t="shared" si="176"/>
        <v>0</v>
      </c>
      <c r="O863" s="43">
        <f t="shared" si="177"/>
        <v>0</v>
      </c>
      <c r="P863" s="43">
        <f t="shared" si="172"/>
        <v>165347</v>
      </c>
      <c r="Q863" s="100"/>
      <c r="R863" s="117"/>
    </row>
    <row r="864" spans="1:18" x14ac:dyDescent="0.25">
      <c r="A864" s="48" t="str">
        <f t="shared" si="166"/>
        <v>HT</v>
      </c>
      <c r="B864" s="32" t="s">
        <v>1187</v>
      </c>
      <c r="C864" s="39" t="s">
        <v>587</v>
      </c>
      <c r="D864" s="13" t="s">
        <v>16</v>
      </c>
      <c r="E864" s="123">
        <v>11.28</v>
      </c>
      <c r="F864" s="136"/>
      <c r="G864" s="125"/>
      <c r="H864" s="125"/>
      <c r="I864" s="125">
        <f t="shared" si="173"/>
        <v>11.28</v>
      </c>
      <c r="J864" s="62">
        <f>'BIỂU HỢP ĐỒNG'!J827</f>
        <v>851305</v>
      </c>
      <c r="K864" s="43"/>
      <c r="L864" s="62">
        <f t="shared" si="174"/>
        <v>9602720</v>
      </c>
      <c r="M864" s="77">
        <f t="shared" si="175"/>
        <v>0</v>
      </c>
      <c r="N864" s="43">
        <f t="shared" si="176"/>
        <v>0</v>
      </c>
      <c r="O864" s="43">
        <f t="shared" si="177"/>
        <v>0</v>
      </c>
      <c r="P864" s="43">
        <f t="shared" si="172"/>
        <v>9602720</v>
      </c>
      <c r="Q864" s="100"/>
      <c r="R864" s="117"/>
    </row>
    <row r="865" spans="1:18" x14ac:dyDescent="0.25">
      <c r="A865" s="48" t="str">
        <f t="shared" si="166"/>
        <v>HT</v>
      </c>
      <c r="B865" s="32" t="s">
        <v>1188</v>
      </c>
      <c r="C865" s="39" t="s">
        <v>744</v>
      </c>
      <c r="D865" s="13" t="s">
        <v>16</v>
      </c>
      <c r="E865" s="123">
        <v>20.79</v>
      </c>
      <c r="F865" s="136"/>
      <c r="G865" s="125"/>
      <c r="H865" s="125"/>
      <c r="I865" s="125">
        <f t="shared" si="173"/>
        <v>20.79</v>
      </c>
      <c r="J865" s="62">
        <f>'BIỂU HỢP ĐỒNG'!J828</f>
        <v>1713814</v>
      </c>
      <c r="K865" s="43"/>
      <c r="L865" s="62">
        <f t="shared" si="174"/>
        <v>35630193</v>
      </c>
      <c r="M865" s="77">
        <f t="shared" si="175"/>
        <v>0</v>
      </c>
      <c r="N865" s="43">
        <f t="shared" si="176"/>
        <v>0</v>
      </c>
      <c r="O865" s="43">
        <f t="shared" si="177"/>
        <v>0</v>
      </c>
      <c r="P865" s="43">
        <f t="shared" si="172"/>
        <v>35630193</v>
      </c>
      <c r="Q865" s="100"/>
      <c r="R865" s="117"/>
    </row>
    <row r="866" spans="1:18" x14ac:dyDescent="0.25">
      <c r="A866" s="48" t="str">
        <f t="shared" si="166"/>
        <v>HT</v>
      </c>
      <c r="B866" s="32" t="s">
        <v>1189</v>
      </c>
      <c r="C866" s="39" t="s">
        <v>746</v>
      </c>
      <c r="D866" s="13" t="s">
        <v>90</v>
      </c>
      <c r="E866" s="123">
        <v>0.59</v>
      </c>
      <c r="F866" s="136"/>
      <c r="G866" s="125"/>
      <c r="H866" s="125"/>
      <c r="I866" s="125">
        <f t="shared" si="173"/>
        <v>0.59</v>
      </c>
      <c r="J866" s="62">
        <f>'BIỂU HỢP ĐỒNG'!J829</f>
        <v>28103452</v>
      </c>
      <c r="K866" s="43"/>
      <c r="L866" s="62">
        <f t="shared" si="174"/>
        <v>16581037</v>
      </c>
      <c r="M866" s="77">
        <f t="shared" si="175"/>
        <v>0</v>
      </c>
      <c r="N866" s="43">
        <f t="shared" si="176"/>
        <v>0</v>
      </c>
      <c r="O866" s="43">
        <f t="shared" si="177"/>
        <v>0</v>
      </c>
      <c r="P866" s="43">
        <f t="shared" si="172"/>
        <v>16581037</v>
      </c>
      <c r="Q866" s="100"/>
      <c r="R866" s="117"/>
    </row>
    <row r="867" spans="1:18" x14ac:dyDescent="0.25">
      <c r="A867" s="48" t="str">
        <f t="shared" si="166"/>
        <v>HT</v>
      </c>
      <c r="B867" s="32" t="s">
        <v>1190</v>
      </c>
      <c r="C867" s="39" t="s">
        <v>748</v>
      </c>
      <c r="D867" s="13" t="s">
        <v>90</v>
      </c>
      <c r="E867" s="123">
        <v>2.57</v>
      </c>
      <c r="F867" s="136"/>
      <c r="G867" s="125"/>
      <c r="H867" s="125"/>
      <c r="I867" s="125">
        <f t="shared" si="173"/>
        <v>2.57</v>
      </c>
      <c r="J867" s="62">
        <f>'BIỂU HỢP ĐỒNG'!J830</f>
        <v>26818404</v>
      </c>
      <c r="K867" s="43"/>
      <c r="L867" s="62">
        <f t="shared" si="174"/>
        <v>68923298</v>
      </c>
      <c r="M867" s="77">
        <f t="shared" si="175"/>
        <v>0</v>
      </c>
      <c r="N867" s="43">
        <f t="shared" si="176"/>
        <v>0</v>
      </c>
      <c r="O867" s="43">
        <f t="shared" si="177"/>
        <v>0</v>
      </c>
      <c r="P867" s="43">
        <f t="shared" si="172"/>
        <v>68923298</v>
      </c>
      <c r="Q867" s="100"/>
      <c r="R867" s="117"/>
    </row>
    <row r="868" spans="1:18" x14ac:dyDescent="0.25">
      <c r="A868" s="48" t="str">
        <f t="shared" si="166"/>
        <v>HT</v>
      </c>
      <c r="B868" s="32" t="s">
        <v>1191</v>
      </c>
      <c r="C868" s="39" t="s">
        <v>752</v>
      </c>
      <c r="D868" s="13" t="s">
        <v>13</v>
      </c>
      <c r="E868" s="123">
        <v>62.79</v>
      </c>
      <c r="F868" s="136"/>
      <c r="G868" s="125"/>
      <c r="H868" s="125"/>
      <c r="I868" s="125">
        <f t="shared" si="173"/>
        <v>62.79</v>
      </c>
      <c r="J868" s="62">
        <f>'BIỂU HỢP ĐỒNG'!J831</f>
        <v>86606</v>
      </c>
      <c r="K868" s="43"/>
      <c r="L868" s="62">
        <f t="shared" si="174"/>
        <v>5437991</v>
      </c>
      <c r="M868" s="77">
        <f t="shared" si="175"/>
        <v>0</v>
      </c>
      <c r="N868" s="43">
        <f t="shared" si="176"/>
        <v>0</v>
      </c>
      <c r="O868" s="43">
        <f t="shared" si="177"/>
        <v>0</v>
      </c>
      <c r="P868" s="43">
        <f t="shared" si="172"/>
        <v>5437991</v>
      </c>
      <c r="Q868" s="100"/>
      <c r="R868" s="117"/>
    </row>
    <row r="869" spans="1:18" x14ac:dyDescent="0.25">
      <c r="A869" s="48" t="str">
        <f t="shared" si="166"/>
        <v>HT</v>
      </c>
      <c r="B869" s="32" t="s">
        <v>1192</v>
      </c>
      <c r="C869" s="39" t="s">
        <v>581</v>
      </c>
      <c r="D869" s="13" t="s">
        <v>297</v>
      </c>
      <c r="E869" s="123">
        <v>42</v>
      </c>
      <c r="F869" s="136"/>
      <c r="G869" s="125"/>
      <c r="H869" s="125"/>
      <c r="I869" s="125">
        <f t="shared" si="173"/>
        <v>42</v>
      </c>
      <c r="J869" s="62">
        <f>'BIỂU HỢP ĐỒNG'!J832</f>
        <v>36395</v>
      </c>
      <c r="K869" s="43"/>
      <c r="L869" s="62">
        <f t="shared" si="174"/>
        <v>1528590</v>
      </c>
      <c r="M869" s="77">
        <f t="shared" si="175"/>
        <v>0</v>
      </c>
      <c r="N869" s="43">
        <f t="shared" si="176"/>
        <v>0</v>
      </c>
      <c r="O869" s="43">
        <f t="shared" si="177"/>
        <v>0</v>
      </c>
      <c r="P869" s="43">
        <f t="shared" si="172"/>
        <v>1528590</v>
      </c>
      <c r="Q869" s="100"/>
      <c r="R869" s="117"/>
    </row>
    <row r="870" spans="1:18" ht="47.25" customHeight="1" x14ac:dyDescent="0.25">
      <c r="A870" s="48" t="str">
        <f t="shared" si="166"/>
        <v>HT</v>
      </c>
      <c r="B870" s="32" t="s">
        <v>1193</v>
      </c>
      <c r="C870" s="39" t="s">
        <v>349</v>
      </c>
      <c r="D870" s="13" t="s">
        <v>250</v>
      </c>
      <c r="E870" s="123">
        <v>42</v>
      </c>
      <c r="F870" s="136"/>
      <c r="G870" s="125"/>
      <c r="H870" s="125"/>
      <c r="I870" s="125">
        <f t="shared" si="173"/>
        <v>42</v>
      </c>
      <c r="J870" s="62">
        <f>'BIỂU HỢP ĐỒNG'!J833</f>
        <v>79217</v>
      </c>
      <c r="K870" s="43"/>
      <c r="L870" s="62">
        <f t="shared" si="174"/>
        <v>3327114</v>
      </c>
      <c r="M870" s="77">
        <f t="shared" si="175"/>
        <v>0</v>
      </c>
      <c r="N870" s="43">
        <f t="shared" si="176"/>
        <v>0</v>
      </c>
      <c r="O870" s="43">
        <f t="shared" si="177"/>
        <v>0</v>
      </c>
      <c r="P870" s="43">
        <f t="shared" si="172"/>
        <v>3327114</v>
      </c>
      <c r="Q870" s="100"/>
      <c r="R870" s="117"/>
    </row>
    <row r="871" spans="1:18" ht="47.25" customHeight="1" x14ac:dyDescent="0.25">
      <c r="A871" s="48" t="str">
        <f t="shared" si="166"/>
        <v>HT</v>
      </c>
      <c r="B871" s="32" t="s">
        <v>1194</v>
      </c>
      <c r="C871" s="39" t="s">
        <v>351</v>
      </c>
      <c r="D871" s="13" t="s">
        <v>250</v>
      </c>
      <c r="E871" s="123">
        <v>42</v>
      </c>
      <c r="F871" s="136"/>
      <c r="G871" s="125"/>
      <c r="H871" s="125"/>
      <c r="I871" s="125">
        <f t="shared" si="173"/>
        <v>42</v>
      </c>
      <c r="J871" s="62">
        <f>'BIỂU HỢP ĐỒNG'!J834</f>
        <v>65424</v>
      </c>
      <c r="K871" s="43"/>
      <c r="L871" s="62">
        <f t="shared" si="174"/>
        <v>2747808</v>
      </c>
      <c r="M871" s="77">
        <f t="shared" si="175"/>
        <v>0</v>
      </c>
      <c r="N871" s="43">
        <f t="shared" si="176"/>
        <v>0</v>
      </c>
      <c r="O871" s="43">
        <f t="shared" si="177"/>
        <v>0</v>
      </c>
      <c r="P871" s="43">
        <f t="shared" si="172"/>
        <v>2747808</v>
      </c>
      <c r="Q871" s="100"/>
      <c r="R871" s="117"/>
    </row>
    <row r="872" spans="1:18" ht="31.5" customHeight="1" x14ac:dyDescent="0.25">
      <c r="A872" s="48" t="str">
        <f t="shared" si="166"/>
        <v>HT</v>
      </c>
      <c r="B872" s="32" t="s">
        <v>1195</v>
      </c>
      <c r="C872" s="39" t="s">
        <v>647</v>
      </c>
      <c r="D872" s="13" t="s">
        <v>253</v>
      </c>
      <c r="E872" s="123">
        <v>5.2</v>
      </c>
      <c r="F872" s="136"/>
      <c r="G872" s="125"/>
      <c r="H872" s="125"/>
      <c r="I872" s="125">
        <f t="shared" si="173"/>
        <v>5.2</v>
      </c>
      <c r="J872" s="62">
        <f>'BIỂU HỢP ĐỒNG'!J835</f>
        <v>36181</v>
      </c>
      <c r="K872" s="43"/>
      <c r="L872" s="62">
        <f t="shared" si="174"/>
        <v>188141</v>
      </c>
      <c r="M872" s="77">
        <f t="shared" si="175"/>
        <v>0</v>
      </c>
      <c r="N872" s="43">
        <f t="shared" si="176"/>
        <v>0</v>
      </c>
      <c r="O872" s="43">
        <f t="shared" si="177"/>
        <v>0</v>
      </c>
      <c r="P872" s="43">
        <f t="shared" si="172"/>
        <v>188141</v>
      </c>
      <c r="Q872" s="100"/>
      <c r="R872" s="117"/>
    </row>
    <row r="873" spans="1:18" x14ac:dyDescent="0.25">
      <c r="A873" s="48" t="str">
        <f t="shared" si="166"/>
        <v>HT</v>
      </c>
      <c r="B873" s="32" t="s">
        <v>1196</v>
      </c>
      <c r="C873" s="39" t="s">
        <v>661</v>
      </c>
      <c r="D873" s="13" t="s">
        <v>13</v>
      </c>
      <c r="E873" s="123">
        <v>1.0900000000000001</v>
      </c>
      <c r="F873" s="136"/>
      <c r="G873" s="125"/>
      <c r="H873" s="125"/>
      <c r="I873" s="125">
        <f t="shared" si="173"/>
        <v>1.0900000000000001</v>
      </c>
      <c r="J873" s="62">
        <f>'BIỂU HỢP ĐỒNG'!J836</f>
        <v>43066</v>
      </c>
      <c r="K873" s="43"/>
      <c r="L873" s="62">
        <f t="shared" si="174"/>
        <v>46942</v>
      </c>
      <c r="M873" s="77">
        <f t="shared" si="175"/>
        <v>0</v>
      </c>
      <c r="N873" s="43">
        <f t="shared" si="176"/>
        <v>0</v>
      </c>
      <c r="O873" s="43">
        <f t="shared" si="177"/>
        <v>0</v>
      </c>
      <c r="P873" s="43">
        <f t="shared" si="172"/>
        <v>46942</v>
      </c>
      <c r="Q873" s="100"/>
      <c r="R873" s="117"/>
    </row>
    <row r="874" spans="1:18" x14ac:dyDescent="0.25">
      <c r="A874" s="48" t="str">
        <f t="shared" si="166"/>
        <v>HT</v>
      </c>
      <c r="B874" s="32" t="s">
        <v>1197</v>
      </c>
      <c r="C874" s="39" t="s">
        <v>591</v>
      </c>
      <c r="D874" s="13" t="s">
        <v>13</v>
      </c>
      <c r="E874" s="123">
        <v>255</v>
      </c>
      <c r="F874" s="136"/>
      <c r="G874" s="125"/>
      <c r="H874" s="125"/>
      <c r="I874" s="125">
        <f t="shared" si="173"/>
        <v>255</v>
      </c>
      <c r="J874" s="62">
        <f>'BIỂU HỢP ĐỒNG'!J837</f>
        <v>76805</v>
      </c>
      <c r="K874" s="43"/>
      <c r="L874" s="62">
        <f t="shared" si="174"/>
        <v>19585275</v>
      </c>
      <c r="M874" s="77">
        <f t="shared" si="175"/>
        <v>0</v>
      </c>
      <c r="N874" s="43">
        <f t="shared" si="176"/>
        <v>0</v>
      </c>
      <c r="O874" s="43">
        <f t="shared" si="177"/>
        <v>0</v>
      </c>
      <c r="P874" s="43">
        <f t="shared" si="172"/>
        <v>19585275</v>
      </c>
      <c r="Q874" s="100"/>
      <c r="R874" s="117"/>
    </row>
    <row r="875" spans="1:18" x14ac:dyDescent="0.25">
      <c r="A875" s="48" t="str">
        <f t="shared" si="166"/>
        <v>HT</v>
      </c>
      <c r="B875" s="32" t="s">
        <v>1198</v>
      </c>
      <c r="C875" s="39" t="s">
        <v>664</v>
      </c>
      <c r="D875" s="13" t="s">
        <v>16</v>
      </c>
      <c r="E875" s="123">
        <v>14.96</v>
      </c>
      <c r="F875" s="136"/>
      <c r="G875" s="125"/>
      <c r="H875" s="125"/>
      <c r="I875" s="125">
        <f t="shared" si="173"/>
        <v>14.96</v>
      </c>
      <c r="J875" s="62">
        <f>'BIỂU HỢP ĐỒNG'!J838</f>
        <v>1830356</v>
      </c>
      <c r="K875" s="43"/>
      <c r="L875" s="62">
        <f t="shared" si="174"/>
        <v>27382126</v>
      </c>
      <c r="M875" s="77">
        <f t="shared" si="175"/>
        <v>0</v>
      </c>
      <c r="N875" s="43">
        <f t="shared" si="176"/>
        <v>0</v>
      </c>
      <c r="O875" s="43">
        <f t="shared" si="177"/>
        <v>0</v>
      </c>
      <c r="P875" s="43">
        <f t="shared" si="172"/>
        <v>27382126</v>
      </c>
      <c r="Q875" s="100"/>
      <c r="R875" s="117"/>
    </row>
    <row r="876" spans="1:18" x14ac:dyDescent="0.25">
      <c r="A876" s="48" t="str">
        <f t="shared" si="166"/>
        <v>HT</v>
      </c>
      <c r="B876" s="32" t="s">
        <v>1199</v>
      </c>
      <c r="C876" s="39" t="s">
        <v>595</v>
      </c>
      <c r="D876" s="13" t="s">
        <v>16</v>
      </c>
      <c r="E876" s="123">
        <v>36.130000000000003</v>
      </c>
      <c r="F876" s="136"/>
      <c r="G876" s="125"/>
      <c r="H876" s="125"/>
      <c r="I876" s="125">
        <f t="shared" si="173"/>
        <v>36.130000000000003</v>
      </c>
      <c r="J876" s="62">
        <f>'BIỂU HỢP ĐỒNG'!J839</f>
        <v>1152109</v>
      </c>
      <c r="K876" s="43"/>
      <c r="L876" s="62">
        <f t="shared" si="174"/>
        <v>41625698</v>
      </c>
      <c r="M876" s="77">
        <f t="shared" si="175"/>
        <v>0</v>
      </c>
      <c r="N876" s="43">
        <f t="shared" si="176"/>
        <v>0</v>
      </c>
      <c r="O876" s="43">
        <f t="shared" si="177"/>
        <v>0</v>
      </c>
      <c r="P876" s="43">
        <f t="shared" si="172"/>
        <v>41625698</v>
      </c>
      <c r="Q876" s="100"/>
      <c r="R876" s="117"/>
    </row>
    <row r="877" spans="1:18" x14ac:dyDescent="0.25">
      <c r="A877" s="48" t="str">
        <f t="shared" si="166"/>
        <v>HT</v>
      </c>
      <c r="B877" s="32" t="s">
        <v>1200</v>
      </c>
      <c r="C877" s="39" t="s">
        <v>597</v>
      </c>
      <c r="D877" s="13" t="s">
        <v>13</v>
      </c>
      <c r="E877" s="123">
        <v>55.52</v>
      </c>
      <c r="F877" s="136"/>
      <c r="G877" s="125"/>
      <c r="H877" s="125"/>
      <c r="I877" s="125">
        <f t="shared" si="173"/>
        <v>55.52</v>
      </c>
      <c r="J877" s="62">
        <f>'BIỂU HỢP ĐỒNG'!J840</f>
        <v>103945</v>
      </c>
      <c r="K877" s="43"/>
      <c r="L877" s="62">
        <f t="shared" si="174"/>
        <v>5771026</v>
      </c>
      <c r="M877" s="77">
        <f t="shared" si="175"/>
        <v>0</v>
      </c>
      <c r="N877" s="43">
        <f t="shared" si="176"/>
        <v>0</v>
      </c>
      <c r="O877" s="43">
        <f t="shared" si="177"/>
        <v>0</v>
      </c>
      <c r="P877" s="43">
        <f t="shared" si="172"/>
        <v>5771026</v>
      </c>
      <c r="Q877" s="100"/>
      <c r="R877" s="117"/>
    </row>
    <row r="878" spans="1:18" x14ac:dyDescent="0.25">
      <c r="A878" s="48" t="str">
        <f t="shared" si="166"/>
        <v>HT</v>
      </c>
      <c r="B878" s="32" t="s">
        <v>1201</v>
      </c>
      <c r="C878" s="39" t="s">
        <v>599</v>
      </c>
      <c r="D878" s="13" t="s">
        <v>13</v>
      </c>
      <c r="E878" s="123">
        <v>84.33</v>
      </c>
      <c r="F878" s="136"/>
      <c r="G878" s="125"/>
      <c r="H878" s="125"/>
      <c r="I878" s="125">
        <f t="shared" si="173"/>
        <v>84.33</v>
      </c>
      <c r="J878" s="62">
        <f>'BIỂU HỢP ĐỒNG'!J841</f>
        <v>141724</v>
      </c>
      <c r="K878" s="43"/>
      <c r="L878" s="62">
        <f t="shared" si="174"/>
        <v>11951585</v>
      </c>
      <c r="M878" s="77">
        <f t="shared" si="175"/>
        <v>0</v>
      </c>
      <c r="N878" s="43">
        <f t="shared" si="176"/>
        <v>0</v>
      </c>
      <c r="O878" s="43">
        <f t="shared" si="177"/>
        <v>0</v>
      </c>
      <c r="P878" s="43">
        <f t="shared" si="172"/>
        <v>11951585</v>
      </c>
      <c r="Q878" s="100"/>
      <c r="R878" s="117"/>
    </row>
    <row r="879" spans="1:18" x14ac:dyDescent="0.25">
      <c r="A879" s="48" t="str">
        <f t="shared" si="166"/>
        <v>HT</v>
      </c>
      <c r="B879" s="32" t="s">
        <v>1202</v>
      </c>
      <c r="C879" s="39" t="s">
        <v>587</v>
      </c>
      <c r="D879" s="13" t="s">
        <v>16</v>
      </c>
      <c r="E879" s="123">
        <v>4.0199999999999996</v>
      </c>
      <c r="F879" s="136"/>
      <c r="G879" s="125"/>
      <c r="H879" s="125"/>
      <c r="I879" s="125">
        <f t="shared" si="173"/>
        <v>4.0199999999999996</v>
      </c>
      <c r="J879" s="62">
        <f>'BIỂU HỢP ĐỒNG'!J842</f>
        <v>851305</v>
      </c>
      <c r="K879" s="43"/>
      <c r="L879" s="62">
        <f t="shared" si="174"/>
        <v>3422246</v>
      </c>
      <c r="M879" s="77">
        <f t="shared" si="175"/>
        <v>0</v>
      </c>
      <c r="N879" s="43">
        <f t="shared" si="176"/>
        <v>0</v>
      </c>
      <c r="O879" s="43">
        <f t="shared" si="177"/>
        <v>0</v>
      </c>
      <c r="P879" s="43">
        <f t="shared" si="172"/>
        <v>3422246</v>
      </c>
      <c r="Q879" s="100"/>
      <c r="R879" s="117"/>
    </row>
    <row r="880" spans="1:18" x14ac:dyDescent="0.25">
      <c r="A880" s="48" t="str">
        <f t="shared" si="166"/>
        <v>HT</v>
      </c>
      <c r="B880" s="32" t="s">
        <v>1203</v>
      </c>
      <c r="C880" s="39" t="s">
        <v>670</v>
      </c>
      <c r="D880" s="13" t="s">
        <v>16</v>
      </c>
      <c r="E880" s="123">
        <v>46.43</v>
      </c>
      <c r="F880" s="136"/>
      <c r="G880" s="125"/>
      <c r="H880" s="125"/>
      <c r="I880" s="125">
        <f t="shared" ref="I880:I911" si="178">SUM(E880:H880)</f>
        <v>46.43</v>
      </c>
      <c r="J880" s="62">
        <f>'BIỂU HỢP ĐỒNG'!J843</f>
        <v>1252250</v>
      </c>
      <c r="K880" s="43"/>
      <c r="L880" s="62">
        <f t="shared" ref="L880:L911" si="179">+ROUND(J880*E880,0)</f>
        <v>58141968</v>
      </c>
      <c r="M880" s="77">
        <f t="shared" ref="M880:M911" si="180">+ROUND(F880*J880,0)</f>
        <v>0</v>
      </c>
      <c r="N880" s="43">
        <f t="shared" ref="N880:N911" si="181">+ROUND(G880*J880,0)</f>
        <v>0</v>
      </c>
      <c r="O880" s="43">
        <f t="shared" ref="O880:O911" si="182">+ROUND(H880*J880,0)</f>
        <v>0</v>
      </c>
      <c r="P880" s="43">
        <f t="shared" si="172"/>
        <v>58141968</v>
      </c>
      <c r="Q880" s="100"/>
      <c r="R880" s="117"/>
    </row>
    <row r="881" spans="1:18" x14ac:dyDescent="0.25">
      <c r="A881" s="48" t="str">
        <f t="shared" si="166"/>
        <v>HT</v>
      </c>
      <c r="B881" s="32" t="s">
        <v>1204</v>
      </c>
      <c r="C881" s="39" t="s">
        <v>587</v>
      </c>
      <c r="D881" s="13" t="s">
        <v>16</v>
      </c>
      <c r="E881" s="123">
        <v>18.57</v>
      </c>
      <c r="F881" s="136"/>
      <c r="G881" s="125"/>
      <c r="H881" s="125"/>
      <c r="I881" s="125">
        <f t="shared" si="178"/>
        <v>18.57</v>
      </c>
      <c r="J881" s="62">
        <f>'BIỂU HỢP ĐỒNG'!J844</f>
        <v>851305</v>
      </c>
      <c r="K881" s="43"/>
      <c r="L881" s="62">
        <f t="shared" si="179"/>
        <v>15808734</v>
      </c>
      <c r="M881" s="77">
        <f t="shared" si="180"/>
        <v>0</v>
      </c>
      <c r="N881" s="43">
        <f t="shared" si="181"/>
        <v>0</v>
      </c>
      <c r="O881" s="43">
        <f t="shared" si="182"/>
        <v>0</v>
      </c>
      <c r="P881" s="43">
        <f t="shared" si="172"/>
        <v>15808734</v>
      </c>
      <c r="Q881" s="100"/>
      <c r="R881" s="117"/>
    </row>
    <row r="882" spans="1:18" x14ac:dyDescent="0.25">
      <c r="A882" s="48" t="str">
        <f t="shared" si="166"/>
        <v>HT</v>
      </c>
      <c r="B882" s="32" t="s">
        <v>1205</v>
      </c>
      <c r="C882" s="39" t="s">
        <v>670</v>
      </c>
      <c r="D882" s="13" t="s">
        <v>16</v>
      </c>
      <c r="E882" s="123">
        <v>9.3000000000000007</v>
      </c>
      <c r="F882" s="136"/>
      <c r="G882" s="125"/>
      <c r="H882" s="125"/>
      <c r="I882" s="125">
        <f t="shared" si="178"/>
        <v>9.3000000000000007</v>
      </c>
      <c r="J882" s="62">
        <f>'BIỂU HỢP ĐỒNG'!J845</f>
        <v>1252250</v>
      </c>
      <c r="K882" s="43"/>
      <c r="L882" s="62">
        <f t="shared" si="179"/>
        <v>11645925</v>
      </c>
      <c r="M882" s="77">
        <f t="shared" si="180"/>
        <v>0</v>
      </c>
      <c r="N882" s="43">
        <f t="shared" si="181"/>
        <v>0</v>
      </c>
      <c r="O882" s="43">
        <f t="shared" si="182"/>
        <v>0</v>
      </c>
      <c r="P882" s="43">
        <f t="shared" si="172"/>
        <v>11645925</v>
      </c>
      <c r="Q882" s="100"/>
      <c r="R882" s="117"/>
    </row>
    <row r="883" spans="1:18" x14ac:dyDescent="0.25">
      <c r="A883" s="48" t="str">
        <f t="shared" si="166"/>
        <v>HT</v>
      </c>
      <c r="B883" s="32" t="s">
        <v>1206</v>
      </c>
      <c r="C883" s="39" t="s">
        <v>587</v>
      </c>
      <c r="D883" s="13" t="s">
        <v>16</v>
      </c>
      <c r="E883" s="123">
        <v>3.72</v>
      </c>
      <c r="F883" s="136"/>
      <c r="G883" s="125"/>
      <c r="H883" s="125"/>
      <c r="I883" s="125">
        <f t="shared" si="178"/>
        <v>3.72</v>
      </c>
      <c r="J883" s="62">
        <f>'BIỂU HỢP ĐỒNG'!J846</f>
        <v>851305</v>
      </c>
      <c r="K883" s="43"/>
      <c r="L883" s="62">
        <f t="shared" si="179"/>
        <v>3166855</v>
      </c>
      <c r="M883" s="77">
        <f t="shared" si="180"/>
        <v>0</v>
      </c>
      <c r="N883" s="43">
        <f t="shared" si="181"/>
        <v>0</v>
      </c>
      <c r="O883" s="43">
        <f t="shared" si="182"/>
        <v>0</v>
      </c>
      <c r="P883" s="43">
        <f t="shared" si="172"/>
        <v>3166855</v>
      </c>
      <c r="Q883" s="100"/>
      <c r="R883" s="117"/>
    </row>
    <row r="884" spans="1:18" x14ac:dyDescent="0.25">
      <c r="A884" s="48" t="str">
        <f t="shared" si="166"/>
        <v>HT</v>
      </c>
      <c r="B884" s="32" t="s">
        <v>1207</v>
      </c>
      <c r="C884" s="39" t="s">
        <v>608</v>
      </c>
      <c r="D884" s="13" t="s">
        <v>16</v>
      </c>
      <c r="E884" s="123">
        <v>848.75</v>
      </c>
      <c r="F884" s="136"/>
      <c r="G884" s="125"/>
      <c r="H884" s="125"/>
      <c r="I884" s="125">
        <f t="shared" si="178"/>
        <v>848.75</v>
      </c>
      <c r="J884" s="62">
        <f>'BIỂU HỢP ĐỒNG'!J847</f>
        <v>20867</v>
      </c>
      <c r="K884" s="43"/>
      <c r="L884" s="62">
        <f t="shared" si="179"/>
        <v>17710866</v>
      </c>
      <c r="M884" s="77">
        <f t="shared" si="180"/>
        <v>0</v>
      </c>
      <c r="N884" s="43">
        <f t="shared" si="181"/>
        <v>0</v>
      </c>
      <c r="O884" s="43">
        <f t="shared" si="182"/>
        <v>0</v>
      </c>
      <c r="P884" s="43">
        <f t="shared" si="172"/>
        <v>17710866</v>
      </c>
      <c r="Q884" s="100"/>
      <c r="R884" s="117"/>
    </row>
    <row r="885" spans="1:18" x14ac:dyDescent="0.25">
      <c r="A885" s="48" t="str">
        <f t="shared" si="166"/>
        <v>HT</v>
      </c>
      <c r="B885" s="32" t="s">
        <v>1208</v>
      </c>
      <c r="C885" s="39" t="s">
        <v>610</v>
      </c>
      <c r="D885" s="13" t="s">
        <v>16</v>
      </c>
      <c r="E885" s="123">
        <v>462.36</v>
      </c>
      <c r="F885" s="136"/>
      <c r="G885" s="125"/>
      <c r="H885" s="125"/>
      <c r="I885" s="125">
        <f t="shared" si="178"/>
        <v>462.36</v>
      </c>
      <c r="J885" s="62">
        <f>'BIỂU HỢP ĐỒNG'!J848</f>
        <v>12936</v>
      </c>
      <c r="K885" s="43"/>
      <c r="L885" s="62">
        <f t="shared" si="179"/>
        <v>5981089</v>
      </c>
      <c r="M885" s="77">
        <f t="shared" si="180"/>
        <v>0</v>
      </c>
      <c r="N885" s="43">
        <f t="shared" si="181"/>
        <v>0</v>
      </c>
      <c r="O885" s="43">
        <f t="shared" si="182"/>
        <v>0</v>
      </c>
      <c r="P885" s="43">
        <f t="shared" si="172"/>
        <v>5981089</v>
      </c>
      <c r="Q885" s="100"/>
      <c r="R885" s="117"/>
    </row>
    <row r="886" spans="1:18" x14ac:dyDescent="0.25">
      <c r="A886" s="48" t="str">
        <f t="shared" si="166"/>
        <v>HT</v>
      </c>
      <c r="B886" s="32" t="s">
        <v>1209</v>
      </c>
      <c r="C886" s="39" t="s">
        <v>32</v>
      </c>
      <c r="D886" s="13" t="s">
        <v>16</v>
      </c>
      <c r="E886" s="123">
        <v>632.17999999999995</v>
      </c>
      <c r="F886" s="136"/>
      <c r="G886" s="125"/>
      <c r="H886" s="125"/>
      <c r="I886" s="125">
        <f t="shared" si="178"/>
        <v>632.17999999999995</v>
      </c>
      <c r="J886" s="62">
        <f>'BIỂU HỢP ĐỒNG'!J849</f>
        <v>50585</v>
      </c>
      <c r="K886" s="43"/>
      <c r="L886" s="62">
        <f t="shared" si="179"/>
        <v>31978825</v>
      </c>
      <c r="M886" s="77">
        <f t="shared" si="180"/>
        <v>0</v>
      </c>
      <c r="N886" s="43">
        <f t="shared" si="181"/>
        <v>0</v>
      </c>
      <c r="O886" s="43">
        <f t="shared" si="182"/>
        <v>0</v>
      </c>
      <c r="P886" s="43">
        <f t="shared" si="172"/>
        <v>31978825</v>
      </c>
      <c r="Q886" s="100"/>
      <c r="R886" s="117"/>
    </row>
    <row r="887" spans="1:18" x14ac:dyDescent="0.25">
      <c r="A887" s="48" t="str">
        <f t="shared" si="166"/>
        <v>HT</v>
      </c>
      <c r="B887" s="32" t="s">
        <v>1210</v>
      </c>
      <c r="C887" s="39" t="s">
        <v>36</v>
      </c>
      <c r="D887" s="13" t="s">
        <v>37</v>
      </c>
      <c r="E887" s="123">
        <v>63.22</v>
      </c>
      <c r="F887" s="136"/>
      <c r="G887" s="125"/>
      <c r="H887" s="125"/>
      <c r="I887" s="125">
        <f t="shared" si="178"/>
        <v>63.22</v>
      </c>
      <c r="J887" s="62">
        <f>'BIỂU HỢP ĐỒNG'!J850</f>
        <v>1032698</v>
      </c>
      <c r="K887" s="43"/>
      <c r="L887" s="62">
        <f t="shared" si="179"/>
        <v>65287168</v>
      </c>
      <c r="M887" s="77">
        <f t="shared" si="180"/>
        <v>0</v>
      </c>
      <c r="N887" s="43">
        <f t="shared" si="181"/>
        <v>0</v>
      </c>
      <c r="O887" s="43">
        <f t="shared" si="182"/>
        <v>0</v>
      </c>
      <c r="P887" s="43">
        <f t="shared" si="172"/>
        <v>65287168</v>
      </c>
      <c r="Q887" s="100"/>
      <c r="R887" s="117"/>
    </row>
    <row r="888" spans="1:18" x14ac:dyDescent="0.25">
      <c r="A888" s="48" t="str">
        <f t="shared" si="166"/>
        <v>HT</v>
      </c>
      <c r="B888" s="32" t="s">
        <v>1211</v>
      </c>
      <c r="C888" s="39" t="s">
        <v>624</v>
      </c>
      <c r="D888" s="13" t="s">
        <v>16</v>
      </c>
      <c r="E888" s="123">
        <v>349.88</v>
      </c>
      <c r="F888" s="136"/>
      <c r="G888" s="125"/>
      <c r="H888" s="125"/>
      <c r="I888" s="125">
        <f t="shared" si="178"/>
        <v>349.88</v>
      </c>
      <c r="J888" s="62">
        <f>'BIỂU HỢP ĐỒNG'!J851</f>
        <v>271833</v>
      </c>
      <c r="K888" s="43"/>
      <c r="L888" s="62">
        <f t="shared" si="179"/>
        <v>95108930</v>
      </c>
      <c r="M888" s="77">
        <f t="shared" si="180"/>
        <v>0</v>
      </c>
      <c r="N888" s="43">
        <f t="shared" si="181"/>
        <v>0</v>
      </c>
      <c r="O888" s="43">
        <f t="shared" si="182"/>
        <v>0</v>
      </c>
      <c r="P888" s="43">
        <f t="shared" si="172"/>
        <v>95108930</v>
      </c>
      <c r="Q888" s="100"/>
      <c r="R888" s="117"/>
    </row>
    <row r="889" spans="1:18" x14ac:dyDescent="0.25">
      <c r="A889" s="48" t="str">
        <f t="shared" ref="A889:A938" si="183">A888</f>
        <v>HT</v>
      </c>
      <c r="B889" s="32" t="s">
        <v>1212</v>
      </c>
      <c r="C889" s="39" t="s">
        <v>618</v>
      </c>
      <c r="D889" s="13" t="s">
        <v>16</v>
      </c>
      <c r="E889" s="123">
        <v>75.319999999999993</v>
      </c>
      <c r="F889" s="136"/>
      <c r="G889" s="125"/>
      <c r="H889" s="125"/>
      <c r="I889" s="125">
        <f t="shared" si="178"/>
        <v>75.319999999999993</v>
      </c>
      <c r="J889" s="62">
        <f>'BIỂU HỢP ĐỒNG'!J852</f>
        <v>281325</v>
      </c>
      <c r="K889" s="43"/>
      <c r="L889" s="62">
        <f t="shared" si="179"/>
        <v>21189399</v>
      </c>
      <c r="M889" s="77">
        <f t="shared" si="180"/>
        <v>0</v>
      </c>
      <c r="N889" s="43">
        <f t="shared" si="181"/>
        <v>0</v>
      </c>
      <c r="O889" s="43">
        <f t="shared" si="182"/>
        <v>0</v>
      </c>
      <c r="P889" s="43">
        <f t="shared" si="172"/>
        <v>21189399</v>
      </c>
      <c r="Q889" s="100"/>
      <c r="R889" s="117"/>
    </row>
    <row r="890" spans="1:18" x14ac:dyDescent="0.25">
      <c r="A890" s="48" t="str">
        <f t="shared" si="183"/>
        <v>HT</v>
      </c>
      <c r="B890" s="32" t="s">
        <v>1213</v>
      </c>
      <c r="C890" s="39" t="s">
        <v>620</v>
      </c>
      <c r="D890" s="13" t="s">
        <v>75</v>
      </c>
      <c r="E890" s="123">
        <v>18829.13</v>
      </c>
      <c r="F890" s="136"/>
      <c r="G890" s="125"/>
      <c r="H890" s="125"/>
      <c r="I890" s="125">
        <f t="shared" si="178"/>
        <v>18829.13</v>
      </c>
      <c r="J890" s="62">
        <f>'BIỂU HỢP ĐỒNG'!J853</f>
        <v>11223</v>
      </c>
      <c r="K890" s="43"/>
      <c r="L890" s="62">
        <f t="shared" si="179"/>
        <v>211319326</v>
      </c>
      <c r="M890" s="77">
        <f t="shared" si="180"/>
        <v>0</v>
      </c>
      <c r="N890" s="43">
        <f t="shared" si="181"/>
        <v>0</v>
      </c>
      <c r="O890" s="43">
        <f t="shared" si="182"/>
        <v>0</v>
      </c>
      <c r="P890" s="43">
        <f t="shared" ref="P890:P953" si="184">SUM(L890:O890)</f>
        <v>211319326</v>
      </c>
      <c r="Q890" s="100"/>
      <c r="R890" s="117"/>
    </row>
    <row r="891" spans="1:18" x14ac:dyDescent="0.25">
      <c r="A891" s="48" t="str">
        <f t="shared" si="183"/>
        <v>HT</v>
      </c>
      <c r="B891" s="32" t="s">
        <v>1214</v>
      </c>
      <c r="C891" s="39" t="s">
        <v>622</v>
      </c>
      <c r="D891" s="13" t="s">
        <v>13</v>
      </c>
      <c r="E891" s="123">
        <v>376.88</v>
      </c>
      <c r="F891" s="136"/>
      <c r="G891" s="125"/>
      <c r="H891" s="125"/>
      <c r="I891" s="125">
        <f t="shared" si="178"/>
        <v>376.88</v>
      </c>
      <c r="J891" s="62">
        <f>'BIỂU HỢP ĐỒNG'!J854</f>
        <v>19714</v>
      </c>
      <c r="K891" s="43"/>
      <c r="L891" s="62">
        <f t="shared" si="179"/>
        <v>7429812</v>
      </c>
      <c r="M891" s="77">
        <f t="shared" si="180"/>
        <v>0</v>
      </c>
      <c r="N891" s="43">
        <f t="shared" si="181"/>
        <v>0</v>
      </c>
      <c r="O891" s="43">
        <f t="shared" si="182"/>
        <v>0</v>
      </c>
      <c r="P891" s="43">
        <f t="shared" si="184"/>
        <v>7429812</v>
      </c>
      <c r="Q891" s="100"/>
      <c r="R891" s="117"/>
    </row>
    <row r="892" spans="1:18" x14ac:dyDescent="0.25">
      <c r="A892" s="48" t="str">
        <f t="shared" si="183"/>
        <v>HT</v>
      </c>
      <c r="B892" s="32" t="s">
        <v>1215</v>
      </c>
      <c r="C892" s="39" t="s">
        <v>626</v>
      </c>
      <c r="D892" s="13" t="s">
        <v>16</v>
      </c>
      <c r="E892" s="123">
        <v>848.75</v>
      </c>
      <c r="F892" s="136"/>
      <c r="G892" s="125"/>
      <c r="H892" s="125"/>
      <c r="I892" s="125">
        <f t="shared" si="178"/>
        <v>848.75</v>
      </c>
      <c r="J892" s="62">
        <f>'BIỂU HỢP ĐỒNG'!J855</f>
        <v>45382</v>
      </c>
      <c r="K892" s="43"/>
      <c r="L892" s="62">
        <f t="shared" si="179"/>
        <v>38517973</v>
      </c>
      <c r="M892" s="77">
        <f t="shared" si="180"/>
        <v>0</v>
      </c>
      <c r="N892" s="43">
        <f t="shared" si="181"/>
        <v>0</v>
      </c>
      <c r="O892" s="43">
        <f t="shared" si="182"/>
        <v>0</v>
      </c>
      <c r="P892" s="43">
        <f t="shared" si="184"/>
        <v>38517973</v>
      </c>
      <c r="Q892" s="100"/>
      <c r="R892" s="117"/>
    </row>
    <row r="893" spans="1:18" x14ac:dyDescent="0.25">
      <c r="A893" s="48" t="str">
        <f t="shared" si="183"/>
        <v>HT</v>
      </c>
      <c r="B893" s="32" t="s">
        <v>1216</v>
      </c>
      <c r="C893" s="39" t="s">
        <v>692</v>
      </c>
      <c r="D893" s="13" t="s">
        <v>16</v>
      </c>
      <c r="E893" s="123">
        <v>57.9</v>
      </c>
      <c r="F893" s="136"/>
      <c r="G893" s="125"/>
      <c r="H893" s="125"/>
      <c r="I893" s="125">
        <f t="shared" si="178"/>
        <v>57.9</v>
      </c>
      <c r="J893" s="62">
        <f>'BIỂU HỢP ĐỒNG'!J856</f>
        <v>2101184</v>
      </c>
      <c r="K893" s="43"/>
      <c r="L893" s="62">
        <f t="shared" si="179"/>
        <v>121658554</v>
      </c>
      <c r="M893" s="77">
        <f t="shared" si="180"/>
        <v>0</v>
      </c>
      <c r="N893" s="43">
        <f t="shared" si="181"/>
        <v>0</v>
      </c>
      <c r="O893" s="43">
        <f t="shared" si="182"/>
        <v>0</v>
      </c>
      <c r="P893" s="43">
        <f t="shared" si="184"/>
        <v>121658554</v>
      </c>
      <c r="Q893" s="100"/>
      <c r="R893" s="117"/>
    </row>
    <row r="894" spans="1:18" x14ac:dyDescent="0.25">
      <c r="A894" s="48" t="str">
        <f t="shared" si="183"/>
        <v>HT</v>
      </c>
      <c r="B894" s="32" t="s">
        <v>1217</v>
      </c>
      <c r="C894" s="39" t="s">
        <v>560</v>
      </c>
      <c r="D894" s="13" t="s">
        <v>16</v>
      </c>
      <c r="E894" s="123">
        <v>59.34</v>
      </c>
      <c r="F894" s="136"/>
      <c r="G894" s="125"/>
      <c r="H894" s="125"/>
      <c r="I894" s="125">
        <f t="shared" si="178"/>
        <v>59.34</v>
      </c>
      <c r="J894" s="62">
        <f>'BIỂU HỢP ĐỒNG'!J857</f>
        <v>57102</v>
      </c>
      <c r="K894" s="43"/>
      <c r="L894" s="62">
        <f t="shared" si="179"/>
        <v>3388433</v>
      </c>
      <c r="M894" s="77">
        <f t="shared" si="180"/>
        <v>0</v>
      </c>
      <c r="N894" s="43">
        <f t="shared" si="181"/>
        <v>0</v>
      </c>
      <c r="O894" s="43">
        <f t="shared" si="182"/>
        <v>0</v>
      </c>
      <c r="P894" s="43">
        <f t="shared" si="184"/>
        <v>3388433</v>
      </c>
      <c r="Q894" s="100"/>
      <c r="R894" s="117"/>
    </row>
    <row r="895" spans="1:18" x14ac:dyDescent="0.25">
      <c r="A895" s="48" t="str">
        <f t="shared" si="183"/>
        <v>HT</v>
      </c>
      <c r="B895" s="32" t="s">
        <v>1218</v>
      </c>
      <c r="C895" s="39" t="s">
        <v>562</v>
      </c>
      <c r="D895" s="13" t="s">
        <v>16</v>
      </c>
      <c r="E895" s="123">
        <v>59.34</v>
      </c>
      <c r="F895" s="136"/>
      <c r="G895" s="125"/>
      <c r="H895" s="125"/>
      <c r="I895" s="125">
        <f t="shared" si="178"/>
        <v>59.34</v>
      </c>
      <c r="J895" s="62">
        <f>'BIỂU HỢP ĐỒNG'!J858</f>
        <v>266680</v>
      </c>
      <c r="K895" s="43"/>
      <c r="L895" s="62">
        <f t="shared" si="179"/>
        <v>15824791</v>
      </c>
      <c r="M895" s="77">
        <f t="shared" si="180"/>
        <v>0</v>
      </c>
      <c r="N895" s="43">
        <f t="shared" si="181"/>
        <v>0</v>
      </c>
      <c r="O895" s="43">
        <f t="shared" si="182"/>
        <v>0</v>
      </c>
      <c r="P895" s="43">
        <f t="shared" si="184"/>
        <v>15824791</v>
      </c>
      <c r="Q895" s="100"/>
      <c r="R895" s="117"/>
    </row>
    <row r="896" spans="1:18" x14ac:dyDescent="0.25">
      <c r="A896" s="48" t="str">
        <f t="shared" si="183"/>
        <v>HT</v>
      </c>
      <c r="B896" s="32" t="s">
        <v>1219</v>
      </c>
      <c r="C896" s="39" t="s">
        <v>696</v>
      </c>
      <c r="D896" s="13" t="s">
        <v>90</v>
      </c>
      <c r="E896" s="123">
        <v>0.17</v>
      </c>
      <c r="F896" s="136"/>
      <c r="G896" s="125"/>
      <c r="H896" s="125"/>
      <c r="I896" s="125">
        <f t="shared" si="178"/>
        <v>0.17</v>
      </c>
      <c r="J896" s="62">
        <f>'BIỂU HỢP ĐỒNG'!J859</f>
        <v>25850539</v>
      </c>
      <c r="K896" s="43"/>
      <c r="L896" s="62">
        <f t="shared" si="179"/>
        <v>4394592</v>
      </c>
      <c r="M896" s="77">
        <f t="shared" si="180"/>
        <v>0</v>
      </c>
      <c r="N896" s="43">
        <f t="shared" si="181"/>
        <v>0</v>
      </c>
      <c r="O896" s="43">
        <f t="shared" si="182"/>
        <v>0</v>
      </c>
      <c r="P896" s="43">
        <f t="shared" si="184"/>
        <v>4394592</v>
      </c>
      <c r="Q896" s="100"/>
      <c r="R896" s="117"/>
    </row>
    <row r="897" spans="1:18" x14ac:dyDescent="0.25">
      <c r="A897" s="48" t="str">
        <f t="shared" si="183"/>
        <v>HT</v>
      </c>
      <c r="B897" s="32" t="s">
        <v>1220</v>
      </c>
      <c r="C897" s="39" t="s">
        <v>698</v>
      </c>
      <c r="D897" s="13" t="s">
        <v>90</v>
      </c>
      <c r="E897" s="123">
        <v>2.66</v>
      </c>
      <c r="F897" s="136"/>
      <c r="G897" s="125"/>
      <c r="H897" s="125"/>
      <c r="I897" s="125">
        <f t="shared" si="178"/>
        <v>2.66</v>
      </c>
      <c r="J897" s="62">
        <f>'BIỂU HỢP ĐỒNG'!J860</f>
        <v>25593806</v>
      </c>
      <c r="K897" s="43"/>
      <c r="L897" s="62">
        <f t="shared" si="179"/>
        <v>68079524</v>
      </c>
      <c r="M897" s="77">
        <f t="shared" si="180"/>
        <v>0</v>
      </c>
      <c r="N897" s="43">
        <f t="shared" si="181"/>
        <v>0</v>
      </c>
      <c r="O897" s="43">
        <f t="shared" si="182"/>
        <v>0</v>
      </c>
      <c r="P897" s="43">
        <f t="shared" si="184"/>
        <v>68079524</v>
      </c>
      <c r="Q897" s="100"/>
      <c r="R897" s="117"/>
    </row>
    <row r="898" spans="1:18" x14ac:dyDescent="0.25">
      <c r="A898" s="48" t="str">
        <f t="shared" si="183"/>
        <v>HT</v>
      </c>
      <c r="B898" s="32" t="s">
        <v>1221</v>
      </c>
      <c r="C898" s="39" t="s">
        <v>1222</v>
      </c>
      <c r="D898" s="13" t="s">
        <v>90</v>
      </c>
      <c r="E898" s="123">
        <v>5.74</v>
      </c>
      <c r="F898" s="136"/>
      <c r="G898" s="125"/>
      <c r="H898" s="125"/>
      <c r="I898" s="125">
        <f t="shared" si="178"/>
        <v>5.74</v>
      </c>
      <c r="J898" s="62">
        <f>'BIỂU HỢP ĐỒNG'!J861</f>
        <v>24899152</v>
      </c>
      <c r="K898" s="43"/>
      <c r="L898" s="62">
        <f t="shared" si="179"/>
        <v>142921132</v>
      </c>
      <c r="M898" s="77">
        <f t="shared" si="180"/>
        <v>0</v>
      </c>
      <c r="N898" s="43">
        <f t="shared" si="181"/>
        <v>0</v>
      </c>
      <c r="O898" s="43">
        <f t="shared" si="182"/>
        <v>0</v>
      </c>
      <c r="P898" s="43">
        <f t="shared" si="184"/>
        <v>142921132</v>
      </c>
      <c r="Q898" s="100"/>
      <c r="R898" s="117"/>
    </row>
    <row r="899" spans="1:18" x14ac:dyDescent="0.25">
      <c r="A899" s="48" t="str">
        <f t="shared" si="183"/>
        <v>HT</v>
      </c>
      <c r="B899" s="32" t="s">
        <v>1223</v>
      </c>
      <c r="C899" s="39" t="s">
        <v>700</v>
      </c>
      <c r="D899" s="13" t="s">
        <v>16</v>
      </c>
      <c r="E899" s="123">
        <v>34.56</v>
      </c>
      <c r="F899" s="136"/>
      <c r="G899" s="125"/>
      <c r="H899" s="125"/>
      <c r="I899" s="125">
        <f t="shared" si="178"/>
        <v>34.56</v>
      </c>
      <c r="J899" s="62">
        <f>'BIỂU HỢP ĐỒNG'!J862</f>
        <v>1147575</v>
      </c>
      <c r="K899" s="43"/>
      <c r="L899" s="62">
        <f t="shared" si="179"/>
        <v>39660192</v>
      </c>
      <c r="M899" s="77">
        <f t="shared" si="180"/>
        <v>0</v>
      </c>
      <c r="N899" s="43">
        <f t="shared" si="181"/>
        <v>0</v>
      </c>
      <c r="O899" s="43">
        <f t="shared" si="182"/>
        <v>0</v>
      </c>
      <c r="P899" s="43">
        <f t="shared" si="184"/>
        <v>39660192</v>
      </c>
      <c r="Q899" s="100"/>
      <c r="R899" s="117"/>
    </row>
    <row r="900" spans="1:18" x14ac:dyDescent="0.25">
      <c r="A900" s="48" t="str">
        <f t="shared" si="183"/>
        <v>HT</v>
      </c>
      <c r="B900" s="32" t="s">
        <v>1224</v>
      </c>
      <c r="C900" s="39" t="s">
        <v>702</v>
      </c>
      <c r="D900" s="13" t="s">
        <v>13</v>
      </c>
      <c r="E900" s="123">
        <v>266.81</v>
      </c>
      <c r="F900" s="136"/>
      <c r="G900" s="125"/>
      <c r="H900" s="125"/>
      <c r="I900" s="125">
        <f t="shared" si="178"/>
        <v>266.81</v>
      </c>
      <c r="J900" s="62">
        <f>'BIỂU HỢP ĐỒNG'!J863</f>
        <v>141724</v>
      </c>
      <c r="K900" s="43"/>
      <c r="L900" s="62">
        <f t="shared" si="179"/>
        <v>37813380</v>
      </c>
      <c r="M900" s="77">
        <f t="shared" si="180"/>
        <v>0</v>
      </c>
      <c r="N900" s="43">
        <f t="shared" si="181"/>
        <v>0</v>
      </c>
      <c r="O900" s="43">
        <f t="shared" si="182"/>
        <v>0</v>
      </c>
      <c r="P900" s="43">
        <f t="shared" si="184"/>
        <v>37813380</v>
      </c>
      <c r="Q900" s="100"/>
      <c r="R900" s="117"/>
    </row>
    <row r="901" spans="1:18" x14ac:dyDescent="0.25">
      <c r="A901" s="48" t="str">
        <f t="shared" si="183"/>
        <v>HT</v>
      </c>
      <c r="B901" s="32" t="s">
        <v>1225</v>
      </c>
      <c r="C901" s="39" t="s">
        <v>704</v>
      </c>
      <c r="D901" s="13" t="s">
        <v>13</v>
      </c>
      <c r="E901" s="123">
        <v>568.73</v>
      </c>
      <c r="F901" s="136"/>
      <c r="G901" s="125"/>
      <c r="H901" s="125"/>
      <c r="I901" s="125">
        <f t="shared" si="178"/>
        <v>568.73</v>
      </c>
      <c r="J901" s="62">
        <f>'BIỂU HỢP ĐỒNG'!J864</f>
        <v>76805</v>
      </c>
      <c r="K901" s="43"/>
      <c r="L901" s="62">
        <f t="shared" si="179"/>
        <v>43681308</v>
      </c>
      <c r="M901" s="77">
        <f t="shared" si="180"/>
        <v>0</v>
      </c>
      <c r="N901" s="43">
        <f t="shared" si="181"/>
        <v>0</v>
      </c>
      <c r="O901" s="43">
        <f t="shared" si="182"/>
        <v>0</v>
      </c>
      <c r="P901" s="43">
        <f t="shared" si="184"/>
        <v>43681308</v>
      </c>
      <c r="Q901" s="100"/>
      <c r="R901" s="117"/>
    </row>
    <row r="902" spans="1:18" x14ac:dyDescent="0.25">
      <c r="A902" s="48" t="str">
        <f t="shared" si="183"/>
        <v>HT</v>
      </c>
      <c r="B902" s="32" t="s">
        <v>1226</v>
      </c>
      <c r="C902" s="39" t="s">
        <v>587</v>
      </c>
      <c r="D902" s="13" t="s">
        <v>16</v>
      </c>
      <c r="E902" s="123">
        <v>45.32</v>
      </c>
      <c r="F902" s="136"/>
      <c r="G902" s="125"/>
      <c r="H902" s="125"/>
      <c r="I902" s="125">
        <f t="shared" si="178"/>
        <v>45.32</v>
      </c>
      <c r="J902" s="62">
        <f>'BIỂU HỢP ĐỒNG'!J865</f>
        <v>851305</v>
      </c>
      <c r="K902" s="43"/>
      <c r="L902" s="62">
        <f t="shared" si="179"/>
        <v>38581143</v>
      </c>
      <c r="M902" s="77">
        <f t="shared" si="180"/>
        <v>0</v>
      </c>
      <c r="N902" s="43">
        <f t="shared" si="181"/>
        <v>0</v>
      </c>
      <c r="O902" s="43">
        <f t="shared" si="182"/>
        <v>0</v>
      </c>
      <c r="P902" s="43">
        <f t="shared" si="184"/>
        <v>38581143</v>
      </c>
      <c r="Q902" s="100"/>
      <c r="R902" s="117"/>
    </row>
    <row r="903" spans="1:18" x14ac:dyDescent="0.25">
      <c r="A903" s="48" t="str">
        <f t="shared" si="183"/>
        <v>HT</v>
      </c>
      <c r="B903" s="32" t="s">
        <v>1227</v>
      </c>
      <c r="C903" s="39" t="s">
        <v>707</v>
      </c>
      <c r="D903" s="13" t="s">
        <v>90</v>
      </c>
      <c r="E903" s="123">
        <v>0.02</v>
      </c>
      <c r="F903" s="136"/>
      <c r="G903" s="125"/>
      <c r="H903" s="125"/>
      <c r="I903" s="125">
        <f t="shared" si="178"/>
        <v>0.02</v>
      </c>
      <c r="J903" s="62">
        <f>'BIỂU HỢP ĐỒNG'!J866</f>
        <v>25850539</v>
      </c>
      <c r="K903" s="43"/>
      <c r="L903" s="62">
        <f t="shared" si="179"/>
        <v>517011</v>
      </c>
      <c r="M903" s="77">
        <f t="shared" si="180"/>
        <v>0</v>
      </c>
      <c r="N903" s="43">
        <f t="shared" si="181"/>
        <v>0</v>
      </c>
      <c r="O903" s="43">
        <f t="shared" si="182"/>
        <v>0</v>
      </c>
      <c r="P903" s="43">
        <f t="shared" si="184"/>
        <v>517011</v>
      </c>
      <c r="Q903" s="100"/>
      <c r="R903" s="117"/>
    </row>
    <row r="904" spans="1:18" x14ac:dyDescent="0.25">
      <c r="A904" s="48" t="str">
        <f t="shared" si="183"/>
        <v>HT</v>
      </c>
      <c r="B904" s="32" t="s">
        <v>1228</v>
      </c>
      <c r="C904" s="39" t="s">
        <v>709</v>
      </c>
      <c r="D904" s="13" t="s">
        <v>90</v>
      </c>
      <c r="E904" s="123">
        <v>0.22</v>
      </c>
      <c r="F904" s="136"/>
      <c r="G904" s="125"/>
      <c r="H904" s="125"/>
      <c r="I904" s="125">
        <f t="shared" si="178"/>
        <v>0.22</v>
      </c>
      <c r="J904" s="62">
        <f>'BIỂU HỢP ĐỒNG'!J867</f>
        <v>24899152</v>
      </c>
      <c r="K904" s="43"/>
      <c r="L904" s="62">
        <f t="shared" si="179"/>
        <v>5477813</v>
      </c>
      <c r="M904" s="77">
        <f t="shared" si="180"/>
        <v>0</v>
      </c>
      <c r="N904" s="43">
        <f t="shared" si="181"/>
        <v>0</v>
      </c>
      <c r="O904" s="43">
        <f t="shared" si="182"/>
        <v>0</v>
      </c>
      <c r="P904" s="43">
        <f t="shared" si="184"/>
        <v>5477813</v>
      </c>
      <c r="Q904" s="100"/>
      <c r="R904" s="117"/>
    </row>
    <row r="905" spans="1:18" x14ac:dyDescent="0.25">
      <c r="A905" s="48" t="str">
        <f t="shared" si="183"/>
        <v>HT</v>
      </c>
      <c r="B905" s="32" t="s">
        <v>1229</v>
      </c>
      <c r="C905" s="39" t="s">
        <v>1230</v>
      </c>
      <c r="D905" s="13" t="s">
        <v>90</v>
      </c>
      <c r="E905" s="123">
        <v>0.22</v>
      </c>
      <c r="F905" s="136"/>
      <c r="G905" s="125"/>
      <c r="H905" s="125"/>
      <c r="I905" s="125">
        <f t="shared" si="178"/>
        <v>0.22</v>
      </c>
      <c r="J905" s="62">
        <f>'BIỂU HỢP ĐỒNG'!J868</f>
        <v>9028655</v>
      </c>
      <c r="K905" s="43"/>
      <c r="L905" s="62">
        <f t="shared" si="179"/>
        <v>1986304</v>
      </c>
      <c r="M905" s="77">
        <f t="shared" si="180"/>
        <v>0</v>
      </c>
      <c r="N905" s="43">
        <f t="shared" si="181"/>
        <v>0</v>
      </c>
      <c r="O905" s="43">
        <f t="shared" si="182"/>
        <v>0</v>
      </c>
      <c r="P905" s="43">
        <f t="shared" si="184"/>
        <v>1986304</v>
      </c>
      <c r="Q905" s="100"/>
      <c r="R905" s="117"/>
    </row>
    <row r="906" spans="1:18" x14ac:dyDescent="0.25">
      <c r="A906" s="48" t="str">
        <f t="shared" si="183"/>
        <v>HT</v>
      </c>
      <c r="B906" s="32" t="s">
        <v>1231</v>
      </c>
      <c r="C906" s="39" t="s">
        <v>711</v>
      </c>
      <c r="D906" s="13" t="s">
        <v>75</v>
      </c>
      <c r="E906" s="123">
        <v>29.12</v>
      </c>
      <c r="F906" s="136"/>
      <c r="G906" s="125"/>
      <c r="H906" s="125"/>
      <c r="I906" s="125">
        <f t="shared" si="178"/>
        <v>29.12</v>
      </c>
      <c r="J906" s="62">
        <f>'BIỂU HỢP ĐỒNG'!J869</f>
        <v>23353</v>
      </c>
      <c r="K906" s="43"/>
      <c r="L906" s="62">
        <f t="shared" si="179"/>
        <v>680039</v>
      </c>
      <c r="M906" s="77">
        <f t="shared" si="180"/>
        <v>0</v>
      </c>
      <c r="N906" s="43">
        <f t="shared" si="181"/>
        <v>0</v>
      </c>
      <c r="O906" s="43">
        <f t="shared" si="182"/>
        <v>0</v>
      </c>
      <c r="P906" s="43">
        <f t="shared" si="184"/>
        <v>680039</v>
      </c>
      <c r="Q906" s="100"/>
      <c r="R906" s="117"/>
    </row>
    <row r="907" spans="1:18" x14ac:dyDescent="0.25">
      <c r="A907" s="48" t="str">
        <f t="shared" si="183"/>
        <v>HT</v>
      </c>
      <c r="B907" s="32" t="s">
        <v>1232</v>
      </c>
      <c r="C907" s="39" t="s">
        <v>713</v>
      </c>
      <c r="D907" s="13" t="s">
        <v>13</v>
      </c>
      <c r="E907" s="123">
        <v>0.75</v>
      </c>
      <c r="F907" s="136"/>
      <c r="G907" s="125"/>
      <c r="H907" s="125"/>
      <c r="I907" s="125">
        <f t="shared" si="178"/>
        <v>0.75</v>
      </c>
      <c r="J907" s="62">
        <f>'BIỂU HỢP ĐỒNG'!J870</f>
        <v>370346</v>
      </c>
      <c r="K907" s="43"/>
      <c r="L907" s="62">
        <f t="shared" si="179"/>
        <v>277760</v>
      </c>
      <c r="M907" s="77">
        <f t="shared" si="180"/>
        <v>0</v>
      </c>
      <c r="N907" s="43">
        <f t="shared" si="181"/>
        <v>0</v>
      </c>
      <c r="O907" s="43">
        <f t="shared" si="182"/>
        <v>0</v>
      </c>
      <c r="P907" s="43">
        <f t="shared" si="184"/>
        <v>277760</v>
      </c>
      <c r="Q907" s="100"/>
      <c r="R907" s="117"/>
    </row>
    <row r="908" spans="1:18" x14ac:dyDescent="0.25">
      <c r="A908" s="48" t="str">
        <f t="shared" si="183"/>
        <v>HT</v>
      </c>
      <c r="B908" s="32" t="s">
        <v>1233</v>
      </c>
      <c r="C908" s="39" t="s">
        <v>715</v>
      </c>
      <c r="D908" s="13" t="s">
        <v>75</v>
      </c>
      <c r="E908" s="123">
        <v>27.2</v>
      </c>
      <c r="F908" s="136"/>
      <c r="G908" s="125"/>
      <c r="H908" s="125"/>
      <c r="I908" s="125">
        <f t="shared" si="178"/>
        <v>27.2</v>
      </c>
      <c r="J908" s="62">
        <f>'BIỂU HỢP ĐỒNG'!J871</f>
        <v>126388</v>
      </c>
      <c r="K908" s="43"/>
      <c r="L908" s="62">
        <f t="shared" si="179"/>
        <v>3437754</v>
      </c>
      <c r="M908" s="77">
        <f t="shared" si="180"/>
        <v>0</v>
      </c>
      <c r="N908" s="43">
        <f t="shared" si="181"/>
        <v>0</v>
      </c>
      <c r="O908" s="43">
        <f t="shared" si="182"/>
        <v>0</v>
      </c>
      <c r="P908" s="43">
        <f t="shared" si="184"/>
        <v>3437754</v>
      </c>
      <c r="Q908" s="100"/>
      <c r="R908" s="117"/>
    </row>
    <row r="909" spans="1:18" x14ac:dyDescent="0.25">
      <c r="A909" s="48" t="str">
        <f t="shared" si="183"/>
        <v>HT</v>
      </c>
      <c r="B909" s="32" t="s">
        <v>1234</v>
      </c>
      <c r="C909" s="39" t="s">
        <v>717</v>
      </c>
      <c r="D909" s="13" t="s">
        <v>16</v>
      </c>
      <c r="E909" s="123">
        <v>75.97</v>
      </c>
      <c r="F909" s="136"/>
      <c r="G909" s="125"/>
      <c r="H909" s="125"/>
      <c r="I909" s="125">
        <f t="shared" si="178"/>
        <v>75.97</v>
      </c>
      <c r="J909" s="62">
        <f>'BIỂU HỢP ĐỒNG'!J872</f>
        <v>1724716</v>
      </c>
      <c r="K909" s="43"/>
      <c r="L909" s="62">
        <f t="shared" si="179"/>
        <v>131026675</v>
      </c>
      <c r="M909" s="77">
        <f t="shared" si="180"/>
        <v>0</v>
      </c>
      <c r="N909" s="43">
        <f t="shared" si="181"/>
        <v>0</v>
      </c>
      <c r="O909" s="43">
        <f t="shared" si="182"/>
        <v>0</v>
      </c>
      <c r="P909" s="43">
        <f t="shared" si="184"/>
        <v>131026675</v>
      </c>
      <c r="Q909" s="100"/>
      <c r="R909" s="117"/>
    </row>
    <row r="910" spans="1:18" x14ac:dyDescent="0.25">
      <c r="A910" s="48" t="str">
        <f t="shared" si="183"/>
        <v>HT</v>
      </c>
      <c r="B910" s="32" t="s">
        <v>1235</v>
      </c>
      <c r="C910" s="39" t="s">
        <v>560</v>
      </c>
      <c r="D910" s="13" t="s">
        <v>16</v>
      </c>
      <c r="E910" s="123">
        <v>77.11</v>
      </c>
      <c r="F910" s="136"/>
      <c r="G910" s="125"/>
      <c r="H910" s="125"/>
      <c r="I910" s="125">
        <f t="shared" si="178"/>
        <v>77.11</v>
      </c>
      <c r="J910" s="62">
        <f>'BIỂU HỢP ĐỒNG'!J873</f>
        <v>57102</v>
      </c>
      <c r="K910" s="43"/>
      <c r="L910" s="62">
        <f t="shared" si="179"/>
        <v>4403135</v>
      </c>
      <c r="M910" s="77">
        <f t="shared" si="180"/>
        <v>0</v>
      </c>
      <c r="N910" s="43">
        <f t="shared" si="181"/>
        <v>0</v>
      </c>
      <c r="O910" s="43">
        <f t="shared" si="182"/>
        <v>0</v>
      </c>
      <c r="P910" s="43">
        <f t="shared" si="184"/>
        <v>4403135</v>
      </c>
      <c r="Q910" s="100"/>
      <c r="R910" s="117"/>
    </row>
    <row r="911" spans="1:18" x14ac:dyDescent="0.25">
      <c r="A911" s="48" t="str">
        <f t="shared" si="183"/>
        <v>HT</v>
      </c>
      <c r="B911" s="32" t="s">
        <v>1236</v>
      </c>
      <c r="C911" s="39" t="s">
        <v>562</v>
      </c>
      <c r="D911" s="13" t="s">
        <v>16</v>
      </c>
      <c r="E911" s="123">
        <v>77.11</v>
      </c>
      <c r="F911" s="136"/>
      <c r="G911" s="125"/>
      <c r="H911" s="125"/>
      <c r="I911" s="125">
        <f t="shared" si="178"/>
        <v>77.11</v>
      </c>
      <c r="J911" s="62">
        <f>'BIỂU HỢP ĐỒNG'!J874</f>
        <v>266680</v>
      </c>
      <c r="K911" s="43"/>
      <c r="L911" s="62">
        <f t="shared" si="179"/>
        <v>20563695</v>
      </c>
      <c r="M911" s="77">
        <f t="shared" si="180"/>
        <v>0</v>
      </c>
      <c r="N911" s="43">
        <f t="shared" si="181"/>
        <v>0</v>
      </c>
      <c r="O911" s="43">
        <f t="shared" si="182"/>
        <v>0</v>
      </c>
      <c r="P911" s="43">
        <f t="shared" si="184"/>
        <v>20563695</v>
      </c>
      <c r="Q911" s="100"/>
      <c r="R911" s="117"/>
    </row>
    <row r="912" spans="1:18" x14ac:dyDescent="0.25">
      <c r="A912" s="48" t="str">
        <f t="shared" si="183"/>
        <v>HT</v>
      </c>
      <c r="B912" s="32" t="s">
        <v>1237</v>
      </c>
      <c r="C912" s="39" t="s">
        <v>721</v>
      </c>
      <c r="D912" s="13" t="s">
        <v>90</v>
      </c>
      <c r="E912" s="123">
        <v>0.19</v>
      </c>
      <c r="F912" s="136"/>
      <c r="G912" s="125"/>
      <c r="H912" s="125"/>
      <c r="I912" s="125">
        <f t="shared" ref="I912:I943" si="185">SUM(E912:H912)</f>
        <v>0.19</v>
      </c>
      <c r="J912" s="62">
        <f>'BIỂU HỢP ĐỒNG'!J875</f>
        <v>25183853</v>
      </c>
      <c r="K912" s="43"/>
      <c r="L912" s="62">
        <f t="shared" ref="L912:L937" si="186">+ROUND(J912*E912,0)</f>
        <v>4784932</v>
      </c>
      <c r="M912" s="77">
        <f t="shared" ref="M912:M937" si="187">+ROUND(F912*J912,0)</f>
        <v>0</v>
      </c>
      <c r="N912" s="43">
        <f t="shared" ref="N912:N937" si="188">+ROUND(G912*J912,0)</f>
        <v>0</v>
      </c>
      <c r="O912" s="43">
        <f t="shared" ref="O912:O937" si="189">+ROUND(H912*J912,0)</f>
        <v>0</v>
      </c>
      <c r="P912" s="43">
        <f t="shared" si="184"/>
        <v>4784932</v>
      </c>
      <c r="Q912" s="100"/>
      <c r="R912" s="117"/>
    </row>
    <row r="913" spans="1:18" x14ac:dyDescent="0.25">
      <c r="A913" s="48" t="str">
        <f t="shared" si="183"/>
        <v>HT</v>
      </c>
      <c r="B913" s="32" t="s">
        <v>1238</v>
      </c>
      <c r="C913" s="39" t="s">
        <v>723</v>
      </c>
      <c r="D913" s="13" t="s">
        <v>90</v>
      </c>
      <c r="E913" s="123">
        <v>2.4700000000000002</v>
      </c>
      <c r="F913" s="136"/>
      <c r="G913" s="125"/>
      <c r="H913" s="125"/>
      <c r="I913" s="125">
        <f t="shared" si="185"/>
        <v>2.4700000000000002</v>
      </c>
      <c r="J913" s="62">
        <f>'BIỂU HỢP ĐỒNG'!J876</f>
        <v>24802876</v>
      </c>
      <c r="K913" s="43"/>
      <c r="L913" s="62">
        <f t="shared" si="186"/>
        <v>61263104</v>
      </c>
      <c r="M913" s="77">
        <f t="shared" si="187"/>
        <v>0</v>
      </c>
      <c r="N913" s="43">
        <f t="shared" si="188"/>
        <v>0</v>
      </c>
      <c r="O913" s="43">
        <f t="shared" si="189"/>
        <v>0</v>
      </c>
      <c r="P913" s="43">
        <f t="shared" si="184"/>
        <v>61263104</v>
      </c>
      <c r="Q913" s="100"/>
      <c r="R913" s="117"/>
    </row>
    <row r="914" spans="1:18" x14ac:dyDescent="0.25">
      <c r="A914" s="48" t="str">
        <f t="shared" si="183"/>
        <v>HT</v>
      </c>
      <c r="B914" s="32" t="s">
        <v>1239</v>
      </c>
      <c r="C914" s="39" t="s">
        <v>1240</v>
      </c>
      <c r="D914" s="13" t="s">
        <v>90</v>
      </c>
      <c r="E914" s="123">
        <v>5.46</v>
      </c>
      <c r="F914" s="136"/>
      <c r="G914" s="125"/>
      <c r="H914" s="125"/>
      <c r="I914" s="125">
        <f t="shared" si="185"/>
        <v>5.46</v>
      </c>
      <c r="J914" s="62">
        <f>'BIỂU HỢP ĐỒNG'!J877</f>
        <v>24165799</v>
      </c>
      <c r="K914" s="43"/>
      <c r="L914" s="62">
        <f t="shared" si="186"/>
        <v>131945263</v>
      </c>
      <c r="M914" s="77">
        <f t="shared" si="187"/>
        <v>0</v>
      </c>
      <c r="N914" s="43">
        <f t="shared" si="188"/>
        <v>0</v>
      </c>
      <c r="O914" s="43">
        <f t="shared" si="189"/>
        <v>0</v>
      </c>
      <c r="P914" s="43">
        <f t="shared" si="184"/>
        <v>131945263</v>
      </c>
      <c r="Q914" s="100"/>
      <c r="R914" s="117"/>
    </row>
    <row r="915" spans="1:18" x14ac:dyDescent="0.25">
      <c r="A915" s="48" t="str">
        <f t="shared" si="183"/>
        <v>HT</v>
      </c>
      <c r="B915" s="32" t="s">
        <v>1241</v>
      </c>
      <c r="C915" s="39" t="s">
        <v>651</v>
      </c>
      <c r="D915" s="13" t="s">
        <v>13</v>
      </c>
      <c r="E915" s="123">
        <v>64.63</v>
      </c>
      <c r="F915" s="136"/>
      <c r="G915" s="125"/>
      <c r="H915" s="125"/>
      <c r="I915" s="125">
        <f t="shared" si="185"/>
        <v>64.63</v>
      </c>
      <c r="J915" s="62">
        <f>'BIỂU HỢP ĐỒNG'!J878</f>
        <v>103945</v>
      </c>
      <c r="K915" s="43"/>
      <c r="L915" s="62">
        <f t="shared" si="186"/>
        <v>6717965</v>
      </c>
      <c r="M915" s="77">
        <f t="shared" si="187"/>
        <v>0</v>
      </c>
      <c r="N915" s="43">
        <f t="shared" si="188"/>
        <v>0</v>
      </c>
      <c r="O915" s="43">
        <f t="shared" si="189"/>
        <v>0</v>
      </c>
      <c r="P915" s="43">
        <f t="shared" si="184"/>
        <v>6717965</v>
      </c>
      <c r="Q915" s="100"/>
      <c r="R915" s="117"/>
    </row>
    <row r="916" spans="1:18" x14ac:dyDescent="0.25">
      <c r="A916" s="48" t="str">
        <f t="shared" si="183"/>
        <v>HT</v>
      </c>
      <c r="B916" s="32" t="s">
        <v>1242</v>
      </c>
      <c r="C916" s="39" t="s">
        <v>725</v>
      </c>
      <c r="D916" s="13" t="s">
        <v>16</v>
      </c>
      <c r="E916" s="123">
        <v>66.5</v>
      </c>
      <c r="F916" s="136"/>
      <c r="G916" s="125"/>
      <c r="H916" s="125"/>
      <c r="I916" s="125">
        <f t="shared" si="185"/>
        <v>66.5</v>
      </c>
      <c r="J916" s="62">
        <f>'BIỂU HỢP ĐỒNG'!J879</f>
        <v>2045945</v>
      </c>
      <c r="K916" s="43"/>
      <c r="L916" s="62">
        <f t="shared" si="186"/>
        <v>136055343</v>
      </c>
      <c r="M916" s="77">
        <f t="shared" si="187"/>
        <v>0</v>
      </c>
      <c r="N916" s="43">
        <f t="shared" si="188"/>
        <v>0</v>
      </c>
      <c r="O916" s="43">
        <f t="shared" si="189"/>
        <v>0</v>
      </c>
      <c r="P916" s="43">
        <f t="shared" si="184"/>
        <v>136055343</v>
      </c>
      <c r="Q916" s="100"/>
      <c r="R916" s="117"/>
    </row>
    <row r="917" spans="1:18" x14ac:dyDescent="0.25">
      <c r="A917" s="48" t="str">
        <f t="shared" si="183"/>
        <v>HT</v>
      </c>
      <c r="B917" s="32" t="s">
        <v>1243</v>
      </c>
      <c r="C917" s="39" t="s">
        <v>560</v>
      </c>
      <c r="D917" s="13" t="s">
        <v>16</v>
      </c>
      <c r="E917" s="123">
        <v>67.5</v>
      </c>
      <c r="F917" s="136"/>
      <c r="G917" s="125"/>
      <c r="H917" s="125"/>
      <c r="I917" s="125">
        <f t="shared" si="185"/>
        <v>67.5</v>
      </c>
      <c r="J917" s="62">
        <f>'BIỂU HỢP ĐỒNG'!J880</f>
        <v>57102</v>
      </c>
      <c r="K917" s="43"/>
      <c r="L917" s="62">
        <f t="shared" si="186"/>
        <v>3854385</v>
      </c>
      <c r="M917" s="77">
        <f t="shared" si="187"/>
        <v>0</v>
      </c>
      <c r="N917" s="43">
        <f t="shared" si="188"/>
        <v>0</v>
      </c>
      <c r="O917" s="43">
        <f t="shared" si="189"/>
        <v>0</v>
      </c>
      <c r="P917" s="43">
        <f t="shared" si="184"/>
        <v>3854385</v>
      </c>
      <c r="Q917" s="100"/>
      <c r="R917" s="117"/>
    </row>
    <row r="918" spans="1:18" x14ac:dyDescent="0.25">
      <c r="A918" s="48" t="str">
        <f t="shared" si="183"/>
        <v>HT</v>
      </c>
      <c r="B918" s="32" t="s">
        <v>1244</v>
      </c>
      <c r="C918" s="39" t="s">
        <v>562</v>
      </c>
      <c r="D918" s="13" t="s">
        <v>16</v>
      </c>
      <c r="E918" s="123">
        <v>67.5</v>
      </c>
      <c r="F918" s="136"/>
      <c r="G918" s="125"/>
      <c r="H918" s="125"/>
      <c r="I918" s="125">
        <f t="shared" si="185"/>
        <v>67.5</v>
      </c>
      <c r="J918" s="62">
        <f>'BIỂU HỢP ĐỒNG'!J881</f>
        <v>266680</v>
      </c>
      <c r="K918" s="43"/>
      <c r="L918" s="62">
        <f t="shared" si="186"/>
        <v>18000900</v>
      </c>
      <c r="M918" s="77">
        <f t="shared" si="187"/>
        <v>0</v>
      </c>
      <c r="N918" s="43">
        <f t="shared" si="188"/>
        <v>0</v>
      </c>
      <c r="O918" s="43">
        <f t="shared" si="189"/>
        <v>0</v>
      </c>
      <c r="P918" s="43">
        <f t="shared" si="184"/>
        <v>18000900</v>
      </c>
      <c r="Q918" s="100"/>
      <c r="R918" s="117"/>
    </row>
    <row r="919" spans="1:18" x14ac:dyDescent="0.25">
      <c r="A919" s="48" t="str">
        <f t="shared" si="183"/>
        <v>HT</v>
      </c>
      <c r="B919" s="32" t="s">
        <v>1245</v>
      </c>
      <c r="C919" s="39" t="s">
        <v>729</v>
      </c>
      <c r="D919" s="13" t="s">
        <v>90</v>
      </c>
      <c r="E919" s="123">
        <v>0.17</v>
      </c>
      <c r="F919" s="136"/>
      <c r="G919" s="125"/>
      <c r="H919" s="125"/>
      <c r="I919" s="125">
        <f t="shared" si="185"/>
        <v>0.17</v>
      </c>
      <c r="J919" s="62">
        <f>'BIỂU HỢP ĐỒNG'!J882</f>
        <v>26208453</v>
      </c>
      <c r="K919" s="43"/>
      <c r="L919" s="62">
        <f t="shared" si="186"/>
        <v>4455437</v>
      </c>
      <c r="M919" s="77">
        <f t="shared" si="187"/>
        <v>0</v>
      </c>
      <c r="N919" s="43">
        <f t="shared" si="188"/>
        <v>0</v>
      </c>
      <c r="O919" s="43">
        <f t="shared" si="189"/>
        <v>0</v>
      </c>
      <c r="P919" s="43">
        <f t="shared" si="184"/>
        <v>4455437</v>
      </c>
      <c r="Q919" s="100"/>
      <c r="R919" s="117"/>
    </row>
    <row r="920" spans="1:18" x14ac:dyDescent="0.25">
      <c r="A920" s="48" t="str">
        <f t="shared" si="183"/>
        <v>HT</v>
      </c>
      <c r="B920" s="32" t="s">
        <v>1246</v>
      </c>
      <c r="C920" s="39" t="s">
        <v>731</v>
      </c>
      <c r="D920" s="13" t="s">
        <v>90</v>
      </c>
      <c r="E920" s="123">
        <v>7.23</v>
      </c>
      <c r="F920" s="136"/>
      <c r="G920" s="125"/>
      <c r="H920" s="125"/>
      <c r="I920" s="125">
        <f t="shared" si="185"/>
        <v>7.23</v>
      </c>
      <c r="J920" s="62">
        <f>'BIỂU HỢP ĐỒNG'!J883</f>
        <v>25594083</v>
      </c>
      <c r="K920" s="43"/>
      <c r="L920" s="62">
        <f t="shared" si="186"/>
        <v>185045220</v>
      </c>
      <c r="M920" s="77">
        <f t="shared" si="187"/>
        <v>0</v>
      </c>
      <c r="N920" s="43">
        <f t="shared" si="188"/>
        <v>0</v>
      </c>
      <c r="O920" s="43">
        <f t="shared" si="189"/>
        <v>0</v>
      </c>
      <c r="P920" s="43">
        <f t="shared" si="184"/>
        <v>185045220</v>
      </c>
      <c r="Q920" s="100"/>
      <c r="R920" s="117"/>
    </row>
    <row r="921" spans="1:18" x14ac:dyDescent="0.25">
      <c r="A921" s="48" t="str">
        <f t="shared" si="183"/>
        <v>HT</v>
      </c>
      <c r="B921" s="32" t="s">
        <v>1247</v>
      </c>
      <c r="C921" s="39" t="s">
        <v>733</v>
      </c>
      <c r="D921" s="13" t="s">
        <v>13</v>
      </c>
      <c r="E921" s="123">
        <v>159.80000000000001</v>
      </c>
      <c r="F921" s="136"/>
      <c r="G921" s="125"/>
      <c r="H921" s="125"/>
      <c r="I921" s="125">
        <f t="shared" si="185"/>
        <v>159.80000000000001</v>
      </c>
      <c r="J921" s="62">
        <f>'BIỂU HỢP ĐỒNG'!J884</f>
        <v>111276</v>
      </c>
      <c r="K921" s="43"/>
      <c r="L921" s="62">
        <f t="shared" si="186"/>
        <v>17781905</v>
      </c>
      <c r="M921" s="77">
        <f t="shared" si="187"/>
        <v>0</v>
      </c>
      <c r="N921" s="43">
        <f t="shared" si="188"/>
        <v>0</v>
      </c>
      <c r="O921" s="43">
        <f t="shared" si="189"/>
        <v>0</v>
      </c>
      <c r="P921" s="43">
        <f t="shared" si="184"/>
        <v>17781905</v>
      </c>
      <c r="Q921" s="100"/>
      <c r="R921" s="117"/>
    </row>
    <row r="922" spans="1:18" x14ac:dyDescent="0.25">
      <c r="A922" s="48" t="str">
        <f t="shared" si="183"/>
        <v>HT</v>
      </c>
      <c r="B922" s="32" t="s">
        <v>1248</v>
      </c>
      <c r="C922" s="39" t="s">
        <v>735</v>
      </c>
      <c r="D922" s="13" t="s">
        <v>16</v>
      </c>
      <c r="E922" s="123">
        <v>4.9400000000000004</v>
      </c>
      <c r="F922" s="136"/>
      <c r="G922" s="125"/>
      <c r="H922" s="125"/>
      <c r="I922" s="125">
        <f t="shared" si="185"/>
        <v>4.9400000000000004</v>
      </c>
      <c r="J922" s="62">
        <f>'BIỂU HỢP ĐỒNG'!J885</f>
        <v>1884040</v>
      </c>
      <c r="K922" s="43"/>
      <c r="L922" s="62">
        <f t="shared" si="186"/>
        <v>9307158</v>
      </c>
      <c r="M922" s="77">
        <f t="shared" si="187"/>
        <v>0</v>
      </c>
      <c r="N922" s="43">
        <f t="shared" si="188"/>
        <v>0</v>
      </c>
      <c r="O922" s="43">
        <f t="shared" si="189"/>
        <v>0</v>
      </c>
      <c r="P922" s="43">
        <f t="shared" si="184"/>
        <v>9307158</v>
      </c>
      <c r="Q922" s="100"/>
      <c r="R922" s="117"/>
    </row>
    <row r="923" spans="1:18" x14ac:dyDescent="0.25">
      <c r="A923" s="48" t="str">
        <f t="shared" si="183"/>
        <v>HT</v>
      </c>
      <c r="B923" s="32" t="s">
        <v>1249</v>
      </c>
      <c r="C923" s="39" t="s">
        <v>560</v>
      </c>
      <c r="D923" s="13" t="s">
        <v>16</v>
      </c>
      <c r="E923" s="123">
        <v>20.59</v>
      </c>
      <c r="F923" s="136"/>
      <c r="G923" s="125"/>
      <c r="H923" s="125"/>
      <c r="I923" s="125">
        <f t="shared" si="185"/>
        <v>20.59</v>
      </c>
      <c r="J923" s="62">
        <f>'BIỂU HỢP ĐỒNG'!J886</f>
        <v>57102</v>
      </c>
      <c r="K923" s="43"/>
      <c r="L923" s="62">
        <f t="shared" si="186"/>
        <v>1175730</v>
      </c>
      <c r="M923" s="77">
        <f t="shared" si="187"/>
        <v>0</v>
      </c>
      <c r="N923" s="43">
        <f t="shared" si="188"/>
        <v>0</v>
      </c>
      <c r="O923" s="43">
        <f t="shared" si="189"/>
        <v>0</v>
      </c>
      <c r="P923" s="43">
        <f t="shared" si="184"/>
        <v>1175730</v>
      </c>
      <c r="Q923" s="100"/>
      <c r="R923" s="117"/>
    </row>
    <row r="924" spans="1:18" x14ac:dyDescent="0.25">
      <c r="A924" s="48" t="str">
        <f t="shared" si="183"/>
        <v>HT</v>
      </c>
      <c r="B924" s="32" t="s">
        <v>1250</v>
      </c>
      <c r="C924" s="39" t="s">
        <v>562</v>
      </c>
      <c r="D924" s="13" t="s">
        <v>16</v>
      </c>
      <c r="E924" s="123">
        <v>20.59</v>
      </c>
      <c r="F924" s="136"/>
      <c r="G924" s="125"/>
      <c r="H924" s="125"/>
      <c r="I924" s="125">
        <f t="shared" si="185"/>
        <v>20.59</v>
      </c>
      <c r="J924" s="62">
        <f>'BIỂU HỢP ĐỒNG'!J887</f>
        <v>266680</v>
      </c>
      <c r="K924" s="43"/>
      <c r="L924" s="62">
        <f t="shared" si="186"/>
        <v>5490941</v>
      </c>
      <c r="M924" s="77">
        <f t="shared" si="187"/>
        <v>0</v>
      </c>
      <c r="N924" s="43">
        <f t="shared" si="188"/>
        <v>0</v>
      </c>
      <c r="O924" s="43">
        <f t="shared" si="189"/>
        <v>0</v>
      </c>
      <c r="P924" s="43">
        <f t="shared" si="184"/>
        <v>5490941</v>
      </c>
      <c r="Q924" s="100"/>
      <c r="R924" s="117"/>
    </row>
    <row r="925" spans="1:18" x14ac:dyDescent="0.25">
      <c r="A925" s="48" t="str">
        <f t="shared" si="183"/>
        <v>HT</v>
      </c>
      <c r="B925" s="32" t="s">
        <v>1251</v>
      </c>
      <c r="C925" s="39" t="s">
        <v>1252</v>
      </c>
      <c r="D925" s="13" t="s">
        <v>90</v>
      </c>
      <c r="E925" s="123">
        <v>0.02</v>
      </c>
      <c r="F925" s="136"/>
      <c r="G925" s="125"/>
      <c r="H925" s="125"/>
      <c r="I925" s="125">
        <f t="shared" si="185"/>
        <v>0.02</v>
      </c>
      <c r="J925" s="62">
        <f>'BIỂU HỢP ĐỒNG'!J888</f>
        <v>25850539</v>
      </c>
      <c r="K925" s="43"/>
      <c r="L925" s="62">
        <f t="shared" si="186"/>
        <v>517011</v>
      </c>
      <c r="M925" s="77">
        <f t="shared" si="187"/>
        <v>0</v>
      </c>
      <c r="N925" s="43">
        <f t="shared" si="188"/>
        <v>0</v>
      </c>
      <c r="O925" s="43">
        <f t="shared" si="189"/>
        <v>0</v>
      </c>
      <c r="P925" s="43">
        <f t="shared" si="184"/>
        <v>517011</v>
      </c>
      <c r="Q925" s="100"/>
      <c r="R925" s="117"/>
    </row>
    <row r="926" spans="1:18" x14ac:dyDescent="0.25">
      <c r="A926" s="48" t="str">
        <f t="shared" si="183"/>
        <v>HT</v>
      </c>
      <c r="B926" s="32" t="s">
        <v>1253</v>
      </c>
      <c r="C926" s="39" t="s">
        <v>740</v>
      </c>
      <c r="D926" s="13" t="s">
        <v>90</v>
      </c>
      <c r="E926" s="123">
        <v>0.56000000000000005</v>
      </c>
      <c r="F926" s="136"/>
      <c r="G926" s="125"/>
      <c r="H926" s="125"/>
      <c r="I926" s="125">
        <f t="shared" si="185"/>
        <v>0.56000000000000005</v>
      </c>
      <c r="J926" s="62">
        <f>'BIỂU HỢP ĐỒNG'!J889</f>
        <v>25593806</v>
      </c>
      <c r="K926" s="43"/>
      <c r="L926" s="62">
        <f t="shared" si="186"/>
        <v>14332531</v>
      </c>
      <c r="M926" s="77">
        <f t="shared" si="187"/>
        <v>0</v>
      </c>
      <c r="N926" s="43">
        <f t="shared" si="188"/>
        <v>0</v>
      </c>
      <c r="O926" s="43">
        <f t="shared" si="189"/>
        <v>0</v>
      </c>
      <c r="P926" s="43">
        <f t="shared" si="184"/>
        <v>14332531</v>
      </c>
      <c r="Q926" s="100"/>
      <c r="R926" s="117"/>
    </row>
    <row r="927" spans="1:18" x14ac:dyDescent="0.25">
      <c r="A927" s="48" t="str">
        <f t="shared" si="183"/>
        <v>HT</v>
      </c>
      <c r="B927" s="32" t="s">
        <v>1254</v>
      </c>
      <c r="C927" s="39" t="s">
        <v>1255</v>
      </c>
      <c r="D927" s="13" t="s">
        <v>16</v>
      </c>
      <c r="E927" s="123">
        <v>15.34</v>
      </c>
      <c r="F927" s="136"/>
      <c r="G927" s="125"/>
      <c r="H927" s="125"/>
      <c r="I927" s="125">
        <f t="shared" si="185"/>
        <v>15.34</v>
      </c>
      <c r="J927" s="62">
        <f>'BIỂU HỢP ĐỒNG'!J890</f>
        <v>1649986</v>
      </c>
      <c r="K927" s="43"/>
      <c r="L927" s="62">
        <f t="shared" si="186"/>
        <v>25310785</v>
      </c>
      <c r="M927" s="77">
        <f t="shared" si="187"/>
        <v>0</v>
      </c>
      <c r="N927" s="43">
        <f t="shared" si="188"/>
        <v>0</v>
      </c>
      <c r="O927" s="43">
        <f t="shared" si="189"/>
        <v>0</v>
      </c>
      <c r="P927" s="43">
        <f t="shared" si="184"/>
        <v>25310785</v>
      </c>
      <c r="Q927" s="100"/>
      <c r="R927" s="117"/>
    </row>
    <row r="928" spans="1:18" x14ac:dyDescent="0.25">
      <c r="A928" s="48" t="str">
        <f t="shared" si="183"/>
        <v>HT</v>
      </c>
      <c r="B928" s="32" t="s">
        <v>1256</v>
      </c>
      <c r="C928" s="39" t="s">
        <v>723</v>
      </c>
      <c r="D928" s="13" t="s">
        <v>90</v>
      </c>
      <c r="E928" s="123">
        <v>1.1399999999999999</v>
      </c>
      <c r="F928" s="136"/>
      <c r="G928" s="125"/>
      <c r="H928" s="125"/>
      <c r="I928" s="125">
        <f t="shared" si="185"/>
        <v>1.1399999999999999</v>
      </c>
      <c r="J928" s="62">
        <f>'BIỂU HỢP ĐỒNG'!J891</f>
        <v>24802876</v>
      </c>
      <c r="K928" s="43"/>
      <c r="L928" s="62">
        <f t="shared" si="186"/>
        <v>28275279</v>
      </c>
      <c r="M928" s="77">
        <f t="shared" si="187"/>
        <v>0</v>
      </c>
      <c r="N928" s="43">
        <f t="shared" si="188"/>
        <v>0</v>
      </c>
      <c r="O928" s="43">
        <f t="shared" si="189"/>
        <v>0</v>
      </c>
      <c r="P928" s="43">
        <f t="shared" si="184"/>
        <v>28275279</v>
      </c>
      <c r="Q928" s="100"/>
      <c r="R928" s="117"/>
    </row>
    <row r="929" spans="1:19" x14ac:dyDescent="0.25">
      <c r="A929" s="48" t="str">
        <f t="shared" si="183"/>
        <v>HT</v>
      </c>
      <c r="B929" s="32" t="s">
        <v>1257</v>
      </c>
      <c r="C929" s="39" t="s">
        <v>1258</v>
      </c>
      <c r="D929" s="13" t="s">
        <v>13</v>
      </c>
      <c r="E929" s="123">
        <v>15.7</v>
      </c>
      <c r="F929" s="136"/>
      <c r="G929" s="125"/>
      <c r="H929" s="125"/>
      <c r="I929" s="125">
        <f t="shared" si="185"/>
        <v>15.7</v>
      </c>
      <c r="J929" s="62">
        <f>'BIỂU HỢP ĐỒNG'!J892</f>
        <v>103945</v>
      </c>
      <c r="K929" s="43"/>
      <c r="L929" s="62">
        <f t="shared" si="186"/>
        <v>1631937</v>
      </c>
      <c r="M929" s="77">
        <f t="shared" si="187"/>
        <v>0</v>
      </c>
      <c r="N929" s="43">
        <f t="shared" si="188"/>
        <v>0</v>
      </c>
      <c r="O929" s="43">
        <f t="shared" si="189"/>
        <v>0</v>
      </c>
      <c r="P929" s="43">
        <f t="shared" si="184"/>
        <v>1631937</v>
      </c>
      <c r="Q929" s="100"/>
      <c r="R929" s="117"/>
    </row>
    <row r="930" spans="1:19" x14ac:dyDescent="0.25">
      <c r="A930" s="48" t="str">
        <f t="shared" si="183"/>
        <v>HT</v>
      </c>
      <c r="B930" s="32" t="s">
        <v>1259</v>
      </c>
      <c r="C930" s="39" t="s">
        <v>742</v>
      </c>
      <c r="D930" s="13" t="s">
        <v>13</v>
      </c>
      <c r="E930" s="123">
        <v>40.14</v>
      </c>
      <c r="F930" s="136"/>
      <c r="G930" s="125"/>
      <c r="H930" s="125"/>
      <c r="I930" s="125">
        <f t="shared" si="185"/>
        <v>40.14</v>
      </c>
      <c r="J930" s="62">
        <f>'BIỂU HỢP ĐỒNG'!J893</f>
        <v>141724</v>
      </c>
      <c r="K930" s="43"/>
      <c r="L930" s="62">
        <f t="shared" si="186"/>
        <v>5688801</v>
      </c>
      <c r="M930" s="77">
        <f t="shared" si="187"/>
        <v>0</v>
      </c>
      <c r="N930" s="43">
        <f t="shared" si="188"/>
        <v>0</v>
      </c>
      <c r="O930" s="43">
        <f t="shared" si="189"/>
        <v>0</v>
      </c>
      <c r="P930" s="43">
        <f t="shared" si="184"/>
        <v>5688801</v>
      </c>
      <c r="Q930" s="100"/>
      <c r="R930" s="117"/>
    </row>
    <row r="931" spans="1:19" x14ac:dyDescent="0.25">
      <c r="A931" s="48" t="str">
        <f t="shared" si="183"/>
        <v>HT</v>
      </c>
      <c r="B931" s="32" t="s">
        <v>1260</v>
      </c>
      <c r="C931" s="39" t="s">
        <v>744</v>
      </c>
      <c r="D931" s="13" t="s">
        <v>16</v>
      </c>
      <c r="E931" s="123">
        <v>41.58</v>
      </c>
      <c r="F931" s="136"/>
      <c r="G931" s="125"/>
      <c r="H931" s="125"/>
      <c r="I931" s="125">
        <f t="shared" si="185"/>
        <v>41.58</v>
      </c>
      <c r="J931" s="62">
        <f>'BIỂU HỢP ĐỒNG'!J894</f>
        <v>1725529</v>
      </c>
      <c r="K931" s="43"/>
      <c r="L931" s="62">
        <f t="shared" si="186"/>
        <v>71747496</v>
      </c>
      <c r="M931" s="77">
        <f t="shared" si="187"/>
        <v>0</v>
      </c>
      <c r="N931" s="43">
        <f t="shared" si="188"/>
        <v>0</v>
      </c>
      <c r="O931" s="43">
        <f t="shared" si="189"/>
        <v>0</v>
      </c>
      <c r="P931" s="43">
        <f t="shared" si="184"/>
        <v>71747496</v>
      </c>
      <c r="Q931" s="100"/>
      <c r="R931" s="117"/>
    </row>
    <row r="932" spans="1:19" x14ac:dyDescent="0.25">
      <c r="A932" s="48" t="str">
        <f t="shared" si="183"/>
        <v>HT</v>
      </c>
      <c r="B932" s="32" t="s">
        <v>1261</v>
      </c>
      <c r="C932" s="39" t="s">
        <v>746</v>
      </c>
      <c r="D932" s="13" t="s">
        <v>90</v>
      </c>
      <c r="E932" s="123">
        <v>0.03</v>
      </c>
      <c r="F932" s="136"/>
      <c r="G932" s="125"/>
      <c r="H932" s="125"/>
      <c r="I932" s="125">
        <f t="shared" si="185"/>
        <v>0.03</v>
      </c>
      <c r="J932" s="62">
        <f>'BIỂU HỢP ĐỒNG'!J895</f>
        <v>28103452</v>
      </c>
      <c r="K932" s="43"/>
      <c r="L932" s="62">
        <f t="shared" si="186"/>
        <v>843104</v>
      </c>
      <c r="M932" s="77">
        <f t="shared" si="187"/>
        <v>0</v>
      </c>
      <c r="N932" s="43">
        <f t="shared" si="188"/>
        <v>0</v>
      </c>
      <c r="O932" s="43">
        <f t="shared" si="189"/>
        <v>0</v>
      </c>
      <c r="P932" s="43">
        <f t="shared" si="184"/>
        <v>843104</v>
      </c>
      <c r="Q932" s="100"/>
      <c r="R932" s="117"/>
    </row>
    <row r="933" spans="1:19" x14ac:dyDescent="0.25">
      <c r="A933" s="48" t="str">
        <f t="shared" si="183"/>
        <v>HT</v>
      </c>
      <c r="B933" s="32" t="s">
        <v>1262</v>
      </c>
      <c r="C933" s="39" t="s">
        <v>748</v>
      </c>
      <c r="D933" s="13" t="s">
        <v>90</v>
      </c>
      <c r="E933" s="123">
        <v>5.14</v>
      </c>
      <c r="F933" s="136"/>
      <c r="G933" s="125"/>
      <c r="H933" s="125"/>
      <c r="I933" s="125">
        <f t="shared" si="185"/>
        <v>5.14</v>
      </c>
      <c r="J933" s="62">
        <f>'BIỂU HỢP ĐỒNG'!J896</f>
        <v>25312818</v>
      </c>
      <c r="K933" s="43"/>
      <c r="L933" s="62">
        <f t="shared" si="186"/>
        <v>130107885</v>
      </c>
      <c r="M933" s="77">
        <f t="shared" si="187"/>
        <v>0</v>
      </c>
      <c r="N933" s="43">
        <f t="shared" si="188"/>
        <v>0</v>
      </c>
      <c r="O933" s="43">
        <f t="shared" si="189"/>
        <v>0</v>
      </c>
      <c r="P933" s="43">
        <f t="shared" si="184"/>
        <v>130107885</v>
      </c>
      <c r="Q933" s="100"/>
      <c r="R933" s="117"/>
    </row>
    <row r="934" spans="1:19" x14ac:dyDescent="0.25">
      <c r="A934" s="48" t="str">
        <f t="shared" si="183"/>
        <v>HT</v>
      </c>
      <c r="B934" s="32" t="s">
        <v>1263</v>
      </c>
      <c r="C934" s="39" t="s">
        <v>750</v>
      </c>
      <c r="D934" s="13" t="s">
        <v>90</v>
      </c>
      <c r="E934" s="123">
        <v>0.12</v>
      </c>
      <c r="F934" s="136"/>
      <c r="G934" s="125"/>
      <c r="H934" s="125"/>
      <c r="I934" s="125">
        <f t="shared" si="185"/>
        <v>0.12</v>
      </c>
      <c r="J934" s="62">
        <f>'BIỂU HỢP ĐỒNG'!J897</f>
        <v>24559750</v>
      </c>
      <c r="K934" s="43"/>
      <c r="L934" s="62">
        <f t="shared" si="186"/>
        <v>2947170</v>
      </c>
      <c r="M934" s="77">
        <f t="shared" si="187"/>
        <v>0</v>
      </c>
      <c r="N934" s="43">
        <f t="shared" si="188"/>
        <v>0</v>
      </c>
      <c r="O934" s="43">
        <f t="shared" si="189"/>
        <v>0</v>
      </c>
      <c r="P934" s="43">
        <f t="shared" si="184"/>
        <v>2947170</v>
      </c>
      <c r="Q934" s="100"/>
      <c r="R934" s="117"/>
    </row>
    <row r="935" spans="1:19" x14ac:dyDescent="0.25">
      <c r="A935" s="48" t="str">
        <f t="shared" si="183"/>
        <v>HT</v>
      </c>
      <c r="B935" s="32" t="s">
        <v>1264</v>
      </c>
      <c r="C935" s="39" t="s">
        <v>752</v>
      </c>
      <c r="D935" s="13" t="s">
        <v>13</v>
      </c>
      <c r="E935" s="123">
        <v>28.92</v>
      </c>
      <c r="F935" s="136"/>
      <c r="G935" s="125"/>
      <c r="H935" s="125"/>
      <c r="I935" s="125">
        <f t="shared" si="185"/>
        <v>28.92</v>
      </c>
      <c r="J935" s="62">
        <f>'BIỂU HỢP ĐỒNG'!J898</f>
        <v>103945</v>
      </c>
      <c r="K935" s="43"/>
      <c r="L935" s="62">
        <f t="shared" si="186"/>
        <v>3006089</v>
      </c>
      <c r="M935" s="77">
        <f t="shared" si="187"/>
        <v>0</v>
      </c>
      <c r="N935" s="43">
        <f t="shared" si="188"/>
        <v>0</v>
      </c>
      <c r="O935" s="43">
        <f t="shared" si="189"/>
        <v>0</v>
      </c>
      <c r="P935" s="43">
        <f t="shared" si="184"/>
        <v>3006089</v>
      </c>
      <c r="Q935" s="100"/>
      <c r="R935" s="117"/>
    </row>
    <row r="936" spans="1:19" x14ac:dyDescent="0.25">
      <c r="A936" s="48" t="str">
        <f t="shared" si="183"/>
        <v>HT</v>
      </c>
      <c r="B936" s="32" t="s">
        <v>1265</v>
      </c>
      <c r="C936" s="39" t="s">
        <v>670</v>
      </c>
      <c r="D936" s="13" t="s">
        <v>16</v>
      </c>
      <c r="E936" s="123">
        <v>28.93</v>
      </c>
      <c r="F936" s="136"/>
      <c r="G936" s="125"/>
      <c r="H936" s="125"/>
      <c r="I936" s="125">
        <f t="shared" si="185"/>
        <v>28.93</v>
      </c>
      <c r="J936" s="62">
        <f>'BIỂU HỢP ĐỒNG'!J899</f>
        <v>1252250</v>
      </c>
      <c r="K936" s="43"/>
      <c r="L936" s="62">
        <f t="shared" si="186"/>
        <v>36227593</v>
      </c>
      <c r="M936" s="77">
        <f t="shared" si="187"/>
        <v>0</v>
      </c>
      <c r="N936" s="43">
        <f t="shared" si="188"/>
        <v>0</v>
      </c>
      <c r="O936" s="43">
        <f t="shared" si="189"/>
        <v>0</v>
      </c>
      <c r="P936" s="43">
        <f t="shared" si="184"/>
        <v>36227593</v>
      </c>
      <c r="Q936" s="100"/>
      <c r="R936" s="117"/>
    </row>
    <row r="937" spans="1:19" x14ac:dyDescent="0.25">
      <c r="A937" s="48" t="str">
        <f t="shared" si="183"/>
        <v>HT</v>
      </c>
      <c r="B937" s="32" t="s">
        <v>1266</v>
      </c>
      <c r="C937" s="39" t="s">
        <v>754</v>
      </c>
      <c r="D937" s="13" t="s">
        <v>16</v>
      </c>
      <c r="E937" s="123">
        <v>1279.8599999999999</v>
      </c>
      <c r="F937" s="139"/>
      <c r="G937" s="125"/>
      <c r="H937" s="125"/>
      <c r="I937" s="125">
        <f t="shared" si="185"/>
        <v>1279.8599999999999</v>
      </c>
      <c r="J937" s="62">
        <f>'BIỂU HỢP ĐỒNG'!J900</f>
        <v>20867</v>
      </c>
      <c r="K937" s="43"/>
      <c r="L937" s="62">
        <f t="shared" si="186"/>
        <v>26706839</v>
      </c>
      <c r="M937" s="138">
        <f t="shared" si="187"/>
        <v>0</v>
      </c>
      <c r="N937" s="43">
        <f t="shared" si="188"/>
        <v>0</v>
      </c>
      <c r="O937" s="43">
        <f t="shared" si="189"/>
        <v>0</v>
      </c>
      <c r="P937" s="43">
        <f t="shared" si="184"/>
        <v>26706839</v>
      </c>
      <c r="Q937" s="100"/>
      <c r="R937" s="117"/>
    </row>
    <row r="938" spans="1:19" x14ac:dyDescent="0.25">
      <c r="A938" s="48" t="str">
        <f t="shared" si="183"/>
        <v>HT</v>
      </c>
      <c r="B938" s="140" t="s">
        <v>2038</v>
      </c>
      <c r="C938" s="141" t="s">
        <v>2039</v>
      </c>
      <c r="D938" s="142" t="s">
        <v>16</v>
      </c>
      <c r="E938" s="143"/>
      <c r="F938" s="143">
        <v>-9.1709999999999994</v>
      </c>
      <c r="G938" s="144"/>
      <c r="H938" s="144"/>
      <c r="I938" s="144">
        <f t="shared" si="185"/>
        <v>-9.1709999999999994</v>
      </c>
      <c r="J938" s="145"/>
      <c r="K938" s="146">
        <v>19746</v>
      </c>
      <c r="L938" s="145">
        <f>+ROUND(K938*E938,0)</f>
        <v>0</v>
      </c>
      <c r="M938" s="147">
        <f>+ROUND(F938*K938,0)</f>
        <v>-181091</v>
      </c>
      <c r="N938" s="146">
        <f>+ROUND(G938*K938,0)</f>
        <v>0</v>
      </c>
      <c r="O938" s="146">
        <f>+ROUND(H938*K938,0)</f>
        <v>0</v>
      </c>
      <c r="P938" s="146">
        <f t="shared" si="184"/>
        <v>-181091</v>
      </c>
      <c r="Q938" s="100"/>
      <c r="R938" s="117"/>
      <c r="S938" t="s">
        <v>2040</v>
      </c>
    </row>
    <row r="939" spans="1:19" x14ac:dyDescent="0.25">
      <c r="A939" s="48" t="str">
        <f>A937</f>
        <v>HT</v>
      </c>
      <c r="B939" s="32" t="s">
        <v>1267</v>
      </c>
      <c r="C939" s="39" t="s">
        <v>610</v>
      </c>
      <c r="D939" s="13" t="s">
        <v>16</v>
      </c>
      <c r="E939" s="123">
        <v>42.22</v>
      </c>
      <c r="F939" s="139"/>
      <c r="G939" s="125"/>
      <c r="H939" s="125"/>
      <c r="I939" s="125">
        <f t="shared" si="185"/>
        <v>42.22</v>
      </c>
      <c r="J939" s="62">
        <f>'BIỂU HỢP ĐỒNG'!J901</f>
        <v>12936</v>
      </c>
      <c r="K939" s="43"/>
      <c r="L939" s="62">
        <f>+ROUND(J939*E939,0)</f>
        <v>546158</v>
      </c>
      <c r="M939" s="138">
        <f>+ROUND(F939*J939,0)</f>
        <v>0</v>
      </c>
      <c r="N939" s="43">
        <f>+ROUND(G939*J939,0)</f>
        <v>0</v>
      </c>
      <c r="O939" s="43">
        <f>+ROUND(H939*J939,0)</f>
        <v>0</v>
      </c>
      <c r="P939" s="43">
        <f t="shared" si="184"/>
        <v>546158</v>
      </c>
      <c r="Q939" s="100"/>
      <c r="R939" s="117"/>
    </row>
    <row r="940" spans="1:19" x14ac:dyDescent="0.25">
      <c r="A940" s="48" t="str">
        <f>A939</f>
        <v>HT</v>
      </c>
      <c r="B940" s="140" t="s">
        <v>2041</v>
      </c>
      <c r="C940" s="141" t="s">
        <v>2042</v>
      </c>
      <c r="D940" s="142" t="s">
        <v>16</v>
      </c>
      <c r="E940" s="143"/>
      <c r="F940" s="143">
        <v>-291.60000000000002</v>
      </c>
      <c r="G940" s="144"/>
      <c r="H940" s="144"/>
      <c r="I940" s="144">
        <f t="shared" si="185"/>
        <v>-291.60000000000002</v>
      </c>
      <c r="J940" s="145"/>
      <c r="K940" s="146">
        <v>12936</v>
      </c>
      <c r="L940" s="145">
        <f>+ROUND(K940*E940,0)</f>
        <v>0</v>
      </c>
      <c r="M940" s="147">
        <f>+ROUND(F940*K940,0)</f>
        <v>-3772138</v>
      </c>
      <c r="N940" s="146">
        <f>+ROUND(G940*K940,0)</f>
        <v>0</v>
      </c>
      <c r="O940" s="146">
        <f>+ROUND(H940*K940,0)</f>
        <v>0</v>
      </c>
      <c r="P940" s="146">
        <f t="shared" si="184"/>
        <v>-3772138</v>
      </c>
      <c r="Q940" s="100"/>
      <c r="R940" s="117"/>
      <c r="S940" t="s">
        <v>2043</v>
      </c>
    </row>
    <row r="941" spans="1:19" x14ac:dyDescent="0.25">
      <c r="A941" s="48" t="str">
        <f>A940</f>
        <v>HT</v>
      </c>
      <c r="B941" s="140" t="s">
        <v>2044</v>
      </c>
      <c r="C941" s="141" t="s">
        <v>2045</v>
      </c>
      <c r="D941" s="142" t="s">
        <v>16</v>
      </c>
      <c r="E941" s="143"/>
      <c r="F941" s="143">
        <v>-4.4160000000000004</v>
      </c>
      <c r="G941" s="144"/>
      <c r="H941" s="144"/>
      <c r="I941" s="144">
        <f t="shared" si="185"/>
        <v>-4.4160000000000004</v>
      </c>
      <c r="J941" s="145"/>
      <c r="K941" s="146">
        <v>12936</v>
      </c>
      <c r="L941" s="145">
        <f>+ROUND(K941*E941,0)</f>
        <v>0</v>
      </c>
      <c r="M941" s="147">
        <f>+ROUND(F941*K941,0)</f>
        <v>-57125</v>
      </c>
      <c r="N941" s="146">
        <f>+ROUND(G941*K941,0)</f>
        <v>0</v>
      </c>
      <c r="O941" s="146">
        <f>+ROUND(H941*K941,0)</f>
        <v>0</v>
      </c>
      <c r="P941" s="146">
        <f t="shared" si="184"/>
        <v>-57125</v>
      </c>
      <c r="Q941" s="100"/>
      <c r="R941" s="117"/>
      <c r="S941" t="s">
        <v>2046</v>
      </c>
    </row>
    <row r="942" spans="1:19" x14ac:dyDescent="0.25">
      <c r="A942" s="48" t="str">
        <f>A939</f>
        <v>HT</v>
      </c>
      <c r="B942" s="32" t="s">
        <v>1268</v>
      </c>
      <c r="C942" s="39" t="s">
        <v>32</v>
      </c>
      <c r="D942" s="13" t="s">
        <v>16</v>
      </c>
      <c r="E942" s="123">
        <v>57.73</v>
      </c>
      <c r="F942" s="139">
        <v>-296.01600000000002</v>
      </c>
      <c r="G942" s="125"/>
      <c r="H942" s="125"/>
      <c r="I942" s="125">
        <f t="shared" si="185"/>
        <v>-238.28600000000003</v>
      </c>
      <c r="J942" s="62">
        <f>'BIỂU HỢP ĐỒNG'!J902</f>
        <v>50585</v>
      </c>
      <c r="K942" s="43"/>
      <c r="L942" s="62">
        <f t="shared" ref="L942:L952" si="190">+ROUND(J942*E942,0)</f>
        <v>2920272</v>
      </c>
      <c r="M942" s="138">
        <f t="shared" ref="M942:M952" si="191">+ROUND(F942*J942,0)</f>
        <v>-14973969</v>
      </c>
      <c r="N942" s="43">
        <f t="shared" ref="N942:N952" si="192">+ROUND(G942*J942,0)</f>
        <v>0</v>
      </c>
      <c r="O942" s="43">
        <f t="shared" ref="O942:O952" si="193">+ROUND(H942*J942,0)</f>
        <v>0</v>
      </c>
      <c r="P942" s="43">
        <f t="shared" si="184"/>
        <v>-12053697</v>
      </c>
      <c r="Q942" s="100"/>
      <c r="R942" s="117"/>
      <c r="S942" t="s">
        <v>2047</v>
      </c>
    </row>
    <row r="943" spans="1:19" x14ac:dyDescent="0.25">
      <c r="A943" s="48" t="str">
        <f t="shared" ref="A943:A953" si="194">A942</f>
        <v>HT</v>
      </c>
      <c r="B943" s="32" t="s">
        <v>1269</v>
      </c>
      <c r="C943" s="39" t="s">
        <v>36</v>
      </c>
      <c r="D943" s="13" t="s">
        <v>37</v>
      </c>
      <c r="E943" s="123">
        <v>5.77</v>
      </c>
      <c r="F943" s="139">
        <v>-29.601600000000001</v>
      </c>
      <c r="G943" s="125"/>
      <c r="H943" s="125"/>
      <c r="I943" s="125">
        <f t="shared" si="185"/>
        <v>-23.831600000000002</v>
      </c>
      <c r="J943" s="62">
        <f>'BIỂU HỢP ĐỒNG'!J903</f>
        <v>1032698</v>
      </c>
      <c r="K943" s="43"/>
      <c r="L943" s="62">
        <f t="shared" si="190"/>
        <v>5958667</v>
      </c>
      <c r="M943" s="138">
        <f t="shared" si="191"/>
        <v>-30569513</v>
      </c>
      <c r="N943" s="43">
        <f t="shared" si="192"/>
        <v>0</v>
      </c>
      <c r="O943" s="43">
        <f t="shared" si="193"/>
        <v>0</v>
      </c>
      <c r="P943" s="43">
        <f t="shared" si="184"/>
        <v>-24610846</v>
      </c>
      <c r="Q943" s="100"/>
      <c r="R943" s="117"/>
      <c r="S943" t="s">
        <v>2048</v>
      </c>
    </row>
    <row r="944" spans="1:19" x14ac:dyDescent="0.25">
      <c r="A944" s="48" t="str">
        <f t="shared" si="194"/>
        <v>HT</v>
      </c>
      <c r="B944" s="32" t="s">
        <v>1270</v>
      </c>
      <c r="C944" s="39" t="s">
        <v>624</v>
      </c>
      <c r="D944" s="13" t="s">
        <v>16</v>
      </c>
      <c r="E944" s="123">
        <v>387.89</v>
      </c>
      <c r="F944" s="136"/>
      <c r="G944" s="125"/>
      <c r="H944" s="125"/>
      <c r="I944" s="125">
        <f t="shared" ref="I944:I954" si="195">SUM(E944:H944)</f>
        <v>387.89</v>
      </c>
      <c r="J944" s="62">
        <f>'BIỂU HỢP ĐỒNG'!J904</f>
        <v>271833</v>
      </c>
      <c r="K944" s="43"/>
      <c r="L944" s="62">
        <f t="shared" si="190"/>
        <v>105441302</v>
      </c>
      <c r="M944" s="138">
        <f t="shared" si="191"/>
        <v>0</v>
      </c>
      <c r="N944" s="43">
        <f t="shared" si="192"/>
        <v>0</v>
      </c>
      <c r="O944" s="43">
        <f t="shared" si="193"/>
        <v>0</v>
      </c>
      <c r="P944" s="43">
        <f t="shared" si="184"/>
        <v>105441302</v>
      </c>
      <c r="Q944" s="100"/>
      <c r="R944" s="117"/>
    </row>
    <row r="945" spans="1:19" x14ac:dyDescent="0.25">
      <c r="A945" s="48" t="str">
        <f t="shared" si="194"/>
        <v>HT</v>
      </c>
      <c r="B945" s="32" t="s">
        <v>1271</v>
      </c>
      <c r="C945" s="39" t="s">
        <v>620</v>
      </c>
      <c r="D945" s="13" t="s">
        <v>75</v>
      </c>
      <c r="E945" s="123">
        <v>16303.22</v>
      </c>
      <c r="F945" s="136"/>
      <c r="G945" s="125"/>
      <c r="H945" s="125"/>
      <c r="I945" s="125">
        <f t="shared" si="195"/>
        <v>16303.22</v>
      </c>
      <c r="J945" s="62">
        <f>'BIỂU HỢP ĐỒNG'!J905</f>
        <v>11223</v>
      </c>
      <c r="K945" s="43"/>
      <c r="L945" s="62">
        <f t="shared" si="190"/>
        <v>182971038</v>
      </c>
      <c r="M945" s="138">
        <f t="shared" si="191"/>
        <v>0</v>
      </c>
      <c r="N945" s="43">
        <f t="shared" si="192"/>
        <v>0</v>
      </c>
      <c r="O945" s="43">
        <f t="shared" si="193"/>
        <v>0</v>
      </c>
      <c r="P945" s="43">
        <f t="shared" si="184"/>
        <v>182971038</v>
      </c>
      <c r="Q945" s="100"/>
      <c r="R945" s="117"/>
    </row>
    <row r="946" spans="1:19" x14ac:dyDescent="0.25">
      <c r="A946" s="48" t="str">
        <f t="shared" si="194"/>
        <v>HT</v>
      </c>
      <c r="B946" s="32" t="s">
        <v>1272</v>
      </c>
      <c r="C946" s="39" t="s">
        <v>622</v>
      </c>
      <c r="D946" s="13" t="s">
        <v>13</v>
      </c>
      <c r="E946" s="123">
        <v>1361.95</v>
      </c>
      <c r="F946" s="136"/>
      <c r="G946" s="125"/>
      <c r="H946" s="125"/>
      <c r="I946" s="125">
        <f t="shared" si="195"/>
        <v>1361.95</v>
      </c>
      <c r="J946" s="62">
        <f>'BIỂU HỢP ĐỒNG'!J906</f>
        <v>19714</v>
      </c>
      <c r="K946" s="43"/>
      <c r="L946" s="62">
        <f t="shared" si="190"/>
        <v>26849482</v>
      </c>
      <c r="M946" s="138">
        <f t="shared" si="191"/>
        <v>0</v>
      </c>
      <c r="N946" s="43">
        <f t="shared" si="192"/>
        <v>0</v>
      </c>
      <c r="O946" s="43">
        <f t="shared" si="193"/>
        <v>0</v>
      </c>
      <c r="P946" s="43">
        <f t="shared" si="184"/>
        <v>26849482</v>
      </c>
      <c r="Q946" s="100"/>
      <c r="R946" s="117"/>
    </row>
    <row r="947" spans="1:19" x14ac:dyDescent="0.25">
      <c r="A947" s="48" t="str">
        <f t="shared" si="194"/>
        <v>HT</v>
      </c>
      <c r="B947" s="32" t="s">
        <v>1273</v>
      </c>
      <c r="C947" s="39" t="s">
        <v>626</v>
      </c>
      <c r="D947" s="13" t="s">
        <v>16</v>
      </c>
      <c r="E947" s="123">
        <v>1232.1600000000001</v>
      </c>
      <c r="F947" s="136"/>
      <c r="G947" s="125"/>
      <c r="H947" s="125"/>
      <c r="I947" s="125">
        <f t="shared" si="195"/>
        <v>1232.1600000000001</v>
      </c>
      <c r="J947" s="62">
        <f>'BIỂU HỢP ĐỒNG'!J907</f>
        <v>45382</v>
      </c>
      <c r="K947" s="43"/>
      <c r="L947" s="62">
        <f t="shared" si="190"/>
        <v>55917885</v>
      </c>
      <c r="M947" s="138">
        <f t="shared" si="191"/>
        <v>0</v>
      </c>
      <c r="N947" s="43">
        <f t="shared" si="192"/>
        <v>0</v>
      </c>
      <c r="O947" s="43">
        <f t="shared" si="193"/>
        <v>0</v>
      </c>
      <c r="P947" s="43">
        <f t="shared" si="184"/>
        <v>55917885</v>
      </c>
      <c r="Q947" s="100"/>
      <c r="R947" s="117"/>
    </row>
    <row r="948" spans="1:19" x14ac:dyDescent="0.25">
      <c r="A948" s="48" t="str">
        <f t="shared" si="194"/>
        <v>HT</v>
      </c>
      <c r="B948" s="32" t="s">
        <v>1274</v>
      </c>
      <c r="C948" s="39" t="s">
        <v>770</v>
      </c>
      <c r="D948" s="13" t="s">
        <v>90</v>
      </c>
      <c r="E948" s="123">
        <v>4.6214000000000004</v>
      </c>
      <c r="F948" s="136"/>
      <c r="G948" s="125"/>
      <c r="H948" s="125"/>
      <c r="I948" s="125">
        <f t="shared" si="195"/>
        <v>4.6214000000000004</v>
      </c>
      <c r="J948" s="62">
        <f>'BIỂU HỢP ĐỒNG'!J908</f>
        <v>10406267</v>
      </c>
      <c r="K948" s="43"/>
      <c r="L948" s="62">
        <f t="shared" si="190"/>
        <v>48091522</v>
      </c>
      <c r="M948" s="138">
        <f t="shared" si="191"/>
        <v>0</v>
      </c>
      <c r="N948" s="43">
        <f t="shared" si="192"/>
        <v>0</v>
      </c>
      <c r="O948" s="43">
        <f t="shared" si="193"/>
        <v>0</v>
      </c>
      <c r="P948" s="43">
        <f t="shared" si="184"/>
        <v>48091522</v>
      </c>
      <c r="Q948" s="100"/>
      <c r="R948" s="117"/>
    </row>
    <row r="949" spans="1:19" x14ac:dyDescent="0.25">
      <c r="A949" s="48" t="str">
        <f t="shared" si="194"/>
        <v>HT</v>
      </c>
      <c r="B949" s="32" t="s">
        <v>1275</v>
      </c>
      <c r="C949" s="39" t="s">
        <v>772</v>
      </c>
      <c r="D949" s="13" t="s">
        <v>90</v>
      </c>
      <c r="E949" s="123">
        <v>4.6214000000000004</v>
      </c>
      <c r="F949" s="136"/>
      <c r="G949" s="125"/>
      <c r="H949" s="125"/>
      <c r="I949" s="125">
        <f t="shared" si="195"/>
        <v>4.6214000000000004</v>
      </c>
      <c r="J949" s="62">
        <f>'BIỂU HỢP ĐỒNG'!J909</f>
        <v>2675122</v>
      </c>
      <c r="K949" s="43"/>
      <c r="L949" s="62">
        <f t="shared" si="190"/>
        <v>12362809</v>
      </c>
      <c r="M949" s="138">
        <f t="shared" si="191"/>
        <v>0</v>
      </c>
      <c r="N949" s="43">
        <f t="shared" si="192"/>
        <v>0</v>
      </c>
      <c r="O949" s="43">
        <f t="shared" si="193"/>
        <v>0</v>
      </c>
      <c r="P949" s="43">
        <f t="shared" si="184"/>
        <v>12362809</v>
      </c>
      <c r="Q949" s="100"/>
      <c r="R949" s="117"/>
    </row>
    <row r="950" spans="1:19" x14ac:dyDescent="0.25">
      <c r="A950" s="48" t="str">
        <f t="shared" si="194"/>
        <v>HT</v>
      </c>
      <c r="B950" s="32" t="s">
        <v>1276</v>
      </c>
      <c r="C950" s="39" t="s">
        <v>628</v>
      </c>
      <c r="D950" s="13" t="s">
        <v>16</v>
      </c>
      <c r="E950" s="123">
        <v>426</v>
      </c>
      <c r="F950" s="136"/>
      <c r="G950" s="125"/>
      <c r="H950" s="125"/>
      <c r="I950" s="125">
        <f t="shared" si="195"/>
        <v>426</v>
      </c>
      <c r="J950" s="62">
        <f>'BIỂU HỢP ĐỒNG'!J910</f>
        <v>23993</v>
      </c>
      <c r="K950" s="43"/>
      <c r="L950" s="62">
        <f t="shared" si="190"/>
        <v>10221018</v>
      </c>
      <c r="M950" s="138">
        <f t="shared" si="191"/>
        <v>0</v>
      </c>
      <c r="N950" s="43">
        <f t="shared" si="192"/>
        <v>0</v>
      </c>
      <c r="O950" s="43">
        <f t="shared" si="193"/>
        <v>0</v>
      </c>
      <c r="P950" s="43">
        <f t="shared" si="184"/>
        <v>10221018</v>
      </c>
      <c r="Q950" s="100"/>
      <c r="R950" s="117"/>
    </row>
    <row r="951" spans="1:19" s="22" customFormat="1" ht="31.5" customHeight="1" x14ac:dyDescent="0.25">
      <c r="A951" s="48" t="str">
        <f t="shared" si="194"/>
        <v>HT</v>
      </c>
      <c r="B951" s="32" t="s">
        <v>1277</v>
      </c>
      <c r="C951" s="39" t="s">
        <v>630</v>
      </c>
      <c r="D951" s="13" t="s">
        <v>16</v>
      </c>
      <c r="E951" s="123">
        <v>72.8</v>
      </c>
      <c r="F951" s="136"/>
      <c r="G951" s="125"/>
      <c r="H951" s="125"/>
      <c r="I951" s="125">
        <f t="shared" si="195"/>
        <v>72.8</v>
      </c>
      <c r="J951" s="62">
        <f>'BIỂU HỢP ĐỒNG'!J911</f>
        <v>7229</v>
      </c>
      <c r="K951" s="43"/>
      <c r="L951" s="62">
        <f t="shared" si="190"/>
        <v>526271</v>
      </c>
      <c r="M951" s="138">
        <f t="shared" si="191"/>
        <v>0</v>
      </c>
      <c r="N951" s="43">
        <f t="shared" si="192"/>
        <v>0</v>
      </c>
      <c r="O951" s="43">
        <f t="shared" si="193"/>
        <v>0</v>
      </c>
      <c r="P951" s="43">
        <f t="shared" si="184"/>
        <v>526271</v>
      </c>
      <c r="Q951" s="100"/>
      <c r="R951" s="117"/>
    </row>
    <row r="952" spans="1:19" x14ac:dyDescent="0.25">
      <c r="A952" s="48" t="str">
        <f t="shared" si="194"/>
        <v>HT</v>
      </c>
      <c r="B952" s="32" t="s">
        <v>1278</v>
      </c>
      <c r="C952" s="72" t="s">
        <v>632</v>
      </c>
      <c r="D952" s="73" t="s">
        <v>16</v>
      </c>
      <c r="E952" s="148">
        <v>426</v>
      </c>
      <c r="F952" s="139"/>
      <c r="G952" s="125"/>
      <c r="H952" s="125"/>
      <c r="I952" s="125">
        <f t="shared" si="195"/>
        <v>426</v>
      </c>
      <c r="J952" s="70">
        <f>'BIỂU HỢP ĐỒNG'!J912</f>
        <v>19746</v>
      </c>
      <c r="K952" s="43"/>
      <c r="L952" s="62">
        <f t="shared" si="190"/>
        <v>8411796</v>
      </c>
      <c r="M952" s="138">
        <f t="shared" si="191"/>
        <v>0</v>
      </c>
      <c r="N952" s="43">
        <f t="shared" si="192"/>
        <v>0</v>
      </c>
      <c r="O952" s="43">
        <f t="shared" si="193"/>
        <v>0</v>
      </c>
      <c r="P952" s="43">
        <f t="shared" si="184"/>
        <v>8411796</v>
      </c>
      <c r="Q952" s="100"/>
      <c r="R952" s="117"/>
    </row>
    <row r="953" spans="1:19" x14ac:dyDescent="0.25">
      <c r="A953" s="48" t="str">
        <f t="shared" si="194"/>
        <v>HT</v>
      </c>
      <c r="B953" s="140" t="s">
        <v>2049</v>
      </c>
      <c r="C953" s="141" t="s">
        <v>2039</v>
      </c>
      <c r="D953" s="142" t="s">
        <v>16</v>
      </c>
      <c r="E953" s="143"/>
      <c r="F953" s="143">
        <v>-7.665</v>
      </c>
      <c r="G953" s="144"/>
      <c r="H953" s="144"/>
      <c r="I953" s="144">
        <f t="shared" si="195"/>
        <v>-7.665</v>
      </c>
      <c r="J953" s="145"/>
      <c r="K953" s="146">
        <v>19746</v>
      </c>
      <c r="L953" s="145">
        <f>+ROUND(K953*E953,0)</f>
        <v>0</v>
      </c>
      <c r="M953" s="147">
        <f>+ROUND(F953*K953,0)</f>
        <v>-151353</v>
      </c>
      <c r="N953" s="146">
        <f>+ROUND(G953*K953,0)</f>
        <v>0</v>
      </c>
      <c r="O953" s="146">
        <f>+ROUND(H953*K953,0)</f>
        <v>0</v>
      </c>
      <c r="P953" s="146">
        <f t="shared" si="184"/>
        <v>-151353</v>
      </c>
      <c r="Q953" s="100"/>
      <c r="R953" s="117"/>
      <c r="S953" t="s">
        <v>2050</v>
      </c>
    </row>
    <row r="954" spans="1:19" x14ac:dyDescent="0.25">
      <c r="A954" s="48" t="str">
        <f>A952</f>
        <v>HT</v>
      </c>
      <c r="B954" s="32" t="s">
        <v>1279</v>
      </c>
      <c r="C954" s="39" t="s">
        <v>685</v>
      </c>
      <c r="D954" s="13" t="s">
        <v>16</v>
      </c>
      <c r="E954" s="123">
        <v>426</v>
      </c>
      <c r="F954" s="136"/>
      <c r="G954" s="125"/>
      <c r="H954" s="125"/>
      <c r="I954" s="125">
        <f t="shared" si="195"/>
        <v>426</v>
      </c>
      <c r="J954" s="62">
        <f>'BIỂU HỢP ĐỒNG'!J913</f>
        <v>45382</v>
      </c>
      <c r="K954" s="43"/>
      <c r="L954" s="62">
        <f>+ROUND(J954*E954,0)</f>
        <v>19332732</v>
      </c>
      <c r="M954" s="77">
        <f>+ROUND(F954*J954,0)</f>
        <v>0</v>
      </c>
      <c r="N954" s="43">
        <f>+ROUND(G954*J954,0)</f>
        <v>0</v>
      </c>
      <c r="O954" s="43">
        <f>+ROUND(H954*J954,0)</f>
        <v>0</v>
      </c>
      <c r="P954" s="43">
        <f t="shared" ref="P954" si="196">SUM(L954:O954)</f>
        <v>19332732</v>
      </c>
      <c r="Q954" s="100"/>
      <c r="R954" s="117"/>
    </row>
    <row r="955" spans="1:19" x14ac:dyDescent="0.25">
      <c r="A955" s="48" t="str">
        <f t="shared" ref="A955:A986" si="197">A954</f>
        <v>HT</v>
      </c>
      <c r="B955" s="140"/>
      <c r="C955" s="149" t="s">
        <v>2051</v>
      </c>
      <c r="D955" s="142"/>
      <c r="E955" s="143"/>
      <c r="F955" s="143"/>
      <c r="G955" s="144"/>
      <c r="H955" s="144"/>
      <c r="I955" s="144"/>
      <c r="J955" s="145"/>
      <c r="K955" s="146"/>
      <c r="L955" s="145"/>
      <c r="M955" s="147"/>
      <c r="N955" s="146"/>
      <c r="O955" s="146"/>
      <c r="P955" s="146"/>
      <c r="Q955" s="100"/>
      <c r="R955" s="117"/>
    </row>
    <row r="956" spans="1:19" x14ac:dyDescent="0.25">
      <c r="A956" s="48" t="str">
        <f t="shared" si="197"/>
        <v>HT</v>
      </c>
      <c r="B956" s="140" t="s">
        <v>2052</v>
      </c>
      <c r="C956" s="141" t="s">
        <v>692</v>
      </c>
      <c r="D956" s="142" t="s">
        <v>16</v>
      </c>
      <c r="E956" s="143"/>
      <c r="F956" s="143">
        <v>40.18</v>
      </c>
      <c r="G956" s="144"/>
      <c r="H956" s="144"/>
      <c r="I956" s="144">
        <f t="shared" ref="I956:I965" si="198">SUM(E956:H956)</f>
        <v>40.18</v>
      </c>
      <c r="J956" s="145"/>
      <c r="K956" s="146">
        <v>1580380</v>
      </c>
      <c r="L956" s="145">
        <f t="shared" ref="L956:L965" si="199">+ROUND(K956*E956,0)</f>
        <v>0</v>
      </c>
      <c r="M956" s="147">
        <f t="shared" ref="M956:M965" si="200">+ROUND(F956*K956,0)</f>
        <v>63499668</v>
      </c>
      <c r="N956" s="146">
        <f t="shared" ref="N956:N965" si="201">+ROUND(G956*K956,0)</f>
        <v>0</v>
      </c>
      <c r="O956" s="146">
        <f t="shared" ref="O956:O965" si="202">+ROUND(H956*K956,0)</f>
        <v>0</v>
      </c>
      <c r="P956" s="146">
        <f t="shared" ref="P956:P965" si="203">SUM(L956:O956)</f>
        <v>63499668</v>
      </c>
      <c r="Q956" s="100"/>
      <c r="R956" s="117"/>
      <c r="S956" t="s">
        <v>2053</v>
      </c>
    </row>
    <row r="957" spans="1:19" ht="31.5" x14ac:dyDescent="0.25">
      <c r="A957" s="48" t="str">
        <f t="shared" si="197"/>
        <v>HT</v>
      </c>
      <c r="B957" s="140" t="s">
        <v>2054</v>
      </c>
      <c r="C957" s="141" t="s">
        <v>1673</v>
      </c>
      <c r="D957" s="142" t="s">
        <v>150</v>
      </c>
      <c r="E957" s="143"/>
      <c r="F957" s="143">
        <v>0.4078</v>
      </c>
      <c r="G957" s="144"/>
      <c r="H957" s="144"/>
      <c r="I957" s="144">
        <f t="shared" si="198"/>
        <v>0.4078</v>
      </c>
      <c r="J957" s="145"/>
      <c r="K957" s="146">
        <v>5679289</v>
      </c>
      <c r="L957" s="145">
        <f t="shared" si="199"/>
        <v>0</v>
      </c>
      <c r="M957" s="147">
        <f t="shared" si="200"/>
        <v>2316014</v>
      </c>
      <c r="N957" s="146">
        <f t="shared" si="201"/>
        <v>0</v>
      </c>
      <c r="O957" s="146">
        <f t="shared" si="202"/>
        <v>0</v>
      </c>
      <c r="P957" s="146">
        <f t="shared" si="203"/>
        <v>2316014</v>
      </c>
      <c r="Q957" s="100"/>
      <c r="R957" s="117"/>
      <c r="S957" t="s">
        <v>2055</v>
      </c>
    </row>
    <row r="958" spans="1:19" ht="31.5" x14ac:dyDescent="0.25">
      <c r="A958" s="48" t="str">
        <f t="shared" si="197"/>
        <v>HT</v>
      </c>
      <c r="B958" s="140" t="s">
        <v>2056</v>
      </c>
      <c r="C958" s="141" t="s">
        <v>2057</v>
      </c>
      <c r="D958" s="142" t="s">
        <v>150</v>
      </c>
      <c r="E958" s="143"/>
      <c r="F958" s="143">
        <v>0.4078</v>
      </c>
      <c r="G958" s="144"/>
      <c r="H958" s="144"/>
      <c r="I958" s="144">
        <f t="shared" si="198"/>
        <v>0.4078</v>
      </c>
      <c r="J958" s="145"/>
      <c r="K958" s="146">
        <v>0</v>
      </c>
      <c r="L958" s="145">
        <f t="shared" si="199"/>
        <v>0</v>
      </c>
      <c r="M958" s="147">
        <f t="shared" si="200"/>
        <v>0</v>
      </c>
      <c r="N958" s="146">
        <f t="shared" si="201"/>
        <v>0</v>
      </c>
      <c r="O958" s="146">
        <f t="shared" si="202"/>
        <v>0</v>
      </c>
      <c r="P958" s="146">
        <f t="shared" si="203"/>
        <v>0</v>
      </c>
      <c r="Q958" s="100"/>
      <c r="R958" s="117"/>
      <c r="S958" t="s">
        <v>2058</v>
      </c>
    </row>
    <row r="959" spans="1:19" ht="31.5" x14ac:dyDescent="0.25">
      <c r="A959" s="48" t="str">
        <f t="shared" si="197"/>
        <v>HT</v>
      </c>
      <c r="B959" s="140" t="s">
        <v>2059</v>
      </c>
      <c r="C959" s="141" t="s">
        <v>2060</v>
      </c>
      <c r="D959" s="142" t="s">
        <v>150</v>
      </c>
      <c r="E959" s="143"/>
      <c r="F959" s="143">
        <v>0.4078</v>
      </c>
      <c r="G959" s="144"/>
      <c r="H959" s="144"/>
      <c r="I959" s="144">
        <f t="shared" si="198"/>
        <v>0.4078</v>
      </c>
      <c r="J959" s="145"/>
      <c r="K959" s="146">
        <v>7675620</v>
      </c>
      <c r="L959" s="145">
        <f t="shared" si="199"/>
        <v>0</v>
      </c>
      <c r="M959" s="147">
        <f t="shared" si="200"/>
        <v>3130118</v>
      </c>
      <c r="N959" s="146">
        <f t="shared" si="201"/>
        <v>0</v>
      </c>
      <c r="O959" s="146">
        <f t="shared" si="202"/>
        <v>0</v>
      </c>
      <c r="P959" s="146">
        <f t="shared" si="203"/>
        <v>3130118</v>
      </c>
      <c r="Q959" s="100"/>
      <c r="R959" s="117"/>
      <c r="S959" t="s">
        <v>2061</v>
      </c>
    </row>
    <row r="960" spans="1:19" x14ac:dyDescent="0.25">
      <c r="A960" s="48" t="str">
        <f t="shared" si="197"/>
        <v>HT</v>
      </c>
      <c r="B960" s="140" t="s">
        <v>2062</v>
      </c>
      <c r="C960" s="141" t="s">
        <v>696</v>
      </c>
      <c r="D960" s="142" t="s">
        <v>90</v>
      </c>
      <c r="E960" s="143"/>
      <c r="F960" s="143">
        <v>0.16</v>
      </c>
      <c r="G960" s="144"/>
      <c r="H960" s="144"/>
      <c r="I960" s="144">
        <f t="shared" si="198"/>
        <v>0.16</v>
      </c>
      <c r="J960" s="145"/>
      <c r="K960" s="146">
        <v>23113706</v>
      </c>
      <c r="L960" s="145">
        <f t="shared" si="199"/>
        <v>0</v>
      </c>
      <c r="M960" s="147">
        <f t="shared" si="200"/>
        <v>3698193</v>
      </c>
      <c r="N960" s="146">
        <f t="shared" si="201"/>
        <v>0</v>
      </c>
      <c r="O960" s="146">
        <f t="shared" si="202"/>
        <v>0</v>
      </c>
      <c r="P960" s="146">
        <f t="shared" si="203"/>
        <v>3698193</v>
      </c>
      <c r="Q960" s="100"/>
      <c r="R960" s="117"/>
      <c r="S960" t="s">
        <v>2063</v>
      </c>
    </row>
    <row r="961" spans="1:19" x14ac:dyDescent="0.25">
      <c r="A961" s="48" t="str">
        <f t="shared" si="197"/>
        <v>HT</v>
      </c>
      <c r="B961" s="140" t="s">
        <v>2064</v>
      </c>
      <c r="C961" s="141" t="s">
        <v>698</v>
      </c>
      <c r="D961" s="142" t="s">
        <v>90</v>
      </c>
      <c r="E961" s="143"/>
      <c r="F961" s="143">
        <v>5.86</v>
      </c>
      <c r="G961" s="144"/>
      <c r="H961" s="144"/>
      <c r="I961" s="144">
        <f t="shared" si="198"/>
        <v>5.86</v>
      </c>
      <c r="J961" s="145"/>
      <c r="K961" s="146">
        <v>22866957</v>
      </c>
      <c r="L961" s="145">
        <f t="shared" si="199"/>
        <v>0</v>
      </c>
      <c r="M961" s="147">
        <f t="shared" si="200"/>
        <v>134000368</v>
      </c>
      <c r="N961" s="146">
        <f t="shared" si="201"/>
        <v>0</v>
      </c>
      <c r="O961" s="146">
        <f t="shared" si="202"/>
        <v>0</v>
      </c>
      <c r="P961" s="146">
        <f t="shared" si="203"/>
        <v>134000368</v>
      </c>
      <c r="Q961" s="100"/>
      <c r="R961" s="117"/>
      <c r="S961" t="s">
        <v>2065</v>
      </c>
    </row>
    <row r="962" spans="1:19" x14ac:dyDescent="0.25">
      <c r="A962" s="48" t="str">
        <f t="shared" si="197"/>
        <v>HT</v>
      </c>
      <c r="B962" s="140" t="s">
        <v>2066</v>
      </c>
      <c r="C962" s="141" t="s">
        <v>2067</v>
      </c>
      <c r="D962" s="142" t="s">
        <v>16</v>
      </c>
      <c r="E962" s="143"/>
      <c r="F962" s="143">
        <v>13.96</v>
      </c>
      <c r="G962" s="144"/>
      <c r="H962" s="144"/>
      <c r="I962" s="144">
        <f t="shared" si="198"/>
        <v>13.96</v>
      </c>
      <c r="J962" s="145"/>
      <c r="K962" s="146">
        <v>932092</v>
      </c>
      <c r="L962" s="145">
        <f t="shared" si="199"/>
        <v>0</v>
      </c>
      <c r="M962" s="147">
        <f t="shared" si="200"/>
        <v>13012004</v>
      </c>
      <c r="N962" s="146">
        <f t="shared" si="201"/>
        <v>0</v>
      </c>
      <c r="O962" s="146">
        <f t="shared" si="202"/>
        <v>0</v>
      </c>
      <c r="P962" s="146">
        <f t="shared" si="203"/>
        <v>13012004</v>
      </c>
      <c r="Q962" s="100"/>
      <c r="R962" s="117"/>
      <c r="S962" t="s">
        <v>2068</v>
      </c>
    </row>
    <row r="963" spans="1:19" x14ac:dyDescent="0.25">
      <c r="A963" s="48" t="str">
        <f t="shared" si="197"/>
        <v>HT</v>
      </c>
      <c r="B963" s="140" t="s">
        <v>2069</v>
      </c>
      <c r="C963" s="141" t="s">
        <v>702</v>
      </c>
      <c r="D963" s="142" t="s">
        <v>126</v>
      </c>
      <c r="E963" s="143"/>
      <c r="F963" s="143">
        <v>2.4771999999999998</v>
      </c>
      <c r="G963" s="144"/>
      <c r="H963" s="144"/>
      <c r="I963" s="144">
        <f t="shared" si="198"/>
        <v>2.4771999999999998</v>
      </c>
      <c r="J963" s="145"/>
      <c r="K963" s="146">
        <v>13228830</v>
      </c>
      <c r="L963" s="145">
        <f t="shared" si="199"/>
        <v>0</v>
      </c>
      <c r="M963" s="147">
        <f t="shared" si="200"/>
        <v>32770458</v>
      </c>
      <c r="N963" s="146">
        <f t="shared" si="201"/>
        <v>0</v>
      </c>
      <c r="O963" s="146">
        <f t="shared" si="202"/>
        <v>0</v>
      </c>
      <c r="P963" s="146">
        <f t="shared" si="203"/>
        <v>32770458</v>
      </c>
      <c r="Q963" s="100"/>
      <c r="R963" s="117"/>
      <c r="S963" t="s">
        <v>2070</v>
      </c>
    </row>
    <row r="964" spans="1:19" x14ac:dyDescent="0.25">
      <c r="A964" s="48" t="str">
        <f t="shared" si="197"/>
        <v>HT</v>
      </c>
      <c r="B964" s="140" t="s">
        <v>2071</v>
      </c>
      <c r="C964" s="141" t="s">
        <v>366</v>
      </c>
      <c r="D964" s="142" t="s">
        <v>13</v>
      </c>
      <c r="E964" s="143"/>
      <c r="F964" s="143">
        <v>358.33</v>
      </c>
      <c r="G964" s="144"/>
      <c r="H964" s="144"/>
      <c r="I964" s="144">
        <f t="shared" si="198"/>
        <v>358.33</v>
      </c>
      <c r="J964" s="145"/>
      <c r="K964" s="146">
        <v>68250</v>
      </c>
      <c r="L964" s="145">
        <f t="shared" si="199"/>
        <v>0</v>
      </c>
      <c r="M964" s="147">
        <f t="shared" si="200"/>
        <v>24456023</v>
      </c>
      <c r="N964" s="146">
        <f t="shared" si="201"/>
        <v>0</v>
      </c>
      <c r="O964" s="146">
        <f t="shared" si="202"/>
        <v>0</v>
      </c>
      <c r="P964" s="146">
        <f t="shared" si="203"/>
        <v>24456023</v>
      </c>
      <c r="Q964" s="100"/>
      <c r="R964" s="117"/>
      <c r="S964" t="s">
        <v>2072</v>
      </c>
    </row>
    <row r="965" spans="1:19" x14ac:dyDescent="0.25">
      <c r="A965" s="48" t="str">
        <f t="shared" si="197"/>
        <v>HT</v>
      </c>
      <c r="B965" s="140" t="s">
        <v>2073</v>
      </c>
      <c r="C965" s="141" t="s">
        <v>587</v>
      </c>
      <c r="D965" s="142" t="s">
        <v>16</v>
      </c>
      <c r="E965" s="143"/>
      <c r="F965" s="143">
        <v>15.99</v>
      </c>
      <c r="G965" s="144"/>
      <c r="H965" s="144"/>
      <c r="I965" s="144">
        <f t="shared" si="198"/>
        <v>15.99</v>
      </c>
      <c r="J965" s="145"/>
      <c r="K965" s="146">
        <v>668894</v>
      </c>
      <c r="L965" s="145">
        <f t="shared" si="199"/>
        <v>0</v>
      </c>
      <c r="M965" s="147">
        <f t="shared" si="200"/>
        <v>10695615</v>
      </c>
      <c r="N965" s="146">
        <f t="shared" si="201"/>
        <v>0</v>
      </c>
      <c r="O965" s="146">
        <f t="shared" si="202"/>
        <v>0</v>
      </c>
      <c r="P965" s="146">
        <f t="shared" si="203"/>
        <v>10695615</v>
      </c>
      <c r="Q965" s="100"/>
      <c r="R965" s="117"/>
      <c r="S965" t="s">
        <v>2074</v>
      </c>
    </row>
    <row r="966" spans="1:19" x14ac:dyDescent="0.25">
      <c r="A966" s="48" t="str">
        <f t="shared" si="197"/>
        <v>HT</v>
      </c>
      <c r="B966" s="140"/>
      <c r="C966" s="149" t="s">
        <v>2075</v>
      </c>
      <c r="D966" s="142"/>
      <c r="E966" s="143"/>
      <c r="F966" s="143"/>
      <c r="G966" s="144"/>
      <c r="H966" s="144"/>
      <c r="I966" s="144"/>
      <c r="J966" s="145"/>
      <c r="K966" s="146"/>
      <c r="L966" s="145"/>
      <c r="M966" s="147"/>
      <c r="N966" s="146"/>
      <c r="O966" s="146"/>
      <c r="P966" s="146"/>
      <c r="Q966" s="100"/>
      <c r="R966" s="117"/>
    </row>
    <row r="967" spans="1:19" x14ac:dyDescent="0.25">
      <c r="A967" s="48" t="str">
        <f t="shared" si="197"/>
        <v>HT</v>
      </c>
      <c r="B967" s="140" t="s">
        <v>2076</v>
      </c>
      <c r="C967" s="141" t="s">
        <v>806</v>
      </c>
      <c r="D967" s="142" t="s">
        <v>90</v>
      </c>
      <c r="E967" s="143"/>
      <c r="F967" s="143">
        <v>0.02</v>
      </c>
      <c r="G967" s="144"/>
      <c r="H967" s="144"/>
      <c r="I967" s="144">
        <f t="shared" ref="I967:I972" si="204">SUM(E967:H967)</f>
        <v>0.02</v>
      </c>
      <c r="J967" s="145"/>
      <c r="K967" s="146">
        <v>23113706</v>
      </c>
      <c r="L967" s="145">
        <f t="shared" ref="L967:L972" si="205">+ROUND(K967*E967,0)</f>
        <v>0</v>
      </c>
      <c r="M967" s="147">
        <f t="shared" ref="M967:M972" si="206">+ROUND(F967*K967,0)</f>
        <v>462274</v>
      </c>
      <c r="N967" s="146">
        <f t="shared" ref="N967:N972" si="207">+ROUND(G967*K967,0)</f>
        <v>0</v>
      </c>
      <c r="O967" s="146">
        <f t="shared" ref="O967:O972" si="208">+ROUND(H967*K967,0)</f>
        <v>0</v>
      </c>
      <c r="P967" s="146">
        <f t="shared" ref="P967:P972" si="209">SUM(L967:O967)</f>
        <v>462274</v>
      </c>
      <c r="Q967" s="100"/>
      <c r="R967" s="117"/>
      <c r="S967" t="s">
        <v>2077</v>
      </c>
    </row>
    <row r="968" spans="1:19" x14ac:dyDescent="0.25">
      <c r="A968" s="48" t="str">
        <f t="shared" si="197"/>
        <v>HT</v>
      </c>
      <c r="B968" s="140" t="s">
        <v>2078</v>
      </c>
      <c r="C968" s="141" t="s">
        <v>2079</v>
      </c>
      <c r="D968" s="142" t="s">
        <v>90</v>
      </c>
      <c r="E968" s="143"/>
      <c r="F968" s="143">
        <v>0.25</v>
      </c>
      <c r="G968" s="144"/>
      <c r="H968" s="144"/>
      <c r="I968" s="144">
        <f t="shared" si="204"/>
        <v>0.25</v>
      </c>
      <c r="J968" s="145"/>
      <c r="K968" s="146">
        <v>22196308</v>
      </c>
      <c r="L968" s="145">
        <f t="shared" si="205"/>
        <v>0</v>
      </c>
      <c r="M968" s="147">
        <f t="shared" si="206"/>
        <v>5549077</v>
      </c>
      <c r="N968" s="146">
        <f t="shared" si="207"/>
        <v>0</v>
      </c>
      <c r="O968" s="146">
        <f t="shared" si="208"/>
        <v>0</v>
      </c>
      <c r="P968" s="146">
        <f t="shared" si="209"/>
        <v>5549077</v>
      </c>
      <c r="Q968" s="100"/>
      <c r="R968" s="117"/>
      <c r="S968" t="s">
        <v>2080</v>
      </c>
    </row>
    <row r="969" spans="1:19" x14ac:dyDescent="0.25">
      <c r="A969" s="48" t="str">
        <f t="shared" si="197"/>
        <v>HT</v>
      </c>
      <c r="B969" s="140" t="s">
        <v>2081</v>
      </c>
      <c r="C969" s="141" t="s">
        <v>1230</v>
      </c>
      <c r="D969" s="142" t="s">
        <v>90</v>
      </c>
      <c r="E969" s="143"/>
      <c r="F969" s="143">
        <v>0.25</v>
      </c>
      <c r="G969" s="144"/>
      <c r="H969" s="144"/>
      <c r="I969" s="144">
        <f t="shared" si="204"/>
        <v>0.25</v>
      </c>
      <c r="J969" s="145"/>
      <c r="K969" s="146">
        <v>10186176</v>
      </c>
      <c r="L969" s="145">
        <f t="shared" si="205"/>
        <v>0</v>
      </c>
      <c r="M969" s="147">
        <f t="shared" si="206"/>
        <v>2546544</v>
      </c>
      <c r="N969" s="146">
        <f t="shared" si="207"/>
        <v>0</v>
      </c>
      <c r="O969" s="146">
        <f t="shared" si="208"/>
        <v>0</v>
      </c>
      <c r="P969" s="146">
        <f t="shared" si="209"/>
        <v>2546544</v>
      </c>
      <c r="Q969" s="100"/>
      <c r="R969" s="117"/>
      <c r="S969" t="s">
        <v>2082</v>
      </c>
    </row>
    <row r="970" spans="1:19" x14ac:dyDescent="0.25">
      <c r="A970" s="48" t="str">
        <f t="shared" si="197"/>
        <v>HT</v>
      </c>
      <c r="B970" s="140" t="s">
        <v>2083</v>
      </c>
      <c r="C970" s="141" t="s">
        <v>2084</v>
      </c>
      <c r="D970" s="142" t="s">
        <v>1160</v>
      </c>
      <c r="E970" s="143"/>
      <c r="F970" s="143">
        <v>0.34320000000000001</v>
      </c>
      <c r="G970" s="144"/>
      <c r="H970" s="144"/>
      <c r="I970" s="144">
        <f t="shared" si="204"/>
        <v>0.34320000000000001</v>
      </c>
      <c r="J970" s="145"/>
      <c r="K970" s="146">
        <v>2334666</v>
      </c>
      <c r="L970" s="145">
        <f t="shared" si="205"/>
        <v>0</v>
      </c>
      <c r="M970" s="147">
        <f t="shared" si="206"/>
        <v>801257</v>
      </c>
      <c r="N970" s="146">
        <f t="shared" si="207"/>
        <v>0</v>
      </c>
      <c r="O970" s="146">
        <f t="shared" si="208"/>
        <v>0</v>
      </c>
      <c r="P970" s="146">
        <f t="shared" si="209"/>
        <v>801257</v>
      </c>
      <c r="Q970" s="100"/>
      <c r="R970" s="117"/>
      <c r="S970" t="s">
        <v>2085</v>
      </c>
    </row>
    <row r="971" spans="1:19" x14ac:dyDescent="0.25">
      <c r="A971" s="48" t="str">
        <f t="shared" si="197"/>
        <v>HT</v>
      </c>
      <c r="B971" s="140" t="s">
        <v>2086</v>
      </c>
      <c r="C971" s="141" t="s">
        <v>2087</v>
      </c>
      <c r="D971" s="142" t="s">
        <v>13</v>
      </c>
      <c r="E971" s="143"/>
      <c r="F971" s="143">
        <v>0.19</v>
      </c>
      <c r="G971" s="144"/>
      <c r="H971" s="144"/>
      <c r="I971" s="144">
        <f t="shared" si="204"/>
        <v>0.19</v>
      </c>
      <c r="J971" s="145"/>
      <c r="K971" s="146">
        <v>214797</v>
      </c>
      <c r="L971" s="145">
        <f t="shared" si="205"/>
        <v>0</v>
      </c>
      <c r="M971" s="147">
        <f t="shared" si="206"/>
        <v>40811</v>
      </c>
      <c r="N971" s="146">
        <f t="shared" si="207"/>
        <v>0</v>
      </c>
      <c r="O971" s="146">
        <f t="shared" si="208"/>
        <v>0</v>
      </c>
      <c r="P971" s="146">
        <f t="shared" si="209"/>
        <v>40811</v>
      </c>
      <c r="Q971" s="100"/>
      <c r="R971" s="117"/>
      <c r="S971" t="s">
        <v>2088</v>
      </c>
    </row>
    <row r="972" spans="1:19" x14ac:dyDescent="0.25">
      <c r="A972" s="48" t="str">
        <f t="shared" si="197"/>
        <v>HT</v>
      </c>
      <c r="B972" s="140" t="s">
        <v>2089</v>
      </c>
      <c r="C972" s="141" t="s">
        <v>2090</v>
      </c>
      <c r="D972" s="142" t="s">
        <v>75</v>
      </c>
      <c r="E972" s="143"/>
      <c r="F972" s="143">
        <v>31.2</v>
      </c>
      <c r="G972" s="144"/>
      <c r="H972" s="144"/>
      <c r="I972" s="144">
        <f t="shared" si="204"/>
        <v>31.2</v>
      </c>
      <c r="J972" s="145"/>
      <c r="K972" s="146">
        <v>226805</v>
      </c>
      <c r="L972" s="145">
        <f t="shared" si="205"/>
        <v>0</v>
      </c>
      <c r="M972" s="147">
        <f t="shared" si="206"/>
        <v>7076316</v>
      </c>
      <c r="N972" s="146">
        <f t="shared" si="207"/>
        <v>0</v>
      </c>
      <c r="O972" s="146">
        <f t="shared" si="208"/>
        <v>0</v>
      </c>
      <c r="P972" s="146">
        <f t="shared" si="209"/>
        <v>7076316</v>
      </c>
      <c r="Q972" s="100"/>
      <c r="R972" s="117"/>
      <c r="S972" t="s">
        <v>2091</v>
      </c>
    </row>
    <row r="973" spans="1:19" x14ac:dyDescent="0.25">
      <c r="A973" s="48" t="str">
        <f t="shared" si="197"/>
        <v>HT</v>
      </c>
      <c r="B973" s="140"/>
      <c r="C973" s="149" t="s">
        <v>2092</v>
      </c>
      <c r="D973" s="142"/>
      <c r="E973" s="143"/>
      <c r="F973" s="143"/>
      <c r="G973" s="144"/>
      <c r="H973" s="144"/>
      <c r="I973" s="144"/>
      <c r="J973" s="145"/>
      <c r="K973" s="146"/>
      <c r="L973" s="145"/>
      <c r="M973" s="147"/>
      <c r="N973" s="146"/>
      <c r="O973" s="146"/>
      <c r="P973" s="146"/>
      <c r="Q973" s="100"/>
      <c r="R973" s="117"/>
    </row>
    <row r="974" spans="1:19" x14ac:dyDescent="0.25">
      <c r="A974" s="48" t="str">
        <f t="shared" si="197"/>
        <v>HT</v>
      </c>
      <c r="B974" s="140" t="s">
        <v>2093</v>
      </c>
      <c r="C974" s="141" t="s">
        <v>717</v>
      </c>
      <c r="D974" s="142" t="s">
        <v>16</v>
      </c>
      <c r="E974" s="143"/>
      <c r="F974" s="143">
        <v>42.77</v>
      </c>
      <c r="G974" s="144"/>
      <c r="H974" s="144"/>
      <c r="I974" s="144">
        <f t="shared" ref="I974:I980" si="210">SUM(E974:H974)</f>
        <v>42.77</v>
      </c>
      <c r="J974" s="145"/>
      <c r="K974" s="146">
        <v>1249493</v>
      </c>
      <c r="L974" s="145">
        <f t="shared" ref="L974:L980" si="211">+ROUND(K974*E974,0)</f>
        <v>0</v>
      </c>
      <c r="M974" s="147">
        <f t="shared" ref="M974:M980" si="212">+ROUND(F974*K974,0)</f>
        <v>53440816</v>
      </c>
      <c r="N974" s="146">
        <f t="shared" ref="N974:N980" si="213">+ROUND(G974*K974,0)</f>
        <v>0</v>
      </c>
      <c r="O974" s="146">
        <f t="shared" ref="O974:O980" si="214">+ROUND(H974*K974,0)</f>
        <v>0</v>
      </c>
      <c r="P974" s="146">
        <f t="shared" ref="P974:P980" si="215">SUM(L974:O974)</f>
        <v>53440816</v>
      </c>
      <c r="Q974" s="100"/>
      <c r="R974" s="117"/>
      <c r="S974" t="s">
        <v>2094</v>
      </c>
    </row>
    <row r="975" spans="1:19" ht="31.5" x14ac:dyDescent="0.25">
      <c r="A975" s="48" t="str">
        <f t="shared" si="197"/>
        <v>HT</v>
      </c>
      <c r="B975" s="140" t="s">
        <v>2095</v>
      </c>
      <c r="C975" s="141" t="s">
        <v>1673</v>
      </c>
      <c r="D975" s="142" t="s">
        <v>150</v>
      </c>
      <c r="E975" s="143"/>
      <c r="F975" s="143">
        <v>0.43409999999999999</v>
      </c>
      <c r="G975" s="144"/>
      <c r="H975" s="144"/>
      <c r="I975" s="144">
        <f t="shared" si="210"/>
        <v>0.43409999999999999</v>
      </c>
      <c r="J975" s="145"/>
      <c r="K975" s="146">
        <v>5679289</v>
      </c>
      <c r="L975" s="145">
        <f t="shared" si="211"/>
        <v>0</v>
      </c>
      <c r="M975" s="147">
        <f t="shared" si="212"/>
        <v>2465379</v>
      </c>
      <c r="N975" s="146">
        <f t="shared" si="213"/>
        <v>0</v>
      </c>
      <c r="O975" s="146">
        <f t="shared" si="214"/>
        <v>0</v>
      </c>
      <c r="P975" s="146">
        <f t="shared" si="215"/>
        <v>2465379</v>
      </c>
      <c r="Q975" s="100"/>
      <c r="R975" s="117"/>
      <c r="S975" t="s">
        <v>2096</v>
      </c>
    </row>
    <row r="976" spans="1:19" ht="31.5" x14ac:dyDescent="0.25">
      <c r="A976" s="48" t="str">
        <f t="shared" si="197"/>
        <v>HT</v>
      </c>
      <c r="B976" s="140" t="s">
        <v>2097</v>
      </c>
      <c r="C976" s="141" t="s">
        <v>2057</v>
      </c>
      <c r="D976" s="142" t="s">
        <v>150</v>
      </c>
      <c r="E976" s="143"/>
      <c r="F976" s="143">
        <v>0.43409999999999999</v>
      </c>
      <c r="G976" s="144"/>
      <c r="H976" s="144"/>
      <c r="I976" s="144">
        <f t="shared" si="210"/>
        <v>0.43409999999999999</v>
      </c>
      <c r="J976" s="145"/>
      <c r="K976" s="146">
        <v>0</v>
      </c>
      <c r="L976" s="145">
        <f t="shared" si="211"/>
        <v>0</v>
      </c>
      <c r="M976" s="147">
        <f t="shared" si="212"/>
        <v>0</v>
      </c>
      <c r="N976" s="146">
        <f t="shared" si="213"/>
        <v>0</v>
      </c>
      <c r="O976" s="146">
        <f t="shared" si="214"/>
        <v>0</v>
      </c>
      <c r="P976" s="146">
        <f t="shared" si="215"/>
        <v>0</v>
      </c>
      <c r="Q976" s="100"/>
      <c r="R976" s="117"/>
      <c r="S976" t="s">
        <v>2098</v>
      </c>
    </row>
    <row r="977" spans="1:19" ht="31.5" x14ac:dyDescent="0.25">
      <c r="A977" s="48" t="str">
        <f t="shared" si="197"/>
        <v>HT</v>
      </c>
      <c r="B977" s="140" t="s">
        <v>2099</v>
      </c>
      <c r="C977" s="141" t="s">
        <v>2060</v>
      </c>
      <c r="D977" s="142" t="s">
        <v>150</v>
      </c>
      <c r="E977" s="143"/>
      <c r="F977" s="143">
        <v>0.43409999999999999</v>
      </c>
      <c r="G977" s="144"/>
      <c r="H977" s="144"/>
      <c r="I977" s="144">
        <f t="shared" si="210"/>
        <v>0.43409999999999999</v>
      </c>
      <c r="J977" s="145"/>
      <c r="K977" s="146">
        <v>7675620</v>
      </c>
      <c r="L977" s="145">
        <f t="shared" si="211"/>
        <v>0</v>
      </c>
      <c r="M977" s="147">
        <f t="shared" si="212"/>
        <v>3331987</v>
      </c>
      <c r="N977" s="146">
        <f t="shared" si="213"/>
        <v>0</v>
      </c>
      <c r="O977" s="146">
        <f t="shared" si="214"/>
        <v>0</v>
      </c>
      <c r="P977" s="146">
        <f t="shared" si="215"/>
        <v>3331987</v>
      </c>
      <c r="Q977" s="100"/>
      <c r="R977" s="117"/>
      <c r="S977" t="s">
        <v>2100</v>
      </c>
    </row>
    <row r="978" spans="1:19" x14ac:dyDescent="0.25">
      <c r="A978" s="48" t="str">
        <f t="shared" si="197"/>
        <v>HT</v>
      </c>
      <c r="B978" s="140" t="s">
        <v>2101</v>
      </c>
      <c r="C978" s="141" t="s">
        <v>721</v>
      </c>
      <c r="D978" s="142" t="s">
        <v>90</v>
      </c>
      <c r="E978" s="143"/>
      <c r="F978" s="143">
        <v>0.11</v>
      </c>
      <c r="G978" s="144"/>
      <c r="H978" s="144"/>
      <c r="I978" s="144">
        <f t="shared" si="210"/>
        <v>0.11</v>
      </c>
      <c r="J978" s="145"/>
      <c r="K978" s="146">
        <v>22447020</v>
      </c>
      <c r="L978" s="145">
        <f t="shared" si="211"/>
        <v>0</v>
      </c>
      <c r="M978" s="147">
        <f t="shared" si="212"/>
        <v>2469172</v>
      </c>
      <c r="N978" s="146">
        <f t="shared" si="213"/>
        <v>0</v>
      </c>
      <c r="O978" s="146">
        <f t="shared" si="214"/>
        <v>0</v>
      </c>
      <c r="P978" s="146">
        <f t="shared" si="215"/>
        <v>2469172</v>
      </c>
      <c r="Q978" s="100"/>
      <c r="R978" s="117"/>
      <c r="S978" t="s">
        <v>2102</v>
      </c>
    </row>
    <row r="979" spans="1:19" x14ac:dyDescent="0.25">
      <c r="A979" s="48" t="str">
        <f t="shared" si="197"/>
        <v>HT</v>
      </c>
      <c r="B979" s="140" t="s">
        <v>2103</v>
      </c>
      <c r="C979" s="141" t="s">
        <v>723</v>
      </c>
      <c r="D979" s="142" t="s">
        <v>90</v>
      </c>
      <c r="E979" s="143"/>
      <c r="F979" s="143">
        <v>5.08</v>
      </c>
      <c r="G979" s="144"/>
      <c r="H979" s="144"/>
      <c r="I979" s="144">
        <f t="shared" si="210"/>
        <v>5.08</v>
      </c>
      <c r="J979" s="145"/>
      <c r="K979" s="146">
        <v>22076029</v>
      </c>
      <c r="L979" s="145">
        <f t="shared" si="211"/>
        <v>0</v>
      </c>
      <c r="M979" s="147">
        <f t="shared" si="212"/>
        <v>112146227</v>
      </c>
      <c r="N979" s="146">
        <f t="shared" si="213"/>
        <v>0</v>
      </c>
      <c r="O979" s="146">
        <f t="shared" si="214"/>
        <v>0</v>
      </c>
      <c r="P979" s="146">
        <f t="shared" si="215"/>
        <v>112146227</v>
      </c>
      <c r="Q979" s="100"/>
      <c r="R979" s="117"/>
      <c r="S979" t="s">
        <v>2104</v>
      </c>
    </row>
    <row r="980" spans="1:19" x14ac:dyDescent="0.25">
      <c r="A980" s="48" t="str">
        <f t="shared" si="197"/>
        <v>HT</v>
      </c>
      <c r="B980" s="140" t="s">
        <v>2105</v>
      </c>
      <c r="C980" s="141" t="s">
        <v>651</v>
      </c>
      <c r="D980" s="142" t="s">
        <v>126</v>
      </c>
      <c r="E980" s="143"/>
      <c r="F980" s="143">
        <v>0.55430000000000001</v>
      </c>
      <c r="G980" s="144"/>
      <c r="H980" s="144"/>
      <c r="I980" s="144">
        <f t="shared" si="210"/>
        <v>0.55430000000000001</v>
      </c>
      <c r="J980" s="145"/>
      <c r="K980" s="146">
        <v>5932795</v>
      </c>
      <c r="L980" s="145">
        <f t="shared" si="211"/>
        <v>0</v>
      </c>
      <c r="M980" s="147">
        <f t="shared" si="212"/>
        <v>3288548</v>
      </c>
      <c r="N980" s="146">
        <f t="shared" si="213"/>
        <v>0</v>
      </c>
      <c r="O980" s="146">
        <f t="shared" si="214"/>
        <v>0</v>
      </c>
      <c r="P980" s="146">
        <f t="shared" si="215"/>
        <v>3288548</v>
      </c>
      <c r="Q980" s="100"/>
      <c r="R980" s="117"/>
      <c r="S980" t="s">
        <v>2106</v>
      </c>
    </row>
    <row r="981" spans="1:19" x14ac:dyDescent="0.25">
      <c r="A981" s="48" t="str">
        <f t="shared" si="197"/>
        <v>HT</v>
      </c>
      <c r="B981" s="140"/>
      <c r="C981" s="149" t="s">
        <v>2107</v>
      </c>
      <c r="D981" s="142"/>
      <c r="E981" s="143"/>
      <c r="F981" s="143"/>
      <c r="G981" s="144"/>
      <c r="H981" s="144"/>
      <c r="I981" s="144"/>
      <c r="J981" s="145"/>
      <c r="K981" s="146"/>
      <c r="L981" s="145"/>
      <c r="M981" s="147"/>
      <c r="N981" s="146"/>
      <c r="O981" s="146"/>
      <c r="P981" s="146"/>
      <c r="Q981" s="100"/>
      <c r="R981" s="117"/>
    </row>
    <row r="982" spans="1:19" x14ac:dyDescent="0.25">
      <c r="A982" s="48" t="str">
        <f t="shared" si="197"/>
        <v>HT</v>
      </c>
      <c r="B982" s="140" t="s">
        <v>2108</v>
      </c>
      <c r="C982" s="141" t="s">
        <v>725</v>
      </c>
      <c r="D982" s="142" t="s">
        <v>16</v>
      </c>
      <c r="E982" s="143"/>
      <c r="F982" s="143">
        <v>32.06</v>
      </c>
      <c r="G982" s="144"/>
      <c r="H982" s="144"/>
      <c r="I982" s="144">
        <f t="shared" ref="I982:I988" si="216">SUM(E982:H982)</f>
        <v>32.06</v>
      </c>
      <c r="J982" s="145"/>
      <c r="K982" s="146">
        <v>1544970</v>
      </c>
      <c r="L982" s="145">
        <f t="shared" ref="L982:L988" si="217">+ROUND(K982*E982,0)</f>
        <v>0</v>
      </c>
      <c r="M982" s="147">
        <f t="shared" ref="M982:M988" si="218">+ROUND(F982*K982,0)</f>
        <v>49531738</v>
      </c>
      <c r="N982" s="146">
        <f t="shared" ref="N982:N988" si="219">+ROUND(G982*K982,0)</f>
        <v>0</v>
      </c>
      <c r="O982" s="146">
        <f t="shared" ref="O982:O988" si="220">+ROUND(H982*K982,0)</f>
        <v>0</v>
      </c>
      <c r="P982" s="146">
        <f t="shared" ref="P982:P988" si="221">SUM(L982:O982)</f>
        <v>49531738</v>
      </c>
      <c r="Q982" s="100"/>
      <c r="R982" s="117"/>
      <c r="S982" t="s">
        <v>2109</v>
      </c>
    </row>
    <row r="983" spans="1:19" ht="31.5" x14ac:dyDescent="0.25">
      <c r="A983" s="48" t="str">
        <f t="shared" si="197"/>
        <v>HT</v>
      </c>
      <c r="B983" s="140" t="s">
        <v>2110</v>
      </c>
      <c r="C983" s="141" t="s">
        <v>1673</v>
      </c>
      <c r="D983" s="142" t="s">
        <v>150</v>
      </c>
      <c r="E983" s="143"/>
      <c r="F983" s="143">
        <v>0.32540000000000002</v>
      </c>
      <c r="G983" s="144"/>
      <c r="H983" s="144"/>
      <c r="I983" s="144">
        <f t="shared" si="216"/>
        <v>0.32540000000000002</v>
      </c>
      <c r="J983" s="145"/>
      <c r="K983" s="146">
        <v>5679289</v>
      </c>
      <c r="L983" s="145">
        <f t="shared" si="217"/>
        <v>0</v>
      </c>
      <c r="M983" s="147">
        <f t="shared" si="218"/>
        <v>1848041</v>
      </c>
      <c r="N983" s="146">
        <f t="shared" si="219"/>
        <v>0</v>
      </c>
      <c r="O983" s="146">
        <f t="shared" si="220"/>
        <v>0</v>
      </c>
      <c r="P983" s="146">
        <f t="shared" si="221"/>
        <v>1848041</v>
      </c>
      <c r="Q983" s="100"/>
      <c r="R983" s="117"/>
      <c r="S983" t="s">
        <v>2111</v>
      </c>
    </row>
    <row r="984" spans="1:19" ht="31.5" x14ac:dyDescent="0.25">
      <c r="A984" s="48" t="str">
        <f t="shared" si="197"/>
        <v>HT</v>
      </c>
      <c r="B984" s="140" t="s">
        <v>2112</v>
      </c>
      <c r="C984" s="141" t="s">
        <v>2057</v>
      </c>
      <c r="D984" s="142" t="s">
        <v>150</v>
      </c>
      <c r="E984" s="143"/>
      <c r="F984" s="143">
        <v>0.32540000000000002</v>
      </c>
      <c r="G984" s="144"/>
      <c r="H984" s="144"/>
      <c r="I984" s="144">
        <f t="shared" si="216"/>
        <v>0.32540000000000002</v>
      </c>
      <c r="J984" s="145"/>
      <c r="K984" s="146">
        <v>0</v>
      </c>
      <c r="L984" s="145">
        <f t="shared" si="217"/>
        <v>0</v>
      </c>
      <c r="M984" s="147">
        <f t="shared" si="218"/>
        <v>0</v>
      </c>
      <c r="N984" s="146">
        <f t="shared" si="219"/>
        <v>0</v>
      </c>
      <c r="O984" s="146">
        <f t="shared" si="220"/>
        <v>0</v>
      </c>
      <c r="P984" s="146">
        <f t="shared" si="221"/>
        <v>0</v>
      </c>
      <c r="Q984" s="100"/>
      <c r="R984" s="117"/>
      <c r="S984" t="s">
        <v>2113</v>
      </c>
    </row>
    <row r="985" spans="1:19" ht="31.5" x14ac:dyDescent="0.25">
      <c r="A985" s="48" t="str">
        <f t="shared" si="197"/>
        <v>HT</v>
      </c>
      <c r="B985" s="140" t="s">
        <v>2114</v>
      </c>
      <c r="C985" s="141" t="s">
        <v>2060</v>
      </c>
      <c r="D985" s="142" t="s">
        <v>150</v>
      </c>
      <c r="E985" s="143"/>
      <c r="F985" s="143">
        <v>0.32540000000000002</v>
      </c>
      <c r="G985" s="144"/>
      <c r="H985" s="144"/>
      <c r="I985" s="144">
        <f t="shared" si="216"/>
        <v>0.32540000000000002</v>
      </c>
      <c r="J985" s="145"/>
      <c r="K985" s="146">
        <v>7675620</v>
      </c>
      <c r="L985" s="145">
        <f t="shared" si="217"/>
        <v>0</v>
      </c>
      <c r="M985" s="147">
        <f t="shared" si="218"/>
        <v>2497647</v>
      </c>
      <c r="N985" s="146">
        <f t="shared" si="219"/>
        <v>0</v>
      </c>
      <c r="O985" s="146">
        <f t="shared" si="220"/>
        <v>0</v>
      </c>
      <c r="P985" s="146">
        <f t="shared" si="221"/>
        <v>2497647</v>
      </c>
      <c r="Q985" s="100"/>
      <c r="R985" s="117"/>
      <c r="S985" t="s">
        <v>2115</v>
      </c>
    </row>
    <row r="986" spans="1:19" x14ac:dyDescent="0.25">
      <c r="A986" s="48" t="str">
        <f t="shared" si="197"/>
        <v>HT</v>
      </c>
      <c r="B986" s="140" t="s">
        <v>2116</v>
      </c>
      <c r="C986" s="141" t="s">
        <v>729</v>
      </c>
      <c r="D986" s="142" t="s">
        <v>90</v>
      </c>
      <c r="E986" s="143"/>
      <c r="F986" s="143">
        <v>0.1</v>
      </c>
      <c r="G986" s="144"/>
      <c r="H986" s="144"/>
      <c r="I986" s="144">
        <f t="shared" si="216"/>
        <v>0.1</v>
      </c>
      <c r="J986" s="145"/>
      <c r="K986" s="146">
        <v>23853119</v>
      </c>
      <c r="L986" s="145">
        <f t="shared" si="217"/>
        <v>0</v>
      </c>
      <c r="M986" s="147">
        <f t="shared" si="218"/>
        <v>2385312</v>
      </c>
      <c r="N986" s="146">
        <f t="shared" si="219"/>
        <v>0</v>
      </c>
      <c r="O986" s="146">
        <f t="shared" si="220"/>
        <v>0</v>
      </c>
      <c r="P986" s="146">
        <f t="shared" si="221"/>
        <v>2385312</v>
      </c>
      <c r="Q986" s="100"/>
      <c r="R986" s="117"/>
      <c r="S986" t="s">
        <v>2117</v>
      </c>
    </row>
    <row r="987" spans="1:19" x14ac:dyDescent="0.25">
      <c r="A987" s="48" t="str">
        <f t="shared" ref="A987:A1003" si="222">A986</f>
        <v>HT</v>
      </c>
      <c r="B987" s="140" t="s">
        <v>2118</v>
      </c>
      <c r="C987" s="141" t="s">
        <v>2119</v>
      </c>
      <c r="D987" s="142" t="s">
        <v>90</v>
      </c>
      <c r="E987" s="143"/>
      <c r="F987" s="143">
        <v>4.38</v>
      </c>
      <c r="G987" s="144"/>
      <c r="H987" s="144"/>
      <c r="I987" s="144">
        <f t="shared" si="216"/>
        <v>4.38</v>
      </c>
      <c r="J987" s="145"/>
      <c r="K987" s="146">
        <v>22559764</v>
      </c>
      <c r="L987" s="145">
        <f t="shared" si="217"/>
        <v>0</v>
      </c>
      <c r="M987" s="147">
        <f t="shared" si="218"/>
        <v>98811766</v>
      </c>
      <c r="N987" s="146">
        <f t="shared" si="219"/>
        <v>0</v>
      </c>
      <c r="O987" s="146">
        <f t="shared" si="220"/>
        <v>0</v>
      </c>
      <c r="P987" s="146">
        <f t="shared" si="221"/>
        <v>98811766</v>
      </c>
      <c r="Q987" s="100"/>
      <c r="R987" s="117"/>
      <c r="S987" t="s">
        <v>2120</v>
      </c>
    </row>
    <row r="988" spans="1:19" x14ac:dyDescent="0.25">
      <c r="A988" s="48" t="str">
        <f t="shared" si="222"/>
        <v>HT</v>
      </c>
      <c r="B988" s="140" t="s">
        <v>2121</v>
      </c>
      <c r="C988" s="141" t="s">
        <v>733</v>
      </c>
      <c r="D988" s="142" t="s">
        <v>126</v>
      </c>
      <c r="E988" s="143"/>
      <c r="F988" s="143">
        <v>1.1712</v>
      </c>
      <c r="G988" s="144"/>
      <c r="H988" s="144"/>
      <c r="I988" s="144">
        <f t="shared" si="216"/>
        <v>1.1712</v>
      </c>
      <c r="J988" s="145"/>
      <c r="K988" s="146">
        <v>10317034</v>
      </c>
      <c r="L988" s="145">
        <f t="shared" si="217"/>
        <v>0</v>
      </c>
      <c r="M988" s="147">
        <f t="shared" si="218"/>
        <v>12083310</v>
      </c>
      <c r="N988" s="146">
        <f t="shared" si="219"/>
        <v>0</v>
      </c>
      <c r="O988" s="146">
        <f t="shared" si="220"/>
        <v>0</v>
      </c>
      <c r="P988" s="146">
        <f t="shared" si="221"/>
        <v>12083310</v>
      </c>
      <c r="Q988" s="100"/>
      <c r="R988" s="117"/>
      <c r="S988" t="s">
        <v>2122</v>
      </c>
    </row>
    <row r="989" spans="1:19" x14ac:dyDescent="0.25">
      <c r="A989" s="48" t="str">
        <f t="shared" si="222"/>
        <v>HT</v>
      </c>
      <c r="B989" s="140"/>
      <c r="C989" s="149" t="s">
        <v>2123</v>
      </c>
      <c r="D989" s="142"/>
      <c r="E989" s="143"/>
      <c r="F989" s="143"/>
      <c r="G989" s="144"/>
      <c r="H989" s="144"/>
      <c r="I989" s="144"/>
      <c r="J989" s="145"/>
      <c r="K989" s="146"/>
      <c r="L989" s="145"/>
      <c r="M989" s="147"/>
      <c r="N989" s="146"/>
      <c r="O989" s="146"/>
      <c r="P989" s="146"/>
      <c r="Q989" s="100"/>
      <c r="R989" s="117"/>
    </row>
    <row r="990" spans="1:19" x14ac:dyDescent="0.25">
      <c r="A990" s="48" t="str">
        <f t="shared" si="222"/>
        <v>HT</v>
      </c>
      <c r="B990" s="140" t="s">
        <v>2124</v>
      </c>
      <c r="C990" s="141" t="s">
        <v>692</v>
      </c>
      <c r="D990" s="142" t="s">
        <v>16</v>
      </c>
      <c r="E990" s="143"/>
      <c r="F990" s="143">
        <v>4.92</v>
      </c>
      <c r="G990" s="144"/>
      <c r="H990" s="144"/>
      <c r="I990" s="144">
        <f>SUM(E990:H990)</f>
        <v>4.92</v>
      </c>
      <c r="J990" s="145"/>
      <c r="K990" s="146">
        <v>1580380</v>
      </c>
      <c r="L990" s="145">
        <f>+ROUND(K990*E990,0)</f>
        <v>0</v>
      </c>
      <c r="M990" s="147">
        <f>+ROUND(F990*K990,0)</f>
        <v>7775470</v>
      </c>
      <c r="N990" s="146">
        <f>+ROUND(G990*K990,0)</f>
        <v>0</v>
      </c>
      <c r="O990" s="146">
        <f>+ROUND(H990*K990,0)</f>
        <v>0</v>
      </c>
      <c r="P990" s="146">
        <f>SUM(L990:O990)</f>
        <v>7775470</v>
      </c>
      <c r="Q990" s="100"/>
      <c r="R990" s="117"/>
      <c r="S990" t="s">
        <v>2125</v>
      </c>
    </row>
    <row r="991" spans="1:19" ht="31.5" x14ac:dyDescent="0.25">
      <c r="A991" s="48" t="str">
        <f t="shared" si="222"/>
        <v>HT</v>
      </c>
      <c r="B991" s="140" t="s">
        <v>2126</v>
      </c>
      <c r="C991" s="141" t="s">
        <v>1673</v>
      </c>
      <c r="D991" s="142" t="s">
        <v>150</v>
      </c>
      <c r="E991" s="143"/>
      <c r="F991" s="143">
        <v>4.99E-2</v>
      </c>
      <c r="G991" s="144"/>
      <c r="H991" s="144"/>
      <c r="I991" s="144">
        <f>SUM(E991:H991)</f>
        <v>4.99E-2</v>
      </c>
      <c r="J991" s="145"/>
      <c r="K991" s="146">
        <v>5679289</v>
      </c>
      <c r="L991" s="145">
        <f>+ROUND(K991*E991,0)</f>
        <v>0</v>
      </c>
      <c r="M991" s="147">
        <f>+ROUND(F991*K991,0)</f>
        <v>283397</v>
      </c>
      <c r="N991" s="146">
        <f>+ROUND(G991*K991,0)</f>
        <v>0</v>
      </c>
      <c r="O991" s="146">
        <f>+ROUND(H991*K991,0)</f>
        <v>0</v>
      </c>
      <c r="P991" s="146">
        <f>SUM(L991:O991)</f>
        <v>283397</v>
      </c>
      <c r="Q991" s="100"/>
      <c r="R991" s="117"/>
      <c r="S991" t="s">
        <v>2127</v>
      </c>
    </row>
    <row r="992" spans="1:19" ht="31.5" x14ac:dyDescent="0.25">
      <c r="A992" s="48" t="str">
        <f t="shared" si="222"/>
        <v>HT</v>
      </c>
      <c r="B992" s="140" t="s">
        <v>2128</v>
      </c>
      <c r="C992" s="141" t="s">
        <v>2060</v>
      </c>
      <c r="D992" s="142" t="s">
        <v>150</v>
      </c>
      <c r="E992" s="143"/>
      <c r="F992" s="143">
        <v>4.99E-2</v>
      </c>
      <c r="G992" s="144"/>
      <c r="H992" s="144"/>
      <c r="I992" s="144">
        <f>SUM(E992:H992)</f>
        <v>4.99E-2</v>
      </c>
      <c r="J992" s="145"/>
      <c r="K992" s="146">
        <v>7675620</v>
      </c>
      <c r="L992" s="145">
        <f>+ROUND(K992*E992,0)</f>
        <v>0</v>
      </c>
      <c r="M992" s="147">
        <f>+ROUND(F992*K992,0)</f>
        <v>383013</v>
      </c>
      <c r="N992" s="146">
        <f>+ROUND(G992*K992,0)</f>
        <v>0</v>
      </c>
      <c r="O992" s="146">
        <f>+ROUND(H992*K992,0)</f>
        <v>0</v>
      </c>
      <c r="P992" s="146">
        <f>SUM(L992:O992)</f>
        <v>383013</v>
      </c>
      <c r="Q992" s="100"/>
      <c r="R992" s="117"/>
      <c r="S992" t="s">
        <v>2129</v>
      </c>
    </row>
    <row r="993" spans="1:19" x14ac:dyDescent="0.25">
      <c r="A993" s="48" t="str">
        <f t="shared" si="222"/>
        <v>HT</v>
      </c>
      <c r="B993" s="140" t="s">
        <v>2130</v>
      </c>
      <c r="C993" s="141" t="s">
        <v>698</v>
      </c>
      <c r="D993" s="142" t="s">
        <v>90</v>
      </c>
      <c r="E993" s="143"/>
      <c r="F993" s="143">
        <v>0.56000000000000005</v>
      </c>
      <c r="G993" s="144"/>
      <c r="H993" s="144"/>
      <c r="I993" s="144">
        <f>SUM(E993:H993)</f>
        <v>0.56000000000000005</v>
      </c>
      <c r="J993" s="145"/>
      <c r="K993" s="146">
        <v>22866957</v>
      </c>
      <c r="L993" s="145">
        <f>+ROUND(K993*E993,0)</f>
        <v>0</v>
      </c>
      <c r="M993" s="147">
        <f>+ROUND(F993*K993,0)</f>
        <v>12805496</v>
      </c>
      <c r="N993" s="146">
        <f>+ROUND(G993*K993,0)</f>
        <v>0</v>
      </c>
      <c r="O993" s="146">
        <f>+ROUND(H993*K993,0)</f>
        <v>0</v>
      </c>
      <c r="P993" s="146">
        <f>SUM(L993:O993)</f>
        <v>12805496</v>
      </c>
      <c r="Q993" s="100"/>
      <c r="R993" s="117"/>
      <c r="S993" t="s">
        <v>2131</v>
      </c>
    </row>
    <row r="994" spans="1:19" x14ac:dyDescent="0.25">
      <c r="A994" s="48" t="str">
        <f t="shared" si="222"/>
        <v>HT</v>
      </c>
      <c r="B994" s="140" t="s">
        <v>2132</v>
      </c>
      <c r="C994" s="141" t="s">
        <v>2133</v>
      </c>
      <c r="D994" s="142" t="s">
        <v>126</v>
      </c>
      <c r="E994" s="143"/>
      <c r="F994" s="143">
        <v>0.3634</v>
      </c>
      <c r="G994" s="144"/>
      <c r="H994" s="144"/>
      <c r="I994" s="144">
        <f>SUM(E994:H994)</f>
        <v>0.3634</v>
      </c>
      <c r="J994" s="145"/>
      <c r="K994" s="146">
        <v>13228830</v>
      </c>
      <c r="L994" s="145">
        <f>+ROUND(K994*E994,0)</f>
        <v>0</v>
      </c>
      <c r="M994" s="147">
        <f>+ROUND(F994*K994,0)</f>
        <v>4807357</v>
      </c>
      <c r="N994" s="146">
        <f>+ROUND(G994*K994,0)</f>
        <v>0</v>
      </c>
      <c r="O994" s="146">
        <f>+ROUND(H994*K994,0)</f>
        <v>0</v>
      </c>
      <c r="P994" s="146">
        <f>SUM(L994:O994)</f>
        <v>4807357</v>
      </c>
      <c r="Q994" s="100"/>
      <c r="R994" s="117"/>
      <c r="S994" t="s">
        <v>2134</v>
      </c>
    </row>
    <row r="995" spans="1:19" x14ac:dyDescent="0.25">
      <c r="A995" s="48" t="str">
        <f t="shared" si="222"/>
        <v>HT</v>
      </c>
      <c r="B995" s="140"/>
      <c r="C995" s="149" t="s">
        <v>2135</v>
      </c>
      <c r="D995" s="142"/>
      <c r="E995" s="143"/>
      <c r="F995" s="143"/>
      <c r="G995" s="144"/>
      <c r="H995" s="144"/>
      <c r="I995" s="144"/>
      <c r="J995" s="145"/>
      <c r="K995" s="146"/>
      <c r="L995" s="145"/>
      <c r="M995" s="147"/>
      <c r="N995" s="146"/>
      <c r="O995" s="146"/>
      <c r="P995" s="146"/>
      <c r="Q995" s="100"/>
      <c r="R995" s="117"/>
    </row>
    <row r="996" spans="1:19" x14ac:dyDescent="0.25">
      <c r="A996" s="48" t="str">
        <f t="shared" si="222"/>
        <v>HT</v>
      </c>
      <c r="B996" s="140" t="s">
        <v>2136</v>
      </c>
      <c r="C996" s="141" t="s">
        <v>754</v>
      </c>
      <c r="D996" s="142" t="s">
        <v>150</v>
      </c>
      <c r="E996" s="143"/>
      <c r="F996" s="143">
        <v>17.6996</v>
      </c>
      <c r="G996" s="144"/>
      <c r="H996" s="144"/>
      <c r="I996" s="144">
        <f t="shared" ref="I996:I1003" si="223">SUM(E996:H996)</f>
        <v>17.6996</v>
      </c>
      <c r="J996" s="145"/>
      <c r="K996" s="146">
        <v>2028553</v>
      </c>
      <c r="L996" s="145">
        <f t="shared" ref="L996:L1003" si="224">+ROUND(K996*E996,0)</f>
        <v>0</v>
      </c>
      <c r="M996" s="147">
        <f t="shared" ref="M996:M1003" si="225">+ROUND(F996*K996,0)</f>
        <v>35904577</v>
      </c>
      <c r="N996" s="146">
        <f t="shared" ref="N996:N1003" si="226">+ROUND(G996*K996,0)</f>
        <v>0</v>
      </c>
      <c r="O996" s="146">
        <f t="shared" ref="O996:O1003" si="227">+ROUND(H996*K996,0)</f>
        <v>0</v>
      </c>
      <c r="P996" s="146">
        <f t="shared" ref="P996:P1027" si="228">SUM(L996:O996)</f>
        <v>35904577</v>
      </c>
      <c r="Q996" s="100"/>
      <c r="R996" s="117"/>
      <c r="S996" t="s">
        <v>2137</v>
      </c>
    </row>
    <row r="997" spans="1:19" x14ac:dyDescent="0.25">
      <c r="A997" s="48" t="str">
        <f t="shared" si="222"/>
        <v>HT</v>
      </c>
      <c r="B997" s="140" t="s">
        <v>2138</v>
      </c>
      <c r="C997" s="141" t="s">
        <v>610</v>
      </c>
      <c r="D997" s="142" t="s">
        <v>150</v>
      </c>
      <c r="E997" s="143"/>
      <c r="F997" s="143">
        <v>15.3672</v>
      </c>
      <c r="G997" s="144"/>
      <c r="H997" s="144"/>
      <c r="I997" s="144">
        <f t="shared" si="223"/>
        <v>15.3672</v>
      </c>
      <c r="J997" s="145"/>
      <c r="K997" s="146">
        <v>1256745</v>
      </c>
      <c r="L997" s="145">
        <f t="shared" si="224"/>
        <v>0</v>
      </c>
      <c r="M997" s="147">
        <f t="shared" si="225"/>
        <v>19312652</v>
      </c>
      <c r="N997" s="146">
        <f t="shared" si="226"/>
        <v>0</v>
      </c>
      <c r="O997" s="146">
        <f t="shared" si="227"/>
        <v>0</v>
      </c>
      <c r="P997" s="146">
        <f t="shared" si="228"/>
        <v>19312652</v>
      </c>
      <c r="Q997" s="100"/>
      <c r="R997" s="117"/>
      <c r="S997" t="s">
        <v>2139</v>
      </c>
    </row>
    <row r="998" spans="1:19" x14ac:dyDescent="0.25">
      <c r="A998" s="48" t="str">
        <f t="shared" si="222"/>
        <v>HT</v>
      </c>
      <c r="B998" s="140" t="s">
        <v>2140</v>
      </c>
      <c r="C998" s="141" t="s">
        <v>2141</v>
      </c>
      <c r="D998" s="142" t="s">
        <v>150</v>
      </c>
      <c r="E998" s="143"/>
      <c r="F998" s="143">
        <v>5.3857999999999997</v>
      </c>
      <c r="G998" s="144"/>
      <c r="H998" s="144"/>
      <c r="I998" s="144">
        <f t="shared" si="223"/>
        <v>5.3857999999999997</v>
      </c>
      <c r="J998" s="145"/>
      <c r="K998" s="146">
        <v>42990868</v>
      </c>
      <c r="L998" s="145">
        <f t="shared" si="224"/>
        <v>0</v>
      </c>
      <c r="M998" s="147">
        <f t="shared" si="225"/>
        <v>231540217</v>
      </c>
      <c r="N998" s="146">
        <f t="shared" si="226"/>
        <v>0</v>
      </c>
      <c r="O998" s="146">
        <f t="shared" si="227"/>
        <v>0</v>
      </c>
      <c r="P998" s="146">
        <f t="shared" si="228"/>
        <v>231540217</v>
      </c>
      <c r="Q998" s="100"/>
      <c r="R998" s="117"/>
      <c r="S998" t="s">
        <v>2142</v>
      </c>
    </row>
    <row r="999" spans="1:19" x14ac:dyDescent="0.25">
      <c r="A999" s="48" t="str">
        <f t="shared" si="222"/>
        <v>HT</v>
      </c>
      <c r="B999" s="140" t="s">
        <v>2143</v>
      </c>
      <c r="C999" s="141" t="s">
        <v>2144</v>
      </c>
      <c r="D999" s="142" t="s">
        <v>126</v>
      </c>
      <c r="E999" s="143"/>
      <c r="F999" s="143">
        <v>7.1196000000000002</v>
      </c>
      <c r="G999" s="144"/>
      <c r="H999" s="144"/>
      <c r="I999" s="144">
        <f t="shared" si="223"/>
        <v>7.1196000000000002</v>
      </c>
      <c r="J999" s="145"/>
      <c r="K999" s="146">
        <v>2336697</v>
      </c>
      <c r="L999" s="145">
        <f t="shared" si="224"/>
        <v>0</v>
      </c>
      <c r="M999" s="147">
        <f t="shared" si="225"/>
        <v>16636348</v>
      </c>
      <c r="N999" s="146">
        <f t="shared" si="226"/>
        <v>0</v>
      </c>
      <c r="O999" s="146">
        <f t="shared" si="227"/>
        <v>0</v>
      </c>
      <c r="P999" s="146">
        <f t="shared" si="228"/>
        <v>16636348</v>
      </c>
      <c r="Q999" s="100"/>
      <c r="R999" s="117"/>
      <c r="S999" t="s">
        <v>2145</v>
      </c>
    </row>
    <row r="1000" spans="1:19" x14ac:dyDescent="0.25">
      <c r="A1000" s="48" t="str">
        <f t="shared" si="222"/>
        <v>HT</v>
      </c>
      <c r="B1000" s="140" t="s">
        <v>2146</v>
      </c>
      <c r="C1000" s="141" t="s">
        <v>670</v>
      </c>
      <c r="D1000" s="142" t="s">
        <v>16</v>
      </c>
      <c r="E1000" s="143"/>
      <c r="F1000" s="143">
        <v>5.07</v>
      </c>
      <c r="G1000" s="144"/>
      <c r="H1000" s="144"/>
      <c r="I1000" s="144">
        <f t="shared" si="223"/>
        <v>5.07</v>
      </c>
      <c r="J1000" s="145"/>
      <c r="K1000" s="146">
        <v>1196679</v>
      </c>
      <c r="L1000" s="145">
        <f t="shared" si="224"/>
        <v>0</v>
      </c>
      <c r="M1000" s="147">
        <f t="shared" si="225"/>
        <v>6067163</v>
      </c>
      <c r="N1000" s="146">
        <f t="shared" si="226"/>
        <v>0</v>
      </c>
      <c r="O1000" s="146">
        <f t="shared" si="227"/>
        <v>0</v>
      </c>
      <c r="P1000" s="146">
        <f t="shared" si="228"/>
        <v>6067163</v>
      </c>
      <c r="Q1000" s="100"/>
      <c r="R1000" s="117"/>
      <c r="S1000" t="s">
        <v>2147</v>
      </c>
    </row>
    <row r="1001" spans="1:19" ht="31.5" x14ac:dyDescent="0.25">
      <c r="A1001" s="48" t="str">
        <f t="shared" si="222"/>
        <v>HT</v>
      </c>
      <c r="B1001" s="140" t="s">
        <v>2148</v>
      </c>
      <c r="C1001" s="141" t="s">
        <v>2149</v>
      </c>
      <c r="D1001" s="142" t="s">
        <v>150</v>
      </c>
      <c r="E1001" s="143"/>
      <c r="F1001" s="143">
        <v>0.3347</v>
      </c>
      <c r="G1001" s="144"/>
      <c r="H1001" s="144"/>
      <c r="I1001" s="144">
        <f t="shared" si="223"/>
        <v>0.3347</v>
      </c>
      <c r="J1001" s="145"/>
      <c r="K1001" s="146">
        <v>1874618</v>
      </c>
      <c r="L1001" s="145">
        <f t="shared" si="224"/>
        <v>0</v>
      </c>
      <c r="M1001" s="147">
        <f t="shared" si="225"/>
        <v>627435</v>
      </c>
      <c r="N1001" s="146">
        <f t="shared" si="226"/>
        <v>0</v>
      </c>
      <c r="O1001" s="146">
        <f t="shared" si="227"/>
        <v>0</v>
      </c>
      <c r="P1001" s="146">
        <f t="shared" si="228"/>
        <v>627435</v>
      </c>
      <c r="Q1001" s="100"/>
      <c r="R1001" s="117"/>
      <c r="S1001" t="s">
        <v>2150</v>
      </c>
    </row>
    <row r="1002" spans="1:19" ht="31.5" x14ac:dyDescent="0.25">
      <c r="A1002" s="48" t="str">
        <f t="shared" si="222"/>
        <v>HT</v>
      </c>
      <c r="B1002" s="140" t="s">
        <v>2151</v>
      </c>
      <c r="C1002" s="141" t="s">
        <v>2152</v>
      </c>
      <c r="D1002" s="142" t="s">
        <v>2153</v>
      </c>
      <c r="E1002" s="143"/>
      <c r="F1002" s="143">
        <v>0.3347</v>
      </c>
      <c r="G1002" s="144"/>
      <c r="H1002" s="144"/>
      <c r="I1002" s="144">
        <f t="shared" si="223"/>
        <v>0.3347</v>
      </c>
      <c r="J1002" s="145"/>
      <c r="K1002" s="146">
        <v>716695</v>
      </c>
      <c r="L1002" s="145">
        <f t="shared" si="224"/>
        <v>0</v>
      </c>
      <c r="M1002" s="147">
        <f t="shared" si="225"/>
        <v>239878</v>
      </c>
      <c r="N1002" s="146">
        <f t="shared" si="226"/>
        <v>0</v>
      </c>
      <c r="O1002" s="146">
        <f t="shared" si="227"/>
        <v>0</v>
      </c>
      <c r="P1002" s="146">
        <f t="shared" si="228"/>
        <v>239878</v>
      </c>
      <c r="Q1002" s="100"/>
      <c r="R1002" s="117"/>
      <c r="S1002" t="s">
        <v>2154</v>
      </c>
    </row>
    <row r="1003" spans="1:19" ht="47.25" x14ac:dyDescent="0.25">
      <c r="A1003" s="48" t="str">
        <f t="shared" si="222"/>
        <v>HT</v>
      </c>
      <c r="B1003" s="140" t="s">
        <v>2155</v>
      </c>
      <c r="C1003" s="141" t="s">
        <v>2156</v>
      </c>
      <c r="D1003" s="142" t="s">
        <v>2153</v>
      </c>
      <c r="E1003" s="143"/>
      <c r="F1003" s="143">
        <v>0.3347</v>
      </c>
      <c r="G1003" s="144"/>
      <c r="H1003" s="144"/>
      <c r="I1003" s="144">
        <f t="shared" si="223"/>
        <v>0.3347</v>
      </c>
      <c r="J1003" s="145"/>
      <c r="K1003" s="146">
        <v>386605</v>
      </c>
      <c r="L1003" s="145">
        <f t="shared" si="224"/>
        <v>0</v>
      </c>
      <c r="M1003" s="147">
        <f t="shared" si="225"/>
        <v>129397</v>
      </c>
      <c r="N1003" s="146">
        <f t="shared" si="226"/>
        <v>0</v>
      </c>
      <c r="O1003" s="146">
        <f t="shared" si="227"/>
        <v>0</v>
      </c>
      <c r="P1003" s="146">
        <f t="shared" si="228"/>
        <v>129397</v>
      </c>
      <c r="Q1003" s="100"/>
      <c r="R1003" s="117"/>
      <c r="S1003" t="s">
        <v>2157</v>
      </c>
    </row>
    <row r="1004" spans="1:19" ht="47.25" customHeight="1" x14ac:dyDescent="0.25">
      <c r="A1004" s="48" t="str">
        <f>A954</f>
        <v>HT</v>
      </c>
      <c r="B1004" s="29">
        <v>14</v>
      </c>
      <c r="C1004" s="12" t="s">
        <v>1280</v>
      </c>
      <c r="D1004" s="79"/>
      <c r="E1004" s="123"/>
      <c r="F1004" s="136"/>
      <c r="G1004" s="125"/>
      <c r="H1004" s="125"/>
      <c r="I1004" s="125"/>
      <c r="J1004" s="62"/>
      <c r="K1004" s="43"/>
      <c r="L1004" s="62"/>
      <c r="M1004" s="77"/>
      <c r="N1004" s="43"/>
      <c r="O1004" s="43"/>
      <c r="P1004" s="43">
        <f t="shared" si="228"/>
        <v>0</v>
      </c>
      <c r="Q1004" s="100"/>
      <c r="R1004" s="117"/>
    </row>
    <row r="1005" spans="1:19" x14ac:dyDescent="0.25">
      <c r="A1005" s="48" t="str">
        <f t="shared" ref="A1005:A1021" si="229">A1004</f>
        <v>HT</v>
      </c>
      <c r="B1005" s="32" t="s">
        <v>1281</v>
      </c>
      <c r="C1005" s="39" t="s">
        <v>831</v>
      </c>
      <c r="D1005" s="13" t="s">
        <v>16</v>
      </c>
      <c r="E1005" s="123">
        <v>29.25</v>
      </c>
      <c r="F1005" s="136"/>
      <c r="G1005" s="125"/>
      <c r="H1005" s="125"/>
      <c r="I1005" s="125">
        <f t="shared" ref="I1005:I1036" si="230">SUM(E1005:H1005)</f>
        <v>29.25</v>
      </c>
      <c r="J1005" s="62">
        <f>'BIỂU HỢP ĐỒNG'!J915</f>
        <v>1688075</v>
      </c>
      <c r="K1005" s="43"/>
      <c r="L1005" s="62">
        <f t="shared" ref="L1005:L1020" si="231">+ROUND(J1005*E1005,0)</f>
        <v>49376194</v>
      </c>
      <c r="M1005" s="77">
        <f t="shared" ref="M1005:M1020" si="232">+ROUND(F1005*J1005,0)</f>
        <v>0</v>
      </c>
      <c r="N1005" s="43">
        <f t="shared" ref="N1005:N1020" si="233">+ROUND(G1005*J1005,0)</f>
        <v>0</v>
      </c>
      <c r="O1005" s="43">
        <f t="shared" ref="O1005:O1020" si="234">+ROUND(H1005*J1005,0)</f>
        <v>0</v>
      </c>
      <c r="P1005" s="43">
        <f t="shared" si="228"/>
        <v>49376194</v>
      </c>
      <c r="Q1005" s="100"/>
      <c r="R1005" s="117"/>
    </row>
    <row r="1006" spans="1:19" ht="31.5" customHeight="1" x14ac:dyDescent="0.25">
      <c r="A1006" s="48" t="str">
        <f t="shared" si="229"/>
        <v>HT</v>
      </c>
      <c r="B1006" s="32" t="s">
        <v>1282</v>
      </c>
      <c r="C1006" s="39" t="s">
        <v>833</v>
      </c>
      <c r="D1006" s="13" t="s">
        <v>90</v>
      </c>
      <c r="E1006" s="123">
        <v>0.19</v>
      </c>
      <c r="F1006" s="136"/>
      <c r="G1006" s="125"/>
      <c r="H1006" s="125"/>
      <c r="I1006" s="125">
        <f t="shared" si="230"/>
        <v>0.19</v>
      </c>
      <c r="J1006" s="62">
        <f>'BIỂU HỢP ĐỒNG'!J916</f>
        <v>28771832</v>
      </c>
      <c r="K1006" s="43"/>
      <c r="L1006" s="62">
        <f t="shared" si="231"/>
        <v>5466648</v>
      </c>
      <c r="M1006" s="77">
        <f t="shared" si="232"/>
        <v>0</v>
      </c>
      <c r="N1006" s="43">
        <f t="shared" si="233"/>
        <v>0</v>
      </c>
      <c r="O1006" s="43">
        <f t="shared" si="234"/>
        <v>0</v>
      </c>
      <c r="P1006" s="43">
        <f t="shared" si="228"/>
        <v>5466648</v>
      </c>
      <c r="Q1006" s="100"/>
      <c r="R1006" s="117"/>
    </row>
    <row r="1007" spans="1:19" ht="31.5" customHeight="1" x14ac:dyDescent="0.25">
      <c r="A1007" s="48" t="str">
        <f t="shared" si="229"/>
        <v>HT</v>
      </c>
      <c r="B1007" s="32" t="s">
        <v>1283</v>
      </c>
      <c r="C1007" s="39" t="s">
        <v>835</v>
      </c>
      <c r="D1007" s="13" t="s">
        <v>90</v>
      </c>
      <c r="E1007" s="123">
        <v>4.5599999999999996</v>
      </c>
      <c r="F1007" s="136"/>
      <c r="G1007" s="125"/>
      <c r="H1007" s="125"/>
      <c r="I1007" s="125">
        <f t="shared" si="230"/>
        <v>4.5599999999999996</v>
      </c>
      <c r="J1007" s="62">
        <f>'BIỂU HỢP ĐỒNG'!J917</f>
        <v>27010601</v>
      </c>
      <c r="K1007" s="43"/>
      <c r="L1007" s="62">
        <f t="shared" si="231"/>
        <v>123168341</v>
      </c>
      <c r="M1007" s="77">
        <f t="shared" si="232"/>
        <v>0</v>
      </c>
      <c r="N1007" s="43">
        <f t="shared" si="233"/>
        <v>0</v>
      </c>
      <c r="O1007" s="43">
        <f t="shared" si="234"/>
        <v>0</v>
      </c>
      <c r="P1007" s="43">
        <f t="shared" si="228"/>
        <v>123168341</v>
      </c>
      <c r="Q1007" s="100"/>
      <c r="R1007" s="117"/>
    </row>
    <row r="1008" spans="1:19" ht="31.5" customHeight="1" x14ac:dyDescent="0.25">
      <c r="A1008" s="48" t="str">
        <f t="shared" si="229"/>
        <v>HT</v>
      </c>
      <c r="B1008" s="32" t="s">
        <v>1284</v>
      </c>
      <c r="C1008" s="39" t="s">
        <v>336</v>
      </c>
      <c r="D1008" s="13" t="s">
        <v>13</v>
      </c>
      <c r="E1008" s="123">
        <v>259.39999999999998</v>
      </c>
      <c r="F1008" s="136"/>
      <c r="G1008" s="125"/>
      <c r="H1008" s="125"/>
      <c r="I1008" s="125">
        <f t="shared" si="230"/>
        <v>259.39999999999998</v>
      </c>
      <c r="J1008" s="62">
        <f>'BIỂU HỢP ĐỒNG'!J918</f>
        <v>102621</v>
      </c>
      <c r="K1008" s="43"/>
      <c r="L1008" s="62">
        <f t="shared" si="231"/>
        <v>26619887</v>
      </c>
      <c r="M1008" s="77">
        <f t="shared" si="232"/>
        <v>0</v>
      </c>
      <c r="N1008" s="43">
        <f t="shared" si="233"/>
        <v>0</v>
      </c>
      <c r="O1008" s="43">
        <f t="shared" si="234"/>
        <v>0</v>
      </c>
      <c r="P1008" s="43">
        <f t="shared" si="228"/>
        <v>26619887</v>
      </c>
      <c r="Q1008" s="100"/>
      <c r="R1008" s="117"/>
    </row>
    <row r="1009" spans="1:19" ht="31.5" customHeight="1" x14ac:dyDescent="0.25">
      <c r="A1009" s="48" t="str">
        <f t="shared" si="229"/>
        <v>HT</v>
      </c>
      <c r="B1009" s="32" t="s">
        <v>1285</v>
      </c>
      <c r="C1009" s="39" t="s">
        <v>838</v>
      </c>
      <c r="D1009" s="13" t="s">
        <v>250</v>
      </c>
      <c r="E1009" s="123">
        <v>22</v>
      </c>
      <c r="F1009" s="136"/>
      <c r="G1009" s="125"/>
      <c r="H1009" s="125"/>
      <c r="I1009" s="125">
        <f t="shared" si="230"/>
        <v>22</v>
      </c>
      <c r="J1009" s="62">
        <f>'BIỂU HỢP ĐỒNG'!J919</f>
        <v>113802</v>
      </c>
      <c r="K1009" s="43"/>
      <c r="L1009" s="62">
        <f t="shared" si="231"/>
        <v>2503644</v>
      </c>
      <c r="M1009" s="77">
        <f t="shared" si="232"/>
        <v>0</v>
      </c>
      <c r="N1009" s="43">
        <f t="shared" si="233"/>
        <v>0</v>
      </c>
      <c r="O1009" s="43">
        <f t="shared" si="234"/>
        <v>0</v>
      </c>
      <c r="P1009" s="43">
        <f t="shared" si="228"/>
        <v>2503644</v>
      </c>
      <c r="Q1009" s="100"/>
      <c r="R1009" s="117"/>
    </row>
    <row r="1010" spans="1:19" ht="47.25" customHeight="1" x14ac:dyDescent="0.25">
      <c r="A1010" s="48" t="str">
        <f t="shared" si="229"/>
        <v>HT</v>
      </c>
      <c r="B1010" s="32" t="s">
        <v>1286</v>
      </c>
      <c r="C1010" s="39" t="s">
        <v>571</v>
      </c>
      <c r="D1010" s="13" t="s">
        <v>250</v>
      </c>
      <c r="E1010" s="123">
        <v>22</v>
      </c>
      <c r="F1010" s="136"/>
      <c r="G1010" s="125"/>
      <c r="H1010" s="125"/>
      <c r="I1010" s="125">
        <f t="shared" si="230"/>
        <v>22</v>
      </c>
      <c r="J1010" s="62">
        <f>'BIỂU HỢP ĐỒNG'!J920</f>
        <v>91827</v>
      </c>
      <c r="K1010" s="43"/>
      <c r="L1010" s="62">
        <f t="shared" si="231"/>
        <v>2020194</v>
      </c>
      <c r="M1010" s="77">
        <f t="shared" si="232"/>
        <v>0</v>
      </c>
      <c r="N1010" s="43">
        <f t="shared" si="233"/>
        <v>0</v>
      </c>
      <c r="O1010" s="43">
        <f t="shared" si="234"/>
        <v>0</v>
      </c>
      <c r="P1010" s="43">
        <f t="shared" si="228"/>
        <v>2020194</v>
      </c>
      <c r="Q1010" s="100"/>
      <c r="R1010" s="117"/>
    </row>
    <row r="1011" spans="1:19" ht="31.5" customHeight="1" x14ac:dyDescent="0.25">
      <c r="A1011" s="48" t="str">
        <f t="shared" si="229"/>
        <v>HT</v>
      </c>
      <c r="B1011" s="32" t="s">
        <v>1287</v>
      </c>
      <c r="C1011" s="39" t="s">
        <v>647</v>
      </c>
      <c r="D1011" s="13" t="s">
        <v>253</v>
      </c>
      <c r="E1011" s="123">
        <v>7.31</v>
      </c>
      <c r="F1011" s="136"/>
      <c r="G1011" s="125"/>
      <c r="H1011" s="125"/>
      <c r="I1011" s="125">
        <f t="shared" si="230"/>
        <v>7.31</v>
      </c>
      <c r="J1011" s="62">
        <f>'BIỂU HỢP ĐỒNG'!J921</f>
        <v>36181</v>
      </c>
      <c r="K1011" s="43"/>
      <c r="L1011" s="62">
        <f t="shared" si="231"/>
        <v>264483</v>
      </c>
      <c r="M1011" s="77">
        <f t="shared" si="232"/>
        <v>0</v>
      </c>
      <c r="N1011" s="43">
        <f t="shared" si="233"/>
        <v>0</v>
      </c>
      <c r="O1011" s="43">
        <f t="shared" si="234"/>
        <v>0</v>
      </c>
      <c r="P1011" s="43">
        <f t="shared" si="228"/>
        <v>264483</v>
      </c>
      <c r="Q1011" s="100"/>
      <c r="R1011" s="117"/>
    </row>
    <row r="1012" spans="1:19" ht="31.5" customHeight="1" x14ac:dyDescent="0.25">
      <c r="A1012" s="48" t="str">
        <f t="shared" si="229"/>
        <v>HT</v>
      </c>
      <c r="B1012" s="32" t="s">
        <v>1288</v>
      </c>
      <c r="C1012" s="39" t="s">
        <v>859</v>
      </c>
      <c r="D1012" s="13" t="s">
        <v>567</v>
      </c>
      <c r="E1012" s="123">
        <v>22</v>
      </c>
      <c r="F1012" s="136"/>
      <c r="G1012" s="125"/>
      <c r="H1012" s="125"/>
      <c r="I1012" s="125">
        <f t="shared" si="230"/>
        <v>22</v>
      </c>
      <c r="J1012" s="62">
        <f>'BIỂU HỢP ĐỒNG'!J922</f>
        <v>319273</v>
      </c>
      <c r="K1012" s="43"/>
      <c r="L1012" s="62">
        <f t="shared" si="231"/>
        <v>7024006</v>
      </c>
      <c r="M1012" s="77">
        <f t="shared" si="232"/>
        <v>0</v>
      </c>
      <c r="N1012" s="43">
        <f t="shared" si="233"/>
        <v>0</v>
      </c>
      <c r="O1012" s="43">
        <f t="shared" si="234"/>
        <v>0</v>
      </c>
      <c r="P1012" s="43">
        <f t="shared" si="228"/>
        <v>7024006</v>
      </c>
      <c r="Q1012" s="100"/>
      <c r="R1012" s="117"/>
    </row>
    <row r="1013" spans="1:19" x14ac:dyDescent="0.25">
      <c r="A1013" s="48" t="str">
        <f t="shared" si="229"/>
        <v>HT</v>
      </c>
      <c r="B1013" s="32" t="s">
        <v>1289</v>
      </c>
      <c r="C1013" s="39" t="s">
        <v>831</v>
      </c>
      <c r="D1013" s="13" t="s">
        <v>16</v>
      </c>
      <c r="E1013" s="123">
        <v>332.6</v>
      </c>
      <c r="F1013" s="150">
        <f>(-31.68)+24</f>
        <v>-7.68</v>
      </c>
      <c r="G1013" s="125"/>
      <c r="H1013" s="125"/>
      <c r="I1013" s="125">
        <f t="shared" si="230"/>
        <v>324.92</v>
      </c>
      <c r="J1013" s="62">
        <f>'BIỂU HỢP ĐỒNG'!J923</f>
        <v>1688075</v>
      </c>
      <c r="K1013" s="43"/>
      <c r="L1013" s="62">
        <f t="shared" si="231"/>
        <v>561453745</v>
      </c>
      <c r="M1013" s="138">
        <f t="shared" si="232"/>
        <v>-12964416</v>
      </c>
      <c r="N1013" s="43">
        <f t="shared" si="233"/>
        <v>0</v>
      </c>
      <c r="O1013" s="43">
        <f t="shared" si="234"/>
        <v>0</v>
      </c>
      <c r="P1013" s="43">
        <f t="shared" si="228"/>
        <v>548489329</v>
      </c>
      <c r="Q1013" s="100"/>
      <c r="R1013" s="117"/>
      <c r="S1013" t="s">
        <v>2158</v>
      </c>
    </row>
    <row r="1014" spans="1:19" ht="31.5" customHeight="1" x14ac:dyDescent="0.25">
      <c r="A1014" s="48" t="str">
        <f t="shared" si="229"/>
        <v>HT</v>
      </c>
      <c r="B1014" s="32" t="s">
        <v>1290</v>
      </c>
      <c r="C1014" s="39" t="s">
        <v>833</v>
      </c>
      <c r="D1014" s="13" t="s">
        <v>90</v>
      </c>
      <c r="E1014" s="123">
        <v>2.6</v>
      </c>
      <c r="F1014" s="150">
        <f>(-0.30816)+0.20544</f>
        <v>-0.10271999999999998</v>
      </c>
      <c r="G1014" s="125"/>
      <c r="H1014" s="125"/>
      <c r="I1014" s="125">
        <f t="shared" si="230"/>
        <v>2.4972799999999999</v>
      </c>
      <c r="J1014" s="62">
        <f>'BIỂU HỢP ĐỒNG'!J924</f>
        <v>28771832</v>
      </c>
      <c r="K1014" s="43"/>
      <c r="L1014" s="62">
        <f t="shared" si="231"/>
        <v>74806763</v>
      </c>
      <c r="M1014" s="138">
        <f t="shared" si="232"/>
        <v>-2955443</v>
      </c>
      <c r="N1014" s="43">
        <f t="shared" si="233"/>
        <v>0</v>
      </c>
      <c r="O1014" s="43">
        <f t="shared" si="234"/>
        <v>0</v>
      </c>
      <c r="P1014" s="43">
        <f t="shared" si="228"/>
        <v>71851320</v>
      </c>
      <c r="Q1014" s="100"/>
      <c r="R1014" s="117"/>
      <c r="S1014" t="s">
        <v>2159</v>
      </c>
    </row>
    <row r="1015" spans="1:19" ht="31.5" customHeight="1" x14ac:dyDescent="0.25">
      <c r="A1015" s="48" t="str">
        <f t="shared" si="229"/>
        <v>HT</v>
      </c>
      <c r="B1015" s="32" t="s">
        <v>1291</v>
      </c>
      <c r="C1015" s="39" t="s">
        <v>835</v>
      </c>
      <c r="D1015" s="13" t="s">
        <v>90</v>
      </c>
      <c r="E1015" s="123">
        <v>50.55</v>
      </c>
      <c r="F1015" s="150">
        <f>(-4.52736)+3.57912</f>
        <v>-0.94823999999999975</v>
      </c>
      <c r="G1015" s="125"/>
      <c r="H1015" s="125"/>
      <c r="I1015" s="125">
        <f t="shared" si="230"/>
        <v>49.601759999999999</v>
      </c>
      <c r="J1015" s="62">
        <f>'BIỂU HỢP ĐỒNG'!J925</f>
        <v>27010601</v>
      </c>
      <c r="K1015" s="43"/>
      <c r="L1015" s="62">
        <f t="shared" si="231"/>
        <v>1365385881</v>
      </c>
      <c r="M1015" s="138">
        <f t="shared" si="232"/>
        <v>-25612532</v>
      </c>
      <c r="N1015" s="43">
        <f t="shared" si="233"/>
        <v>0</v>
      </c>
      <c r="O1015" s="43">
        <f t="shared" si="234"/>
        <v>0</v>
      </c>
      <c r="P1015" s="43">
        <f t="shared" si="228"/>
        <v>1339773349</v>
      </c>
      <c r="Q1015" s="100"/>
      <c r="R1015" s="117"/>
      <c r="S1015" t="s">
        <v>2160</v>
      </c>
    </row>
    <row r="1016" spans="1:19" ht="31.5" customHeight="1" x14ac:dyDescent="0.25">
      <c r="A1016" s="48" t="str">
        <f t="shared" si="229"/>
        <v>HT</v>
      </c>
      <c r="B1016" s="32" t="s">
        <v>1292</v>
      </c>
      <c r="C1016" s="39" t="s">
        <v>336</v>
      </c>
      <c r="D1016" s="13" t="s">
        <v>13</v>
      </c>
      <c r="E1016" s="123">
        <v>3094</v>
      </c>
      <c r="F1016" s="150">
        <f>(-329.04)+262.8</f>
        <v>-66.240000000000009</v>
      </c>
      <c r="G1016" s="125"/>
      <c r="H1016" s="125"/>
      <c r="I1016" s="125">
        <f t="shared" si="230"/>
        <v>3027.76</v>
      </c>
      <c r="J1016" s="62">
        <f>'BIỂU HỢP ĐỒNG'!J926</f>
        <v>102621</v>
      </c>
      <c r="K1016" s="43"/>
      <c r="L1016" s="62">
        <f t="shared" si="231"/>
        <v>317509374</v>
      </c>
      <c r="M1016" s="138">
        <f t="shared" si="232"/>
        <v>-6797615</v>
      </c>
      <c r="N1016" s="43">
        <f t="shared" si="233"/>
        <v>0</v>
      </c>
      <c r="O1016" s="43">
        <f t="shared" si="234"/>
        <v>0</v>
      </c>
      <c r="P1016" s="43">
        <f t="shared" si="228"/>
        <v>310711759</v>
      </c>
      <c r="Q1016" s="100"/>
      <c r="R1016" s="117"/>
      <c r="S1016" t="s">
        <v>2161</v>
      </c>
    </row>
    <row r="1017" spans="1:19" ht="31.5" customHeight="1" x14ac:dyDescent="0.25">
      <c r="A1017" s="48" t="str">
        <f t="shared" si="229"/>
        <v>HT</v>
      </c>
      <c r="B1017" s="32" t="s">
        <v>1293</v>
      </c>
      <c r="C1017" s="39" t="s">
        <v>838</v>
      </c>
      <c r="D1017" s="13" t="s">
        <v>250</v>
      </c>
      <c r="E1017" s="123">
        <v>275</v>
      </c>
      <c r="F1017" s="150">
        <f>(-36)+24</f>
        <v>-12</v>
      </c>
      <c r="G1017" s="125"/>
      <c r="H1017" s="125"/>
      <c r="I1017" s="125">
        <f t="shared" si="230"/>
        <v>263</v>
      </c>
      <c r="J1017" s="62">
        <f>'BIỂU HỢP ĐỒNG'!J927</f>
        <v>113802</v>
      </c>
      <c r="K1017" s="43"/>
      <c r="L1017" s="62">
        <f t="shared" si="231"/>
        <v>31295550</v>
      </c>
      <c r="M1017" s="138">
        <f t="shared" si="232"/>
        <v>-1365624</v>
      </c>
      <c r="N1017" s="43">
        <f t="shared" si="233"/>
        <v>0</v>
      </c>
      <c r="O1017" s="43">
        <f t="shared" si="234"/>
        <v>0</v>
      </c>
      <c r="P1017" s="43">
        <f t="shared" si="228"/>
        <v>29929926</v>
      </c>
      <c r="Q1017" s="100"/>
      <c r="R1017" s="117"/>
      <c r="S1017" t="s">
        <v>2162</v>
      </c>
    </row>
    <row r="1018" spans="1:19" ht="47.25" customHeight="1" x14ac:dyDescent="0.25">
      <c r="A1018" s="48" t="str">
        <f t="shared" si="229"/>
        <v>HT</v>
      </c>
      <c r="B1018" s="32" t="s">
        <v>1294</v>
      </c>
      <c r="C1018" s="39" t="s">
        <v>571</v>
      </c>
      <c r="D1018" s="13" t="s">
        <v>250</v>
      </c>
      <c r="E1018" s="123">
        <v>275</v>
      </c>
      <c r="F1018" s="150">
        <f>(-9)+24</f>
        <v>15</v>
      </c>
      <c r="G1018" s="125"/>
      <c r="H1018" s="125"/>
      <c r="I1018" s="125">
        <f t="shared" si="230"/>
        <v>290</v>
      </c>
      <c r="J1018" s="62">
        <f>'BIỂU HỢP ĐỒNG'!J928</f>
        <v>91827</v>
      </c>
      <c r="K1018" s="43"/>
      <c r="L1018" s="62">
        <f t="shared" si="231"/>
        <v>25252425</v>
      </c>
      <c r="M1018" s="138">
        <f t="shared" si="232"/>
        <v>1377405</v>
      </c>
      <c r="N1018" s="43">
        <f t="shared" si="233"/>
        <v>0</v>
      </c>
      <c r="O1018" s="43">
        <f t="shared" si="234"/>
        <v>0</v>
      </c>
      <c r="P1018" s="43">
        <f t="shared" si="228"/>
        <v>26629830</v>
      </c>
      <c r="Q1018" s="100"/>
      <c r="R1018" s="117"/>
      <c r="S1018" t="s">
        <v>2163</v>
      </c>
    </row>
    <row r="1019" spans="1:19" ht="31.5" customHeight="1" x14ac:dyDescent="0.25">
      <c r="A1019" s="48" t="str">
        <f t="shared" si="229"/>
        <v>HT</v>
      </c>
      <c r="B1019" s="32" t="s">
        <v>1295</v>
      </c>
      <c r="C1019" s="39" t="s">
        <v>647</v>
      </c>
      <c r="D1019" s="13" t="s">
        <v>253</v>
      </c>
      <c r="E1019" s="123">
        <v>83.15</v>
      </c>
      <c r="F1019" s="150">
        <f>(-36)+6</f>
        <v>-30</v>
      </c>
      <c r="G1019" s="125"/>
      <c r="H1019" s="125"/>
      <c r="I1019" s="125">
        <f t="shared" si="230"/>
        <v>53.150000000000006</v>
      </c>
      <c r="J1019" s="62">
        <f>'BIỂU HỢP ĐỒNG'!J929</f>
        <v>36181</v>
      </c>
      <c r="K1019" s="43"/>
      <c r="L1019" s="62">
        <f t="shared" si="231"/>
        <v>3008450</v>
      </c>
      <c r="M1019" s="138">
        <f t="shared" si="232"/>
        <v>-1085430</v>
      </c>
      <c r="N1019" s="43">
        <f t="shared" si="233"/>
        <v>0</v>
      </c>
      <c r="O1019" s="43">
        <f t="shared" si="234"/>
        <v>0</v>
      </c>
      <c r="P1019" s="43">
        <f t="shared" si="228"/>
        <v>1923020</v>
      </c>
      <c r="Q1019" s="100"/>
      <c r="R1019" s="117"/>
      <c r="S1019" t="s">
        <v>2164</v>
      </c>
    </row>
    <row r="1020" spans="1:19" ht="31.5" customHeight="1" x14ac:dyDescent="0.25">
      <c r="A1020" s="48" t="str">
        <f t="shared" si="229"/>
        <v>HT</v>
      </c>
      <c r="B1020" s="32" t="s">
        <v>1296</v>
      </c>
      <c r="C1020" s="39" t="s">
        <v>859</v>
      </c>
      <c r="D1020" s="13" t="s">
        <v>567</v>
      </c>
      <c r="E1020" s="123">
        <v>275</v>
      </c>
      <c r="F1020" s="150"/>
      <c r="G1020" s="125"/>
      <c r="H1020" s="125"/>
      <c r="I1020" s="125">
        <f t="shared" si="230"/>
        <v>275</v>
      </c>
      <c r="J1020" s="62">
        <f>'BIỂU HỢP ĐỒNG'!J930</f>
        <v>319273</v>
      </c>
      <c r="K1020" s="43"/>
      <c r="L1020" s="62">
        <f t="shared" si="231"/>
        <v>87800075</v>
      </c>
      <c r="M1020" s="138">
        <f t="shared" si="232"/>
        <v>0</v>
      </c>
      <c r="N1020" s="43">
        <f t="shared" si="233"/>
        <v>0</v>
      </c>
      <c r="O1020" s="43">
        <f t="shared" si="234"/>
        <v>0</v>
      </c>
      <c r="P1020" s="43">
        <f t="shared" si="228"/>
        <v>87800075</v>
      </c>
      <c r="Q1020" s="100"/>
      <c r="R1020" s="117"/>
    </row>
    <row r="1021" spans="1:19" s="22" customFormat="1" ht="31.5" x14ac:dyDescent="0.25">
      <c r="A1021" s="48" t="str">
        <f t="shared" si="229"/>
        <v>HT</v>
      </c>
      <c r="B1021" s="140" t="s">
        <v>2165</v>
      </c>
      <c r="C1021" s="141" t="s">
        <v>842</v>
      </c>
      <c r="D1021" s="142" t="s">
        <v>567</v>
      </c>
      <c r="E1021" s="143"/>
      <c r="F1021" s="143">
        <f>(-36)+24</f>
        <v>-12</v>
      </c>
      <c r="G1021" s="144"/>
      <c r="H1021" s="144"/>
      <c r="I1021" s="144">
        <f t="shared" si="230"/>
        <v>-12</v>
      </c>
      <c r="J1021" s="145"/>
      <c r="K1021" s="146">
        <v>319273</v>
      </c>
      <c r="L1021" s="145">
        <f>+ROUND(K1021*E1021,0)</f>
        <v>0</v>
      </c>
      <c r="M1021" s="147">
        <f>+ROUND(F1021*K1021,0)</f>
        <v>-3831276</v>
      </c>
      <c r="N1021" s="146">
        <f>+ROUND(G1021*K1021,0)</f>
        <v>0</v>
      </c>
      <c r="O1021" s="146">
        <f>+ROUND(H1021*K1021,0)</f>
        <v>0</v>
      </c>
      <c r="P1021" s="146">
        <f t="shared" si="228"/>
        <v>-3831276</v>
      </c>
      <c r="Q1021" s="100"/>
      <c r="R1021" s="117"/>
      <c r="S1021" t="s">
        <v>2166</v>
      </c>
    </row>
    <row r="1022" spans="1:19" x14ac:dyDescent="0.25">
      <c r="A1022" s="48" t="str">
        <f>A1020</f>
        <v>HT</v>
      </c>
      <c r="B1022" s="32" t="s">
        <v>1297</v>
      </c>
      <c r="C1022" s="39" t="s">
        <v>334</v>
      </c>
      <c r="D1022" s="13" t="s">
        <v>16</v>
      </c>
      <c r="E1022" s="123">
        <v>3.31</v>
      </c>
      <c r="F1022" s="136"/>
      <c r="G1022" s="125"/>
      <c r="H1022" s="125"/>
      <c r="I1022" s="125">
        <f t="shared" si="230"/>
        <v>3.31</v>
      </c>
      <c r="J1022" s="62">
        <f>'BIỂU HỢP ĐỒNG'!J931</f>
        <v>1637840</v>
      </c>
      <c r="K1022" s="43"/>
      <c r="L1022" s="62">
        <f t="shared" ref="L1022:L1032" si="235">+ROUND(J1022*E1022,0)</f>
        <v>5421250</v>
      </c>
      <c r="M1022" s="77">
        <f t="shared" ref="M1022:M1032" si="236">+ROUND(F1022*J1022,0)</f>
        <v>0</v>
      </c>
      <c r="N1022" s="43">
        <f t="shared" ref="N1022:N1032" si="237">+ROUND(G1022*J1022,0)</f>
        <v>0</v>
      </c>
      <c r="O1022" s="43">
        <f t="shared" ref="O1022:O1032" si="238">+ROUND(H1022*J1022,0)</f>
        <v>0</v>
      </c>
      <c r="P1022" s="43">
        <f t="shared" si="228"/>
        <v>5421250</v>
      </c>
      <c r="Q1022" s="100"/>
      <c r="R1022" s="117"/>
    </row>
    <row r="1023" spans="1:19" ht="31.5" customHeight="1" x14ac:dyDescent="0.25">
      <c r="A1023" s="48" t="str">
        <f t="shared" ref="A1023:A1033" si="239">A1022</f>
        <v>HT</v>
      </c>
      <c r="B1023" s="32" t="s">
        <v>1298</v>
      </c>
      <c r="C1023" s="39" t="s">
        <v>246</v>
      </c>
      <c r="D1023" s="13" t="s">
        <v>90</v>
      </c>
      <c r="E1023" s="123">
        <v>0.16</v>
      </c>
      <c r="F1023" s="136"/>
      <c r="G1023" s="125"/>
      <c r="H1023" s="125"/>
      <c r="I1023" s="125">
        <f t="shared" si="230"/>
        <v>0.16</v>
      </c>
      <c r="J1023" s="62">
        <f>'BIỂU HỢP ĐỒNG'!J932</f>
        <v>27102732</v>
      </c>
      <c r="K1023" s="43"/>
      <c r="L1023" s="62">
        <f t="shared" si="235"/>
        <v>4336437</v>
      </c>
      <c r="M1023" s="77">
        <f t="shared" si="236"/>
        <v>0</v>
      </c>
      <c r="N1023" s="43">
        <f t="shared" si="237"/>
        <v>0</v>
      </c>
      <c r="O1023" s="43">
        <f t="shared" si="238"/>
        <v>0</v>
      </c>
      <c r="P1023" s="43">
        <f t="shared" si="228"/>
        <v>4336437</v>
      </c>
      <c r="Q1023" s="100"/>
      <c r="R1023" s="117"/>
    </row>
    <row r="1024" spans="1:19" ht="31.5" customHeight="1" x14ac:dyDescent="0.25">
      <c r="A1024" s="48" t="str">
        <f t="shared" si="239"/>
        <v>HT</v>
      </c>
      <c r="B1024" s="32" t="s">
        <v>1299</v>
      </c>
      <c r="C1024" s="39" t="s">
        <v>871</v>
      </c>
      <c r="D1024" s="13" t="s">
        <v>13</v>
      </c>
      <c r="E1024" s="123">
        <v>9.84</v>
      </c>
      <c r="F1024" s="136"/>
      <c r="G1024" s="125"/>
      <c r="H1024" s="125"/>
      <c r="I1024" s="125">
        <f t="shared" si="230"/>
        <v>9.84</v>
      </c>
      <c r="J1024" s="62">
        <f>'BIỂU HỢP ĐỒNG'!J933</f>
        <v>86606</v>
      </c>
      <c r="K1024" s="43"/>
      <c r="L1024" s="62">
        <f t="shared" si="235"/>
        <v>852203</v>
      </c>
      <c r="M1024" s="77">
        <f t="shared" si="236"/>
        <v>0</v>
      </c>
      <c r="N1024" s="43">
        <f t="shared" si="237"/>
        <v>0</v>
      </c>
      <c r="O1024" s="43">
        <f t="shared" si="238"/>
        <v>0</v>
      </c>
      <c r="P1024" s="43">
        <f t="shared" si="228"/>
        <v>852203</v>
      </c>
      <c r="Q1024" s="100"/>
      <c r="R1024" s="117"/>
    </row>
    <row r="1025" spans="1:19" ht="47.25" customHeight="1" x14ac:dyDescent="0.25">
      <c r="A1025" s="48" t="str">
        <f t="shared" si="239"/>
        <v>HT</v>
      </c>
      <c r="B1025" s="32" t="s">
        <v>1300</v>
      </c>
      <c r="C1025" s="39" t="s">
        <v>349</v>
      </c>
      <c r="D1025" s="13" t="s">
        <v>250</v>
      </c>
      <c r="E1025" s="123">
        <v>8</v>
      </c>
      <c r="F1025" s="136"/>
      <c r="G1025" s="125"/>
      <c r="H1025" s="125"/>
      <c r="I1025" s="125">
        <f t="shared" si="230"/>
        <v>8</v>
      </c>
      <c r="J1025" s="62">
        <f>'BIỂU HỢP ĐỒNG'!J934</f>
        <v>79217</v>
      </c>
      <c r="K1025" s="43"/>
      <c r="L1025" s="62">
        <f t="shared" si="235"/>
        <v>633736</v>
      </c>
      <c r="M1025" s="77">
        <f t="shared" si="236"/>
        <v>0</v>
      </c>
      <c r="N1025" s="43">
        <f t="shared" si="237"/>
        <v>0</v>
      </c>
      <c r="O1025" s="43">
        <f t="shared" si="238"/>
        <v>0</v>
      </c>
      <c r="P1025" s="43">
        <f t="shared" si="228"/>
        <v>633736</v>
      </c>
      <c r="Q1025" s="100"/>
      <c r="R1025" s="117"/>
    </row>
    <row r="1026" spans="1:19" ht="47.25" customHeight="1" x14ac:dyDescent="0.25">
      <c r="A1026" s="48" t="str">
        <f t="shared" si="239"/>
        <v>HT</v>
      </c>
      <c r="B1026" s="32" t="s">
        <v>1301</v>
      </c>
      <c r="C1026" s="39" t="s">
        <v>351</v>
      </c>
      <c r="D1026" s="13" t="s">
        <v>250</v>
      </c>
      <c r="E1026" s="123">
        <v>8</v>
      </c>
      <c r="F1026" s="136"/>
      <c r="G1026" s="125"/>
      <c r="H1026" s="125"/>
      <c r="I1026" s="125">
        <f t="shared" si="230"/>
        <v>8</v>
      </c>
      <c r="J1026" s="62">
        <f>'BIỂU HỢP ĐỒNG'!J935</f>
        <v>65424</v>
      </c>
      <c r="K1026" s="43"/>
      <c r="L1026" s="62">
        <f t="shared" si="235"/>
        <v>523392</v>
      </c>
      <c r="M1026" s="77">
        <f t="shared" si="236"/>
        <v>0</v>
      </c>
      <c r="N1026" s="43">
        <f t="shared" si="237"/>
        <v>0</v>
      </c>
      <c r="O1026" s="43">
        <f t="shared" si="238"/>
        <v>0</v>
      </c>
      <c r="P1026" s="43">
        <f t="shared" si="228"/>
        <v>523392</v>
      </c>
      <c r="Q1026" s="100"/>
      <c r="R1026" s="117"/>
    </row>
    <row r="1027" spans="1:19" ht="31.5" customHeight="1" x14ac:dyDescent="0.25">
      <c r="A1027" s="48" t="str">
        <f t="shared" si="239"/>
        <v>HT</v>
      </c>
      <c r="B1027" s="32" t="s">
        <v>1302</v>
      </c>
      <c r="C1027" s="39" t="s">
        <v>284</v>
      </c>
      <c r="D1027" s="13" t="s">
        <v>274</v>
      </c>
      <c r="E1027" s="123">
        <v>0.83</v>
      </c>
      <c r="F1027" s="136"/>
      <c r="G1027" s="125"/>
      <c r="H1027" s="125"/>
      <c r="I1027" s="125">
        <f t="shared" si="230"/>
        <v>0.83</v>
      </c>
      <c r="J1027" s="62">
        <f>'BIỂU HỢP ĐỒNG'!J936</f>
        <v>32162</v>
      </c>
      <c r="K1027" s="43"/>
      <c r="L1027" s="62">
        <f t="shared" si="235"/>
        <v>26694</v>
      </c>
      <c r="M1027" s="77">
        <f t="shared" si="236"/>
        <v>0</v>
      </c>
      <c r="N1027" s="43">
        <f t="shared" si="237"/>
        <v>0</v>
      </c>
      <c r="O1027" s="43">
        <f t="shared" si="238"/>
        <v>0</v>
      </c>
      <c r="P1027" s="43">
        <f t="shared" si="228"/>
        <v>26694</v>
      </c>
      <c r="Q1027" s="100"/>
      <c r="R1027" s="117"/>
    </row>
    <row r="1028" spans="1:19" ht="31.5" customHeight="1" x14ac:dyDescent="0.25">
      <c r="A1028" s="48" t="str">
        <f t="shared" si="239"/>
        <v>HT</v>
      </c>
      <c r="B1028" s="32" t="s">
        <v>1303</v>
      </c>
      <c r="C1028" s="39" t="s">
        <v>355</v>
      </c>
      <c r="D1028" s="13" t="s">
        <v>258</v>
      </c>
      <c r="E1028" s="123">
        <v>8</v>
      </c>
      <c r="F1028" s="136"/>
      <c r="G1028" s="125"/>
      <c r="H1028" s="125"/>
      <c r="I1028" s="125">
        <f t="shared" si="230"/>
        <v>8</v>
      </c>
      <c r="J1028" s="62">
        <f>'BIỂU HỢP ĐỒNG'!J937</f>
        <v>120701</v>
      </c>
      <c r="K1028" s="43"/>
      <c r="L1028" s="62">
        <f t="shared" si="235"/>
        <v>965608</v>
      </c>
      <c r="M1028" s="77">
        <f t="shared" si="236"/>
        <v>0</v>
      </c>
      <c r="N1028" s="43">
        <f t="shared" si="237"/>
        <v>0</v>
      </c>
      <c r="O1028" s="43">
        <f t="shared" si="238"/>
        <v>0</v>
      </c>
      <c r="P1028" s="43">
        <f t="shared" ref="P1028:P1059" si="240">SUM(L1028:O1028)</f>
        <v>965608</v>
      </c>
      <c r="Q1028" s="100"/>
      <c r="R1028" s="117"/>
    </row>
    <row r="1029" spans="1:19" x14ac:dyDescent="0.25">
      <c r="A1029" s="48" t="str">
        <f t="shared" si="239"/>
        <v>HT</v>
      </c>
      <c r="B1029" s="32" t="s">
        <v>1304</v>
      </c>
      <c r="C1029" s="39" t="s">
        <v>334</v>
      </c>
      <c r="D1029" s="13" t="s">
        <v>16</v>
      </c>
      <c r="E1029" s="123">
        <v>114.11</v>
      </c>
      <c r="F1029" s="139">
        <f>(-4.224)+8.1092</f>
        <v>3.8851999999999993</v>
      </c>
      <c r="G1029" s="125"/>
      <c r="H1029" s="125"/>
      <c r="I1029" s="125">
        <f t="shared" si="230"/>
        <v>117.9952</v>
      </c>
      <c r="J1029" s="62">
        <f>'BIỂU HỢP ĐỒNG'!J938</f>
        <v>1637840</v>
      </c>
      <c r="K1029" s="43"/>
      <c r="L1029" s="62">
        <f t="shared" si="235"/>
        <v>186893922</v>
      </c>
      <c r="M1029" s="138">
        <f t="shared" si="236"/>
        <v>6363336</v>
      </c>
      <c r="N1029" s="43">
        <f t="shared" si="237"/>
        <v>0</v>
      </c>
      <c r="O1029" s="43">
        <f t="shared" si="238"/>
        <v>0</v>
      </c>
      <c r="P1029" s="43">
        <f t="shared" si="240"/>
        <v>193257258</v>
      </c>
      <c r="Q1029" s="100"/>
      <c r="R1029" s="117"/>
      <c r="S1029" t="s">
        <v>2167</v>
      </c>
    </row>
    <row r="1030" spans="1:19" ht="31.5" customHeight="1" x14ac:dyDescent="0.25">
      <c r="A1030" s="48" t="str">
        <f t="shared" si="239"/>
        <v>HT</v>
      </c>
      <c r="B1030" s="32" t="s">
        <v>1305</v>
      </c>
      <c r="C1030" s="39" t="s">
        <v>246</v>
      </c>
      <c r="D1030" s="13" t="s">
        <v>90</v>
      </c>
      <c r="E1030" s="123">
        <v>5.42</v>
      </c>
      <c r="F1030" s="139">
        <f>(-0.21088)+0.069415+2.08608+1.64112</f>
        <v>3.5857349999999997</v>
      </c>
      <c r="G1030" s="125"/>
      <c r="H1030" s="125"/>
      <c r="I1030" s="125">
        <f t="shared" si="230"/>
        <v>9.0057349999999996</v>
      </c>
      <c r="J1030" s="62">
        <f>'BIỂU HỢP ĐỒNG'!J939</f>
        <v>27102732</v>
      </c>
      <c r="K1030" s="43"/>
      <c r="L1030" s="62">
        <f t="shared" si="235"/>
        <v>146896807</v>
      </c>
      <c r="M1030" s="138">
        <f t="shared" si="236"/>
        <v>97183215</v>
      </c>
      <c r="N1030" s="43">
        <f t="shared" si="237"/>
        <v>0</v>
      </c>
      <c r="O1030" s="43">
        <f t="shared" si="238"/>
        <v>0</v>
      </c>
      <c r="P1030" s="43">
        <f t="shared" si="240"/>
        <v>244080022</v>
      </c>
      <c r="Q1030" s="100"/>
      <c r="R1030" s="117"/>
      <c r="S1030" t="s">
        <v>2168</v>
      </c>
    </row>
    <row r="1031" spans="1:19" ht="31.5" customHeight="1" x14ac:dyDescent="0.25">
      <c r="A1031" s="48" t="str">
        <f t="shared" si="239"/>
        <v>HT</v>
      </c>
      <c r="B1031" s="32" t="s">
        <v>1306</v>
      </c>
      <c r="C1031" s="39" t="s">
        <v>871</v>
      </c>
      <c r="D1031" s="13" t="s">
        <v>13</v>
      </c>
      <c r="E1031" s="123">
        <v>261.33999999999997</v>
      </c>
      <c r="F1031" s="139">
        <f>(-10.432)+1.209325</f>
        <v>-9.2226750000000006</v>
      </c>
      <c r="G1031" s="125"/>
      <c r="H1031" s="125"/>
      <c r="I1031" s="125">
        <f t="shared" si="230"/>
        <v>252.11732499999997</v>
      </c>
      <c r="J1031" s="62">
        <f>'BIỂU HỢP ĐỒNG'!J940</f>
        <v>86606</v>
      </c>
      <c r="K1031" s="43"/>
      <c r="L1031" s="62">
        <f t="shared" si="235"/>
        <v>22633612</v>
      </c>
      <c r="M1031" s="138">
        <f t="shared" si="236"/>
        <v>-798739</v>
      </c>
      <c r="N1031" s="43">
        <f t="shared" si="237"/>
        <v>0</v>
      </c>
      <c r="O1031" s="43">
        <f t="shared" si="238"/>
        <v>0</v>
      </c>
      <c r="P1031" s="43">
        <f t="shared" si="240"/>
        <v>21834873</v>
      </c>
      <c r="Q1031" s="100"/>
      <c r="R1031" s="117"/>
      <c r="S1031" t="s">
        <v>2169</v>
      </c>
    </row>
    <row r="1032" spans="1:19" ht="47.25" customHeight="1" x14ac:dyDescent="0.25">
      <c r="A1032" s="48" t="str">
        <f t="shared" si="239"/>
        <v>HT</v>
      </c>
      <c r="B1032" s="32" t="s">
        <v>1307</v>
      </c>
      <c r="C1032" s="39" t="s">
        <v>351</v>
      </c>
      <c r="D1032" s="13" t="s">
        <v>250</v>
      </c>
      <c r="E1032" s="123">
        <v>182</v>
      </c>
      <c r="F1032" s="139"/>
      <c r="G1032" s="125"/>
      <c r="H1032" s="125"/>
      <c r="I1032" s="125">
        <f t="shared" si="230"/>
        <v>182</v>
      </c>
      <c r="J1032" s="62">
        <f>'BIỂU HỢP ĐỒNG'!J941</f>
        <v>65424</v>
      </c>
      <c r="K1032" s="43"/>
      <c r="L1032" s="62">
        <f t="shared" si="235"/>
        <v>11907168</v>
      </c>
      <c r="M1032" s="138">
        <f t="shared" si="236"/>
        <v>0</v>
      </c>
      <c r="N1032" s="43">
        <f t="shared" si="237"/>
        <v>0</v>
      </c>
      <c r="O1032" s="43">
        <f t="shared" si="238"/>
        <v>0</v>
      </c>
      <c r="P1032" s="43">
        <f t="shared" si="240"/>
        <v>11907168</v>
      </c>
      <c r="Q1032" s="100"/>
      <c r="R1032" s="117"/>
    </row>
    <row r="1033" spans="1:19" ht="31.5" x14ac:dyDescent="0.25">
      <c r="A1033" s="48" t="str">
        <f t="shared" si="239"/>
        <v>HT</v>
      </c>
      <c r="B1033" s="140" t="s">
        <v>2170</v>
      </c>
      <c r="C1033" s="141" t="s">
        <v>874</v>
      </c>
      <c r="D1033" s="142" t="s">
        <v>250</v>
      </c>
      <c r="E1033" s="143"/>
      <c r="F1033" s="143">
        <f>(-8.12)+8.1092</f>
        <v>-1.0799999999999699E-2</v>
      </c>
      <c r="G1033" s="144"/>
      <c r="H1033" s="144"/>
      <c r="I1033" s="144">
        <f t="shared" si="230"/>
        <v>-1.0799999999999699E-2</v>
      </c>
      <c r="J1033" s="145"/>
      <c r="K1033" s="146">
        <v>65424</v>
      </c>
      <c r="L1033" s="145">
        <f>+ROUND(K1033*E1033,0)</f>
        <v>0</v>
      </c>
      <c r="M1033" s="147">
        <f>+ROUND(F1033*K1033,0)</f>
        <v>-707</v>
      </c>
      <c r="N1033" s="146">
        <f>+ROUND(G1033*K1033,0)</f>
        <v>0</v>
      </c>
      <c r="O1033" s="146">
        <f>+ROUND(H1033*K1033,0)</f>
        <v>0</v>
      </c>
      <c r="P1033" s="146">
        <f t="shared" si="240"/>
        <v>-707</v>
      </c>
      <c r="Q1033" s="100"/>
      <c r="R1033" s="117"/>
      <c r="S1033" t="s">
        <v>2171</v>
      </c>
    </row>
    <row r="1034" spans="1:19" ht="47.25" customHeight="1" x14ac:dyDescent="0.25">
      <c r="A1034" s="48" t="str">
        <f>A1032</f>
        <v>HT</v>
      </c>
      <c r="B1034" s="32" t="s">
        <v>1308</v>
      </c>
      <c r="C1034" s="39" t="s">
        <v>351</v>
      </c>
      <c r="D1034" s="13" t="s">
        <v>250</v>
      </c>
      <c r="E1034" s="123">
        <v>182</v>
      </c>
      <c r="F1034" s="139"/>
      <c r="G1034" s="125"/>
      <c r="H1034" s="125"/>
      <c r="I1034" s="125">
        <f t="shared" si="230"/>
        <v>182</v>
      </c>
      <c r="J1034" s="62">
        <f>'BIỂU HỢP ĐỒNG'!J942</f>
        <v>65424</v>
      </c>
      <c r="K1034" s="43"/>
      <c r="L1034" s="62">
        <f>+ROUND(J1034*E1034,0)</f>
        <v>11907168</v>
      </c>
      <c r="M1034" s="138">
        <f>+ROUND(F1034*J1034,0)</f>
        <v>0</v>
      </c>
      <c r="N1034" s="43">
        <f>+ROUND(G1034*J1034,0)</f>
        <v>0</v>
      </c>
      <c r="O1034" s="43">
        <f>+ROUND(H1034*J1034,0)</f>
        <v>0</v>
      </c>
      <c r="P1034" s="43">
        <f t="shared" si="240"/>
        <v>11907168</v>
      </c>
      <c r="Q1034" s="100"/>
      <c r="R1034" s="117"/>
    </row>
    <row r="1035" spans="1:19" ht="31.5" x14ac:dyDescent="0.25">
      <c r="A1035" s="48" t="str">
        <f>A1034</f>
        <v>HT</v>
      </c>
      <c r="B1035" s="140" t="s">
        <v>2172</v>
      </c>
      <c r="C1035" s="141" t="s">
        <v>876</v>
      </c>
      <c r="D1035" s="142" t="s">
        <v>250</v>
      </c>
      <c r="E1035" s="143"/>
      <c r="F1035" s="143">
        <f>(-8)+8.1092</f>
        <v>0.10919999999999952</v>
      </c>
      <c r="G1035" s="144"/>
      <c r="H1035" s="144"/>
      <c r="I1035" s="144">
        <f t="shared" si="230"/>
        <v>0.10919999999999952</v>
      </c>
      <c r="J1035" s="145"/>
      <c r="K1035" s="146">
        <v>65424</v>
      </c>
      <c r="L1035" s="145">
        <f>+ROUND(K1035*E1035,0)</f>
        <v>0</v>
      </c>
      <c r="M1035" s="147">
        <f>+ROUND(F1035*K1035,0)</f>
        <v>7144</v>
      </c>
      <c r="N1035" s="146">
        <f>+ROUND(G1035*K1035,0)</f>
        <v>0</v>
      </c>
      <c r="O1035" s="146">
        <f>+ROUND(H1035*K1035,0)</f>
        <v>0</v>
      </c>
      <c r="P1035" s="146">
        <f t="shared" si="240"/>
        <v>7144</v>
      </c>
      <c r="Q1035" s="100"/>
      <c r="R1035" s="117"/>
      <c r="S1035" t="s">
        <v>2173</v>
      </c>
    </row>
    <row r="1036" spans="1:19" ht="31.5" customHeight="1" x14ac:dyDescent="0.25">
      <c r="A1036" s="48" t="str">
        <f>A1034</f>
        <v>HT</v>
      </c>
      <c r="B1036" s="32" t="s">
        <v>1309</v>
      </c>
      <c r="C1036" s="39" t="s">
        <v>284</v>
      </c>
      <c r="D1036" s="13" t="s">
        <v>253</v>
      </c>
      <c r="E1036" s="123">
        <v>28.53</v>
      </c>
      <c r="F1036" s="139">
        <f>(-2)+2.0273+12</f>
        <v>12.0273</v>
      </c>
      <c r="G1036" s="125"/>
      <c r="H1036" s="125"/>
      <c r="I1036" s="125">
        <f t="shared" si="230"/>
        <v>40.557299999999998</v>
      </c>
      <c r="J1036" s="62">
        <f>'BIỂU HỢP ĐỒNG'!J943</f>
        <v>32162</v>
      </c>
      <c r="K1036" s="43"/>
      <c r="L1036" s="62">
        <f>+ROUND(J1036*E1036,0)</f>
        <v>917582</v>
      </c>
      <c r="M1036" s="138">
        <f>+ROUND(F1036*J1036,0)</f>
        <v>386822</v>
      </c>
      <c r="N1036" s="43">
        <f>+ROUND(G1036*J1036,0)</f>
        <v>0</v>
      </c>
      <c r="O1036" s="43">
        <f>+ROUND(H1036*J1036,0)</f>
        <v>0</v>
      </c>
      <c r="P1036" s="43">
        <f t="shared" si="240"/>
        <v>1304404</v>
      </c>
      <c r="Q1036" s="100"/>
      <c r="R1036" s="117"/>
      <c r="S1036" t="s">
        <v>2174</v>
      </c>
    </row>
    <row r="1037" spans="1:19" ht="31.5" customHeight="1" x14ac:dyDescent="0.25">
      <c r="A1037" s="48" t="str">
        <f>A1036</f>
        <v>HT</v>
      </c>
      <c r="B1037" s="32" t="s">
        <v>1310</v>
      </c>
      <c r="C1037" s="39" t="s">
        <v>355</v>
      </c>
      <c r="D1037" s="13" t="s">
        <v>258</v>
      </c>
      <c r="E1037" s="123">
        <v>182</v>
      </c>
      <c r="F1037" s="139"/>
      <c r="G1037" s="125"/>
      <c r="H1037" s="125"/>
      <c r="I1037" s="125">
        <f t="shared" ref="I1037:I1068" si="241">SUM(E1037:H1037)</f>
        <v>182</v>
      </c>
      <c r="J1037" s="62">
        <f>'BIỂU HỢP ĐỒNG'!J944</f>
        <v>120701</v>
      </c>
      <c r="K1037" s="43"/>
      <c r="L1037" s="62">
        <f>+ROUND(J1037*E1037,0)</f>
        <v>21967582</v>
      </c>
      <c r="M1037" s="138">
        <f>+ROUND(F1037*J1037,0)</f>
        <v>0</v>
      </c>
      <c r="N1037" s="43">
        <f>+ROUND(G1037*J1037,0)</f>
        <v>0</v>
      </c>
      <c r="O1037" s="43">
        <f>+ROUND(H1037*J1037,0)</f>
        <v>0</v>
      </c>
      <c r="P1037" s="43">
        <f t="shared" si="240"/>
        <v>21967582</v>
      </c>
      <c r="Q1037" s="100"/>
      <c r="R1037" s="117"/>
    </row>
    <row r="1038" spans="1:19" ht="31.5" x14ac:dyDescent="0.25">
      <c r="A1038" s="48" t="str">
        <f>A1037</f>
        <v>HT</v>
      </c>
      <c r="B1038" s="140" t="s">
        <v>2175</v>
      </c>
      <c r="C1038" s="141" t="s">
        <v>257</v>
      </c>
      <c r="D1038" s="142" t="s">
        <v>258</v>
      </c>
      <c r="E1038" s="143"/>
      <c r="F1038" s="143">
        <f>(-8)+8.1092</f>
        <v>0.10919999999999952</v>
      </c>
      <c r="G1038" s="144"/>
      <c r="H1038" s="144"/>
      <c r="I1038" s="144">
        <f t="shared" si="241"/>
        <v>0.10919999999999952</v>
      </c>
      <c r="J1038" s="145"/>
      <c r="K1038" s="146">
        <v>120701</v>
      </c>
      <c r="L1038" s="145">
        <f>+ROUND(K1038*E1038,0)</f>
        <v>0</v>
      </c>
      <c r="M1038" s="147">
        <f>+ROUND(F1038*K1038,0)</f>
        <v>13181</v>
      </c>
      <c r="N1038" s="146">
        <f>+ROUND(G1038*K1038,0)</f>
        <v>0</v>
      </c>
      <c r="O1038" s="146">
        <f>+ROUND(H1038*K1038,0)</f>
        <v>0</v>
      </c>
      <c r="P1038" s="146">
        <f t="shared" si="240"/>
        <v>13181</v>
      </c>
      <c r="Q1038" s="100"/>
      <c r="R1038" s="117"/>
      <c r="S1038" t="s">
        <v>2176</v>
      </c>
    </row>
    <row r="1039" spans="1:19" ht="31.5" customHeight="1" x14ac:dyDescent="0.25">
      <c r="A1039" s="48" t="str">
        <f>A1037</f>
        <v>HT</v>
      </c>
      <c r="B1039" s="32" t="s">
        <v>1311</v>
      </c>
      <c r="C1039" s="39" t="s">
        <v>240</v>
      </c>
      <c r="D1039" s="13" t="s">
        <v>16</v>
      </c>
      <c r="E1039" s="123">
        <v>71.62</v>
      </c>
      <c r="F1039" s="136"/>
      <c r="G1039" s="125"/>
      <c r="H1039" s="125"/>
      <c r="I1039" s="125">
        <f t="shared" si="241"/>
        <v>71.62</v>
      </c>
      <c r="J1039" s="62">
        <f>'BIỂU HỢP ĐỒNG'!J945</f>
        <v>851305</v>
      </c>
      <c r="K1039" s="43"/>
      <c r="L1039" s="62">
        <f t="shared" ref="L1039:L1048" si="242">+ROUND(J1039*E1039,0)</f>
        <v>60970464</v>
      </c>
      <c r="M1039" s="77">
        <f t="shared" ref="M1039:M1048" si="243">+ROUND(F1039*J1039,0)</f>
        <v>0</v>
      </c>
      <c r="N1039" s="43">
        <f>+ROUND(G1039*J1039,0)</f>
        <v>0</v>
      </c>
      <c r="O1039" s="43">
        <f t="shared" ref="O1039:O1048" si="244">+ROUND(H1039*J1039,0)</f>
        <v>0</v>
      </c>
      <c r="P1039" s="43">
        <f t="shared" si="240"/>
        <v>60970464</v>
      </c>
      <c r="Q1039" s="100"/>
      <c r="R1039" s="117"/>
    </row>
    <row r="1040" spans="1:19" ht="31.5" customHeight="1" x14ac:dyDescent="0.25">
      <c r="A1040" s="48" t="str">
        <f t="shared" ref="A1040:A1049" si="245">A1039</f>
        <v>HT</v>
      </c>
      <c r="B1040" s="32" t="s">
        <v>1312</v>
      </c>
      <c r="C1040" s="39" t="s">
        <v>905</v>
      </c>
      <c r="D1040" s="13" t="s">
        <v>16</v>
      </c>
      <c r="E1040" s="123">
        <v>14.19</v>
      </c>
      <c r="F1040" s="136">
        <v>15.84</v>
      </c>
      <c r="G1040" s="67">
        <v>-5.7949999999999999</v>
      </c>
      <c r="H1040" s="125"/>
      <c r="I1040" s="125">
        <f t="shared" si="241"/>
        <v>24.234999999999999</v>
      </c>
      <c r="J1040" s="62">
        <f>'BIỂU HỢP ĐỒNG'!J946</f>
        <v>1637840</v>
      </c>
      <c r="K1040" s="43"/>
      <c r="L1040" s="62">
        <f t="shared" si="242"/>
        <v>23240950</v>
      </c>
      <c r="M1040" s="77">
        <f t="shared" si="243"/>
        <v>25943386</v>
      </c>
      <c r="N1040" s="151">
        <f>+ROUND(G1040*J1040,-3)</f>
        <v>-9491000</v>
      </c>
      <c r="O1040" s="43">
        <f t="shared" si="244"/>
        <v>0</v>
      </c>
      <c r="P1040" s="43">
        <f t="shared" si="240"/>
        <v>39693336</v>
      </c>
      <c r="Q1040" s="100"/>
      <c r="R1040" s="117"/>
    </row>
    <row r="1041" spans="1:19" ht="31.5" customHeight="1" x14ac:dyDescent="0.25">
      <c r="A1041" s="48" t="str">
        <f t="shared" si="245"/>
        <v>HT</v>
      </c>
      <c r="B1041" s="32" t="s">
        <v>1313</v>
      </c>
      <c r="C1041" s="39" t="s">
        <v>871</v>
      </c>
      <c r="D1041" s="13" t="s">
        <v>13</v>
      </c>
      <c r="E1041" s="123">
        <v>205.1</v>
      </c>
      <c r="F1041" s="136">
        <v>229.44</v>
      </c>
      <c r="G1041" s="67">
        <v>-170.95500000000001</v>
      </c>
      <c r="H1041" s="125"/>
      <c r="I1041" s="125">
        <f t="shared" si="241"/>
        <v>263.58499999999992</v>
      </c>
      <c r="J1041" s="62">
        <f>'BIỂU HỢP ĐỒNG'!J947</f>
        <v>250782</v>
      </c>
      <c r="K1041" s="43"/>
      <c r="L1041" s="62">
        <f t="shared" si="242"/>
        <v>51435388</v>
      </c>
      <c r="M1041" s="77">
        <f t="shared" si="243"/>
        <v>57539422</v>
      </c>
      <c r="N1041" s="151">
        <f>+ROUND(G1041*J1041,-3)</f>
        <v>-42872000</v>
      </c>
      <c r="O1041" s="43">
        <f t="shared" si="244"/>
        <v>0</v>
      </c>
      <c r="P1041" s="43">
        <f t="shared" si="240"/>
        <v>66102810</v>
      </c>
      <c r="Q1041" s="100"/>
      <c r="R1041" s="117"/>
    </row>
    <row r="1042" spans="1:19" ht="31.5" customHeight="1" x14ac:dyDescent="0.25">
      <c r="A1042" s="48" t="str">
        <f t="shared" si="245"/>
        <v>HT</v>
      </c>
      <c r="B1042" s="32" t="s">
        <v>1314</v>
      </c>
      <c r="C1042" s="39" t="s">
        <v>246</v>
      </c>
      <c r="D1042" s="13" t="s">
        <v>90</v>
      </c>
      <c r="E1042" s="123">
        <v>1.9</v>
      </c>
      <c r="F1042" s="136"/>
      <c r="G1042" s="67">
        <v>-0.93669999999999998</v>
      </c>
      <c r="H1042" s="125"/>
      <c r="I1042" s="125">
        <f t="shared" si="241"/>
        <v>0.96329999999999993</v>
      </c>
      <c r="J1042" s="62">
        <f>'BIỂU HỢP ĐỒNG'!J948</f>
        <v>27102732</v>
      </c>
      <c r="K1042" s="43"/>
      <c r="L1042" s="62">
        <f t="shared" si="242"/>
        <v>51495191</v>
      </c>
      <c r="M1042" s="77">
        <f t="shared" si="243"/>
        <v>0</v>
      </c>
      <c r="N1042" s="151">
        <f>+ROUND(G1042*J1042,-3)</f>
        <v>-25387000</v>
      </c>
      <c r="O1042" s="43">
        <f t="shared" si="244"/>
        <v>0</v>
      </c>
      <c r="P1042" s="43">
        <f t="shared" si="240"/>
        <v>26108191</v>
      </c>
      <c r="Q1042" s="100"/>
      <c r="R1042" s="117"/>
    </row>
    <row r="1043" spans="1:19" ht="31.5" customHeight="1" x14ac:dyDescent="0.25">
      <c r="A1043" s="48" t="str">
        <f t="shared" si="245"/>
        <v>HT</v>
      </c>
      <c r="B1043" s="32" t="s">
        <v>1315</v>
      </c>
      <c r="C1043" s="39" t="s">
        <v>246</v>
      </c>
      <c r="D1043" s="13" t="s">
        <v>90</v>
      </c>
      <c r="E1043" s="123">
        <v>1.5</v>
      </c>
      <c r="F1043" s="136"/>
      <c r="G1043" s="67">
        <v>-1.1848399999999999</v>
      </c>
      <c r="H1043" s="125"/>
      <c r="I1043" s="125">
        <f t="shared" si="241"/>
        <v>0.31516000000000011</v>
      </c>
      <c r="J1043" s="62">
        <f>'BIỂU HỢP ĐỒNG'!J949</f>
        <v>27102732</v>
      </c>
      <c r="K1043" s="43"/>
      <c r="L1043" s="62">
        <f t="shared" si="242"/>
        <v>40654098</v>
      </c>
      <c r="M1043" s="77">
        <f t="shared" si="243"/>
        <v>0</v>
      </c>
      <c r="N1043" s="151">
        <f>+ROUND(G1043*J1043,-3)</f>
        <v>-32112000</v>
      </c>
      <c r="O1043" s="43">
        <f t="shared" si="244"/>
        <v>0</v>
      </c>
      <c r="P1043" s="43">
        <f t="shared" si="240"/>
        <v>8542098</v>
      </c>
      <c r="Q1043" s="100"/>
      <c r="R1043" s="117"/>
    </row>
    <row r="1044" spans="1:19" ht="47.25" customHeight="1" x14ac:dyDescent="0.25">
      <c r="A1044" s="48" t="str">
        <f t="shared" si="245"/>
        <v>HT</v>
      </c>
      <c r="B1044" s="32" t="s">
        <v>1316</v>
      </c>
      <c r="C1044" s="39" t="s">
        <v>910</v>
      </c>
      <c r="D1044" s="13" t="s">
        <v>250</v>
      </c>
      <c r="E1044" s="123">
        <v>43</v>
      </c>
      <c r="F1044" s="136">
        <v>48.72</v>
      </c>
      <c r="G1044" s="67"/>
      <c r="H1044" s="125"/>
      <c r="I1044" s="125">
        <f t="shared" si="241"/>
        <v>91.72</v>
      </c>
      <c r="J1044" s="62">
        <f>'BIỂU HỢP ĐỒNG'!J950</f>
        <v>69167</v>
      </c>
      <c r="K1044" s="43"/>
      <c r="L1044" s="62">
        <f t="shared" si="242"/>
        <v>2974181</v>
      </c>
      <c r="M1044" s="77">
        <f t="shared" si="243"/>
        <v>3369816</v>
      </c>
      <c r="N1044" s="43">
        <f>+ROUND(G1044*J1044,0)</f>
        <v>0</v>
      </c>
      <c r="O1044" s="43">
        <f t="shared" si="244"/>
        <v>0</v>
      </c>
      <c r="P1044" s="43">
        <f t="shared" si="240"/>
        <v>6343997</v>
      </c>
      <c r="Q1044" s="100"/>
      <c r="R1044" s="117"/>
    </row>
    <row r="1045" spans="1:19" ht="47.25" customHeight="1" x14ac:dyDescent="0.25">
      <c r="A1045" s="48" t="str">
        <f t="shared" si="245"/>
        <v>HT</v>
      </c>
      <c r="B1045" s="32" t="s">
        <v>1317</v>
      </c>
      <c r="C1045" s="39" t="s">
        <v>876</v>
      </c>
      <c r="D1045" s="13" t="s">
        <v>250</v>
      </c>
      <c r="E1045" s="123">
        <v>43</v>
      </c>
      <c r="F1045" s="136">
        <v>48.72</v>
      </c>
      <c r="G1045" s="67"/>
      <c r="H1045" s="125"/>
      <c r="I1045" s="125">
        <f t="shared" si="241"/>
        <v>91.72</v>
      </c>
      <c r="J1045" s="62">
        <f>'BIỂU HỢP ĐỒNG'!J951</f>
        <v>52812</v>
      </c>
      <c r="K1045" s="43"/>
      <c r="L1045" s="62">
        <f t="shared" si="242"/>
        <v>2270916</v>
      </c>
      <c r="M1045" s="77">
        <f t="shared" si="243"/>
        <v>2573001</v>
      </c>
      <c r="N1045" s="43">
        <f>+ROUND(G1045*J1045,0)</f>
        <v>0</v>
      </c>
      <c r="O1045" s="43">
        <f t="shared" si="244"/>
        <v>0</v>
      </c>
      <c r="P1045" s="43">
        <f t="shared" si="240"/>
        <v>4843917</v>
      </c>
      <c r="Q1045" s="100"/>
      <c r="R1045" s="117"/>
    </row>
    <row r="1046" spans="1:19" ht="31.5" customHeight="1" x14ac:dyDescent="0.25">
      <c r="A1046" s="48" t="str">
        <f t="shared" si="245"/>
        <v>HT</v>
      </c>
      <c r="B1046" s="32" t="s">
        <v>1318</v>
      </c>
      <c r="C1046" s="39" t="s">
        <v>284</v>
      </c>
      <c r="D1046" s="13" t="s">
        <v>253</v>
      </c>
      <c r="E1046" s="123">
        <v>3.55</v>
      </c>
      <c r="F1046" s="136"/>
      <c r="G1046" s="67"/>
      <c r="H1046" s="125"/>
      <c r="I1046" s="125">
        <f t="shared" si="241"/>
        <v>3.55</v>
      </c>
      <c r="J1046" s="62">
        <f>'BIỂU HỢP ĐỒNG'!J952</f>
        <v>32162</v>
      </c>
      <c r="K1046" s="43"/>
      <c r="L1046" s="62">
        <f t="shared" si="242"/>
        <v>114175</v>
      </c>
      <c r="M1046" s="77">
        <f t="shared" si="243"/>
        <v>0</v>
      </c>
      <c r="N1046" s="43">
        <f>+ROUND(G1046*J1046,0)</f>
        <v>0</v>
      </c>
      <c r="O1046" s="43">
        <f t="shared" si="244"/>
        <v>0</v>
      </c>
      <c r="P1046" s="43">
        <f t="shared" si="240"/>
        <v>114175</v>
      </c>
      <c r="Q1046" s="100"/>
      <c r="R1046" s="117"/>
    </row>
    <row r="1047" spans="1:19" ht="31.5" customHeight="1" x14ac:dyDescent="0.25">
      <c r="A1047" s="48" t="str">
        <f t="shared" si="245"/>
        <v>HT</v>
      </c>
      <c r="B1047" s="32" t="s">
        <v>1319</v>
      </c>
      <c r="C1047" s="39" t="s">
        <v>257</v>
      </c>
      <c r="D1047" s="13" t="s">
        <v>258</v>
      </c>
      <c r="E1047" s="123">
        <v>43</v>
      </c>
      <c r="F1047" s="136">
        <v>48</v>
      </c>
      <c r="G1047" s="67"/>
      <c r="H1047" s="125"/>
      <c r="I1047" s="125">
        <f t="shared" si="241"/>
        <v>91</v>
      </c>
      <c r="J1047" s="62">
        <f>'BIỂU HỢP ĐỒNG'!J953</f>
        <v>142868</v>
      </c>
      <c r="K1047" s="43"/>
      <c r="L1047" s="62">
        <f t="shared" si="242"/>
        <v>6143324</v>
      </c>
      <c r="M1047" s="77">
        <f t="shared" si="243"/>
        <v>6857664</v>
      </c>
      <c r="N1047" s="43">
        <f>+ROUND(G1047*J1047,0)</f>
        <v>0</v>
      </c>
      <c r="O1047" s="43">
        <f t="shared" si="244"/>
        <v>0</v>
      </c>
      <c r="P1047" s="43">
        <f t="shared" si="240"/>
        <v>13000988</v>
      </c>
      <c r="Q1047" s="100"/>
      <c r="R1047" s="117"/>
    </row>
    <row r="1048" spans="1:19" x14ac:dyDescent="0.25">
      <c r="A1048" s="48" t="str">
        <f t="shared" si="245"/>
        <v>HT</v>
      </c>
      <c r="B1048" s="32" t="s">
        <v>1320</v>
      </c>
      <c r="C1048" s="39" t="s">
        <v>364</v>
      </c>
      <c r="D1048" s="13" t="s">
        <v>13</v>
      </c>
      <c r="E1048" s="123">
        <v>47.9</v>
      </c>
      <c r="F1048" s="136"/>
      <c r="G1048" s="67"/>
      <c r="H1048" s="125"/>
      <c r="I1048" s="125">
        <f t="shared" si="241"/>
        <v>47.9</v>
      </c>
      <c r="J1048" s="62">
        <f>'BIỂU HỢP ĐỒNG'!J954</f>
        <v>96763</v>
      </c>
      <c r="K1048" s="43"/>
      <c r="L1048" s="62">
        <f t="shared" si="242"/>
        <v>4634948</v>
      </c>
      <c r="M1048" s="77">
        <f t="shared" si="243"/>
        <v>0</v>
      </c>
      <c r="N1048" s="43">
        <f>+ROUND(G1048*J1048,0)</f>
        <v>0</v>
      </c>
      <c r="O1048" s="43">
        <f t="shared" si="244"/>
        <v>0</v>
      </c>
      <c r="P1048" s="43">
        <f t="shared" si="240"/>
        <v>4634948</v>
      </c>
      <c r="Q1048" s="100"/>
      <c r="R1048" s="117"/>
    </row>
    <row r="1049" spans="1:19" x14ac:dyDescent="0.25">
      <c r="A1049" s="48" t="str">
        <f t="shared" si="245"/>
        <v>HT</v>
      </c>
      <c r="B1049" s="140" t="s">
        <v>2177</v>
      </c>
      <c r="C1049" s="141" t="s">
        <v>364</v>
      </c>
      <c r="D1049" s="142" t="s">
        <v>13</v>
      </c>
      <c r="E1049" s="143"/>
      <c r="F1049" s="143">
        <v>0.39732000000000001</v>
      </c>
      <c r="G1049" s="144"/>
      <c r="H1049" s="144"/>
      <c r="I1049" s="144">
        <f t="shared" si="241"/>
        <v>0.39732000000000001</v>
      </c>
      <c r="J1049" s="145"/>
      <c r="K1049" s="146">
        <v>10502023</v>
      </c>
      <c r="L1049" s="145">
        <f>+ROUND(K1049*E1049,0)</f>
        <v>0</v>
      </c>
      <c r="M1049" s="147">
        <f>+ROUND(F1049*K1049,0)</f>
        <v>4172664</v>
      </c>
      <c r="N1049" s="146">
        <f>+ROUND(G1049*K1049,0)</f>
        <v>0</v>
      </c>
      <c r="O1049" s="146">
        <f>+ROUND(H1049*K1049,0)</f>
        <v>0</v>
      </c>
      <c r="P1049" s="146">
        <f t="shared" si="240"/>
        <v>4172664</v>
      </c>
      <c r="Q1049" s="100"/>
      <c r="R1049" s="117"/>
      <c r="S1049" t="s">
        <v>2178</v>
      </c>
    </row>
    <row r="1050" spans="1:19" ht="31.5" customHeight="1" x14ac:dyDescent="0.25">
      <c r="A1050" s="48" t="str">
        <f>A1048</f>
        <v>HT</v>
      </c>
      <c r="B1050" s="32" t="s">
        <v>1321</v>
      </c>
      <c r="C1050" s="39" t="s">
        <v>917</v>
      </c>
      <c r="D1050" s="13" t="s">
        <v>16</v>
      </c>
      <c r="E1050" s="123">
        <v>3.2</v>
      </c>
      <c r="F1050" s="136"/>
      <c r="G1050" s="67"/>
      <c r="H1050" s="125"/>
      <c r="I1050" s="125">
        <f t="shared" si="241"/>
        <v>3.2</v>
      </c>
      <c r="J1050" s="62">
        <f>'BIỂU HỢP ĐỒNG'!J955</f>
        <v>610299</v>
      </c>
      <c r="K1050" s="43"/>
      <c r="L1050" s="62">
        <f>+ROUND(J1050*E1050,0)</f>
        <v>1952957</v>
      </c>
      <c r="M1050" s="77">
        <f>+ROUND(F1050*J1050,0)</f>
        <v>0</v>
      </c>
      <c r="N1050" s="43">
        <f>+ROUND(G1050*J1050,0)</f>
        <v>0</v>
      </c>
      <c r="O1050" s="43">
        <f>+ROUND(H1050*J1050,0)</f>
        <v>0</v>
      </c>
      <c r="P1050" s="43">
        <f t="shared" si="240"/>
        <v>1952957</v>
      </c>
      <c r="Q1050" s="100"/>
      <c r="R1050" s="117"/>
    </row>
    <row r="1051" spans="1:19" ht="31.5" customHeight="1" x14ac:dyDescent="0.25">
      <c r="A1051" s="48" t="str">
        <f>A1050</f>
        <v>HT</v>
      </c>
      <c r="B1051" s="32" t="s">
        <v>1322</v>
      </c>
      <c r="C1051" s="39" t="s">
        <v>919</v>
      </c>
      <c r="D1051" s="13" t="s">
        <v>13</v>
      </c>
      <c r="E1051" s="123">
        <v>1054.32</v>
      </c>
      <c r="F1051" s="150"/>
      <c r="G1051" s="125"/>
      <c r="H1051" s="125"/>
      <c r="I1051" s="125">
        <f t="shared" si="241"/>
        <v>1054.32</v>
      </c>
      <c r="J1051" s="62">
        <f>'BIỂU HỢP ĐỒNG'!J956</f>
        <v>242779</v>
      </c>
      <c r="K1051" s="43"/>
      <c r="L1051" s="62">
        <f>+ROUND(J1051*E1051,0)</f>
        <v>255966755</v>
      </c>
      <c r="M1051" s="138">
        <f>+ROUND(F1051*J1051,0)</f>
        <v>0</v>
      </c>
      <c r="N1051" s="43">
        <f>+ROUND(G1051*J1051,0)</f>
        <v>0</v>
      </c>
      <c r="O1051" s="43">
        <f>+ROUND(H1051*J1051,0)</f>
        <v>0</v>
      </c>
      <c r="P1051" s="43">
        <f t="shared" si="240"/>
        <v>255966755</v>
      </c>
      <c r="Q1051" s="100"/>
      <c r="R1051" s="117"/>
    </row>
    <row r="1052" spans="1:19" ht="31.5" x14ac:dyDescent="0.25">
      <c r="A1052" s="48" t="str">
        <f>A1051</f>
        <v>HT</v>
      </c>
      <c r="B1052" s="140" t="s">
        <v>2179</v>
      </c>
      <c r="C1052" s="141" t="s">
        <v>919</v>
      </c>
      <c r="D1052" s="142" t="s">
        <v>13</v>
      </c>
      <c r="E1052" s="143"/>
      <c r="F1052" s="143">
        <v>-121.44</v>
      </c>
      <c r="G1052" s="144"/>
      <c r="H1052" s="144"/>
      <c r="I1052" s="144">
        <f t="shared" si="241"/>
        <v>-121.44</v>
      </c>
      <c r="J1052" s="145"/>
      <c r="K1052" s="146">
        <v>361291</v>
      </c>
      <c r="L1052" s="145">
        <f>+ROUND(K1052*E1052,0)</f>
        <v>0</v>
      </c>
      <c r="M1052" s="147">
        <f>+ROUND(F1052*K1052,0)</f>
        <v>-43875179</v>
      </c>
      <c r="N1052" s="146">
        <f>+ROUND(G1052*K1052,0)</f>
        <v>0</v>
      </c>
      <c r="O1052" s="146">
        <f>+ROUND(H1052*K1052,0)</f>
        <v>0</v>
      </c>
      <c r="P1052" s="146">
        <f t="shared" si="240"/>
        <v>-43875179</v>
      </c>
      <c r="Q1052" s="100"/>
      <c r="R1052" s="117"/>
      <c r="S1052" t="s">
        <v>2180</v>
      </c>
    </row>
    <row r="1053" spans="1:19" x14ac:dyDescent="0.25">
      <c r="A1053" s="48" t="str">
        <f>A1051</f>
        <v>HT</v>
      </c>
      <c r="B1053" s="32" t="s">
        <v>1323</v>
      </c>
      <c r="C1053" s="39" t="s">
        <v>366</v>
      </c>
      <c r="D1053" s="13" t="s">
        <v>13</v>
      </c>
      <c r="E1053" s="123">
        <v>3643.24</v>
      </c>
      <c r="F1053" s="150"/>
      <c r="G1053" s="125"/>
      <c r="H1053" s="125"/>
      <c r="I1053" s="125">
        <f t="shared" si="241"/>
        <v>3643.24</v>
      </c>
      <c r="J1053" s="62">
        <f>'BIỂU HỢP ĐỒNG'!J957</f>
        <v>76805</v>
      </c>
      <c r="K1053" s="43"/>
      <c r="L1053" s="62">
        <f>+ROUND(J1053*E1053,0)</f>
        <v>279819048</v>
      </c>
      <c r="M1053" s="138">
        <f>+ROUND(F1053*J1053,0)</f>
        <v>0</v>
      </c>
      <c r="N1053" s="43">
        <f>+ROUND(G1053*J1053,0)</f>
        <v>0</v>
      </c>
      <c r="O1053" s="43">
        <f>+ROUND(H1053*J1053,0)</f>
        <v>0</v>
      </c>
      <c r="P1053" s="43">
        <f t="shared" si="240"/>
        <v>279819048</v>
      </c>
      <c r="Q1053" s="100"/>
      <c r="R1053" s="117"/>
    </row>
    <row r="1054" spans="1:19" x14ac:dyDescent="0.25">
      <c r="A1054" s="48" t="str">
        <f>A1053</f>
        <v>HT</v>
      </c>
      <c r="B1054" s="140" t="s">
        <v>2181</v>
      </c>
      <c r="C1054" s="141" t="s">
        <v>366</v>
      </c>
      <c r="D1054" s="142" t="s">
        <v>13</v>
      </c>
      <c r="E1054" s="143"/>
      <c r="F1054" s="143">
        <v>-266.25851999999998</v>
      </c>
      <c r="G1054" s="144"/>
      <c r="H1054" s="144"/>
      <c r="I1054" s="144">
        <f t="shared" si="241"/>
        <v>-266.25851999999998</v>
      </c>
      <c r="J1054" s="145"/>
      <c r="K1054" s="146">
        <v>335812</v>
      </c>
      <c r="L1054" s="145">
        <f>+ROUND(K1054*E1054,0)</f>
        <v>0</v>
      </c>
      <c r="M1054" s="147">
        <f>+ROUND(F1054*K1054,0)</f>
        <v>-89412806</v>
      </c>
      <c r="N1054" s="146">
        <f>+ROUND(G1054*K1054,0)</f>
        <v>0</v>
      </c>
      <c r="O1054" s="146">
        <f>+ROUND(H1054*K1054,0)</f>
        <v>0</v>
      </c>
      <c r="P1054" s="146">
        <f t="shared" si="240"/>
        <v>-89412806</v>
      </c>
      <c r="Q1054" s="100"/>
      <c r="R1054" s="117"/>
      <c r="S1054" t="s">
        <v>2182</v>
      </c>
    </row>
    <row r="1055" spans="1:19" ht="31.5" customHeight="1" x14ac:dyDescent="0.25">
      <c r="A1055" s="48" t="str">
        <f>A1053</f>
        <v>HT</v>
      </c>
      <c r="B1055" s="32" t="s">
        <v>1324</v>
      </c>
      <c r="C1055" s="39" t="s">
        <v>368</v>
      </c>
      <c r="D1055" s="13" t="s">
        <v>16</v>
      </c>
      <c r="E1055" s="123">
        <v>30.54</v>
      </c>
      <c r="F1055" s="150">
        <v>-4.1919399999999998</v>
      </c>
      <c r="G1055" s="125"/>
      <c r="H1055" s="125"/>
      <c r="I1055" s="125">
        <f t="shared" si="241"/>
        <v>26.34806</v>
      </c>
      <c r="J1055" s="62">
        <f>'BIỂU HỢP ĐỒNG'!J958</f>
        <v>1887933</v>
      </c>
      <c r="K1055" s="43"/>
      <c r="L1055" s="62">
        <f>+ROUND(J1055*E1055,0)</f>
        <v>57657474</v>
      </c>
      <c r="M1055" s="138">
        <f>+ROUND(F1055*J1055,0)</f>
        <v>-7914102</v>
      </c>
      <c r="N1055" s="43">
        <f>+ROUND(G1055*J1055,0)</f>
        <v>0</v>
      </c>
      <c r="O1055" s="43">
        <f>+ROUND(H1055*J1055,0)</f>
        <v>0</v>
      </c>
      <c r="P1055" s="43">
        <f t="shared" si="240"/>
        <v>49743372</v>
      </c>
      <c r="Q1055" s="100"/>
      <c r="R1055" s="117"/>
      <c r="S1055" t="s">
        <v>2183</v>
      </c>
    </row>
    <row r="1056" spans="1:19" x14ac:dyDescent="0.25">
      <c r="A1056" s="48" t="str">
        <f>A1055</f>
        <v>HT</v>
      </c>
      <c r="B1056" s="32" t="s">
        <v>1325</v>
      </c>
      <c r="C1056" s="39" t="s">
        <v>125</v>
      </c>
      <c r="D1056" s="13" t="s">
        <v>13</v>
      </c>
      <c r="E1056" s="123">
        <v>149.19999999999999</v>
      </c>
      <c r="F1056" s="150">
        <f>(-13.7295)+3.168</f>
        <v>-10.561499999999999</v>
      </c>
      <c r="G1056" s="125"/>
      <c r="H1056" s="125"/>
      <c r="I1056" s="125">
        <f t="shared" si="241"/>
        <v>138.63849999999999</v>
      </c>
      <c r="J1056" s="62">
        <f>'BIỂU HỢP ĐỒNG'!J959</f>
        <v>103945</v>
      </c>
      <c r="K1056" s="43"/>
      <c r="L1056" s="62">
        <f>+ROUND(J1056*E1056,0)</f>
        <v>15508594</v>
      </c>
      <c r="M1056" s="138">
        <f>+ROUND(F1056*J1056,0)</f>
        <v>-1097815</v>
      </c>
      <c r="N1056" s="43">
        <f>+ROUND(G1056*J1056,0)</f>
        <v>0</v>
      </c>
      <c r="O1056" s="43">
        <f>+ROUND(H1056*J1056,0)</f>
        <v>0</v>
      </c>
      <c r="P1056" s="43">
        <f t="shared" si="240"/>
        <v>14410779</v>
      </c>
      <c r="Q1056" s="100"/>
      <c r="R1056" s="117"/>
      <c r="S1056" t="s">
        <v>2184</v>
      </c>
    </row>
    <row r="1057" spans="1:19" ht="31.5" customHeight="1" x14ac:dyDescent="0.25">
      <c r="A1057" s="48" t="str">
        <f>A1056</f>
        <v>HT</v>
      </c>
      <c r="B1057" s="32" t="s">
        <v>1326</v>
      </c>
      <c r="C1057" s="39" t="s">
        <v>368</v>
      </c>
      <c r="D1057" s="13" t="s">
        <v>16</v>
      </c>
      <c r="E1057" s="123">
        <v>35</v>
      </c>
      <c r="F1057" s="136"/>
      <c r="G1057" s="125"/>
      <c r="H1057" s="125"/>
      <c r="I1057" s="125">
        <f t="shared" si="241"/>
        <v>35</v>
      </c>
      <c r="J1057" s="62">
        <f>'BIỂU HỢP ĐỒNG'!J960</f>
        <v>1887933</v>
      </c>
      <c r="K1057" s="43"/>
      <c r="L1057" s="62">
        <f>+ROUND(J1057*E1057,0)</f>
        <v>66077655</v>
      </c>
      <c r="M1057" s="138">
        <f>+ROUND(F1057*J1057,0)</f>
        <v>0</v>
      </c>
      <c r="N1057" s="43">
        <f>+ROUND(G1057*J1057,0)</f>
        <v>0</v>
      </c>
      <c r="O1057" s="43">
        <f>+ROUND(H1057*J1057,0)</f>
        <v>0</v>
      </c>
      <c r="P1057" s="43">
        <f t="shared" si="240"/>
        <v>66077655</v>
      </c>
      <c r="Q1057" s="100"/>
      <c r="R1057" s="117"/>
    </row>
    <row r="1058" spans="1:19" x14ac:dyDescent="0.25">
      <c r="A1058" s="48" t="str">
        <f>A1057</f>
        <v>HT</v>
      </c>
      <c r="B1058" s="32" t="s">
        <v>1327</v>
      </c>
      <c r="C1058" s="39" t="s">
        <v>125</v>
      </c>
      <c r="D1058" s="13" t="s">
        <v>13</v>
      </c>
      <c r="E1058" s="123">
        <v>124.74</v>
      </c>
      <c r="F1058" s="136"/>
      <c r="G1058" s="125"/>
      <c r="H1058" s="125"/>
      <c r="I1058" s="125">
        <f t="shared" si="241"/>
        <v>124.74</v>
      </c>
      <c r="J1058" s="62">
        <f>'BIỂU HỢP ĐỒNG'!J961</f>
        <v>103945</v>
      </c>
      <c r="K1058" s="43"/>
      <c r="L1058" s="62">
        <f>+ROUND(J1058*E1058,0)</f>
        <v>12966099</v>
      </c>
      <c r="M1058" s="138">
        <f>+ROUND(F1058*J1058,0)</f>
        <v>0</v>
      </c>
      <c r="N1058" s="43">
        <f>+ROUND(G1058*J1058,0)</f>
        <v>0</v>
      </c>
      <c r="O1058" s="43">
        <f>+ROUND(H1058*J1058,0)</f>
        <v>0</v>
      </c>
      <c r="P1058" s="43">
        <f t="shared" si="240"/>
        <v>12966099</v>
      </c>
      <c r="Q1058" s="100"/>
      <c r="R1058" s="117"/>
    </row>
    <row r="1059" spans="1:19" ht="47.25" customHeight="1" x14ac:dyDescent="0.25">
      <c r="A1059" s="48" t="str">
        <f>A1058</f>
        <v>HT</v>
      </c>
      <c r="B1059" s="32" t="s">
        <v>1328</v>
      </c>
      <c r="C1059" s="39" t="s">
        <v>926</v>
      </c>
      <c r="D1059" s="13" t="s">
        <v>16</v>
      </c>
      <c r="E1059" s="123">
        <v>84.9</v>
      </c>
      <c r="F1059" s="150"/>
      <c r="G1059" s="125"/>
      <c r="H1059" s="125"/>
      <c r="I1059" s="125">
        <f t="shared" si="241"/>
        <v>84.9</v>
      </c>
      <c r="J1059" s="62">
        <f>'BIỂU HỢP ĐỒNG'!J962</f>
        <v>1405969</v>
      </c>
      <c r="K1059" s="43"/>
      <c r="L1059" s="62">
        <f>+ROUND(J1059*E1059,0)</f>
        <v>119366768</v>
      </c>
      <c r="M1059" s="138">
        <f>+ROUND(F1059*J1059,0)</f>
        <v>0</v>
      </c>
      <c r="N1059" s="43">
        <f>+ROUND(G1059*J1059,0)</f>
        <v>0</v>
      </c>
      <c r="O1059" s="43">
        <f>+ROUND(H1059*J1059,0)</f>
        <v>0</v>
      </c>
      <c r="P1059" s="43">
        <f t="shared" si="240"/>
        <v>119366768</v>
      </c>
      <c r="Q1059" s="100"/>
      <c r="R1059" s="117"/>
    </row>
    <row r="1060" spans="1:19" ht="31.5" x14ac:dyDescent="0.25">
      <c r="A1060" s="48" t="str">
        <f>A1059</f>
        <v>HT</v>
      </c>
      <c r="B1060" s="140" t="s">
        <v>2185</v>
      </c>
      <c r="C1060" s="141" t="s">
        <v>357</v>
      </c>
      <c r="D1060" s="142" t="s">
        <v>16</v>
      </c>
      <c r="E1060" s="143"/>
      <c r="F1060" s="143">
        <f>(-7.82575)+9</f>
        <v>1.1742499999999998</v>
      </c>
      <c r="G1060" s="144"/>
      <c r="H1060" s="144"/>
      <c r="I1060" s="144">
        <f t="shared" si="241"/>
        <v>1.1742499999999998</v>
      </c>
      <c r="J1060" s="145"/>
      <c r="K1060" s="146">
        <v>1405969</v>
      </c>
      <c r="L1060" s="145">
        <f>+ROUND(K1060*E1060,0)</f>
        <v>0</v>
      </c>
      <c r="M1060" s="147">
        <f>+ROUND(F1060*K1060,0)</f>
        <v>1650959</v>
      </c>
      <c r="N1060" s="146">
        <f>+ROUND(G1060*K1060,0)</f>
        <v>0</v>
      </c>
      <c r="O1060" s="146">
        <f>+ROUND(H1060*K1060,0)</f>
        <v>0</v>
      </c>
      <c r="P1060" s="146">
        <f t="shared" ref="P1060:P1083" si="246">SUM(L1060:O1060)</f>
        <v>1650959</v>
      </c>
      <c r="Q1060" s="100"/>
      <c r="R1060" s="117"/>
      <c r="S1060" t="s">
        <v>2186</v>
      </c>
    </row>
    <row r="1061" spans="1:19" ht="31.5" customHeight="1" x14ac:dyDescent="0.25">
      <c r="A1061" s="48" t="str">
        <f>A1059</f>
        <v>HT</v>
      </c>
      <c r="B1061" s="32" t="s">
        <v>1329</v>
      </c>
      <c r="C1061" s="39" t="s">
        <v>240</v>
      </c>
      <c r="D1061" s="13" t="s">
        <v>16</v>
      </c>
      <c r="E1061" s="123">
        <v>6.4</v>
      </c>
      <c r="F1061" s="150">
        <f>(-1.0363)+88.79574+37.44759+3.84</f>
        <v>129.04703000000001</v>
      </c>
      <c r="G1061" s="125"/>
      <c r="H1061" s="125"/>
      <c r="I1061" s="125">
        <f t="shared" si="241"/>
        <v>135.44703000000001</v>
      </c>
      <c r="J1061" s="62">
        <f>'BIỂU HỢP ĐỒNG'!J963</f>
        <v>851305</v>
      </c>
      <c r="K1061" s="43"/>
      <c r="L1061" s="62">
        <f t="shared" ref="L1061:L1066" si="247">+ROUND(J1061*E1061,0)</f>
        <v>5448352</v>
      </c>
      <c r="M1061" s="138">
        <f t="shared" ref="M1061:M1066" si="248">+ROUND(F1061*J1061,0)</f>
        <v>109858382</v>
      </c>
      <c r="N1061" s="43">
        <f t="shared" ref="N1061:N1066" si="249">+ROUND(G1061*J1061,0)</f>
        <v>0</v>
      </c>
      <c r="O1061" s="43">
        <f t="shared" ref="O1061:O1066" si="250">+ROUND(H1061*J1061,0)</f>
        <v>0</v>
      </c>
      <c r="P1061" s="43">
        <f t="shared" si="246"/>
        <v>115306734</v>
      </c>
      <c r="Q1061" s="100"/>
      <c r="R1061" s="117"/>
      <c r="S1061" t="s">
        <v>2187</v>
      </c>
    </row>
    <row r="1062" spans="1:19" x14ac:dyDescent="0.25">
      <c r="A1062" s="48" t="str">
        <f t="shared" ref="A1062:A1067" si="251">A1061</f>
        <v>HT</v>
      </c>
      <c r="B1062" s="32" t="s">
        <v>1330</v>
      </c>
      <c r="C1062" s="39" t="s">
        <v>125</v>
      </c>
      <c r="D1062" s="13" t="s">
        <v>13</v>
      </c>
      <c r="E1062" s="123">
        <v>188.12</v>
      </c>
      <c r="F1062" s="150">
        <f>(-21.6565)+0.39524</f>
        <v>-21.26126</v>
      </c>
      <c r="G1062" s="125"/>
      <c r="H1062" s="125"/>
      <c r="I1062" s="125">
        <f t="shared" si="241"/>
        <v>166.85874000000001</v>
      </c>
      <c r="J1062" s="62">
        <f>'BIỂU HỢP ĐỒNG'!J964</f>
        <v>103945</v>
      </c>
      <c r="K1062" s="43"/>
      <c r="L1062" s="62">
        <f t="shared" si="247"/>
        <v>19554133</v>
      </c>
      <c r="M1062" s="138">
        <f t="shared" si="248"/>
        <v>-2210002</v>
      </c>
      <c r="N1062" s="43">
        <f t="shared" si="249"/>
        <v>0</v>
      </c>
      <c r="O1062" s="43">
        <f t="shared" si="250"/>
        <v>0</v>
      </c>
      <c r="P1062" s="43">
        <f t="shared" si="246"/>
        <v>17344131</v>
      </c>
      <c r="Q1062" s="100"/>
      <c r="R1062" s="117"/>
      <c r="S1062" t="s">
        <v>2188</v>
      </c>
    </row>
    <row r="1063" spans="1:19" ht="47.25" customHeight="1" x14ac:dyDescent="0.25">
      <c r="A1063" s="48" t="str">
        <f t="shared" si="251"/>
        <v>HT</v>
      </c>
      <c r="B1063" s="32" t="s">
        <v>1331</v>
      </c>
      <c r="C1063" s="39" t="s">
        <v>926</v>
      </c>
      <c r="D1063" s="13" t="s">
        <v>16</v>
      </c>
      <c r="E1063" s="123">
        <v>73.33</v>
      </c>
      <c r="F1063" s="136"/>
      <c r="G1063" s="125"/>
      <c r="H1063" s="125"/>
      <c r="I1063" s="125">
        <f t="shared" si="241"/>
        <v>73.33</v>
      </c>
      <c r="J1063" s="62">
        <f>'BIỂU HỢP ĐỒNG'!J965</f>
        <v>1405969</v>
      </c>
      <c r="K1063" s="43"/>
      <c r="L1063" s="62">
        <f t="shared" si="247"/>
        <v>103099707</v>
      </c>
      <c r="M1063" s="138">
        <f t="shared" si="248"/>
        <v>0</v>
      </c>
      <c r="N1063" s="43">
        <f t="shared" si="249"/>
        <v>0</v>
      </c>
      <c r="O1063" s="43">
        <f t="shared" si="250"/>
        <v>0</v>
      </c>
      <c r="P1063" s="43">
        <f t="shared" si="246"/>
        <v>103099707</v>
      </c>
      <c r="Q1063" s="100"/>
      <c r="R1063" s="117"/>
    </row>
    <row r="1064" spans="1:19" ht="31.5" customHeight="1" x14ac:dyDescent="0.25">
      <c r="A1064" s="48" t="str">
        <f t="shared" si="251"/>
        <v>HT</v>
      </c>
      <c r="B1064" s="32" t="s">
        <v>1332</v>
      </c>
      <c r="C1064" s="39" t="s">
        <v>240</v>
      </c>
      <c r="D1064" s="13" t="s">
        <v>16</v>
      </c>
      <c r="E1064" s="123">
        <v>10.92</v>
      </c>
      <c r="F1064" s="136"/>
      <c r="G1064" s="125"/>
      <c r="H1064" s="125"/>
      <c r="I1064" s="125">
        <f t="shared" si="241"/>
        <v>10.92</v>
      </c>
      <c r="J1064" s="62">
        <f>'BIỂU HỢP ĐỒNG'!J966</f>
        <v>851305</v>
      </c>
      <c r="K1064" s="43"/>
      <c r="L1064" s="62">
        <f t="shared" si="247"/>
        <v>9296251</v>
      </c>
      <c r="M1064" s="138">
        <f t="shared" si="248"/>
        <v>0</v>
      </c>
      <c r="N1064" s="43">
        <f t="shared" si="249"/>
        <v>0</v>
      </c>
      <c r="O1064" s="43">
        <f t="shared" si="250"/>
        <v>0</v>
      </c>
      <c r="P1064" s="43">
        <f t="shared" si="246"/>
        <v>9296251</v>
      </c>
      <c r="Q1064" s="100"/>
      <c r="R1064" s="117"/>
    </row>
    <row r="1065" spans="1:19" x14ac:dyDescent="0.25">
      <c r="A1065" s="48" t="str">
        <f t="shared" si="251"/>
        <v>HT</v>
      </c>
      <c r="B1065" s="32" t="s">
        <v>1333</v>
      </c>
      <c r="C1065" s="39" t="s">
        <v>125</v>
      </c>
      <c r="D1065" s="13" t="s">
        <v>13</v>
      </c>
      <c r="E1065" s="123">
        <v>199.74</v>
      </c>
      <c r="F1065" s="136"/>
      <c r="G1065" s="125"/>
      <c r="H1065" s="125"/>
      <c r="I1065" s="125">
        <f t="shared" si="241"/>
        <v>199.74</v>
      </c>
      <c r="J1065" s="62">
        <f>'BIỂU HỢP ĐỒNG'!J967</f>
        <v>103945</v>
      </c>
      <c r="K1065" s="43"/>
      <c r="L1065" s="62">
        <f t="shared" si="247"/>
        <v>20761974</v>
      </c>
      <c r="M1065" s="138">
        <f t="shared" si="248"/>
        <v>0</v>
      </c>
      <c r="N1065" s="43">
        <f t="shared" si="249"/>
        <v>0</v>
      </c>
      <c r="O1065" s="43">
        <f t="shared" si="250"/>
        <v>0</v>
      </c>
      <c r="P1065" s="43">
        <f t="shared" si="246"/>
        <v>20761974</v>
      </c>
      <c r="Q1065" s="100"/>
      <c r="R1065" s="117"/>
    </row>
    <row r="1066" spans="1:19" x14ac:dyDescent="0.25">
      <c r="A1066" s="48" t="str">
        <f t="shared" si="251"/>
        <v>HT</v>
      </c>
      <c r="B1066" s="32" t="s">
        <v>1334</v>
      </c>
      <c r="C1066" s="39" t="s">
        <v>933</v>
      </c>
      <c r="D1066" s="13" t="s">
        <v>16</v>
      </c>
      <c r="E1066" s="123">
        <v>51</v>
      </c>
      <c r="F1066" s="150"/>
      <c r="G1066" s="125"/>
      <c r="H1066" s="125"/>
      <c r="I1066" s="125">
        <f t="shared" si="241"/>
        <v>51</v>
      </c>
      <c r="J1066" s="62">
        <f>'BIỂU HỢP ĐỒNG'!J968</f>
        <v>1339251</v>
      </c>
      <c r="K1066" s="43"/>
      <c r="L1066" s="62">
        <f t="shared" si="247"/>
        <v>68301801</v>
      </c>
      <c r="M1066" s="138">
        <f t="shared" si="248"/>
        <v>0</v>
      </c>
      <c r="N1066" s="43">
        <f t="shared" si="249"/>
        <v>0</v>
      </c>
      <c r="O1066" s="43">
        <f t="shared" si="250"/>
        <v>0</v>
      </c>
      <c r="P1066" s="43">
        <f t="shared" si="246"/>
        <v>68301801</v>
      </c>
      <c r="Q1066" s="100"/>
      <c r="R1066" s="117"/>
    </row>
    <row r="1067" spans="1:19" s="22" customFormat="1" x14ac:dyDescent="0.25">
      <c r="A1067" s="48" t="str">
        <f t="shared" si="251"/>
        <v>HT</v>
      </c>
      <c r="B1067" s="140" t="s">
        <v>2189</v>
      </c>
      <c r="C1067" s="141" t="s">
        <v>2190</v>
      </c>
      <c r="D1067" s="142" t="s">
        <v>16</v>
      </c>
      <c r="E1067" s="143"/>
      <c r="F1067" s="143">
        <v>-5.21835</v>
      </c>
      <c r="G1067" s="144"/>
      <c r="H1067" s="144"/>
      <c r="I1067" s="144">
        <f t="shared" si="241"/>
        <v>-5.21835</v>
      </c>
      <c r="J1067" s="145"/>
      <c r="K1067" s="146">
        <v>1339251</v>
      </c>
      <c r="L1067" s="145">
        <f>+ROUND(K1067*E1067,0)</f>
        <v>0</v>
      </c>
      <c r="M1067" s="147">
        <f>+ROUND(F1067*K1067,0)</f>
        <v>-6988680</v>
      </c>
      <c r="N1067" s="146">
        <f>+ROUND(G1067*K1067,0)</f>
        <v>0</v>
      </c>
      <c r="O1067" s="146">
        <f>+ROUND(H1067*K1067,0)</f>
        <v>0</v>
      </c>
      <c r="P1067" s="146">
        <f t="shared" si="246"/>
        <v>-6988680</v>
      </c>
      <c r="Q1067" s="100"/>
      <c r="R1067" s="117"/>
      <c r="S1067" t="s">
        <v>2191</v>
      </c>
    </row>
    <row r="1068" spans="1:19" ht="31.5" customHeight="1" x14ac:dyDescent="0.25">
      <c r="A1068" s="48" t="str">
        <f>A1066</f>
        <v>HT</v>
      </c>
      <c r="B1068" s="32" t="s">
        <v>1335</v>
      </c>
      <c r="C1068" s="39" t="s">
        <v>240</v>
      </c>
      <c r="D1068" s="13" t="s">
        <v>16</v>
      </c>
      <c r="E1068" s="123">
        <v>20.399999999999999</v>
      </c>
      <c r="F1068" s="150">
        <f>(-2.08734)+1.62</f>
        <v>-0.46734000000000009</v>
      </c>
      <c r="G1068" s="125"/>
      <c r="H1068" s="125"/>
      <c r="I1068" s="125">
        <f t="shared" si="241"/>
        <v>19.932659999999998</v>
      </c>
      <c r="J1068" s="62">
        <f>'BIỂU HỢP ĐỒNG'!J969</f>
        <v>851305</v>
      </c>
      <c r="K1068" s="43"/>
      <c r="L1068" s="62">
        <f>+ROUND(J1068*E1068,0)</f>
        <v>17366622</v>
      </c>
      <c r="M1068" s="138">
        <f>+ROUND(F1068*J1068,0)</f>
        <v>-397849</v>
      </c>
      <c r="N1068" s="43">
        <f>+ROUND(G1068*J1068,0)</f>
        <v>0</v>
      </c>
      <c r="O1068" s="43">
        <f>+ROUND(H1068*J1068,0)</f>
        <v>0</v>
      </c>
      <c r="P1068" s="43">
        <f t="shared" si="246"/>
        <v>16968773</v>
      </c>
      <c r="Q1068" s="100"/>
      <c r="R1068" s="117"/>
      <c r="S1068" t="s">
        <v>2192</v>
      </c>
    </row>
    <row r="1069" spans="1:19" x14ac:dyDescent="0.25">
      <c r="A1069" s="48" t="str">
        <f>A1068</f>
        <v>HT</v>
      </c>
      <c r="B1069" s="32" t="s">
        <v>1336</v>
      </c>
      <c r="C1069" s="39" t="s">
        <v>933</v>
      </c>
      <c r="D1069" s="13" t="s">
        <v>16</v>
      </c>
      <c r="E1069" s="123">
        <v>83.7</v>
      </c>
      <c r="F1069" s="150"/>
      <c r="G1069" s="125"/>
      <c r="H1069" s="125"/>
      <c r="I1069" s="125">
        <f t="shared" ref="I1069:I1083" si="252">SUM(E1069:H1069)</f>
        <v>83.7</v>
      </c>
      <c r="J1069" s="62">
        <f>'BIỂU HỢP ĐỒNG'!J970</f>
        <v>1305918</v>
      </c>
      <c r="K1069" s="43"/>
      <c r="L1069" s="62">
        <f>+ROUND(J1069*E1069,0)</f>
        <v>109305337</v>
      </c>
      <c r="M1069" s="138">
        <f>+ROUND(F1069*J1069,0)</f>
        <v>0</v>
      </c>
      <c r="N1069" s="43">
        <f>+ROUND(G1069*J1069,0)</f>
        <v>0</v>
      </c>
      <c r="O1069" s="43">
        <f>+ROUND(H1069*J1069,0)</f>
        <v>0</v>
      </c>
      <c r="P1069" s="43">
        <f t="shared" si="246"/>
        <v>109305337</v>
      </c>
      <c r="Q1069" s="100"/>
      <c r="R1069" s="117"/>
    </row>
    <row r="1070" spans="1:19" x14ac:dyDescent="0.25">
      <c r="A1070" s="48" t="str">
        <f>A1069</f>
        <v>HT</v>
      </c>
      <c r="B1070" s="32" t="s">
        <v>1337</v>
      </c>
      <c r="C1070" s="39" t="s">
        <v>937</v>
      </c>
      <c r="D1070" s="13" t="s">
        <v>16</v>
      </c>
      <c r="E1070" s="123">
        <v>42.9</v>
      </c>
      <c r="F1070" s="150"/>
      <c r="G1070" s="125"/>
      <c r="H1070" s="125"/>
      <c r="I1070" s="125">
        <f t="shared" si="252"/>
        <v>42.9</v>
      </c>
      <c r="J1070" s="62">
        <f>'BIỂU HỢP ĐỒNG'!J971</f>
        <v>672112</v>
      </c>
      <c r="K1070" s="43"/>
      <c r="L1070" s="62">
        <f>+ROUND(J1070*E1070,0)</f>
        <v>28833605</v>
      </c>
      <c r="M1070" s="138">
        <f>+ROUND(F1070*J1070,0)</f>
        <v>0</v>
      </c>
      <c r="N1070" s="43">
        <f>+ROUND(G1070*J1070,0)</f>
        <v>0</v>
      </c>
      <c r="O1070" s="43">
        <f>+ROUND(H1070*J1070,0)</f>
        <v>0</v>
      </c>
      <c r="P1070" s="43">
        <f t="shared" si="246"/>
        <v>28833605</v>
      </c>
      <c r="Q1070" s="100"/>
      <c r="R1070" s="117"/>
    </row>
    <row r="1071" spans="1:19" ht="31.5" customHeight="1" x14ac:dyDescent="0.25">
      <c r="A1071" s="48" t="str">
        <f>A1070</f>
        <v>HT</v>
      </c>
      <c r="B1071" s="32" t="s">
        <v>1338</v>
      </c>
      <c r="C1071" s="39" t="s">
        <v>240</v>
      </c>
      <c r="D1071" s="13" t="s">
        <v>16</v>
      </c>
      <c r="E1071" s="123">
        <v>27.3</v>
      </c>
      <c r="F1071" s="150"/>
      <c r="G1071" s="125"/>
      <c r="H1071" s="125"/>
      <c r="I1071" s="125">
        <f t="shared" si="252"/>
        <v>27.3</v>
      </c>
      <c r="J1071" s="62">
        <f>'BIỂU HỢP ĐỒNG'!J972</f>
        <v>851305</v>
      </c>
      <c r="K1071" s="43"/>
      <c r="L1071" s="62">
        <f>+ROUND(J1071*E1071,0)</f>
        <v>23240627</v>
      </c>
      <c r="M1071" s="138">
        <f>+ROUND(F1071*J1071,0)</f>
        <v>0</v>
      </c>
      <c r="N1071" s="43">
        <f>+ROUND(G1071*J1071,0)</f>
        <v>0</v>
      </c>
      <c r="O1071" s="43">
        <f>+ROUND(H1071*J1071,0)</f>
        <v>0</v>
      </c>
      <c r="P1071" s="43">
        <f t="shared" si="246"/>
        <v>23240627</v>
      </c>
      <c r="Q1071" s="100"/>
      <c r="R1071" s="117"/>
    </row>
    <row r="1072" spans="1:19" x14ac:dyDescent="0.25">
      <c r="A1072" s="48" t="str">
        <f>A1071</f>
        <v>HT</v>
      </c>
      <c r="B1072" s="32" t="s">
        <v>1339</v>
      </c>
      <c r="C1072" s="39" t="s">
        <v>319</v>
      </c>
      <c r="D1072" s="13" t="s">
        <v>16</v>
      </c>
      <c r="E1072" s="123">
        <v>11.09</v>
      </c>
      <c r="F1072" s="150"/>
      <c r="G1072" s="125"/>
      <c r="H1072" s="125"/>
      <c r="I1072" s="125">
        <f t="shared" si="252"/>
        <v>11.09</v>
      </c>
      <c r="J1072" s="62">
        <f>'BIỂU HỢP ĐỒNG'!J973</f>
        <v>1568156</v>
      </c>
      <c r="K1072" s="43"/>
      <c r="L1072" s="62">
        <f>+ROUND(J1072*E1072,0)</f>
        <v>17390850</v>
      </c>
      <c r="M1072" s="138">
        <f>+ROUND(F1072*J1072,0)</f>
        <v>0</v>
      </c>
      <c r="N1072" s="43">
        <f>+ROUND(G1072*J1072,0)</f>
        <v>0</v>
      </c>
      <c r="O1072" s="43">
        <f>+ROUND(H1072*J1072,0)</f>
        <v>0</v>
      </c>
      <c r="P1072" s="43">
        <f t="shared" si="246"/>
        <v>17390850</v>
      </c>
      <c r="Q1072" s="100"/>
      <c r="R1072" s="117"/>
    </row>
    <row r="1073" spans="1:19" x14ac:dyDescent="0.25">
      <c r="A1073" s="48" t="str">
        <f>A1072</f>
        <v>HT</v>
      </c>
      <c r="B1073" s="140" t="s">
        <v>2193</v>
      </c>
      <c r="C1073" s="141" t="s">
        <v>2194</v>
      </c>
      <c r="D1073" s="142" t="s">
        <v>16</v>
      </c>
      <c r="E1073" s="143"/>
      <c r="F1073" s="143">
        <v>-2.1480000000000001</v>
      </c>
      <c r="G1073" s="144"/>
      <c r="H1073" s="144"/>
      <c r="I1073" s="144">
        <f t="shared" si="252"/>
        <v>-2.1480000000000001</v>
      </c>
      <c r="J1073" s="145"/>
      <c r="K1073" s="146">
        <v>1405969</v>
      </c>
      <c r="L1073" s="145">
        <f>+ROUND(K1073*E1073,0)</f>
        <v>0</v>
      </c>
      <c r="M1073" s="147">
        <f>+ROUND(F1073*K1073,0)</f>
        <v>-3020021</v>
      </c>
      <c r="N1073" s="146">
        <f>+ROUND(G1073*K1073,0)</f>
        <v>0</v>
      </c>
      <c r="O1073" s="146">
        <f>+ROUND(H1073*K1073,0)</f>
        <v>0</v>
      </c>
      <c r="P1073" s="146">
        <f t="shared" si="246"/>
        <v>-3020021</v>
      </c>
      <c r="Q1073" s="100"/>
      <c r="R1073" s="117"/>
      <c r="S1073" t="s">
        <v>2195</v>
      </c>
    </row>
    <row r="1074" spans="1:19" x14ac:dyDescent="0.25">
      <c r="A1074" s="48" t="str">
        <f>A1072</f>
        <v>HT</v>
      </c>
      <c r="B1074" s="32" t="s">
        <v>1340</v>
      </c>
      <c r="C1074" s="39" t="s">
        <v>125</v>
      </c>
      <c r="D1074" s="13" t="s">
        <v>13</v>
      </c>
      <c r="E1074" s="123">
        <v>18.920000000000002</v>
      </c>
      <c r="F1074" s="150"/>
      <c r="G1074" s="125"/>
      <c r="H1074" s="125"/>
      <c r="I1074" s="125">
        <f t="shared" si="252"/>
        <v>18.920000000000002</v>
      </c>
      <c r="J1074" s="62">
        <f>'BIỂU HỢP ĐỒNG'!J974</f>
        <v>103945</v>
      </c>
      <c r="K1074" s="43"/>
      <c r="L1074" s="62">
        <f t="shared" ref="L1074:L1083" si="253">+ROUND(J1074*E1074,0)</f>
        <v>1966639</v>
      </c>
      <c r="M1074" s="138">
        <f t="shared" ref="M1074:M1083" si="254">+ROUND(F1074*J1074,0)</f>
        <v>0</v>
      </c>
      <c r="N1074" s="43">
        <f t="shared" ref="N1074:N1083" si="255">+ROUND(G1074*J1074,0)</f>
        <v>0</v>
      </c>
      <c r="O1074" s="43">
        <f t="shared" ref="O1074:O1083" si="256">+ROUND(H1074*J1074,0)</f>
        <v>0</v>
      </c>
      <c r="P1074" s="43">
        <f t="shared" si="246"/>
        <v>1966639</v>
      </c>
      <c r="Q1074" s="100"/>
      <c r="R1074" s="117"/>
    </row>
    <row r="1075" spans="1:19" ht="31.5" customHeight="1" x14ac:dyDescent="0.25">
      <c r="A1075" s="48" t="str">
        <f t="shared" ref="A1075:A1106" si="257">A1074</f>
        <v>HT</v>
      </c>
      <c r="B1075" s="32" t="s">
        <v>1341</v>
      </c>
      <c r="C1075" s="39" t="s">
        <v>240</v>
      </c>
      <c r="D1075" s="13" t="s">
        <v>16</v>
      </c>
      <c r="E1075" s="123">
        <v>5.49</v>
      </c>
      <c r="F1075" s="150">
        <v>-1.2524999999999999</v>
      </c>
      <c r="G1075" s="125"/>
      <c r="H1075" s="125"/>
      <c r="I1075" s="125">
        <f t="shared" si="252"/>
        <v>4.2375000000000007</v>
      </c>
      <c r="J1075" s="62">
        <f>'BIỂU HỢP ĐỒNG'!J975</f>
        <v>851305</v>
      </c>
      <c r="K1075" s="43"/>
      <c r="L1075" s="62">
        <f t="shared" si="253"/>
        <v>4673664</v>
      </c>
      <c r="M1075" s="138">
        <f t="shared" si="254"/>
        <v>-1066260</v>
      </c>
      <c r="N1075" s="43">
        <f t="shared" si="255"/>
        <v>0</v>
      </c>
      <c r="O1075" s="43">
        <f t="shared" si="256"/>
        <v>0</v>
      </c>
      <c r="P1075" s="43">
        <f t="shared" si="246"/>
        <v>3607404</v>
      </c>
      <c r="Q1075" s="100"/>
      <c r="R1075" s="117"/>
      <c r="S1075" t="s">
        <v>2196</v>
      </c>
    </row>
    <row r="1076" spans="1:19" x14ac:dyDescent="0.25">
      <c r="A1076" s="48" t="str">
        <f t="shared" si="257"/>
        <v>HT</v>
      </c>
      <c r="B1076" s="32" t="s">
        <v>1342</v>
      </c>
      <c r="C1076" s="39" t="s">
        <v>122</v>
      </c>
      <c r="D1076" s="13" t="s">
        <v>16</v>
      </c>
      <c r="E1076" s="123">
        <v>6.28</v>
      </c>
      <c r="F1076" s="150">
        <f>(-1.232)+1.315303</f>
        <v>8.3303000000000127E-2</v>
      </c>
      <c r="G1076" s="125"/>
      <c r="H1076" s="125"/>
      <c r="I1076" s="125">
        <f t="shared" si="252"/>
        <v>6.3633030000000002</v>
      </c>
      <c r="J1076" s="62">
        <f>'BIỂU HỢP ĐỒNG'!J976</f>
        <v>1868221</v>
      </c>
      <c r="K1076" s="43"/>
      <c r="L1076" s="62">
        <f t="shared" si="253"/>
        <v>11732428</v>
      </c>
      <c r="M1076" s="138">
        <f t="shared" si="254"/>
        <v>155628</v>
      </c>
      <c r="N1076" s="43">
        <f t="shared" si="255"/>
        <v>0</v>
      </c>
      <c r="O1076" s="43">
        <f t="shared" si="256"/>
        <v>0</v>
      </c>
      <c r="P1076" s="43">
        <f t="shared" si="246"/>
        <v>11888056</v>
      </c>
      <c r="Q1076" s="100"/>
      <c r="R1076" s="117"/>
      <c r="S1076" t="s">
        <v>2197</v>
      </c>
    </row>
    <row r="1077" spans="1:19" x14ac:dyDescent="0.25">
      <c r="A1077" s="48" t="str">
        <f t="shared" si="257"/>
        <v>HT</v>
      </c>
      <c r="B1077" s="32" t="s">
        <v>1343</v>
      </c>
      <c r="C1077" s="39" t="s">
        <v>947</v>
      </c>
      <c r="D1077" s="13" t="s">
        <v>13</v>
      </c>
      <c r="E1077" s="123">
        <v>60.7</v>
      </c>
      <c r="F1077" s="150">
        <f>(-13.4)+5.02265</f>
        <v>-8.3773499999999999</v>
      </c>
      <c r="G1077" s="125"/>
      <c r="H1077" s="125"/>
      <c r="I1077" s="125">
        <f t="shared" si="252"/>
        <v>52.322650000000003</v>
      </c>
      <c r="J1077" s="62">
        <f>'BIỂU HỢP ĐỒNG'!J977</f>
        <v>96763</v>
      </c>
      <c r="K1077" s="43"/>
      <c r="L1077" s="62">
        <f t="shared" si="253"/>
        <v>5873514</v>
      </c>
      <c r="M1077" s="138">
        <f t="shared" si="254"/>
        <v>-810618</v>
      </c>
      <c r="N1077" s="43">
        <f t="shared" si="255"/>
        <v>0</v>
      </c>
      <c r="O1077" s="43">
        <f t="shared" si="256"/>
        <v>0</v>
      </c>
      <c r="P1077" s="43">
        <f t="shared" si="246"/>
        <v>5062896</v>
      </c>
      <c r="Q1077" s="100"/>
      <c r="R1077" s="117"/>
      <c r="S1077" t="s">
        <v>2198</v>
      </c>
    </row>
    <row r="1078" spans="1:19" x14ac:dyDescent="0.25">
      <c r="A1078" s="48" t="str">
        <f t="shared" si="257"/>
        <v>HT</v>
      </c>
      <c r="B1078" s="32" t="s">
        <v>1344</v>
      </c>
      <c r="C1078" s="39" t="s">
        <v>987</v>
      </c>
      <c r="D1078" s="13" t="s">
        <v>16</v>
      </c>
      <c r="E1078" s="123">
        <v>0.13</v>
      </c>
      <c r="F1078" s="150"/>
      <c r="G1078" s="125"/>
      <c r="H1078" s="125"/>
      <c r="I1078" s="125">
        <f t="shared" si="252"/>
        <v>0.13</v>
      </c>
      <c r="J1078" s="62">
        <f>'BIỂU HỢP ĐỒNG'!J978</f>
        <v>2087940</v>
      </c>
      <c r="K1078" s="43"/>
      <c r="L1078" s="62">
        <f t="shared" si="253"/>
        <v>271432</v>
      </c>
      <c r="M1078" s="138">
        <f t="shared" si="254"/>
        <v>0</v>
      </c>
      <c r="N1078" s="43">
        <f t="shared" si="255"/>
        <v>0</v>
      </c>
      <c r="O1078" s="43">
        <f t="shared" si="256"/>
        <v>0</v>
      </c>
      <c r="P1078" s="43">
        <f t="shared" si="246"/>
        <v>271432</v>
      </c>
      <c r="Q1078" s="100"/>
      <c r="R1078" s="117"/>
    </row>
    <row r="1079" spans="1:19" x14ac:dyDescent="0.25">
      <c r="A1079" s="48" t="str">
        <f t="shared" si="257"/>
        <v>HT</v>
      </c>
      <c r="B1079" s="32" t="s">
        <v>1345</v>
      </c>
      <c r="C1079" s="39" t="s">
        <v>125</v>
      </c>
      <c r="D1079" s="13" t="s">
        <v>13</v>
      </c>
      <c r="E1079" s="123">
        <v>1.1499999999999999</v>
      </c>
      <c r="F1079" s="136"/>
      <c r="G1079" s="125"/>
      <c r="H1079" s="125"/>
      <c r="I1079" s="125">
        <f t="shared" si="252"/>
        <v>1.1499999999999999</v>
      </c>
      <c r="J1079" s="62">
        <f>'BIỂU HỢP ĐỒNG'!J979</f>
        <v>103945</v>
      </c>
      <c r="K1079" s="43"/>
      <c r="L1079" s="62">
        <f t="shared" si="253"/>
        <v>119537</v>
      </c>
      <c r="M1079" s="138">
        <f t="shared" si="254"/>
        <v>0</v>
      </c>
      <c r="N1079" s="43">
        <f t="shared" si="255"/>
        <v>0</v>
      </c>
      <c r="O1079" s="43">
        <f t="shared" si="256"/>
        <v>0</v>
      </c>
      <c r="P1079" s="43">
        <f t="shared" si="246"/>
        <v>119537</v>
      </c>
      <c r="Q1079" s="100"/>
      <c r="R1079" s="117"/>
    </row>
    <row r="1080" spans="1:19" ht="31.5" customHeight="1" x14ac:dyDescent="0.25">
      <c r="A1080" s="48" t="str">
        <f t="shared" si="257"/>
        <v>HT</v>
      </c>
      <c r="B1080" s="32" t="s">
        <v>1346</v>
      </c>
      <c r="C1080" s="39" t="s">
        <v>332</v>
      </c>
      <c r="D1080" s="13" t="s">
        <v>90</v>
      </c>
      <c r="E1080" s="123">
        <v>0.04</v>
      </c>
      <c r="F1080" s="136"/>
      <c r="G1080" s="125"/>
      <c r="H1080" s="125"/>
      <c r="I1080" s="125">
        <f t="shared" si="252"/>
        <v>0.04</v>
      </c>
      <c r="J1080" s="62">
        <f>'BIỂU HỢP ĐỒNG'!J980</f>
        <v>26211154</v>
      </c>
      <c r="K1080" s="43"/>
      <c r="L1080" s="62">
        <f t="shared" si="253"/>
        <v>1048446</v>
      </c>
      <c r="M1080" s="138">
        <f t="shared" si="254"/>
        <v>0</v>
      </c>
      <c r="N1080" s="43">
        <f t="shared" si="255"/>
        <v>0</v>
      </c>
      <c r="O1080" s="43">
        <f t="shared" si="256"/>
        <v>0</v>
      </c>
      <c r="P1080" s="43">
        <f t="shared" si="246"/>
        <v>1048446</v>
      </c>
      <c r="Q1080" s="100"/>
      <c r="R1080" s="117"/>
    </row>
    <row r="1081" spans="1:19" ht="31.5" customHeight="1" x14ac:dyDescent="0.25">
      <c r="A1081" s="48" t="str">
        <f t="shared" si="257"/>
        <v>HT</v>
      </c>
      <c r="B1081" s="32" t="s">
        <v>1347</v>
      </c>
      <c r="C1081" s="39" t="s">
        <v>991</v>
      </c>
      <c r="D1081" s="13" t="s">
        <v>16</v>
      </c>
      <c r="E1081" s="123">
        <v>86.1</v>
      </c>
      <c r="F1081" s="136"/>
      <c r="G1081" s="125"/>
      <c r="H1081" s="125"/>
      <c r="I1081" s="125">
        <f t="shared" si="252"/>
        <v>86.1</v>
      </c>
      <c r="J1081" s="62">
        <f>'BIỂU HỢP ĐỒNG'!J981</f>
        <v>167496</v>
      </c>
      <c r="K1081" s="43"/>
      <c r="L1081" s="62">
        <f t="shared" si="253"/>
        <v>14421406</v>
      </c>
      <c r="M1081" s="138">
        <f t="shared" si="254"/>
        <v>0</v>
      </c>
      <c r="N1081" s="43">
        <f t="shared" si="255"/>
        <v>0</v>
      </c>
      <c r="O1081" s="43">
        <f t="shared" si="256"/>
        <v>0</v>
      </c>
      <c r="P1081" s="43">
        <f t="shared" si="246"/>
        <v>14421406</v>
      </c>
      <c r="Q1081" s="100"/>
      <c r="R1081" s="117"/>
    </row>
    <row r="1082" spans="1:19" x14ac:dyDescent="0.25">
      <c r="A1082" s="48" t="str">
        <f t="shared" si="257"/>
        <v>HT</v>
      </c>
      <c r="B1082" s="32" t="s">
        <v>1348</v>
      </c>
      <c r="C1082" s="39" t="s">
        <v>993</v>
      </c>
      <c r="D1082" s="13" t="s">
        <v>16</v>
      </c>
      <c r="E1082" s="123">
        <v>86.1</v>
      </c>
      <c r="F1082" s="136"/>
      <c r="G1082" s="125"/>
      <c r="H1082" s="125"/>
      <c r="I1082" s="125">
        <f t="shared" si="252"/>
        <v>86.1</v>
      </c>
      <c r="J1082" s="62">
        <f>'BIỂU HỢP ĐỒNG'!J982</f>
        <v>56948</v>
      </c>
      <c r="K1082" s="43"/>
      <c r="L1082" s="62">
        <f t="shared" si="253"/>
        <v>4903223</v>
      </c>
      <c r="M1082" s="138">
        <f t="shared" si="254"/>
        <v>0</v>
      </c>
      <c r="N1082" s="43">
        <f t="shared" si="255"/>
        <v>0</v>
      </c>
      <c r="O1082" s="43">
        <f t="shared" si="256"/>
        <v>0</v>
      </c>
      <c r="P1082" s="43">
        <f t="shared" si="246"/>
        <v>4903223</v>
      </c>
      <c r="Q1082" s="100"/>
      <c r="R1082" s="117"/>
    </row>
    <row r="1083" spans="1:19" x14ac:dyDescent="0.25">
      <c r="A1083" s="48" t="str">
        <f t="shared" si="257"/>
        <v>HT</v>
      </c>
      <c r="B1083" s="32" t="s">
        <v>1349</v>
      </c>
      <c r="C1083" s="39" t="s">
        <v>47</v>
      </c>
      <c r="D1083" s="13" t="s">
        <v>16</v>
      </c>
      <c r="E1083" s="123">
        <v>86.1</v>
      </c>
      <c r="F1083" s="136"/>
      <c r="G1083" s="125"/>
      <c r="H1083" s="125"/>
      <c r="I1083" s="125">
        <f t="shared" si="252"/>
        <v>86.1</v>
      </c>
      <c r="J1083" s="62">
        <f>'BIỂU HỢP ĐỒNG'!J983</f>
        <v>2096</v>
      </c>
      <c r="K1083" s="43"/>
      <c r="L1083" s="62">
        <f t="shared" si="253"/>
        <v>180466</v>
      </c>
      <c r="M1083" s="138">
        <f t="shared" si="254"/>
        <v>0</v>
      </c>
      <c r="N1083" s="43">
        <f t="shared" si="255"/>
        <v>0</v>
      </c>
      <c r="O1083" s="43">
        <f t="shared" si="256"/>
        <v>0</v>
      </c>
      <c r="P1083" s="43">
        <f t="shared" si="246"/>
        <v>180466</v>
      </c>
      <c r="Q1083" s="100"/>
      <c r="R1083" s="117"/>
    </row>
    <row r="1084" spans="1:19" x14ac:dyDescent="0.25">
      <c r="A1084" s="48" t="str">
        <f t="shared" si="257"/>
        <v>HT</v>
      </c>
      <c r="B1084" s="140"/>
      <c r="C1084" s="149" t="s">
        <v>2199</v>
      </c>
      <c r="D1084" s="142"/>
      <c r="E1084" s="143"/>
      <c r="F1084" s="143"/>
      <c r="G1084" s="144"/>
      <c r="H1084" s="144"/>
      <c r="I1084" s="144"/>
      <c r="J1084" s="145"/>
      <c r="K1084" s="146"/>
      <c r="L1084" s="145"/>
      <c r="M1084" s="147"/>
      <c r="N1084" s="146"/>
      <c r="O1084" s="146"/>
      <c r="P1084" s="146"/>
      <c r="Q1084" s="100"/>
      <c r="R1084" s="117"/>
    </row>
    <row r="1085" spans="1:19" x14ac:dyDescent="0.25">
      <c r="A1085" s="48" t="str">
        <f t="shared" si="257"/>
        <v>HT</v>
      </c>
      <c r="B1085" s="140" t="s">
        <v>2200</v>
      </c>
      <c r="C1085" s="141" t="s">
        <v>1898</v>
      </c>
      <c r="D1085" s="142" t="s">
        <v>16</v>
      </c>
      <c r="E1085" s="143"/>
      <c r="F1085" s="143">
        <v>-6.75</v>
      </c>
      <c r="G1085" s="144"/>
      <c r="H1085" s="144"/>
      <c r="I1085" s="144">
        <f>SUM(E1085:H1085)</f>
        <v>-6.75</v>
      </c>
      <c r="J1085" s="145"/>
      <c r="K1085" s="146">
        <v>0</v>
      </c>
      <c r="L1085" s="145">
        <f>+ROUND(K1085*E1085,0)</f>
        <v>0</v>
      </c>
      <c r="M1085" s="147">
        <f>+ROUND(F1085*K1085,0)</f>
        <v>0</v>
      </c>
      <c r="N1085" s="146">
        <f>+ROUND(G1085*K1085,0)</f>
        <v>0</v>
      </c>
      <c r="O1085" s="146">
        <f>+ROUND(H1085*K1085,0)</f>
        <v>0</v>
      </c>
      <c r="P1085" s="146">
        <f>SUM(L1085:O1085)</f>
        <v>0</v>
      </c>
      <c r="Q1085" s="100"/>
      <c r="R1085" s="117"/>
      <c r="S1085" t="s">
        <v>2201</v>
      </c>
    </row>
    <row r="1086" spans="1:19" x14ac:dyDescent="0.25">
      <c r="A1086" s="48" t="str">
        <f t="shared" si="257"/>
        <v>HT</v>
      </c>
      <c r="B1086" s="140"/>
      <c r="C1086" s="149" t="s">
        <v>2202</v>
      </c>
      <c r="D1086" s="142"/>
      <c r="E1086" s="143"/>
      <c r="F1086" s="143"/>
      <c r="G1086" s="144"/>
      <c r="H1086" s="144"/>
      <c r="I1086" s="144"/>
      <c r="J1086" s="145"/>
      <c r="K1086" s="146"/>
      <c r="L1086" s="145"/>
      <c r="M1086" s="147"/>
      <c r="N1086" s="146"/>
      <c r="O1086" s="146"/>
      <c r="P1086" s="146"/>
      <c r="Q1086" s="100"/>
      <c r="R1086" s="117"/>
    </row>
    <row r="1087" spans="1:19" x14ac:dyDescent="0.25">
      <c r="A1087" s="48" t="str">
        <f t="shared" si="257"/>
        <v>HT</v>
      </c>
      <c r="B1087" s="140" t="s">
        <v>2203</v>
      </c>
      <c r="C1087" s="141" t="s">
        <v>2194</v>
      </c>
      <c r="D1087" s="142" t="s">
        <v>16</v>
      </c>
      <c r="E1087" s="143"/>
      <c r="F1087" s="143">
        <v>0.79047999999999996</v>
      </c>
      <c r="G1087" s="144"/>
      <c r="H1087" s="144"/>
      <c r="I1087" s="144">
        <f>SUM(E1087:H1087)</f>
        <v>0.79047999999999996</v>
      </c>
      <c r="J1087" s="145"/>
      <c r="K1087" s="146">
        <v>1405969</v>
      </c>
      <c r="L1087" s="145">
        <f>+ROUND(K1087*E1087,0)</f>
        <v>0</v>
      </c>
      <c r="M1087" s="147">
        <f>+ROUND(F1087*K1087,0)</f>
        <v>1111390</v>
      </c>
      <c r="N1087" s="146">
        <f>+ROUND(G1087*K1087,0)</f>
        <v>0</v>
      </c>
      <c r="O1087" s="146">
        <f>+ROUND(H1087*K1087,0)</f>
        <v>0</v>
      </c>
      <c r="P1087" s="146">
        <f>SUM(L1087:O1087)</f>
        <v>1111390</v>
      </c>
      <c r="Q1087" s="100"/>
      <c r="R1087" s="117"/>
      <c r="S1087" t="s">
        <v>2204</v>
      </c>
    </row>
    <row r="1088" spans="1:19" x14ac:dyDescent="0.25">
      <c r="A1088" s="48" t="str">
        <f t="shared" si="257"/>
        <v>HT</v>
      </c>
      <c r="B1088" s="140" t="s">
        <v>2205</v>
      </c>
      <c r="C1088" s="141" t="s">
        <v>1877</v>
      </c>
      <c r="D1088" s="142" t="s">
        <v>75</v>
      </c>
      <c r="E1088" s="143"/>
      <c r="F1088" s="143">
        <v>189.71520000000001</v>
      </c>
      <c r="G1088" s="144"/>
      <c r="H1088" s="144"/>
      <c r="I1088" s="144">
        <f>SUM(E1088:H1088)</f>
        <v>189.71520000000001</v>
      </c>
      <c r="J1088" s="145"/>
      <c r="K1088" s="146">
        <v>11223</v>
      </c>
      <c r="L1088" s="145">
        <f>+ROUND(K1088*E1088,0)</f>
        <v>0</v>
      </c>
      <c r="M1088" s="147">
        <f>+ROUND(F1088*K1088,0)</f>
        <v>2129174</v>
      </c>
      <c r="N1088" s="146">
        <f>+ROUND(G1088*K1088,0)</f>
        <v>0</v>
      </c>
      <c r="O1088" s="146">
        <f>+ROUND(H1088*K1088,0)</f>
        <v>0</v>
      </c>
      <c r="P1088" s="146">
        <f>SUM(L1088:O1088)</f>
        <v>2129174</v>
      </c>
      <c r="Q1088" s="100"/>
      <c r="R1088" s="117"/>
      <c r="S1088" t="s">
        <v>2206</v>
      </c>
    </row>
    <row r="1089" spans="1:19" s="22" customFormat="1" x14ac:dyDescent="0.25">
      <c r="A1089" s="48" t="str">
        <f t="shared" si="257"/>
        <v>HT</v>
      </c>
      <c r="B1089" s="140" t="s">
        <v>2207</v>
      </c>
      <c r="C1089" s="141" t="s">
        <v>624</v>
      </c>
      <c r="D1089" s="142" t="s">
        <v>16</v>
      </c>
      <c r="E1089" s="143"/>
      <c r="F1089" s="143">
        <v>354.75</v>
      </c>
      <c r="G1089" s="144"/>
      <c r="H1089" s="144"/>
      <c r="I1089" s="144">
        <f>SUM(E1089:H1089)</f>
        <v>354.75</v>
      </c>
      <c r="J1089" s="145"/>
      <c r="K1089" s="146">
        <v>271833</v>
      </c>
      <c r="L1089" s="145">
        <f>+ROUND(K1089*E1089,0)</f>
        <v>0</v>
      </c>
      <c r="M1089" s="147">
        <f>+ROUND(F1089*K1089,0)</f>
        <v>96432757</v>
      </c>
      <c r="N1089" s="146">
        <f>+ROUND(G1089*K1089,0)</f>
        <v>0</v>
      </c>
      <c r="O1089" s="146">
        <f>+ROUND(H1089*K1089,0)</f>
        <v>0</v>
      </c>
      <c r="P1089" s="146">
        <f>SUM(L1089:O1089)</f>
        <v>96432757</v>
      </c>
      <c r="Q1089" s="100"/>
      <c r="R1089" s="117"/>
      <c r="S1089" t="s">
        <v>2208</v>
      </c>
    </row>
    <row r="1090" spans="1:19" x14ac:dyDescent="0.25">
      <c r="A1090" s="48" t="str">
        <f t="shared" si="257"/>
        <v>HT</v>
      </c>
      <c r="B1090" s="140"/>
      <c r="C1090" s="149" t="s">
        <v>2051</v>
      </c>
      <c r="D1090" s="142"/>
      <c r="E1090" s="143"/>
      <c r="F1090" s="143"/>
      <c r="G1090" s="144"/>
      <c r="H1090" s="144"/>
      <c r="I1090" s="144"/>
      <c r="J1090" s="145"/>
      <c r="K1090" s="146"/>
      <c r="L1090" s="145"/>
      <c r="M1090" s="147"/>
      <c r="N1090" s="146"/>
      <c r="O1090" s="146"/>
      <c r="P1090" s="146"/>
      <c r="Q1090" s="100"/>
      <c r="R1090" s="117"/>
    </row>
    <row r="1091" spans="1:19" ht="31.5" x14ac:dyDescent="0.25">
      <c r="A1091" s="48" t="str">
        <f t="shared" si="257"/>
        <v>HT</v>
      </c>
      <c r="B1091" s="140" t="s">
        <v>2209</v>
      </c>
      <c r="C1091" s="141" t="s">
        <v>2210</v>
      </c>
      <c r="D1091" s="142" t="s">
        <v>258</v>
      </c>
      <c r="E1091" s="143"/>
      <c r="F1091" s="143">
        <v>6.72</v>
      </c>
      <c r="G1091" s="144"/>
      <c r="H1091" s="144"/>
      <c r="I1091" s="144">
        <f t="shared" ref="I1091:I1097" si="258">SUM(E1091:H1091)</f>
        <v>6.72</v>
      </c>
      <c r="J1091" s="145"/>
      <c r="K1091" s="146">
        <v>1416249</v>
      </c>
      <c r="L1091" s="145">
        <f t="shared" ref="L1091:L1097" si="259">+ROUND(K1091*E1091,0)</f>
        <v>0</v>
      </c>
      <c r="M1091" s="147">
        <f t="shared" ref="M1091:M1097" si="260">+ROUND(F1091*K1091,0)</f>
        <v>9517193</v>
      </c>
      <c r="N1091" s="146">
        <f t="shared" ref="N1091:N1097" si="261">+ROUND(G1091*K1091,0)</f>
        <v>0</v>
      </c>
      <c r="O1091" s="146">
        <f t="shared" ref="O1091:O1097" si="262">+ROUND(H1091*K1091,0)</f>
        <v>0</v>
      </c>
      <c r="P1091" s="146">
        <f t="shared" ref="P1091:P1097" si="263">SUM(L1091:O1091)</f>
        <v>9517193</v>
      </c>
      <c r="Q1091" s="100"/>
      <c r="R1091" s="117"/>
      <c r="S1091" t="s">
        <v>2211</v>
      </c>
    </row>
    <row r="1092" spans="1:19" x14ac:dyDescent="0.25">
      <c r="A1092" s="48" t="str">
        <f t="shared" si="257"/>
        <v>HT</v>
      </c>
      <c r="B1092" s="140" t="s">
        <v>2212</v>
      </c>
      <c r="C1092" s="141" t="s">
        <v>564</v>
      </c>
      <c r="D1092" s="142" t="s">
        <v>126</v>
      </c>
      <c r="E1092" s="143"/>
      <c r="F1092" s="143">
        <v>1.6672</v>
      </c>
      <c r="G1092" s="144"/>
      <c r="H1092" s="144"/>
      <c r="I1092" s="144">
        <f t="shared" si="258"/>
        <v>1.6672</v>
      </c>
      <c r="J1092" s="145"/>
      <c r="K1092" s="146">
        <v>9954381</v>
      </c>
      <c r="L1092" s="145">
        <f t="shared" si="259"/>
        <v>0</v>
      </c>
      <c r="M1092" s="147">
        <f t="shared" si="260"/>
        <v>16595944</v>
      </c>
      <c r="N1092" s="146">
        <f t="shared" si="261"/>
        <v>0</v>
      </c>
      <c r="O1092" s="146">
        <f t="shared" si="262"/>
        <v>0</v>
      </c>
      <c r="P1092" s="146">
        <f t="shared" si="263"/>
        <v>16595944</v>
      </c>
      <c r="Q1092" s="100"/>
      <c r="R1092" s="117"/>
      <c r="S1092" t="s">
        <v>2213</v>
      </c>
    </row>
    <row r="1093" spans="1:19" ht="31.5" x14ac:dyDescent="0.25">
      <c r="A1093" s="48" t="str">
        <f t="shared" si="257"/>
        <v>HT</v>
      </c>
      <c r="B1093" s="140" t="s">
        <v>2214</v>
      </c>
      <c r="C1093" s="141" t="s">
        <v>2215</v>
      </c>
      <c r="D1093" s="142" t="s">
        <v>90</v>
      </c>
      <c r="E1093" s="143"/>
      <c r="F1093" s="143">
        <v>0.62980000000000003</v>
      </c>
      <c r="G1093" s="144"/>
      <c r="H1093" s="144"/>
      <c r="I1093" s="144">
        <f t="shared" si="258"/>
        <v>0.62980000000000003</v>
      </c>
      <c r="J1093" s="145"/>
      <c r="K1093" s="146">
        <v>26034998</v>
      </c>
      <c r="L1093" s="145">
        <f t="shared" si="259"/>
        <v>0</v>
      </c>
      <c r="M1093" s="147">
        <f t="shared" si="260"/>
        <v>16396842</v>
      </c>
      <c r="N1093" s="146">
        <f t="shared" si="261"/>
        <v>0</v>
      </c>
      <c r="O1093" s="146">
        <f t="shared" si="262"/>
        <v>0</v>
      </c>
      <c r="P1093" s="146">
        <f t="shared" si="263"/>
        <v>16396842</v>
      </c>
      <c r="Q1093" s="100"/>
      <c r="R1093" s="117"/>
      <c r="S1093" t="s">
        <v>2216</v>
      </c>
    </row>
    <row r="1094" spans="1:19" ht="31.5" x14ac:dyDescent="0.25">
      <c r="A1094" s="48" t="str">
        <f t="shared" si="257"/>
        <v>HT</v>
      </c>
      <c r="B1094" s="140" t="s">
        <v>2217</v>
      </c>
      <c r="C1094" s="141" t="s">
        <v>2218</v>
      </c>
      <c r="D1094" s="142" t="s">
        <v>362</v>
      </c>
      <c r="E1094" s="143"/>
      <c r="F1094" s="143">
        <v>16</v>
      </c>
      <c r="G1094" s="144"/>
      <c r="H1094" s="144"/>
      <c r="I1094" s="144">
        <f t="shared" si="258"/>
        <v>16</v>
      </c>
      <c r="J1094" s="145"/>
      <c r="K1094" s="146">
        <v>543262</v>
      </c>
      <c r="L1094" s="145">
        <f t="shared" si="259"/>
        <v>0</v>
      </c>
      <c r="M1094" s="147">
        <f t="shared" si="260"/>
        <v>8692192</v>
      </c>
      <c r="N1094" s="146">
        <f t="shared" si="261"/>
        <v>0</v>
      </c>
      <c r="O1094" s="146">
        <f t="shared" si="262"/>
        <v>0</v>
      </c>
      <c r="P1094" s="146">
        <f t="shared" si="263"/>
        <v>8692192</v>
      </c>
      <c r="Q1094" s="100"/>
      <c r="R1094" s="117"/>
      <c r="S1094" t="s">
        <v>2219</v>
      </c>
    </row>
    <row r="1095" spans="1:19" ht="47.25" x14ac:dyDescent="0.25">
      <c r="A1095" s="48" t="str">
        <f t="shared" si="257"/>
        <v>HT</v>
      </c>
      <c r="B1095" s="140" t="s">
        <v>2220</v>
      </c>
      <c r="C1095" s="141" t="s">
        <v>585</v>
      </c>
      <c r="D1095" s="142" t="s">
        <v>253</v>
      </c>
      <c r="E1095" s="143"/>
      <c r="F1095" s="143">
        <v>1.68</v>
      </c>
      <c r="G1095" s="144"/>
      <c r="H1095" s="144"/>
      <c r="I1095" s="144">
        <f t="shared" si="258"/>
        <v>1.68</v>
      </c>
      <c r="J1095" s="145"/>
      <c r="K1095" s="146">
        <v>34827</v>
      </c>
      <c r="L1095" s="145">
        <f t="shared" si="259"/>
        <v>0</v>
      </c>
      <c r="M1095" s="147">
        <f t="shared" si="260"/>
        <v>58509</v>
      </c>
      <c r="N1095" s="146">
        <f t="shared" si="261"/>
        <v>0</v>
      </c>
      <c r="O1095" s="146">
        <f t="shared" si="262"/>
        <v>0</v>
      </c>
      <c r="P1095" s="146">
        <f t="shared" si="263"/>
        <v>58509</v>
      </c>
      <c r="Q1095" s="100"/>
      <c r="R1095" s="117"/>
      <c r="S1095" t="s">
        <v>2221</v>
      </c>
    </row>
    <row r="1096" spans="1:19" ht="31.5" x14ac:dyDescent="0.25">
      <c r="A1096" s="48" t="str">
        <f t="shared" si="257"/>
        <v>HT</v>
      </c>
      <c r="B1096" s="140" t="s">
        <v>2222</v>
      </c>
      <c r="C1096" s="141" t="s">
        <v>910</v>
      </c>
      <c r="D1096" s="142" t="s">
        <v>250</v>
      </c>
      <c r="E1096" s="143"/>
      <c r="F1096" s="143">
        <v>16</v>
      </c>
      <c r="G1096" s="144"/>
      <c r="H1096" s="144"/>
      <c r="I1096" s="144">
        <f t="shared" si="258"/>
        <v>16</v>
      </c>
      <c r="J1096" s="145"/>
      <c r="K1096" s="146">
        <v>67973</v>
      </c>
      <c r="L1096" s="145">
        <f t="shared" si="259"/>
        <v>0</v>
      </c>
      <c r="M1096" s="147">
        <f t="shared" si="260"/>
        <v>1087568</v>
      </c>
      <c r="N1096" s="146">
        <f t="shared" si="261"/>
        <v>0</v>
      </c>
      <c r="O1096" s="146">
        <f t="shared" si="262"/>
        <v>0</v>
      </c>
      <c r="P1096" s="146">
        <f t="shared" si="263"/>
        <v>1087568</v>
      </c>
      <c r="Q1096" s="100"/>
      <c r="R1096" s="117"/>
      <c r="S1096" t="s">
        <v>2223</v>
      </c>
    </row>
    <row r="1097" spans="1:19" ht="31.5" x14ac:dyDescent="0.25">
      <c r="A1097" s="48" t="str">
        <f t="shared" si="257"/>
        <v>HT</v>
      </c>
      <c r="B1097" s="140" t="s">
        <v>2224</v>
      </c>
      <c r="C1097" s="141" t="s">
        <v>876</v>
      </c>
      <c r="D1097" s="142" t="s">
        <v>250</v>
      </c>
      <c r="E1097" s="143"/>
      <c r="F1097" s="143">
        <v>16</v>
      </c>
      <c r="G1097" s="144"/>
      <c r="H1097" s="144"/>
      <c r="I1097" s="144">
        <f t="shared" si="258"/>
        <v>16</v>
      </c>
      <c r="J1097" s="145"/>
      <c r="K1097" s="146">
        <v>51893</v>
      </c>
      <c r="L1097" s="145">
        <f t="shared" si="259"/>
        <v>0</v>
      </c>
      <c r="M1097" s="147">
        <f t="shared" si="260"/>
        <v>830288</v>
      </c>
      <c r="N1097" s="146">
        <f t="shared" si="261"/>
        <v>0</v>
      </c>
      <c r="O1097" s="146">
        <f t="shared" si="262"/>
        <v>0</v>
      </c>
      <c r="P1097" s="146">
        <f t="shared" si="263"/>
        <v>830288</v>
      </c>
      <c r="Q1097" s="100"/>
      <c r="R1097" s="117"/>
      <c r="S1097" t="s">
        <v>2225</v>
      </c>
    </row>
    <row r="1098" spans="1:19" x14ac:dyDescent="0.25">
      <c r="A1098" s="48" t="str">
        <f t="shared" si="257"/>
        <v>HT</v>
      </c>
      <c r="B1098" s="140"/>
      <c r="C1098" s="149" t="s">
        <v>2092</v>
      </c>
      <c r="D1098" s="142"/>
      <c r="E1098" s="143"/>
      <c r="F1098" s="143"/>
      <c r="G1098" s="144"/>
      <c r="H1098" s="144"/>
      <c r="I1098" s="144"/>
      <c r="J1098" s="145"/>
      <c r="K1098" s="146"/>
      <c r="L1098" s="145"/>
      <c r="M1098" s="147"/>
      <c r="N1098" s="146"/>
      <c r="O1098" s="146"/>
      <c r="P1098" s="146"/>
      <c r="Q1098" s="100"/>
      <c r="R1098" s="117"/>
    </row>
    <row r="1099" spans="1:19" x14ac:dyDescent="0.25">
      <c r="A1099" s="48" t="str">
        <f t="shared" si="257"/>
        <v>HT</v>
      </c>
      <c r="B1099" s="140" t="s">
        <v>2226</v>
      </c>
      <c r="C1099" s="141" t="s">
        <v>2227</v>
      </c>
      <c r="D1099" s="142" t="s">
        <v>16</v>
      </c>
      <c r="E1099" s="143"/>
      <c r="F1099" s="143">
        <v>11.2</v>
      </c>
      <c r="G1099" s="144"/>
      <c r="H1099" s="144"/>
      <c r="I1099" s="144">
        <f t="shared" ref="I1099:I1107" si="264">SUM(E1099:H1099)</f>
        <v>11.2</v>
      </c>
      <c r="J1099" s="145"/>
      <c r="K1099" s="146">
        <v>1414734</v>
      </c>
      <c r="L1099" s="145">
        <f t="shared" ref="L1099:L1107" si="265">+ROUND(K1099*E1099,0)</f>
        <v>0</v>
      </c>
      <c r="M1099" s="147">
        <f t="shared" ref="M1099:M1107" si="266">+ROUND(F1099*K1099,0)</f>
        <v>15845021</v>
      </c>
      <c r="N1099" s="146">
        <f t="shared" ref="N1099:N1107" si="267">+ROUND(G1099*K1099,0)</f>
        <v>0</v>
      </c>
      <c r="O1099" s="146">
        <f t="shared" ref="O1099:O1107" si="268">+ROUND(H1099*K1099,0)</f>
        <v>0</v>
      </c>
      <c r="P1099" s="146">
        <f t="shared" ref="P1099:P1107" si="269">SUM(L1099:O1099)</f>
        <v>15845021</v>
      </c>
      <c r="Q1099" s="100"/>
      <c r="R1099" s="117"/>
      <c r="S1099" t="s">
        <v>2228</v>
      </c>
    </row>
    <row r="1100" spans="1:19" x14ac:dyDescent="0.25">
      <c r="A1100" s="48" t="str">
        <f t="shared" si="257"/>
        <v>HT</v>
      </c>
      <c r="B1100" s="140" t="s">
        <v>2229</v>
      </c>
      <c r="C1100" s="141" t="s">
        <v>597</v>
      </c>
      <c r="D1100" s="142" t="s">
        <v>126</v>
      </c>
      <c r="E1100" s="143"/>
      <c r="F1100" s="143">
        <v>0.53280000000000005</v>
      </c>
      <c r="G1100" s="144"/>
      <c r="H1100" s="144"/>
      <c r="I1100" s="144">
        <f t="shared" si="264"/>
        <v>0.53280000000000005</v>
      </c>
      <c r="J1100" s="145"/>
      <c r="K1100" s="146">
        <v>9954381</v>
      </c>
      <c r="L1100" s="145">
        <f t="shared" si="265"/>
        <v>0</v>
      </c>
      <c r="M1100" s="147">
        <f t="shared" si="266"/>
        <v>5303694</v>
      </c>
      <c r="N1100" s="146">
        <f t="shared" si="267"/>
        <v>0</v>
      </c>
      <c r="O1100" s="146">
        <f t="shared" si="268"/>
        <v>0</v>
      </c>
      <c r="P1100" s="146">
        <f t="shared" si="269"/>
        <v>5303694</v>
      </c>
      <c r="Q1100" s="100"/>
      <c r="R1100" s="117"/>
      <c r="S1100" t="s">
        <v>2230</v>
      </c>
    </row>
    <row r="1101" spans="1:19" ht="31.5" x14ac:dyDescent="0.25">
      <c r="A1101" s="48" t="str">
        <f t="shared" si="257"/>
        <v>HT</v>
      </c>
      <c r="B1101" s="140" t="s">
        <v>2231</v>
      </c>
      <c r="C1101" s="141" t="s">
        <v>2232</v>
      </c>
      <c r="D1101" s="142" t="s">
        <v>90</v>
      </c>
      <c r="E1101" s="143"/>
      <c r="F1101" s="143">
        <v>0.40639999999999998</v>
      </c>
      <c r="G1101" s="144"/>
      <c r="H1101" s="144"/>
      <c r="I1101" s="144">
        <f t="shared" si="264"/>
        <v>0.40639999999999998</v>
      </c>
      <c r="J1101" s="145"/>
      <c r="K1101" s="146">
        <v>25366848</v>
      </c>
      <c r="L1101" s="145">
        <f t="shared" si="265"/>
        <v>0</v>
      </c>
      <c r="M1101" s="147">
        <f t="shared" si="266"/>
        <v>10309087</v>
      </c>
      <c r="N1101" s="146">
        <f t="shared" si="267"/>
        <v>0</v>
      </c>
      <c r="O1101" s="146">
        <f t="shared" si="268"/>
        <v>0</v>
      </c>
      <c r="P1101" s="146">
        <f t="shared" si="269"/>
        <v>10309087</v>
      </c>
      <c r="Q1101" s="100"/>
      <c r="R1101" s="117"/>
      <c r="S1101" t="s">
        <v>2233</v>
      </c>
    </row>
    <row r="1102" spans="1:19" ht="31.5" x14ac:dyDescent="0.25">
      <c r="A1102" s="48" t="str">
        <f t="shared" si="257"/>
        <v>HT</v>
      </c>
      <c r="B1102" s="140" t="s">
        <v>2234</v>
      </c>
      <c r="C1102" s="141" t="s">
        <v>2235</v>
      </c>
      <c r="D1102" s="142" t="s">
        <v>90</v>
      </c>
      <c r="E1102" s="143"/>
      <c r="F1102" s="143">
        <v>8.9899999999999994E-2</v>
      </c>
      <c r="G1102" s="144"/>
      <c r="H1102" s="144"/>
      <c r="I1102" s="144">
        <f t="shared" si="264"/>
        <v>8.9899999999999994E-2</v>
      </c>
      <c r="J1102" s="145"/>
      <c r="K1102" s="146">
        <v>24172058</v>
      </c>
      <c r="L1102" s="145">
        <f t="shared" si="265"/>
        <v>0</v>
      </c>
      <c r="M1102" s="147">
        <f t="shared" si="266"/>
        <v>2173068</v>
      </c>
      <c r="N1102" s="146">
        <f t="shared" si="267"/>
        <v>0</v>
      </c>
      <c r="O1102" s="146">
        <f t="shared" si="268"/>
        <v>0</v>
      </c>
      <c r="P1102" s="146">
        <f t="shared" si="269"/>
        <v>2173068</v>
      </c>
      <c r="Q1102" s="100"/>
      <c r="R1102" s="117"/>
      <c r="S1102" t="s">
        <v>2236</v>
      </c>
    </row>
    <row r="1103" spans="1:19" x14ac:dyDescent="0.25">
      <c r="A1103" s="48" t="str">
        <f t="shared" si="257"/>
        <v>HT</v>
      </c>
      <c r="B1103" s="140" t="s">
        <v>2237</v>
      </c>
      <c r="C1103" s="141" t="s">
        <v>2238</v>
      </c>
      <c r="D1103" s="142" t="s">
        <v>258</v>
      </c>
      <c r="E1103" s="143"/>
      <c r="F1103" s="143">
        <v>16</v>
      </c>
      <c r="G1103" s="144"/>
      <c r="H1103" s="144"/>
      <c r="I1103" s="144">
        <f t="shared" si="264"/>
        <v>16</v>
      </c>
      <c r="J1103" s="145"/>
      <c r="K1103" s="146">
        <v>205124</v>
      </c>
      <c r="L1103" s="145">
        <f t="shared" si="265"/>
        <v>0</v>
      </c>
      <c r="M1103" s="147">
        <f t="shared" si="266"/>
        <v>3281984</v>
      </c>
      <c r="N1103" s="146">
        <f t="shared" si="267"/>
        <v>0</v>
      </c>
      <c r="O1103" s="146">
        <f t="shared" si="268"/>
        <v>0</v>
      </c>
      <c r="P1103" s="146">
        <f t="shared" si="269"/>
        <v>3281984</v>
      </c>
      <c r="Q1103" s="100"/>
      <c r="R1103" s="117"/>
      <c r="S1103" t="s">
        <v>2239</v>
      </c>
    </row>
    <row r="1104" spans="1:19" ht="47.25" x14ac:dyDescent="0.25">
      <c r="A1104" s="48" t="str">
        <f t="shared" si="257"/>
        <v>HT</v>
      </c>
      <c r="B1104" s="140" t="s">
        <v>2240</v>
      </c>
      <c r="C1104" s="141" t="s">
        <v>2241</v>
      </c>
      <c r="D1104" s="142" t="s">
        <v>253</v>
      </c>
      <c r="E1104" s="143"/>
      <c r="F1104" s="143">
        <v>2.8</v>
      </c>
      <c r="G1104" s="144"/>
      <c r="H1104" s="144"/>
      <c r="I1104" s="144">
        <f t="shared" si="264"/>
        <v>2.8</v>
      </c>
      <c r="J1104" s="145"/>
      <c r="K1104" s="146">
        <v>30957</v>
      </c>
      <c r="L1104" s="145">
        <f t="shared" si="265"/>
        <v>0</v>
      </c>
      <c r="M1104" s="147">
        <f t="shared" si="266"/>
        <v>86680</v>
      </c>
      <c r="N1104" s="146">
        <f t="shared" si="267"/>
        <v>0</v>
      </c>
      <c r="O1104" s="146">
        <f t="shared" si="268"/>
        <v>0</v>
      </c>
      <c r="P1104" s="146">
        <f t="shared" si="269"/>
        <v>86680</v>
      </c>
      <c r="Q1104" s="100"/>
      <c r="R1104" s="117"/>
      <c r="S1104" t="s">
        <v>2242</v>
      </c>
    </row>
    <row r="1105" spans="1:19" ht="31.5" x14ac:dyDescent="0.25">
      <c r="A1105" s="48" t="str">
        <f t="shared" si="257"/>
        <v>HT</v>
      </c>
      <c r="B1105" s="140" t="s">
        <v>2243</v>
      </c>
      <c r="C1105" s="141" t="s">
        <v>910</v>
      </c>
      <c r="D1105" s="142" t="s">
        <v>250</v>
      </c>
      <c r="E1105" s="143"/>
      <c r="F1105" s="143">
        <v>16</v>
      </c>
      <c r="G1105" s="144"/>
      <c r="H1105" s="144"/>
      <c r="I1105" s="144">
        <f t="shared" si="264"/>
        <v>16</v>
      </c>
      <c r="J1105" s="145"/>
      <c r="K1105" s="146">
        <v>67973</v>
      </c>
      <c r="L1105" s="145">
        <f t="shared" si="265"/>
        <v>0</v>
      </c>
      <c r="M1105" s="147">
        <f t="shared" si="266"/>
        <v>1087568</v>
      </c>
      <c r="N1105" s="146">
        <f t="shared" si="267"/>
        <v>0</v>
      </c>
      <c r="O1105" s="146">
        <f t="shared" si="268"/>
        <v>0</v>
      </c>
      <c r="P1105" s="146">
        <f t="shared" si="269"/>
        <v>1087568</v>
      </c>
      <c r="Q1105" s="100"/>
      <c r="R1105" s="117"/>
      <c r="S1105" t="s">
        <v>2244</v>
      </c>
    </row>
    <row r="1106" spans="1:19" ht="31.5" x14ac:dyDescent="0.25">
      <c r="A1106" s="48" t="str">
        <f t="shared" si="257"/>
        <v>HT</v>
      </c>
      <c r="B1106" s="140" t="s">
        <v>2245</v>
      </c>
      <c r="C1106" s="141" t="s">
        <v>876</v>
      </c>
      <c r="D1106" s="142" t="s">
        <v>250</v>
      </c>
      <c r="E1106" s="143"/>
      <c r="F1106" s="143">
        <v>16</v>
      </c>
      <c r="G1106" s="144"/>
      <c r="H1106" s="144"/>
      <c r="I1106" s="144">
        <f t="shared" si="264"/>
        <v>16</v>
      </c>
      <c r="J1106" s="145"/>
      <c r="K1106" s="146">
        <v>51893</v>
      </c>
      <c r="L1106" s="145">
        <f t="shared" si="265"/>
        <v>0</v>
      </c>
      <c r="M1106" s="147">
        <f t="shared" si="266"/>
        <v>830288</v>
      </c>
      <c r="N1106" s="146">
        <f t="shared" si="267"/>
        <v>0</v>
      </c>
      <c r="O1106" s="146">
        <f t="shared" si="268"/>
        <v>0</v>
      </c>
      <c r="P1106" s="146">
        <f t="shared" si="269"/>
        <v>830288</v>
      </c>
      <c r="Q1106" s="100"/>
      <c r="R1106" s="117"/>
      <c r="S1106" t="s">
        <v>2246</v>
      </c>
    </row>
    <row r="1107" spans="1:19" ht="31.5" x14ac:dyDescent="0.25">
      <c r="A1107" s="48" t="str">
        <f t="shared" ref="A1107:A1138" si="270">A1106</f>
        <v>HT</v>
      </c>
      <c r="B1107" s="140" t="s">
        <v>2247</v>
      </c>
      <c r="C1107" s="141" t="s">
        <v>1025</v>
      </c>
      <c r="D1107" s="142" t="s">
        <v>1160</v>
      </c>
      <c r="E1107" s="143"/>
      <c r="F1107" s="143">
        <v>17.782800000000002</v>
      </c>
      <c r="G1107" s="144"/>
      <c r="H1107" s="144"/>
      <c r="I1107" s="144">
        <f t="shared" si="264"/>
        <v>17.782800000000002</v>
      </c>
      <c r="J1107" s="145"/>
      <c r="K1107" s="146">
        <v>863017</v>
      </c>
      <c r="L1107" s="145">
        <f t="shared" si="265"/>
        <v>0</v>
      </c>
      <c r="M1107" s="147">
        <f t="shared" si="266"/>
        <v>15346859</v>
      </c>
      <c r="N1107" s="146">
        <f t="shared" si="267"/>
        <v>0</v>
      </c>
      <c r="O1107" s="146">
        <f t="shared" si="268"/>
        <v>0</v>
      </c>
      <c r="P1107" s="146">
        <f t="shared" si="269"/>
        <v>15346859</v>
      </c>
      <c r="Q1107" s="100"/>
      <c r="R1107" s="117"/>
      <c r="S1107" t="s">
        <v>2248</v>
      </c>
    </row>
    <row r="1108" spans="1:19" x14ac:dyDescent="0.25">
      <c r="A1108" s="48" t="str">
        <f t="shared" si="270"/>
        <v>HT</v>
      </c>
      <c r="B1108" s="140"/>
      <c r="C1108" s="149" t="s">
        <v>2249</v>
      </c>
      <c r="D1108" s="142"/>
      <c r="E1108" s="143"/>
      <c r="F1108" s="143"/>
      <c r="G1108" s="144"/>
      <c r="H1108" s="144"/>
      <c r="I1108" s="144"/>
      <c r="J1108" s="145"/>
      <c r="K1108" s="146"/>
      <c r="L1108" s="145"/>
      <c r="M1108" s="147"/>
      <c r="N1108" s="146"/>
      <c r="O1108" s="146"/>
      <c r="P1108" s="146"/>
      <c r="Q1108" s="100"/>
      <c r="R1108" s="117"/>
    </row>
    <row r="1109" spans="1:19" ht="31.5" x14ac:dyDescent="0.25">
      <c r="A1109" s="48" t="str">
        <f t="shared" si="270"/>
        <v>HT</v>
      </c>
      <c r="B1109" s="140" t="s">
        <v>2250</v>
      </c>
      <c r="C1109" s="141" t="s">
        <v>2251</v>
      </c>
      <c r="D1109" s="142" t="s">
        <v>16</v>
      </c>
      <c r="E1109" s="143"/>
      <c r="F1109" s="143">
        <v>6.78</v>
      </c>
      <c r="G1109" s="144"/>
      <c r="H1109" s="144"/>
      <c r="I1109" s="144">
        <f>SUM(E1109:H1109)</f>
        <v>6.78</v>
      </c>
      <c r="J1109" s="145"/>
      <c r="K1109" s="146">
        <v>866925</v>
      </c>
      <c r="L1109" s="145">
        <f>+ROUND(K1109*E1109,0)</f>
        <v>0</v>
      </c>
      <c r="M1109" s="147">
        <f>+ROUND(F1109*K1109,0)</f>
        <v>5877752</v>
      </c>
      <c r="N1109" s="146">
        <f>+ROUND(G1109*K1109,0)</f>
        <v>0</v>
      </c>
      <c r="O1109" s="146">
        <f>+ROUND(H1109*K1109,0)</f>
        <v>0</v>
      </c>
      <c r="P1109" s="146">
        <f>SUM(L1109:O1109)</f>
        <v>5877752</v>
      </c>
      <c r="Q1109" s="100"/>
      <c r="R1109" s="117"/>
      <c r="S1109" t="s">
        <v>2252</v>
      </c>
    </row>
    <row r="1110" spans="1:19" x14ac:dyDescent="0.25">
      <c r="A1110" s="48" t="str">
        <f t="shared" si="270"/>
        <v>HT</v>
      </c>
      <c r="B1110" s="140"/>
      <c r="C1110" s="149" t="s">
        <v>2253</v>
      </c>
      <c r="D1110" s="142"/>
      <c r="E1110" s="143"/>
      <c r="F1110" s="143"/>
      <c r="G1110" s="144"/>
      <c r="H1110" s="144"/>
      <c r="I1110" s="144"/>
      <c r="J1110" s="145"/>
      <c r="K1110" s="146"/>
      <c r="L1110" s="145"/>
      <c r="M1110" s="147"/>
      <c r="N1110" s="146"/>
      <c r="O1110" s="146"/>
      <c r="P1110" s="146"/>
      <c r="Q1110" s="100"/>
      <c r="R1110" s="117"/>
    </row>
    <row r="1111" spans="1:19" s="22" customFormat="1" x14ac:dyDescent="0.25">
      <c r="A1111" s="48" t="str">
        <f t="shared" si="270"/>
        <v>HT</v>
      </c>
      <c r="B1111" s="140" t="s">
        <v>2254</v>
      </c>
      <c r="C1111" s="141" t="s">
        <v>2255</v>
      </c>
      <c r="D1111" s="142" t="s">
        <v>16</v>
      </c>
      <c r="E1111" s="143"/>
      <c r="F1111" s="143">
        <v>0.44</v>
      </c>
      <c r="G1111" s="144"/>
      <c r="H1111" s="144"/>
      <c r="I1111" s="144">
        <f t="shared" ref="I1111:I1118" si="271">SUM(E1111:H1111)</f>
        <v>0.44</v>
      </c>
      <c r="J1111" s="145"/>
      <c r="K1111" s="146">
        <v>1243638</v>
      </c>
      <c r="L1111" s="145">
        <f t="shared" ref="L1111:L1118" si="272">+ROUND(K1111*E1111,0)</f>
        <v>0</v>
      </c>
      <c r="M1111" s="147">
        <f t="shared" ref="M1111:M1118" si="273">+ROUND(F1111*K1111,0)</f>
        <v>547201</v>
      </c>
      <c r="N1111" s="146">
        <f t="shared" ref="N1111:N1118" si="274">+ROUND(G1111*K1111,0)</f>
        <v>0</v>
      </c>
      <c r="O1111" s="146">
        <f t="shared" ref="O1111:O1118" si="275">+ROUND(H1111*K1111,0)</f>
        <v>0</v>
      </c>
      <c r="P1111" s="146">
        <f t="shared" ref="P1111:P1118" si="276">SUM(L1111:O1111)</f>
        <v>547201</v>
      </c>
      <c r="Q1111" s="100"/>
      <c r="R1111" s="117"/>
      <c r="S1111" t="s">
        <v>2256</v>
      </c>
    </row>
    <row r="1112" spans="1:19" x14ac:dyDescent="0.25">
      <c r="A1112" s="48" t="str">
        <f t="shared" si="270"/>
        <v>HT</v>
      </c>
      <c r="B1112" s="140" t="s">
        <v>2257</v>
      </c>
      <c r="C1112" s="141" t="s">
        <v>2258</v>
      </c>
      <c r="D1112" s="142" t="s">
        <v>16</v>
      </c>
      <c r="E1112" s="143"/>
      <c r="F1112" s="143">
        <v>0.48</v>
      </c>
      <c r="G1112" s="144"/>
      <c r="H1112" s="144"/>
      <c r="I1112" s="144">
        <f t="shared" si="271"/>
        <v>0.48</v>
      </c>
      <c r="J1112" s="145"/>
      <c r="K1112" s="146">
        <v>1243638</v>
      </c>
      <c r="L1112" s="145">
        <f t="shared" si="272"/>
        <v>0</v>
      </c>
      <c r="M1112" s="147">
        <f t="shared" si="273"/>
        <v>596946</v>
      </c>
      <c r="N1112" s="146">
        <f t="shared" si="274"/>
        <v>0</v>
      </c>
      <c r="O1112" s="146">
        <f t="shared" si="275"/>
        <v>0</v>
      </c>
      <c r="P1112" s="146">
        <f t="shared" si="276"/>
        <v>596946</v>
      </c>
      <c r="Q1112" s="100"/>
      <c r="R1112" s="117"/>
      <c r="S1112" t="s">
        <v>2259</v>
      </c>
    </row>
    <row r="1113" spans="1:19" x14ac:dyDescent="0.25">
      <c r="A1113" s="48" t="str">
        <f t="shared" si="270"/>
        <v>HT</v>
      </c>
      <c r="B1113" s="140" t="s">
        <v>2260</v>
      </c>
      <c r="C1113" s="141" t="s">
        <v>2261</v>
      </c>
      <c r="D1113" s="142" t="s">
        <v>90</v>
      </c>
      <c r="E1113" s="143"/>
      <c r="F1113" s="143">
        <v>8.5900000000000004E-2</v>
      </c>
      <c r="G1113" s="144"/>
      <c r="H1113" s="144"/>
      <c r="I1113" s="144">
        <f t="shared" si="271"/>
        <v>8.5900000000000004E-2</v>
      </c>
      <c r="J1113" s="145"/>
      <c r="K1113" s="146">
        <v>22322787</v>
      </c>
      <c r="L1113" s="145">
        <f t="shared" si="272"/>
        <v>0</v>
      </c>
      <c r="M1113" s="147">
        <f t="shared" si="273"/>
        <v>1917527</v>
      </c>
      <c r="N1113" s="146">
        <f t="shared" si="274"/>
        <v>0</v>
      </c>
      <c r="O1113" s="146">
        <f t="shared" si="275"/>
        <v>0</v>
      </c>
      <c r="P1113" s="146">
        <f t="shared" si="276"/>
        <v>1917527</v>
      </c>
      <c r="Q1113" s="100"/>
      <c r="R1113" s="117"/>
      <c r="S1113" t="s">
        <v>2262</v>
      </c>
    </row>
    <row r="1114" spans="1:19" x14ac:dyDescent="0.25">
      <c r="A1114" s="48" t="str">
        <f t="shared" si="270"/>
        <v>HT</v>
      </c>
      <c r="B1114" s="140" t="s">
        <v>2263</v>
      </c>
      <c r="C1114" s="141" t="s">
        <v>2264</v>
      </c>
      <c r="D1114" s="142" t="s">
        <v>90</v>
      </c>
      <c r="E1114" s="143"/>
      <c r="F1114" s="143">
        <v>0.23039999999999999</v>
      </c>
      <c r="G1114" s="144"/>
      <c r="H1114" s="144"/>
      <c r="I1114" s="144">
        <f t="shared" si="271"/>
        <v>0.23039999999999999</v>
      </c>
      <c r="J1114" s="145"/>
      <c r="K1114" s="146">
        <v>22447020</v>
      </c>
      <c r="L1114" s="145">
        <f t="shared" si="272"/>
        <v>0</v>
      </c>
      <c r="M1114" s="147">
        <f t="shared" si="273"/>
        <v>5171793</v>
      </c>
      <c r="N1114" s="146">
        <f t="shared" si="274"/>
        <v>0</v>
      </c>
      <c r="O1114" s="146">
        <f t="shared" si="275"/>
        <v>0</v>
      </c>
      <c r="P1114" s="146">
        <f t="shared" si="276"/>
        <v>5171793</v>
      </c>
      <c r="Q1114" s="100"/>
      <c r="R1114" s="117"/>
      <c r="S1114" t="s">
        <v>2265</v>
      </c>
    </row>
    <row r="1115" spans="1:19" x14ac:dyDescent="0.25">
      <c r="A1115" s="48" t="str">
        <f t="shared" si="270"/>
        <v>HT</v>
      </c>
      <c r="B1115" s="140" t="s">
        <v>2266</v>
      </c>
      <c r="C1115" s="141" t="s">
        <v>2267</v>
      </c>
      <c r="D1115" s="142" t="s">
        <v>250</v>
      </c>
      <c r="E1115" s="143"/>
      <c r="F1115" s="143">
        <v>2</v>
      </c>
      <c r="G1115" s="144"/>
      <c r="H1115" s="144"/>
      <c r="I1115" s="144">
        <f t="shared" si="271"/>
        <v>2</v>
      </c>
      <c r="J1115" s="145"/>
      <c r="K1115" s="146">
        <v>1273272</v>
      </c>
      <c r="L1115" s="145">
        <f t="shared" si="272"/>
        <v>0</v>
      </c>
      <c r="M1115" s="147">
        <f t="shared" si="273"/>
        <v>2546544</v>
      </c>
      <c r="N1115" s="146">
        <f t="shared" si="274"/>
        <v>0</v>
      </c>
      <c r="O1115" s="146">
        <f t="shared" si="275"/>
        <v>0</v>
      </c>
      <c r="P1115" s="146">
        <f t="shared" si="276"/>
        <v>2546544</v>
      </c>
      <c r="Q1115" s="100"/>
      <c r="R1115" s="117"/>
      <c r="S1115" t="s">
        <v>2268</v>
      </c>
    </row>
    <row r="1116" spans="1:19" x14ac:dyDescent="0.25">
      <c r="A1116" s="48" t="str">
        <f t="shared" si="270"/>
        <v>HT</v>
      </c>
      <c r="B1116" s="140" t="s">
        <v>2269</v>
      </c>
      <c r="C1116" s="141" t="s">
        <v>125</v>
      </c>
      <c r="D1116" s="142" t="s">
        <v>126</v>
      </c>
      <c r="E1116" s="143"/>
      <c r="F1116" s="143">
        <v>0.19220000000000001</v>
      </c>
      <c r="G1116" s="144"/>
      <c r="H1116" s="144"/>
      <c r="I1116" s="144">
        <f t="shared" si="271"/>
        <v>0.19220000000000001</v>
      </c>
      <c r="J1116" s="145"/>
      <c r="K1116" s="146">
        <v>6038274</v>
      </c>
      <c r="L1116" s="145">
        <f t="shared" si="272"/>
        <v>0</v>
      </c>
      <c r="M1116" s="147">
        <f t="shared" si="273"/>
        <v>1160556</v>
      </c>
      <c r="N1116" s="146">
        <f t="shared" si="274"/>
        <v>0</v>
      </c>
      <c r="O1116" s="146">
        <f t="shared" si="275"/>
        <v>0</v>
      </c>
      <c r="P1116" s="146">
        <f t="shared" si="276"/>
        <v>1160556</v>
      </c>
      <c r="Q1116" s="100"/>
      <c r="R1116" s="117"/>
      <c r="S1116" t="s">
        <v>2270</v>
      </c>
    </row>
    <row r="1117" spans="1:19" x14ac:dyDescent="0.25">
      <c r="A1117" s="48" t="str">
        <f t="shared" si="270"/>
        <v>HT</v>
      </c>
      <c r="B1117" s="140" t="s">
        <v>2271</v>
      </c>
      <c r="C1117" s="141" t="s">
        <v>2272</v>
      </c>
      <c r="D1117" s="142" t="s">
        <v>90</v>
      </c>
      <c r="E1117" s="143"/>
      <c r="F1117" s="143">
        <v>0.22170000000000001</v>
      </c>
      <c r="G1117" s="144"/>
      <c r="H1117" s="144"/>
      <c r="I1117" s="144">
        <f t="shared" si="271"/>
        <v>0.22170000000000001</v>
      </c>
      <c r="J1117" s="145"/>
      <c r="K1117" s="146">
        <v>5367401</v>
      </c>
      <c r="L1117" s="145">
        <f t="shared" si="272"/>
        <v>0</v>
      </c>
      <c r="M1117" s="147">
        <f t="shared" si="273"/>
        <v>1189953</v>
      </c>
      <c r="N1117" s="146">
        <f t="shared" si="274"/>
        <v>0</v>
      </c>
      <c r="O1117" s="146">
        <f t="shared" si="275"/>
        <v>0</v>
      </c>
      <c r="P1117" s="146">
        <f t="shared" si="276"/>
        <v>1189953</v>
      </c>
      <c r="Q1117" s="100"/>
      <c r="R1117" s="117"/>
      <c r="S1117" t="s">
        <v>2273</v>
      </c>
    </row>
    <row r="1118" spans="1:19" x14ac:dyDescent="0.25">
      <c r="A1118" s="48" t="str">
        <f t="shared" si="270"/>
        <v>HT</v>
      </c>
      <c r="B1118" s="140" t="s">
        <v>2274</v>
      </c>
      <c r="C1118" s="141" t="s">
        <v>2275</v>
      </c>
      <c r="D1118" s="142" t="s">
        <v>258</v>
      </c>
      <c r="E1118" s="143"/>
      <c r="F1118" s="143">
        <v>2</v>
      </c>
      <c r="G1118" s="144"/>
      <c r="H1118" s="144"/>
      <c r="I1118" s="144">
        <f t="shared" si="271"/>
        <v>2</v>
      </c>
      <c r="J1118" s="145"/>
      <c r="K1118" s="146">
        <v>17858580</v>
      </c>
      <c r="L1118" s="145">
        <f t="shared" si="272"/>
        <v>0</v>
      </c>
      <c r="M1118" s="147">
        <f t="shared" si="273"/>
        <v>35717160</v>
      </c>
      <c r="N1118" s="146">
        <f t="shared" si="274"/>
        <v>0</v>
      </c>
      <c r="O1118" s="146">
        <f t="shared" si="275"/>
        <v>0</v>
      </c>
      <c r="P1118" s="146">
        <f t="shared" si="276"/>
        <v>35717160</v>
      </c>
      <c r="Q1118" s="100"/>
      <c r="R1118" s="117"/>
      <c r="S1118" t="s">
        <v>2276</v>
      </c>
    </row>
    <row r="1119" spans="1:19" x14ac:dyDescent="0.25">
      <c r="A1119" s="48" t="str">
        <f t="shared" si="270"/>
        <v>HT</v>
      </c>
      <c r="B1119" s="140"/>
      <c r="C1119" s="149" t="s">
        <v>2277</v>
      </c>
      <c r="D1119" s="142"/>
      <c r="E1119" s="143"/>
      <c r="F1119" s="143"/>
      <c r="G1119" s="144"/>
      <c r="H1119" s="144"/>
      <c r="I1119" s="144"/>
      <c r="J1119" s="145"/>
      <c r="K1119" s="146"/>
      <c r="L1119" s="145"/>
      <c r="M1119" s="147"/>
      <c r="N1119" s="146"/>
      <c r="O1119" s="146"/>
      <c r="P1119" s="146"/>
      <c r="Q1119" s="100"/>
      <c r="R1119" s="117"/>
    </row>
    <row r="1120" spans="1:19" x14ac:dyDescent="0.25">
      <c r="A1120" s="48" t="str">
        <f t="shared" si="270"/>
        <v>HT</v>
      </c>
      <c r="B1120" s="140" t="s">
        <v>2278</v>
      </c>
      <c r="C1120" s="141" t="s">
        <v>2279</v>
      </c>
      <c r="D1120" s="142" t="s">
        <v>16</v>
      </c>
      <c r="E1120" s="143"/>
      <c r="F1120" s="143">
        <v>4.17</v>
      </c>
      <c r="G1120" s="144"/>
      <c r="H1120" s="144"/>
      <c r="I1120" s="144">
        <f t="shared" ref="I1120:I1127" si="277">SUM(E1120:H1120)</f>
        <v>4.17</v>
      </c>
      <c r="J1120" s="145"/>
      <c r="K1120" s="146">
        <v>894131</v>
      </c>
      <c r="L1120" s="145">
        <f t="shared" ref="L1120:L1127" si="278">+ROUND(K1120*E1120,0)</f>
        <v>0</v>
      </c>
      <c r="M1120" s="147">
        <f t="shared" ref="M1120:M1127" si="279">+ROUND(F1120*K1120,0)</f>
        <v>3728526</v>
      </c>
      <c r="N1120" s="146">
        <f t="shared" ref="N1120:N1127" si="280">+ROUND(G1120*K1120,0)</f>
        <v>0</v>
      </c>
      <c r="O1120" s="146">
        <f t="shared" ref="O1120:O1127" si="281">+ROUND(H1120*K1120,0)</f>
        <v>0</v>
      </c>
      <c r="P1120" s="146">
        <f t="shared" ref="P1120:P1127" si="282">SUM(L1120:O1120)</f>
        <v>3728526</v>
      </c>
      <c r="Q1120" s="100"/>
      <c r="R1120" s="117"/>
      <c r="S1120" t="s">
        <v>2280</v>
      </c>
    </row>
    <row r="1121" spans="1:19" x14ac:dyDescent="0.25">
      <c r="A1121" s="48" t="str">
        <f t="shared" si="270"/>
        <v>HT</v>
      </c>
      <c r="B1121" s="140" t="s">
        <v>2281</v>
      </c>
      <c r="C1121" s="141" t="s">
        <v>497</v>
      </c>
      <c r="D1121" s="142" t="s">
        <v>126</v>
      </c>
      <c r="E1121" s="143"/>
      <c r="F1121" s="143">
        <v>0.1759</v>
      </c>
      <c r="G1121" s="144"/>
      <c r="H1121" s="144"/>
      <c r="I1121" s="144">
        <f t="shared" si="277"/>
        <v>0.1759</v>
      </c>
      <c r="J1121" s="145"/>
      <c r="K1121" s="146">
        <v>6038274</v>
      </c>
      <c r="L1121" s="145">
        <f t="shared" si="278"/>
        <v>0</v>
      </c>
      <c r="M1121" s="147">
        <f t="shared" si="279"/>
        <v>1062132</v>
      </c>
      <c r="N1121" s="146">
        <f t="shared" si="280"/>
        <v>0</v>
      </c>
      <c r="O1121" s="146">
        <f t="shared" si="281"/>
        <v>0</v>
      </c>
      <c r="P1121" s="146">
        <f t="shared" si="282"/>
        <v>1062132</v>
      </c>
      <c r="Q1121" s="100"/>
      <c r="R1121" s="117"/>
      <c r="S1121" t="s">
        <v>2282</v>
      </c>
    </row>
    <row r="1122" spans="1:19" ht="31.5" x14ac:dyDescent="0.25">
      <c r="A1122" s="48" t="str">
        <f t="shared" si="270"/>
        <v>HT</v>
      </c>
      <c r="B1122" s="140" t="s">
        <v>2283</v>
      </c>
      <c r="C1122" s="141" t="s">
        <v>2251</v>
      </c>
      <c r="D1122" s="142" t="s">
        <v>16</v>
      </c>
      <c r="E1122" s="143"/>
      <c r="F1122" s="143">
        <v>0.53</v>
      </c>
      <c r="G1122" s="144"/>
      <c r="H1122" s="144"/>
      <c r="I1122" s="144">
        <f t="shared" si="277"/>
        <v>0.53</v>
      </c>
      <c r="J1122" s="145"/>
      <c r="K1122" s="146">
        <v>866925</v>
      </c>
      <c r="L1122" s="145">
        <f t="shared" si="278"/>
        <v>0</v>
      </c>
      <c r="M1122" s="147">
        <f t="shared" si="279"/>
        <v>459470</v>
      </c>
      <c r="N1122" s="146">
        <f t="shared" si="280"/>
        <v>0</v>
      </c>
      <c r="O1122" s="146">
        <f t="shared" si="281"/>
        <v>0</v>
      </c>
      <c r="P1122" s="146">
        <f t="shared" si="282"/>
        <v>459470</v>
      </c>
      <c r="Q1122" s="100"/>
      <c r="R1122" s="117"/>
      <c r="S1122" t="s">
        <v>2284</v>
      </c>
    </row>
    <row r="1123" spans="1:19" x14ac:dyDescent="0.25">
      <c r="A1123" s="48" t="str">
        <f t="shared" si="270"/>
        <v>HT</v>
      </c>
      <c r="B1123" s="140" t="s">
        <v>2285</v>
      </c>
      <c r="C1123" s="141" t="s">
        <v>2286</v>
      </c>
      <c r="D1123" s="142"/>
      <c r="E1123" s="143"/>
      <c r="F1123" s="143">
        <v>3</v>
      </c>
      <c r="G1123" s="144"/>
      <c r="H1123" s="144"/>
      <c r="I1123" s="144">
        <f t="shared" si="277"/>
        <v>3</v>
      </c>
      <c r="J1123" s="145"/>
      <c r="K1123" s="146">
        <v>140060</v>
      </c>
      <c r="L1123" s="145">
        <f t="shared" si="278"/>
        <v>0</v>
      </c>
      <c r="M1123" s="147">
        <f t="shared" si="279"/>
        <v>420180</v>
      </c>
      <c r="N1123" s="146">
        <f t="shared" si="280"/>
        <v>0</v>
      </c>
      <c r="O1123" s="146">
        <f t="shared" si="281"/>
        <v>0</v>
      </c>
      <c r="P1123" s="146">
        <f t="shared" si="282"/>
        <v>420180</v>
      </c>
      <c r="Q1123" s="100"/>
      <c r="R1123" s="117"/>
      <c r="S1123" t="s">
        <v>2287</v>
      </c>
    </row>
    <row r="1124" spans="1:19" x14ac:dyDescent="0.25">
      <c r="A1124" s="48" t="str">
        <f t="shared" si="270"/>
        <v>HT</v>
      </c>
      <c r="B1124" s="140" t="s">
        <v>2288</v>
      </c>
      <c r="C1124" s="141" t="s">
        <v>2289</v>
      </c>
      <c r="D1124" s="142"/>
      <c r="E1124" s="143"/>
      <c r="F1124" s="143">
        <v>6</v>
      </c>
      <c r="G1124" s="144"/>
      <c r="H1124" s="144"/>
      <c r="I1124" s="144">
        <f t="shared" si="277"/>
        <v>6</v>
      </c>
      <c r="J1124" s="145"/>
      <c r="K1124" s="146">
        <v>11460</v>
      </c>
      <c r="L1124" s="145">
        <f t="shared" si="278"/>
        <v>0</v>
      </c>
      <c r="M1124" s="147">
        <f t="shared" si="279"/>
        <v>68760</v>
      </c>
      <c r="N1124" s="146">
        <f t="shared" si="280"/>
        <v>0</v>
      </c>
      <c r="O1124" s="146">
        <f t="shared" si="281"/>
        <v>0</v>
      </c>
      <c r="P1124" s="146">
        <f t="shared" si="282"/>
        <v>68760</v>
      </c>
      <c r="Q1124" s="100"/>
      <c r="R1124" s="117"/>
      <c r="S1124" t="s">
        <v>2290</v>
      </c>
    </row>
    <row r="1125" spans="1:19" x14ac:dyDescent="0.25">
      <c r="A1125" s="48" t="str">
        <f t="shared" si="270"/>
        <v>HT</v>
      </c>
      <c r="B1125" s="140" t="s">
        <v>2291</v>
      </c>
      <c r="C1125" s="141" t="s">
        <v>2292</v>
      </c>
      <c r="D1125" s="142"/>
      <c r="E1125" s="143"/>
      <c r="F1125" s="143">
        <v>11</v>
      </c>
      <c r="G1125" s="144"/>
      <c r="H1125" s="144"/>
      <c r="I1125" s="144">
        <f t="shared" si="277"/>
        <v>11</v>
      </c>
      <c r="J1125" s="145"/>
      <c r="K1125" s="146">
        <v>3404602</v>
      </c>
      <c r="L1125" s="145">
        <f t="shared" si="278"/>
        <v>0</v>
      </c>
      <c r="M1125" s="147">
        <f t="shared" si="279"/>
        <v>37450622</v>
      </c>
      <c r="N1125" s="146">
        <f t="shared" si="280"/>
        <v>0</v>
      </c>
      <c r="O1125" s="146">
        <f t="shared" si="281"/>
        <v>0</v>
      </c>
      <c r="P1125" s="146">
        <f t="shared" si="282"/>
        <v>37450622</v>
      </c>
      <c r="Q1125" s="100"/>
      <c r="R1125" s="117"/>
      <c r="S1125" t="s">
        <v>2293</v>
      </c>
    </row>
    <row r="1126" spans="1:19" ht="31.5" x14ac:dyDescent="0.25">
      <c r="A1126" s="48" t="str">
        <f t="shared" si="270"/>
        <v>HT</v>
      </c>
      <c r="B1126" s="140" t="s">
        <v>2294</v>
      </c>
      <c r="C1126" s="141" t="s">
        <v>2295</v>
      </c>
      <c r="D1126" s="142" t="s">
        <v>1160</v>
      </c>
      <c r="E1126" s="143"/>
      <c r="F1126" s="143">
        <v>2.5344000000000002</v>
      </c>
      <c r="G1126" s="144"/>
      <c r="H1126" s="144"/>
      <c r="I1126" s="144">
        <f t="shared" si="277"/>
        <v>2.5344000000000002</v>
      </c>
      <c r="J1126" s="145"/>
      <c r="K1126" s="146">
        <v>908179</v>
      </c>
      <c r="L1126" s="145">
        <f t="shared" si="278"/>
        <v>0</v>
      </c>
      <c r="M1126" s="147">
        <f t="shared" si="279"/>
        <v>2301689</v>
      </c>
      <c r="N1126" s="146">
        <f t="shared" si="280"/>
        <v>0</v>
      </c>
      <c r="O1126" s="146">
        <f t="shared" si="281"/>
        <v>0</v>
      </c>
      <c r="P1126" s="146">
        <f t="shared" si="282"/>
        <v>2301689</v>
      </c>
      <c r="Q1126" s="100"/>
      <c r="R1126" s="117"/>
      <c r="S1126" t="s">
        <v>2296</v>
      </c>
    </row>
    <row r="1127" spans="1:19" x14ac:dyDescent="0.25">
      <c r="A1127" s="48" t="str">
        <f t="shared" si="270"/>
        <v>HT</v>
      </c>
      <c r="B1127" s="140" t="s">
        <v>2297</v>
      </c>
      <c r="C1127" s="141" t="s">
        <v>218</v>
      </c>
      <c r="D1127" s="142" t="s">
        <v>493</v>
      </c>
      <c r="E1127" s="143"/>
      <c r="F1127" s="143">
        <v>4.29</v>
      </c>
      <c r="G1127" s="144"/>
      <c r="H1127" s="144"/>
      <c r="I1127" s="144">
        <f t="shared" si="277"/>
        <v>4.29</v>
      </c>
      <c r="J1127" s="145"/>
      <c r="K1127" s="146">
        <v>143451</v>
      </c>
      <c r="L1127" s="145">
        <f t="shared" si="278"/>
        <v>0</v>
      </c>
      <c r="M1127" s="147">
        <f t="shared" si="279"/>
        <v>615405</v>
      </c>
      <c r="N1127" s="146">
        <f t="shared" si="280"/>
        <v>0</v>
      </c>
      <c r="O1127" s="146">
        <f t="shared" si="281"/>
        <v>0</v>
      </c>
      <c r="P1127" s="146">
        <f t="shared" si="282"/>
        <v>615405</v>
      </c>
      <c r="Q1127" s="100"/>
      <c r="R1127" s="117"/>
      <c r="S1127" t="s">
        <v>2298</v>
      </c>
    </row>
    <row r="1128" spans="1:19" x14ac:dyDescent="0.25">
      <c r="A1128" s="48" t="str">
        <f t="shared" si="270"/>
        <v>HT</v>
      </c>
      <c r="B1128" s="140"/>
      <c r="C1128" s="149" t="s">
        <v>2051</v>
      </c>
      <c r="D1128" s="142"/>
      <c r="E1128" s="143"/>
      <c r="F1128" s="143"/>
      <c r="G1128" s="144"/>
      <c r="H1128" s="144"/>
      <c r="I1128" s="144"/>
      <c r="J1128" s="145"/>
      <c r="K1128" s="146"/>
      <c r="L1128" s="145"/>
      <c r="M1128" s="147"/>
      <c r="N1128" s="146"/>
      <c r="O1128" s="146"/>
      <c r="P1128" s="146"/>
      <c r="Q1128" s="100"/>
      <c r="R1128" s="117"/>
    </row>
    <row r="1129" spans="1:19" ht="31.5" x14ac:dyDescent="0.25">
      <c r="A1129" s="48" t="str">
        <f t="shared" si="270"/>
        <v>HT</v>
      </c>
      <c r="B1129" s="140" t="s">
        <v>2299</v>
      </c>
      <c r="C1129" s="141" t="s">
        <v>2300</v>
      </c>
      <c r="D1129" s="142" t="s">
        <v>567</v>
      </c>
      <c r="E1129" s="143"/>
      <c r="F1129" s="143">
        <v>14</v>
      </c>
      <c r="G1129" s="144"/>
      <c r="H1129" s="144"/>
      <c r="I1129" s="144">
        <f>SUM(E1129:H1129)</f>
        <v>14</v>
      </c>
      <c r="J1129" s="145"/>
      <c r="K1129" s="146">
        <v>5923225</v>
      </c>
      <c r="L1129" s="145">
        <f>+ROUND(K1129*E1129,0)</f>
        <v>0</v>
      </c>
      <c r="M1129" s="147">
        <f>+ROUND(F1129*K1129,0)</f>
        <v>82925150</v>
      </c>
      <c r="N1129" s="146">
        <f>+ROUND(G1129*K1129,0)</f>
        <v>0</v>
      </c>
      <c r="O1129" s="146">
        <f>+ROUND(H1129*K1129,0)</f>
        <v>0</v>
      </c>
      <c r="P1129" s="146">
        <f>SUM(L1129:O1129)</f>
        <v>82925150</v>
      </c>
      <c r="Q1129" s="100"/>
      <c r="R1129" s="117"/>
      <c r="S1129" t="s">
        <v>2301</v>
      </c>
    </row>
    <row r="1130" spans="1:19" ht="31.5" x14ac:dyDescent="0.25">
      <c r="A1130" s="48" t="str">
        <f t="shared" si="270"/>
        <v>HT</v>
      </c>
      <c r="B1130" s="140" t="s">
        <v>2302</v>
      </c>
      <c r="C1130" s="141" t="s">
        <v>2303</v>
      </c>
      <c r="D1130" s="142" t="s">
        <v>2304</v>
      </c>
      <c r="E1130" s="143"/>
      <c r="F1130" s="143">
        <v>1</v>
      </c>
      <c r="G1130" s="144"/>
      <c r="H1130" s="144"/>
      <c r="I1130" s="144">
        <f>SUM(E1130:H1130)</f>
        <v>1</v>
      </c>
      <c r="J1130" s="145"/>
      <c r="K1130" s="146">
        <v>58830</v>
      </c>
      <c r="L1130" s="145">
        <f>+ROUND(K1130*E1130,0)</f>
        <v>0</v>
      </c>
      <c r="M1130" s="147">
        <f>+ROUND(F1130*K1130,0)</f>
        <v>58830</v>
      </c>
      <c r="N1130" s="146">
        <f>+ROUND(G1130*K1130,0)</f>
        <v>0</v>
      </c>
      <c r="O1130" s="146">
        <f>+ROUND(H1130*K1130,0)</f>
        <v>0</v>
      </c>
      <c r="P1130" s="146">
        <f>SUM(L1130:O1130)</f>
        <v>58830</v>
      </c>
      <c r="Q1130" s="100"/>
      <c r="R1130" s="117"/>
      <c r="S1130" t="s">
        <v>2305</v>
      </c>
    </row>
    <row r="1131" spans="1:19" s="22" customFormat="1" ht="31.5" x14ac:dyDescent="0.25">
      <c r="A1131" s="48" t="str">
        <f t="shared" si="270"/>
        <v>HT</v>
      </c>
      <c r="B1131" s="140" t="s">
        <v>2306</v>
      </c>
      <c r="C1131" s="141" t="s">
        <v>910</v>
      </c>
      <c r="D1131" s="142" t="s">
        <v>250</v>
      </c>
      <c r="E1131" s="143"/>
      <c r="F1131" s="143">
        <v>14</v>
      </c>
      <c r="G1131" s="144"/>
      <c r="H1131" s="144"/>
      <c r="I1131" s="144">
        <f>SUM(E1131:H1131)</f>
        <v>14</v>
      </c>
      <c r="J1131" s="145"/>
      <c r="K1131" s="146">
        <v>67973</v>
      </c>
      <c r="L1131" s="145">
        <f>+ROUND(K1131*E1131,0)</f>
        <v>0</v>
      </c>
      <c r="M1131" s="147">
        <f>+ROUND(F1131*K1131,0)</f>
        <v>951622</v>
      </c>
      <c r="N1131" s="146">
        <f>+ROUND(G1131*K1131,0)</f>
        <v>0</v>
      </c>
      <c r="O1131" s="146">
        <f>+ROUND(H1131*K1131,0)</f>
        <v>0</v>
      </c>
      <c r="P1131" s="146">
        <f>SUM(L1131:O1131)</f>
        <v>951622</v>
      </c>
      <c r="Q1131" s="100"/>
      <c r="R1131" s="117"/>
      <c r="S1131" t="s">
        <v>2307</v>
      </c>
    </row>
    <row r="1132" spans="1:19" ht="31.5" x14ac:dyDescent="0.25">
      <c r="A1132" s="48" t="str">
        <f t="shared" si="270"/>
        <v>HT</v>
      </c>
      <c r="B1132" s="140" t="s">
        <v>2308</v>
      </c>
      <c r="C1132" s="141" t="s">
        <v>876</v>
      </c>
      <c r="D1132" s="142" t="s">
        <v>250</v>
      </c>
      <c r="E1132" s="143"/>
      <c r="F1132" s="143">
        <v>14</v>
      </c>
      <c r="G1132" s="144"/>
      <c r="H1132" s="144"/>
      <c r="I1132" s="144">
        <f>SUM(E1132:H1132)</f>
        <v>14</v>
      </c>
      <c r="J1132" s="145"/>
      <c r="K1132" s="146">
        <v>51893</v>
      </c>
      <c r="L1132" s="145">
        <f>+ROUND(K1132*E1132,0)</f>
        <v>0</v>
      </c>
      <c r="M1132" s="147">
        <f>+ROUND(F1132*K1132,0)</f>
        <v>726502</v>
      </c>
      <c r="N1132" s="146">
        <f>+ROUND(G1132*K1132,0)</f>
        <v>0</v>
      </c>
      <c r="O1132" s="146">
        <f>+ROUND(H1132*K1132,0)</f>
        <v>0</v>
      </c>
      <c r="P1132" s="146">
        <f>SUM(L1132:O1132)</f>
        <v>726502</v>
      </c>
      <c r="Q1132" s="100"/>
      <c r="R1132" s="117"/>
      <c r="S1132" t="s">
        <v>2309</v>
      </c>
    </row>
    <row r="1133" spans="1:19" x14ac:dyDescent="0.25">
      <c r="A1133" s="48" t="str">
        <f t="shared" si="270"/>
        <v>HT</v>
      </c>
      <c r="B1133" s="140"/>
      <c r="C1133" s="149" t="s">
        <v>2092</v>
      </c>
      <c r="D1133" s="142"/>
      <c r="E1133" s="143"/>
      <c r="F1133" s="143"/>
      <c r="G1133" s="144"/>
      <c r="H1133" s="144"/>
      <c r="I1133" s="144"/>
      <c r="J1133" s="145"/>
      <c r="K1133" s="146"/>
      <c r="L1133" s="145"/>
      <c r="M1133" s="147"/>
      <c r="N1133" s="146"/>
      <c r="O1133" s="146"/>
      <c r="P1133" s="146"/>
      <c r="Q1133" s="100"/>
      <c r="R1133" s="117"/>
    </row>
    <row r="1134" spans="1:19" ht="31.5" x14ac:dyDescent="0.25">
      <c r="A1134" s="48" t="str">
        <f t="shared" si="270"/>
        <v>HT</v>
      </c>
      <c r="B1134" s="140" t="s">
        <v>2310</v>
      </c>
      <c r="C1134" s="141" t="s">
        <v>2311</v>
      </c>
      <c r="D1134" s="142" t="s">
        <v>16</v>
      </c>
      <c r="E1134" s="143"/>
      <c r="F1134" s="143">
        <v>5.2</v>
      </c>
      <c r="G1134" s="144"/>
      <c r="H1134" s="144"/>
      <c r="I1134" s="144">
        <f t="shared" ref="I1134:I1140" si="283">SUM(E1134:H1134)</f>
        <v>5.2</v>
      </c>
      <c r="J1134" s="145"/>
      <c r="K1134" s="146">
        <v>1366943</v>
      </c>
      <c r="L1134" s="145">
        <f t="shared" ref="L1134:L1140" si="284">+ROUND(K1134*E1134,0)</f>
        <v>0</v>
      </c>
      <c r="M1134" s="147">
        <f t="shared" ref="M1134:M1140" si="285">+ROUND(F1134*K1134,0)</f>
        <v>7108104</v>
      </c>
      <c r="N1134" s="146">
        <f t="shared" ref="N1134:N1140" si="286">+ROUND(G1134*K1134,0)</f>
        <v>0</v>
      </c>
      <c r="O1134" s="146">
        <f t="shared" ref="O1134:O1140" si="287">+ROUND(H1134*K1134,0)</f>
        <v>0</v>
      </c>
      <c r="P1134" s="146">
        <f t="shared" ref="P1134:P1140" si="288">SUM(L1134:O1134)</f>
        <v>7108104</v>
      </c>
      <c r="Q1134" s="100"/>
      <c r="R1134" s="117"/>
      <c r="S1134" t="s">
        <v>2312</v>
      </c>
    </row>
    <row r="1135" spans="1:19" x14ac:dyDescent="0.25">
      <c r="A1135" s="48" t="str">
        <f t="shared" si="270"/>
        <v>HT</v>
      </c>
      <c r="B1135" s="140" t="s">
        <v>2313</v>
      </c>
      <c r="C1135" s="141" t="s">
        <v>597</v>
      </c>
      <c r="D1135" s="142" t="s">
        <v>126</v>
      </c>
      <c r="E1135" s="143"/>
      <c r="F1135" s="143">
        <v>5.8799999999999998E-2</v>
      </c>
      <c r="G1135" s="144"/>
      <c r="H1135" s="144"/>
      <c r="I1135" s="144">
        <f t="shared" si="283"/>
        <v>5.8799999999999998E-2</v>
      </c>
      <c r="J1135" s="145"/>
      <c r="K1135" s="146">
        <v>9954381</v>
      </c>
      <c r="L1135" s="145">
        <f t="shared" si="284"/>
        <v>0</v>
      </c>
      <c r="M1135" s="147">
        <f t="shared" si="285"/>
        <v>585318</v>
      </c>
      <c r="N1135" s="146">
        <f t="shared" si="286"/>
        <v>0</v>
      </c>
      <c r="O1135" s="146">
        <f t="shared" si="287"/>
        <v>0</v>
      </c>
      <c r="P1135" s="146">
        <f t="shared" si="288"/>
        <v>585318</v>
      </c>
      <c r="Q1135" s="100"/>
      <c r="R1135" s="117"/>
      <c r="S1135" t="s">
        <v>2314</v>
      </c>
    </row>
    <row r="1136" spans="1:19" x14ac:dyDescent="0.25">
      <c r="A1136" s="48" t="str">
        <f t="shared" si="270"/>
        <v>HT</v>
      </c>
      <c r="B1136" s="140" t="s">
        <v>2315</v>
      </c>
      <c r="C1136" s="141" t="s">
        <v>2238</v>
      </c>
      <c r="D1136" s="142" t="s">
        <v>258</v>
      </c>
      <c r="E1136" s="143"/>
      <c r="F1136" s="143">
        <v>14</v>
      </c>
      <c r="G1136" s="144"/>
      <c r="H1136" s="144"/>
      <c r="I1136" s="144">
        <f t="shared" si="283"/>
        <v>14</v>
      </c>
      <c r="J1136" s="145"/>
      <c r="K1136" s="146">
        <v>205124</v>
      </c>
      <c r="L1136" s="145">
        <f t="shared" si="284"/>
        <v>0</v>
      </c>
      <c r="M1136" s="147">
        <f t="shared" si="285"/>
        <v>2871736</v>
      </c>
      <c r="N1136" s="146">
        <f t="shared" si="286"/>
        <v>0</v>
      </c>
      <c r="O1136" s="146">
        <f t="shared" si="287"/>
        <v>0</v>
      </c>
      <c r="P1136" s="146">
        <f t="shared" si="288"/>
        <v>2871736</v>
      </c>
      <c r="Q1136" s="100"/>
      <c r="R1136" s="117"/>
      <c r="S1136" t="s">
        <v>2316</v>
      </c>
    </row>
    <row r="1137" spans="1:19" x14ac:dyDescent="0.25">
      <c r="A1137" s="48" t="str">
        <f t="shared" si="270"/>
        <v>HT</v>
      </c>
      <c r="B1137" s="140" t="s">
        <v>2317</v>
      </c>
      <c r="C1137" s="141" t="s">
        <v>2318</v>
      </c>
      <c r="D1137" s="142" t="s">
        <v>16</v>
      </c>
      <c r="E1137" s="143"/>
      <c r="F1137" s="143">
        <v>2.72</v>
      </c>
      <c r="G1137" s="144"/>
      <c r="H1137" s="144"/>
      <c r="I1137" s="144">
        <f t="shared" si="283"/>
        <v>2.72</v>
      </c>
      <c r="J1137" s="145"/>
      <c r="K1137" s="146">
        <v>1366943</v>
      </c>
      <c r="L1137" s="145">
        <f t="shared" si="284"/>
        <v>0</v>
      </c>
      <c r="M1137" s="147">
        <f t="shared" si="285"/>
        <v>3718085</v>
      </c>
      <c r="N1137" s="146">
        <f t="shared" si="286"/>
        <v>0</v>
      </c>
      <c r="O1137" s="146">
        <f t="shared" si="287"/>
        <v>0</v>
      </c>
      <c r="P1137" s="146">
        <f t="shared" si="288"/>
        <v>3718085</v>
      </c>
      <c r="Q1137" s="100"/>
      <c r="R1137" s="117"/>
      <c r="S1137" t="s">
        <v>2319</v>
      </c>
    </row>
    <row r="1138" spans="1:19" ht="47.25" x14ac:dyDescent="0.25">
      <c r="A1138" s="48" t="str">
        <f t="shared" si="270"/>
        <v>HT</v>
      </c>
      <c r="B1138" s="140" t="s">
        <v>2320</v>
      </c>
      <c r="C1138" s="141" t="s">
        <v>2241</v>
      </c>
      <c r="D1138" s="142" t="s">
        <v>253</v>
      </c>
      <c r="E1138" s="143"/>
      <c r="F1138" s="143">
        <v>1.3</v>
      </c>
      <c r="G1138" s="144"/>
      <c r="H1138" s="144"/>
      <c r="I1138" s="144">
        <f t="shared" si="283"/>
        <v>1.3</v>
      </c>
      <c r="J1138" s="145"/>
      <c r="K1138" s="146">
        <v>30957</v>
      </c>
      <c r="L1138" s="145">
        <f t="shared" si="284"/>
        <v>0</v>
      </c>
      <c r="M1138" s="147">
        <f t="shared" si="285"/>
        <v>40244</v>
      </c>
      <c r="N1138" s="146">
        <f t="shared" si="286"/>
        <v>0</v>
      </c>
      <c r="O1138" s="146">
        <f t="shared" si="287"/>
        <v>0</v>
      </c>
      <c r="P1138" s="146">
        <f t="shared" si="288"/>
        <v>40244</v>
      </c>
      <c r="Q1138" s="100"/>
      <c r="R1138" s="117"/>
      <c r="S1138" t="s">
        <v>2321</v>
      </c>
    </row>
    <row r="1139" spans="1:19" ht="31.5" x14ac:dyDescent="0.25">
      <c r="A1139" s="48" t="str">
        <f t="shared" ref="A1139:A1157" si="289">A1138</f>
        <v>HT</v>
      </c>
      <c r="B1139" s="140" t="s">
        <v>2322</v>
      </c>
      <c r="C1139" s="141" t="s">
        <v>910</v>
      </c>
      <c r="D1139" s="142" t="s">
        <v>250</v>
      </c>
      <c r="E1139" s="143"/>
      <c r="F1139" s="143">
        <v>14</v>
      </c>
      <c r="G1139" s="144"/>
      <c r="H1139" s="144"/>
      <c r="I1139" s="144">
        <f t="shared" si="283"/>
        <v>14</v>
      </c>
      <c r="J1139" s="145"/>
      <c r="K1139" s="146">
        <v>67973</v>
      </c>
      <c r="L1139" s="145">
        <f t="shared" si="284"/>
        <v>0</v>
      </c>
      <c r="M1139" s="147">
        <f t="shared" si="285"/>
        <v>951622</v>
      </c>
      <c r="N1139" s="146">
        <f t="shared" si="286"/>
        <v>0</v>
      </c>
      <c r="O1139" s="146">
        <f t="shared" si="287"/>
        <v>0</v>
      </c>
      <c r="P1139" s="146">
        <f t="shared" si="288"/>
        <v>951622</v>
      </c>
      <c r="Q1139" s="100"/>
      <c r="R1139" s="117"/>
      <c r="S1139" t="s">
        <v>2323</v>
      </c>
    </row>
    <row r="1140" spans="1:19" ht="31.5" x14ac:dyDescent="0.25">
      <c r="A1140" s="48" t="str">
        <f t="shared" si="289"/>
        <v>HT</v>
      </c>
      <c r="B1140" s="140" t="s">
        <v>2324</v>
      </c>
      <c r="C1140" s="141" t="s">
        <v>876</v>
      </c>
      <c r="D1140" s="142" t="s">
        <v>250</v>
      </c>
      <c r="E1140" s="143"/>
      <c r="F1140" s="143">
        <v>14</v>
      </c>
      <c r="G1140" s="144"/>
      <c r="H1140" s="144"/>
      <c r="I1140" s="144">
        <f t="shared" si="283"/>
        <v>14</v>
      </c>
      <c r="J1140" s="145"/>
      <c r="K1140" s="146">
        <v>51893</v>
      </c>
      <c r="L1140" s="145">
        <f t="shared" si="284"/>
        <v>0</v>
      </c>
      <c r="M1140" s="147">
        <f t="shared" si="285"/>
        <v>726502</v>
      </c>
      <c r="N1140" s="146">
        <f t="shared" si="286"/>
        <v>0</v>
      </c>
      <c r="O1140" s="146">
        <f t="shared" si="287"/>
        <v>0</v>
      </c>
      <c r="P1140" s="146">
        <f t="shared" si="288"/>
        <v>726502</v>
      </c>
      <c r="Q1140" s="100"/>
      <c r="R1140" s="117"/>
      <c r="S1140" t="s">
        <v>2325</v>
      </c>
    </row>
    <row r="1141" spans="1:19" x14ac:dyDescent="0.25">
      <c r="A1141" s="48" t="str">
        <f t="shared" si="289"/>
        <v>HT</v>
      </c>
      <c r="B1141" s="140"/>
      <c r="C1141" s="149" t="s">
        <v>2326</v>
      </c>
      <c r="D1141" s="142"/>
      <c r="E1141" s="143"/>
      <c r="F1141" s="143"/>
      <c r="G1141" s="144"/>
      <c r="H1141" s="144"/>
      <c r="I1141" s="144"/>
      <c r="J1141" s="145"/>
      <c r="K1141" s="146"/>
      <c r="L1141" s="145"/>
      <c r="M1141" s="147"/>
      <c r="N1141" s="146"/>
      <c r="O1141" s="146"/>
      <c r="P1141" s="146"/>
      <c r="Q1141" s="100"/>
      <c r="R1141" s="117"/>
    </row>
    <row r="1142" spans="1:19" x14ac:dyDescent="0.25">
      <c r="A1142" s="48" t="str">
        <f t="shared" si="289"/>
        <v>HT</v>
      </c>
      <c r="B1142" s="140" t="s">
        <v>2327</v>
      </c>
      <c r="C1142" s="141" t="s">
        <v>2328</v>
      </c>
      <c r="D1142" s="142" t="s">
        <v>16</v>
      </c>
      <c r="E1142" s="143"/>
      <c r="F1142" s="143">
        <v>21.72</v>
      </c>
      <c r="G1142" s="144"/>
      <c r="H1142" s="144"/>
      <c r="I1142" s="144">
        <f>SUM(E1142:H1142)</f>
        <v>21.72</v>
      </c>
      <c r="J1142" s="145"/>
      <c r="K1142" s="146">
        <v>1195136</v>
      </c>
      <c r="L1142" s="145">
        <f>+ROUND(K1142*E1142,0)</f>
        <v>0</v>
      </c>
      <c r="M1142" s="147">
        <f>+ROUND(F1142*K1142,0)</f>
        <v>25958354</v>
      </c>
      <c r="N1142" s="146">
        <f>+ROUND(G1142*K1142,0)</f>
        <v>0</v>
      </c>
      <c r="O1142" s="146">
        <f>+ROUND(H1142*K1142,0)</f>
        <v>0</v>
      </c>
      <c r="P1142" s="146">
        <f>SUM(L1142:O1142)</f>
        <v>25958354</v>
      </c>
      <c r="Q1142" s="100"/>
      <c r="R1142" s="117"/>
      <c r="S1142" t="s">
        <v>2329</v>
      </c>
    </row>
    <row r="1143" spans="1:19" x14ac:dyDescent="0.25">
      <c r="A1143" s="48" t="str">
        <f t="shared" si="289"/>
        <v>HT</v>
      </c>
      <c r="B1143" s="140" t="s">
        <v>2330</v>
      </c>
      <c r="C1143" s="141" t="s">
        <v>2133</v>
      </c>
      <c r="D1143" s="142" t="s">
        <v>126</v>
      </c>
      <c r="E1143" s="143"/>
      <c r="F1143" s="143">
        <v>0.87350000000000005</v>
      </c>
      <c r="G1143" s="144"/>
      <c r="H1143" s="144"/>
      <c r="I1143" s="144">
        <f>SUM(E1143:H1143)</f>
        <v>0.87350000000000005</v>
      </c>
      <c r="J1143" s="145"/>
      <c r="K1143" s="146">
        <v>13463333</v>
      </c>
      <c r="L1143" s="145">
        <f>+ROUND(K1143*E1143,0)</f>
        <v>0</v>
      </c>
      <c r="M1143" s="147">
        <f>+ROUND(F1143*K1143,0)</f>
        <v>11760221</v>
      </c>
      <c r="N1143" s="146">
        <f>+ROUND(G1143*K1143,0)</f>
        <v>0</v>
      </c>
      <c r="O1143" s="146">
        <f>+ROUND(H1143*K1143,0)</f>
        <v>0</v>
      </c>
      <c r="P1143" s="146">
        <f>SUM(L1143:O1143)</f>
        <v>11760221</v>
      </c>
      <c r="Q1143" s="100"/>
      <c r="R1143" s="117"/>
      <c r="S1143" t="s">
        <v>2331</v>
      </c>
    </row>
    <row r="1144" spans="1:19" x14ac:dyDescent="0.25">
      <c r="A1144" s="48" t="str">
        <f t="shared" si="289"/>
        <v>HT</v>
      </c>
      <c r="B1144" s="140"/>
      <c r="C1144" s="149" t="s">
        <v>2332</v>
      </c>
      <c r="D1144" s="142"/>
      <c r="E1144" s="143"/>
      <c r="F1144" s="143"/>
      <c r="G1144" s="144"/>
      <c r="H1144" s="144"/>
      <c r="I1144" s="144"/>
      <c r="J1144" s="145"/>
      <c r="K1144" s="146"/>
      <c r="L1144" s="145"/>
      <c r="M1144" s="147"/>
      <c r="N1144" s="146"/>
      <c r="O1144" s="146"/>
      <c r="P1144" s="146"/>
      <c r="Q1144" s="100"/>
      <c r="R1144" s="117"/>
    </row>
    <row r="1145" spans="1:19" x14ac:dyDescent="0.25">
      <c r="A1145" s="48" t="str">
        <f t="shared" si="289"/>
        <v>HT</v>
      </c>
      <c r="B1145" s="140" t="s">
        <v>2333</v>
      </c>
      <c r="C1145" s="141" t="s">
        <v>2334</v>
      </c>
      <c r="D1145" s="142" t="s">
        <v>16</v>
      </c>
      <c r="E1145" s="143"/>
      <c r="F1145" s="143">
        <v>2.83</v>
      </c>
      <c r="G1145" s="144"/>
      <c r="H1145" s="144"/>
      <c r="I1145" s="144">
        <f>SUM(E1145:H1145)</f>
        <v>2.83</v>
      </c>
      <c r="J1145" s="145"/>
      <c r="K1145" s="146">
        <v>1195136</v>
      </c>
      <c r="L1145" s="145">
        <f>+ROUND(K1145*E1145,0)</f>
        <v>0</v>
      </c>
      <c r="M1145" s="147">
        <f>+ROUND(F1145*K1145,0)</f>
        <v>3382235</v>
      </c>
      <c r="N1145" s="146">
        <f>+ROUND(G1145*K1145,0)</f>
        <v>0</v>
      </c>
      <c r="O1145" s="146">
        <f>+ROUND(H1145*K1145,0)</f>
        <v>0</v>
      </c>
      <c r="P1145" s="146">
        <f>SUM(L1145:O1145)</f>
        <v>3382235</v>
      </c>
      <c r="Q1145" s="100"/>
      <c r="R1145" s="117"/>
      <c r="S1145" t="s">
        <v>2335</v>
      </c>
    </row>
    <row r="1146" spans="1:19" x14ac:dyDescent="0.25">
      <c r="A1146" s="48" t="str">
        <f t="shared" si="289"/>
        <v>HT</v>
      </c>
      <c r="B1146" s="140" t="s">
        <v>2336</v>
      </c>
      <c r="C1146" s="141" t="s">
        <v>2133</v>
      </c>
      <c r="D1146" s="142" t="s">
        <v>126</v>
      </c>
      <c r="E1146" s="143"/>
      <c r="F1146" s="143">
        <v>0.1845</v>
      </c>
      <c r="G1146" s="144"/>
      <c r="H1146" s="144"/>
      <c r="I1146" s="144">
        <f>SUM(E1146:H1146)</f>
        <v>0.1845</v>
      </c>
      <c r="J1146" s="145"/>
      <c r="K1146" s="146">
        <v>13463333</v>
      </c>
      <c r="L1146" s="145">
        <f>+ROUND(K1146*E1146,0)</f>
        <v>0</v>
      </c>
      <c r="M1146" s="147">
        <f>+ROUND(F1146*K1146,0)</f>
        <v>2483985</v>
      </c>
      <c r="N1146" s="146">
        <f>+ROUND(G1146*K1146,0)</f>
        <v>0</v>
      </c>
      <c r="O1146" s="146">
        <f>+ROUND(H1146*K1146,0)</f>
        <v>0</v>
      </c>
      <c r="P1146" s="146">
        <f>SUM(L1146:O1146)</f>
        <v>2483985</v>
      </c>
      <c r="Q1146" s="100"/>
      <c r="R1146" s="117"/>
      <c r="S1146" t="s">
        <v>2337</v>
      </c>
    </row>
    <row r="1147" spans="1:19" x14ac:dyDescent="0.25">
      <c r="A1147" s="48" t="str">
        <f t="shared" si="289"/>
        <v>HT</v>
      </c>
      <c r="B1147" s="140"/>
      <c r="C1147" s="149" t="s">
        <v>2338</v>
      </c>
      <c r="D1147" s="142"/>
      <c r="E1147" s="143"/>
      <c r="F1147" s="143"/>
      <c r="G1147" s="144"/>
      <c r="H1147" s="144"/>
      <c r="I1147" s="144"/>
      <c r="J1147" s="145"/>
      <c r="K1147" s="146"/>
      <c r="L1147" s="145"/>
      <c r="M1147" s="147"/>
      <c r="N1147" s="146"/>
      <c r="O1147" s="146"/>
      <c r="P1147" s="146"/>
      <c r="Q1147" s="100"/>
      <c r="R1147" s="117"/>
    </row>
    <row r="1148" spans="1:19" x14ac:dyDescent="0.25">
      <c r="A1148" s="48" t="str">
        <f t="shared" si="289"/>
        <v>HT</v>
      </c>
      <c r="B1148" s="140" t="s">
        <v>2339</v>
      </c>
      <c r="C1148" s="141" t="s">
        <v>595</v>
      </c>
      <c r="D1148" s="142" t="s">
        <v>16</v>
      </c>
      <c r="E1148" s="143"/>
      <c r="F1148" s="143">
        <v>19.87</v>
      </c>
      <c r="G1148" s="144"/>
      <c r="H1148" s="144"/>
      <c r="I1148" s="144">
        <f>SUM(E1148:H1148)</f>
        <v>19.87</v>
      </c>
      <c r="J1148" s="145"/>
      <c r="K1148" s="146">
        <v>1195136</v>
      </c>
      <c r="L1148" s="145">
        <f>+ROUND(K1148*E1148,0)</f>
        <v>0</v>
      </c>
      <c r="M1148" s="147">
        <f>+ROUND(F1148*K1148,0)</f>
        <v>23747352</v>
      </c>
      <c r="N1148" s="146">
        <f>+ROUND(G1148*K1148,0)</f>
        <v>0</v>
      </c>
      <c r="O1148" s="146">
        <f>+ROUND(H1148*K1148,0)</f>
        <v>0</v>
      </c>
      <c r="P1148" s="146">
        <f>SUM(L1148:O1148)</f>
        <v>23747352</v>
      </c>
      <c r="Q1148" s="100"/>
      <c r="R1148" s="117"/>
      <c r="S1148" t="s">
        <v>2340</v>
      </c>
    </row>
    <row r="1149" spans="1:19" x14ac:dyDescent="0.25">
      <c r="A1149" s="48" t="str">
        <f t="shared" si="289"/>
        <v>HT</v>
      </c>
      <c r="B1149" s="140" t="s">
        <v>2341</v>
      </c>
      <c r="C1149" s="141" t="s">
        <v>125</v>
      </c>
      <c r="D1149" s="142" t="s">
        <v>126</v>
      </c>
      <c r="E1149" s="143"/>
      <c r="F1149" s="143">
        <v>0.37859999999999999</v>
      </c>
      <c r="G1149" s="144"/>
      <c r="H1149" s="144"/>
      <c r="I1149" s="144">
        <f>SUM(E1149:H1149)</f>
        <v>0.37859999999999999</v>
      </c>
      <c r="J1149" s="145"/>
      <c r="K1149" s="146">
        <v>6038274</v>
      </c>
      <c r="L1149" s="145">
        <f>+ROUND(K1149*E1149,0)</f>
        <v>0</v>
      </c>
      <c r="M1149" s="147">
        <f>+ROUND(F1149*K1149,0)</f>
        <v>2286091</v>
      </c>
      <c r="N1149" s="146">
        <f>+ROUND(G1149*K1149,0)</f>
        <v>0</v>
      </c>
      <c r="O1149" s="146">
        <f>+ROUND(H1149*K1149,0)</f>
        <v>0</v>
      </c>
      <c r="P1149" s="146">
        <f>SUM(L1149:O1149)</f>
        <v>2286091</v>
      </c>
      <c r="Q1149" s="100"/>
      <c r="R1149" s="117"/>
      <c r="S1149" t="s">
        <v>2342</v>
      </c>
    </row>
    <row r="1150" spans="1:19" ht="31.5" x14ac:dyDescent="0.25">
      <c r="A1150" s="48" t="str">
        <f t="shared" si="289"/>
        <v>HT</v>
      </c>
      <c r="B1150" s="140" t="s">
        <v>2343</v>
      </c>
      <c r="C1150" s="141" t="s">
        <v>240</v>
      </c>
      <c r="D1150" s="142" t="s">
        <v>16</v>
      </c>
      <c r="E1150" s="143"/>
      <c r="F1150" s="143">
        <v>1.42</v>
      </c>
      <c r="G1150" s="144"/>
      <c r="H1150" s="144"/>
      <c r="I1150" s="144">
        <f>SUM(E1150:H1150)</f>
        <v>1.42</v>
      </c>
      <c r="J1150" s="145"/>
      <c r="K1150" s="146">
        <v>743380</v>
      </c>
      <c r="L1150" s="145">
        <f>+ROUND(K1150*E1150,0)</f>
        <v>0</v>
      </c>
      <c r="M1150" s="147">
        <f>+ROUND(F1150*K1150,0)</f>
        <v>1055600</v>
      </c>
      <c r="N1150" s="146">
        <f>+ROUND(G1150*K1150,0)</f>
        <v>0</v>
      </c>
      <c r="O1150" s="146">
        <f>+ROUND(H1150*K1150,0)</f>
        <v>0</v>
      </c>
      <c r="P1150" s="146">
        <f>SUM(L1150:O1150)</f>
        <v>1055600</v>
      </c>
      <c r="Q1150" s="100"/>
      <c r="R1150" s="117"/>
      <c r="S1150" t="s">
        <v>2344</v>
      </c>
    </row>
    <row r="1151" spans="1:19" x14ac:dyDescent="0.25">
      <c r="A1151" s="48" t="str">
        <f t="shared" si="289"/>
        <v>HT</v>
      </c>
      <c r="B1151" s="140"/>
      <c r="C1151" s="149" t="s">
        <v>2345</v>
      </c>
      <c r="D1151" s="142"/>
      <c r="E1151" s="143"/>
      <c r="F1151" s="143"/>
      <c r="G1151" s="144"/>
      <c r="H1151" s="144"/>
      <c r="I1151" s="144"/>
      <c r="J1151" s="145"/>
      <c r="K1151" s="146"/>
      <c r="L1151" s="145"/>
      <c r="M1151" s="147"/>
      <c r="N1151" s="146"/>
      <c r="O1151" s="146"/>
      <c r="P1151" s="146"/>
      <c r="Q1151" s="100"/>
      <c r="R1151" s="117"/>
    </row>
    <row r="1152" spans="1:19" x14ac:dyDescent="0.25">
      <c r="A1152" s="48" t="str">
        <f t="shared" si="289"/>
        <v>HT</v>
      </c>
      <c r="B1152" s="140" t="s">
        <v>2346</v>
      </c>
      <c r="C1152" s="141" t="s">
        <v>595</v>
      </c>
      <c r="D1152" s="142" t="s">
        <v>16</v>
      </c>
      <c r="E1152" s="143"/>
      <c r="F1152" s="143">
        <v>13.54</v>
      </c>
      <c r="G1152" s="144"/>
      <c r="H1152" s="144"/>
      <c r="I1152" s="144">
        <f>SUM(E1152:H1152)</f>
        <v>13.54</v>
      </c>
      <c r="J1152" s="145"/>
      <c r="K1152" s="146">
        <v>1195136</v>
      </c>
      <c r="L1152" s="145">
        <f>+ROUND(K1152*E1152,0)</f>
        <v>0</v>
      </c>
      <c r="M1152" s="147">
        <f>+ROUND(F1152*K1152,0)</f>
        <v>16182141</v>
      </c>
      <c r="N1152" s="146">
        <f>+ROUND(G1152*K1152,0)</f>
        <v>0</v>
      </c>
      <c r="O1152" s="146">
        <f>+ROUND(H1152*K1152,0)</f>
        <v>0</v>
      </c>
      <c r="P1152" s="146">
        <f>SUM(L1152:O1152)</f>
        <v>16182141</v>
      </c>
      <c r="Q1152" s="100"/>
      <c r="R1152" s="117"/>
      <c r="S1152" t="s">
        <v>2347</v>
      </c>
    </row>
    <row r="1153" spans="1:19" x14ac:dyDescent="0.25">
      <c r="A1153" s="48" t="str">
        <f t="shared" si="289"/>
        <v>HT</v>
      </c>
      <c r="B1153" s="140" t="s">
        <v>2348</v>
      </c>
      <c r="C1153" s="141" t="s">
        <v>125</v>
      </c>
      <c r="D1153" s="142" t="s">
        <v>126</v>
      </c>
      <c r="E1153" s="143"/>
      <c r="F1153" s="143">
        <v>0.28179999999999999</v>
      </c>
      <c r="G1153" s="144"/>
      <c r="H1153" s="144"/>
      <c r="I1153" s="144">
        <f>SUM(E1153:H1153)</f>
        <v>0.28179999999999999</v>
      </c>
      <c r="J1153" s="145"/>
      <c r="K1153" s="146">
        <v>6038274</v>
      </c>
      <c r="L1153" s="145">
        <f>+ROUND(K1153*E1153,0)</f>
        <v>0</v>
      </c>
      <c r="M1153" s="147">
        <f>+ROUND(F1153*K1153,0)</f>
        <v>1701586</v>
      </c>
      <c r="N1153" s="146">
        <f>+ROUND(G1153*K1153,0)</f>
        <v>0</v>
      </c>
      <c r="O1153" s="146">
        <f>+ROUND(H1153*K1153,0)</f>
        <v>0</v>
      </c>
      <c r="P1153" s="146">
        <f>SUM(L1153:O1153)</f>
        <v>1701586</v>
      </c>
      <c r="Q1153" s="100"/>
      <c r="R1153" s="117"/>
      <c r="S1153" t="s">
        <v>2349</v>
      </c>
    </row>
    <row r="1154" spans="1:19" ht="31.5" x14ac:dyDescent="0.25">
      <c r="A1154" s="48" t="str">
        <f t="shared" si="289"/>
        <v>HT</v>
      </c>
      <c r="B1154" s="140" t="s">
        <v>2350</v>
      </c>
      <c r="C1154" s="141" t="s">
        <v>240</v>
      </c>
      <c r="D1154" s="142" t="s">
        <v>16</v>
      </c>
      <c r="E1154" s="143"/>
      <c r="F1154" s="143">
        <v>2.84</v>
      </c>
      <c r="G1154" s="144"/>
      <c r="H1154" s="144"/>
      <c r="I1154" s="144">
        <f>SUM(E1154:H1154)</f>
        <v>2.84</v>
      </c>
      <c r="J1154" s="145"/>
      <c r="K1154" s="146">
        <v>743380</v>
      </c>
      <c r="L1154" s="145">
        <f>+ROUND(K1154*E1154,0)</f>
        <v>0</v>
      </c>
      <c r="M1154" s="147">
        <f>+ROUND(F1154*K1154,0)</f>
        <v>2111199</v>
      </c>
      <c r="N1154" s="146">
        <f>+ROUND(G1154*K1154,0)</f>
        <v>0</v>
      </c>
      <c r="O1154" s="146">
        <f>+ROUND(H1154*K1154,0)</f>
        <v>0</v>
      </c>
      <c r="P1154" s="146">
        <f>SUM(L1154:O1154)</f>
        <v>2111199</v>
      </c>
      <c r="Q1154" s="100"/>
      <c r="R1154" s="117"/>
      <c r="S1154" t="s">
        <v>2351</v>
      </c>
    </row>
    <row r="1155" spans="1:19" x14ac:dyDescent="0.25">
      <c r="A1155" s="48" t="str">
        <f t="shared" si="289"/>
        <v>HT</v>
      </c>
      <c r="B1155" s="140"/>
      <c r="C1155" s="149" t="s">
        <v>2352</v>
      </c>
      <c r="D1155" s="142"/>
      <c r="E1155" s="143"/>
      <c r="F1155" s="143"/>
      <c r="G1155" s="144"/>
      <c r="H1155" s="144"/>
      <c r="I1155" s="144"/>
      <c r="J1155" s="145"/>
      <c r="K1155" s="146"/>
      <c r="L1155" s="145"/>
      <c r="M1155" s="147"/>
      <c r="N1155" s="146"/>
      <c r="O1155" s="146"/>
      <c r="P1155" s="146"/>
      <c r="Q1155" s="100"/>
      <c r="R1155" s="117"/>
    </row>
    <row r="1156" spans="1:19" ht="31.5" x14ac:dyDescent="0.25">
      <c r="A1156" s="48" t="str">
        <f t="shared" si="289"/>
        <v>HT</v>
      </c>
      <c r="B1156" s="140" t="s">
        <v>2353</v>
      </c>
      <c r="C1156" s="141" t="s">
        <v>2354</v>
      </c>
      <c r="D1156" s="142" t="s">
        <v>150</v>
      </c>
      <c r="E1156" s="143"/>
      <c r="F1156" s="143">
        <v>0.27200000000000002</v>
      </c>
      <c r="G1156" s="144"/>
      <c r="H1156" s="144"/>
      <c r="I1156" s="144">
        <f>SUM(E1156:H1156)</f>
        <v>0.27200000000000002</v>
      </c>
      <c r="J1156" s="145"/>
      <c r="K1156" s="146">
        <v>1657348</v>
      </c>
      <c r="L1156" s="145">
        <f>+ROUND(K1156*E1156,0)</f>
        <v>0</v>
      </c>
      <c r="M1156" s="147">
        <f>+ROUND(F1156*K1156,0)</f>
        <v>450799</v>
      </c>
      <c r="N1156" s="146">
        <f>+ROUND(G1156*K1156,0)</f>
        <v>0</v>
      </c>
      <c r="O1156" s="146">
        <f>+ROUND(H1156*K1156,0)</f>
        <v>0</v>
      </c>
      <c r="P1156" s="146">
        <f t="shared" ref="P1156:P1219" si="290">SUM(L1156:O1156)</f>
        <v>450799</v>
      </c>
      <c r="Q1156" s="100"/>
      <c r="R1156" s="117"/>
      <c r="S1156" t="s">
        <v>2355</v>
      </c>
    </row>
    <row r="1157" spans="1:19" ht="31.5" x14ac:dyDescent="0.25">
      <c r="A1157" s="48" t="str">
        <f t="shared" si="289"/>
        <v>HT</v>
      </c>
      <c r="B1157" s="140" t="s">
        <v>2356</v>
      </c>
      <c r="C1157" s="141" t="s">
        <v>2357</v>
      </c>
      <c r="D1157" s="142" t="s">
        <v>150</v>
      </c>
      <c r="E1157" s="143"/>
      <c r="F1157" s="143">
        <v>0.29720000000000002</v>
      </c>
      <c r="G1157" s="144"/>
      <c r="H1157" s="144"/>
      <c r="I1157" s="144">
        <f>SUM(E1157:H1157)</f>
        <v>0.29720000000000002</v>
      </c>
      <c r="J1157" s="145"/>
      <c r="K1157" s="146">
        <v>3627538</v>
      </c>
      <c r="L1157" s="145">
        <f>+ROUND(K1157*E1157,0)</f>
        <v>0</v>
      </c>
      <c r="M1157" s="147">
        <f>+ROUND(F1157*K1157,0)</f>
        <v>1078104</v>
      </c>
      <c r="N1157" s="146">
        <f>+ROUND(G1157*K1157,0)</f>
        <v>0</v>
      </c>
      <c r="O1157" s="146">
        <f>+ROUND(H1157*K1157,0)</f>
        <v>0</v>
      </c>
      <c r="P1157" s="146">
        <f t="shared" si="290"/>
        <v>1078104</v>
      </c>
      <c r="Q1157" s="100"/>
      <c r="R1157" s="117"/>
      <c r="S1157" t="s">
        <v>2358</v>
      </c>
    </row>
    <row r="1158" spans="1:19" ht="41.25" customHeight="1" x14ac:dyDescent="0.25">
      <c r="A1158" s="48" t="str">
        <f>A1083</f>
        <v>HT</v>
      </c>
      <c r="B1158" s="29">
        <v>15</v>
      </c>
      <c r="C1158" s="71" t="s">
        <v>1350</v>
      </c>
      <c r="D1158" s="79"/>
      <c r="E1158" s="123"/>
      <c r="F1158" s="136"/>
      <c r="G1158" s="125"/>
      <c r="H1158" s="125"/>
      <c r="I1158" s="125"/>
      <c r="J1158" s="62"/>
      <c r="K1158" s="43"/>
      <c r="L1158" s="62"/>
      <c r="M1158" s="77"/>
      <c r="N1158" s="43"/>
      <c r="O1158" s="43"/>
      <c r="P1158" s="43">
        <f t="shared" si="290"/>
        <v>0</v>
      </c>
      <c r="Q1158" s="100"/>
      <c r="R1158" s="117"/>
    </row>
    <row r="1159" spans="1:19" x14ac:dyDescent="0.25">
      <c r="A1159" s="48" t="str">
        <f t="shared" ref="A1159:A1222" si="291">A1158</f>
        <v>HT</v>
      </c>
      <c r="B1159" s="32" t="s">
        <v>1351</v>
      </c>
      <c r="C1159" s="39" t="s">
        <v>12</v>
      </c>
      <c r="D1159" s="13" t="s">
        <v>13</v>
      </c>
      <c r="E1159" s="123">
        <v>2314</v>
      </c>
      <c r="F1159" s="136"/>
      <c r="G1159" s="125"/>
      <c r="H1159" s="125"/>
      <c r="I1159" s="125">
        <f t="shared" ref="I1159:I1203" si="292">SUM(E1159:H1159)</f>
        <v>2314</v>
      </c>
      <c r="J1159" s="62">
        <f>'BIỂU HỢP ĐỒNG'!J985</f>
        <v>646</v>
      </c>
      <c r="K1159" s="43"/>
      <c r="L1159" s="62">
        <f t="shared" ref="L1159:L1203" si="293">+ROUND(J1159*E1159,0)</f>
        <v>1494844</v>
      </c>
      <c r="M1159" s="77">
        <f t="shared" ref="M1159:M1203" si="294">+ROUND(F1159*J1159,0)</f>
        <v>0</v>
      </c>
      <c r="N1159" s="43">
        <f t="shared" ref="N1159:N1203" si="295">+ROUND(G1159*J1159,0)</f>
        <v>0</v>
      </c>
      <c r="O1159" s="43">
        <f t="shared" ref="O1159:O1203" si="296">+ROUND(H1159*J1159,0)</f>
        <v>0</v>
      </c>
      <c r="P1159" s="43">
        <f t="shared" si="290"/>
        <v>1494844</v>
      </c>
      <c r="Q1159" s="100"/>
      <c r="R1159" s="117"/>
    </row>
    <row r="1160" spans="1:19" x14ac:dyDescent="0.25">
      <c r="A1160" s="48" t="str">
        <f t="shared" si="291"/>
        <v>HT</v>
      </c>
      <c r="B1160" s="32" t="s">
        <v>1352</v>
      </c>
      <c r="C1160" s="39" t="s">
        <v>18</v>
      </c>
      <c r="D1160" s="13" t="s">
        <v>16</v>
      </c>
      <c r="E1160" s="123">
        <v>35.799999999999997</v>
      </c>
      <c r="F1160" s="136"/>
      <c r="G1160" s="125"/>
      <c r="H1160" s="125"/>
      <c r="I1160" s="125">
        <f t="shared" si="292"/>
        <v>35.799999999999997</v>
      </c>
      <c r="J1160" s="62">
        <f>'BIỂU HỢP ĐỒNG'!J986</f>
        <v>30610</v>
      </c>
      <c r="K1160" s="43"/>
      <c r="L1160" s="62">
        <f t="shared" si="293"/>
        <v>1095838</v>
      </c>
      <c r="M1160" s="77">
        <f t="shared" si="294"/>
        <v>0</v>
      </c>
      <c r="N1160" s="43">
        <f t="shared" si="295"/>
        <v>0</v>
      </c>
      <c r="O1160" s="43">
        <f t="shared" si="296"/>
        <v>0</v>
      </c>
      <c r="P1160" s="43">
        <f t="shared" si="290"/>
        <v>1095838</v>
      </c>
      <c r="Q1160" s="100"/>
      <c r="R1160" s="117"/>
    </row>
    <row r="1161" spans="1:19" ht="47.25" customHeight="1" x14ac:dyDescent="0.25">
      <c r="A1161" s="48" t="str">
        <f t="shared" si="291"/>
        <v>HT</v>
      </c>
      <c r="B1161" s="32" t="s">
        <v>1353</v>
      </c>
      <c r="C1161" s="39" t="s">
        <v>26</v>
      </c>
      <c r="D1161" s="13" t="s">
        <v>16</v>
      </c>
      <c r="E1161" s="123">
        <v>6794.84</v>
      </c>
      <c r="F1161" s="136"/>
      <c r="G1161" s="125"/>
      <c r="H1161" s="125"/>
      <c r="I1161" s="125">
        <f t="shared" si="292"/>
        <v>6794.84</v>
      </c>
      <c r="J1161" s="62">
        <f>'BIỂU HỢP ĐỒNG'!J987</f>
        <v>12936</v>
      </c>
      <c r="K1161" s="43"/>
      <c r="L1161" s="62">
        <f t="shared" si="293"/>
        <v>87898050</v>
      </c>
      <c r="M1161" s="77">
        <f t="shared" si="294"/>
        <v>0</v>
      </c>
      <c r="N1161" s="43">
        <f t="shared" si="295"/>
        <v>0</v>
      </c>
      <c r="O1161" s="43">
        <f t="shared" si="296"/>
        <v>0</v>
      </c>
      <c r="P1161" s="43">
        <f t="shared" si="290"/>
        <v>87898050</v>
      </c>
      <c r="Q1161" s="100"/>
      <c r="R1161" s="117"/>
    </row>
    <row r="1162" spans="1:19" ht="31.5" customHeight="1" x14ac:dyDescent="0.25">
      <c r="A1162" s="48" t="str">
        <f t="shared" si="291"/>
        <v>HT</v>
      </c>
      <c r="B1162" s="32" t="s">
        <v>1354</v>
      </c>
      <c r="C1162" s="39" t="s">
        <v>28</v>
      </c>
      <c r="D1162" s="13" t="s">
        <v>16</v>
      </c>
      <c r="E1162" s="123">
        <v>1228</v>
      </c>
      <c r="F1162" s="136"/>
      <c r="G1162" s="125"/>
      <c r="H1162" s="125"/>
      <c r="I1162" s="125">
        <f t="shared" si="292"/>
        <v>1228</v>
      </c>
      <c r="J1162" s="62">
        <f>'BIỂU HỢP ĐỒNG'!J988</f>
        <v>12936</v>
      </c>
      <c r="K1162" s="43"/>
      <c r="L1162" s="62">
        <f t="shared" si="293"/>
        <v>15885408</v>
      </c>
      <c r="M1162" s="77">
        <f t="shared" si="294"/>
        <v>0</v>
      </c>
      <c r="N1162" s="43">
        <f t="shared" si="295"/>
        <v>0</v>
      </c>
      <c r="O1162" s="43">
        <f t="shared" si="296"/>
        <v>0</v>
      </c>
      <c r="P1162" s="43">
        <f t="shared" si="290"/>
        <v>15885408</v>
      </c>
      <c r="Q1162" s="100"/>
      <c r="R1162" s="117"/>
    </row>
    <row r="1163" spans="1:19" ht="47.25" customHeight="1" x14ac:dyDescent="0.25">
      <c r="A1163" s="48" t="str">
        <f t="shared" si="291"/>
        <v>HT</v>
      </c>
      <c r="B1163" s="32" t="s">
        <v>1355</v>
      </c>
      <c r="C1163" s="39" t="s">
        <v>30</v>
      </c>
      <c r="D1163" s="13" t="s">
        <v>16</v>
      </c>
      <c r="E1163" s="123">
        <v>321.39999999999998</v>
      </c>
      <c r="F1163" s="136"/>
      <c r="G1163" s="125"/>
      <c r="H1163" s="125"/>
      <c r="I1163" s="125">
        <f t="shared" si="292"/>
        <v>321.39999999999998</v>
      </c>
      <c r="J1163" s="62">
        <f>'BIỂU HỢP ĐỒNG'!J989</f>
        <v>15775</v>
      </c>
      <c r="K1163" s="43"/>
      <c r="L1163" s="62">
        <f t="shared" si="293"/>
        <v>5070085</v>
      </c>
      <c r="M1163" s="77">
        <f t="shared" si="294"/>
        <v>0</v>
      </c>
      <c r="N1163" s="43">
        <f t="shared" si="295"/>
        <v>0</v>
      </c>
      <c r="O1163" s="43">
        <f t="shared" si="296"/>
        <v>0</v>
      </c>
      <c r="P1163" s="43">
        <f t="shared" si="290"/>
        <v>5070085</v>
      </c>
      <c r="Q1163" s="100"/>
      <c r="R1163" s="117"/>
    </row>
    <row r="1164" spans="1:19" x14ac:dyDescent="0.25">
      <c r="A1164" s="48" t="str">
        <f t="shared" si="291"/>
        <v>HT</v>
      </c>
      <c r="B1164" s="32" t="s">
        <v>1356</v>
      </c>
      <c r="C1164" s="39" t="s">
        <v>32</v>
      </c>
      <c r="D1164" s="13" t="s">
        <v>16</v>
      </c>
      <c r="E1164" s="123">
        <v>16016.47</v>
      </c>
      <c r="F1164" s="136"/>
      <c r="G1164" s="125"/>
      <c r="H1164" s="125"/>
      <c r="I1164" s="125">
        <f t="shared" si="292"/>
        <v>16016.47</v>
      </c>
      <c r="J1164" s="62">
        <f>'BIỂU HỢP ĐỒNG'!J990</f>
        <v>50585</v>
      </c>
      <c r="K1164" s="43"/>
      <c r="L1164" s="62">
        <f t="shared" si="293"/>
        <v>810193135</v>
      </c>
      <c r="M1164" s="77">
        <f t="shared" si="294"/>
        <v>0</v>
      </c>
      <c r="N1164" s="43">
        <f t="shared" si="295"/>
        <v>0</v>
      </c>
      <c r="O1164" s="43">
        <f t="shared" si="296"/>
        <v>0</v>
      </c>
      <c r="P1164" s="43">
        <f t="shared" si="290"/>
        <v>810193135</v>
      </c>
      <c r="Q1164" s="100"/>
      <c r="R1164" s="117"/>
    </row>
    <row r="1165" spans="1:19" x14ac:dyDescent="0.25">
      <c r="A1165" s="48" t="str">
        <f t="shared" si="291"/>
        <v>HT</v>
      </c>
      <c r="B1165" s="32" t="s">
        <v>1357</v>
      </c>
      <c r="C1165" s="39" t="s">
        <v>34</v>
      </c>
      <c r="D1165" s="13" t="s">
        <v>16</v>
      </c>
      <c r="E1165" s="123">
        <v>451.12</v>
      </c>
      <c r="F1165" s="136"/>
      <c r="G1165" s="125"/>
      <c r="H1165" s="125"/>
      <c r="I1165" s="125">
        <f t="shared" si="292"/>
        <v>451.12</v>
      </c>
      <c r="J1165" s="62">
        <f>'BIỂU HỢP ĐỒNG'!J991</f>
        <v>54405</v>
      </c>
      <c r="K1165" s="43"/>
      <c r="L1165" s="62">
        <f t="shared" si="293"/>
        <v>24543184</v>
      </c>
      <c r="M1165" s="77">
        <f t="shared" si="294"/>
        <v>0</v>
      </c>
      <c r="N1165" s="43">
        <f t="shared" si="295"/>
        <v>0</v>
      </c>
      <c r="O1165" s="43">
        <f t="shared" si="296"/>
        <v>0</v>
      </c>
      <c r="P1165" s="43">
        <f t="shared" si="290"/>
        <v>24543184</v>
      </c>
      <c r="Q1165" s="100"/>
      <c r="R1165" s="117"/>
    </row>
    <row r="1166" spans="1:19" x14ac:dyDescent="0.25">
      <c r="A1166" s="48" t="str">
        <f t="shared" si="291"/>
        <v>HT</v>
      </c>
      <c r="B1166" s="32" t="s">
        <v>1358</v>
      </c>
      <c r="C1166" s="39" t="s">
        <v>36</v>
      </c>
      <c r="D1166" s="13" t="s">
        <v>37</v>
      </c>
      <c r="E1166" s="123">
        <v>1646.76</v>
      </c>
      <c r="F1166" s="136"/>
      <c r="G1166" s="125"/>
      <c r="H1166" s="125"/>
      <c r="I1166" s="125">
        <f t="shared" si="292"/>
        <v>1646.76</v>
      </c>
      <c r="J1166" s="62">
        <f>'BIỂU HỢP ĐỒNG'!J992</f>
        <v>1064000</v>
      </c>
      <c r="K1166" s="43"/>
      <c r="L1166" s="62">
        <f t="shared" si="293"/>
        <v>1752152640</v>
      </c>
      <c r="M1166" s="77">
        <f t="shared" si="294"/>
        <v>0</v>
      </c>
      <c r="N1166" s="43">
        <f t="shared" si="295"/>
        <v>0</v>
      </c>
      <c r="O1166" s="43">
        <f t="shared" si="296"/>
        <v>0</v>
      </c>
      <c r="P1166" s="43">
        <f t="shared" si="290"/>
        <v>1752152640</v>
      </c>
      <c r="Q1166" s="100"/>
      <c r="R1166" s="117"/>
    </row>
    <row r="1167" spans="1:19" x14ac:dyDescent="0.25">
      <c r="A1167" s="48" t="str">
        <f t="shared" si="291"/>
        <v>HT</v>
      </c>
      <c r="B1167" s="32" t="s">
        <v>1359</v>
      </c>
      <c r="C1167" s="39" t="s">
        <v>41</v>
      </c>
      <c r="D1167" s="13" t="s">
        <v>16</v>
      </c>
      <c r="E1167" s="123">
        <v>4123.3500000000004</v>
      </c>
      <c r="F1167" s="136"/>
      <c r="G1167" s="125"/>
      <c r="H1167" s="125"/>
      <c r="I1167" s="125">
        <f t="shared" si="292"/>
        <v>4123.3500000000004</v>
      </c>
      <c r="J1167" s="62">
        <f>'BIỂU HỢP ĐỒNG'!J993</f>
        <v>40424</v>
      </c>
      <c r="K1167" s="43"/>
      <c r="L1167" s="62">
        <f t="shared" si="293"/>
        <v>166682300</v>
      </c>
      <c r="M1167" s="77">
        <f t="shared" si="294"/>
        <v>0</v>
      </c>
      <c r="N1167" s="43">
        <f t="shared" si="295"/>
        <v>0</v>
      </c>
      <c r="O1167" s="43">
        <f t="shared" si="296"/>
        <v>0</v>
      </c>
      <c r="P1167" s="43">
        <f t="shared" si="290"/>
        <v>166682300</v>
      </c>
      <c r="Q1167" s="100"/>
      <c r="R1167" s="117"/>
    </row>
    <row r="1168" spans="1:19" x14ac:dyDescent="0.25">
      <c r="A1168" s="48" t="str">
        <f t="shared" si="291"/>
        <v>HT</v>
      </c>
      <c r="B1168" s="32" t="s">
        <v>1360</v>
      </c>
      <c r="C1168" s="39" t="s">
        <v>43</v>
      </c>
      <c r="D1168" s="13" t="s">
        <v>16</v>
      </c>
      <c r="E1168" s="123">
        <v>198.4</v>
      </c>
      <c r="F1168" s="136"/>
      <c r="G1168" s="125"/>
      <c r="H1168" s="125"/>
      <c r="I1168" s="125">
        <f t="shared" si="292"/>
        <v>198.4</v>
      </c>
      <c r="J1168" s="62">
        <f>'BIỂU HỢP ĐỒNG'!J994</f>
        <v>45382</v>
      </c>
      <c r="K1168" s="43"/>
      <c r="L1168" s="62">
        <f t="shared" si="293"/>
        <v>9003789</v>
      </c>
      <c r="M1168" s="77">
        <f t="shared" si="294"/>
        <v>0</v>
      </c>
      <c r="N1168" s="43">
        <f t="shared" si="295"/>
        <v>0</v>
      </c>
      <c r="O1168" s="43">
        <f t="shared" si="296"/>
        <v>0</v>
      </c>
      <c r="P1168" s="43">
        <f t="shared" si="290"/>
        <v>9003789</v>
      </c>
      <c r="Q1168" s="100"/>
      <c r="R1168" s="117"/>
    </row>
    <row r="1169" spans="1:18" ht="31.5" customHeight="1" x14ac:dyDescent="0.25">
      <c r="A1169" s="48" t="str">
        <f t="shared" si="291"/>
        <v>HT</v>
      </c>
      <c r="B1169" s="32" t="s">
        <v>1361</v>
      </c>
      <c r="C1169" s="39" t="s">
        <v>1362</v>
      </c>
      <c r="D1169" s="13" t="s">
        <v>16</v>
      </c>
      <c r="E1169" s="123">
        <v>49.6</v>
      </c>
      <c r="F1169" s="136"/>
      <c r="G1169" s="125"/>
      <c r="H1169" s="125"/>
      <c r="I1169" s="125">
        <f t="shared" si="292"/>
        <v>49.6</v>
      </c>
      <c r="J1169" s="62">
        <f>'BIỂU HỢP ĐỒNG'!J995</f>
        <v>56948</v>
      </c>
      <c r="K1169" s="43"/>
      <c r="L1169" s="62">
        <f t="shared" si="293"/>
        <v>2824621</v>
      </c>
      <c r="M1169" s="77">
        <f t="shared" si="294"/>
        <v>0</v>
      </c>
      <c r="N1169" s="43">
        <f t="shared" si="295"/>
        <v>0</v>
      </c>
      <c r="O1169" s="43">
        <f t="shared" si="296"/>
        <v>0</v>
      </c>
      <c r="P1169" s="43">
        <f t="shared" si="290"/>
        <v>2824621</v>
      </c>
      <c r="Q1169" s="100"/>
      <c r="R1169" s="117"/>
    </row>
    <row r="1170" spans="1:18" x14ac:dyDescent="0.25">
      <c r="A1170" s="48" t="str">
        <f t="shared" si="291"/>
        <v>HT</v>
      </c>
      <c r="B1170" s="32" t="s">
        <v>1363</v>
      </c>
      <c r="C1170" s="39" t="s">
        <v>47</v>
      </c>
      <c r="D1170" s="13" t="s">
        <v>16</v>
      </c>
      <c r="E1170" s="123">
        <v>2185.6799999999998</v>
      </c>
      <c r="F1170" s="136"/>
      <c r="G1170" s="125"/>
      <c r="H1170" s="125"/>
      <c r="I1170" s="125">
        <f t="shared" si="292"/>
        <v>2185.6799999999998</v>
      </c>
      <c r="J1170" s="62">
        <f>'BIỂU HỢP ĐỒNG'!J996</f>
        <v>2096</v>
      </c>
      <c r="K1170" s="43"/>
      <c r="L1170" s="62">
        <f t="shared" si="293"/>
        <v>4581185</v>
      </c>
      <c r="M1170" s="77">
        <f t="shared" si="294"/>
        <v>0</v>
      </c>
      <c r="N1170" s="43">
        <f t="shared" si="295"/>
        <v>0</v>
      </c>
      <c r="O1170" s="43">
        <f t="shared" si="296"/>
        <v>0</v>
      </c>
      <c r="P1170" s="43">
        <f t="shared" si="290"/>
        <v>4581185</v>
      </c>
      <c r="Q1170" s="100"/>
      <c r="R1170" s="117"/>
    </row>
    <row r="1171" spans="1:18" ht="31.5" customHeight="1" x14ac:dyDescent="0.25">
      <c r="A1171" s="48" t="str">
        <f t="shared" si="291"/>
        <v>HT</v>
      </c>
      <c r="B1171" s="32" t="s">
        <v>1364</v>
      </c>
      <c r="C1171" s="39" t="s">
        <v>49</v>
      </c>
      <c r="D1171" s="13" t="s">
        <v>16</v>
      </c>
      <c r="E1171" s="123">
        <v>3557.6</v>
      </c>
      <c r="F1171" s="136"/>
      <c r="G1171" s="125"/>
      <c r="H1171" s="125"/>
      <c r="I1171" s="125">
        <f t="shared" si="292"/>
        <v>3557.6</v>
      </c>
      <c r="J1171" s="62">
        <f>'BIỂU HỢP ĐỒNG'!J997</f>
        <v>8251</v>
      </c>
      <c r="K1171" s="43"/>
      <c r="L1171" s="62">
        <f t="shared" si="293"/>
        <v>29353758</v>
      </c>
      <c r="M1171" s="77">
        <f t="shared" si="294"/>
        <v>0</v>
      </c>
      <c r="N1171" s="43">
        <f t="shared" si="295"/>
        <v>0</v>
      </c>
      <c r="O1171" s="43">
        <f t="shared" si="296"/>
        <v>0</v>
      </c>
      <c r="P1171" s="43">
        <f t="shared" si="290"/>
        <v>29353758</v>
      </c>
      <c r="Q1171" s="100"/>
      <c r="R1171" s="117"/>
    </row>
    <row r="1172" spans="1:18" ht="31.5" customHeight="1" x14ac:dyDescent="0.25">
      <c r="A1172" s="48" t="str">
        <f t="shared" si="291"/>
        <v>HT</v>
      </c>
      <c r="B1172" s="32" t="s">
        <v>1365</v>
      </c>
      <c r="C1172" s="39" t="s">
        <v>51</v>
      </c>
      <c r="D1172" s="13" t="s">
        <v>13</v>
      </c>
      <c r="E1172" s="123">
        <v>2869.5</v>
      </c>
      <c r="F1172" s="136"/>
      <c r="G1172" s="125"/>
      <c r="H1172" s="125"/>
      <c r="I1172" s="125">
        <f t="shared" si="292"/>
        <v>2869.5</v>
      </c>
      <c r="J1172" s="62">
        <f>'BIỂU HỢP ĐỒNG'!J998</f>
        <v>20017</v>
      </c>
      <c r="K1172" s="43"/>
      <c r="L1172" s="62">
        <f t="shared" si="293"/>
        <v>57438782</v>
      </c>
      <c r="M1172" s="77">
        <f t="shared" si="294"/>
        <v>0</v>
      </c>
      <c r="N1172" s="43">
        <f t="shared" si="295"/>
        <v>0</v>
      </c>
      <c r="O1172" s="43">
        <f t="shared" si="296"/>
        <v>0</v>
      </c>
      <c r="P1172" s="43">
        <f t="shared" si="290"/>
        <v>57438782</v>
      </c>
      <c r="Q1172" s="100"/>
      <c r="R1172" s="117"/>
    </row>
    <row r="1173" spans="1:18" ht="31.5" customHeight="1" x14ac:dyDescent="0.25">
      <c r="A1173" s="48" t="str">
        <f t="shared" si="291"/>
        <v>HT</v>
      </c>
      <c r="B1173" s="32" t="s">
        <v>1366</v>
      </c>
      <c r="C1173" s="39" t="s">
        <v>1023</v>
      </c>
      <c r="D1173" s="13" t="s">
        <v>13</v>
      </c>
      <c r="E1173" s="123">
        <v>6405.1</v>
      </c>
      <c r="F1173" s="136"/>
      <c r="G1173" s="125"/>
      <c r="H1173" s="125"/>
      <c r="I1173" s="125">
        <f t="shared" si="292"/>
        <v>6405.1</v>
      </c>
      <c r="J1173" s="62">
        <f>'BIỂU HỢP ĐỒNG'!J999</f>
        <v>224210</v>
      </c>
      <c r="K1173" s="43"/>
      <c r="L1173" s="62">
        <f t="shared" si="293"/>
        <v>1436087471</v>
      </c>
      <c r="M1173" s="77">
        <f t="shared" si="294"/>
        <v>0</v>
      </c>
      <c r="N1173" s="43">
        <f t="shared" si="295"/>
        <v>0</v>
      </c>
      <c r="O1173" s="43">
        <f t="shared" si="296"/>
        <v>0</v>
      </c>
      <c r="P1173" s="43">
        <f t="shared" si="290"/>
        <v>1436087471</v>
      </c>
      <c r="Q1173" s="100"/>
      <c r="R1173" s="117"/>
    </row>
    <row r="1174" spans="1:18" x14ac:dyDescent="0.25">
      <c r="A1174" s="48" t="str">
        <f t="shared" si="291"/>
        <v>HT</v>
      </c>
      <c r="B1174" s="32" t="s">
        <v>1367</v>
      </c>
      <c r="C1174" s="39" t="s">
        <v>55</v>
      </c>
      <c r="D1174" s="13" t="s">
        <v>16</v>
      </c>
      <c r="E1174" s="123">
        <v>4919.1000000000004</v>
      </c>
      <c r="F1174" s="136"/>
      <c r="G1174" s="125"/>
      <c r="H1174" s="125"/>
      <c r="I1174" s="125">
        <f t="shared" si="292"/>
        <v>4919.1000000000004</v>
      </c>
      <c r="J1174" s="62">
        <f>'BIỂU HỢP ĐỒNG'!J1000</f>
        <v>12936</v>
      </c>
      <c r="K1174" s="43"/>
      <c r="L1174" s="62">
        <f t="shared" si="293"/>
        <v>63633478</v>
      </c>
      <c r="M1174" s="77">
        <f t="shared" si="294"/>
        <v>0</v>
      </c>
      <c r="N1174" s="43">
        <f t="shared" si="295"/>
        <v>0</v>
      </c>
      <c r="O1174" s="43">
        <f t="shared" si="296"/>
        <v>0</v>
      </c>
      <c r="P1174" s="43">
        <f t="shared" si="290"/>
        <v>63633478</v>
      </c>
      <c r="Q1174" s="100"/>
      <c r="R1174" s="117"/>
    </row>
    <row r="1175" spans="1:18" ht="31.5" customHeight="1" x14ac:dyDescent="0.25">
      <c r="A1175" s="48" t="str">
        <f t="shared" si="291"/>
        <v>HT</v>
      </c>
      <c r="B1175" s="32" t="s">
        <v>1368</v>
      </c>
      <c r="C1175" s="39" t="s">
        <v>64</v>
      </c>
      <c r="D1175" s="13" t="s">
        <v>16</v>
      </c>
      <c r="E1175" s="123">
        <v>1914.6</v>
      </c>
      <c r="F1175" s="136"/>
      <c r="G1175" s="125"/>
      <c r="H1175" s="125"/>
      <c r="I1175" s="125">
        <f t="shared" si="292"/>
        <v>1914.6</v>
      </c>
      <c r="J1175" s="62">
        <f>'BIỂU HỢP ĐỒNG'!J1001</f>
        <v>12936</v>
      </c>
      <c r="K1175" s="43"/>
      <c r="L1175" s="62">
        <f t="shared" si="293"/>
        <v>24767266</v>
      </c>
      <c r="M1175" s="77">
        <f t="shared" si="294"/>
        <v>0</v>
      </c>
      <c r="N1175" s="43">
        <f t="shared" si="295"/>
        <v>0</v>
      </c>
      <c r="O1175" s="43">
        <f t="shared" si="296"/>
        <v>0</v>
      </c>
      <c r="P1175" s="43">
        <f t="shared" si="290"/>
        <v>24767266</v>
      </c>
      <c r="Q1175" s="100"/>
      <c r="R1175" s="117"/>
    </row>
    <row r="1176" spans="1:18" x14ac:dyDescent="0.25">
      <c r="A1176" s="48" t="str">
        <f t="shared" si="291"/>
        <v>HT</v>
      </c>
      <c r="B1176" s="32" t="s">
        <v>1369</v>
      </c>
      <c r="C1176" s="39" t="s">
        <v>59</v>
      </c>
      <c r="D1176" s="13" t="s">
        <v>16</v>
      </c>
      <c r="E1176" s="123">
        <v>1914.6</v>
      </c>
      <c r="F1176" s="136"/>
      <c r="G1176" s="125"/>
      <c r="H1176" s="125"/>
      <c r="I1176" s="125">
        <f t="shared" si="292"/>
        <v>1914.6</v>
      </c>
      <c r="J1176" s="62">
        <f>'BIỂU HỢP ĐỒNG'!J1002</f>
        <v>12342</v>
      </c>
      <c r="K1176" s="43"/>
      <c r="L1176" s="62">
        <f t="shared" si="293"/>
        <v>23629993</v>
      </c>
      <c r="M1176" s="77">
        <f t="shared" si="294"/>
        <v>0</v>
      </c>
      <c r="N1176" s="43">
        <f t="shared" si="295"/>
        <v>0</v>
      </c>
      <c r="O1176" s="43">
        <f t="shared" si="296"/>
        <v>0</v>
      </c>
      <c r="P1176" s="43">
        <f t="shared" si="290"/>
        <v>23629993</v>
      </c>
      <c r="Q1176" s="100"/>
      <c r="R1176" s="117"/>
    </row>
    <row r="1177" spans="1:18" x14ac:dyDescent="0.25">
      <c r="A1177" s="48" t="str">
        <f t="shared" si="291"/>
        <v>HT</v>
      </c>
      <c r="B1177" s="32" t="s">
        <v>1370</v>
      </c>
      <c r="C1177" s="39" t="s">
        <v>61</v>
      </c>
      <c r="D1177" s="13" t="s">
        <v>62</v>
      </c>
      <c r="E1177" s="123">
        <v>2163.5</v>
      </c>
      <c r="F1177" s="136"/>
      <c r="G1177" s="125"/>
      <c r="H1177" s="125"/>
      <c r="I1177" s="125">
        <f t="shared" si="292"/>
        <v>2163.5</v>
      </c>
      <c r="J1177" s="62">
        <f>'BIỂU HỢP ĐỒNG'!J1003</f>
        <v>6611</v>
      </c>
      <c r="K1177" s="43"/>
      <c r="L1177" s="62">
        <f t="shared" si="293"/>
        <v>14302899</v>
      </c>
      <c r="M1177" s="77">
        <f t="shared" si="294"/>
        <v>0</v>
      </c>
      <c r="N1177" s="43">
        <f t="shared" si="295"/>
        <v>0</v>
      </c>
      <c r="O1177" s="43">
        <f t="shared" si="296"/>
        <v>0</v>
      </c>
      <c r="P1177" s="43">
        <f t="shared" si="290"/>
        <v>14302899</v>
      </c>
      <c r="Q1177" s="100"/>
      <c r="R1177" s="117"/>
    </row>
    <row r="1178" spans="1:18" x14ac:dyDescent="0.25">
      <c r="A1178" s="48" t="str">
        <f t="shared" si="291"/>
        <v>HT</v>
      </c>
      <c r="B1178" s="32" t="s">
        <v>1371</v>
      </c>
      <c r="C1178" s="39" t="s">
        <v>68</v>
      </c>
      <c r="D1178" s="13" t="s">
        <v>16</v>
      </c>
      <c r="E1178" s="123">
        <v>130.19999999999999</v>
      </c>
      <c r="F1178" s="136"/>
      <c r="G1178" s="125"/>
      <c r="H1178" s="125"/>
      <c r="I1178" s="125">
        <f t="shared" si="292"/>
        <v>130.19999999999999</v>
      </c>
      <c r="J1178" s="62">
        <f>'BIỂU HỢP ĐỒNG'!J1004</f>
        <v>882587</v>
      </c>
      <c r="K1178" s="43"/>
      <c r="L1178" s="62">
        <f t="shared" si="293"/>
        <v>114912827</v>
      </c>
      <c r="M1178" s="77">
        <f t="shared" si="294"/>
        <v>0</v>
      </c>
      <c r="N1178" s="43">
        <f t="shared" si="295"/>
        <v>0</v>
      </c>
      <c r="O1178" s="43">
        <f t="shared" si="296"/>
        <v>0</v>
      </c>
      <c r="P1178" s="43">
        <f t="shared" si="290"/>
        <v>114912827</v>
      </c>
      <c r="Q1178" s="100"/>
      <c r="R1178" s="117"/>
    </row>
    <row r="1179" spans="1:18" x14ac:dyDescent="0.25">
      <c r="A1179" s="48" t="str">
        <f t="shared" si="291"/>
        <v>HT</v>
      </c>
      <c r="B1179" s="32" t="s">
        <v>1372</v>
      </c>
      <c r="C1179" s="39" t="s">
        <v>70</v>
      </c>
      <c r="D1179" s="13" t="s">
        <v>13</v>
      </c>
      <c r="E1179" s="123">
        <v>204.9</v>
      </c>
      <c r="F1179" s="136"/>
      <c r="G1179" s="125"/>
      <c r="H1179" s="125"/>
      <c r="I1179" s="125">
        <f t="shared" si="292"/>
        <v>204.9</v>
      </c>
      <c r="J1179" s="62">
        <f>'BIỂU HỢP ĐỒNG'!J1005</f>
        <v>26716</v>
      </c>
      <c r="K1179" s="43"/>
      <c r="L1179" s="62">
        <f t="shared" si="293"/>
        <v>5474108</v>
      </c>
      <c r="M1179" s="77">
        <f t="shared" si="294"/>
        <v>0</v>
      </c>
      <c r="N1179" s="43">
        <f t="shared" si="295"/>
        <v>0</v>
      </c>
      <c r="O1179" s="43">
        <f t="shared" si="296"/>
        <v>0</v>
      </c>
      <c r="P1179" s="43">
        <f t="shared" si="290"/>
        <v>5474108</v>
      </c>
      <c r="Q1179" s="100"/>
      <c r="R1179" s="117"/>
    </row>
    <row r="1180" spans="1:18" x14ac:dyDescent="0.25">
      <c r="A1180" s="48" t="str">
        <f t="shared" si="291"/>
        <v>HT</v>
      </c>
      <c r="B1180" s="32" t="s">
        <v>1373</v>
      </c>
      <c r="C1180" s="39" t="s">
        <v>72</v>
      </c>
      <c r="D1180" s="13" t="s">
        <v>16</v>
      </c>
      <c r="E1180" s="123">
        <v>44.8</v>
      </c>
      <c r="F1180" s="136"/>
      <c r="G1180" s="125"/>
      <c r="H1180" s="125"/>
      <c r="I1180" s="125">
        <f t="shared" si="292"/>
        <v>44.8</v>
      </c>
      <c r="J1180" s="62">
        <f>'BIỂU HỢP ĐỒNG'!J1006</f>
        <v>32141</v>
      </c>
      <c r="K1180" s="43"/>
      <c r="L1180" s="62">
        <f t="shared" si="293"/>
        <v>1439917</v>
      </c>
      <c r="M1180" s="77">
        <f t="shared" si="294"/>
        <v>0</v>
      </c>
      <c r="N1180" s="43">
        <f t="shared" si="295"/>
        <v>0</v>
      </c>
      <c r="O1180" s="43">
        <f t="shared" si="296"/>
        <v>0</v>
      </c>
      <c r="P1180" s="43">
        <f t="shared" si="290"/>
        <v>1439917</v>
      </c>
      <c r="Q1180" s="100"/>
      <c r="R1180" s="117"/>
    </row>
    <row r="1181" spans="1:18" ht="63" customHeight="1" x14ac:dyDescent="0.25">
      <c r="A1181" s="48" t="str">
        <f t="shared" si="291"/>
        <v>HT</v>
      </c>
      <c r="B1181" s="32" t="s">
        <v>1374</v>
      </c>
      <c r="C1181" s="39" t="s">
        <v>1035</v>
      </c>
      <c r="D1181" s="13" t="s">
        <v>75</v>
      </c>
      <c r="E1181" s="123">
        <v>15536</v>
      </c>
      <c r="F1181" s="136"/>
      <c r="G1181" s="125"/>
      <c r="H1181" s="125"/>
      <c r="I1181" s="125">
        <f t="shared" si="292"/>
        <v>15536</v>
      </c>
      <c r="J1181" s="62">
        <f>'BIỂU HỢP ĐỒNG'!J1007</f>
        <v>70225</v>
      </c>
      <c r="K1181" s="43"/>
      <c r="L1181" s="62">
        <f t="shared" si="293"/>
        <v>1091015600</v>
      </c>
      <c r="M1181" s="77">
        <f t="shared" si="294"/>
        <v>0</v>
      </c>
      <c r="N1181" s="43">
        <f t="shared" si="295"/>
        <v>0</v>
      </c>
      <c r="O1181" s="43">
        <f t="shared" si="296"/>
        <v>0</v>
      </c>
      <c r="P1181" s="43">
        <f t="shared" si="290"/>
        <v>1091015600</v>
      </c>
      <c r="Q1181" s="100"/>
      <c r="R1181" s="117"/>
    </row>
    <row r="1182" spans="1:18" ht="31.5" customHeight="1" x14ac:dyDescent="0.25">
      <c r="A1182" s="48" t="str">
        <f t="shared" si="291"/>
        <v>HT</v>
      </c>
      <c r="B1182" s="32" t="s">
        <v>1375</v>
      </c>
      <c r="C1182" s="39" t="s">
        <v>77</v>
      </c>
      <c r="D1182" s="13" t="s">
        <v>16</v>
      </c>
      <c r="E1182" s="123">
        <v>1550.4</v>
      </c>
      <c r="F1182" s="136"/>
      <c r="G1182" s="125"/>
      <c r="H1182" s="125"/>
      <c r="I1182" s="125">
        <f t="shared" si="292"/>
        <v>1550.4</v>
      </c>
      <c r="J1182" s="62">
        <f>'BIỂU HỢP ĐỒNG'!J1008</f>
        <v>274941</v>
      </c>
      <c r="K1182" s="43"/>
      <c r="L1182" s="62">
        <f t="shared" si="293"/>
        <v>426268526</v>
      </c>
      <c r="M1182" s="77">
        <f t="shared" si="294"/>
        <v>0</v>
      </c>
      <c r="N1182" s="43">
        <f t="shared" si="295"/>
        <v>0</v>
      </c>
      <c r="O1182" s="43">
        <f t="shared" si="296"/>
        <v>0</v>
      </c>
      <c r="P1182" s="43">
        <f t="shared" si="290"/>
        <v>426268526</v>
      </c>
      <c r="Q1182" s="100"/>
      <c r="R1182" s="117"/>
    </row>
    <row r="1183" spans="1:18" x14ac:dyDescent="0.25">
      <c r="A1183" s="48" t="str">
        <f t="shared" si="291"/>
        <v>HT</v>
      </c>
      <c r="B1183" s="32" t="s">
        <v>1376</v>
      </c>
      <c r="C1183" s="39" t="s">
        <v>1038</v>
      </c>
      <c r="D1183" s="13" t="s">
        <v>16</v>
      </c>
      <c r="E1183" s="123">
        <v>2525.4</v>
      </c>
      <c r="F1183" s="136"/>
      <c r="G1183" s="125"/>
      <c r="H1183" s="125"/>
      <c r="I1183" s="125">
        <f t="shared" si="292"/>
        <v>2525.4</v>
      </c>
      <c r="J1183" s="62">
        <f>'BIỂU HỢP ĐỒNG'!J1009</f>
        <v>274941</v>
      </c>
      <c r="K1183" s="43"/>
      <c r="L1183" s="62">
        <f t="shared" si="293"/>
        <v>694336001</v>
      </c>
      <c r="M1183" s="77">
        <f t="shared" si="294"/>
        <v>0</v>
      </c>
      <c r="N1183" s="43">
        <f t="shared" si="295"/>
        <v>0</v>
      </c>
      <c r="O1183" s="43">
        <f t="shared" si="296"/>
        <v>0</v>
      </c>
      <c r="P1183" s="43">
        <f t="shared" si="290"/>
        <v>694336001</v>
      </c>
      <c r="Q1183" s="100"/>
      <c r="R1183" s="117"/>
    </row>
    <row r="1184" spans="1:18" x14ac:dyDescent="0.25">
      <c r="A1184" s="48" t="str">
        <f t="shared" si="291"/>
        <v>HT</v>
      </c>
      <c r="B1184" s="32" t="s">
        <v>1377</v>
      </c>
      <c r="C1184" s="39" t="s">
        <v>79</v>
      </c>
      <c r="D1184" s="13" t="s">
        <v>16</v>
      </c>
      <c r="E1184" s="123">
        <v>200.2</v>
      </c>
      <c r="F1184" s="136"/>
      <c r="G1184" s="125"/>
      <c r="H1184" s="125"/>
      <c r="I1184" s="125">
        <f t="shared" si="292"/>
        <v>200.2</v>
      </c>
      <c r="J1184" s="62">
        <f>'BIỂU HỢP ĐỒNG'!J1010</f>
        <v>20867</v>
      </c>
      <c r="K1184" s="43"/>
      <c r="L1184" s="62">
        <f t="shared" si="293"/>
        <v>4177573</v>
      </c>
      <c r="M1184" s="77">
        <f t="shared" si="294"/>
        <v>0</v>
      </c>
      <c r="N1184" s="43">
        <f t="shared" si="295"/>
        <v>0</v>
      </c>
      <c r="O1184" s="43">
        <f t="shared" si="296"/>
        <v>0</v>
      </c>
      <c r="P1184" s="43">
        <f t="shared" si="290"/>
        <v>4177573</v>
      </c>
      <c r="Q1184" s="100"/>
      <c r="R1184" s="117"/>
    </row>
    <row r="1185" spans="1:18" x14ac:dyDescent="0.25">
      <c r="A1185" s="48" t="str">
        <f t="shared" si="291"/>
        <v>HT</v>
      </c>
      <c r="B1185" s="32" t="s">
        <v>1378</v>
      </c>
      <c r="C1185" s="39" t="s">
        <v>81</v>
      </c>
      <c r="D1185" s="13" t="s">
        <v>16</v>
      </c>
      <c r="E1185" s="123">
        <v>200.2</v>
      </c>
      <c r="F1185" s="136"/>
      <c r="G1185" s="125"/>
      <c r="H1185" s="125"/>
      <c r="I1185" s="125">
        <f t="shared" si="292"/>
        <v>200.2</v>
      </c>
      <c r="J1185" s="62">
        <f>'BIỂU HỢP ĐỒNG'!J1011</f>
        <v>12936</v>
      </c>
      <c r="K1185" s="43"/>
      <c r="L1185" s="62">
        <f t="shared" si="293"/>
        <v>2589787</v>
      </c>
      <c r="M1185" s="77">
        <f t="shared" si="294"/>
        <v>0</v>
      </c>
      <c r="N1185" s="43">
        <f t="shared" si="295"/>
        <v>0</v>
      </c>
      <c r="O1185" s="43">
        <f t="shared" si="296"/>
        <v>0</v>
      </c>
      <c r="P1185" s="43">
        <f t="shared" si="290"/>
        <v>2589787</v>
      </c>
      <c r="Q1185" s="100"/>
      <c r="R1185" s="117"/>
    </row>
    <row r="1186" spans="1:18" x14ac:dyDescent="0.25">
      <c r="A1186" s="48" t="str">
        <f t="shared" si="291"/>
        <v>HT</v>
      </c>
      <c r="B1186" s="32" t="s">
        <v>1379</v>
      </c>
      <c r="C1186" s="39" t="s">
        <v>83</v>
      </c>
      <c r="D1186" s="13" t="s">
        <v>75</v>
      </c>
      <c r="E1186" s="123">
        <v>22.4</v>
      </c>
      <c r="F1186" s="136"/>
      <c r="G1186" s="125"/>
      <c r="H1186" s="125"/>
      <c r="I1186" s="125">
        <f t="shared" si="292"/>
        <v>22.4</v>
      </c>
      <c r="J1186" s="62">
        <f>'BIỂU HỢP ĐỒNG'!J1012</f>
        <v>301142</v>
      </c>
      <c r="K1186" s="43"/>
      <c r="L1186" s="62">
        <f t="shared" si="293"/>
        <v>6745581</v>
      </c>
      <c r="M1186" s="77">
        <f t="shared" si="294"/>
        <v>0</v>
      </c>
      <c r="N1186" s="43">
        <f t="shared" si="295"/>
        <v>0</v>
      </c>
      <c r="O1186" s="43">
        <f t="shared" si="296"/>
        <v>0</v>
      </c>
      <c r="P1186" s="43">
        <f t="shared" si="290"/>
        <v>6745581</v>
      </c>
      <c r="Q1186" s="100"/>
      <c r="R1186" s="117"/>
    </row>
    <row r="1187" spans="1:18" x14ac:dyDescent="0.25">
      <c r="A1187" s="48" t="str">
        <f t="shared" si="291"/>
        <v>HT</v>
      </c>
      <c r="B1187" s="32" t="s">
        <v>1380</v>
      </c>
      <c r="C1187" s="39" t="s">
        <v>85</v>
      </c>
      <c r="D1187" s="13" t="s">
        <v>75</v>
      </c>
      <c r="E1187" s="123">
        <v>50</v>
      </c>
      <c r="F1187" s="136"/>
      <c r="G1187" s="125"/>
      <c r="H1187" s="125"/>
      <c r="I1187" s="125">
        <f t="shared" si="292"/>
        <v>50</v>
      </c>
      <c r="J1187" s="62">
        <f>'BIỂU HỢP ĐỒNG'!J1013</f>
        <v>191443</v>
      </c>
      <c r="K1187" s="43"/>
      <c r="L1187" s="62">
        <f t="shared" si="293"/>
        <v>9572150</v>
      </c>
      <c r="M1187" s="77">
        <f t="shared" si="294"/>
        <v>0</v>
      </c>
      <c r="N1187" s="43">
        <f t="shared" si="295"/>
        <v>0</v>
      </c>
      <c r="O1187" s="43">
        <f t="shared" si="296"/>
        <v>0</v>
      </c>
      <c r="P1187" s="43">
        <f t="shared" si="290"/>
        <v>9572150</v>
      </c>
      <c r="Q1187" s="100"/>
      <c r="R1187" s="117"/>
    </row>
    <row r="1188" spans="1:18" x14ac:dyDescent="0.25">
      <c r="A1188" s="48" t="str">
        <f t="shared" si="291"/>
        <v>HT</v>
      </c>
      <c r="B1188" s="32" t="s">
        <v>1381</v>
      </c>
      <c r="C1188" s="39" t="s">
        <v>87</v>
      </c>
      <c r="D1188" s="13" t="s">
        <v>75</v>
      </c>
      <c r="E1188" s="123">
        <v>50</v>
      </c>
      <c r="F1188" s="136"/>
      <c r="G1188" s="125"/>
      <c r="H1188" s="125"/>
      <c r="I1188" s="125">
        <f t="shared" si="292"/>
        <v>50</v>
      </c>
      <c r="J1188" s="62">
        <f>'BIỂU HỢP ĐỒNG'!J1014</f>
        <v>184138</v>
      </c>
      <c r="K1188" s="43"/>
      <c r="L1188" s="62">
        <f t="shared" si="293"/>
        <v>9206900</v>
      </c>
      <c r="M1188" s="77">
        <f t="shared" si="294"/>
        <v>0</v>
      </c>
      <c r="N1188" s="43">
        <f t="shared" si="295"/>
        <v>0</v>
      </c>
      <c r="O1188" s="43">
        <f t="shared" si="296"/>
        <v>0</v>
      </c>
      <c r="P1188" s="43">
        <f t="shared" si="290"/>
        <v>9206900</v>
      </c>
      <c r="Q1188" s="100"/>
      <c r="R1188" s="117"/>
    </row>
    <row r="1189" spans="1:18" x14ac:dyDescent="0.25">
      <c r="A1189" s="48" t="str">
        <f t="shared" si="291"/>
        <v>HT</v>
      </c>
      <c r="B1189" s="32" t="s">
        <v>1382</v>
      </c>
      <c r="C1189" s="39" t="s">
        <v>89</v>
      </c>
      <c r="D1189" s="13" t="s">
        <v>90</v>
      </c>
      <c r="E1189" s="123">
        <v>0.47</v>
      </c>
      <c r="F1189" s="136"/>
      <c r="G1189" s="125"/>
      <c r="H1189" s="125"/>
      <c r="I1189" s="125">
        <f t="shared" si="292"/>
        <v>0.47</v>
      </c>
      <c r="J1189" s="62">
        <f>'BIỂU HỢP ĐỒNG'!J1015</f>
        <v>33697650</v>
      </c>
      <c r="K1189" s="43"/>
      <c r="L1189" s="62">
        <f t="shared" si="293"/>
        <v>15837896</v>
      </c>
      <c r="M1189" s="77">
        <f t="shared" si="294"/>
        <v>0</v>
      </c>
      <c r="N1189" s="43">
        <f t="shared" si="295"/>
        <v>0</v>
      </c>
      <c r="O1189" s="43">
        <f t="shared" si="296"/>
        <v>0</v>
      </c>
      <c r="P1189" s="43">
        <f t="shared" si="290"/>
        <v>15837896</v>
      </c>
      <c r="Q1189" s="100"/>
      <c r="R1189" s="117"/>
    </row>
    <row r="1190" spans="1:18" x14ac:dyDescent="0.25">
      <c r="A1190" s="48" t="str">
        <f t="shared" si="291"/>
        <v>HT</v>
      </c>
      <c r="B1190" s="32" t="s">
        <v>1383</v>
      </c>
      <c r="C1190" s="39" t="s">
        <v>92</v>
      </c>
      <c r="D1190" s="13" t="s">
        <v>75</v>
      </c>
      <c r="E1190" s="123">
        <v>36</v>
      </c>
      <c r="F1190" s="136"/>
      <c r="G1190" s="125"/>
      <c r="H1190" s="125"/>
      <c r="I1190" s="125">
        <f t="shared" si="292"/>
        <v>36</v>
      </c>
      <c r="J1190" s="62">
        <f>'BIỂU HỢP ĐỒNG'!J1016</f>
        <v>17859</v>
      </c>
      <c r="K1190" s="43"/>
      <c r="L1190" s="62">
        <f t="shared" si="293"/>
        <v>642924</v>
      </c>
      <c r="M1190" s="77">
        <f t="shared" si="294"/>
        <v>0</v>
      </c>
      <c r="N1190" s="43">
        <f t="shared" si="295"/>
        <v>0</v>
      </c>
      <c r="O1190" s="43">
        <f t="shared" si="296"/>
        <v>0</v>
      </c>
      <c r="P1190" s="43">
        <f t="shared" si="290"/>
        <v>642924</v>
      </c>
      <c r="Q1190" s="100"/>
      <c r="R1190" s="117"/>
    </row>
    <row r="1191" spans="1:18" ht="47.25" customHeight="1" x14ac:dyDescent="0.25">
      <c r="A1191" s="48" t="str">
        <f t="shared" si="291"/>
        <v>HT</v>
      </c>
      <c r="B1191" s="32" t="s">
        <v>1384</v>
      </c>
      <c r="C1191" s="39" t="s">
        <v>94</v>
      </c>
      <c r="D1191" s="13" t="s">
        <v>13</v>
      </c>
      <c r="E1191" s="123">
        <v>1035.5</v>
      </c>
      <c r="F1191" s="136"/>
      <c r="G1191" s="125"/>
      <c r="H1191" s="125"/>
      <c r="I1191" s="125">
        <f t="shared" si="292"/>
        <v>1035.5</v>
      </c>
      <c r="J1191" s="62">
        <f>'BIỂU HỢP ĐỒNG'!J1017</f>
        <v>11015</v>
      </c>
      <c r="K1191" s="43"/>
      <c r="L1191" s="62">
        <f t="shared" si="293"/>
        <v>11406033</v>
      </c>
      <c r="M1191" s="77">
        <f t="shared" si="294"/>
        <v>0</v>
      </c>
      <c r="N1191" s="43">
        <f t="shared" si="295"/>
        <v>0</v>
      </c>
      <c r="O1191" s="43">
        <f t="shared" si="296"/>
        <v>0</v>
      </c>
      <c r="P1191" s="43">
        <f t="shared" si="290"/>
        <v>11406033</v>
      </c>
      <c r="Q1191" s="100"/>
      <c r="R1191" s="117"/>
    </row>
    <row r="1192" spans="1:18" ht="31.5" customHeight="1" x14ac:dyDescent="0.25">
      <c r="A1192" s="48" t="str">
        <f t="shared" si="291"/>
        <v>HT</v>
      </c>
      <c r="B1192" s="32" t="s">
        <v>1385</v>
      </c>
      <c r="C1192" s="39" t="s">
        <v>96</v>
      </c>
      <c r="D1192" s="13" t="s">
        <v>90</v>
      </c>
      <c r="E1192" s="123">
        <v>147.46</v>
      </c>
      <c r="F1192" s="136"/>
      <c r="G1192" s="125"/>
      <c r="H1192" s="125"/>
      <c r="I1192" s="125">
        <f t="shared" si="292"/>
        <v>147.46</v>
      </c>
      <c r="J1192" s="62">
        <f>'BIỂU HỢP ĐỒNG'!J1018</f>
        <v>1646788</v>
      </c>
      <c r="K1192" s="43"/>
      <c r="L1192" s="62">
        <f t="shared" si="293"/>
        <v>242835358</v>
      </c>
      <c r="M1192" s="77">
        <f t="shared" si="294"/>
        <v>0</v>
      </c>
      <c r="N1192" s="43">
        <f t="shared" si="295"/>
        <v>0</v>
      </c>
      <c r="O1192" s="43">
        <f t="shared" si="296"/>
        <v>0</v>
      </c>
      <c r="P1192" s="43">
        <f t="shared" si="290"/>
        <v>242835358</v>
      </c>
      <c r="Q1192" s="100"/>
      <c r="R1192" s="117"/>
    </row>
    <row r="1193" spans="1:18" ht="31.5" customHeight="1" x14ac:dyDescent="0.25">
      <c r="A1193" s="48" t="str">
        <f t="shared" si="291"/>
        <v>HT</v>
      </c>
      <c r="B1193" s="32" t="s">
        <v>1386</v>
      </c>
      <c r="C1193" s="39" t="s">
        <v>98</v>
      </c>
      <c r="D1193" s="13" t="s">
        <v>99</v>
      </c>
      <c r="E1193" s="123">
        <v>1.47</v>
      </c>
      <c r="F1193" s="136"/>
      <c r="G1193" s="125"/>
      <c r="H1193" s="125"/>
      <c r="I1193" s="125">
        <f t="shared" si="292"/>
        <v>1.47</v>
      </c>
      <c r="J1193" s="62">
        <f>'BIỂU HỢP ĐỒNG'!J1019</f>
        <v>11384261</v>
      </c>
      <c r="K1193" s="43"/>
      <c r="L1193" s="62">
        <f t="shared" si="293"/>
        <v>16734864</v>
      </c>
      <c r="M1193" s="77">
        <f t="shared" si="294"/>
        <v>0</v>
      </c>
      <c r="N1193" s="43">
        <f t="shared" si="295"/>
        <v>0</v>
      </c>
      <c r="O1193" s="43">
        <f t="shared" si="296"/>
        <v>0</v>
      </c>
      <c r="P1193" s="43">
        <f t="shared" si="290"/>
        <v>16734864</v>
      </c>
      <c r="Q1193" s="100"/>
      <c r="R1193" s="117"/>
    </row>
    <row r="1194" spans="1:18" ht="31.5" customHeight="1" x14ac:dyDescent="0.25">
      <c r="A1194" s="48" t="str">
        <f t="shared" si="291"/>
        <v>HT</v>
      </c>
      <c r="B1194" s="32" t="s">
        <v>1387</v>
      </c>
      <c r="C1194" s="39" t="s">
        <v>101</v>
      </c>
      <c r="D1194" s="13" t="s">
        <v>13</v>
      </c>
      <c r="E1194" s="123">
        <v>1035.5</v>
      </c>
      <c r="F1194" s="136"/>
      <c r="G1194" s="125"/>
      <c r="H1194" s="125"/>
      <c r="I1194" s="125">
        <f t="shared" si="292"/>
        <v>1035.5</v>
      </c>
      <c r="J1194" s="62">
        <f>'BIỂU HỢP ĐỒNG'!J1020</f>
        <v>26753</v>
      </c>
      <c r="K1194" s="43"/>
      <c r="L1194" s="62">
        <f t="shared" si="293"/>
        <v>27702732</v>
      </c>
      <c r="M1194" s="77">
        <f t="shared" si="294"/>
        <v>0</v>
      </c>
      <c r="N1194" s="43">
        <f t="shared" si="295"/>
        <v>0</v>
      </c>
      <c r="O1194" s="43">
        <f t="shared" si="296"/>
        <v>0</v>
      </c>
      <c r="P1194" s="43">
        <f t="shared" si="290"/>
        <v>27702732</v>
      </c>
      <c r="Q1194" s="100"/>
      <c r="R1194" s="117"/>
    </row>
    <row r="1195" spans="1:18" x14ac:dyDescent="0.25">
      <c r="A1195" s="48" t="str">
        <f t="shared" si="291"/>
        <v>HT</v>
      </c>
      <c r="B1195" s="32" t="s">
        <v>1388</v>
      </c>
      <c r="C1195" s="39" t="s">
        <v>103</v>
      </c>
      <c r="D1195" s="13" t="s">
        <v>16</v>
      </c>
      <c r="E1195" s="123">
        <v>250.7</v>
      </c>
      <c r="F1195" s="136"/>
      <c r="G1195" s="125"/>
      <c r="H1195" s="125"/>
      <c r="I1195" s="125">
        <f t="shared" si="292"/>
        <v>250.7</v>
      </c>
      <c r="J1195" s="62">
        <f>'BIỂU HỢP ĐỒNG'!J1021</f>
        <v>364704</v>
      </c>
      <c r="K1195" s="43"/>
      <c r="L1195" s="62">
        <f t="shared" si="293"/>
        <v>91431293</v>
      </c>
      <c r="M1195" s="77">
        <f t="shared" si="294"/>
        <v>0</v>
      </c>
      <c r="N1195" s="43">
        <f t="shared" si="295"/>
        <v>0</v>
      </c>
      <c r="O1195" s="43">
        <f t="shared" si="296"/>
        <v>0</v>
      </c>
      <c r="P1195" s="43">
        <f t="shared" si="290"/>
        <v>91431293</v>
      </c>
      <c r="Q1195" s="100"/>
      <c r="R1195" s="117"/>
    </row>
    <row r="1196" spans="1:18" x14ac:dyDescent="0.25">
      <c r="A1196" s="48" t="str">
        <f t="shared" si="291"/>
        <v>HT</v>
      </c>
      <c r="B1196" s="32" t="s">
        <v>1389</v>
      </c>
      <c r="C1196" s="39" t="s">
        <v>105</v>
      </c>
      <c r="D1196" s="13" t="s">
        <v>16</v>
      </c>
      <c r="E1196" s="123">
        <v>362.7</v>
      </c>
      <c r="F1196" s="136"/>
      <c r="G1196" s="125"/>
      <c r="H1196" s="125"/>
      <c r="I1196" s="125">
        <f t="shared" si="292"/>
        <v>362.7</v>
      </c>
      <c r="J1196" s="62">
        <f>'BIỂU HỢP ĐỒNG'!J1022</f>
        <v>344284</v>
      </c>
      <c r="K1196" s="43"/>
      <c r="L1196" s="62">
        <f t="shared" si="293"/>
        <v>124871807</v>
      </c>
      <c r="M1196" s="77">
        <f t="shared" si="294"/>
        <v>0</v>
      </c>
      <c r="N1196" s="43">
        <f t="shared" si="295"/>
        <v>0</v>
      </c>
      <c r="O1196" s="43">
        <f t="shared" si="296"/>
        <v>0</v>
      </c>
      <c r="P1196" s="43">
        <f t="shared" si="290"/>
        <v>124871807</v>
      </c>
      <c r="Q1196" s="100"/>
      <c r="R1196" s="117"/>
    </row>
    <row r="1197" spans="1:18" x14ac:dyDescent="0.25">
      <c r="A1197" s="48" t="str">
        <f t="shared" si="291"/>
        <v>HT</v>
      </c>
      <c r="B1197" s="32" t="s">
        <v>1390</v>
      </c>
      <c r="C1197" s="39" t="s">
        <v>125</v>
      </c>
      <c r="D1197" s="13" t="s">
        <v>126</v>
      </c>
      <c r="E1197" s="123">
        <v>0.27</v>
      </c>
      <c r="F1197" s="136"/>
      <c r="G1197" s="125"/>
      <c r="H1197" s="125"/>
      <c r="I1197" s="125">
        <f t="shared" si="292"/>
        <v>0.27</v>
      </c>
      <c r="J1197" s="62">
        <f>'BIỂU HỢP ĐỒNG'!J1023</f>
        <v>10394299</v>
      </c>
      <c r="K1197" s="43"/>
      <c r="L1197" s="62">
        <f t="shared" si="293"/>
        <v>2806461</v>
      </c>
      <c r="M1197" s="77">
        <f t="shared" si="294"/>
        <v>0</v>
      </c>
      <c r="N1197" s="43">
        <f t="shared" si="295"/>
        <v>0</v>
      </c>
      <c r="O1197" s="43">
        <f t="shared" si="296"/>
        <v>0</v>
      </c>
      <c r="P1197" s="43">
        <f t="shared" si="290"/>
        <v>2806461</v>
      </c>
      <c r="Q1197" s="100"/>
      <c r="R1197" s="117"/>
    </row>
    <row r="1198" spans="1:18" ht="47.25" customHeight="1" x14ac:dyDescent="0.25">
      <c r="A1198" s="48" t="str">
        <f t="shared" si="291"/>
        <v>HT</v>
      </c>
      <c r="B1198" s="32" t="s">
        <v>1391</v>
      </c>
      <c r="C1198" s="39" t="s">
        <v>120</v>
      </c>
      <c r="D1198" s="13" t="s">
        <v>16</v>
      </c>
      <c r="E1198" s="123">
        <v>13.1</v>
      </c>
      <c r="F1198" s="136"/>
      <c r="G1198" s="125"/>
      <c r="H1198" s="125"/>
      <c r="I1198" s="125">
        <f t="shared" si="292"/>
        <v>13.1</v>
      </c>
      <c r="J1198" s="62">
        <f>'BIỂU HỢP ĐỒNG'!J1024</f>
        <v>1202607</v>
      </c>
      <c r="K1198" s="43"/>
      <c r="L1198" s="62">
        <f t="shared" si="293"/>
        <v>15754152</v>
      </c>
      <c r="M1198" s="77">
        <f t="shared" si="294"/>
        <v>0</v>
      </c>
      <c r="N1198" s="43">
        <f t="shared" si="295"/>
        <v>0</v>
      </c>
      <c r="O1198" s="43">
        <f t="shared" si="296"/>
        <v>0</v>
      </c>
      <c r="P1198" s="43">
        <f t="shared" si="290"/>
        <v>15754152</v>
      </c>
      <c r="Q1198" s="100"/>
      <c r="R1198" s="117"/>
    </row>
    <row r="1199" spans="1:18" x14ac:dyDescent="0.25">
      <c r="A1199" s="48" t="str">
        <f t="shared" si="291"/>
        <v>HT</v>
      </c>
      <c r="B1199" s="32" t="s">
        <v>1392</v>
      </c>
      <c r="C1199" s="39" t="s">
        <v>137</v>
      </c>
      <c r="D1199" s="13" t="s">
        <v>75</v>
      </c>
      <c r="E1199" s="123">
        <v>106.8</v>
      </c>
      <c r="F1199" s="136">
        <v>201.98</v>
      </c>
      <c r="G1199" s="125"/>
      <c r="H1199" s="125"/>
      <c r="I1199" s="125">
        <f t="shared" si="292"/>
        <v>308.77999999999997</v>
      </c>
      <c r="J1199" s="62">
        <f>'BIỂU HỢP ĐỒNG'!J1025</f>
        <v>388691</v>
      </c>
      <c r="K1199" s="43"/>
      <c r="L1199" s="62">
        <f t="shared" si="293"/>
        <v>41512199</v>
      </c>
      <c r="M1199" s="77">
        <f t="shared" si="294"/>
        <v>78507808</v>
      </c>
      <c r="N1199" s="43">
        <f t="shared" si="295"/>
        <v>0</v>
      </c>
      <c r="O1199" s="43">
        <f t="shared" si="296"/>
        <v>0</v>
      </c>
      <c r="P1199" s="43">
        <f t="shared" si="290"/>
        <v>120020007</v>
      </c>
      <c r="Q1199" s="100"/>
      <c r="R1199" s="117"/>
    </row>
    <row r="1200" spans="1:18" x14ac:dyDescent="0.25">
      <c r="A1200" s="48" t="str">
        <f t="shared" si="291"/>
        <v>HT</v>
      </c>
      <c r="B1200" s="32" t="s">
        <v>1393</v>
      </c>
      <c r="C1200" s="39" t="s">
        <v>143</v>
      </c>
      <c r="D1200" s="13" t="s">
        <v>37</v>
      </c>
      <c r="E1200" s="123">
        <v>1.53</v>
      </c>
      <c r="F1200" s="136"/>
      <c r="G1200" s="125"/>
      <c r="H1200" s="125"/>
      <c r="I1200" s="125">
        <f t="shared" si="292"/>
        <v>1.53</v>
      </c>
      <c r="J1200" s="62">
        <f>'BIỂU HỢP ĐỒNG'!J1026</f>
        <v>669649</v>
      </c>
      <c r="K1200" s="43"/>
      <c r="L1200" s="62">
        <f t="shared" si="293"/>
        <v>1024563</v>
      </c>
      <c r="M1200" s="77">
        <f t="shared" si="294"/>
        <v>0</v>
      </c>
      <c r="N1200" s="43">
        <f t="shared" si="295"/>
        <v>0</v>
      </c>
      <c r="O1200" s="43">
        <f t="shared" si="296"/>
        <v>0</v>
      </c>
      <c r="P1200" s="43">
        <f t="shared" si="290"/>
        <v>1024563</v>
      </c>
      <c r="Q1200" s="100"/>
      <c r="R1200" s="117"/>
    </row>
    <row r="1201" spans="1:18" x14ac:dyDescent="0.25">
      <c r="A1201" s="48" t="str">
        <f t="shared" si="291"/>
        <v>HT</v>
      </c>
      <c r="B1201" s="32" t="s">
        <v>1394</v>
      </c>
      <c r="C1201" s="39" t="s">
        <v>145</v>
      </c>
      <c r="D1201" s="13" t="s">
        <v>146</v>
      </c>
      <c r="E1201" s="123">
        <v>3</v>
      </c>
      <c r="F1201" s="136"/>
      <c r="G1201" s="125"/>
      <c r="H1201" s="125"/>
      <c r="I1201" s="125">
        <f t="shared" si="292"/>
        <v>3</v>
      </c>
      <c r="J1201" s="62">
        <f>'BIỂU HỢP ĐỒNG'!J1027</f>
        <v>1909908</v>
      </c>
      <c r="K1201" s="43"/>
      <c r="L1201" s="62">
        <f t="shared" si="293"/>
        <v>5729724</v>
      </c>
      <c r="M1201" s="77">
        <f t="shared" si="294"/>
        <v>0</v>
      </c>
      <c r="N1201" s="43">
        <f t="shared" si="295"/>
        <v>0</v>
      </c>
      <c r="O1201" s="43">
        <f t="shared" si="296"/>
        <v>0</v>
      </c>
      <c r="P1201" s="43">
        <f t="shared" si="290"/>
        <v>5729724</v>
      </c>
      <c r="Q1201" s="100"/>
      <c r="R1201" s="117"/>
    </row>
    <row r="1202" spans="1:18" x14ac:dyDescent="0.25">
      <c r="A1202" s="48" t="str">
        <f t="shared" si="291"/>
        <v>HT</v>
      </c>
      <c r="B1202" s="32" t="s">
        <v>1395</v>
      </c>
      <c r="C1202" s="39" t="s">
        <v>47</v>
      </c>
      <c r="D1202" s="13" t="s">
        <v>16</v>
      </c>
      <c r="E1202" s="123">
        <v>26.4</v>
      </c>
      <c r="F1202" s="136">
        <v>49.889060000000001</v>
      </c>
      <c r="G1202" s="125"/>
      <c r="H1202" s="125"/>
      <c r="I1202" s="125">
        <f t="shared" si="292"/>
        <v>76.289060000000006</v>
      </c>
      <c r="J1202" s="62">
        <f>'BIỂU HỢP ĐỒNG'!J1028</f>
        <v>2096</v>
      </c>
      <c r="K1202" s="43"/>
      <c r="L1202" s="62">
        <f t="shared" si="293"/>
        <v>55334</v>
      </c>
      <c r="M1202" s="77">
        <f t="shared" si="294"/>
        <v>104567</v>
      </c>
      <c r="N1202" s="43">
        <f t="shared" si="295"/>
        <v>0</v>
      </c>
      <c r="O1202" s="43">
        <f t="shared" si="296"/>
        <v>0</v>
      </c>
      <c r="P1202" s="43">
        <f t="shared" si="290"/>
        <v>159901</v>
      </c>
      <c r="Q1202" s="100"/>
      <c r="R1202" s="117"/>
    </row>
    <row r="1203" spans="1:18" ht="31.5" customHeight="1" x14ac:dyDescent="0.25">
      <c r="A1203" s="48" t="str">
        <f t="shared" si="291"/>
        <v>HT</v>
      </c>
      <c r="B1203" s="32" t="s">
        <v>1396</v>
      </c>
      <c r="C1203" s="39" t="s">
        <v>1397</v>
      </c>
      <c r="D1203" s="13" t="s">
        <v>150</v>
      </c>
      <c r="E1203" s="123">
        <v>0.38</v>
      </c>
      <c r="F1203" s="136">
        <v>0.70894999999999997</v>
      </c>
      <c r="G1203" s="125"/>
      <c r="H1203" s="125"/>
      <c r="I1203" s="125">
        <f t="shared" si="292"/>
        <v>1.0889500000000001</v>
      </c>
      <c r="J1203" s="62">
        <f>'BIỂU HỢP ĐỒNG'!J1029</f>
        <v>963779</v>
      </c>
      <c r="K1203" s="43"/>
      <c r="L1203" s="62">
        <f t="shared" si="293"/>
        <v>366236</v>
      </c>
      <c r="M1203" s="77">
        <f t="shared" si="294"/>
        <v>683271</v>
      </c>
      <c r="N1203" s="43">
        <f t="shared" si="295"/>
        <v>0</v>
      </c>
      <c r="O1203" s="43">
        <f t="shared" si="296"/>
        <v>0</v>
      </c>
      <c r="P1203" s="43">
        <f t="shared" si="290"/>
        <v>1049507</v>
      </c>
      <c r="Q1203" s="100"/>
      <c r="R1203" s="117"/>
    </row>
    <row r="1204" spans="1:18" ht="31.5" customHeight="1" x14ac:dyDescent="0.25">
      <c r="A1204" s="48" t="str">
        <f t="shared" si="291"/>
        <v>HT</v>
      </c>
      <c r="B1204" s="29">
        <v>16</v>
      </c>
      <c r="C1204" s="12" t="s">
        <v>1398</v>
      </c>
      <c r="D1204" s="79"/>
      <c r="E1204" s="123"/>
      <c r="F1204" s="136"/>
      <c r="G1204" s="125"/>
      <c r="H1204" s="125"/>
      <c r="I1204" s="125"/>
      <c r="J1204" s="62"/>
      <c r="K1204" s="43"/>
      <c r="L1204" s="62"/>
      <c r="M1204" s="77"/>
      <c r="N1204" s="43"/>
      <c r="O1204" s="43"/>
      <c r="P1204" s="43">
        <f t="shared" si="290"/>
        <v>0</v>
      </c>
      <c r="Q1204" s="100"/>
      <c r="R1204" s="117"/>
    </row>
    <row r="1205" spans="1:18" x14ac:dyDescent="0.25">
      <c r="A1205" s="48" t="str">
        <f t="shared" si="291"/>
        <v>HT</v>
      </c>
      <c r="B1205" s="32" t="s">
        <v>1399</v>
      </c>
      <c r="C1205" s="39" t="s">
        <v>185</v>
      </c>
      <c r="D1205" s="13" t="s">
        <v>16</v>
      </c>
      <c r="E1205" s="123">
        <v>2.6</v>
      </c>
      <c r="F1205" s="136"/>
      <c r="G1205" s="125"/>
      <c r="H1205" s="125"/>
      <c r="I1205" s="125">
        <f t="shared" ref="I1205:I1225" si="297">SUM(E1205:H1205)</f>
        <v>2.6</v>
      </c>
      <c r="J1205" s="62">
        <f>'BIỂU HỢP ĐỒNG'!J1031</f>
        <v>23801</v>
      </c>
      <c r="K1205" s="43"/>
      <c r="L1205" s="62">
        <f t="shared" ref="L1205:L1225" si="298">+ROUND(J1205*E1205,0)</f>
        <v>61883</v>
      </c>
      <c r="M1205" s="77">
        <f t="shared" ref="M1205:M1225" si="299">+ROUND(F1205*J1205,0)</f>
        <v>0</v>
      </c>
      <c r="N1205" s="43">
        <f t="shared" ref="N1205:N1225" si="300">+ROUND(G1205*J1205,0)</f>
        <v>0</v>
      </c>
      <c r="O1205" s="43">
        <f t="shared" ref="O1205:O1225" si="301">+ROUND(H1205*J1205,0)</f>
        <v>0</v>
      </c>
      <c r="P1205" s="43">
        <f t="shared" si="290"/>
        <v>61883</v>
      </c>
      <c r="Q1205" s="100"/>
      <c r="R1205" s="117"/>
    </row>
    <row r="1206" spans="1:18" x14ac:dyDescent="0.25">
      <c r="A1206" s="48" t="str">
        <f t="shared" si="291"/>
        <v>HT</v>
      </c>
      <c r="B1206" s="32" t="s">
        <v>1400</v>
      </c>
      <c r="C1206" s="39" t="s">
        <v>155</v>
      </c>
      <c r="D1206" s="13" t="s">
        <v>16</v>
      </c>
      <c r="E1206" s="123">
        <v>13.8</v>
      </c>
      <c r="F1206" s="136"/>
      <c r="G1206" s="125"/>
      <c r="H1206" s="125"/>
      <c r="I1206" s="125">
        <f t="shared" si="297"/>
        <v>13.8</v>
      </c>
      <c r="J1206" s="62">
        <f>'BIỂU HỢP ĐỒNG'!J1032</f>
        <v>30610</v>
      </c>
      <c r="K1206" s="43"/>
      <c r="L1206" s="62">
        <f t="shared" si="298"/>
        <v>422418</v>
      </c>
      <c r="M1206" s="77">
        <f t="shared" si="299"/>
        <v>0</v>
      </c>
      <c r="N1206" s="43">
        <f t="shared" si="300"/>
        <v>0</v>
      </c>
      <c r="O1206" s="43">
        <f t="shared" si="301"/>
        <v>0</v>
      </c>
      <c r="P1206" s="43">
        <f t="shared" si="290"/>
        <v>422418</v>
      </c>
      <c r="Q1206" s="100"/>
      <c r="R1206" s="117"/>
    </row>
    <row r="1207" spans="1:18" x14ac:dyDescent="0.25">
      <c r="A1207" s="48" t="str">
        <f t="shared" si="291"/>
        <v>HT</v>
      </c>
      <c r="B1207" s="32" t="s">
        <v>1401</v>
      </c>
      <c r="C1207" s="39" t="s">
        <v>24</v>
      </c>
      <c r="D1207" s="13" t="s">
        <v>16</v>
      </c>
      <c r="E1207" s="123">
        <v>1213</v>
      </c>
      <c r="F1207" s="136"/>
      <c r="G1207" s="125"/>
      <c r="H1207" s="125"/>
      <c r="I1207" s="125">
        <f t="shared" si="297"/>
        <v>1213</v>
      </c>
      <c r="J1207" s="62">
        <f>'BIỂU HỢP ĐỒNG'!J1033</f>
        <v>8251</v>
      </c>
      <c r="K1207" s="43"/>
      <c r="L1207" s="62">
        <f t="shared" si="298"/>
        <v>10008463</v>
      </c>
      <c r="M1207" s="77">
        <f t="shared" si="299"/>
        <v>0</v>
      </c>
      <c r="N1207" s="43">
        <f t="shared" si="300"/>
        <v>0</v>
      </c>
      <c r="O1207" s="43">
        <f t="shared" si="301"/>
        <v>0</v>
      </c>
      <c r="P1207" s="43">
        <f t="shared" si="290"/>
        <v>10008463</v>
      </c>
      <c r="Q1207" s="100"/>
      <c r="R1207" s="117"/>
    </row>
    <row r="1208" spans="1:18" ht="31.5" customHeight="1" x14ac:dyDescent="0.25">
      <c r="A1208" s="48" t="str">
        <f t="shared" si="291"/>
        <v>HT</v>
      </c>
      <c r="B1208" s="32" t="s">
        <v>1402</v>
      </c>
      <c r="C1208" s="39" t="s">
        <v>160</v>
      </c>
      <c r="D1208" s="13" t="s">
        <v>16</v>
      </c>
      <c r="E1208" s="123">
        <v>5849.5</v>
      </c>
      <c r="F1208" s="136"/>
      <c r="G1208" s="125"/>
      <c r="H1208" s="125"/>
      <c r="I1208" s="125">
        <f t="shared" si="297"/>
        <v>5849.5</v>
      </c>
      <c r="J1208" s="62">
        <f>'BIỂU HỢP ĐỒNG'!J1034</f>
        <v>12936</v>
      </c>
      <c r="K1208" s="43"/>
      <c r="L1208" s="62">
        <f t="shared" si="298"/>
        <v>75669132</v>
      </c>
      <c r="M1208" s="77">
        <f t="shared" si="299"/>
        <v>0</v>
      </c>
      <c r="N1208" s="43">
        <f t="shared" si="300"/>
        <v>0</v>
      </c>
      <c r="O1208" s="43">
        <f t="shared" si="301"/>
        <v>0</v>
      </c>
      <c r="P1208" s="43">
        <f t="shared" si="290"/>
        <v>75669132</v>
      </c>
      <c r="Q1208" s="100"/>
      <c r="R1208" s="117"/>
    </row>
    <row r="1209" spans="1:18" ht="31.5" customHeight="1" x14ac:dyDescent="0.25">
      <c r="A1209" s="48" t="str">
        <f t="shared" si="291"/>
        <v>HT</v>
      </c>
      <c r="B1209" s="32" t="s">
        <v>1403</v>
      </c>
      <c r="C1209" s="39" t="s">
        <v>162</v>
      </c>
      <c r="D1209" s="13" t="s">
        <v>16</v>
      </c>
      <c r="E1209" s="123">
        <v>570</v>
      </c>
      <c r="F1209" s="136"/>
      <c r="G1209" s="125"/>
      <c r="H1209" s="125"/>
      <c r="I1209" s="125">
        <f t="shared" si="297"/>
        <v>570</v>
      </c>
      <c r="J1209" s="62">
        <f>'BIỂU HỢP ĐỒNG'!J1035</f>
        <v>15775</v>
      </c>
      <c r="K1209" s="43"/>
      <c r="L1209" s="62">
        <f t="shared" si="298"/>
        <v>8991750</v>
      </c>
      <c r="M1209" s="77">
        <f t="shared" si="299"/>
        <v>0</v>
      </c>
      <c r="N1209" s="43">
        <f t="shared" si="300"/>
        <v>0</v>
      </c>
      <c r="O1209" s="43">
        <f t="shared" si="301"/>
        <v>0</v>
      </c>
      <c r="P1209" s="43">
        <f t="shared" si="290"/>
        <v>8991750</v>
      </c>
      <c r="Q1209" s="100"/>
      <c r="R1209" s="117"/>
    </row>
    <row r="1210" spans="1:18" x14ac:dyDescent="0.25">
      <c r="A1210" s="48" t="str">
        <f t="shared" si="291"/>
        <v>HT</v>
      </c>
      <c r="B1210" s="32" t="s">
        <v>1404</v>
      </c>
      <c r="C1210" s="39" t="s">
        <v>32</v>
      </c>
      <c r="D1210" s="13" t="s">
        <v>16</v>
      </c>
      <c r="E1210" s="123">
        <v>7998.02</v>
      </c>
      <c r="F1210" s="136"/>
      <c r="G1210" s="125"/>
      <c r="H1210" s="125"/>
      <c r="I1210" s="125">
        <f t="shared" si="297"/>
        <v>7998.02</v>
      </c>
      <c r="J1210" s="62">
        <f>'BIỂU HỢP ĐỒNG'!J1036</f>
        <v>50585</v>
      </c>
      <c r="K1210" s="43"/>
      <c r="L1210" s="62">
        <f t="shared" si="298"/>
        <v>404579842</v>
      </c>
      <c r="M1210" s="77">
        <f t="shared" si="299"/>
        <v>0</v>
      </c>
      <c r="N1210" s="43">
        <f t="shared" si="300"/>
        <v>0</v>
      </c>
      <c r="O1210" s="43">
        <f t="shared" si="301"/>
        <v>0</v>
      </c>
      <c r="P1210" s="43">
        <f t="shared" si="290"/>
        <v>404579842</v>
      </c>
      <c r="Q1210" s="100"/>
      <c r="R1210" s="117"/>
    </row>
    <row r="1211" spans="1:18" x14ac:dyDescent="0.25">
      <c r="A1211" s="48" t="str">
        <f t="shared" si="291"/>
        <v>HT</v>
      </c>
      <c r="B1211" s="32" t="s">
        <v>1405</v>
      </c>
      <c r="C1211" s="39" t="s">
        <v>34</v>
      </c>
      <c r="D1211" s="13" t="s">
        <v>16</v>
      </c>
      <c r="E1211" s="123">
        <v>800.05</v>
      </c>
      <c r="F1211" s="136"/>
      <c r="G1211" s="125"/>
      <c r="H1211" s="125"/>
      <c r="I1211" s="125">
        <f t="shared" si="297"/>
        <v>800.05</v>
      </c>
      <c r="J1211" s="62">
        <f>'BIỂU HỢP ĐỒNG'!J1037</f>
        <v>54405</v>
      </c>
      <c r="K1211" s="43"/>
      <c r="L1211" s="62">
        <f t="shared" si="298"/>
        <v>43526720</v>
      </c>
      <c r="M1211" s="77">
        <f t="shared" si="299"/>
        <v>0</v>
      </c>
      <c r="N1211" s="43">
        <f t="shared" si="300"/>
        <v>0</v>
      </c>
      <c r="O1211" s="43">
        <f t="shared" si="301"/>
        <v>0</v>
      </c>
      <c r="P1211" s="43">
        <f t="shared" si="290"/>
        <v>43526720</v>
      </c>
      <c r="Q1211" s="100"/>
      <c r="R1211" s="117"/>
    </row>
    <row r="1212" spans="1:18" x14ac:dyDescent="0.25">
      <c r="A1212" s="48" t="str">
        <f t="shared" si="291"/>
        <v>HT</v>
      </c>
      <c r="B1212" s="32" t="s">
        <v>1406</v>
      </c>
      <c r="C1212" s="39" t="s">
        <v>36</v>
      </c>
      <c r="D1212" s="13" t="s">
        <v>37</v>
      </c>
      <c r="E1212" s="123">
        <v>879.81</v>
      </c>
      <c r="F1212" s="136"/>
      <c r="G1212" s="125"/>
      <c r="H1212" s="125"/>
      <c r="I1212" s="125">
        <f t="shared" si="297"/>
        <v>879.81</v>
      </c>
      <c r="J1212" s="62">
        <f>'BIỂU HỢP ĐỒNG'!J1038</f>
        <v>1064000</v>
      </c>
      <c r="K1212" s="43"/>
      <c r="L1212" s="62">
        <f t="shared" si="298"/>
        <v>936117840</v>
      </c>
      <c r="M1212" s="77">
        <f t="shared" si="299"/>
        <v>0</v>
      </c>
      <c r="N1212" s="43">
        <f t="shared" si="300"/>
        <v>0</v>
      </c>
      <c r="O1212" s="43">
        <f t="shared" si="301"/>
        <v>0</v>
      </c>
      <c r="P1212" s="43">
        <f t="shared" si="290"/>
        <v>936117840</v>
      </c>
      <c r="Q1212" s="100"/>
      <c r="R1212" s="117"/>
    </row>
    <row r="1213" spans="1:18" x14ac:dyDescent="0.25">
      <c r="A1213" s="48" t="str">
        <f t="shared" si="291"/>
        <v>HT</v>
      </c>
      <c r="B1213" s="32" t="s">
        <v>1407</v>
      </c>
      <c r="C1213" s="39" t="s">
        <v>190</v>
      </c>
      <c r="D1213" s="13" t="s">
        <v>16</v>
      </c>
      <c r="E1213" s="123">
        <v>464.5</v>
      </c>
      <c r="F1213" s="136"/>
      <c r="G1213" s="125"/>
      <c r="H1213" s="125"/>
      <c r="I1213" s="125">
        <f t="shared" si="297"/>
        <v>464.5</v>
      </c>
      <c r="J1213" s="62">
        <f>'BIỂU HỢP ĐỒNG'!J1039</f>
        <v>8251</v>
      </c>
      <c r="K1213" s="43"/>
      <c r="L1213" s="62">
        <f t="shared" si="298"/>
        <v>3832590</v>
      </c>
      <c r="M1213" s="77">
        <f t="shared" si="299"/>
        <v>0</v>
      </c>
      <c r="N1213" s="43">
        <f t="shared" si="300"/>
        <v>0</v>
      </c>
      <c r="O1213" s="43">
        <f t="shared" si="301"/>
        <v>0</v>
      </c>
      <c r="P1213" s="43">
        <f t="shared" si="290"/>
        <v>3832590</v>
      </c>
      <c r="Q1213" s="100"/>
      <c r="R1213" s="117"/>
    </row>
    <row r="1214" spans="1:18" ht="31.5" customHeight="1" x14ac:dyDescent="0.25">
      <c r="A1214" s="48" t="str">
        <f t="shared" si="291"/>
        <v>HT</v>
      </c>
      <c r="B1214" s="32" t="s">
        <v>1408</v>
      </c>
      <c r="C1214" s="39" t="s">
        <v>1409</v>
      </c>
      <c r="D1214" s="13" t="s">
        <v>16</v>
      </c>
      <c r="E1214" s="123">
        <v>560</v>
      </c>
      <c r="F1214" s="136"/>
      <c r="G1214" s="125"/>
      <c r="H1214" s="125"/>
      <c r="I1214" s="125">
        <f t="shared" si="297"/>
        <v>560</v>
      </c>
      <c r="J1214" s="62">
        <f>'BIỂU HỢP ĐỒNG'!J1040</f>
        <v>274941</v>
      </c>
      <c r="K1214" s="43"/>
      <c r="L1214" s="62">
        <f t="shared" si="298"/>
        <v>153966960</v>
      </c>
      <c r="M1214" s="77">
        <f t="shared" si="299"/>
        <v>0</v>
      </c>
      <c r="N1214" s="43">
        <f t="shared" si="300"/>
        <v>0</v>
      </c>
      <c r="O1214" s="43">
        <f t="shared" si="301"/>
        <v>0</v>
      </c>
      <c r="P1214" s="43">
        <f t="shared" si="290"/>
        <v>153966960</v>
      </c>
      <c r="Q1214" s="100"/>
      <c r="R1214" s="117"/>
    </row>
    <row r="1215" spans="1:18" x14ac:dyDescent="0.25">
      <c r="A1215" s="48" t="str">
        <f t="shared" si="291"/>
        <v>HT</v>
      </c>
      <c r="B1215" s="32" t="s">
        <v>1410</v>
      </c>
      <c r="C1215" s="39" t="s">
        <v>1038</v>
      </c>
      <c r="D1215" s="13" t="s">
        <v>16</v>
      </c>
      <c r="E1215" s="123">
        <v>242.4</v>
      </c>
      <c r="F1215" s="136"/>
      <c r="G1215" s="125"/>
      <c r="H1215" s="125"/>
      <c r="I1215" s="125">
        <f t="shared" si="297"/>
        <v>242.4</v>
      </c>
      <c r="J1215" s="62">
        <f>'BIỂU HỢP ĐỒNG'!J1041</f>
        <v>274941</v>
      </c>
      <c r="K1215" s="43"/>
      <c r="L1215" s="62">
        <f t="shared" si="298"/>
        <v>66645698</v>
      </c>
      <c r="M1215" s="77">
        <f t="shared" si="299"/>
        <v>0</v>
      </c>
      <c r="N1215" s="43">
        <f t="shared" si="300"/>
        <v>0</v>
      </c>
      <c r="O1215" s="43">
        <f t="shared" si="301"/>
        <v>0</v>
      </c>
      <c r="P1215" s="43">
        <f t="shared" si="290"/>
        <v>66645698</v>
      </c>
      <c r="Q1215" s="100"/>
      <c r="R1215" s="117"/>
    </row>
    <row r="1216" spans="1:18" ht="31.5" customHeight="1" x14ac:dyDescent="0.25">
      <c r="A1216" s="48" t="str">
        <f t="shared" si="291"/>
        <v>HT</v>
      </c>
      <c r="B1216" s="32" t="s">
        <v>1411</v>
      </c>
      <c r="C1216" s="39" t="s">
        <v>51</v>
      </c>
      <c r="D1216" s="13" t="s">
        <v>13</v>
      </c>
      <c r="E1216" s="123">
        <v>975.7</v>
      </c>
      <c r="F1216" s="136"/>
      <c r="G1216" s="125"/>
      <c r="H1216" s="125"/>
      <c r="I1216" s="125">
        <f t="shared" si="297"/>
        <v>975.7</v>
      </c>
      <c r="J1216" s="62">
        <f>'BIỂU HỢP ĐỒNG'!J1042</f>
        <v>20017</v>
      </c>
      <c r="K1216" s="43"/>
      <c r="L1216" s="62">
        <f t="shared" si="298"/>
        <v>19530587</v>
      </c>
      <c r="M1216" s="77">
        <f t="shared" si="299"/>
        <v>0</v>
      </c>
      <c r="N1216" s="43">
        <f t="shared" si="300"/>
        <v>0</v>
      </c>
      <c r="O1216" s="43">
        <f t="shared" si="301"/>
        <v>0</v>
      </c>
      <c r="P1216" s="43">
        <f t="shared" si="290"/>
        <v>19530587</v>
      </c>
      <c r="Q1216" s="100"/>
      <c r="R1216" s="117"/>
    </row>
    <row r="1217" spans="1:18" ht="31.5" customHeight="1" x14ac:dyDescent="0.25">
      <c r="A1217" s="48" t="str">
        <f t="shared" si="291"/>
        <v>HT</v>
      </c>
      <c r="B1217" s="32" t="s">
        <v>1412</v>
      </c>
      <c r="C1217" s="39" t="s">
        <v>53</v>
      </c>
      <c r="D1217" s="13" t="s">
        <v>13</v>
      </c>
      <c r="E1217" s="123">
        <v>859.6</v>
      </c>
      <c r="F1217" s="136"/>
      <c r="G1217" s="125"/>
      <c r="H1217" s="125"/>
      <c r="I1217" s="125">
        <f t="shared" si="297"/>
        <v>859.6</v>
      </c>
      <c r="J1217" s="62">
        <f>'BIỂU HỢP ĐỒNG'!J1043</f>
        <v>36456</v>
      </c>
      <c r="K1217" s="43"/>
      <c r="L1217" s="62">
        <f t="shared" si="298"/>
        <v>31337578</v>
      </c>
      <c r="M1217" s="77">
        <f t="shared" si="299"/>
        <v>0</v>
      </c>
      <c r="N1217" s="43">
        <f t="shared" si="300"/>
        <v>0</v>
      </c>
      <c r="O1217" s="43">
        <f t="shared" si="301"/>
        <v>0</v>
      </c>
      <c r="P1217" s="43">
        <f t="shared" si="290"/>
        <v>31337578</v>
      </c>
      <c r="Q1217" s="100"/>
      <c r="R1217" s="117"/>
    </row>
    <row r="1218" spans="1:18" x14ac:dyDescent="0.25">
      <c r="A1218" s="48" t="str">
        <f t="shared" si="291"/>
        <v>HT</v>
      </c>
      <c r="B1218" s="32" t="s">
        <v>1413</v>
      </c>
      <c r="C1218" s="39" t="s">
        <v>79</v>
      </c>
      <c r="D1218" s="13" t="s">
        <v>16</v>
      </c>
      <c r="E1218" s="123">
        <v>10.4</v>
      </c>
      <c r="F1218" s="136"/>
      <c r="G1218" s="125"/>
      <c r="H1218" s="125"/>
      <c r="I1218" s="125">
        <f t="shared" si="297"/>
        <v>10.4</v>
      </c>
      <c r="J1218" s="62">
        <f>'BIỂU HỢP ĐỒNG'!J1044</f>
        <v>20867</v>
      </c>
      <c r="K1218" s="43"/>
      <c r="L1218" s="62">
        <f t="shared" si="298"/>
        <v>217017</v>
      </c>
      <c r="M1218" s="77">
        <f t="shared" si="299"/>
        <v>0</v>
      </c>
      <c r="N1218" s="43">
        <f t="shared" si="300"/>
        <v>0</v>
      </c>
      <c r="O1218" s="43">
        <f t="shared" si="301"/>
        <v>0</v>
      </c>
      <c r="P1218" s="43">
        <f t="shared" si="290"/>
        <v>217017</v>
      </c>
      <c r="Q1218" s="100"/>
      <c r="R1218" s="117"/>
    </row>
    <row r="1219" spans="1:18" x14ac:dyDescent="0.25">
      <c r="A1219" s="48" t="str">
        <f t="shared" si="291"/>
        <v>HT</v>
      </c>
      <c r="B1219" s="32" t="s">
        <v>1414</v>
      </c>
      <c r="C1219" s="39" t="s">
        <v>81</v>
      </c>
      <c r="D1219" s="13" t="s">
        <v>16</v>
      </c>
      <c r="E1219" s="123">
        <v>10.4</v>
      </c>
      <c r="F1219" s="136"/>
      <c r="G1219" s="125"/>
      <c r="H1219" s="125"/>
      <c r="I1219" s="125">
        <f t="shared" si="297"/>
        <v>10.4</v>
      </c>
      <c r="J1219" s="62">
        <f>'BIỂU HỢP ĐỒNG'!J1045</f>
        <v>12936</v>
      </c>
      <c r="K1219" s="43"/>
      <c r="L1219" s="62">
        <f t="shared" si="298"/>
        <v>134534</v>
      </c>
      <c r="M1219" s="77">
        <f t="shared" si="299"/>
        <v>0</v>
      </c>
      <c r="N1219" s="43">
        <f t="shared" si="300"/>
        <v>0</v>
      </c>
      <c r="O1219" s="43">
        <f t="shared" si="301"/>
        <v>0</v>
      </c>
      <c r="P1219" s="43">
        <f t="shared" si="290"/>
        <v>134534</v>
      </c>
      <c r="Q1219" s="100"/>
      <c r="R1219" s="117"/>
    </row>
    <row r="1220" spans="1:18" ht="47.25" customHeight="1" x14ac:dyDescent="0.25">
      <c r="A1220" s="48" t="str">
        <f t="shared" si="291"/>
        <v>HT</v>
      </c>
      <c r="B1220" s="32" t="s">
        <v>1415</v>
      </c>
      <c r="C1220" s="39" t="s">
        <v>94</v>
      </c>
      <c r="D1220" s="13" t="s">
        <v>13</v>
      </c>
      <c r="E1220" s="123">
        <v>1986.6</v>
      </c>
      <c r="F1220" s="136"/>
      <c r="G1220" s="125"/>
      <c r="H1220" s="125"/>
      <c r="I1220" s="125">
        <f t="shared" si="297"/>
        <v>1986.6</v>
      </c>
      <c r="J1220" s="62">
        <f>'BIỂU HỢP ĐỒNG'!J1046</f>
        <v>11015</v>
      </c>
      <c r="K1220" s="43"/>
      <c r="L1220" s="62">
        <f t="shared" si="298"/>
        <v>21882399</v>
      </c>
      <c r="M1220" s="77">
        <f t="shared" si="299"/>
        <v>0</v>
      </c>
      <c r="N1220" s="43">
        <f t="shared" si="300"/>
        <v>0</v>
      </c>
      <c r="O1220" s="43">
        <f t="shared" si="301"/>
        <v>0</v>
      </c>
      <c r="P1220" s="43">
        <f t="shared" ref="P1220:P1283" si="302">SUM(L1220:O1220)</f>
        <v>21882399</v>
      </c>
      <c r="Q1220" s="100"/>
      <c r="R1220" s="117"/>
    </row>
    <row r="1221" spans="1:18" ht="31.5" customHeight="1" x14ac:dyDescent="0.25">
      <c r="A1221" s="48" t="str">
        <f t="shared" si="291"/>
        <v>HT</v>
      </c>
      <c r="B1221" s="32" t="s">
        <v>1416</v>
      </c>
      <c r="C1221" s="39" t="s">
        <v>96</v>
      </c>
      <c r="D1221" s="13" t="s">
        <v>90</v>
      </c>
      <c r="E1221" s="123">
        <v>282.89</v>
      </c>
      <c r="F1221" s="136"/>
      <c r="G1221" s="125"/>
      <c r="H1221" s="125"/>
      <c r="I1221" s="125">
        <f t="shared" si="297"/>
        <v>282.89</v>
      </c>
      <c r="J1221" s="62">
        <f>'BIỂU HỢP ĐỒNG'!J1047</f>
        <v>1646788</v>
      </c>
      <c r="K1221" s="43"/>
      <c r="L1221" s="62">
        <f t="shared" si="298"/>
        <v>465859857</v>
      </c>
      <c r="M1221" s="77">
        <f t="shared" si="299"/>
        <v>0</v>
      </c>
      <c r="N1221" s="43">
        <f t="shared" si="300"/>
        <v>0</v>
      </c>
      <c r="O1221" s="43">
        <f t="shared" si="301"/>
        <v>0</v>
      </c>
      <c r="P1221" s="43">
        <f t="shared" si="302"/>
        <v>465859857</v>
      </c>
      <c r="Q1221" s="100"/>
      <c r="R1221" s="117"/>
    </row>
    <row r="1222" spans="1:18" ht="31.5" customHeight="1" x14ac:dyDescent="0.25">
      <c r="A1222" s="48" t="str">
        <f t="shared" si="291"/>
        <v>HT</v>
      </c>
      <c r="B1222" s="32" t="s">
        <v>1417</v>
      </c>
      <c r="C1222" s="39" t="s">
        <v>98</v>
      </c>
      <c r="D1222" s="13" t="s">
        <v>99</v>
      </c>
      <c r="E1222" s="123">
        <v>2.83</v>
      </c>
      <c r="F1222" s="136"/>
      <c r="G1222" s="125"/>
      <c r="H1222" s="125"/>
      <c r="I1222" s="125">
        <f t="shared" si="297"/>
        <v>2.83</v>
      </c>
      <c r="J1222" s="62">
        <f>'BIỂU HỢP ĐỒNG'!J1048</f>
        <v>11384261</v>
      </c>
      <c r="K1222" s="43"/>
      <c r="L1222" s="62">
        <f t="shared" si="298"/>
        <v>32217459</v>
      </c>
      <c r="M1222" s="77">
        <f t="shared" si="299"/>
        <v>0</v>
      </c>
      <c r="N1222" s="43">
        <f t="shared" si="300"/>
        <v>0</v>
      </c>
      <c r="O1222" s="43">
        <f t="shared" si="301"/>
        <v>0</v>
      </c>
      <c r="P1222" s="43">
        <f t="shared" si="302"/>
        <v>32217459</v>
      </c>
      <c r="Q1222" s="100"/>
      <c r="R1222" s="117"/>
    </row>
    <row r="1223" spans="1:18" ht="31.5" customHeight="1" x14ac:dyDescent="0.25">
      <c r="A1223" s="48" t="str">
        <f t="shared" ref="A1223:A1286" si="303">A1222</f>
        <v>HT</v>
      </c>
      <c r="B1223" s="32" t="s">
        <v>1418</v>
      </c>
      <c r="C1223" s="39" t="s">
        <v>110</v>
      </c>
      <c r="D1223" s="13" t="s">
        <v>13</v>
      </c>
      <c r="E1223" s="123">
        <v>1986.6</v>
      </c>
      <c r="F1223" s="136"/>
      <c r="G1223" s="125"/>
      <c r="H1223" s="125"/>
      <c r="I1223" s="125">
        <f t="shared" si="297"/>
        <v>1986.6</v>
      </c>
      <c r="J1223" s="62">
        <f>'BIỂU HỢP ĐỒNG'!J1049</f>
        <v>15319</v>
      </c>
      <c r="K1223" s="43"/>
      <c r="L1223" s="62">
        <f t="shared" si="298"/>
        <v>30432725</v>
      </c>
      <c r="M1223" s="77">
        <f t="shared" si="299"/>
        <v>0</v>
      </c>
      <c r="N1223" s="43">
        <f t="shared" si="300"/>
        <v>0</v>
      </c>
      <c r="O1223" s="43">
        <f t="shared" si="301"/>
        <v>0</v>
      </c>
      <c r="P1223" s="43">
        <f t="shared" si="302"/>
        <v>30432725</v>
      </c>
      <c r="Q1223" s="100"/>
      <c r="R1223" s="117"/>
    </row>
    <row r="1224" spans="1:18" x14ac:dyDescent="0.25">
      <c r="A1224" s="48" t="str">
        <f t="shared" si="303"/>
        <v>HT</v>
      </c>
      <c r="B1224" s="32" t="s">
        <v>1419</v>
      </c>
      <c r="C1224" s="39" t="s">
        <v>210</v>
      </c>
      <c r="D1224" s="13" t="s">
        <v>16</v>
      </c>
      <c r="E1224" s="123">
        <v>476.8</v>
      </c>
      <c r="F1224" s="136"/>
      <c r="G1224" s="125"/>
      <c r="H1224" s="125"/>
      <c r="I1224" s="125">
        <f t="shared" si="297"/>
        <v>476.8</v>
      </c>
      <c r="J1224" s="62">
        <f>'BIỂU HỢP ĐỒNG'!J1050</f>
        <v>364704</v>
      </c>
      <c r="K1224" s="43"/>
      <c r="L1224" s="62">
        <f t="shared" si="298"/>
        <v>173890867</v>
      </c>
      <c r="M1224" s="77">
        <f t="shared" si="299"/>
        <v>0</v>
      </c>
      <c r="N1224" s="43">
        <f t="shared" si="300"/>
        <v>0</v>
      </c>
      <c r="O1224" s="43">
        <f t="shared" si="301"/>
        <v>0</v>
      </c>
      <c r="P1224" s="43">
        <f t="shared" si="302"/>
        <v>173890867</v>
      </c>
      <c r="Q1224" s="100"/>
      <c r="R1224" s="117"/>
    </row>
    <row r="1225" spans="1:18" x14ac:dyDescent="0.25">
      <c r="A1225" s="48" t="str">
        <f t="shared" si="303"/>
        <v>HT</v>
      </c>
      <c r="B1225" s="32" t="s">
        <v>1420</v>
      </c>
      <c r="C1225" s="39" t="s">
        <v>1421</v>
      </c>
      <c r="D1225" s="13" t="s">
        <v>16</v>
      </c>
      <c r="E1225" s="123">
        <v>675.5</v>
      </c>
      <c r="F1225" s="136"/>
      <c r="G1225" s="125"/>
      <c r="H1225" s="125"/>
      <c r="I1225" s="125">
        <f t="shared" si="297"/>
        <v>675.5</v>
      </c>
      <c r="J1225" s="62">
        <f>'BIỂU HỢP ĐỒNG'!J1051</f>
        <v>344284</v>
      </c>
      <c r="K1225" s="43"/>
      <c r="L1225" s="62">
        <f t="shared" si="298"/>
        <v>232563842</v>
      </c>
      <c r="M1225" s="77">
        <f t="shared" si="299"/>
        <v>0</v>
      </c>
      <c r="N1225" s="43">
        <f t="shared" si="300"/>
        <v>0</v>
      </c>
      <c r="O1225" s="43">
        <f t="shared" si="301"/>
        <v>0</v>
      </c>
      <c r="P1225" s="43">
        <f t="shared" si="302"/>
        <v>232563842</v>
      </c>
      <c r="Q1225" s="100"/>
      <c r="R1225" s="117"/>
    </row>
    <row r="1226" spans="1:18" ht="31.5" customHeight="1" x14ac:dyDescent="0.25">
      <c r="A1226" s="48" t="str">
        <f t="shared" si="303"/>
        <v>HT</v>
      </c>
      <c r="B1226" s="29">
        <v>17</v>
      </c>
      <c r="C1226" s="12" t="s">
        <v>1422</v>
      </c>
      <c r="D1226" s="79"/>
      <c r="E1226" s="123"/>
      <c r="F1226" s="136"/>
      <c r="G1226" s="125"/>
      <c r="H1226" s="125"/>
      <c r="I1226" s="125"/>
      <c r="J1226" s="62"/>
      <c r="K1226" s="43"/>
      <c r="L1226" s="62"/>
      <c r="M1226" s="77"/>
      <c r="N1226" s="43"/>
      <c r="O1226" s="43"/>
      <c r="P1226" s="43">
        <f t="shared" si="302"/>
        <v>0</v>
      </c>
      <c r="Q1226" s="100"/>
      <c r="R1226" s="117"/>
    </row>
    <row r="1227" spans="1:18" x14ac:dyDescent="0.25">
      <c r="A1227" s="48" t="str">
        <f t="shared" si="303"/>
        <v>HT</v>
      </c>
      <c r="B1227" s="32" t="s">
        <v>1423</v>
      </c>
      <c r="C1227" s="39" t="s">
        <v>1072</v>
      </c>
      <c r="D1227" s="13" t="s">
        <v>16</v>
      </c>
      <c r="E1227" s="123">
        <v>3.83</v>
      </c>
      <c r="F1227" s="136"/>
      <c r="G1227" s="125"/>
      <c r="H1227" s="125"/>
      <c r="I1227" s="125">
        <f t="shared" ref="I1227:I1247" si="304">SUM(E1227:H1227)</f>
        <v>3.83</v>
      </c>
      <c r="J1227" s="62">
        <f>'BIỂU HỢP ĐỒNG'!J1053</f>
        <v>20072</v>
      </c>
      <c r="K1227" s="43"/>
      <c r="L1227" s="62">
        <f t="shared" ref="L1227:L1247" si="305">+ROUND(J1227*E1227,0)</f>
        <v>76876</v>
      </c>
      <c r="M1227" s="77">
        <f t="shared" ref="M1227:M1247" si="306">+ROUND(F1227*J1227,0)</f>
        <v>0</v>
      </c>
      <c r="N1227" s="43">
        <f t="shared" ref="N1227:N1247" si="307">+ROUND(G1227*J1227,0)</f>
        <v>0</v>
      </c>
      <c r="O1227" s="43">
        <f t="shared" ref="O1227:O1247" si="308">+ROUND(H1227*J1227,0)</f>
        <v>0</v>
      </c>
      <c r="P1227" s="43">
        <f t="shared" si="302"/>
        <v>76876</v>
      </c>
      <c r="Q1227" s="100"/>
      <c r="R1227" s="117"/>
    </row>
    <row r="1228" spans="1:18" x14ac:dyDescent="0.25">
      <c r="A1228" s="48" t="str">
        <f t="shared" si="303"/>
        <v>HT</v>
      </c>
      <c r="B1228" s="32" t="s">
        <v>1424</v>
      </c>
      <c r="C1228" s="39" t="s">
        <v>183</v>
      </c>
      <c r="D1228" s="13" t="s">
        <v>16</v>
      </c>
      <c r="E1228" s="123">
        <v>0.56999999999999995</v>
      </c>
      <c r="F1228" s="136"/>
      <c r="G1228" s="125"/>
      <c r="H1228" s="125"/>
      <c r="I1228" s="125">
        <f t="shared" si="304"/>
        <v>0.56999999999999995</v>
      </c>
      <c r="J1228" s="62">
        <f>'BIỂU HỢP ĐỒNG'!J1054</f>
        <v>23801</v>
      </c>
      <c r="K1228" s="43"/>
      <c r="L1228" s="62">
        <f t="shared" si="305"/>
        <v>13567</v>
      </c>
      <c r="M1228" s="77">
        <f t="shared" si="306"/>
        <v>0</v>
      </c>
      <c r="N1228" s="43">
        <f t="shared" si="307"/>
        <v>0</v>
      </c>
      <c r="O1228" s="43">
        <f t="shared" si="308"/>
        <v>0</v>
      </c>
      <c r="P1228" s="43">
        <f t="shared" si="302"/>
        <v>13567</v>
      </c>
      <c r="Q1228" s="100"/>
      <c r="R1228" s="117"/>
    </row>
    <row r="1229" spans="1:18" x14ac:dyDescent="0.25">
      <c r="A1229" s="48" t="str">
        <f t="shared" si="303"/>
        <v>HT</v>
      </c>
      <c r="B1229" s="32" t="s">
        <v>1425</v>
      </c>
      <c r="C1229" s="39" t="s">
        <v>185</v>
      </c>
      <c r="D1229" s="13" t="s">
        <v>16</v>
      </c>
      <c r="E1229" s="123">
        <v>191.4</v>
      </c>
      <c r="F1229" s="136"/>
      <c r="G1229" s="125"/>
      <c r="H1229" s="125"/>
      <c r="I1229" s="125">
        <f t="shared" si="304"/>
        <v>191.4</v>
      </c>
      <c r="J1229" s="62">
        <f>'BIỂU HỢP ĐỒNG'!J1055</f>
        <v>23801</v>
      </c>
      <c r="K1229" s="43"/>
      <c r="L1229" s="62">
        <f t="shared" si="305"/>
        <v>4555511</v>
      </c>
      <c r="M1229" s="77">
        <f t="shared" si="306"/>
        <v>0</v>
      </c>
      <c r="N1229" s="43">
        <f t="shared" si="307"/>
        <v>0</v>
      </c>
      <c r="O1229" s="43">
        <f t="shared" si="308"/>
        <v>0</v>
      </c>
      <c r="P1229" s="43">
        <f t="shared" si="302"/>
        <v>4555511</v>
      </c>
      <c r="Q1229" s="100"/>
      <c r="R1229" s="117"/>
    </row>
    <row r="1230" spans="1:18" x14ac:dyDescent="0.25">
      <c r="A1230" s="48" t="str">
        <f t="shared" si="303"/>
        <v>HT</v>
      </c>
      <c r="B1230" s="32" t="s">
        <v>1426</v>
      </c>
      <c r="C1230" s="39" t="s">
        <v>20</v>
      </c>
      <c r="D1230" s="13" t="s">
        <v>16</v>
      </c>
      <c r="E1230" s="123">
        <v>2.5</v>
      </c>
      <c r="F1230" s="136"/>
      <c r="G1230" s="125"/>
      <c r="H1230" s="125"/>
      <c r="I1230" s="125">
        <f t="shared" si="304"/>
        <v>2.5</v>
      </c>
      <c r="J1230" s="62">
        <f>'BIỂU HỢP ĐỒNG'!J1056</f>
        <v>12342</v>
      </c>
      <c r="K1230" s="43"/>
      <c r="L1230" s="62">
        <f t="shared" si="305"/>
        <v>30855</v>
      </c>
      <c r="M1230" s="77">
        <f t="shared" si="306"/>
        <v>0</v>
      </c>
      <c r="N1230" s="43">
        <f t="shared" si="307"/>
        <v>0</v>
      </c>
      <c r="O1230" s="43">
        <f t="shared" si="308"/>
        <v>0</v>
      </c>
      <c r="P1230" s="43">
        <f t="shared" si="302"/>
        <v>30855</v>
      </c>
      <c r="Q1230" s="100"/>
      <c r="R1230" s="117"/>
    </row>
    <row r="1231" spans="1:18" ht="31.5" customHeight="1" x14ac:dyDescent="0.25">
      <c r="A1231" s="48" t="str">
        <f t="shared" si="303"/>
        <v>HT</v>
      </c>
      <c r="B1231" s="32" t="s">
        <v>1427</v>
      </c>
      <c r="C1231" s="39" t="s">
        <v>158</v>
      </c>
      <c r="D1231" s="13" t="s">
        <v>16</v>
      </c>
      <c r="E1231" s="123">
        <v>2.5</v>
      </c>
      <c r="F1231" s="136"/>
      <c r="G1231" s="125"/>
      <c r="H1231" s="125"/>
      <c r="I1231" s="125">
        <f t="shared" si="304"/>
        <v>2.5</v>
      </c>
      <c r="J1231" s="62">
        <f>'BIỂU HỢP ĐỒNG'!J1057</f>
        <v>12936</v>
      </c>
      <c r="K1231" s="43"/>
      <c r="L1231" s="62">
        <f t="shared" si="305"/>
        <v>32340</v>
      </c>
      <c r="M1231" s="77">
        <f t="shared" si="306"/>
        <v>0</v>
      </c>
      <c r="N1231" s="43">
        <f t="shared" si="307"/>
        <v>0</v>
      </c>
      <c r="O1231" s="43">
        <f t="shared" si="308"/>
        <v>0</v>
      </c>
      <c r="P1231" s="43">
        <f t="shared" si="302"/>
        <v>32340</v>
      </c>
      <c r="Q1231" s="100"/>
      <c r="R1231" s="117"/>
    </row>
    <row r="1232" spans="1:18" x14ac:dyDescent="0.25">
      <c r="A1232" s="48" t="str">
        <f t="shared" si="303"/>
        <v>HT</v>
      </c>
      <c r="B1232" s="32" t="s">
        <v>1428</v>
      </c>
      <c r="C1232" s="39" t="s">
        <v>190</v>
      </c>
      <c r="D1232" s="13" t="s">
        <v>16</v>
      </c>
      <c r="E1232" s="123">
        <v>340.2</v>
      </c>
      <c r="F1232" s="136"/>
      <c r="G1232" s="125"/>
      <c r="H1232" s="125"/>
      <c r="I1232" s="125">
        <f t="shared" si="304"/>
        <v>340.2</v>
      </c>
      <c r="J1232" s="62">
        <f>'BIỂU HỢP ĐỒNG'!J1058</f>
        <v>8251</v>
      </c>
      <c r="K1232" s="43"/>
      <c r="L1232" s="62">
        <f t="shared" si="305"/>
        <v>2806990</v>
      </c>
      <c r="M1232" s="77">
        <f t="shared" si="306"/>
        <v>0</v>
      </c>
      <c r="N1232" s="43">
        <f t="shared" si="307"/>
        <v>0</v>
      </c>
      <c r="O1232" s="43">
        <f t="shared" si="308"/>
        <v>0</v>
      </c>
      <c r="P1232" s="43">
        <f t="shared" si="302"/>
        <v>2806990</v>
      </c>
      <c r="Q1232" s="100"/>
      <c r="R1232" s="117"/>
    </row>
    <row r="1233" spans="1:18" x14ac:dyDescent="0.25">
      <c r="A1233" s="48" t="str">
        <f t="shared" si="303"/>
        <v>HT</v>
      </c>
      <c r="B1233" s="32" t="s">
        <v>1429</v>
      </c>
      <c r="C1233" s="39" t="s">
        <v>192</v>
      </c>
      <c r="D1233" s="13" t="s">
        <v>16</v>
      </c>
      <c r="E1233" s="123">
        <v>2229.9</v>
      </c>
      <c r="F1233" s="136"/>
      <c r="G1233" s="125"/>
      <c r="H1233" s="125"/>
      <c r="I1233" s="125">
        <f t="shared" si="304"/>
        <v>2229.9</v>
      </c>
      <c r="J1233" s="62">
        <f>'BIỂU HỢP ĐỒNG'!J1059</f>
        <v>32141</v>
      </c>
      <c r="K1233" s="43"/>
      <c r="L1233" s="62">
        <f t="shared" si="305"/>
        <v>71671216</v>
      </c>
      <c r="M1233" s="77">
        <f t="shared" si="306"/>
        <v>0</v>
      </c>
      <c r="N1233" s="43">
        <f t="shared" si="307"/>
        <v>0</v>
      </c>
      <c r="O1233" s="43">
        <f t="shared" si="308"/>
        <v>0</v>
      </c>
      <c r="P1233" s="43">
        <f t="shared" si="302"/>
        <v>71671216</v>
      </c>
      <c r="Q1233" s="100"/>
      <c r="R1233" s="117"/>
    </row>
    <row r="1234" spans="1:18" ht="31.5" customHeight="1" x14ac:dyDescent="0.25">
      <c r="A1234" s="48" t="str">
        <f t="shared" si="303"/>
        <v>HT</v>
      </c>
      <c r="B1234" s="32" t="s">
        <v>1430</v>
      </c>
      <c r="C1234" s="39" t="s">
        <v>160</v>
      </c>
      <c r="D1234" s="13" t="s">
        <v>16</v>
      </c>
      <c r="E1234" s="123">
        <v>127</v>
      </c>
      <c r="F1234" s="136"/>
      <c r="G1234" s="125"/>
      <c r="H1234" s="125"/>
      <c r="I1234" s="125">
        <f t="shared" si="304"/>
        <v>127</v>
      </c>
      <c r="J1234" s="62">
        <f>'BIỂU HỢP ĐỒNG'!J1060</f>
        <v>12936</v>
      </c>
      <c r="K1234" s="43"/>
      <c r="L1234" s="62">
        <f t="shared" si="305"/>
        <v>1642872</v>
      </c>
      <c r="M1234" s="77">
        <f t="shared" si="306"/>
        <v>0</v>
      </c>
      <c r="N1234" s="43">
        <f t="shared" si="307"/>
        <v>0</v>
      </c>
      <c r="O1234" s="43">
        <f t="shared" si="308"/>
        <v>0</v>
      </c>
      <c r="P1234" s="43">
        <f t="shared" si="302"/>
        <v>1642872</v>
      </c>
      <c r="Q1234" s="100"/>
      <c r="R1234" s="117"/>
    </row>
    <row r="1235" spans="1:18" x14ac:dyDescent="0.25">
      <c r="A1235" s="48" t="str">
        <f t="shared" si="303"/>
        <v>HT</v>
      </c>
      <c r="B1235" s="32" t="s">
        <v>1431</v>
      </c>
      <c r="C1235" s="39" t="s">
        <v>195</v>
      </c>
      <c r="D1235" s="13" t="s">
        <v>16</v>
      </c>
      <c r="E1235" s="123">
        <v>2968</v>
      </c>
      <c r="F1235" s="136"/>
      <c r="G1235" s="125"/>
      <c r="H1235" s="125"/>
      <c r="I1235" s="125">
        <f t="shared" si="304"/>
        <v>2968</v>
      </c>
      <c r="J1235" s="62">
        <f>'BIỂU HỢP ĐỒNG'!J1061</f>
        <v>50585</v>
      </c>
      <c r="K1235" s="43"/>
      <c r="L1235" s="62">
        <f t="shared" si="305"/>
        <v>150136280</v>
      </c>
      <c r="M1235" s="77">
        <f t="shared" si="306"/>
        <v>0</v>
      </c>
      <c r="N1235" s="43">
        <f t="shared" si="307"/>
        <v>0</v>
      </c>
      <c r="O1235" s="43">
        <f t="shared" si="308"/>
        <v>0</v>
      </c>
      <c r="P1235" s="43">
        <f t="shared" si="302"/>
        <v>150136280</v>
      </c>
      <c r="Q1235" s="100"/>
      <c r="R1235" s="117"/>
    </row>
    <row r="1236" spans="1:18" x14ac:dyDescent="0.25">
      <c r="A1236" s="48" t="str">
        <f t="shared" si="303"/>
        <v>HT</v>
      </c>
      <c r="B1236" s="32" t="s">
        <v>1432</v>
      </c>
      <c r="C1236" s="39" t="s">
        <v>32</v>
      </c>
      <c r="D1236" s="13" t="s">
        <v>16</v>
      </c>
      <c r="E1236" s="123">
        <v>173.65</v>
      </c>
      <c r="F1236" s="136"/>
      <c r="G1236" s="125"/>
      <c r="H1236" s="125"/>
      <c r="I1236" s="125">
        <f t="shared" si="304"/>
        <v>173.65</v>
      </c>
      <c r="J1236" s="62">
        <f>'BIỂU HỢP ĐỒNG'!J1062</f>
        <v>54405</v>
      </c>
      <c r="K1236" s="43"/>
      <c r="L1236" s="62">
        <f t="shared" si="305"/>
        <v>9447428</v>
      </c>
      <c r="M1236" s="77">
        <f t="shared" si="306"/>
        <v>0</v>
      </c>
      <c r="N1236" s="43">
        <f t="shared" si="307"/>
        <v>0</v>
      </c>
      <c r="O1236" s="43">
        <f t="shared" si="308"/>
        <v>0</v>
      </c>
      <c r="P1236" s="43">
        <f t="shared" si="302"/>
        <v>9447428</v>
      </c>
      <c r="Q1236" s="100"/>
      <c r="R1236" s="117"/>
    </row>
    <row r="1237" spans="1:18" x14ac:dyDescent="0.25">
      <c r="A1237" s="48" t="str">
        <f t="shared" si="303"/>
        <v>HT</v>
      </c>
      <c r="B1237" s="32" t="s">
        <v>1433</v>
      </c>
      <c r="C1237" s="39" t="s">
        <v>36</v>
      </c>
      <c r="D1237" s="13" t="s">
        <v>37</v>
      </c>
      <c r="E1237" s="123">
        <v>314.16000000000003</v>
      </c>
      <c r="F1237" s="136"/>
      <c r="G1237" s="125"/>
      <c r="H1237" s="125"/>
      <c r="I1237" s="125">
        <f t="shared" si="304"/>
        <v>314.16000000000003</v>
      </c>
      <c r="J1237" s="62">
        <f>'BIỂU HỢP ĐỒNG'!J1063</f>
        <v>1064000</v>
      </c>
      <c r="K1237" s="43"/>
      <c r="L1237" s="62">
        <f t="shared" si="305"/>
        <v>334266240</v>
      </c>
      <c r="M1237" s="77">
        <f t="shared" si="306"/>
        <v>0</v>
      </c>
      <c r="N1237" s="43">
        <f t="shared" si="307"/>
        <v>0</v>
      </c>
      <c r="O1237" s="43">
        <f t="shared" si="308"/>
        <v>0</v>
      </c>
      <c r="P1237" s="43">
        <f t="shared" si="302"/>
        <v>334266240</v>
      </c>
      <c r="Q1237" s="100"/>
      <c r="R1237" s="117"/>
    </row>
    <row r="1238" spans="1:18" ht="47.25" customHeight="1" x14ac:dyDescent="0.25">
      <c r="A1238" s="48" t="str">
        <f t="shared" si="303"/>
        <v>HT</v>
      </c>
      <c r="B1238" s="32" t="s">
        <v>1434</v>
      </c>
      <c r="C1238" s="39" t="s">
        <v>94</v>
      </c>
      <c r="D1238" s="13" t="s">
        <v>13</v>
      </c>
      <c r="E1238" s="123">
        <v>42.4</v>
      </c>
      <c r="F1238" s="136"/>
      <c r="G1238" s="125"/>
      <c r="H1238" s="125"/>
      <c r="I1238" s="125">
        <f t="shared" si="304"/>
        <v>42.4</v>
      </c>
      <c r="J1238" s="62">
        <f>'BIỂU HỢP ĐỒNG'!J1064</f>
        <v>11015</v>
      </c>
      <c r="K1238" s="43"/>
      <c r="L1238" s="62">
        <f t="shared" si="305"/>
        <v>467036</v>
      </c>
      <c r="M1238" s="77">
        <f t="shared" si="306"/>
        <v>0</v>
      </c>
      <c r="N1238" s="43">
        <f t="shared" si="307"/>
        <v>0</v>
      </c>
      <c r="O1238" s="43">
        <f t="shared" si="308"/>
        <v>0</v>
      </c>
      <c r="P1238" s="43">
        <f t="shared" si="302"/>
        <v>467036</v>
      </c>
      <c r="Q1238" s="100"/>
      <c r="R1238" s="117"/>
    </row>
    <row r="1239" spans="1:18" ht="31.5" customHeight="1" x14ac:dyDescent="0.25">
      <c r="A1239" s="48" t="str">
        <f t="shared" si="303"/>
        <v>HT</v>
      </c>
      <c r="B1239" s="32" t="s">
        <v>1435</v>
      </c>
      <c r="C1239" s="39" t="s">
        <v>96</v>
      </c>
      <c r="D1239" s="13" t="s">
        <v>90</v>
      </c>
      <c r="E1239" s="123">
        <v>6.04</v>
      </c>
      <c r="F1239" s="136"/>
      <c r="G1239" s="125"/>
      <c r="H1239" s="125"/>
      <c r="I1239" s="125">
        <f t="shared" si="304"/>
        <v>6.04</v>
      </c>
      <c r="J1239" s="62">
        <f>'BIỂU HỢP ĐỒNG'!J1065</f>
        <v>1646788</v>
      </c>
      <c r="K1239" s="43"/>
      <c r="L1239" s="62">
        <f t="shared" si="305"/>
        <v>9946600</v>
      </c>
      <c r="M1239" s="77">
        <f t="shared" si="306"/>
        <v>0</v>
      </c>
      <c r="N1239" s="43">
        <f t="shared" si="307"/>
        <v>0</v>
      </c>
      <c r="O1239" s="43">
        <f t="shared" si="308"/>
        <v>0</v>
      </c>
      <c r="P1239" s="43">
        <f t="shared" si="302"/>
        <v>9946600</v>
      </c>
      <c r="Q1239" s="100"/>
      <c r="R1239" s="117"/>
    </row>
    <row r="1240" spans="1:18" ht="31.5" customHeight="1" x14ac:dyDescent="0.25">
      <c r="A1240" s="48" t="str">
        <f t="shared" si="303"/>
        <v>HT</v>
      </c>
      <c r="B1240" s="32" t="s">
        <v>1436</v>
      </c>
      <c r="C1240" s="39" t="s">
        <v>98</v>
      </c>
      <c r="D1240" s="13" t="s">
        <v>99</v>
      </c>
      <c r="E1240" s="123">
        <v>0.06</v>
      </c>
      <c r="F1240" s="136"/>
      <c r="G1240" s="125"/>
      <c r="H1240" s="125"/>
      <c r="I1240" s="125">
        <f t="shared" si="304"/>
        <v>0.06</v>
      </c>
      <c r="J1240" s="62">
        <f>'BIỂU HỢP ĐỒNG'!J1066</f>
        <v>11384261</v>
      </c>
      <c r="K1240" s="43"/>
      <c r="L1240" s="62">
        <f t="shared" si="305"/>
        <v>683056</v>
      </c>
      <c r="M1240" s="77">
        <f t="shared" si="306"/>
        <v>0</v>
      </c>
      <c r="N1240" s="43">
        <f t="shared" si="307"/>
        <v>0</v>
      </c>
      <c r="O1240" s="43">
        <f t="shared" si="308"/>
        <v>0</v>
      </c>
      <c r="P1240" s="43">
        <f t="shared" si="302"/>
        <v>683056</v>
      </c>
      <c r="Q1240" s="100"/>
      <c r="R1240" s="117"/>
    </row>
    <row r="1241" spans="1:18" ht="31.5" customHeight="1" x14ac:dyDescent="0.25">
      <c r="A1241" s="48" t="str">
        <f t="shared" si="303"/>
        <v>HT</v>
      </c>
      <c r="B1241" s="32" t="s">
        <v>1437</v>
      </c>
      <c r="C1241" s="39" t="s">
        <v>208</v>
      </c>
      <c r="D1241" s="13" t="s">
        <v>13</v>
      </c>
      <c r="E1241" s="123">
        <v>42</v>
      </c>
      <c r="F1241" s="136"/>
      <c r="G1241" s="125"/>
      <c r="H1241" s="125"/>
      <c r="I1241" s="125">
        <f t="shared" si="304"/>
        <v>42</v>
      </c>
      <c r="J1241" s="62">
        <f>'BIỂU HỢP ĐỒNG'!J1067</f>
        <v>26753</v>
      </c>
      <c r="K1241" s="43"/>
      <c r="L1241" s="62">
        <f t="shared" si="305"/>
        <v>1123626</v>
      </c>
      <c r="M1241" s="77">
        <f t="shared" si="306"/>
        <v>0</v>
      </c>
      <c r="N1241" s="43">
        <f t="shared" si="307"/>
        <v>0</v>
      </c>
      <c r="O1241" s="43">
        <f t="shared" si="308"/>
        <v>0</v>
      </c>
      <c r="P1241" s="43">
        <f t="shared" si="302"/>
        <v>1123626</v>
      </c>
      <c r="Q1241" s="100"/>
      <c r="R1241" s="117"/>
    </row>
    <row r="1242" spans="1:18" x14ac:dyDescent="0.25">
      <c r="A1242" s="48" t="str">
        <f t="shared" si="303"/>
        <v>HT</v>
      </c>
      <c r="B1242" s="32" t="s">
        <v>1438</v>
      </c>
      <c r="C1242" s="39" t="s">
        <v>210</v>
      </c>
      <c r="D1242" s="13" t="s">
        <v>16</v>
      </c>
      <c r="E1242" s="123">
        <v>2.2999999999999998</v>
      </c>
      <c r="F1242" s="136"/>
      <c r="G1242" s="125"/>
      <c r="H1242" s="125"/>
      <c r="I1242" s="125">
        <f t="shared" si="304"/>
        <v>2.2999999999999998</v>
      </c>
      <c r="J1242" s="62">
        <f>'BIỂU HỢP ĐỒNG'!J1068</f>
        <v>364704</v>
      </c>
      <c r="K1242" s="43"/>
      <c r="L1242" s="62">
        <f t="shared" si="305"/>
        <v>838819</v>
      </c>
      <c r="M1242" s="77">
        <f t="shared" si="306"/>
        <v>0</v>
      </c>
      <c r="N1242" s="43">
        <f t="shared" si="307"/>
        <v>0</v>
      </c>
      <c r="O1242" s="43">
        <f t="shared" si="308"/>
        <v>0</v>
      </c>
      <c r="P1242" s="43">
        <f t="shared" si="302"/>
        <v>838819</v>
      </c>
      <c r="Q1242" s="100"/>
      <c r="R1242" s="117"/>
    </row>
    <row r="1243" spans="1:18" ht="47.25" customHeight="1" x14ac:dyDescent="0.25">
      <c r="A1243" s="48" t="str">
        <f t="shared" si="303"/>
        <v>HT</v>
      </c>
      <c r="B1243" s="32" t="s">
        <v>1439</v>
      </c>
      <c r="C1243" s="39" t="s">
        <v>94</v>
      </c>
      <c r="D1243" s="13" t="s">
        <v>13</v>
      </c>
      <c r="E1243" s="123">
        <v>482</v>
      </c>
      <c r="F1243" s="136"/>
      <c r="G1243" s="125"/>
      <c r="H1243" s="125"/>
      <c r="I1243" s="125">
        <f t="shared" si="304"/>
        <v>482</v>
      </c>
      <c r="J1243" s="62">
        <f>'BIỂU HỢP ĐỒNG'!J1069</f>
        <v>11015</v>
      </c>
      <c r="K1243" s="43"/>
      <c r="L1243" s="62">
        <f t="shared" si="305"/>
        <v>5309230</v>
      </c>
      <c r="M1243" s="77">
        <f t="shared" si="306"/>
        <v>0</v>
      </c>
      <c r="N1243" s="43">
        <f t="shared" si="307"/>
        <v>0</v>
      </c>
      <c r="O1243" s="43">
        <f t="shared" si="308"/>
        <v>0</v>
      </c>
      <c r="P1243" s="43">
        <f t="shared" si="302"/>
        <v>5309230</v>
      </c>
      <c r="Q1243" s="100"/>
      <c r="R1243" s="117"/>
    </row>
    <row r="1244" spans="1:18" ht="31.5" customHeight="1" x14ac:dyDescent="0.25">
      <c r="A1244" s="48" t="str">
        <f t="shared" si="303"/>
        <v>HT</v>
      </c>
      <c r="B1244" s="32" t="s">
        <v>1440</v>
      </c>
      <c r="C1244" s="39" t="s">
        <v>96</v>
      </c>
      <c r="D1244" s="13" t="s">
        <v>90</v>
      </c>
      <c r="E1244" s="123">
        <v>68.64</v>
      </c>
      <c r="F1244" s="136"/>
      <c r="G1244" s="125"/>
      <c r="H1244" s="125"/>
      <c r="I1244" s="125">
        <f t="shared" si="304"/>
        <v>68.64</v>
      </c>
      <c r="J1244" s="62">
        <f>'BIỂU HỢP ĐỒNG'!J1070</f>
        <v>1646788</v>
      </c>
      <c r="K1244" s="43"/>
      <c r="L1244" s="62">
        <f t="shared" si="305"/>
        <v>113035528</v>
      </c>
      <c r="M1244" s="77">
        <f t="shared" si="306"/>
        <v>0</v>
      </c>
      <c r="N1244" s="43">
        <f t="shared" si="307"/>
        <v>0</v>
      </c>
      <c r="O1244" s="43">
        <f t="shared" si="308"/>
        <v>0</v>
      </c>
      <c r="P1244" s="43">
        <f t="shared" si="302"/>
        <v>113035528</v>
      </c>
      <c r="Q1244" s="100"/>
      <c r="R1244" s="117"/>
    </row>
    <row r="1245" spans="1:18" ht="31.5" customHeight="1" x14ac:dyDescent="0.25">
      <c r="A1245" s="48" t="str">
        <f t="shared" si="303"/>
        <v>HT</v>
      </c>
      <c r="B1245" s="32" t="s">
        <v>1441</v>
      </c>
      <c r="C1245" s="39" t="s">
        <v>98</v>
      </c>
      <c r="D1245" s="13" t="s">
        <v>99</v>
      </c>
      <c r="E1245" s="123">
        <v>0.69</v>
      </c>
      <c r="F1245" s="136"/>
      <c r="G1245" s="125"/>
      <c r="H1245" s="125"/>
      <c r="I1245" s="125">
        <f t="shared" si="304"/>
        <v>0.69</v>
      </c>
      <c r="J1245" s="62">
        <f>'BIỂU HỢP ĐỒNG'!J1071</f>
        <v>11384261</v>
      </c>
      <c r="K1245" s="43"/>
      <c r="L1245" s="62">
        <f t="shared" si="305"/>
        <v>7855140</v>
      </c>
      <c r="M1245" s="77">
        <f t="shared" si="306"/>
        <v>0</v>
      </c>
      <c r="N1245" s="43">
        <f t="shared" si="307"/>
        <v>0</v>
      </c>
      <c r="O1245" s="43">
        <f t="shared" si="308"/>
        <v>0</v>
      </c>
      <c r="P1245" s="43">
        <f t="shared" si="302"/>
        <v>7855140</v>
      </c>
      <c r="Q1245" s="100"/>
      <c r="R1245" s="117"/>
    </row>
    <row r="1246" spans="1:18" ht="31.5" customHeight="1" x14ac:dyDescent="0.25">
      <c r="A1246" s="48" t="str">
        <f t="shared" si="303"/>
        <v>HT</v>
      </c>
      <c r="B1246" s="32" t="s">
        <v>1442</v>
      </c>
      <c r="C1246" s="39" t="s">
        <v>208</v>
      </c>
      <c r="D1246" s="13" t="s">
        <v>13</v>
      </c>
      <c r="E1246" s="123">
        <v>482</v>
      </c>
      <c r="F1246" s="136"/>
      <c r="G1246" s="125"/>
      <c r="H1246" s="125"/>
      <c r="I1246" s="125">
        <f t="shared" si="304"/>
        <v>482</v>
      </c>
      <c r="J1246" s="62">
        <f>'BIỂU HỢP ĐỒNG'!J1072</f>
        <v>26753</v>
      </c>
      <c r="K1246" s="43"/>
      <c r="L1246" s="62">
        <f t="shared" si="305"/>
        <v>12894946</v>
      </c>
      <c r="M1246" s="77">
        <f t="shared" si="306"/>
        <v>0</v>
      </c>
      <c r="N1246" s="43">
        <f t="shared" si="307"/>
        <v>0</v>
      </c>
      <c r="O1246" s="43">
        <f t="shared" si="308"/>
        <v>0</v>
      </c>
      <c r="P1246" s="43">
        <f t="shared" si="302"/>
        <v>12894946</v>
      </c>
      <c r="Q1246" s="100"/>
      <c r="R1246" s="117"/>
    </row>
    <row r="1247" spans="1:18" x14ac:dyDescent="0.25">
      <c r="A1247" s="48" t="str">
        <f t="shared" si="303"/>
        <v>HT</v>
      </c>
      <c r="B1247" s="32" t="s">
        <v>1443</v>
      </c>
      <c r="C1247" s="39" t="s">
        <v>210</v>
      </c>
      <c r="D1247" s="13" t="s">
        <v>16</v>
      </c>
      <c r="E1247" s="123">
        <v>73.2</v>
      </c>
      <c r="F1247" s="136"/>
      <c r="G1247" s="125"/>
      <c r="H1247" s="125"/>
      <c r="I1247" s="125">
        <f t="shared" si="304"/>
        <v>73.2</v>
      </c>
      <c r="J1247" s="62">
        <f>'BIỂU HỢP ĐỒNG'!J1073</f>
        <v>364704</v>
      </c>
      <c r="K1247" s="43"/>
      <c r="L1247" s="62">
        <f t="shared" si="305"/>
        <v>26696333</v>
      </c>
      <c r="M1247" s="77">
        <f t="shared" si="306"/>
        <v>0</v>
      </c>
      <c r="N1247" s="43">
        <f t="shared" si="307"/>
        <v>0</v>
      </c>
      <c r="O1247" s="43">
        <f t="shared" si="308"/>
        <v>0</v>
      </c>
      <c r="P1247" s="43">
        <f t="shared" si="302"/>
        <v>26696333</v>
      </c>
      <c r="Q1247" s="100"/>
      <c r="R1247" s="117"/>
    </row>
    <row r="1248" spans="1:18" ht="31.5" customHeight="1" x14ac:dyDescent="0.25">
      <c r="A1248" s="48" t="str">
        <f t="shared" si="303"/>
        <v>HT</v>
      </c>
      <c r="B1248" s="29">
        <v>18</v>
      </c>
      <c r="C1248" s="12" t="s">
        <v>1444</v>
      </c>
      <c r="D1248" s="79"/>
      <c r="E1248" s="123"/>
      <c r="F1248" s="136"/>
      <c r="G1248" s="125"/>
      <c r="H1248" s="125"/>
      <c r="I1248" s="125"/>
      <c r="J1248" s="62"/>
      <c r="K1248" s="43"/>
      <c r="L1248" s="62"/>
      <c r="M1248" s="77"/>
      <c r="N1248" s="43"/>
      <c r="O1248" s="43"/>
      <c r="P1248" s="43">
        <f t="shared" si="302"/>
        <v>0</v>
      </c>
      <c r="Q1248" s="100"/>
      <c r="R1248" s="117"/>
    </row>
    <row r="1249" spans="1:18" ht="31.5" customHeight="1" x14ac:dyDescent="0.25">
      <c r="A1249" s="48" t="str">
        <f t="shared" si="303"/>
        <v>HT</v>
      </c>
      <c r="B1249" s="32" t="s">
        <v>1445</v>
      </c>
      <c r="C1249" s="39" t="s">
        <v>510</v>
      </c>
      <c r="D1249" s="13" t="s">
        <v>13</v>
      </c>
      <c r="E1249" s="123">
        <v>220</v>
      </c>
      <c r="F1249" s="136"/>
      <c r="G1249" s="125"/>
      <c r="H1249" s="125"/>
      <c r="I1249" s="125">
        <f t="shared" ref="I1249:I1267" si="309">SUM(E1249:H1249)</f>
        <v>220</v>
      </c>
      <c r="J1249" s="62">
        <f>'BIỂU HỢP ĐỒNG'!J1075</f>
        <v>519576</v>
      </c>
      <c r="K1249" s="43"/>
      <c r="L1249" s="62">
        <f t="shared" ref="L1249:L1267" si="310">+ROUND(J1249*E1249,0)</f>
        <v>114306720</v>
      </c>
      <c r="M1249" s="77">
        <f t="shared" ref="M1249:M1267" si="311">+ROUND(F1249*J1249,0)</f>
        <v>0</v>
      </c>
      <c r="N1249" s="43">
        <f t="shared" ref="N1249:N1267" si="312">+ROUND(G1249*J1249,0)</f>
        <v>0</v>
      </c>
      <c r="O1249" s="43">
        <f t="shared" ref="O1249:O1267" si="313">+ROUND(H1249*J1249,0)</f>
        <v>0</v>
      </c>
      <c r="P1249" s="43">
        <f t="shared" si="302"/>
        <v>114306720</v>
      </c>
      <c r="Q1249" s="100"/>
      <c r="R1249" s="117"/>
    </row>
    <row r="1250" spans="1:18" x14ac:dyDescent="0.25">
      <c r="A1250" s="48" t="str">
        <f t="shared" si="303"/>
        <v>HT</v>
      </c>
      <c r="B1250" s="32" t="s">
        <v>1446</v>
      </c>
      <c r="C1250" s="39" t="s">
        <v>512</v>
      </c>
      <c r="D1250" s="13" t="s">
        <v>13</v>
      </c>
      <c r="E1250" s="123">
        <v>6.61</v>
      </c>
      <c r="F1250" s="136"/>
      <c r="G1250" s="125"/>
      <c r="H1250" s="125"/>
      <c r="I1250" s="125">
        <f t="shared" si="309"/>
        <v>6.61</v>
      </c>
      <c r="J1250" s="62">
        <f>'BIỂU HỢP ĐỒNG'!J1076</f>
        <v>1113651</v>
      </c>
      <c r="K1250" s="43"/>
      <c r="L1250" s="62">
        <f t="shared" si="310"/>
        <v>7361233</v>
      </c>
      <c r="M1250" s="77">
        <f t="shared" si="311"/>
        <v>0</v>
      </c>
      <c r="N1250" s="43">
        <f t="shared" si="312"/>
        <v>0</v>
      </c>
      <c r="O1250" s="43">
        <f t="shared" si="313"/>
        <v>0</v>
      </c>
      <c r="P1250" s="43">
        <f t="shared" si="302"/>
        <v>7361233</v>
      </c>
      <c r="Q1250" s="100"/>
      <c r="R1250" s="117"/>
    </row>
    <row r="1251" spans="1:18" ht="31.5" customHeight="1" x14ac:dyDescent="0.25">
      <c r="A1251" s="48" t="str">
        <f t="shared" si="303"/>
        <v>HT</v>
      </c>
      <c r="B1251" s="32" t="s">
        <v>1447</v>
      </c>
      <c r="C1251" s="39" t="s">
        <v>514</v>
      </c>
      <c r="D1251" s="13" t="s">
        <v>515</v>
      </c>
      <c r="E1251" s="123">
        <v>93</v>
      </c>
      <c r="F1251" s="136"/>
      <c r="G1251" s="125"/>
      <c r="H1251" s="125"/>
      <c r="I1251" s="125">
        <f t="shared" si="309"/>
        <v>93</v>
      </c>
      <c r="J1251" s="62">
        <f>'BIỂU HỢP ĐỒNG'!J1077</f>
        <v>56885</v>
      </c>
      <c r="K1251" s="43"/>
      <c r="L1251" s="62">
        <f t="shared" si="310"/>
        <v>5290305</v>
      </c>
      <c r="M1251" s="77">
        <f t="shared" si="311"/>
        <v>0</v>
      </c>
      <c r="N1251" s="43">
        <f t="shared" si="312"/>
        <v>0</v>
      </c>
      <c r="O1251" s="43">
        <f t="shared" si="313"/>
        <v>0</v>
      </c>
      <c r="P1251" s="43">
        <f t="shared" si="302"/>
        <v>5290305</v>
      </c>
      <c r="Q1251" s="100"/>
      <c r="R1251" s="117"/>
    </row>
    <row r="1252" spans="1:18" ht="47.25" customHeight="1" x14ac:dyDescent="0.25">
      <c r="A1252" s="48" t="str">
        <f t="shared" si="303"/>
        <v>HT</v>
      </c>
      <c r="B1252" s="32" t="s">
        <v>1448</v>
      </c>
      <c r="C1252" s="39" t="s">
        <v>517</v>
      </c>
      <c r="D1252" s="13" t="s">
        <v>258</v>
      </c>
      <c r="E1252" s="123">
        <v>5</v>
      </c>
      <c r="F1252" s="136"/>
      <c r="G1252" s="125"/>
      <c r="H1252" s="125"/>
      <c r="I1252" s="125">
        <f t="shared" si="309"/>
        <v>5</v>
      </c>
      <c r="J1252" s="62">
        <f>'BIỂU HỢP ĐỒNG'!J1078</f>
        <v>305773</v>
      </c>
      <c r="K1252" s="43"/>
      <c r="L1252" s="62">
        <f t="shared" si="310"/>
        <v>1528865</v>
      </c>
      <c r="M1252" s="77">
        <f t="shared" si="311"/>
        <v>0</v>
      </c>
      <c r="N1252" s="43">
        <f t="shared" si="312"/>
        <v>0</v>
      </c>
      <c r="O1252" s="43">
        <f t="shared" si="313"/>
        <v>0</v>
      </c>
      <c r="P1252" s="43">
        <f t="shared" si="302"/>
        <v>1528865</v>
      </c>
      <c r="Q1252" s="100"/>
      <c r="R1252" s="117"/>
    </row>
    <row r="1253" spans="1:18" ht="47.25" customHeight="1" x14ac:dyDescent="0.25">
      <c r="A1253" s="48" t="str">
        <f t="shared" si="303"/>
        <v>HT</v>
      </c>
      <c r="B1253" s="32" t="s">
        <v>1449</v>
      </c>
      <c r="C1253" s="39" t="s">
        <v>519</v>
      </c>
      <c r="D1253" s="13" t="s">
        <v>258</v>
      </c>
      <c r="E1253" s="123">
        <v>4</v>
      </c>
      <c r="F1253" s="136"/>
      <c r="G1253" s="125"/>
      <c r="H1253" s="125"/>
      <c r="I1253" s="125">
        <f t="shared" si="309"/>
        <v>4</v>
      </c>
      <c r="J1253" s="62">
        <f>'BIỂU HỢP ĐỒNG'!J1079</f>
        <v>320924</v>
      </c>
      <c r="K1253" s="43"/>
      <c r="L1253" s="62">
        <f t="shared" si="310"/>
        <v>1283696</v>
      </c>
      <c r="M1253" s="77">
        <f t="shared" si="311"/>
        <v>0</v>
      </c>
      <c r="N1253" s="43">
        <f t="shared" si="312"/>
        <v>0</v>
      </c>
      <c r="O1253" s="43">
        <f t="shared" si="313"/>
        <v>0</v>
      </c>
      <c r="P1253" s="43">
        <f t="shared" si="302"/>
        <v>1283696</v>
      </c>
      <c r="Q1253" s="100"/>
      <c r="R1253" s="117"/>
    </row>
    <row r="1254" spans="1:18" ht="47.25" customHeight="1" x14ac:dyDescent="0.25">
      <c r="A1254" s="48" t="str">
        <f t="shared" si="303"/>
        <v>HT</v>
      </c>
      <c r="B1254" s="32" t="s">
        <v>1450</v>
      </c>
      <c r="C1254" s="39" t="s">
        <v>1149</v>
      </c>
      <c r="D1254" s="13" t="s">
        <v>258</v>
      </c>
      <c r="E1254" s="123">
        <v>1</v>
      </c>
      <c r="F1254" s="136"/>
      <c r="G1254" s="125"/>
      <c r="H1254" s="125"/>
      <c r="I1254" s="125">
        <f t="shared" si="309"/>
        <v>1</v>
      </c>
      <c r="J1254" s="62">
        <f>'BIỂU HỢP ĐỒNG'!J1080</f>
        <v>314863</v>
      </c>
      <c r="K1254" s="43"/>
      <c r="L1254" s="62">
        <f t="shared" si="310"/>
        <v>314863</v>
      </c>
      <c r="M1254" s="77">
        <f t="shared" si="311"/>
        <v>0</v>
      </c>
      <c r="N1254" s="43">
        <f t="shared" si="312"/>
        <v>0</v>
      </c>
      <c r="O1254" s="43">
        <f t="shared" si="313"/>
        <v>0</v>
      </c>
      <c r="P1254" s="43">
        <f t="shared" si="302"/>
        <v>314863</v>
      </c>
      <c r="Q1254" s="100"/>
      <c r="R1254" s="117"/>
    </row>
    <row r="1255" spans="1:18" ht="47.25" customHeight="1" x14ac:dyDescent="0.25">
      <c r="A1255" s="48" t="str">
        <f t="shared" si="303"/>
        <v>HT</v>
      </c>
      <c r="B1255" s="32" t="s">
        <v>1451</v>
      </c>
      <c r="C1255" s="39" t="s">
        <v>523</v>
      </c>
      <c r="D1255" s="13" t="s">
        <v>258</v>
      </c>
      <c r="E1255" s="123">
        <v>1</v>
      </c>
      <c r="F1255" s="136"/>
      <c r="G1255" s="125"/>
      <c r="H1255" s="125"/>
      <c r="I1255" s="125">
        <f t="shared" si="309"/>
        <v>1</v>
      </c>
      <c r="J1255" s="62">
        <f>'BIỂU HỢP ĐỒNG'!J1081</f>
        <v>314863</v>
      </c>
      <c r="K1255" s="43"/>
      <c r="L1255" s="62">
        <f t="shared" si="310"/>
        <v>314863</v>
      </c>
      <c r="M1255" s="77">
        <f t="shared" si="311"/>
        <v>0</v>
      </c>
      <c r="N1255" s="43">
        <f t="shared" si="312"/>
        <v>0</v>
      </c>
      <c r="O1255" s="43">
        <f t="shared" si="313"/>
        <v>0</v>
      </c>
      <c r="P1255" s="43">
        <f t="shared" si="302"/>
        <v>314863</v>
      </c>
      <c r="Q1255" s="100"/>
      <c r="R1255" s="117"/>
    </row>
    <row r="1256" spans="1:18" ht="47.25" customHeight="1" x14ac:dyDescent="0.25">
      <c r="A1256" s="48" t="str">
        <f t="shared" si="303"/>
        <v>HT</v>
      </c>
      <c r="B1256" s="32" t="s">
        <v>1452</v>
      </c>
      <c r="C1256" s="39" t="s">
        <v>525</v>
      </c>
      <c r="D1256" s="13" t="s">
        <v>258</v>
      </c>
      <c r="E1256" s="123">
        <v>1</v>
      </c>
      <c r="F1256" s="136"/>
      <c r="G1256" s="125"/>
      <c r="H1256" s="125"/>
      <c r="I1256" s="125">
        <f t="shared" si="309"/>
        <v>1</v>
      </c>
      <c r="J1256" s="62">
        <f>'BIỂU HỢP ĐỒNG'!J1082</f>
        <v>314863</v>
      </c>
      <c r="K1256" s="43"/>
      <c r="L1256" s="62">
        <f t="shared" si="310"/>
        <v>314863</v>
      </c>
      <c r="M1256" s="77">
        <f t="shared" si="311"/>
        <v>0</v>
      </c>
      <c r="N1256" s="43">
        <f t="shared" si="312"/>
        <v>0</v>
      </c>
      <c r="O1256" s="43">
        <f t="shared" si="313"/>
        <v>0</v>
      </c>
      <c r="P1256" s="43">
        <f t="shared" si="302"/>
        <v>314863</v>
      </c>
      <c r="Q1256" s="100"/>
      <c r="R1256" s="117"/>
    </row>
    <row r="1257" spans="1:18" x14ac:dyDescent="0.25">
      <c r="A1257" s="48" t="str">
        <f t="shared" si="303"/>
        <v>HT</v>
      </c>
      <c r="B1257" s="32" t="s">
        <v>1453</v>
      </c>
      <c r="C1257" s="39" t="s">
        <v>527</v>
      </c>
      <c r="D1257" s="13" t="s">
        <v>258</v>
      </c>
      <c r="E1257" s="123">
        <v>5</v>
      </c>
      <c r="F1257" s="136"/>
      <c r="G1257" s="125"/>
      <c r="H1257" s="125"/>
      <c r="I1257" s="125">
        <f t="shared" si="309"/>
        <v>5</v>
      </c>
      <c r="J1257" s="62">
        <f>'BIỂU HỢP ĐỒNG'!J1083</f>
        <v>492731</v>
      </c>
      <c r="K1257" s="43"/>
      <c r="L1257" s="62">
        <f t="shared" si="310"/>
        <v>2463655</v>
      </c>
      <c r="M1257" s="77">
        <f t="shared" si="311"/>
        <v>0</v>
      </c>
      <c r="N1257" s="43">
        <f t="shared" si="312"/>
        <v>0</v>
      </c>
      <c r="O1257" s="43">
        <f t="shared" si="313"/>
        <v>0</v>
      </c>
      <c r="P1257" s="43">
        <f t="shared" si="302"/>
        <v>2463655</v>
      </c>
      <c r="Q1257" s="100"/>
      <c r="R1257" s="117"/>
    </row>
    <row r="1258" spans="1:18" x14ac:dyDescent="0.25">
      <c r="A1258" s="48" t="str">
        <f t="shared" si="303"/>
        <v>HT</v>
      </c>
      <c r="B1258" s="32" t="s">
        <v>1454</v>
      </c>
      <c r="C1258" s="39" t="s">
        <v>529</v>
      </c>
      <c r="D1258" s="13" t="s">
        <v>258</v>
      </c>
      <c r="E1258" s="123">
        <v>4</v>
      </c>
      <c r="F1258" s="136"/>
      <c r="G1258" s="125"/>
      <c r="H1258" s="125"/>
      <c r="I1258" s="125">
        <f t="shared" si="309"/>
        <v>4</v>
      </c>
      <c r="J1258" s="62">
        <f>'BIỂU HỢP ĐỒNG'!J1084</f>
        <v>1021897</v>
      </c>
      <c r="K1258" s="43"/>
      <c r="L1258" s="62">
        <f t="shared" si="310"/>
        <v>4087588</v>
      </c>
      <c r="M1258" s="77">
        <f t="shared" si="311"/>
        <v>0</v>
      </c>
      <c r="N1258" s="43">
        <f t="shared" si="312"/>
        <v>0</v>
      </c>
      <c r="O1258" s="43">
        <f t="shared" si="313"/>
        <v>0</v>
      </c>
      <c r="P1258" s="43">
        <f t="shared" si="302"/>
        <v>4087588</v>
      </c>
      <c r="Q1258" s="100"/>
      <c r="R1258" s="117"/>
    </row>
    <row r="1259" spans="1:18" x14ac:dyDescent="0.25">
      <c r="A1259" s="48" t="str">
        <f t="shared" si="303"/>
        <v>HT</v>
      </c>
      <c r="B1259" s="32" t="s">
        <v>1455</v>
      </c>
      <c r="C1259" s="39" t="s">
        <v>1155</v>
      </c>
      <c r="D1259" s="13" t="s">
        <v>258</v>
      </c>
      <c r="E1259" s="123">
        <v>1</v>
      </c>
      <c r="F1259" s="136"/>
      <c r="G1259" s="125"/>
      <c r="H1259" s="125"/>
      <c r="I1259" s="125">
        <f t="shared" si="309"/>
        <v>1</v>
      </c>
      <c r="J1259" s="62">
        <f>'BIỂU HỢP ĐỒNG'!J1085</f>
        <v>1021897</v>
      </c>
      <c r="K1259" s="43"/>
      <c r="L1259" s="62">
        <f t="shared" si="310"/>
        <v>1021897</v>
      </c>
      <c r="M1259" s="77">
        <f t="shared" si="311"/>
        <v>0</v>
      </c>
      <c r="N1259" s="43">
        <f t="shared" si="312"/>
        <v>0</v>
      </c>
      <c r="O1259" s="43">
        <f t="shared" si="313"/>
        <v>0</v>
      </c>
      <c r="P1259" s="43">
        <f t="shared" si="302"/>
        <v>1021897</v>
      </c>
      <c r="Q1259" s="100"/>
      <c r="R1259" s="117"/>
    </row>
    <row r="1260" spans="1:18" x14ac:dyDescent="0.25">
      <c r="A1260" s="48" t="str">
        <f t="shared" si="303"/>
        <v>HT</v>
      </c>
      <c r="B1260" s="32" t="s">
        <v>1456</v>
      </c>
      <c r="C1260" s="39" t="s">
        <v>533</v>
      </c>
      <c r="D1260" s="13" t="s">
        <v>258</v>
      </c>
      <c r="E1260" s="123">
        <v>1</v>
      </c>
      <c r="F1260" s="136"/>
      <c r="G1260" s="125"/>
      <c r="H1260" s="125"/>
      <c r="I1260" s="125">
        <f t="shared" si="309"/>
        <v>1</v>
      </c>
      <c r="J1260" s="62">
        <f>'BIỂU HỢP ĐỒNG'!J1086</f>
        <v>1755842</v>
      </c>
      <c r="K1260" s="43"/>
      <c r="L1260" s="62">
        <f t="shared" si="310"/>
        <v>1755842</v>
      </c>
      <c r="M1260" s="77">
        <f t="shared" si="311"/>
        <v>0</v>
      </c>
      <c r="N1260" s="43">
        <f t="shared" si="312"/>
        <v>0</v>
      </c>
      <c r="O1260" s="43">
        <f t="shared" si="313"/>
        <v>0</v>
      </c>
      <c r="P1260" s="43">
        <f t="shared" si="302"/>
        <v>1755842</v>
      </c>
      <c r="Q1260" s="100"/>
      <c r="R1260" s="117"/>
    </row>
    <row r="1261" spans="1:18" x14ac:dyDescent="0.25">
      <c r="A1261" s="48" t="str">
        <f t="shared" si="303"/>
        <v>HT</v>
      </c>
      <c r="B1261" s="32" t="s">
        <v>1457</v>
      </c>
      <c r="C1261" s="39" t="s">
        <v>535</v>
      </c>
      <c r="D1261" s="13" t="s">
        <v>258</v>
      </c>
      <c r="E1261" s="123">
        <v>1</v>
      </c>
      <c r="F1261" s="136"/>
      <c r="G1261" s="125"/>
      <c r="H1261" s="125"/>
      <c r="I1261" s="125">
        <f t="shared" si="309"/>
        <v>1</v>
      </c>
      <c r="J1261" s="62">
        <f>'BIỂU HỢP ĐỒNG'!J1087</f>
        <v>804708</v>
      </c>
      <c r="K1261" s="43"/>
      <c r="L1261" s="62">
        <f t="shared" si="310"/>
        <v>804708</v>
      </c>
      <c r="M1261" s="77">
        <f t="shared" si="311"/>
        <v>0</v>
      </c>
      <c r="N1261" s="43">
        <f t="shared" si="312"/>
        <v>0</v>
      </c>
      <c r="O1261" s="43">
        <f t="shared" si="313"/>
        <v>0</v>
      </c>
      <c r="P1261" s="43">
        <f t="shared" si="302"/>
        <v>804708</v>
      </c>
      <c r="Q1261" s="100"/>
      <c r="R1261" s="117"/>
    </row>
    <row r="1262" spans="1:18" x14ac:dyDescent="0.25">
      <c r="A1262" s="48" t="str">
        <f t="shared" si="303"/>
        <v>HT</v>
      </c>
      <c r="B1262" s="32" t="s">
        <v>1458</v>
      </c>
      <c r="C1262" s="39" t="s">
        <v>537</v>
      </c>
      <c r="D1262" s="13" t="s">
        <v>75</v>
      </c>
      <c r="E1262" s="123">
        <v>39.799999999999997</v>
      </c>
      <c r="F1262" s="136"/>
      <c r="G1262" s="125"/>
      <c r="H1262" s="125"/>
      <c r="I1262" s="125">
        <f t="shared" si="309"/>
        <v>39.799999999999997</v>
      </c>
      <c r="J1262" s="62">
        <f>'BIỂU HỢP ĐỒNG'!J1088</f>
        <v>171892</v>
      </c>
      <c r="K1262" s="43"/>
      <c r="L1262" s="62">
        <f t="shared" si="310"/>
        <v>6841302</v>
      </c>
      <c r="M1262" s="77">
        <f t="shared" si="311"/>
        <v>0</v>
      </c>
      <c r="N1262" s="43">
        <f t="shared" si="312"/>
        <v>0</v>
      </c>
      <c r="O1262" s="43">
        <f t="shared" si="313"/>
        <v>0</v>
      </c>
      <c r="P1262" s="43">
        <f t="shared" si="302"/>
        <v>6841302</v>
      </c>
      <c r="Q1262" s="100"/>
      <c r="R1262" s="117"/>
    </row>
    <row r="1263" spans="1:18" x14ac:dyDescent="0.25">
      <c r="A1263" s="48" t="str">
        <f t="shared" si="303"/>
        <v>HT</v>
      </c>
      <c r="B1263" s="32" t="s">
        <v>1459</v>
      </c>
      <c r="C1263" s="39" t="s">
        <v>1159</v>
      </c>
      <c r="D1263" s="13" t="s">
        <v>1160</v>
      </c>
      <c r="E1263" s="123">
        <v>1.94</v>
      </c>
      <c r="F1263" s="136"/>
      <c r="G1263" s="125"/>
      <c r="H1263" s="125"/>
      <c r="I1263" s="125">
        <f t="shared" si="309"/>
        <v>1.94</v>
      </c>
      <c r="J1263" s="62">
        <f>'BIỂU HỢP ĐỒNG'!J1089</f>
        <v>9382399</v>
      </c>
      <c r="K1263" s="43"/>
      <c r="L1263" s="62">
        <f t="shared" si="310"/>
        <v>18201854</v>
      </c>
      <c r="M1263" s="77">
        <f t="shared" si="311"/>
        <v>0</v>
      </c>
      <c r="N1263" s="43">
        <f t="shared" si="312"/>
        <v>0</v>
      </c>
      <c r="O1263" s="43">
        <f t="shared" si="313"/>
        <v>0</v>
      </c>
      <c r="P1263" s="43">
        <f t="shared" si="302"/>
        <v>18201854</v>
      </c>
      <c r="Q1263" s="100"/>
      <c r="R1263" s="117"/>
    </row>
    <row r="1264" spans="1:18" x14ac:dyDescent="0.25">
      <c r="A1264" s="48" t="str">
        <f t="shared" si="303"/>
        <v>HT</v>
      </c>
      <c r="B1264" s="32" t="s">
        <v>1460</v>
      </c>
      <c r="C1264" s="39" t="s">
        <v>1162</v>
      </c>
      <c r="D1264" s="13" t="s">
        <v>75</v>
      </c>
      <c r="E1264" s="123">
        <v>194</v>
      </c>
      <c r="F1264" s="136"/>
      <c r="G1264" s="125"/>
      <c r="H1264" s="125"/>
      <c r="I1264" s="125">
        <f t="shared" si="309"/>
        <v>194</v>
      </c>
      <c r="J1264" s="62">
        <f>'BIỂU HỢP ĐỒNG'!J1090</f>
        <v>856508</v>
      </c>
      <c r="K1264" s="43"/>
      <c r="L1264" s="62">
        <f t="shared" si="310"/>
        <v>166162552</v>
      </c>
      <c r="M1264" s="77">
        <f t="shared" si="311"/>
        <v>0</v>
      </c>
      <c r="N1264" s="43">
        <f t="shared" si="312"/>
        <v>0</v>
      </c>
      <c r="O1264" s="43">
        <f t="shared" si="313"/>
        <v>0</v>
      </c>
      <c r="P1264" s="43">
        <f t="shared" si="302"/>
        <v>166162552</v>
      </c>
      <c r="Q1264" s="100"/>
      <c r="R1264" s="117"/>
    </row>
    <row r="1265" spans="1:18" x14ac:dyDescent="0.25">
      <c r="A1265" s="48" t="str">
        <f t="shared" si="303"/>
        <v>HT</v>
      </c>
      <c r="B1265" s="32" t="s">
        <v>1461</v>
      </c>
      <c r="C1265" s="39" t="s">
        <v>541</v>
      </c>
      <c r="D1265" s="13" t="s">
        <v>258</v>
      </c>
      <c r="E1265" s="123">
        <v>1</v>
      </c>
      <c r="F1265" s="136"/>
      <c r="G1265" s="125"/>
      <c r="H1265" s="125"/>
      <c r="I1265" s="125">
        <f t="shared" si="309"/>
        <v>1</v>
      </c>
      <c r="J1265" s="62">
        <f>'BIỂU HỢP ĐỒNG'!J1091</f>
        <v>308087</v>
      </c>
      <c r="K1265" s="43"/>
      <c r="L1265" s="62">
        <f t="shared" si="310"/>
        <v>308087</v>
      </c>
      <c r="M1265" s="77">
        <f t="shared" si="311"/>
        <v>0</v>
      </c>
      <c r="N1265" s="43">
        <f t="shared" si="312"/>
        <v>0</v>
      </c>
      <c r="O1265" s="43">
        <f t="shared" si="313"/>
        <v>0</v>
      </c>
      <c r="P1265" s="43">
        <f t="shared" si="302"/>
        <v>308087</v>
      </c>
      <c r="Q1265" s="100"/>
      <c r="R1265" s="117"/>
    </row>
    <row r="1266" spans="1:18" x14ac:dyDescent="0.25">
      <c r="A1266" s="48" t="str">
        <f t="shared" si="303"/>
        <v>HT</v>
      </c>
      <c r="B1266" s="32" t="s">
        <v>1462</v>
      </c>
      <c r="C1266" s="39" t="s">
        <v>1463</v>
      </c>
      <c r="D1266" s="13" t="s">
        <v>515</v>
      </c>
      <c r="E1266" s="123">
        <v>1</v>
      </c>
      <c r="F1266" s="136"/>
      <c r="G1266" s="125"/>
      <c r="H1266" s="125"/>
      <c r="I1266" s="125">
        <f t="shared" si="309"/>
        <v>1</v>
      </c>
      <c r="J1266" s="62">
        <f>'BIỂU HỢP ĐỒNG'!J1092</f>
        <v>40152</v>
      </c>
      <c r="K1266" s="43"/>
      <c r="L1266" s="62">
        <f t="shared" si="310"/>
        <v>40152</v>
      </c>
      <c r="M1266" s="77">
        <f t="shared" si="311"/>
        <v>0</v>
      </c>
      <c r="N1266" s="43">
        <f t="shared" si="312"/>
        <v>0</v>
      </c>
      <c r="O1266" s="43">
        <f t="shared" si="313"/>
        <v>0</v>
      </c>
      <c r="P1266" s="43">
        <f t="shared" si="302"/>
        <v>40152</v>
      </c>
      <c r="Q1266" s="100"/>
      <c r="R1266" s="117"/>
    </row>
    <row r="1267" spans="1:18" x14ac:dyDescent="0.25">
      <c r="A1267" s="48" t="str">
        <f t="shared" si="303"/>
        <v>HT</v>
      </c>
      <c r="B1267" s="32" t="s">
        <v>1464</v>
      </c>
      <c r="C1267" s="39" t="s">
        <v>545</v>
      </c>
      <c r="D1267" s="13" t="s">
        <v>258</v>
      </c>
      <c r="E1267" s="123">
        <v>54</v>
      </c>
      <c r="F1267" s="136"/>
      <c r="G1267" s="125"/>
      <c r="H1267" s="125"/>
      <c r="I1267" s="125">
        <f t="shared" si="309"/>
        <v>54</v>
      </c>
      <c r="J1267" s="62">
        <f>'BIỂU HỢP ĐỒNG'!J1093</f>
        <v>50931</v>
      </c>
      <c r="K1267" s="43"/>
      <c r="L1267" s="62">
        <f t="shared" si="310"/>
        <v>2750274</v>
      </c>
      <c r="M1267" s="77">
        <f t="shared" si="311"/>
        <v>0</v>
      </c>
      <c r="N1267" s="43">
        <f t="shared" si="312"/>
        <v>0</v>
      </c>
      <c r="O1267" s="43">
        <f t="shared" si="313"/>
        <v>0</v>
      </c>
      <c r="P1267" s="43">
        <f t="shared" si="302"/>
        <v>2750274</v>
      </c>
      <c r="Q1267" s="100"/>
      <c r="R1267" s="117"/>
    </row>
    <row r="1268" spans="1:18" ht="31.5" customHeight="1" x14ac:dyDescent="0.25">
      <c r="A1268" s="48" t="str">
        <f t="shared" si="303"/>
        <v>HT</v>
      </c>
      <c r="B1268" s="29">
        <v>19</v>
      </c>
      <c r="C1268" s="12" t="s">
        <v>1465</v>
      </c>
      <c r="D1268" s="79"/>
      <c r="E1268" s="123"/>
      <c r="F1268" s="136"/>
      <c r="G1268" s="125"/>
      <c r="H1268" s="125"/>
      <c r="I1268" s="125"/>
      <c r="J1268" s="62"/>
      <c r="K1268" s="43"/>
      <c r="L1268" s="62"/>
      <c r="M1268" s="77"/>
      <c r="N1268" s="43"/>
      <c r="O1268" s="43"/>
      <c r="P1268" s="43">
        <f t="shared" si="302"/>
        <v>0</v>
      </c>
      <c r="Q1268" s="100"/>
      <c r="R1268" s="117"/>
    </row>
    <row r="1269" spans="1:18" x14ac:dyDescent="0.25">
      <c r="A1269" s="48" t="str">
        <f t="shared" si="303"/>
        <v>HT</v>
      </c>
      <c r="B1269" s="32" t="s">
        <v>1466</v>
      </c>
      <c r="C1269" s="39" t="s">
        <v>1467</v>
      </c>
      <c r="D1269" s="13" t="s">
        <v>90</v>
      </c>
      <c r="E1269" s="123">
        <v>12.1738</v>
      </c>
      <c r="F1269" s="136"/>
      <c r="G1269" s="125"/>
      <c r="H1269" s="125"/>
      <c r="I1269" s="125">
        <f t="shared" ref="I1269:I1332" si="314">SUM(E1269:H1269)</f>
        <v>12.1738</v>
      </c>
      <c r="J1269" s="62">
        <f>'BIỂU HỢP ĐỒNG'!J1095</f>
        <v>61004533</v>
      </c>
      <c r="K1269" s="43"/>
      <c r="L1269" s="62">
        <f t="shared" ref="L1269:L1332" si="315">+ROUND(J1269*E1269,0)</f>
        <v>742656984</v>
      </c>
      <c r="M1269" s="77">
        <f t="shared" ref="M1269:M1332" si="316">+ROUND(F1269*J1269,0)</f>
        <v>0</v>
      </c>
      <c r="N1269" s="43">
        <f t="shared" ref="N1269:N1300" si="317">+ROUND(G1269*J1269,0)</f>
        <v>0</v>
      </c>
      <c r="O1269" s="43">
        <f t="shared" ref="O1269:O1332" si="318">+ROUND(H1269*J1269,0)</f>
        <v>0</v>
      </c>
      <c r="P1269" s="43">
        <f t="shared" si="302"/>
        <v>742656984</v>
      </c>
      <c r="Q1269" s="100"/>
      <c r="R1269" s="117"/>
    </row>
    <row r="1270" spans="1:18" x14ac:dyDescent="0.25">
      <c r="A1270" s="48" t="str">
        <f t="shared" si="303"/>
        <v>HT</v>
      </c>
      <c r="B1270" s="32" t="s">
        <v>1468</v>
      </c>
      <c r="C1270" s="39" t="s">
        <v>1469</v>
      </c>
      <c r="D1270" s="13" t="s">
        <v>90</v>
      </c>
      <c r="E1270" s="123">
        <v>38.422400000000003</v>
      </c>
      <c r="F1270" s="136"/>
      <c r="G1270" s="125"/>
      <c r="H1270" s="125"/>
      <c r="I1270" s="125">
        <f t="shared" si="314"/>
        <v>38.422400000000003</v>
      </c>
      <c r="J1270" s="62">
        <f>'BIỂU HỢP ĐỒNG'!J1096</f>
        <v>24716117</v>
      </c>
      <c r="K1270" s="43"/>
      <c r="L1270" s="62">
        <f t="shared" si="315"/>
        <v>949652534</v>
      </c>
      <c r="M1270" s="77">
        <f t="shared" si="316"/>
        <v>0</v>
      </c>
      <c r="N1270" s="43">
        <f t="shared" si="317"/>
        <v>0</v>
      </c>
      <c r="O1270" s="43">
        <f t="shared" si="318"/>
        <v>0</v>
      </c>
      <c r="P1270" s="43">
        <f t="shared" si="302"/>
        <v>949652534</v>
      </c>
      <c r="Q1270" s="100"/>
      <c r="R1270" s="117"/>
    </row>
    <row r="1271" spans="1:18" x14ac:dyDescent="0.25">
      <c r="A1271" s="48" t="str">
        <f t="shared" si="303"/>
        <v>HT</v>
      </c>
      <c r="B1271" s="32" t="s">
        <v>1470</v>
      </c>
      <c r="C1271" s="39" t="s">
        <v>1471</v>
      </c>
      <c r="D1271" s="13" t="s">
        <v>90</v>
      </c>
      <c r="E1271" s="123">
        <v>1.8906000000000001</v>
      </c>
      <c r="F1271" s="136"/>
      <c r="G1271" s="125"/>
      <c r="H1271" s="125"/>
      <c r="I1271" s="125">
        <f t="shared" si="314"/>
        <v>1.8906000000000001</v>
      </c>
      <c r="J1271" s="62">
        <f>'BIỂU HỢP ĐỒNG'!J1097</f>
        <v>23857393</v>
      </c>
      <c r="K1271" s="43"/>
      <c r="L1271" s="62">
        <f t="shared" si="315"/>
        <v>45104787</v>
      </c>
      <c r="M1271" s="77">
        <f t="shared" si="316"/>
        <v>0</v>
      </c>
      <c r="N1271" s="43">
        <f t="shared" si="317"/>
        <v>0</v>
      </c>
      <c r="O1271" s="43">
        <f t="shared" si="318"/>
        <v>0</v>
      </c>
      <c r="P1271" s="43">
        <f t="shared" si="302"/>
        <v>45104787</v>
      </c>
      <c r="Q1271" s="100"/>
      <c r="R1271" s="117"/>
    </row>
    <row r="1272" spans="1:18" x14ac:dyDescent="0.25">
      <c r="A1272" s="48" t="str">
        <f t="shared" si="303"/>
        <v>HT</v>
      </c>
      <c r="B1272" s="32" t="s">
        <v>1472</v>
      </c>
      <c r="C1272" s="39" t="s">
        <v>1473</v>
      </c>
      <c r="D1272" s="13" t="s">
        <v>16</v>
      </c>
      <c r="E1272" s="123">
        <v>280.43680000000001</v>
      </c>
      <c r="F1272" s="136"/>
      <c r="G1272" s="125"/>
      <c r="H1272" s="125"/>
      <c r="I1272" s="125">
        <f t="shared" si="314"/>
        <v>280.43680000000001</v>
      </c>
      <c r="J1272" s="62">
        <f>'BIỂU HỢP ĐỒNG'!J1098</f>
        <v>2500986</v>
      </c>
      <c r="K1272" s="43"/>
      <c r="L1272" s="62">
        <f t="shared" si="315"/>
        <v>701368511</v>
      </c>
      <c r="M1272" s="77">
        <f t="shared" si="316"/>
        <v>0</v>
      </c>
      <c r="N1272" s="43">
        <f t="shared" si="317"/>
        <v>0</v>
      </c>
      <c r="O1272" s="43">
        <f t="shared" si="318"/>
        <v>0</v>
      </c>
      <c r="P1272" s="43">
        <f t="shared" si="302"/>
        <v>701368511</v>
      </c>
      <c r="Q1272" s="100"/>
      <c r="R1272" s="117"/>
    </row>
    <row r="1273" spans="1:18" x14ac:dyDescent="0.25">
      <c r="A1273" s="48" t="str">
        <f t="shared" si="303"/>
        <v>HT</v>
      </c>
      <c r="B1273" s="32" t="s">
        <v>1474</v>
      </c>
      <c r="C1273" s="39" t="s">
        <v>1475</v>
      </c>
      <c r="D1273" s="13" t="s">
        <v>13</v>
      </c>
      <c r="E1273" s="123">
        <v>1436.4</v>
      </c>
      <c r="F1273" s="136"/>
      <c r="G1273" s="125"/>
      <c r="H1273" s="125"/>
      <c r="I1273" s="125">
        <f t="shared" si="314"/>
        <v>1436.4</v>
      </c>
      <c r="J1273" s="62">
        <f>'BIỂU HỢP ĐỒNG'!J1099</f>
        <v>276887</v>
      </c>
      <c r="K1273" s="43"/>
      <c r="L1273" s="62">
        <f t="shared" si="315"/>
        <v>397720487</v>
      </c>
      <c r="M1273" s="77">
        <f t="shared" si="316"/>
        <v>0</v>
      </c>
      <c r="N1273" s="43">
        <f t="shared" si="317"/>
        <v>0</v>
      </c>
      <c r="O1273" s="43">
        <f t="shared" si="318"/>
        <v>0</v>
      </c>
      <c r="P1273" s="43">
        <f t="shared" si="302"/>
        <v>397720487</v>
      </c>
      <c r="Q1273" s="100"/>
      <c r="R1273" s="117"/>
    </row>
    <row r="1274" spans="1:18" x14ac:dyDescent="0.25">
      <c r="A1274" s="48" t="str">
        <f t="shared" si="303"/>
        <v>HT</v>
      </c>
      <c r="B1274" s="32" t="s">
        <v>1476</v>
      </c>
      <c r="C1274" s="39" t="s">
        <v>1477</v>
      </c>
      <c r="D1274" s="13" t="s">
        <v>16</v>
      </c>
      <c r="E1274" s="123">
        <v>284.64339999999999</v>
      </c>
      <c r="F1274" s="136"/>
      <c r="G1274" s="125"/>
      <c r="H1274" s="125"/>
      <c r="I1274" s="125">
        <f t="shared" si="314"/>
        <v>284.64339999999999</v>
      </c>
      <c r="J1274" s="62">
        <f>'BIỂU HỢP ĐỒNG'!J1100</f>
        <v>57102</v>
      </c>
      <c r="K1274" s="43"/>
      <c r="L1274" s="62">
        <f t="shared" si="315"/>
        <v>16253707</v>
      </c>
      <c r="M1274" s="77">
        <f t="shared" si="316"/>
        <v>0</v>
      </c>
      <c r="N1274" s="43">
        <f t="shared" si="317"/>
        <v>0</v>
      </c>
      <c r="O1274" s="43">
        <f t="shared" si="318"/>
        <v>0</v>
      </c>
      <c r="P1274" s="43">
        <f t="shared" si="302"/>
        <v>16253707</v>
      </c>
      <c r="Q1274" s="100"/>
      <c r="R1274" s="117"/>
    </row>
    <row r="1275" spans="1:18" x14ac:dyDescent="0.25">
      <c r="A1275" s="48" t="str">
        <f t="shared" si="303"/>
        <v>HT</v>
      </c>
      <c r="B1275" s="32" t="s">
        <v>1478</v>
      </c>
      <c r="C1275" s="39" t="s">
        <v>562</v>
      </c>
      <c r="D1275" s="13" t="s">
        <v>16</v>
      </c>
      <c r="E1275" s="123">
        <v>284.64339999999999</v>
      </c>
      <c r="F1275" s="136"/>
      <c r="G1275" s="125"/>
      <c r="H1275" s="125"/>
      <c r="I1275" s="125">
        <f t="shared" si="314"/>
        <v>284.64339999999999</v>
      </c>
      <c r="J1275" s="62">
        <f>'BIỂU HỢP ĐỒNG'!J1101</f>
        <v>285443</v>
      </c>
      <c r="K1275" s="43"/>
      <c r="L1275" s="62">
        <f t="shared" si="315"/>
        <v>81249466</v>
      </c>
      <c r="M1275" s="77">
        <f t="shared" si="316"/>
        <v>0</v>
      </c>
      <c r="N1275" s="43">
        <f t="shared" si="317"/>
        <v>0</v>
      </c>
      <c r="O1275" s="43">
        <f t="shared" si="318"/>
        <v>0</v>
      </c>
      <c r="P1275" s="43">
        <f t="shared" si="302"/>
        <v>81249466</v>
      </c>
      <c r="Q1275" s="100"/>
      <c r="R1275" s="117"/>
    </row>
    <row r="1276" spans="1:18" x14ac:dyDescent="0.25">
      <c r="A1276" s="48" t="str">
        <f t="shared" si="303"/>
        <v>HT</v>
      </c>
      <c r="B1276" s="32" t="s">
        <v>1479</v>
      </c>
      <c r="C1276" s="39" t="s">
        <v>1480</v>
      </c>
      <c r="D1276" s="13" t="s">
        <v>75</v>
      </c>
      <c r="E1276" s="123">
        <v>1964.0262</v>
      </c>
      <c r="F1276" s="136"/>
      <c r="G1276" s="125"/>
      <c r="H1276" s="125"/>
      <c r="I1276" s="125">
        <f t="shared" si="314"/>
        <v>1964.0262</v>
      </c>
      <c r="J1276" s="62">
        <f>'BIỂU HỢP ĐỒNG'!J1102</f>
        <v>193720</v>
      </c>
      <c r="K1276" s="43"/>
      <c r="L1276" s="62">
        <f t="shared" si="315"/>
        <v>380471155</v>
      </c>
      <c r="M1276" s="77">
        <f t="shared" si="316"/>
        <v>0</v>
      </c>
      <c r="N1276" s="43">
        <f t="shared" si="317"/>
        <v>0</v>
      </c>
      <c r="O1276" s="43">
        <f t="shared" si="318"/>
        <v>0</v>
      </c>
      <c r="P1276" s="43">
        <f t="shared" si="302"/>
        <v>380471155</v>
      </c>
      <c r="Q1276" s="100"/>
      <c r="R1276" s="117"/>
    </row>
    <row r="1277" spans="1:18" x14ac:dyDescent="0.25">
      <c r="A1277" s="48" t="str">
        <f t="shared" si="303"/>
        <v>HT</v>
      </c>
      <c r="B1277" s="32" t="s">
        <v>1481</v>
      </c>
      <c r="C1277" s="39" t="s">
        <v>1482</v>
      </c>
      <c r="D1277" s="13" t="s">
        <v>16</v>
      </c>
      <c r="E1277" s="123">
        <v>4.1962000000000002</v>
      </c>
      <c r="F1277" s="136"/>
      <c r="G1277" s="125"/>
      <c r="H1277" s="125"/>
      <c r="I1277" s="125">
        <f t="shared" si="314"/>
        <v>4.1962000000000002</v>
      </c>
      <c r="J1277" s="62">
        <f>'BIỂU HỢP ĐỒNG'!J1103</f>
        <v>17104447</v>
      </c>
      <c r="K1277" s="43"/>
      <c r="L1277" s="62">
        <f t="shared" si="315"/>
        <v>71773681</v>
      </c>
      <c r="M1277" s="77">
        <f t="shared" si="316"/>
        <v>0</v>
      </c>
      <c r="N1277" s="43">
        <f t="shared" si="317"/>
        <v>0</v>
      </c>
      <c r="O1277" s="43">
        <f t="shared" si="318"/>
        <v>0</v>
      </c>
      <c r="P1277" s="43">
        <f t="shared" si="302"/>
        <v>71773681</v>
      </c>
      <c r="Q1277" s="100"/>
      <c r="R1277" s="117"/>
    </row>
    <row r="1278" spans="1:18" x14ac:dyDescent="0.25">
      <c r="A1278" s="48" t="str">
        <f t="shared" si="303"/>
        <v>HT</v>
      </c>
      <c r="B1278" s="32" t="s">
        <v>1483</v>
      </c>
      <c r="C1278" s="39" t="s">
        <v>1484</v>
      </c>
      <c r="D1278" s="13" t="s">
        <v>1485</v>
      </c>
      <c r="E1278" s="123">
        <v>224</v>
      </c>
      <c r="F1278" s="136"/>
      <c r="G1278" s="125"/>
      <c r="H1278" s="125"/>
      <c r="I1278" s="125">
        <f t="shared" si="314"/>
        <v>224</v>
      </c>
      <c r="J1278" s="62">
        <f>'BIỂU HỢP ĐỒNG'!J1104</f>
        <v>746213</v>
      </c>
      <c r="K1278" s="43"/>
      <c r="L1278" s="62">
        <f t="shared" si="315"/>
        <v>167151712</v>
      </c>
      <c r="M1278" s="77">
        <f t="shared" si="316"/>
        <v>0</v>
      </c>
      <c r="N1278" s="43">
        <f t="shared" si="317"/>
        <v>0</v>
      </c>
      <c r="O1278" s="43">
        <f t="shared" si="318"/>
        <v>0</v>
      </c>
      <c r="P1278" s="43">
        <f t="shared" si="302"/>
        <v>167151712</v>
      </c>
      <c r="Q1278" s="100"/>
      <c r="R1278" s="117"/>
    </row>
    <row r="1279" spans="1:18" x14ac:dyDescent="0.25">
      <c r="A1279" s="48" t="str">
        <f t="shared" si="303"/>
        <v>HT</v>
      </c>
      <c r="B1279" s="32" t="s">
        <v>1486</v>
      </c>
      <c r="C1279" s="39" t="s">
        <v>1487</v>
      </c>
      <c r="D1279" s="13" t="s">
        <v>90</v>
      </c>
      <c r="E1279" s="123">
        <v>1.7584</v>
      </c>
      <c r="F1279" s="136"/>
      <c r="G1279" s="125"/>
      <c r="H1279" s="125"/>
      <c r="I1279" s="125">
        <f t="shared" si="314"/>
        <v>1.7584</v>
      </c>
      <c r="J1279" s="62">
        <f>'BIỂU HỢP ĐỒNG'!J1105</f>
        <v>31912360</v>
      </c>
      <c r="K1279" s="43"/>
      <c r="L1279" s="62">
        <f t="shared" si="315"/>
        <v>56114694</v>
      </c>
      <c r="M1279" s="77">
        <f t="shared" si="316"/>
        <v>0</v>
      </c>
      <c r="N1279" s="43">
        <f t="shared" si="317"/>
        <v>0</v>
      </c>
      <c r="O1279" s="43">
        <f t="shared" si="318"/>
        <v>0</v>
      </c>
      <c r="P1279" s="43">
        <f t="shared" si="302"/>
        <v>56114694</v>
      </c>
      <c r="Q1279" s="100"/>
      <c r="R1279" s="117"/>
    </row>
    <row r="1280" spans="1:18" x14ac:dyDescent="0.25">
      <c r="A1280" s="48" t="str">
        <f t="shared" si="303"/>
        <v>HT</v>
      </c>
      <c r="B1280" s="32" t="s">
        <v>1488</v>
      </c>
      <c r="C1280" s="39" t="s">
        <v>1489</v>
      </c>
      <c r="D1280" s="13" t="s">
        <v>90</v>
      </c>
      <c r="E1280" s="123">
        <v>1.7584</v>
      </c>
      <c r="F1280" s="136"/>
      <c r="G1280" s="125"/>
      <c r="H1280" s="125"/>
      <c r="I1280" s="125">
        <f t="shared" si="314"/>
        <v>1.7584</v>
      </c>
      <c r="J1280" s="62">
        <f>'BIỂU HỢP ĐỒNG'!J1106</f>
        <v>5329201</v>
      </c>
      <c r="K1280" s="43"/>
      <c r="L1280" s="62">
        <f t="shared" si="315"/>
        <v>9370867</v>
      </c>
      <c r="M1280" s="77">
        <f t="shared" si="316"/>
        <v>0</v>
      </c>
      <c r="N1280" s="43">
        <f t="shared" si="317"/>
        <v>0</v>
      </c>
      <c r="O1280" s="43">
        <f t="shared" si="318"/>
        <v>0</v>
      </c>
      <c r="P1280" s="43">
        <f t="shared" si="302"/>
        <v>9370867</v>
      </c>
      <c r="Q1280" s="100"/>
      <c r="R1280" s="117"/>
    </row>
    <row r="1281" spans="1:18" x14ac:dyDescent="0.25">
      <c r="A1281" s="48" t="str">
        <f t="shared" si="303"/>
        <v>HT</v>
      </c>
      <c r="B1281" s="32" t="s">
        <v>1490</v>
      </c>
      <c r="C1281" s="39" t="s">
        <v>1467</v>
      </c>
      <c r="D1281" s="13" t="s">
        <v>90</v>
      </c>
      <c r="E1281" s="123">
        <v>22.616299999999999</v>
      </c>
      <c r="F1281" s="136"/>
      <c r="G1281" s="125"/>
      <c r="H1281" s="125"/>
      <c r="I1281" s="125">
        <f t="shared" si="314"/>
        <v>22.616299999999999</v>
      </c>
      <c r="J1281" s="62">
        <f>'BIỂU HỢP ĐỒNG'!J1107</f>
        <v>61004533</v>
      </c>
      <c r="K1281" s="43"/>
      <c r="L1281" s="62">
        <f t="shared" si="315"/>
        <v>1379696820</v>
      </c>
      <c r="M1281" s="77">
        <f t="shared" si="316"/>
        <v>0</v>
      </c>
      <c r="N1281" s="43">
        <f t="shared" si="317"/>
        <v>0</v>
      </c>
      <c r="O1281" s="43">
        <f t="shared" si="318"/>
        <v>0</v>
      </c>
      <c r="P1281" s="43">
        <f t="shared" si="302"/>
        <v>1379696820</v>
      </c>
      <c r="Q1281" s="100"/>
      <c r="R1281" s="117"/>
    </row>
    <row r="1282" spans="1:18" x14ac:dyDescent="0.25">
      <c r="A1282" s="48" t="str">
        <f t="shared" si="303"/>
        <v>HT</v>
      </c>
      <c r="B1282" s="32" t="s">
        <v>1491</v>
      </c>
      <c r="C1282" s="39" t="s">
        <v>1469</v>
      </c>
      <c r="D1282" s="13" t="s">
        <v>90</v>
      </c>
      <c r="E1282" s="123">
        <v>52.357999999999997</v>
      </c>
      <c r="F1282" s="136"/>
      <c r="G1282" s="125"/>
      <c r="H1282" s="125"/>
      <c r="I1282" s="125">
        <f t="shared" si="314"/>
        <v>52.357999999999997</v>
      </c>
      <c r="J1282" s="62">
        <f>'BIỂU HỢP ĐỒNG'!J1108</f>
        <v>24716117</v>
      </c>
      <c r="K1282" s="43"/>
      <c r="L1282" s="62">
        <f t="shared" si="315"/>
        <v>1294086454</v>
      </c>
      <c r="M1282" s="77">
        <f t="shared" si="316"/>
        <v>0</v>
      </c>
      <c r="N1282" s="43">
        <f t="shared" si="317"/>
        <v>0</v>
      </c>
      <c r="O1282" s="43">
        <f t="shared" si="318"/>
        <v>0</v>
      </c>
      <c r="P1282" s="43">
        <f t="shared" si="302"/>
        <v>1294086454</v>
      </c>
      <c r="Q1282" s="100"/>
      <c r="R1282" s="117"/>
    </row>
    <row r="1283" spans="1:18" x14ac:dyDescent="0.25">
      <c r="A1283" s="48" t="str">
        <f t="shared" si="303"/>
        <v>HT</v>
      </c>
      <c r="B1283" s="32" t="s">
        <v>1492</v>
      </c>
      <c r="C1283" s="39" t="s">
        <v>1471</v>
      </c>
      <c r="D1283" s="13" t="s">
        <v>90</v>
      </c>
      <c r="E1283" s="123">
        <v>1.2211000000000001</v>
      </c>
      <c r="F1283" s="136"/>
      <c r="G1283" s="125"/>
      <c r="H1283" s="125"/>
      <c r="I1283" s="125">
        <f t="shared" si="314"/>
        <v>1.2211000000000001</v>
      </c>
      <c r="J1283" s="62">
        <f>'BIỂU HỢP ĐỒNG'!J1109</f>
        <v>23857393</v>
      </c>
      <c r="K1283" s="43"/>
      <c r="L1283" s="62">
        <f t="shared" si="315"/>
        <v>29132263</v>
      </c>
      <c r="M1283" s="77">
        <f t="shared" si="316"/>
        <v>0</v>
      </c>
      <c r="N1283" s="43">
        <f t="shared" si="317"/>
        <v>0</v>
      </c>
      <c r="O1283" s="43">
        <f t="shared" si="318"/>
        <v>0</v>
      </c>
      <c r="P1283" s="43">
        <f t="shared" si="302"/>
        <v>29132263</v>
      </c>
      <c r="Q1283" s="100"/>
      <c r="R1283" s="117"/>
    </row>
    <row r="1284" spans="1:18" x14ac:dyDescent="0.25">
      <c r="A1284" s="48" t="str">
        <f t="shared" si="303"/>
        <v>HT</v>
      </c>
      <c r="B1284" s="32" t="s">
        <v>1493</v>
      </c>
      <c r="C1284" s="39" t="s">
        <v>1473</v>
      </c>
      <c r="D1284" s="13" t="s">
        <v>16</v>
      </c>
      <c r="E1284" s="123">
        <v>345.8</v>
      </c>
      <c r="F1284" s="136"/>
      <c r="G1284" s="125"/>
      <c r="H1284" s="125"/>
      <c r="I1284" s="125">
        <f t="shared" si="314"/>
        <v>345.8</v>
      </c>
      <c r="J1284" s="62">
        <f>'BIỂU HỢP ĐỒNG'!J1110</f>
        <v>2500986</v>
      </c>
      <c r="K1284" s="43"/>
      <c r="L1284" s="62">
        <f t="shared" si="315"/>
        <v>864840959</v>
      </c>
      <c r="M1284" s="77">
        <f t="shared" si="316"/>
        <v>0</v>
      </c>
      <c r="N1284" s="43">
        <f t="shared" si="317"/>
        <v>0</v>
      </c>
      <c r="O1284" s="43">
        <f t="shared" si="318"/>
        <v>0</v>
      </c>
      <c r="P1284" s="43">
        <f t="shared" ref="P1284:P1347" si="319">SUM(L1284:O1284)</f>
        <v>864840959</v>
      </c>
      <c r="Q1284" s="100"/>
      <c r="R1284" s="117"/>
    </row>
    <row r="1285" spans="1:18" x14ac:dyDescent="0.25">
      <c r="A1285" s="48" t="str">
        <f t="shared" si="303"/>
        <v>HT</v>
      </c>
      <c r="B1285" s="32" t="s">
        <v>1494</v>
      </c>
      <c r="C1285" s="39" t="s">
        <v>1475</v>
      </c>
      <c r="D1285" s="13" t="s">
        <v>13</v>
      </c>
      <c r="E1285" s="123">
        <v>1888.6438000000001</v>
      </c>
      <c r="F1285" s="136"/>
      <c r="G1285" s="125"/>
      <c r="H1285" s="125"/>
      <c r="I1285" s="125">
        <f t="shared" si="314"/>
        <v>1888.6438000000001</v>
      </c>
      <c r="J1285" s="62">
        <f>'BIỂU HỢP ĐỒNG'!J1111</f>
        <v>276887</v>
      </c>
      <c r="K1285" s="43"/>
      <c r="L1285" s="62">
        <f t="shared" si="315"/>
        <v>522940916</v>
      </c>
      <c r="M1285" s="77">
        <f t="shared" si="316"/>
        <v>0</v>
      </c>
      <c r="N1285" s="43">
        <f t="shared" si="317"/>
        <v>0</v>
      </c>
      <c r="O1285" s="43">
        <f t="shared" si="318"/>
        <v>0</v>
      </c>
      <c r="P1285" s="43">
        <f t="shared" si="319"/>
        <v>522940916</v>
      </c>
      <c r="Q1285" s="100"/>
      <c r="R1285" s="117"/>
    </row>
    <row r="1286" spans="1:18" x14ac:dyDescent="0.25">
      <c r="A1286" s="48" t="str">
        <f t="shared" si="303"/>
        <v>HT</v>
      </c>
      <c r="B1286" s="32" t="s">
        <v>1495</v>
      </c>
      <c r="C1286" s="39" t="s">
        <v>1477</v>
      </c>
      <c r="D1286" s="13" t="s">
        <v>16</v>
      </c>
      <c r="E1286" s="123">
        <v>350.98700000000002</v>
      </c>
      <c r="F1286" s="136"/>
      <c r="G1286" s="125"/>
      <c r="H1286" s="125"/>
      <c r="I1286" s="125">
        <f t="shared" si="314"/>
        <v>350.98700000000002</v>
      </c>
      <c r="J1286" s="62">
        <f>'BIỂU HỢP ĐỒNG'!J1112</f>
        <v>57102</v>
      </c>
      <c r="K1286" s="43"/>
      <c r="L1286" s="62">
        <f t="shared" si="315"/>
        <v>20042060</v>
      </c>
      <c r="M1286" s="77">
        <f t="shared" si="316"/>
        <v>0</v>
      </c>
      <c r="N1286" s="43">
        <f t="shared" si="317"/>
        <v>0</v>
      </c>
      <c r="O1286" s="43">
        <f t="shared" si="318"/>
        <v>0</v>
      </c>
      <c r="P1286" s="43">
        <f t="shared" si="319"/>
        <v>20042060</v>
      </c>
      <c r="Q1286" s="100"/>
      <c r="R1286" s="117"/>
    </row>
    <row r="1287" spans="1:18" x14ac:dyDescent="0.25">
      <c r="A1287" s="48" t="str">
        <f t="shared" ref="A1287:A1350" si="320">A1286</f>
        <v>HT</v>
      </c>
      <c r="B1287" s="32" t="s">
        <v>1496</v>
      </c>
      <c r="C1287" s="39" t="s">
        <v>562</v>
      </c>
      <c r="D1287" s="13" t="s">
        <v>16</v>
      </c>
      <c r="E1287" s="123">
        <v>350.99</v>
      </c>
      <c r="F1287" s="136"/>
      <c r="G1287" s="125"/>
      <c r="H1287" s="125"/>
      <c r="I1287" s="125">
        <f t="shared" si="314"/>
        <v>350.99</v>
      </c>
      <c r="J1287" s="62">
        <f>'BIỂU HỢP ĐỒNG'!J1113</f>
        <v>285443</v>
      </c>
      <c r="K1287" s="43"/>
      <c r="L1287" s="62">
        <f t="shared" si="315"/>
        <v>100187639</v>
      </c>
      <c r="M1287" s="77">
        <f t="shared" si="316"/>
        <v>0</v>
      </c>
      <c r="N1287" s="43">
        <f t="shared" si="317"/>
        <v>0</v>
      </c>
      <c r="O1287" s="43">
        <f t="shared" si="318"/>
        <v>0</v>
      </c>
      <c r="P1287" s="43">
        <f t="shared" si="319"/>
        <v>100187639</v>
      </c>
      <c r="Q1287" s="100"/>
      <c r="R1287" s="117"/>
    </row>
    <row r="1288" spans="1:18" x14ac:dyDescent="0.25">
      <c r="A1288" s="48" t="str">
        <f t="shared" si="320"/>
        <v>HT</v>
      </c>
      <c r="B1288" s="32" t="s">
        <v>1497</v>
      </c>
      <c r="C1288" s="39" t="s">
        <v>1498</v>
      </c>
      <c r="D1288" s="13" t="s">
        <v>75</v>
      </c>
      <c r="E1288" s="123">
        <v>2291.8560000000002</v>
      </c>
      <c r="F1288" s="136"/>
      <c r="G1288" s="125"/>
      <c r="H1288" s="125"/>
      <c r="I1288" s="125">
        <f t="shared" si="314"/>
        <v>2291.8560000000002</v>
      </c>
      <c r="J1288" s="62">
        <f>'BIỂU HỢP ĐỒNG'!J1114</f>
        <v>193720</v>
      </c>
      <c r="K1288" s="43"/>
      <c r="L1288" s="62">
        <f t="shared" si="315"/>
        <v>443978344</v>
      </c>
      <c r="M1288" s="77">
        <f t="shared" si="316"/>
        <v>0</v>
      </c>
      <c r="N1288" s="43">
        <f t="shared" si="317"/>
        <v>0</v>
      </c>
      <c r="O1288" s="43">
        <f t="shared" si="318"/>
        <v>0</v>
      </c>
      <c r="P1288" s="43">
        <f t="shared" si="319"/>
        <v>443978344</v>
      </c>
      <c r="Q1288" s="100"/>
      <c r="R1288" s="117"/>
    </row>
    <row r="1289" spans="1:18" x14ac:dyDescent="0.25">
      <c r="A1289" s="48" t="str">
        <f t="shared" si="320"/>
        <v>HT</v>
      </c>
      <c r="B1289" s="32" t="s">
        <v>1499</v>
      </c>
      <c r="C1289" s="39" t="s">
        <v>1482</v>
      </c>
      <c r="D1289" s="13" t="s">
        <v>16</v>
      </c>
      <c r="E1289" s="123">
        <v>10.122</v>
      </c>
      <c r="F1289" s="136"/>
      <c r="G1289" s="125"/>
      <c r="H1289" s="125"/>
      <c r="I1289" s="125">
        <f t="shared" si="314"/>
        <v>10.122</v>
      </c>
      <c r="J1289" s="62">
        <f>'BIỂU HỢP ĐỒNG'!J1115</f>
        <v>17104447</v>
      </c>
      <c r="K1289" s="43"/>
      <c r="L1289" s="62">
        <f t="shared" si="315"/>
        <v>173131213</v>
      </c>
      <c r="M1289" s="77">
        <f t="shared" si="316"/>
        <v>0</v>
      </c>
      <c r="N1289" s="43">
        <f t="shared" si="317"/>
        <v>0</v>
      </c>
      <c r="O1289" s="43">
        <f t="shared" si="318"/>
        <v>0</v>
      </c>
      <c r="P1289" s="43">
        <f t="shared" si="319"/>
        <v>173131213</v>
      </c>
      <c r="Q1289" s="100"/>
      <c r="R1289" s="117"/>
    </row>
    <row r="1290" spans="1:18" x14ac:dyDescent="0.25">
      <c r="A1290" s="48" t="str">
        <f t="shared" si="320"/>
        <v>HT</v>
      </c>
      <c r="B1290" s="32" t="s">
        <v>1500</v>
      </c>
      <c r="C1290" s="39" t="s">
        <v>1501</v>
      </c>
      <c r="D1290" s="13" t="s">
        <v>1485</v>
      </c>
      <c r="E1290" s="123">
        <v>140</v>
      </c>
      <c r="F1290" s="136"/>
      <c r="G1290" s="125"/>
      <c r="H1290" s="125"/>
      <c r="I1290" s="125">
        <f t="shared" si="314"/>
        <v>140</v>
      </c>
      <c r="J1290" s="62">
        <f>'BIỂU HỢP ĐỒNG'!J1116</f>
        <v>1265707</v>
      </c>
      <c r="K1290" s="43"/>
      <c r="L1290" s="62">
        <f t="shared" si="315"/>
        <v>177198980</v>
      </c>
      <c r="M1290" s="77">
        <f t="shared" si="316"/>
        <v>0</v>
      </c>
      <c r="N1290" s="43">
        <f t="shared" si="317"/>
        <v>0</v>
      </c>
      <c r="O1290" s="43">
        <f t="shared" si="318"/>
        <v>0</v>
      </c>
      <c r="P1290" s="43">
        <f t="shared" si="319"/>
        <v>177198980</v>
      </c>
      <c r="Q1290" s="100"/>
      <c r="R1290" s="117"/>
    </row>
    <row r="1291" spans="1:18" x14ac:dyDescent="0.25">
      <c r="A1291" s="48" t="str">
        <f t="shared" si="320"/>
        <v>HT</v>
      </c>
      <c r="B1291" s="32" t="s">
        <v>1502</v>
      </c>
      <c r="C1291" s="39" t="s">
        <v>1487</v>
      </c>
      <c r="D1291" s="13" t="s">
        <v>90</v>
      </c>
      <c r="E1291" s="123">
        <v>1.8133999999999999</v>
      </c>
      <c r="F1291" s="136"/>
      <c r="G1291" s="125"/>
      <c r="H1291" s="125"/>
      <c r="I1291" s="125">
        <f t="shared" si="314"/>
        <v>1.8133999999999999</v>
      </c>
      <c r="J1291" s="62">
        <f>'BIỂU HỢP ĐỒNG'!J1117</f>
        <v>31912360</v>
      </c>
      <c r="K1291" s="43"/>
      <c r="L1291" s="62">
        <f t="shared" si="315"/>
        <v>57869874</v>
      </c>
      <c r="M1291" s="77">
        <f t="shared" si="316"/>
        <v>0</v>
      </c>
      <c r="N1291" s="43">
        <f t="shared" si="317"/>
        <v>0</v>
      </c>
      <c r="O1291" s="43">
        <f t="shared" si="318"/>
        <v>0</v>
      </c>
      <c r="P1291" s="43">
        <f t="shared" si="319"/>
        <v>57869874</v>
      </c>
      <c r="Q1291" s="100"/>
      <c r="R1291" s="117"/>
    </row>
    <row r="1292" spans="1:18" x14ac:dyDescent="0.25">
      <c r="A1292" s="48" t="str">
        <f t="shared" si="320"/>
        <v>HT</v>
      </c>
      <c r="B1292" s="32" t="s">
        <v>1503</v>
      </c>
      <c r="C1292" s="39" t="s">
        <v>1489</v>
      </c>
      <c r="D1292" s="13" t="s">
        <v>90</v>
      </c>
      <c r="E1292" s="123">
        <v>1.8133999999999999</v>
      </c>
      <c r="F1292" s="136"/>
      <c r="G1292" s="125"/>
      <c r="H1292" s="125"/>
      <c r="I1292" s="125">
        <f t="shared" si="314"/>
        <v>1.8133999999999999</v>
      </c>
      <c r="J1292" s="62">
        <f>'BIỂU HỢP ĐỒNG'!J1118</f>
        <v>5329201</v>
      </c>
      <c r="K1292" s="43"/>
      <c r="L1292" s="62">
        <f t="shared" si="315"/>
        <v>9663973</v>
      </c>
      <c r="M1292" s="77">
        <f t="shared" si="316"/>
        <v>0</v>
      </c>
      <c r="N1292" s="43">
        <f t="shared" si="317"/>
        <v>0</v>
      </c>
      <c r="O1292" s="43">
        <f t="shared" si="318"/>
        <v>0</v>
      </c>
      <c r="P1292" s="43">
        <f t="shared" si="319"/>
        <v>9663973</v>
      </c>
      <c r="Q1292" s="100"/>
      <c r="R1292" s="117"/>
    </row>
    <row r="1293" spans="1:18" x14ac:dyDescent="0.25">
      <c r="A1293" s="48" t="str">
        <f t="shared" si="320"/>
        <v>HT</v>
      </c>
      <c r="B1293" s="32" t="s">
        <v>1504</v>
      </c>
      <c r="C1293" s="39" t="s">
        <v>1505</v>
      </c>
      <c r="D1293" s="13" t="s">
        <v>16</v>
      </c>
      <c r="E1293" s="123">
        <v>71.193600000000004</v>
      </c>
      <c r="F1293" s="136"/>
      <c r="G1293" s="125"/>
      <c r="H1293" s="125"/>
      <c r="I1293" s="125">
        <f t="shared" si="314"/>
        <v>71.193600000000004</v>
      </c>
      <c r="J1293" s="62">
        <f>'BIỂU HỢP ĐỒNG'!J1119</f>
        <v>2021360</v>
      </c>
      <c r="K1293" s="43"/>
      <c r="L1293" s="62">
        <f t="shared" si="315"/>
        <v>143907895</v>
      </c>
      <c r="M1293" s="77">
        <f t="shared" si="316"/>
        <v>0</v>
      </c>
      <c r="N1293" s="43">
        <f t="shared" si="317"/>
        <v>0</v>
      </c>
      <c r="O1293" s="43">
        <f t="shared" si="318"/>
        <v>0</v>
      </c>
      <c r="P1293" s="43">
        <f t="shared" si="319"/>
        <v>143907895</v>
      </c>
      <c r="Q1293" s="100"/>
      <c r="R1293" s="117"/>
    </row>
    <row r="1294" spans="1:18" x14ac:dyDescent="0.25">
      <c r="A1294" s="48" t="str">
        <f t="shared" si="320"/>
        <v>HT</v>
      </c>
      <c r="B1294" s="32" t="s">
        <v>1506</v>
      </c>
      <c r="C1294" s="39" t="s">
        <v>1477</v>
      </c>
      <c r="D1294" s="13" t="s">
        <v>16</v>
      </c>
      <c r="E1294" s="123">
        <v>72.261499999999998</v>
      </c>
      <c r="F1294" s="136"/>
      <c r="G1294" s="125"/>
      <c r="H1294" s="125"/>
      <c r="I1294" s="125">
        <f t="shared" si="314"/>
        <v>72.261499999999998</v>
      </c>
      <c r="J1294" s="62">
        <f>'BIỂU HỢP ĐỒNG'!J1120</f>
        <v>57102</v>
      </c>
      <c r="K1294" s="43"/>
      <c r="L1294" s="62">
        <f t="shared" si="315"/>
        <v>4126276</v>
      </c>
      <c r="M1294" s="77">
        <f t="shared" si="316"/>
        <v>0</v>
      </c>
      <c r="N1294" s="43">
        <f t="shared" si="317"/>
        <v>0</v>
      </c>
      <c r="O1294" s="43">
        <f t="shared" si="318"/>
        <v>0</v>
      </c>
      <c r="P1294" s="43">
        <f t="shared" si="319"/>
        <v>4126276</v>
      </c>
      <c r="Q1294" s="100"/>
      <c r="R1294" s="117"/>
    </row>
    <row r="1295" spans="1:18" x14ac:dyDescent="0.25">
      <c r="A1295" s="48" t="str">
        <f t="shared" si="320"/>
        <v>HT</v>
      </c>
      <c r="B1295" s="32" t="s">
        <v>1507</v>
      </c>
      <c r="C1295" s="39" t="s">
        <v>562</v>
      </c>
      <c r="D1295" s="13" t="s">
        <v>16</v>
      </c>
      <c r="E1295" s="123">
        <v>72.261499999999998</v>
      </c>
      <c r="F1295" s="136"/>
      <c r="G1295" s="125"/>
      <c r="H1295" s="125"/>
      <c r="I1295" s="125">
        <f t="shared" si="314"/>
        <v>72.261499999999998</v>
      </c>
      <c r="J1295" s="62">
        <f>'BIỂU HỢP ĐỒNG'!J1121</f>
        <v>285443</v>
      </c>
      <c r="K1295" s="43"/>
      <c r="L1295" s="62">
        <f t="shared" si="315"/>
        <v>20626539</v>
      </c>
      <c r="M1295" s="77">
        <f t="shared" si="316"/>
        <v>0</v>
      </c>
      <c r="N1295" s="43">
        <f t="shared" si="317"/>
        <v>0</v>
      </c>
      <c r="O1295" s="43">
        <f t="shared" si="318"/>
        <v>0</v>
      </c>
      <c r="P1295" s="43">
        <f t="shared" si="319"/>
        <v>20626539</v>
      </c>
      <c r="Q1295" s="100"/>
      <c r="R1295" s="117"/>
    </row>
    <row r="1296" spans="1:18" ht="31.5" customHeight="1" x14ac:dyDescent="0.25">
      <c r="A1296" s="48" t="str">
        <f t="shared" si="320"/>
        <v>HT</v>
      </c>
      <c r="B1296" s="32" t="s">
        <v>1508</v>
      </c>
      <c r="C1296" s="39" t="s">
        <v>1509</v>
      </c>
      <c r="D1296" s="13" t="s">
        <v>13</v>
      </c>
      <c r="E1296" s="123">
        <v>96.896000000000001</v>
      </c>
      <c r="F1296" s="136"/>
      <c r="G1296" s="125"/>
      <c r="H1296" s="125"/>
      <c r="I1296" s="125">
        <f t="shared" si="314"/>
        <v>96.896000000000001</v>
      </c>
      <c r="J1296" s="62">
        <f>'BIỂU HỢP ĐỒNG'!J1122</f>
        <v>65242</v>
      </c>
      <c r="K1296" s="43"/>
      <c r="L1296" s="62">
        <f t="shared" si="315"/>
        <v>6321689</v>
      </c>
      <c r="M1296" s="77">
        <f t="shared" si="316"/>
        <v>0</v>
      </c>
      <c r="N1296" s="43">
        <f t="shared" si="317"/>
        <v>0</v>
      </c>
      <c r="O1296" s="43">
        <f t="shared" si="318"/>
        <v>0</v>
      </c>
      <c r="P1296" s="43">
        <f t="shared" si="319"/>
        <v>6321689</v>
      </c>
      <c r="Q1296" s="100"/>
      <c r="R1296" s="117"/>
    </row>
    <row r="1297" spans="1:18" x14ac:dyDescent="0.25">
      <c r="A1297" s="48" t="str">
        <f t="shared" si="320"/>
        <v>HT</v>
      </c>
      <c r="B1297" s="32" t="s">
        <v>1510</v>
      </c>
      <c r="C1297" s="39" t="s">
        <v>1511</v>
      </c>
      <c r="D1297" s="13" t="s">
        <v>90</v>
      </c>
      <c r="E1297" s="123">
        <v>9.2763000000000009</v>
      </c>
      <c r="F1297" s="136"/>
      <c r="G1297" s="125"/>
      <c r="H1297" s="125"/>
      <c r="I1297" s="125">
        <f t="shared" si="314"/>
        <v>9.2763000000000009</v>
      </c>
      <c r="J1297" s="62">
        <f>'BIỂU HỢP ĐỒNG'!J1123</f>
        <v>25285548</v>
      </c>
      <c r="K1297" s="43"/>
      <c r="L1297" s="62">
        <f t="shared" si="315"/>
        <v>234556329</v>
      </c>
      <c r="M1297" s="77">
        <f t="shared" si="316"/>
        <v>0</v>
      </c>
      <c r="N1297" s="43">
        <f t="shared" si="317"/>
        <v>0</v>
      </c>
      <c r="O1297" s="43">
        <f t="shared" si="318"/>
        <v>0</v>
      </c>
      <c r="P1297" s="43">
        <f t="shared" si="319"/>
        <v>234556329</v>
      </c>
      <c r="Q1297" s="100"/>
      <c r="R1297" s="117"/>
    </row>
    <row r="1298" spans="1:18" x14ac:dyDescent="0.25">
      <c r="A1298" s="48" t="str">
        <f t="shared" si="320"/>
        <v>HT</v>
      </c>
      <c r="B1298" s="32" t="s">
        <v>1512</v>
      </c>
      <c r="C1298" s="39" t="s">
        <v>1513</v>
      </c>
      <c r="D1298" s="13" t="s">
        <v>90</v>
      </c>
      <c r="E1298" s="123">
        <v>3.1655000000000002</v>
      </c>
      <c r="F1298" s="136"/>
      <c r="G1298" s="125"/>
      <c r="H1298" s="125"/>
      <c r="I1298" s="125">
        <f t="shared" si="314"/>
        <v>3.1655000000000002</v>
      </c>
      <c r="J1298" s="62">
        <f>'BIỂU HỢP ĐỒNG'!J1124</f>
        <v>25011283</v>
      </c>
      <c r="K1298" s="43"/>
      <c r="L1298" s="62">
        <f t="shared" si="315"/>
        <v>79173216</v>
      </c>
      <c r="M1298" s="77">
        <f t="shared" si="316"/>
        <v>0</v>
      </c>
      <c r="N1298" s="43">
        <f t="shared" si="317"/>
        <v>0</v>
      </c>
      <c r="O1298" s="43">
        <f t="shared" si="318"/>
        <v>0</v>
      </c>
      <c r="P1298" s="43">
        <f t="shared" si="319"/>
        <v>79173216</v>
      </c>
      <c r="Q1298" s="100"/>
      <c r="R1298" s="117"/>
    </row>
    <row r="1299" spans="1:18" x14ac:dyDescent="0.25">
      <c r="A1299" s="48" t="str">
        <f t="shared" si="320"/>
        <v>HT</v>
      </c>
      <c r="B1299" s="32" t="s">
        <v>1514</v>
      </c>
      <c r="C1299" s="39" t="s">
        <v>1515</v>
      </c>
      <c r="D1299" s="13" t="s">
        <v>16</v>
      </c>
      <c r="E1299" s="123">
        <v>97.241900000000001</v>
      </c>
      <c r="F1299" s="136"/>
      <c r="G1299" s="125"/>
      <c r="H1299" s="125"/>
      <c r="I1299" s="125">
        <f t="shared" si="314"/>
        <v>97.241900000000001</v>
      </c>
      <c r="J1299" s="62">
        <f>'BIỂU HỢP ĐỒNG'!J1125</f>
        <v>1719728</v>
      </c>
      <c r="K1299" s="43"/>
      <c r="L1299" s="62">
        <f t="shared" si="315"/>
        <v>167229618</v>
      </c>
      <c r="M1299" s="77">
        <f t="shared" si="316"/>
        <v>0</v>
      </c>
      <c r="N1299" s="43">
        <f t="shared" si="317"/>
        <v>0</v>
      </c>
      <c r="O1299" s="43">
        <f t="shared" si="318"/>
        <v>0</v>
      </c>
      <c r="P1299" s="43">
        <f t="shared" si="319"/>
        <v>167229618</v>
      </c>
      <c r="Q1299" s="100"/>
      <c r="R1299" s="117"/>
    </row>
    <row r="1300" spans="1:18" x14ac:dyDescent="0.25">
      <c r="A1300" s="48" t="str">
        <f t="shared" si="320"/>
        <v>HT</v>
      </c>
      <c r="B1300" s="32" t="s">
        <v>1516</v>
      </c>
      <c r="C1300" s="39" t="s">
        <v>1517</v>
      </c>
      <c r="D1300" s="13" t="s">
        <v>90</v>
      </c>
      <c r="E1300" s="123">
        <v>15.8626</v>
      </c>
      <c r="F1300" s="136"/>
      <c r="G1300" s="125"/>
      <c r="H1300" s="125"/>
      <c r="I1300" s="125">
        <f t="shared" si="314"/>
        <v>15.8626</v>
      </c>
      <c r="J1300" s="62">
        <f>'BIỂU HỢP ĐỒNG'!J1126</f>
        <v>27101433</v>
      </c>
      <c r="K1300" s="43"/>
      <c r="L1300" s="62">
        <f t="shared" si="315"/>
        <v>429899191</v>
      </c>
      <c r="M1300" s="77">
        <f t="shared" si="316"/>
        <v>0</v>
      </c>
      <c r="N1300" s="43">
        <f t="shared" si="317"/>
        <v>0</v>
      </c>
      <c r="O1300" s="43">
        <f t="shared" si="318"/>
        <v>0</v>
      </c>
      <c r="P1300" s="43">
        <f t="shared" si="319"/>
        <v>429899191</v>
      </c>
      <c r="Q1300" s="100"/>
      <c r="R1300" s="117"/>
    </row>
    <row r="1301" spans="1:18" x14ac:dyDescent="0.25">
      <c r="A1301" s="48" t="str">
        <f t="shared" si="320"/>
        <v>HT</v>
      </c>
      <c r="B1301" s="32" t="s">
        <v>1518</v>
      </c>
      <c r="C1301" s="39" t="s">
        <v>1519</v>
      </c>
      <c r="D1301" s="13" t="s">
        <v>13</v>
      </c>
      <c r="E1301" s="123">
        <v>519.3048</v>
      </c>
      <c r="F1301" s="136"/>
      <c r="G1301" s="125"/>
      <c r="H1301" s="125"/>
      <c r="I1301" s="125">
        <f t="shared" si="314"/>
        <v>519.3048</v>
      </c>
      <c r="J1301" s="62">
        <f>'BIỂU HỢP ĐỒNG'!J1127</f>
        <v>86606</v>
      </c>
      <c r="K1301" s="43"/>
      <c r="L1301" s="62">
        <f t="shared" si="315"/>
        <v>44974912</v>
      </c>
      <c r="M1301" s="77">
        <f t="shared" si="316"/>
        <v>0</v>
      </c>
      <c r="N1301" s="43">
        <f t="shared" ref="N1301:N1332" si="321">+ROUND(G1301*J1301,0)</f>
        <v>0</v>
      </c>
      <c r="O1301" s="43">
        <f t="shared" si="318"/>
        <v>0</v>
      </c>
      <c r="P1301" s="43">
        <f t="shared" si="319"/>
        <v>44974912</v>
      </c>
      <c r="Q1301" s="100"/>
      <c r="R1301" s="117"/>
    </row>
    <row r="1302" spans="1:18" x14ac:dyDescent="0.25">
      <c r="A1302" s="48" t="str">
        <f t="shared" si="320"/>
        <v>HT</v>
      </c>
      <c r="B1302" s="32" t="s">
        <v>1520</v>
      </c>
      <c r="C1302" s="39" t="s">
        <v>1521</v>
      </c>
      <c r="D1302" s="13" t="s">
        <v>297</v>
      </c>
      <c r="E1302" s="123">
        <v>1584</v>
      </c>
      <c r="F1302" s="136"/>
      <c r="G1302" s="125"/>
      <c r="H1302" s="125"/>
      <c r="I1302" s="125">
        <f t="shared" si="314"/>
        <v>1584</v>
      </c>
      <c r="J1302" s="62">
        <f>'BIỂU HỢP ĐỒNG'!J1128</f>
        <v>36395</v>
      </c>
      <c r="K1302" s="43"/>
      <c r="L1302" s="62">
        <f t="shared" si="315"/>
        <v>57649680</v>
      </c>
      <c r="M1302" s="77">
        <f t="shared" si="316"/>
        <v>0</v>
      </c>
      <c r="N1302" s="43">
        <f t="shared" si="321"/>
        <v>0</v>
      </c>
      <c r="O1302" s="43">
        <f t="shared" si="318"/>
        <v>0</v>
      </c>
      <c r="P1302" s="43">
        <f t="shared" si="319"/>
        <v>57649680</v>
      </c>
      <c r="Q1302" s="100"/>
      <c r="R1302" s="117"/>
    </row>
    <row r="1303" spans="1:18" ht="47.25" customHeight="1" x14ac:dyDescent="0.25">
      <c r="A1303" s="48" t="str">
        <f t="shared" si="320"/>
        <v>HT</v>
      </c>
      <c r="B1303" s="32" t="s">
        <v>1522</v>
      </c>
      <c r="C1303" s="39" t="s">
        <v>249</v>
      </c>
      <c r="D1303" s="13" t="s">
        <v>250</v>
      </c>
      <c r="E1303" s="123">
        <v>1584</v>
      </c>
      <c r="F1303" s="136"/>
      <c r="G1303" s="125"/>
      <c r="H1303" s="125"/>
      <c r="I1303" s="125">
        <f t="shared" si="314"/>
        <v>1584</v>
      </c>
      <c r="J1303" s="62">
        <f>'BIỂU HỢP ĐỒNG'!J1129</f>
        <v>52812</v>
      </c>
      <c r="K1303" s="43"/>
      <c r="L1303" s="62">
        <f t="shared" si="315"/>
        <v>83654208</v>
      </c>
      <c r="M1303" s="77">
        <f t="shared" si="316"/>
        <v>0</v>
      </c>
      <c r="N1303" s="43">
        <f t="shared" si="321"/>
        <v>0</v>
      </c>
      <c r="O1303" s="43">
        <f t="shared" si="318"/>
        <v>0</v>
      </c>
      <c r="P1303" s="43">
        <f t="shared" si="319"/>
        <v>83654208</v>
      </c>
      <c r="Q1303" s="100"/>
      <c r="R1303" s="117"/>
    </row>
    <row r="1304" spans="1:18" ht="47.25" customHeight="1" x14ac:dyDescent="0.25">
      <c r="A1304" s="48" t="str">
        <f t="shared" si="320"/>
        <v>HT</v>
      </c>
      <c r="B1304" s="32" t="s">
        <v>1523</v>
      </c>
      <c r="C1304" s="39" t="s">
        <v>255</v>
      </c>
      <c r="D1304" s="13" t="s">
        <v>250</v>
      </c>
      <c r="E1304" s="123">
        <v>1584</v>
      </c>
      <c r="F1304" s="136"/>
      <c r="G1304" s="125"/>
      <c r="H1304" s="125"/>
      <c r="I1304" s="125">
        <f t="shared" si="314"/>
        <v>1584</v>
      </c>
      <c r="J1304" s="62">
        <f>'BIỂU HỢP ĐỒNG'!J1130</f>
        <v>42761</v>
      </c>
      <c r="K1304" s="43"/>
      <c r="L1304" s="62">
        <f t="shared" si="315"/>
        <v>67733424</v>
      </c>
      <c r="M1304" s="77">
        <f t="shared" si="316"/>
        <v>0</v>
      </c>
      <c r="N1304" s="43">
        <f t="shared" si="321"/>
        <v>0</v>
      </c>
      <c r="O1304" s="43">
        <f t="shared" si="318"/>
        <v>0</v>
      </c>
      <c r="P1304" s="43">
        <f t="shared" si="319"/>
        <v>67733424</v>
      </c>
      <c r="Q1304" s="100"/>
      <c r="R1304" s="117"/>
    </row>
    <row r="1305" spans="1:18" ht="31.5" customHeight="1" x14ac:dyDescent="0.25">
      <c r="A1305" s="48" t="str">
        <f t="shared" si="320"/>
        <v>HT</v>
      </c>
      <c r="B1305" s="32" t="s">
        <v>1524</v>
      </c>
      <c r="C1305" s="39" t="s">
        <v>284</v>
      </c>
      <c r="D1305" s="13" t="s">
        <v>253</v>
      </c>
      <c r="E1305" s="123">
        <v>24.310500000000001</v>
      </c>
      <c r="F1305" s="136"/>
      <c r="G1305" s="125"/>
      <c r="H1305" s="125"/>
      <c r="I1305" s="125">
        <f t="shared" si="314"/>
        <v>24.310500000000001</v>
      </c>
      <c r="J1305" s="62">
        <f>'BIỂU HỢP ĐỒNG'!J1131</f>
        <v>36271</v>
      </c>
      <c r="K1305" s="43"/>
      <c r="L1305" s="62">
        <f t="shared" si="315"/>
        <v>881766</v>
      </c>
      <c r="M1305" s="77">
        <f t="shared" si="316"/>
        <v>0</v>
      </c>
      <c r="N1305" s="43">
        <f t="shared" si="321"/>
        <v>0</v>
      </c>
      <c r="O1305" s="43">
        <f t="shared" si="318"/>
        <v>0</v>
      </c>
      <c r="P1305" s="43">
        <f t="shared" si="319"/>
        <v>881766</v>
      </c>
      <c r="Q1305" s="100"/>
      <c r="R1305" s="117"/>
    </row>
    <row r="1306" spans="1:18" ht="31.5" customHeight="1" x14ac:dyDescent="0.25">
      <c r="A1306" s="48" t="str">
        <f t="shared" si="320"/>
        <v>HT</v>
      </c>
      <c r="B1306" s="32" t="s">
        <v>1525</v>
      </c>
      <c r="C1306" s="39" t="s">
        <v>1526</v>
      </c>
      <c r="D1306" s="13" t="s">
        <v>16</v>
      </c>
      <c r="E1306" s="123">
        <v>438.16590000000002</v>
      </c>
      <c r="F1306" s="136"/>
      <c r="G1306" s="125"/>
      <c r="H1306" s="125"/>
      <c r="I1306" s="125">
        <f t="shared" si="314"/>
        <v>438.16590000000002</v>
      </c>
      <c r="J1306" s="62">
        <f>'BIỂU HỢP ĐỒNG'!J1132</f>
        <v>1785388</v>
      </c>
      <c r="K1306" s="43"/>
      <c r="L1306" s="62">
        <f t="shared" si="315"/>
        <v>782296140</v>
      </c>
      <c r="M1306" s="77">
        <f t="shared" si="316"/>
        <v>0</v>
      </c>
      <c r="N1306" s="43">
        <f t="shared" si="321"/>
        <v>0</v>
      </c>
      <c r="O1306" s="43">
        <f t="shared" si="318"/>
        <v>0</v>
      </c>
      <c r="P1306" s="43">
        <f t="shared" si="319"/>
        <v>782296140</v>
      </c>
      <c r="Q1306" s="100"/>
      <c r="R1306" s="117"/>
    </row>
    <row r="1307" spans="1:18" x14ac:dyDescent="0.25">
      <c r="A1307" s="48" t="str">
        <f t="shared" si="320"/>
        <v>HT</v>
      </c>
      <c r="B1307" s="32" t="s">
        <v>1527</v>
      </c>
      <c r="C1307" s="39" t="s">
        <v>1477</v>
      </c>
      <c r="D1307" s="13" t="s">
        <v>16</v>
      </c>
      <c r="E1307" s="123">
        <v>444.73840000000001</v>
      </c>
      <c r="F1307" s="136"/>
      <c r="G1307" s="125"/>
      <c r="H1307" s="125"/>
      <c r="I1307" s="125">
        <f t="shared" si="314"/>
        <v>444.73840000000001</v>
      </c>
      <c r="J1307" s="62">
        <f>'BIỂU HỢP ĐỒNG'!J1133</f>
        <v>57102</v>
      </c>
      <c r="K1307" s="43"/>
      <c r="L1307" s="62">
        <f t="shared" si="315"/>
        <v>25395452</v>
      </c>
      <c r="M1307" s="77">
        <f t="shared" si="316"/>
        <v>0</v>
      </c>
      <c r="N1307" s="43">
        <f t="shared" si="321"/>
        <v>0</v>
      </c>
      <c r="O1307" s="43">
        <f t="shared" si="318"/>
        <v>0</v>
      </c>
      <c r="P1307" s="43">
        <f t="shared" si="319"/>
        <v>25395452</v>
      </c>
      <c r="Q1307" s="100"/>
      <c r="R1307" s="117"/>
    </row>
    <row r="1308" spans="1:18" x14ac:dyDescent="0.25">
      <c r="A1308" s="48" t="str">
        <f t="shared" si="320"/>
        <v>HT</v>
      </c>
      <c r="B1308" s="32" t="s">
        <v>1528</v>
      </c>
      <c r="C1308" s="39" t="s">
        <v>562</v>
      </c>
      <c r="D1308" s="13" t="s">
        <v>16</v>
      </c>
      <c r="E1308" s="123">
        <v>444.73840000000001</v>
      </c>
      <c r="F1308" s="136"/>
      <c r="G1308" s="125"/>
      <c r="H1308" s="125"/>
      <c r="I1308" s="125">
        <f t="shared" si="314"/>
        <v>444.73840000000001</v>
      </c>
      <c r="J1308" s="62">
        <f>'BIỂU HỢP ĐỒNG'!J1134</f>
        <v>285443</v>
      </c>
      <c r="K1308" s="43"/>
      <c r="L1308" s="62">
        <f t="shared" si="315"/>
        <v>126947463</v>
      </c>
      <c r="M1308" s="77">
        <f t="shared" si="316"/>
        <v>0</v>
      </c>
      <c r="N1308" s="43">
        <f t="shared" si="321"/>
        <v>0</v>
      </c>
      <c r="O1308" s="43">
        <f t="shared" si="318"/>
        <v>0</v>
      </c>
      <c r="P1308" s="43">
        <f t="shared" si="319"/>
        <v>126947463</v>
      </c>
      <c r="Q1308" s="100"/>
      <c r="R1308" s="117"/>
    </row>
    <row r="1309" spans="1:18" x14ac:dyDescent="0.25">
      <c r="A1309" s="48" t="str">
        <f t="shared" si="320"/>
        <v>HT</v>
      </c>
      <c r="B1309" s="32" t="s">
        <v>1529</v>
      </c>
      <c r="C1309" s="39" t="s">
        <v>1530</v>
      </c>
      <c r="D1309" s="13" t="s">
        <v>90</v>
      </c>
      <c r="E1309" s="123">
        <v>0.97</v>
      </c>
      <c r="F1309" s="136"/>
      <c r="G1309" s="125"/>
      <c r="H1309" s="125"/>
      <c r="I1309" s="125">
        <f t="shared" si="314"/>
        <v>0.97</v>
      </c>
      <c r="J1309" s="62">
        <f>'BIỂU HỢP ĐỒNG'!J1135</f>
        <v>25032847</v>
      </c>
      <c r="K1309" s="43"/>
      <c r="L1309" s="62">
        <f t="shared" si="315"/>
        <v>24281862</v>
      </c>
      <c r="M1309" s="77">
        <f t="shared" si="316"/>
        <v>0</v>
      </c>
      <c r="N1309" s="43">
        <f t="shared" si="321"/>
        <v>0</v>
      </c>
      <c r="O1309" s="43">
        <f t="shared" si="318"/>
        <v>0</v>
      </c>
      <c r="P1309" s="43">
        <f t="shared" si="319"/>
        <v>24281862</v>
      </c>
      <c r="Q1309" s="100"/>
      <c r="R1309" s="117"/>
    </row>
    <row r="1310" spans="1:18" x14ac:dyDescent="0.25">
      <c r="A1310" s="48" t="str">
        <f t="shared" si="320"/>
        <v>HT</v>
      </c>
      <c r="B1310" s="32" t="s">
        <v>1531</v>
      </c>
      <c r="C1310" s="39" t="s">
        <v>1532</v>
      </c>
      <c r="D1310" s="13" t="s">
        <v>90</v>
      </c>
      <c r="E1310" s="123">
        <v>92.544399999999996</v>
      </c>
      <c r="F1310" s="136"/>
      <c r="G1310" s="125"/>
      <c r="H1310" s="125"/>
      <c r="I1310" s="125">
        <f t="shared" si="314"/>
        <v>92.544399999999996</v>
      </c>
      <c r="J1310" s="62">
        <f>'BIỂU HỢP ĐỒNG'!J1136</f>
        <v>25032847</v>
      </c>
      <c r="K1310" s="43"/>
      <c r="L1310" s="62">
        <f t="shared" si="315"/>
        <v>2316649806</v>
      </c>
      <c r="M1310" s="77">
        <f t="shared" si="316"/>
        <v>0</v>
      </c>
      <c r="N1310" s="43">
        <f t="shared" si="321"/>
        <v>0</v>
      </c>
      <c r="O1310" s="43">
        <f t="shared" si="318"/>
        <v>0</v>
      </c>
      <c r="P1310" s="43">
        <f t="shared" si="319"/>
        <v>2316649806</v>
      </c>
      <c r="Q1310" s="100"/>
      <c r="R1310" s="117"/>
    </row>
    <row r="1311" spans="1:18" x14ac:dyDescent="0.25">
      <c r="A1311" s="48" t="str">
        <f t="shared" si="320"/>
        <v>HT</v>
      </c>
      <c r="B1311" s="32" t="s">
        <v>1533</v>
      </c>
      <c r="C1311" s="39" t="s">
        <v>1534</v>
      </c>
      <c r="D1311" s="13" t="s">
        <v>90</v>
      </c>
      <c r="E1311" s="123">
        <v>9.2481000000000009</v>
      </c>
      <c r="F1311" s="136"/>
      <c r="G1311" s="125"/>
      <c r="H1311" s="125"/>
      <c r="I1311" s="125">
        <f t="shared" si="314"/>
        <v>9.2481000000000009</v>
      </c>
      <c r="J1311" s="62">
        <f>'BIỂU HỢP ĐỒNG'!J1137</f>
        <v>24337233</v>
      </c>
      <c r="K1311" s="43"/>
      <c r="L1311" s="62">
        <f t="shared" si="315"/>
        <v>225073165</v>
      </c>
      <c r="M1311" s="77">
        <f t="shared" si="316"/>
        <v>0</v>
      </c>
      <c r="N1311" s="43">
        <f t="shared" si="321"/>
        <v>0</v>
      </c>
      <c r="O1311" s="43">
        <f t="shared" si="318"/>
        <v>0</v>
      </c>
      <c r="P1311" s="43">
        <f t="shared" si="319"/>
        <v>225073165</v>
      </c>
      <c r="Q1311" s="100"/>
      <c r="R1311" s="117"/>
    </row>
    <row r="1312" spans="1:18" x14ac:dyDescent="0.25">
      <c r="A1312" s="48" t="str">
        <f t="shared" si="320"/>
        <v>HT</v>
      </c>
      <c r="B1312" s="32" t="s">
        <v>1535</v>
      </c>
      <c r="C1312" s="39" t="s">
        <v>1536</v>
      </c>
      <c r="D1312" s="13" t="s">
        <v>13</v>
      </c>
      <c r="E1312" s="123">
        <v>557.02480000000003</v>
      </c>
      <c r="F1312" s="136"/>
      <c r="G1312" s="125"/>
      <c r="H1312" s="125"/>
      <c r="I1312" s="125">
        <f t="shared" si="314"/>
        <v>557.02480000000003</v>
      </c>
      <c r="J1312" s="62">
        <f>'BIỂU HỢP ĐỒNG'!J1138</f>
        <v>65242</v>
      </c>
      <c r="K1312" s="43"/>
      <c r="L1312" s="62">
        <f t="shared" si="315"/>
        <v>36341412</v>
      </c>
      <c r="M1312" s="77">
        <f t="shared" si="316"/>
        <v>0</v>
      </c>
      <c r="N1312" s="43">
        <f t="shared" si="321"/>
        <v>0</v>
      </c>
      <c r="O1312" s="43">
        <f t="shared" si="318"/>
        <v>0</v>
      </c>
      <c r="P1312" s="43">
        <f t="shared" si="319"/>
        <v>36341412</v>
      </c>
      <c r="Q1312" s="100"/>
      <c r="R1312" s="117"/>
    </row>
    <row r="1313" spans="1:18" x14ac:dyDescent="0.25">
      <c r="A1313" s="48" t="str">
        <f t="shared" si="320"/>
        <v>HT</v>
      </c>
      <c r="B1313" s="32" t="s">
        <v>1537</v>
      </c>
      <c r="C1313" s="39" t="s">
        <v>1538</v>
      </c>
      <c r="D1313" s="13" t="s">
        <v>13</v>
      </c>
      <c r="E1313" s="123">
        <v>168</v>
      </c>
      <c r="F1313" s="136"/>
      <c r="G1313" s="125"/>
      <c r="H1313" s="125"/>
      <c r="I1313" s="125">
        <f t="shared" si="314"/>
        <v>168</v>
      </c>
      <c r="J1313" s="62">
        <f>'BIỂU HỢP ĐỒNG'!J1139</f>
        <v>103984</v>
      </c>
      <c r="K1313" s="43"/>
      <c r="L1313" s="62">
        <f t="shared" si="315"/>
        <v>17469312</v>
      </c>
      <c r="M1313" s="77">
        <f t="shared" si="316"/>
        <v>0</v>
      </c>
      <c r="N1313" s="43">
        <f t="shared" si="321"/>
        <v>0</v>
      </c>
      <c r="O1313" s="43">
        <f t="shared" si="318"/>
        <v>0</v>
      </c>
      <c r="P1313" s="43">
        <f t="shared" si="319"/>
        <v>17469312</v>
      </c>
      <c r="Q1313" s="100"/>
      <c r="R1313" s="117"/>
    </row>
    <row r="1314" spans="1:18" x14ac:dyDescent="0.25">
      <c r="A1314" s="48" t="str">
        <f t="shared" si="320"/>
        <v>HT</v>
      </c>
      <c r="B1314" s="32" t="s">
        <v>1539</v>
      </c>
      <c r="C1314" s="39" t="s">
        <v>1540</v>
      </c>
      <c r="D1314" s="13" t="s">
        <v>13</v>
      </c>
      <c r="E1314" s="123">
        <v>1453.62</v>
      </c>
      <c r="F1314" s="136"/>
      <c r="G1314" s="125"/>
      <c r="H1314" s="125"/>
      <c r="I1314" s="125">
        <f t="shared" si="314"/>
        <v>1453.62</v>
      </c>
      <c r="J1314" s="62">
        <f>'BIỂU HỢP ĐỒNG'!J1140</f>
        <v>178258</v>
      </c>
      <c r="K1314" s="43"/>
      <c r="L1314" s="62">
        <f t="shared" si="315"/>
        <v>259119394</v>
      </c>
      <c r="M1314" s="77">
        <f t="shared" si="316"/>
        <v>0</v>
      </c>
      <c r="N1314" s="43">
        <f t="shared" si="321"/>
        <v>0</v>
      </c>
      <c r="O1314" s="43">
        <f t="shared" si="318"/>
        <v>0</v>
      </c>
      <c r="P1314" s="43">
        <f t="shared" si="319"/>
        <v>259119394</v>
      </c>
      <c r="Q1314" s="100"/>
      <c r="R1314" s="117"/>
    </row>
    <row r="1315" spans="1:18" x14ac:dyDescent="0.25">
      <c r="A1315" s="48" t="str">
        <f t="shared" si="320"/>
        <v>HT</v>
      </c>
      <c r="B1315" s="32" t="s">
        <v>1541</v>
      </c>
      <c r="C1315" s="39" t="s">
        <v>1542</v>
      </c>
      <c r="D1315" s="13" t="s">
        <v>13</v>
      </c>
      <c r="E1315" s="123">
        <v>1453.62</v>
      </c>
      <c r="F1315" s="136"/>
      <c r="G1315" s="125"/>
      <c r="H1315" s="125"/>
      <c r="I1315" s="125">
        <f t="shared" si="314"/>
        <v>1453.62</v>
      </c>
      <c r="J1315" s="62">
        <f>'BIỂU HỢP ĐỒNG'!J1141</f>
        <v>15319</v>
      </c>
      <c r="K1315" s="43"/>
      <c r="L1315" s="62">
        <f t="shared" si="315"/>
        <v>22268005</v>
      </c>
      <c r="M1315" s="77">
        <f t="shared" si="316"/>
        <v>0</v>
      </c>
      <c r="N1315" s="43">
        <f t="shared" si="321"/>
        <v>0</v>
      </c>
      <c r="O1315" s="43">
        <f t="shared" si="318"/>
        <v>0</v>
      </c>
      <c r="P1315" s="43">
        <f t="shared" si="319"/>
        <v>22268005</v>
      </c>
      <c r="Q1315" s="100"/>
      <c r="R1315" s="117"/>
    </row>
    <row r="1316" spans="1:18" x14ac:dyDescent="0.25">
      <c r="A1316" s="48" t="str">
        <f t="shared" si="320"/>
        <v>HT</v>
      </c>
      <c r="B1316" s="32" t="s">
        <v>1543</v>
      </c>
      <c r="C1316" s="39" t="s">
        <v>1544</v>
      </c>
      <c r="D1316" s="13" t="s">
        <v>13</v>
      </c>
      <c r="E1316" s="123">
        <v>1453.62</v>
      </c>
      <c r="F1316" s="136"/>
      <c r="G1316" s="125"/>
      <c r="H1316" s="125"/>
      <c r="I1316" s="125">
        <f t="shared" si="314"/>
        <v>1453.62</v>
      </c>
      <c r="J1316" s="62">
        <f>'BIỂU HỢP ĐỒNG'!J1142</f>
        <v>12540</v>
      </c>
      <c r="K1316" s="43"/>
      <c r="L1316" s="62">
        <f t="shared" si="315"/>
        <v>18228395</v>
      </c>
      <c r="M1316" s="77">
        <f t="shared" si="316"/>
        <v>0</v>
      </c>
      <c r="N1316" s="43">
        <f t="shared" si="321"/>
        <v>0</v>
      </c>
      <c r="O1316" s="43">
        <f t="shared" si="318"/>
        <v>0</v>
      </c>
      <c r="P1316" s="43">
        <f t="shared" si="319"/>
        <v>18228395</v>
      </c>
      <c r="Q1316" s="100"/>
      <c r="R1316" s="117"/>
    </row>
    <row r="1317" spans="1:18" ht="31.5" customHeight="1" x14ac:dyDescent="0.25">
      <c r="A1317" s="48" t="str">
        <f t="shared" si="320"/>
        <v>HT</v>
      </c>
      <c r="B1317" s="32" t="s">
        <v>1545</v>
      </c>
      <c r="C1317" s="39" t="s">
        <v>96</v>
      </c>
      <c r="D1317" s="13" t="s">
        <v>99</v>
      </c>
      <c r="E1317" s="123">
        <v>2.4159000000000002</v>
      </c>
      <c r="F1317" s="136"/>
      <c r="G1317" s="125"/>
      <c r="H1317" s="125"/>
      <c r="I1317" s="125">
        <f t="shared" si="314"/>
        <v>2.4159000000000002</v>
      </c>
      <c r="J1317" s="62">
        <f>'BIỂU HỢP ĐỒNG'!J1143</f>
        <v>164678800</v>
      </c>
      <c r="K1317" s="43"/>
      <c r="L1317" s="62">
        <f t="shared" si="315"/>
        <v>397847513</v>
      </c>
      <c r="M1317" s="77">
        <f t="shared" si="316"/>
        <v>0</v>
      </c>
      <c r="N1317" s="43">
        <f t="shared" si="321"/>
        <v>0</v>
      </c>
      <c r="O1317" s="43">
        <f t="shared" si="318"/>
        <v>0</v>
      </c>
      <c r="P1317" s="43">
        <f t="shared" si="319"/>
        <v>397847513</v>
      </c>
      <c r="Q1317" s="100"/>
      <c r="R1317" s="117"/>
    </row>
    <row r="1318" spans="1:18" ht="31.5" customHeight="1" x14ac:dyDescent="0.25">
      <c r="A1318" s="48" t="str">
        <f t="shared" si="320"/>
        <v>HT</v>
      </c>
      <c r="B1318" s="32" t="s">
        <v>1546</v>
      </c>
      <c r="C1318" s="39" t="s">
        <v>1547</v>
      </c>
      <c r="D1318" s="13" t="s">
        <v>90</v>
      </c>
      <c r="E1318" s="123">
        <v>241.59</v>
      </c>
      <c r="F1318" s="136"/>
      <c r="G1318" s="125"/>
      <c r="H1318" s="125"/>
      <c r="I1318" s="125">
        <f t="shared" si="314"/>
        <v>241.59</v>
      </c>
      <c r="J1318" s="62">
        <f>'BIỂU HỢP ĐỒNG'!J1144</f>
        <v>113841</v>
      </c>
      <c r="K1318" s="43"/>
      <c r="L1318" s="62">
        <f t="shared" si="315"/>
        <v>27502847</v>
      </c>
      <c r="M1318" s="77">
        <f t="shared" si="316"/>
        <v>0</v>
      </c>
      <c r="N1318" s="43">
        <f t="shared" si="321"/>
        <v>0</v>
      </c>
      <c r="O1318" s="43">
        <f t="shared" si="318"/>
        <v>0</v>
      </c>
      <c r="P1318" s="43">
        <f t="shared" si="319"/>
        <v>27502847</v>
      </c>
      <c r="Q1318" s="100"/>
      <c r="R1318" s="117"/>
    </row>
    <row r="1319" spans="1:18" x14ac:dyDescent="0.25">
      <c r="A1319" s="48" t="str">
        <f t="shared" si="320"/>
        <v>HT</v>
      </c>
      <c r="B1319" s="32" t="s">
        <v>1548</v>
      </c>
      <c r="C1319" s="39" t="s">
        <v>1549</v>
      </c>
      <c r="D1319" s="13" t="s">
        <v>258</v>
      </c>
      <c r="E1319" s="123">
        <v>28</v>
      </c>
      <c r="F1319" s="136"/>
      <c r="G1319" s="125"/>
      <c r="H1319" s="125"/>
      <c r="I1319" s="125">
        <f t="shared" si="314"/>
        <v>28</v>
      </c>
      <c r="J1319" s="62">
        <f>'BIỂU HỢP ĐỒNG'!J1145</f>
        <v>5175851</v>
      </c>
      <c r="K1319" s="43"/>
      <c r="L1319" s="62">
        <f t="shared" si="315"/>
        <v>144923828</v>
      </c>
      <c r="M1319" s="77">
        <f t="shared" si="316"/>
        <v>0</v>
      </c>
      <c r="N1319" s="43">
        <f t="shared" si="321"/>
        <v>0</v>
      </c>
      <c r="O1319" s="43">
        <f t="shared" si="318"/>
        <v>0</v>
      </c>
      <c r="P1319" s="43">
        <f t="shared" si="319"/>
        <v>144923828</v>
      </c>
      <c r="Q1319" s="100"/>
      <c r="R1319" s="117"/>
    </row>
    <row r="1320" spans="1:18" x14ac:dyDescent="0.25">
      <c r="A1320" s="48" t="str">
        <f t="shared" si="320"/>
        <v>HT</v>
      </c>
      <c r="B1320" s="32" t="s">
        <v>1550</v>
      </c>
      <c r="C1320" s="39" t="s">
        <v>1551</v>
      </c>
      <c r="D1320" s="13" t="s">
        <v>258</v>
      </c>
      <c r="E1320" s="123">
        <v>28</v>
      </c>
      <c r="F1320" s="136"/>
      <c r="G1320" s="125"/>
      <c r="H1320" s="125"/>
      <c r="I1320" s="125">
        <f t="shared" si="314"/>
        <v>28</v>
      </c>
      <c r="J1320" s="62">
        <f>'BIỂU HỢP ĐỒNG'!J1146</f>
        <v>6590456</v>
      </c>
      <c r="K1320" s="43"/>
      <c r="L1320" s="62">
        <f t="shared" si="315"/>
        <v>184532768</v>
      </c>
      <c r="M1320" s="77">
        <f t="shared" si="316"/>
        <v>0</v>
      </c>
      <c r="N1320" s="43">
        <f t="shared" si="321"/>
        <v>0</v>
      </c>
      <c r="O1320" s="43">
        <f t="shared" si="318"/>
        <v>0</v>
      </c>
      <c r="P1320" s="43">
        <f t="shared" si="319"/>
        <v>184532768</v>
      </c>
      <c r="Q1320" s="100"/>
      <c r="R1320" s="117"/>
    </row>
    <row r="1321" spans="1:18" x14ac:dyDescent="0.25">
      <c r="A1321" s="48" t="str">
        <f t="shared" si="320"/>
        <v>HT</v>
      </c>
      <c r="B1321" s="32" t="s">
        <v>1552</v>
      </c>
      <c r="C1321" s="39" t="s">
        <v>1553</v>
      </c>
      <c r="D1321" s="13" t="s">
        <v>258</v>
      </c>
      <c r="E1321" s="123">
        <v>14</v>
      </c>
      <c r="F1321" s="136"/>
      <c r="G1321" s="125"/>
      <c r="H1321" s="125"/>
      <c r="I1321" s="125">
        <f t="shared" si="314"/>
        <v>14</v>
      </c>
      <c r="J1321" s="62">
        <f>'BIỂU HỢP ĐỒNG'!J1147</f>
        <v>11477274</v>
      </c>
      <c r="K1321" s="43"/>
      <c r="L1321" s="62">
        <f t="shared" si="315"/>
        <v>160681836</v>
      </c>
      <c r="M1321" s="77">
        <f t="shared" si="316"/>
        <v>0</v>
      </c>
      <c r="N1321" s="43">
        <f t="shared" si="321"/>
        <v>0</v>
      </c>
      <c r="O1321" s="43">
        <f t="shared" si="318"/>
        <v>0</v>
      </c>
      <c r="P1321" s="43">
        <f t="shared" si="319"/>
        <v>160681836</v>
      </c>
      <c r="Q1321" s="100"/>
      <c r="R1321" s="117"/>
    </row>
    <row r="1322" spans="1:18" x14ac:dyDescent="0.25">
      <c r="A1322" s="48" t="str">
        <f t="shared" si="320"/>
        <v>HT</v>
      </c>
      <c r="B1322" s="32" t="s">
        <v>1554</v>
      </c>
      <c r="C1322" s="39" t="s">
        <v>1555</v>
      </c>
      <c r="D1322" s="13" t="s">
        <v>258</v>
      </c>
      <c r="E1322" s="123">
        <v>14</v>
      </c>
      <c r="F1322" s="136"/>
      <c r="G1322" s="125"/>
      <c r="H1322" s="125"/>
      <c r="I1322" s="125">
        <f t="shared" si="314"/>
        <v>14</v>
      </c>
      <c r="J1322" s="62">
        <f>'BIỂU HỢP ĐỒNG'!J1148</f>
        <v>13779223</v>
      </c>
      <c r="K1322" s="43"/>
      <c r="L1322" s="62">
        <f t="shared" si="315"/>
        <v>192909122</v>
      </c>
      <c r="M1322" s="77">
        <f t="shared" si="316"/>
        <v>0</v>
      </c>
      <c r="N1322" s="43">
        <f t="shared" si="321"/>
        <v>0</v>
      </c>
      <c r="O1322" s="43">
        <f t="shared" si="318"/>
        <v>0</v>
      </c>
      <c r="P1322" s="43">
        <f t="shared" si="319"/>
        <v>192909122</v>
      </c>
      <c r="Q1322" s="100"/>
      <c r="R1322" s="117"/>
    </row>
    <row r="1323" spans="1:18" x14ac:dyDescent="0.25">
      <c r="A1323" s="48" t="str">
        <f t="shared" si="320"/>
        <v>HT</v>
      </c>
      <c r="B1323" s="32" t="s">
        <v>1556</v>
      </c>
      <c r="C1323" s="39" t="s">
        <v>1557</v>
      </c>
      <c r="D1323" s="13" t="s">
        <v>90</v>
      </c>
      <c r="E1323" s="123">
        <v>4.4509999999999996</v>
      </c>
      <c r="F1323" s="136"/>
      <c r="G1323" s="125"/>
      <c r="H1323" s="125"/>
      <c r="I1323" s="125">
        <f t="shared" si="314"/>
        <v>4.4509999999999996</v>
      </c>
      <c r="J1323" s="62">
        <f>'BIỂU HỢP ĐỒNG'!J1149</f>
        <v>31922068</v>
      </c>
      <c r="K1323" s="43"/>
      <c r="L1323" s="62">
        <f t="shared" si="315"/>
        <v>142085125</v>
      </c>
      <c r="M1323" s="77">
        <f t="shared" si="316"/>
        <v>0</v>
      </c>
      <c r="N1323" s="43">
        <f t="shared" si="321"/>
        <v>0</v>
      </c>
      <c r="O1323" s="43">
        <f t="shared" si="318"/>
        <v>0</v>
      </c>
      <c r="P1323" s="43">
        <f t="shared" si="319"/>
        <v>142085125</v>
      </c>
      <c r="Q1323" s="100"/>
      <c r="R1323" s="117"/>
    </row>
    <row r="1324" spans="1:18" x14ac:dyDescent="0.25">
      <c r="A1324" s="48" t="str">
        <f t="shared" si="320"/>
        <v>HT</v>
      </c>
      <c r="B1324" s="32" t="s">
        <v>1558</v>
      </c>
      <c r="C1324" s="39" t="s">
        <v>1559</v>
      </c>
      <c r="D1324" s="13" t="s">
        <v>90</v>
      </c>
      <c r="E1324" s="123">
        <v>4.4509999999999996</v>
      </c>
      <c r="F1324" s="136"/>
      <c r="G1324" s="125"/>
      <c r="H1324" s="125"/>
      <c r="I1324" s="125">
        <f t="shared" si="314"/>
        <v>4.4509999999999996</v>
      </c>
      <c r="J1324" s="62">
        <f>'BIỂU HỢP ĐỒNG'!J1150</f>
        <v>5329201</v>
      </c>
      <c r="K1324" s="43"/>
      <c r="L1324" s="62">
        <f t="shared" si="315"/>
        <v>23720274</v>
      </c>
      <c r="M1324" s="77">
        <f t="shared" si="316"/>
        <v>0</v>
      </c>
      <c r="N1324" s="43">
        <f t="shared" si="321"/>
        <v>0</v>
      </c>
      <c r="O1324" s="43">
        <f t="shared" si="318"/>
        <v>0</v>
      </c>
      <c r="P1324" s="43">
        <f t="shared" si="319"/>
        <v>23720274</v>
      </c>
      <c r="Q1324" s="100"/>
      <c r="R1324" s="117"/>
    </row>
    <row r="1325" spans="1:18" x14ac:dyDescent="0.25">
      <c r="A1325" s="48" t="str">
        <f t="shared" si="320"/>
        <v>HT</v>
      </c>
      <c r="B1325" s="32" t="s">
        <v>1560</v>
      </c>
      <c r="C1325" s="39" t="s">
        <v>1561</v>
      </c>
      <c r="D1325" s="13" t="s">
        <v>1562</v>
      </c>
      <c r="E1325" s="123">
        <v>29.4</v>
      </c>
      <c r="F1325" s="136"/>
      <c r="G1325" s="125"/>
      <c r="H1325" s="125"/>
      <c r="I1325" s="125">
        <f t="shared" si="314"/>
        <v>29.4</v>
      </c>
      <c r="J1325" s="62">
        <f>'BIỂU HỢP ĐỒNG'!J1151</f>
        <v>39471</v>
      </c>
      <c r="K1325" s="43"/>
      <c r="L1325" s="62">
        <f t="shared" si="315"/>
        <v>1160447</v>
      </c>
      <c r="M1325" s="77">
        <f t="shared" si="316"/>
        <v>0</v>
      </c>
      <c r="N1325" s="43">
        <f t="shared" si="321"/>
        <v>0</v>
      </c>
      <c r="O1325" s="43">
        <f t="shared" si="318"/>
        <v>0</v>
      </c>
      <c r="P1325" s="43">
        <f t="shared" si="319"/>
        <v>1160447</v>
      </c>
      <c r="Q1325" s="100"/>
      <c r="R1325" s="117"/>
    </row>
    <row r="1326" spans="1:18" x14ac:dyDescent="0.25">
      <c r="A1326" s="48" t="str">
        <f t="shared" si="320"/>
        <v>HT</v>
      </c>
      <c r="B1326" s="32" t="s">
        <v>1563</v>
      </c>
      <c r="C1326" s="39" t="s">
        <v>1564</v>
      </c>
      <c r="D1326" s="13" t="s">
        <v>1565</v>
      </c>
      <c r="E1326" s="123">
        <v>42</v>
      </c>
      <c r="F1326" s="136"/>
      <c r="G1326" s="125"/>
      <c r="H1326" s="125"/>
      <c r="I1326" s="125">
        <f t="shared" si="314"/>
        <v>42</v>
      </c>
      <c r="J1326" s="62">
        <f>'BIỂU HỢP ĐỒNG'!J1152</f>
        <v>17204605</v>
      </c>
      <c r="K1326" s="43"/>
      <c r="L1326" s="62">
        <f t="shared" si="315"/>
        <v>722593410</v>
      </c>
      <c r="M1326" s="77">
        <f t="shared" si="316"/>
        <v>0</v>
      </c>
      <c r="N1326" s="43">
        <f t="shared" si="321"/>
        <v>0</v>
      </c>
      <c r="O1326" s="43">
        <f t="shared" si="318"/>
        <v>0</v>
      </c>
      <c r="P1326" s="43">
        <f t="shared" si="319"/>
        <v>722593410</v>
      </c>
      <c r="Q1326" s="100"/>
      <c r="R1326" s="117"/>
    </row>
    <row r="1327" spans="1:18" x14ac:dyDescent="0.25">
      <c r="A1327" s="48" t="str">
        <f t="shared" si="320"/>
        <v>HT</v>
      </c>
      <c r="B1327" s="32" t="s">
        <v>1566</v>
      </c>
      <c r="C1327" s="39" t="s">
        <v>1567</v>
      </c>
      <c r="D1327" s="13" t="s">
        <v>16</v>
      </c>
      <c r="E1327" s="123">
        <v>7.9710999999999999</v>
      </c>
      <c r="F1327" s="136"/>
      <c r="G1327" s="125"/>
      <c r="H1327" s="125"/>
      <c r="I1327" s="125">
        <f t="shared" si="314"/>
        <v>7.9710999999999999</v>
      </c>
      <c r="J1327" s="62">
        <f>'BIỂU HỢP ĐỒNG'!J1153</f>
        <v>2080172</v>
      </c>
      <c r="K1327" s="43"/>
      <c r="L1327" s="62">
        <f t="shared" si="315"/>
        <v>16581259</v>
      </c>
      <c r="M1327" s="77">
        <f t="shared" si="316"/>
        <v>0</v>
      </c>
      <c r="N1327" s="43">
        <f t="shared" si="321"/>
        <v>0</v>
      </c>
      <c r="O1327" s="43">
        <f t="shared" si="318"/>
        <v>0</v>
      </c>
      <c r="P1327" s="43">
        <f t="shared" si="319"/>
        <v>16581259</v>
      </c>
      <c r="Q1327" s="100"/>
      <c r="R1327" s="117"/>
    </row>
    <row r="1328" spans="1:18" x14ac:dyDescent="0.25">
      <c r="A1328" s="48" t="str">
        <f t="shared" si="320"/>
        <v>HT</v>
      </c>
      <c r="B1328" s="32" t="s">
        <v>1568</v>
      </c>
      <c r="C1328" s="39" t="s">
        <v>1569</v>
      </c>
      <c r="D1328" s="13" t="s">
        <v>90</v>
      </c>
      <c r="E1328" s="123">
        <v>0.93</v>
      </c>
      <c r="F1328" s="136"/>
      <c r="G1328" s="125"/>
      <c r="H1328" s="125"/>
      <c r="I1328" s="125">
        <f t="shared" si="314"/>
        <v>0.93</v>
      </c>
      <c r="J1328" s="62">
        <f>'BIỂU HỢP ĐỒNG'!J1154</f>
        <v>25311519</v>
      </c>
      <c r="K1328" s="43"/>
      <c r="L1328" s="62">
        <f t="shared" si="315"/>
        <v>23539713</v>
      </c>
      <c r="M1328" s="77">
        <f t="shared" si="316"/>
        <v>0</v>
      </c>
      <c r="N1328" s="43">
        <f t="shared" si="321"/>
        <v>0</v>
      </c>
      <c r="O1328" s="43">
        <f t="shared" si="318"/>
        <v>0</v>
      </c>
      <c r="P1328" s="43">
        <f t="shared" si="319"/>
        <v>23539713</v>
      </c>
      <c r="Q1328" s="100"/>
      <c r="R1328" s="117"/>
    </row>
    <row r="1329" spans="1:18" x14ac:dyDescent="0.25">
      <c r="A1329" s="48" t="str">
        <f t="shared" si="320"/>
        <v>HT</v>
      </c>
      <c r="B1329" s="32" t="s">
        <v>1570</v>
      </c>
      <c r="C1329" s="39" t="s">
        <v>497</v>
      </c>
      <c r="D1329" s="13" t="s">
        <v>13</v>
      </c>
      <c r="E1329" s="123">
        <v>8.4</v>
      </c>
      <c r="F1329" s="136"/>
      <c r="G1329" s="125"/>
      <c r="H1329" s="125"/>
      <c r="I1329" s="125">
        <f t="shared" si="314"/>
        <v>8.4</v>
      </c>
      <c r="J1329" s="62">
        <f>'BIỂU HỢP ĐỒNG'!J1155</f>
        <v>65242</v>
      </c>
      <c r="K1329" s="43"/>
      <c r="L1329" s="62">
        <f t="shared" si="315"/>
        <v>548033</v>
      </c>
      <c r="M1329" s="77">
        <f t="shared" si="316"/>
        <v>0</v>
      </c>
      <c r="N1329" s="43">
        <f t="shared" si="321"/>
        <v>0</v>
      </c>
      <c r="O1329" s="43">
        <f t="shared" si="318"/>
        <v>0</v>
      </c>
      <c r="P1329" s="43">
        <f t="shared" si="319"/>
        <v>548033</v>
      </c>
      <c r="Q1329" s="100"/>
      <c r="R1329" s="117"/>
    </row>
    <row r="1330" spans="1:18" x14ac:dyDescent="0.25">
      <c r="A1330" s="48" t="str">
        <f t="shared" si="320"/>
        <v>HT</v>
      </c>
      <c r="B1330" s="32" t="s">
        <v>1571</v>
      </c>
      <c r="C1330" s="39" t="s">
        <v>1572</v>
      </c>
      <c r="D1330" s="13" t="s">
        <v>258</v>
      </c>
      <c r="E1330" s="123">
        <v>392</v>
      </c>
      <c r="F1330" s="136"/>
      <c r="G1330" s="125"/>
      <c r="H1330" s="125"/>
      <c r="I1330" s="125">
        <f t="shared" si="314"/>
        <v>392</v>
      </c>
      <c r="J1330" s="62">
        <f>'BIỂU HỢP ĐỒNG'!J1156</f>
        <v>6367</v>
      </c>
      <c r="K1330" s="43"/>
      <c r="L1330" s="62">
        <f t="shared" si="315"/>
        <v>2495864</v>
      </c>
      <c r="M1330" s="77">
        <f t="shared" si="316"/>
        <v>0</v>
      </c>
      <c r="N1330" s="43">
        <f t="shared" si="321"/>
        <v>0</v>
      </c>
      <c r="O1330" s="43">
        <f t="shared" si="318"/>
        <v>0</v>
      </c>
      <c r="P1330" s="43">
        <f t="shared" si="319"/>
        <v>2495864</v>
      </c>
      <c r="Q1330" s="100"/>
      <c r="R1330" s="117"/>
    </row>
    <row r="1331" spans="1:18" x14ac:dyDescent="0.25">
      <c r="A1331" s="48" t="str">
        <f t="shared" si="320"/>
        <v>HT</v>
      </c>
      <c r="B1331" s="32" t="s">
        <v>1573</v>
      </c>
      <c r="C1331" s="39" t="s">
        <v>1574</v>
      </c>
      <c r="D1331" s="13" t="s">
        <v>90</v>
      </c>
      <c r="E1331" s="123">
        <v>0.56999999999999995</v>
      </c>
      <c r="F1331" s="136"/>
      <c r="G1331" s="125"/>
      <c r="H1331" s="125"/>
      <c r="I1331" s="125">
        <f t="shared" si="314"/>
        <v>0.56999999999999995</v>
      </c>
      <c r="J1331" s="62">
        <f>'BIỂU HỢP ĐỒNG'!J1157</f>
        <v>31922068</v>
      </c>
      <c r="K1331" s="43"/>
      <c r="L1331" s="62">
        <f t="shared" si="315"/>
        <v>18195579</v>
      </c>
      <c r="M1331" s="77">
        <f t="shared" si="316"/>
        <v>0</v>
      </c>
      <c r="N1331" s="43">
        <f t="shared" si="321"/>
        <v>0</v>
      </c>
      <c r="O1331" s="43">
        <f t="shared" si="318"/>
        <v>0</v>
      </c>
      <c r="P1331" s="43">
        <f t="shared" si="319"/>
        <v>18195579</v>
      </c>
      <c r="Q1331" s="100"/>
      <c r="R1331" s="117"/>
    </row>
    <row r="1332" spans="1:18" x14ac:dyDescent="0.25">
      <c r="A1332" s="48" t="str">
        <f t="shared" si="320"/>
        <v>HT</v>
      </c>
      <c r="B1332" s="32" t="s">
        <v>1575</v>
      </c>
      <c r="C1332" s="39" t="s">
        <v>1576</v>
      </c>
      <c r="D1332" s="13" t="s">
        <v>90</v>
      </c>
      <c r="E1332" s="123">
        <v>0.56999999999999995</v>
      </c>
      <c r="F1332" s="136"/>
      <c r="G1332" s="125"/>
      <c r="H1332" s="125"/>
      <c r="I1332" s="125">
        <f t="shared" si="314"/>
        <v>0.56999999999999995</v>
      </c>
      <c r="J1332" s="62">
        <f>'BIỂU HỢP ĐỒNG'!J1158</f>
        <v>5329201</v>
      </c>
      <c r="K1332" s="43"/>
      <c r="L1332" s="62">
        <f t="shared" si="315"/>
        <v>3037645</v>
      </c>
      <c r="M1332" s="77">
        <f t="shared" si="316"/>
        <v>0</v>
      </c>
      <c r="N1332" s="43">
        <f t="shared" si="321"/>
        <v>0</v>
      </c>
      <c r="O1332" s="43">
        <f t="shared" si="318"/>
        <v>0</v>
      </c>
      <c r="P1332" s="43">
        <f t="shared" si="319"/>
        <v>3037645</v>
      </c>
      <c r="Q1332" s="100"/>
      <c r="R1332" s="117"/>
    </row>
    <row r="1333" spans="1:18" x14ac:dyDescent="0.25">
      <c r="A1333" s="48" t="str">
        <f t="shared" si="320"/>
        <v>HT</v>
      </c>
      <c r="B1333" s="32" t="s">
        <v>1577</v>
      </c>
      <c r="C1333" s="39" t="s">
        <v>1230</v>
      </c>
      <c r="D1333" s="13" t="s">
        <v>90</v>
      </c>
      <c r="E1333" s="123">
        <v>0.56999999999999995</v>
      </c>
      <c r="F1333" s="136"/>
      <c r="G1333" s="125"/>
      <c r="H1333" s="125"/>
      <c r="I1333" s="125">
        <f t="shared" ref="I1333:I1396" si="322">SUM(E1333:H1333)</f>
        <v>0.56999999999999995</v>
      </c>
      <c r="J1333" s="62">
        <f>'BIỂU HỢP ĐỒNG'!J1159</f>
        <v>9028655</v>
      </c>
      <c r="K1333" s="43"/>
      <c r="L1333" s="62">
        <f t="shared" ref="L1333:L1396" si="323">+ROUND(J1333*E1333,0)</f>
        <v>5146333</v>
      </c>
      <c r="M1333" s="77">
        <f t="shared" ref="M1333:M1396" si="324">+ROUND(F1333*J1333,0)</f>
        <v>0</v>
      </c>
      <c r="N1333" s="43">
        <f t="shared" ref="N1333:N1364" si="325">+ROUND(G1333*J1333,0)</f>
        <v>0</v>
      </c>
      <c r="O1333" s="43">
        <f t="shared" ref="O1333:O1396" si="326">+ROUND(H1333*J1333,0)</f>
        <v>0</v>
      </c>
      <c r="P1333" s="43">
        <f t="shared" si="319"/>
        <v>5146333</v>
      </c>
      <c r="Q1333" s="100"/>
      <c r="R1333" s="117"/>
    </row>
    <row r="1334" spans="1:18" x14ac:dyDescent="0.25">
      <c r="A1334" s="48" t="str">
        <f t="shared" si="320"/>
        <v>HT</v>
      </c>
      <c r="B1334" s="32" t="s">
        <v>1578</v>
      </c>
      <c r="C1334" s="39" t="s">
        <v>1579</v>
      </c>
      <c r="D1334" s="13" t="s">
        <v>16</v>
      </c>
      <c r="E1334" s="123">
        <v>73.823599999999999</v>
      </c>
      <c r="F1334" s="136"/>
      <c r="G1334" s="125"/>
      <c r="H1334" s="125"/>
      <c r="I1334" s="125">
        <f t="shared" si="322"/>
        <v>73.823599999999999</v>
      </c>
      <c r="J1334" s="62">
        <f>'BIỂU HỢP ĐỒNG'!J1160</f>
        <v>1878060</v>
      </c>
      <c r="K1334" s="43"/>
      <c r="L1334" s="62">
        <f t="shared" si="323"/>
        <v>138645150</v>
      </c>
      <c r="M1334" s="77">
        <f t="shared" si="324"/>
        <v>0</v>
      </c>
      <c r="N1334" s="43">
        <f t="shared" si="325"/>
        <v>0</v>
      </c>
      <c r="O1334" s="43">
        <f t="shared" si="326"/>
        <v>0</v>
      </c>
      <c r="P1334" s="43">
        <f t="shared" si="319"/>
        <v>138645150</v>
      </c>
      <c r="Q1334" s="100"/>
      <c r="R1334" s="117"/>
    </row>
    <row r="1335" spans="1:18" ht="31.5" customHeight="1" x14ac:dyDescent="0.25">
      <c r="A1335" s="48" t="str">
        <f t="shared" si="320"/>
        <v>HT</v>
      </c>
      <c r="B1335" s="32" t="s">
        <v>1580</v>
      </c>
      <c r="C1335" s="39" t="s">
        <v>1581</v>
      </c>
      <c r="D1335" s="13" t="s">
        <v>13</v>
      </c>
      <c r="E1335" s="123">
        <v>448.89499999999998</v>
      </c>
      <c r="F1335" s="136"/>
      <c r="G1335" s="125"/>
      <c r="H1335" s="125"/>
      <c r="I1335" s="125">
        <f t="shared" si="322"/>
        <v>448.89499999999998</v>
      </c>
      <c r="J1335" s="62">
        <f>'BIỂU HỢP ĐỒNG'!J1161</f>
        <v>65242</v>
      </c>
      <c r="K1335" s="43"/>
      <c r="L1335" s="62">
        <f t="shared" si="323"/>
        <v>29286808</v>
      </c>
      <c r="M1335" s="77">
        <f t="shared" si="324"/>
        <v>0</v>
      </c>
      <c r="N1335" s="43">
        <f t="shared" si="325"/>
        <v>0</v>
      </c>
      <c r="O1335" s="43">
        <f t="shared" si="326"/>
        <v>0</v>
      </c>
      <c r="P1335" s="43">
        <f t="shared" si="319"/>
        <v>29286808</v>
      </c>
      <c r="Q1335" s="100"/>
      <c r="R1335" s="117"/>
    </row>
    <row r="1336" spans="1:18" x14ac:dyDescent="0.25">
      <c r="A1336" s="48" t="str">
        <f t="shared" si="320"/>
        <v>HT</v>
      </c>
      <c r="B1336" s="32" t="s">
        <v>1582</v>
      </c>
      <c r="C1336" s="39" t="s">
        <v>1583</v>
      </c>
      <c r="D1336" s="13" t="s">
        <v>90</v>
      </c>
      <c r="E1336" s="123">
        <v>13.4633</v>
      </c>
      <c r="F1336" s="136"/>
      <c r="G1336" s="125"/>
      <c r="H1336" s="125"/>
      <c r="I1336" s="125">
        <f t="shared" si="322"/>
        <v>13.4633</v>
      </c>
      <c r="J1336" s="62">
        <f>'BIỂU HỢP ĐỒNG'!J1162</f>
        <v>25032847</v>
      </c>
      <c r="K1336" s="43"/>
      <c r="L1336" s="62">
        <f t="shared" si="323"/>
        <v>337024729</v>
      </c>
      <c r="M1336" s="77">
        <f t="shared" si="324"/>
        <v>0</v>
      </c>
      <c r="N1336" s="43">
        <f t="shared" si="325"/>
        <v>0</v>
      </c>
      <c r="O1336" s="43">
        <f t="shared" si="326"/>
        <v>0</v>
      </c>
      <c r="P1336" s="43">
        <f t="shared" si="319"/>
        <v>337024729</v>
      </c>
      <c r="Q1336" s="100"/>
      <c r="R1336" s="117"/>
    </row>
    <row r="1337" spans="1:18" x14ac:dyDescent="0.25">
      <c r="A1337" s="48" t="str">
        <f t="shared" si="320"/>
        <v>HT</v>
      </c>
      <c r="B1337" s="32" t="s">
        <v>1584</v>
      </c>
      <c r="C1337" s="39" t="s">
        <v>1585</v>
      </c>
      <c r="D1337" s="13" t="s">
        <v>90</v>
      </c>
      <c r="E1337" s="123">
        <v>13.2667</v>
      </c>
      <c r="F1337" s="136"/>
      <c r="G1337" s="125"/>
      <c r="H1337" s="125"/>
      <c r="I1337" s="125">
        <f t="shared" si="322"/>
        <v>13.2667</v>
      </c>
      <c r="J1337" s="62">
        <f>'BIỂU HỢP ĐỒNG'!J1163</f>
        <v>40797367</v>
      </c>
      <c r="K1337" s="43"/>
      <c r="L1337" s="62">
        <f t="shared" si="323"/>
        <v>541246429</v>
      </c>
      <c r="M1337" s="77">
        <f t="shared" si="324"/>
        <v>0</v>
      </c>
      <c r="N1337" s="43">
        <f t="shared" si="325"/>
        <v>0</v>
      </c>
      <c r="O1337" s="43">
        <f t="shared" si="326"/>
        <v>0</v>
      </c>
      <c r="P1337" s="43">
        <f t="shared" si="319"/>
        <v>541246429</v>
      </c>
      <c r="Q1337" s="100"/>
      <c r="R1337" s="117"/>
    </row>
    <row r="1338" spans="1:18" x14ac:dyDescent="0.25">
      <c r="A1338" s="48" t="str">
        <f t="shared" si="320"/>
        <v>HT</v>
      </c>
      <c r="B1338" s="32" t="s">
        <v>1586</v>
      </c>
      <c r="C1338" s="39" t="s">
        <v>1587</v>
      </c>
      <c r="D1338" s="13" t="s">
        <v>90</v>
      </c>
      <c r="E1338" s="123">
        <v>13.2667</v>
      </c>
      <c r="F1338" s="136"/>
      <c r="G1338" s="125"/>
      <c r="H1338" s="125"/>
      <c r="I1338" s="125">
        <f t="shared" si="322"/>
        <v>13.2667</v>
      </c>
      <c r="J1338" s="62">
        <f>'BIỂU HỢP ĐỒNG'!J1164</f>
        <v>3788899</v>
      </c>
      <c r="K1338" s="43"/>
      <c r="L1338" s="62">
        <f t="shared" si="323"/>
        <v>50266186</v>
      </c>
      <c r="M1338" s="77">
        <f t="shared" si="324"/>
        <v>0</v>
      </c>
      <c r="N1338" s="43">
        <f t="shared" si="325"/>
        <v>0</v>
      </c>
      <c r="O1338" s="43">
        <f t="shared" si="326"/>
        <v>0</v>
      </c>
      <c r="P1338" s="43">
        <f t="shared" si="319"/>
        <v>50266186</v>
      </c>
      <c r="Q1338" s="100"/>
      <c r="R1338" s="117"/>
    </row>
    <row r="1339" spans="1:18" x14ac:dyDescent="0.25">
      <c r="A1339" s="48" t="str">
        <f t="shared" si="320"/>
        <v>HT</v>
      </c>
      <c r="B1339" s="32" t="s">
        <v>1588</v>
      </c>
      <c r="C1339" s="39" t="s">
        <v>1589</v>
      </c>
      <c r="D1339" s="13" t="s">
        <v>75</v>
      </c>
      <c r="E1339" s="123">
        <v>276.88</v>
      </c>
      <c r="F1339" s="136"/>
      <c r="G1339" s="125"/>
      <c r="H1339" s="125"/>
      <c r="I1339" s="125">
        <f t="shared" si="322"/>
        <v>276.88</v>
      </c>
      <c r="J1339" s="62">
        <f>'BIỂU HỢP ĐỒNG'!J1165</f>
        <v>94291</v>
      </c>
      <c r="K1339" s="43"/>
      <c r="L1339" s="62">
        <f t="shared" si="323"/>
        <v>26107292</v>
      </c>
      <c r="M1339" s="77">
        <f t="shared" si="324"/>
        <v>0</v>
      </c>
      <c r="N1339" s="43">
        <f t="shared" si="325"/>
        <v>0</v>
      </c>
      <c r="O1339" s="43">
        <f t="shared" si="326"/>
        <v>0</v>
      </c>
      <c r="P1339" s="43">
        <f t="shared" si="319"/>
        <v>26107292</v>
      </c>
      <c r="Q1339" s="100"/>
      <c r="R1339" s="117"/>
    </row>
    <row r="1340" spans="1:18" x14ac:dyDescent="0.25">
      <c r="A1340" s="48" t="str">
        <f t="shared" si="320"/>
        <v>HT</v>
      </c>
      <c r="B1340" s="32" t="s">
        <v>1590</v>
      </c>
      <c r="C1340" s="39" t="s">
        <v>1591</v>
      </c>
      <c r="D1340" s="13" t="s">
        <v>75</v>
      </c>
      <c r="E1340" s="123">
        <v>12</v>
      </c>
      <c r="F1340" s="136"/>
      <c r="G1340" s="125"/>
      <c r="H1340" s="125"/>
      <c r="I1340" s="125">
        <f t="shared" si="322"/>
        <v>12</v>
      </c>
      <c r="J1340" s="62">
        <f>'BIỂU HỢP ĐỒNG'!J1166</f>
        <v>57483</v>
      </c>
      <c r="K1340" s="43"/>
      <c r="L1340" s="62">
        <f t="shared" si="323"/>
        <v>689796</v>
      </c>
      <c r="M1340" s="77">
        <f t="shared" si="324"/>
        <v>0</v>
      </c>
      <c r="N1340" s="43">
        <f t="shared" si="325"/>
        <v>0</v>
      </c>
      <c r="O1340" s="43">
        <f t="shared" si="326"/>
        <v>0</v>
      </c>
      <c r="P1340" s="43">
        <f t="shared" si="319"/>
        <v>689796</v>
      </c>
      <c r="Q1340" s="100"/>
      <c r="R1340" s="117"/>
    </row>
    <row r="1341" spans="1:18" x14ac:dyDescent="0.25">
      <c r="A1341" s="48" t="str">
        <f t="shared" si="320"/>
        <v>HT</v>
      </c>
      <c r="B1341" s="32" t="s">
        <v>1592</v>
      </c>
      <c r="C1341" s="39" t="s">
        <v>1593</v>
      </c>
      <c r="D1341" s="13" t="s">
        <v>258</v>
      </c>
      <c r="E1341" s="123">
        <v>388</v>
      </c>
      <c r="F1341" s="136"/>
      <c r="G1341" s="125"/>
      <c r="H1341" s="125"/>
      <c r="I1341" s="125">
        <f t="shared" si="322"/>
        <v>388</v>
      </c>
      <c r="J1341" s="62">
        <f>'BIỂU HỢP ĐỒNG'!J1167</f>
        <v>6367</v>
      </c>
      <c r="K1341" s="43"/>
      <c r="L1341" s="62">
        <f t="shared" si="323"/>
        <v>2470396</v>
      </c>
      <c r="M1341" s="77">
        <f t="shared" si="324"/>
        <v>0</v>
      </c>
      <c r="N1341" s="43">
        <f t="shared" si="325"/>
        <v>0</v>
      </c>
      <c r="O1341" s="43">
        <f t="shared" si="326"/>
        <v>0</v>
      </c>
      <c r="P1341" s="43">
        <f t="shared" si="319"/>
        <v>2470396</v>
      </c>
      <c r="Q1341" s="100"/>
      <c r="R1341" s="117"/>
    </row>
    <row r="1342" spans="1:18" x14ac:dyDescent="0.25">
      <c r="A1342" s="48" t="str">
        <f t="shared" si="320"/>
        <v>HT</v>
      </c>
      <c r="B1342" s="32" t="s">
        <v>1594</v>
      </c>
      <c r="C1342" s="39" t="s">
        <v>1595</v>
      </c>
      <c r="D1342" s="13" t="s">
        <v>16</v>
      </c>
      <c r="E1342" s="123">
        <v>60.302700000000002</v>
      </c>
      <c r="F1342" s="136"/>
      <c r="G1342" s="125"/>
      <c r="H1342" s="125"/>
      <c r="I1342" s="125">
        <f t="shared" si="322"/>
        <v>60.302700000000002</v>
      </c>
      <c r="J1342" s="62">
        <f>'BIỂU HỢP ĐỒNG'!J1168</f>
        <v>1719728</v>
      </c>
      <c r="K1342" s="43"/>
      <c r="L1342" s="62">
        <f t="shared" si="323"/>
        <v>103704242</v>
      </c>
      <c r="M1342" s="77">
        <f t="shared" si="324"/>
        <v>0</v>
      </c>
      <c r="N1342" s="43">
        <f t="shared" si="325"/>
        <v>0</v>
      </c>
      <c r="O1342" s="43">
        <f t="shared" si="326"/>
        <v>0</v>
      </c>
      <c r="P1342" s="43">
        <f t="shared" si="319"/>
        <v>103704242</v>
      </c>
      <c r="Q1342" s="100"/>
      <c r="R1342" s="117"/>
    </row>
    <row r="1343" spans="1:18" x14ac:dyDescent="0.25">
      <c r="A1343" s="48" t="str">
        <f t="shared" si="320"/>
        <v>HT</v>
      </c>
      <c r="B1343" s="32" t="s">
        <v>1596</v>
      </c>
      <c r="C1343" s="39" t="s">
        <v>1597</v>
      </c>
      <c r="D1343" s="13" t="s">
        <v>90</v>
      </c>
      <c r="E1343" s="123">
        <v>18.177900000000001</v>
      </c>
      <c r="F1343" s="136"/>
      <c r="G1343" s="125"/>
      <c r="H1343" s="125"/>
      <c r="I1343" s="125">
        <f t="shared" si="322"/>
        <v>18.177900000000001</v>
      </c>
      <c r="J1343" s="62">
        <f>'BIỂU HỢP ĐỒNG'!J1169</f>
        <v>27101433</v>
      </c>
      <c r="K1343" s="43"/>
      <c r="L1343" s="62">
        <f t="shared" si="323"/>
        <v>492647139</v>
      </c>
      <c r="M1343" s="77">
        <f t="shared" si="324"/>
        <v>0</v>
      </c>
      <c r="N1343" s="43">
        <f t="shared" si="325"/>
        <v>0</v>
      </c>
      <c r="O1343" s="43">
        <f t="shared" si="326"/>
        <v>0</v>
      </c>
      <c r="P1343" s="43">
        <f t="shared" si="319"/>
        <v>492647139</v>
      </c>
      <c r="Q1343" s="100"/>
      <c r="R1343" s="117"/>
    </row>
    <row r="1344" spans="1:18" x14ac:dyDescent="0.25">
      <c r="A1344" s="48" t="str">
        <f t="shared" si="320"/>
        <v>HT</v>
      </c>
      <c r="B1344" s="32" t="s">
        <v>1598</v>
      </c>
      <c r="C1344" s="39" t="s">
        <v>497</v>
      </c>
      <c r="D1344" s="13" t="s">
        <v>13</v>
      </c>
      <c r="E1344" s="123">
        <v>273.21600000000001</v>
      </c>
      <c r="F1344" s="136"/>
      <c r="G1344" s="125"/>
      <c r="H1344" s="125"/>
      <c r="I1344" s="125">
        <f t="shared" si="322"/>
        <v>273.21600000000001</v>
      </c>
      <c r="J1344" s="62">
        <f>'BIỂU HỢP ĐỒNG'!J1170</f>
        <v>86606</v>
      </c>
      <c r="K1344" s="43"/>
      <c r="L1344" s="62">
        <f t="shared" si="323"/>
        <v>23662145</v>
      </c>
      <c r="M1344" s="77">
        <f t="shared" si="324"/>
        <v>0</v>
      </c>
      <c r="N1344" s="43">
        <f t="shared" si="325"/>
        <v>0</v>
      </c>
      <c r="O1344" s="43">
        <f t="shared" si="326"/>
        <v>0</v>
      </c>
      <c r="P1344" s="43">
        <f t="shared" si="319"/>
        <v>23662145</v>
      </c>
      <c r="Q1344" s="100"/>
      <c r="R1344" s="117"/>
    </row>
    <row r="1345" spans="1:18" x14ac:dyDescent="0.25">
      <c r="A1345" s="48" t="str">
        <f t="shared" si="320"/>
        <v>HT</v>
      </c>
      <c r="B1345" s="32" t="s">
        <v>1599</v>
      </c>
      <c r="C1345" s="39" t="s">
        <v>1600</v>
      </c>
      <c r="D1345" s="13" t="s">
        <v>297</v>
      </c>
      <c r="E1345" s="123">
        <v>272</v>
      </c>
      <c r="F1345" s="136"/>
      <c r="G1345" s="125"/>
      <c r="H1345" s="125"/>
      <c r="I1345" s="125">
        <f t="shared" si="322"/>
        <v>272</v>
      </c>
      <c r="J1345" s="62">
        <f>'BIỂU HỢP ĐỒNG'!J1171</f>
        <v>36395</v>
      </c>
      <c r="K1345" s="43"/>
      <c r="L1345" s="62">
        <f t="shared" si="323"/>
        <v>9899440</v>
      </c>
      <c r="M1345" s="77">
        <f t="shared" si="324"/>
        <v>0</v>
      </c>
      <c r="N1345" s="43">
        <f t="shared" si="325"/>
        <v>0</v>
      </c>
      <c r="O1345" s="43">
        <f t="shared" si="326"/>
        <v>0</v>
      </c>
      <c r="P1345" s="43">
        <f t="shared" si="319"/>
        <v>9899440</v>
      </c>
      <c r="Q1345" s="100"/>
      <c r="R1345" s="117"/>
    </row>
    <row r="1346" spans="1:18" ht="47.25" customHeight="1" x14ac:dyDescent="0.25">
      <c r="A1346" s="48" t="str">
        <f t="shared" si="320"/>
        <v>HT</v>
      </c>
      <c r="B1346" s="32" t="s">
        <v>1601</v>
      </c>
      <c r="C1346" s="39" t="s">
        <v>910</v>
      </c>
      <c r="D1346" s="13" t="s">
        <v>250</v>
      </c>
      <c r="E1346" s="123">
        <v>272</v>
      </c>
      <c r="F1346" s="136"/>
      <c r="G1346" s="125"/>
      <c r="H1346" s="125"/>
      <c r="I1346" s="125">
        <f t="shared" si="322"/>
        <v>272</v>
      </c>
      <c r="J1346" s="62">
        <f>'BIỂU HỢP ĐỒNG'!J1172</f>
        <v>69167</v>
      </c>
      <c r="K1346" s="43"/>
      <c r="L1346" s="62">
        <f t="shared" si="323"/>
        <v>18813424</v>
      </c>
      <c r="M1346" s="77">
        <f t="shared" si="324"/>
        <v>0</v>
      </c>
      <c r="N1346" s="43">
        <f t="shared" si="325"/>
        <v>0</v>
      </c>
      <c r="O1346" s="43">
        <f t="shared" si="326"/>
        <v>0</v>
      </c>
      <c r="P1346" s="43">
        <f t="shared" si="319"/>
        <v>18813424</v>
      </c>
      <c r="Q1346" s="100"/>
      <c r="R1346" s="117"/>
    </row>
    <row r="1347" spans="1:18" ht="47.25" customHeight="1" x14ac:dyDescent="0.25">
      <c r="A1347" s="48" t="str">
        <f t="shared" si="320"/>
        <v>HT</v>
      </c>
      <c r="B1347" s="32" t="s">
        <v>1602</v>
      </c>
      <c r="C1347" s="39" t="s">
        <v>876</v>
      </c>
      <c r="D1347" s="13" t="s">
        <v>250</v>
      </c>
      <c r="E1347" s="123">
        <v>272</v>
      </c>
      <c r="F1347" s="136"/>
      <c r="G1347" s="125"/>
      <c r="H1347" s="125"/>
      <c r="I1347" s="125">
        <f t="shared" si="322"/>
        <v>272</v>
      </c>
      <c r="J1347" s="62">
        <f>'BIỂU HỢP ĐỒNG'!J1173</f>
        <v>52812</v>
      </c>
      <c r="K1347" s="43"/>
      <c r="L1347" s="62">
        <f t="shared" si="323"/>
        <v>14364864</v>
      </c>
      <c r="M1347" s="77">
        <f t="shared" si="324"/>
        <v>0</v>
      </c>
      <c r="N1347" s="43">
        <f t="shared" si="325"/>
        <v>0</v>
      </c>
      <c r="O1347" s="43">
        <f t="shared" si="326"/>
        <v>0</v>
      </c>
      <c r="P1347" s="43">
        <f t="shared" si="319"/>
        <v>14364864</v>
      </c>
      <c r="Q1347" s="100"/>
      <c r="R1347" s="117"/>
    </row>
    <row r="1348" spans="1:18" ht="31.5" customHeight="1" x14ac:dyDescent="0.25">
      <c r="A1348" s="48" t="str">
        <f t="shared" si="320"/>
        <v>HT</v>
      </c>
      <c r="B1348" s="32" t="s">
        <v>1603</v>
      </c>
      <c r="C1348" s="39" t="s">
        <v>284</v>
      </c>
      <c r="D1348" s="13" t="s">
        <v>253</v>
      </c>
      <c r="E1348" s="123">
        <v>15.075699999999999</v>
      </c>
      <c r="F1348" s="136"/>
      <c r="G1348" s="125"/>
      <c r="H1348" s="125"/>
      <c r="I1348" s="125">
        <f t="shared" si="322"/>
        <v>15.075699999999999</v>
      </c>
      <c r="J1348" s="62">
        <f>'BIỂU HỢP ĐỒNG'!J1174</f>
        <v>36271</v>
      </c>
      <c r="K1348" s="43"/>
      <c r="L1348" s="62">
        <f t="shared" si="323"/>
        <v>546811</v>
      </c>
      <c r="M1348" s="77">
        <f t="shared" si="324"/>
        <v>0</v>
      </c>
      <c r="N1348" s="43">
        <f t="shared" si="325"/>
        <v>0</v>
      </c>
      <c r="O1348" s="43">
        <f t="shared" si="326"/>
        <v>0</v>
      </c>
      <c r="P1348" s="43">
        <f t="shared" ref="P1348:P1411" si="327">SUM(L1348:O1348)</f>
        <v>546811</v>
      </c>
      <c r="Q1348" s="100"/>
      <c r="R1348" s="117"/>
    </row>
    <row r="1349" spans="1:18" x14ac:dyDescent="0.25">
      <c r="A1349" s="48" t="str">
        <f t="shared" si="320"/>
        <v>HT</v>
      </c>
      <c r="B1349" s="32" t="s">
        <v>1604</v>
      </c>
      <c r="C1349" s="39" t="s">
        <v>1605</v>
      </c>
      <c r="D1349" s="13" t="s">
        <v>13</v>
      </c>
      <c r="E1349" s="123">
        <v>488.00099999999998</v>
      </c>
      <c r="F1349" s="136"/>
      <c r="G1349" s="125"/>
      <c r="H1349" s="125"/>
      <c r="I1349" s="125">
        <f t="shared" si="322"/>
        <v>488.00099999999998</v>
      </c>
      <c r="J1349" s="62">
        <f>'BIỂU HỢP ĐỒNG'!J1175</f>
        <v>214840</v>
      </c>
      <c r="K1349" s="43"/>
      <c r="L1349" s="62">
        <f t="shared" si="323"/>
        <v>104842135</v>
      </c>
      <c r="M1349" s="77">
        <f t="shared" si="324"/>
        <v>0</v>
      </c>
      <c r="N1349" s="43">
        <f t="shared" si="325"/>
        <v>0</v>
      </c>
      <c r="O1349" s="43">
        <f t="shared" si="326"/>
        <v>0</v>
      </c>
      <c r="P1349" s="43">
        <f t="shared" si="327"/>
        <v>104842135</v>
      </c>
      <c r="Q1349" s="100"/>
      <c r="R1349" s="117"/>
    </row>
    <row r="1350" spans="1:18" x14ac:dyDescent="0.25">
      <c r="A1350" s="48" t="str">
        <f t="shared" si="320"/>
        <v>HT</v>
      </c>
      <c r="B1350" s="32" t="s">
        <v>1606</v>
      </c>
      <c r="C1350" s="39" t="s">
        <v>661</v>
      </c>
      <c r="D1350" s="13" t="s">
        <v>13</v>
      </c>
      <c r="E1350" s="123">
        <v>9.76</v>
      </c>
      <c r="F1350" s="136"/>
      <c r="G1350" s="125"/>
      <c r="H1350" s="125"/>
      <c r="I1350" s="125">
        <f t="shared" si="322"/>
        <v>9.76</v>
      </c>
      <c r="J1350" s="62">
        <f>'BIỂU HỢP ĐỒNG'!J1176</f>
        <v>72975</v>
      </c>
      <c r="K1350" s="43"/>
      <c r="L1350" s="62">
        <f t="shared" si="323"/>
        <v>712236</v>
      </c>
      <c r="M1350" s="77">
        <f t="shared" si="324"/>
        <v>0</v>
      </c>
      <c r="N1350" s="43">
        <f t="shared" si="325"/>
        <v>0</v>
      </c>
      <c r="O1350" s="43">
        <f t="shared" si="326"/>
        <v>0</v>
      </c>
      <c r="P1350" s="43">
        <f t="shared" si="327"/>
        <v>712236</v>
      </c>
      <c r="Q1350" s="100"/>
      <c r="R1350" s="117"/>
    </row>
    <row r="1351" spans="1:18" x14ac:dyDescent="0.25">
      <c r="A1351" s="48" t="str">
        <f t="shared" ref="A1351:A1414" si="328">A1350</f>
        <v>HT</v>
      </c>
      <c r="B1351" s="32" t="s">
        <v>1607</v>
      </c>
      <c r="C1351" s="39" t="s">
        <v>1608</v>
      </c>
      <c r="D1351" s="13" t="s">
        <v>362</v>
      </c>
      <c r="E1351" s="123">
        <v>123.12</v>
      </c>
      <c r="F1351" s="136"/>
      <c r="G1351" s="125"/>
      <c r="H1351" s="125"/>
      <c r="I1351" s="125">
        <f t="shared" si="322"/>
        <v>123.12</v>
      </c>
      <c r="J1351" s="62">
        <f>'BIỂU HỢP ĐỒNG'!J1177</f>
        <v>1351063</v>
      </c>
      <c r="K1351" s="43"/>
      <c r="L1351" s="62">
        <f t="shared" si="323"/>
        <v>166342877</v>
      </c>
      <c r="M1351" s="77">
        <f t="shared" si="324"/>
        <v>0</v>
      </c>
      <c r="N1351" s="43">
        <f t="shared" si="325"/>
        <v>0</v>
      </c>
      <c r="O1351" s="43">
        <f t="shared" si="326"/>
        <v>0</v>
      </c>
      <c r="P1351" s="43">
        <f t="shared" si="327"/>
        <v>166342877</v>
      </c>
      <c r="Q1351" s="100"/>
      <c r="R1351" s="117"/>
    </row>
    <row r="1352" spans="1:18" x14ac:dyDescent="0.25">
      <c r="A1352" s="48" t="str">
        <f t="shared" si="328"/>
        <v>HT</v>
      </c>
      <c r="B1352" s="32" t="s">
        <v>1609</v>
      </c>
      <c r="C1352" s="39" t="s">
        <v>1610</v>
      </c>
      <c r="D1352" s="13" t="s">
        <v>428</v>
      </c>
      <c r="E1352" s="123">
        <v>24</v>
      </c>
      <c r="F1352" s="136"/>
      <c r="G1352" s="125"/>
      <c r="H1352" s="125"/>
      <c r="I1352" s="125">
        <f t="shared" si="322"/>
        <v>24</v>
      </c>
      <c r="J1352" s="62">
        <f>'BIỂU HỢP ĐỒNG'!J1178</f>
        <v>174876</v>
      </c>
      <c r="K1352" s="43"/>
      <c r="L1352" s="62">
        <f t="shared" si="323"/>
        <v>4197024</v>
      </c>
      <c r="M1352" s="77">
        <f t="shared" si="324"/>
        <v>0</v>
      </c>
      <c r="N1352" s="43">
        <f t="shared" si="325"/>
        <v>0</v>
      </c>
      <c r="O1352" s="43">
        <f t="shared" si="326"/>
        <v>0</v>
      </c>
      <c r="P1352" s="43">
        <f t="shared" si="327"/>
        <v>4197024</v>
      </c>
      <c r="Q1352" s="100"/>
      <c r="R1352" s="117"/>
    </row>
    <row r="1353" spans="1:18" x14ac:dyDescent="0.25">
      <c r="A1353" s="48" t="str">
        <f t="shared" si="328"/>
        <v>HT</v>
      </c>
      <c r="B1353" s="32" t="s">
        <v>1611</v>
      </c>
      <c r="C1353" s="39" t="s">
        <v>1612</v>
      </c>
      <c r="D1353" s="13" t="s">
        <v>1613</v>
      </c>
      <c r="E1353" s="123">
        <v>42</v>
      </c>
      <c r="F1353" s="136"/>
      <c r="G1353" s="125"/>
      <c r="H1353" s="125"/>
      <c r="I1353" s="125">
        <f t="shared" si="322"/>
        <v>42</v>
      </c>
      <c r="J1353" s="62">
        <f>'BIỂU HỢP ĐỒNG'!J1179</f>
        <v>679609</v>
      </c>
      <c r="K1353" s="43"/>
      <c r="L1353" s="62">
        <f t="shared" si="323"/>
        <v>28543578</v>
      </c>
      <c r="M1353" s="77">
        <f t="shared" si="324"/>
        <v>0</v>
      </c>
      <c r="N1353" s="43">
        <f t="shared" si="325"/>
        <v>0</v>
      </c>
      <c r="O1353" s="43">
        <f t="shared" si="326"/>
        <v>0</v>
      </c>
      <c r="P1353" s="43">
        <f t="shared" si="327"/>
        <v>28543578</v>
      </c>
      <c r="Q1353" s="100"/>
      <c r="R1353" s="117"/>
    </row>
    <row r="1354" spans="1:18" ht="31.5" customHeight="1" x14ac:dyDescent="0.25">
      <c r="A1354" s="48" t="str">
        <f t="shared" si="328"/>
        <v>HT</v>
      </c>
      <c r="B1354" s="32" t="s">
        <v>1614</v>
      </c>
      <c r="C1354" s="39" t="s">
        <v>1615</v>
      </c>
      <c r="D1354" s="13" t="s">
        <v>1616</v>
      </c>
      <c r="E1354" s="123">
        <v>28</v>
      </c>
      <c r="F1354" s="136"/>
      <c r="G1354" s="125"/>
      <c r="H1354" s="125"/>
      <c r="I1354" s="125">
        <f t="shared" si="322"/>
        <v>28</v>
      </c>
      <c r="J1354" s="62">
        <f>'BIỂU HỢP ĐỒNG'!J1180</f>
        <v>284010</v>
      </c>
      <c r="K1354" s="43"/>
      <c r="L1354" s="62">
        <f t="shared" si="323"/>
        <v>7952280</v>
      </c>
      <c r="M1354" s="77">
        <f t="shared" si="324"/>
        <v>0</v>
      </c>
      <c r="N1354" s="43">
        <f t="shared" si="325"/>
        <v>0</v>
      </c>
      <c r="O1354" s="43">
        <f t="shared" si="326"/>
        <v>0</v>
      </c>
      <c r="P1354" s="43">
        <f t="shared" si="327"/>
        <v>7952280</v>
      </c>
      <c r="Q1354" s="100"/>
      <c r="R1354" s="117"/>
    </row>
    <row r="1355" spans="1:18" ht="31.5" customHeight="1" x14ac:dyDescent="0.25">
      <c r="A1355" s="48" t="str">
        <f t="shared" si="328"/>
        <v>HT</v>
      </c>
      <c r="B1355" s="32" t="s">
        <v>1617</v>
      </c>
      <c r="C1355" s="39" t="s">
        <v>1618</v>
      </c>
      <c r="D1355" s="13" t="s">
        <v>1616</v>
      </c>
      <c r="E1355" s="123">
        <v>14</v>
      </c>
      <c r="F1355" s="136"/>
      <c r="G1355" s="125"/>
      <c r="H1355" s="125"/>
      <c r="I1355" s="125">
        <f t="shared" si="322"/>
        <v>14</v>
      </c>
      <c r="J1355" s="62">
        <f>'BIỂU HỢP ĐỒNG'!J1181</f>
        <v>325457</v>
      </c>
      <c r="K1355" s="43"/>
      <c r="L1355" s="62">
        <f t="shared" si="323"/>
        <v>4556398</v>
      </c>
      <c r="M1355" s="77">
        <f t="shared" si="324"/>
        <v>0</v>
      </c>
      <c r="N1355" s="43">
        <f t="shared" si="325"/>
        <v>0</v>
      </c>
      <c r="O1355" s="43">
        <f t="shared" si="326"/>
        <v>0</v>
      </c>
      <c r="P1355" s="43">
        <f t="shared" si="327"/>
        <v>4556398</v>
      </c>
      <c r="Q1355" s="100"/>
      <c r="R1355" s="117"/>
    </row>
    <row r="1356" spans="1:18" x14ac:dyDescent="0.25">
      <c r="A1356" s="48" t="str">
        <f t="shared" si="328"/>
        <v>HT</v>
      </c>
      <c r="B1356" s="32" t="s">
        <v>1619</v>
      </c>
      <c r="C1356" s="39" t="s">
        <v>1620</v>
      </c>
      <c r="D1356" s="13" t="s">
        <v>1613</v>
      </c>
      <c r="E1356" s="123">
        <v>28</v>
      </c>
      <c r="F1356" s="136"/>
      <c r="G1356" s="125"/>
      <c r="H1356" s="125"/>
      <c r="I1356" s="125">
        <f t="shared" si="322"/>
        <v>28</v>
      </c>
      <c r="J1356" s="62">
        <f>'BIỂU HỢP ĐỒNG'!J1182</f>
        <v>6759106</v>
      </c>
      <c r="K1356" s="43"/>
      <c r="L1356" s="62">
        <f t="shared" si="323"/>
        <v>189254968</v>
      </c>
      <c r="M1356" s="77">
        <f t="shared" si="324"/>
        <v>0</v>
      </c>
      <c r="N1356" s="43">
        <f t="shared" si="325"/>
        <v>0</v>
      </c>
      <c r="O1356" s="43">
        <f t="shared" si="326"/>
        <v>0</v>
      </c>
      <c r="P1356" s="43">
        <f t="shared" si="327"/>
        <v>189254968</v>
      </c>
      <c r="Q1356" s="100"/>
      <c r="R1356" s="117"/>
    </row>
    <row r="1357" spans="1:18" x14ac:dyDescent="0.25">
      <c r="A1357" s="48" t="str">
        <f t="shared" si="328"/>
        <v>HT</v>
      </c>
      <c r="B1357" s="32" t="s">
        <v>1621</v>
      </c>
      <c r="C1357" s="39" t="s">
        <v>1622</v>
      </c>
      <c r="D1357" s="13" t="s">
        <v>1613</v>
      </c>
      <c r="E1357" s="123">
        <v>14</v>
      </c>
      <c r="F1357" s="136"/>
      <c r="G1357" s="125"/>
      <c r="H1357" s="125"/>
      <c r="I1357" s="125">
        <f t="shared" si="322"/>
        <v>14</v>
      </c>
      <c r="J1357" s="62">
        <f>'BIỂU HỢP ĐỒNG'!J1183</f>
        <v>8621833</v>
      </c>
      <c r="K1357" s="43"/>
      <c r="L1357" s="62">
        <f t="shared" si="323"/>
        <v>120705662</v>
      </c>
      <c r="M1357" s="77">
        <f t="shared" si="324"/>
        <v>0</v>
      </c>
      <c r="N1357" s="43">
        <f t="shared" si="325"/>
        <v>0</v>
      </c>
      <c r="O1357" s="43">
        <f t="shared" si="326"/>
        <v>0</v>
      </c>
      <c r="P1357" s="43">
        <f t="shared" si="327"/>
        <v>120705662</v>
      </c>
      <c r="Q1357" s="100"/>
      <c r="R1357" s="117"/>
    </row>
    <row r="1358" spans="1:18" x14ac:dyDescent="0.25">
      <c r="A1358" s="48" t="str">
        <f t="shared" si="328"/>
        <v>HT</v>
      </c>
      <c r="B1358" s="32" t="s">
        <v>1623</v>
      </c>
      <c r="C1358" s="39" t="s">
        <v>1624</v>
      </c>
      <c r="D1358" s="13" t="s">
        <v>16</v>
      </c>
      <c r="E1358" s="123">
        <v>17.329899999999999</v>
      </c>
      <c r="F1358" s="136"/>
      <c r="G1358" s="125"/>
      <c r="H1358" s="125"/>
      <c r="I1358" s="125">
        <f t="shared" si="322"/>
        <v>17.329899999999999</v>
      </c>
      <c r="J1358" s="62">
        <f>'BIỂU HỢP ĐỒNG'!J1184</f>
        <v>856271</v>
      </c>
      <c r="K1358" s="43"/>
      <c r="L1358" s="62">
        <f t="shared" si="323"/>
        <v>14839091</v>
      </c>
      <c r="M1358" s="77">
        <f t="shared" si="324"/>
        <v>0</v>
      </c>
      <c r="N1358" s="43">
        <f t="shared" si="325"/>
        <v>0</v>
      </c>
      <c r="O1358" s="43">
        <f t="shared" si="326"/>
        <v>0</v>
      </c>
      <c r="P1358" s="43">
        <f t="shared" si="327"/>
        <v>14839091</v>
      </c>
      <c r="Q1358" s="100"/>
      <c r="R1358" s="117"/>
    </row>
    <row r="1359" spans="1:18" x14ac:dyDescent="0.25">
      <c r="A1359" s="48" t="str">
        <f t="shared" si="328"/>
        <v>HT</v>
      </c>
      <c r="B1359" s="32" t="s">
        <v>1625</v>
      </c>
      <c r="C1359" s="39" t="s">
        <v>670</v>
      </c>
      <c r="D1359" s="13" t="s">
        <v>16</v>
      </c>
      <c r="E1359" s="123">
        <v>5.46</v>
      </c>
      <c r="F1359" s="136"/>
      <c r="G1359" s="125"/>
      <c r="H1359" s="125"/>
      <c r="I1359" s="125">
        <f t="shared" si="322"/>
        <v>5.46</v>
      </c>
      <c r="J1359" s="62">
        <f>'BIỂU HỢP ĐỒNG'!J1185</f>
        <v>1346046</v>
      </c>
      <c r="K1359" s="43"/>
      <c r="L1359" s="62">
        <f t="shared" si="323"/>
        <v>7349411</v>
      </c>
      <c r="M1359" s="77">
        <f t="shared" si="324"/>
        <v>0</v>
      </c>
      <c r="N1359" s="43">
        <f t="shared" si="325"/>
        <v>0</v>
      </c>
      <c r="O1359" s="43">
        <f t="shared" si="326"/>
        <v>0</v>
      </c>
      <c r="P1359" s="43">
        <f t="shared" si="327"/>
        <v>7349411</v>
      </c>
      <c r="Q1359" s="100"/>
      <c r="R1359" s="117"/>
    </row>
    <row r="1360" spans="1:18" x14ac:dyDescent="0.25">
      <c r="A1360" s="48" t="str">
        <f t="shared" si="328"/>
        <v>HT</v>
      </c>
      <c r="B1360" s="32" t="s">
        <v>1626</v>
      </c>
      <c r="C1360" s="39" t="s">
        <v>1627</v>
      </c>
      <c r="D1360" s="13" t="s">
        <v>16</v>
      </c>
      <c r="E1360" s="123">
        <v>16.388999999999999</v>
      </c>
      <c r="F1360" s="136"/>
      <c r="G1360" s="125"/>
      <c r="H1360" s="125"/>
      <c r="I1360" s="125">
        <f t="shared" si="322"/>
        <v>16.388999999999999</v>
      </c>
      <c r="J1360" s="62">
        <f>'BIỂU HỢP ĐỒNG'!J1186</f>
        <v>1731530</v>
      </c>
      <c r="K1360" s="43"/>
      <c r="L1360" s="62">
        <f t="shared" si="323"/>
        <v>28378045</v>
      </c>
      <c r="M1360" s="77">
        <f t="shared" si="324"/>
        <v>0</v>
      </c>
      <c r="N1360" s="43">
        <f t="shared" si="325"/>
        <v>0</v>
      </c>
      <c r="O1360" s="43">
        <f t="shared" si="326"/>
        <v>0</v>
      </c>
      <c r="P1360" s="43">
        <f t="shared" si="327"/>
        <v>28378045</v>
      </c>
      <c r="Q1360" s="100"/>
      <c r="R1360" s="117"/>
    </row>
    <row r="1361" spans="1:18" x14ac:dyDescent="0.25">
      <c r="A1361" s="48" t="str">
        <f t="shared" si="328"/>
        <v>HT</v>
      </c>
      <c r="B1361" s="32" t="s">
        <v>1628</v>
      </c>
      <c r="C1361" s="39" t="s">
        <v>1629</v>
      </c>
      <c r="D1361" s="13" t="s">
        <v>90</v>
      </c>
      <c r="E1361" s="123">
        <v>1.6393</v>
      </c>
      <c r="F1361" s="136"/>
      <c r="G1361" s="125"/>
      <c r="H1361" s="125"/>
      <c r="I1361" s="125">
        <f t="shared" si="322"/>
        <v>1.6393</v>
      </c>
      <c r="J1361" s="62">
        <f>'BIỂU HỢP ĐỒNG'!J1187</f>
        <v>24801577</v>
      </c>
      <c r="K1361" s="43"/>
      <c r="L1361" s="62">
        <f t="shared" si="323"/>
        <v>40657225</v>
      </c>
      <c r="M1361" s="77">
        <f t="shared" si="324"/>
        <v>0</v>
      </c>
      <c r="N1361" s="43">
        <f t="shared" si="325"/>
        <v>0</v>
      </c>
      <c r="O1361" s="43">
        <f t="shared" si="326"/>
        <v>0</v>
      </c>
      <c r="P1361" s="43">
        <f t="shared" si="327"/>
        <v>40657225</v>
      </c>
      <c r="Q1361" s="100"/>
      <c r="R1361" s="117"/>
    </row>
    <row r="1362" spans="1:18" x14ac:dyDescent="0.25">
      <c r="A1362" s="48" t="str">
        <f t="shared" si="328"/>
        <v>HT</v>
      </c>
      <c r="B1362" s="32" t="s">
        <v>1630</v>
      </c>
      <c r="C1362" s="39" t="s">
        <v>1631</v>
      </c>
      <c r="D1362" s="13" t="s">
        <v>13</v>
      </c>
      <c r="E1362" s="123">
        <v>71.14</v>
      </c>
      <c r="F1362" s="136"/>
      <c r="G1362" s="125"/>
      <c r="H1362" s="125"/>
      <c r="I1362" s="125">
        <f t="shared" si="322"/>
        <v>71.14</v>
      </c>
      <c r="J1362" s="62">
        <f>'BIỂU HỢP ĐỒNG'!J1188</f>
        <v>65242</v>
      </c>
      <c r="K1362" s="43"/>
      <c r="L1362" s="62">
        <f t="shared" si="323"/>
        <v>4641316</v>
      </c>
      <c r="M1362" s="77">
        <f t="shared" si="324"/>
        <v>0</v>
      </c>
      <c r="N1362" s="43">
        <f t="shared" si="325"/>
        <v>0</v>
      </c>
      <c r="O1362" s="43">
        <f t="shared" si="326"/>
        <v>0</v>
      </c>
      <c r="P1362" s="43">
        <f t="shared" si="327"/>
        <v>4641316</v>
      </c>
      <c r="Q1362" s="100"/>
      <c r="R1362" s="117"/>
    </row>
    <row r="1363" spans="1:18" x14ac:dyDescent="0.25">
      <c r="A1363" s="48" t="str">
        <f t="shared" si="328"/>
        <v>HT</v>
      </c>
      <c r="B1363" s="32" t="s">
        <v>1632</v>
      </c>
      <c r="C1363" s="39" t="s">
        <v>1633</v>
      </c>
      <c r="D1363" s="13" t="s">
        <v>16</v>
      </c>
      <c r="E1363" s="123">
        <v>16.388999999999999</v>
      </c>
      <c r="F1363" s="136"/>
      <c r="G1363" s="125"/>
      <c r="H1363" s="125"/>
      <c r="I1363" s="125">
        <f t="shared" si="322"/>
        <v>16.388999999999999</v>
      </c>
      <c r="J1363" s="62">
        <f>'BIỂU HỢP ĐỒNG'!J1189</f>
        <v>527970</v>
      </c>
      <c r="K1363" s="43"/>
      <c r="L1363" s="62">
        <f t="shared" si="323"/>
        <v>8652900</v>
      </c>
      <c r="M1363" s="77">
        <f t="shared" si="324"/>
        <v>0</v>
      </c>
      <c r="N1363" s="43">
        <f t="shared" si="325"/>
        <v>0</v>
      </c>
      <c r="O1363" s="43">
        <f t="shared" si="326"/>
        <v>0</v>
      </c>
      <c r="P1363" s="43">
        <f t="shared" si="327"/>
        <v>8652900</v>
      </c>
      <c r="Q1363" s="100"/>
      <c r="R1363" s="117"/>
    </row>
    <row r="1364" spans="1:18" x14ac:dyDescent="0.25">
      <c r="A1364" s="48" t="str">
        <f t="shared" si="328"/>
        <v>HT</v>
      </c>
      <c r="B1364" s="32" t="s">
        <v>1634</v>
      </c>
      <c r="C1364" s="39" t="s">
        <v>1635</v>
      </c>
      <c r="D1364" s="13" t="s">
        <v>16</v>
      </c>
      <c r="E1364" s="123">
        <v>5.46</v>
      </c>
      <c r="F1364" s="136"/>
      <c r="G1364" s="125"/>
      <c r="H1364" s="125"/>
      <c r="I1364" s="125">
        <f t="shared" si="322"/>
        <v>5.46</v>
      </c>
      <c r="J1364" s="62">
        <f>'BIỂU HỢP ĐỒNG'!J1190</f>
        <v>167496</v>
      </c>
      <c r="K1364" s="43"/>
      <c r="L1364" s="62">
        <f t="shared" si="323"/>
        <v>914528</v>
      </c>
      <c r="M1364" s="77">
        <f t="shared" si="324"/>
        <v>0</v>
      </c>
      <c r="N1364" s="43">
        <f t="shared" si="325"/>
        <v>0</v>
      </c>
      <c r="O1364" s="43">
        <f t="shared" si="326"/>
        <v>0</v>
      </c>
      <c r="P1364" s="43">
        <f t="shared" si="327"/>
        <v>914528</v>
      </c>
      <c r="Q1364" s="100"/>
      <c r="R1364" s="117"/>
    </row>
    <row r="1365" spans="1:18" x14ac:dyDescent="0.25">
      <c r="A1365" s="48" t="str">
        <f t="shared" si="328"/>
        <v>HT</v>
      </c>
      <c r="B1365" s="32" t="s">
        <v>1636</v>
      </c>
      <c r="C1365" s="39" t="s">
        <v>1635</v>
      </c>
      <c r="D1365" s="13" t="s">
        <v>16</v>
      </c>
      <c r="E1365" s="123">
        <v>17.329899999999999</v>
      </c>
      <c r="F1365" s="136"/>
      <c r="G1365" s="125"/>
      <c r="H1365" s="125"/>
      <c r="I1365" s="125">
        <f t="shared" si="322"/>
        <v>17.329899999999999</v>
      </c>
      <c r="J1365" s="62">
        <f>'BIỂU HỢP ĐỒNG'!J1191</f>
        <v>11436</v>
      </c>
      <c r="K1365" s="43"/>
      <c r="L1365" s="62">
        <f t="shared" si="323"/>
        <v>198185</v>
      </c>
      <c r="M1365" s="77">
        <f t="shared" si="324"/>
        <v>0</v>
      </c>
      <c r="N1365" s="43">
        <f t="shared" ref="N1365:N1382" si="329">+ROUND(G1365*J1365,0)</f>
        <v>0</v>
      </c>
      <c r="O1365" s="43">
        <f t="shared" si="326"/>
        <v>0</v>
      </c>
      <c r="P1365" s="43">
        <f t="shared" si="327"/>
        <v>198185</v>
      </c>
      <c r="Q1365" s="100"/>
      <c r="R1365" s="117"/>
    </row>
    <row r="1366" spans="1:18" x14ac:dyDescent="0.25">
      <c r="A1366" s="48" t="str">
        <f t="shared" si="328"/>
        <v>HT</v>
      </c>
      <c r="B1366" s="32" t="s">
        <v>1637</v>
      </c>
      <c r="C1366" s="39" t="s">
        <v>36</v>
      </c>
      <c r="D1366" s="13" t="s">
        <v>16</v>
      </c>
      <c r="E1366" s="123">
        <v>39.18</v>
      </c>
      <c r="F1366" s="136"/>
      <c r="G1366" s="125"/>
      <c r="H1366" s="125"/>
      <c r="I1366" s="125">
        <f t="shared" si="322"/>
        <v>39.18</v>
      </c>
      <c r="J1366" s="62">
        <f>'BIỂU HỢP ĐỒNG'!J1192</f>
        <v>57318.19</v>
      </c>
      <c r="K1366" s="43"/>
      <c r="L1366" s="62">
        <f t="shared" si="323"/>
        <v>2245727</v>
      </c>
      <c r="M1366" s="77">
        <f t="shared" si="324"/>
        <v>0</v>
      </c>
      <c r="N1366" s="43">
        <f t="shared" si="329"/>
        <v>0</v>
      </c>
      <c r="O1366" s="43">
        <f t="shared" si="326"/>
        <v>0</v>
      </c>
      <c r="P1366" s="43">
        <f t="shared" si="327"/>
        <v>2245727</v>
      </c>
      <c r="Q1366" s="100"/>
      <c r="R1366" s="117"/>
    </row>
    <row r="1367" spans="1:18" ht="31.5" customHeight="1" x14ac:dyDescent="0.25">
      <c r="A1367" s="48" t="str">
        <f t="shared" si="328"/>
        <v>HT</v>
      </c>
      <c r="B1367" s="32" t="s">
        <v>1638</v>
      </c>
      <c r="C1367" s="39" t="s">
        <v>1639</v>
      </c>
      <c r="D1367" s="13" t="s">
        <v>90</v>
      </c>
      <c r="E1367" s="123">
        <v>3.7563</v>
      </c>
      <c r="F1367" s="136"/>
      <c r="G1367" s="125"/>
      <c r="H1367" s="125"/>
      <c r="I1367" s="125">
        <f t="shared" si="322"/>
        <v>3.7563</v>
      </c>
      <c r="J1367" s="62">
        <f>'BIỂU HỢP ĐỒNG'!J1193</f>
        <v>10406267</v>
      </c>
      <c r="K1367" s="43"/>
      <c r="L1367" s="62">
        <f t="shared" si="323"/>
        <v>39089061</v>
      </c>
      <c r="M1367" s="77">
        <f t="shared" si="324"/>
        <v>0</v>
      </c>
      <c r="N1367" s="43">
        <f t="shared" si="329"/>
        <v>0</v>
      </c>
      <c r="O1367" s="43">
        <f t="shared" si="326"/>
        <v>0</v>
      </c>
      <c r="P1367" s="43">
        <f t="shared" si="327"/>
        <v>39089061</v>
      </c>
      <c r="Q1367" s="100"/>
      <c r="R1367" s="117"/>
    </row>
    <row r="1368" spans="1:18" x14ac:dyDescent="0.25">
      <c r="A1368" s="48" t="str">
        <f t="shared" si="328"/>
        <v>HT</v>
      </c>
      <c r="B1368" s="32" t="s">
        <v>1640</v>
      </c>
      <c r="C1368" s="39" t="s">
        <v>1641</v>
      </c>
      <c r="D1368" s="13" t="s">
        <v>90</v>
      </c>
      <c r="E1368" s="123">
        <v>3.7563</v>
      </c>
      <c r="F1368" s="136"/>
      <c r="G1368" s="125"/>
      <c r="H1368" s="125"/>
      <c r="I1368" s="125">
        <f t="shared" si="322"/>
        <v>3.7563</v>
      </c>
      <c r="J1368" s="62">
        <f>'BIỂU HỢP ĐỒNG'!J1194</f>
        <v>9605637</v>
      </c>
      <c r="K1368" s="43"/>
      <c r="L1368" s="62">
        <f t="shared" si="323"/>
        <v>36081654</v>
      </c>
      <c r="M1368" s="77">
        <f t="shared" si="324"/>
        <v>0</v>
      </c>
      <c r="N1368" s="43">
        <f t="shared" si="329"/>
        <v>0</v>
      </c>
      <c r="O1368" s="43">
        <f t="shared" si="326"/>
        <v>0</v>
      </c>
      <c r="P1368" s="43">
        <f t="shared" si="327"/>
        <v>36081654</v>
      </c>
      <c r="Q1368" s="100"/>
      <c r="R1368" s="117"/>
    </row>
    <row r="1369" spans="1:18" ht="31.5" customHeight="1" x14ac:dyDescent="0.25">
      <c r="A1369" s="48" t="str">
        <f t="shared" si="328"/>
        <v>HT</v>
      </c>
      <c r="B1369" s="32" t="s">
        <v>1642</v>
      </c>
      <c r="C1369" s="39" t="s">
        <v>1643</v>
      </c>
      <c r="D1369" s="13" t="s">
        <v>90</v>
      </c>
      <c r="E1369" s="123">
        <v>1.4723999999999999</v>
      </c>
      <c r="F1369" s="136"/>
      <c r="G1369" s="125"/>
      <c r="H1369" s="125"/>
      <c r="I1369" s="125">
        <f t="shared" si="322"/>
        <v>1.4723999999999999</v>
      </c>
      <c r="J1369" s="62">
        <f>'BIỂU HỢP ĐỒNG'!J1195</f>
        <v>10406267</v>
      </c>
      <c r="K1369" s="43"/>
      <c r="L1369" s="62">
        <f t="shared" si="323"/>
        <v>15322188</v>
      </c>
      <c r="M1369" s="77">
        <f t="shared" si="324"/>
        <v>0</v>
      </c>
      <c r="N1369" s="43">
        <f t="shared" si="329"/>
        <v>0</v>
      </c>
      <c r="O1369" s="43">
        <f t="shared" si="326"/>
        <v>0</v>
      </c>
      <c r="P1369" s="43">
        <f t="shared" si="327"/>
        <v>15322188</v>
      </c>
      <c r="Q1369" s="100"/>
      <c r="R1369" s="117"/>
    </row>
    <row r="1370" spans="1:18" ht="31.5" customHeight="1" x14ac:dyDescent="0.25">
      <c r="A1370" s="48" t="str">
        <f t="shared" si="328"/>
        <v>HT</v>
      </c>
      <c r="B1370" s="32" t="s">
        <v>1644</v>
      </c>
      <c r="C1370" s="39" t="s">
        <v>1645</v>
      </c>
      <c r="D1370" s="13" t="s">
        <v>90</v>
      </c>
      <c r="E1370" s="123">
        <v>1.4723999999999999</v>
      </c>
      <c r="F1370" s="136"/>
      <c r="G1370" s="125"/>
      <c r="H1370" s="125"/>
      <c r="I1370" s="125">
        <f t="shared" si="322"/>
        <v>1.4723999999999999</v>
      </c>
      <c r="J1370" s="62">
        <f>'BIỂU HỢP ĐỒNG'!J1196</f>
        <v>15392164</v>
      </c>
      <c r="K1370" s="43"/>
      <c r="L1370" s="62">
        <f t="shared" si="323"/>
        <v>22663422</v>
      </c>
      <c r="M1370" s="77">
        <f t="shared" si="324"/>
        <v>0</v>
      </c>
      <c r="N1370" s="43">
        <f t="shared" si="329"/>
        <v>0</v>
      </c>
      <c r="O1370" s="43">
        <f t="shared" si="326"/>
        <v>0</v>
      </c>
      <c r="P1370" s="43">
        <f t="shared" si="327"/>
        <v>22663422</v>
      </c>
      <c r="Q1370" s="100"/>
      <c r="R1370" s="117"/>
    </row>
    <row r="1371" spans="1:18" ht="31.5" customHeight="1" x14ac:dyDescent="0.25">
      <c r="A1371" s="48" t="str">
        <f t="shared" si="328"/>
        <v>HT</v>
      </c>
      <c r="B1371" s="32" t="s">
        <v>1646</v>
      </c>
      <c r="C1371" s="39" t="s">
        <v>1647</v>
      </c>
      <c r="D1371" s="13" t="s">
        <v>90</v>
      </c>
      <c r="E1371" s="123">
        <v>5.2286999999999999</v>
      </c>
      <c r="F1371" s="136"/>
      <c r="G1371" s="125"/>
      <c r="H1371" s="125"/>
      <c r="I1371" s="125">
        <f t="shared" si="322"/>
        <v>5.2286999999999999</v>
      </c>
      <c r="J1371" s="62">
        <f>'BIỂU HỢP ĐỒNG'!J1197</f>
        <v>5687244</v>
      </c>
      <c r="K1371" s="43"/>
      <c r="L1371" s="62">
        <f t="shared" si="323"/>
        <v>29736893</v>
      </c>
      <c r="M1371" s="77">
        <f t="shared" si="324"/>
        <v>0</v>
      </c>
      <c r="N1371" s="43">
        <f t="shared" si="329"/>
        <v>0</v>
      </c>
      <c r="O1371" s="43">
        <f t="shared" si="326"/>
        <v>0</v>
      </c>
      <c r="P1371" s="43">
        <f t="shared" si="327"/>
        <v>29736893</v>
      </c>
      <c r="Q1371" s="100"/>
      <c r="R1371" s="117"/>
    </row>
    <row r="1372" spans="1:18" ht="31.5" customHeight="1" x14ac:dyDescent="0.25">
      <c r="A1372" s="48" t="str">
        <f t="shared" si="328"/>
        <v>HT</v>
      </c>
      <c r="B1372" s="32" t="s">
        <v>1648</v>
      </c>
      <c r="C1372" s="39" t="s">
        <v>1649</v>
      </c>
      <c r="D1372" s="13" t="s">
        <v>90</v>
      </c>
      <c r="E1372" s="123">
        <v>5.2286999999999999</v>
      </c>
      <c r="F1372" s="136"/>
      <c r="G1372" s="125"/>
      <c r="H1372" s="125"/>
      <c r="I1372" s="125">
        <f t="shared" si="322"/>
        <v>5.2286999999999999</v>
      </c>
      <c r="J1372" s="62">
        <f>'BIỂU HỢP ĐỒNG'!J1198</f>
        <v>2343426</v>
      </c>
      <c r="K1372" s="43"/>
      <c r="L1372" s="62">
        <f t="shared" si="323"/>
        <v>12253072</v>
      </c>
      <c r="M1372" s="77">
        <f t="shared" si="324"/>
        <v>0</v>
      </c>
      <c r="N1372" s="43">
        <f t="shared" si="329"/>
        <v>0</v>
      </c>
      <c r="O1372" s="43">
        <f t="shared" si="326"/>
        <v>0</v>
      </c>
      <c r="P1372" s="43">
        <f t="shared" si="327"/>
        <v>12253072</v>
      </c>
      <c r="Q1372" s="100"/>
      <c r="R1372" s="117"/>
    </row>
    <row r="1373" spans="1:18" x14ac:dyDescent="0.25">
      <c r="A1373" s="48" t="str">
        <f t="shared" si="328"/>
        <v>HT</v>
      </c>
      <c r="B1373" s="32" t="s">
        <v>1650</v>
      </c>
      <c r="C1373" s="39" t="s">
        <v>1651</v>
      </c>
      <c r="D1373" s="13" t="s">
        <v>16</v>
      </c>
      <c r="E1373" s="123">
        <v>1.2</v>
      </c>
      <c r="F1373" s="136"/>
      <c r="G1373" s="125"/>
      <c r="H1373" s="125"/>
      <c r="I1373" s="125">
        <f t="shared" si="322"/>
        <v>1.2</v>
      </c>
      <c r="J1373" s="62">
        <f>'BIỂU HỢP ĐỒNG'!J1199</f>
        <v>1719728</v>
      </c>
      <c r="K1373" s="43"/>
      <c r="L1373" s="62">
        <f t="shared" si="323"/>
        <v>2063674</v>
      </c>
      <c r="M1373" s="77">
        <f t="shared" si="324"/>
        <v>0</v>
      </c>
      <c r="N1373" s="43">
        <f t="shared" si="329"/>
        <v>0</v>
      </c>
      <c r="O1373" s="43">
        <f t="shared" si="326"/>
        <v>0</v>
      </c>
      <c r="P1373" s="43">
        <f t="shared" si="327"/>
        <v>2063674</v>
      </c>
      <c r="Q1373" s="100"/>
      <c r="R1373" s="117"/>
    </row>
    <row r="1374" spans="1:18" x14ac:dyDescent="0.25">
      <c r="A1374" s="48" t="str">
        <f t="shared" si="328"/>
        <v>HT</v>
      </c>
      <c r="B1374" s="32" t="s">
        <v>1652</v>
      </c>
      <c r="C1374" s="39" t="s">
        <v>1653</v>
      </c>
      <c r="D1374" s="13" t="s">
        <v>428</v>
      </c>
      <c r="E1374" s="123">
        <v>48</v>
      </c>
      <c r="F1374" s="136"/>
      <c r="G1374" s="125"/>
      <c r="H1374" s="125"/>
      <c r="I1374" s="125">
        <f t="shared" si="322"/>
        <v>48</v>
      </c>
      <c r="J1374" s="62">
        <f>'BIỂU HỢP ĐỒNG'!J1200</f>
        <v>23565</v>
      </c>
      <c r="K1374" s="43"/>
      <c r="L1374" s="62">
        <f t="shared" si="323"/>
        <v>1131120</v>
      </c>
      <c r="M1374" s="77">
        <f t="shared" si="324"/>
        <v>0</v>
      </c>
      <c r="N1374" s="43">
        <f t="shared" si="329"/>
        <v>0</v>
      </c>
      <c r="O1374" s="43">
        <f t="shared" si="326"/>
        <v>0</v>
      </c>
      <c r="P1374" s="43">
        <f t="shared" si="327"/>
        <v>1131120</v>
      </c>
      <c r="Q1374" s="100"/>
      <c r="R1374" s="117"/>
    </row>
    <row r="1375" spans="1:18" x14ac:dyDescent="0.25">
      <c r="A1375" s="48" t="str">
        <f t="shared" si="328"/>
        <v>HT</v>
      </c>
      <c r="B1375" s="32" t="s">
        <v>1654</v>
      </c>
      <c r="C1375" s="39" t="s">
        <v>1655</v>
      </c>
      <c r="D1375" s="13" t="s">
        <v>428</v>
      </c>
      <c r="E1375" s="123">
        <v>48</v>
      </c>
      <c r="F1375" s="136"/>
      <c r="G1375" s="125"/>
      <c r="H1375" s="125"/>
      <c r="I1375" s="125">
        <f t="shared" si="322"/>
        <v>48</v>
      </c>
      <c r="J1375" s="62">
        <f>'BIỂU HỢP ĐỒNG'!J1201</f>
        <v>21010</v>
      </c>
      <c r="K1375" s="43"/>
      <c r="L1375" s="62">
        <f t="shared" si="323"/>
        <v>1008480</v>
      </c>
      <c r="M1375" s="77">
        <f t="shared" si="324"/>
        <v>0</v>
      </c>
      <c r="N1375" s="43">
        <f t="shared" si="329"/>
        <v>0</v>
      </c>
      <c r="O1375" s="43">
        <f t="shared" si="326"/>
        <v>0</v>
      </c>
      <c r="P1375" s="43">
        <f t="shared" si="327"/>
        <v>1008480</v>
      </c>
      <c r="Q1375" s="100"/>
      <c r="R1375" s="117"/>
    </row>
    <row r="1376" spans="1:18" x14ac:dyDescent="0.25">
      <c r="A1376" s="48" t="str">
        <f t="shared" si="328"/>
        <v>HT</v>
      </c>
      <c r="B1376" s="32" t="s">
        <v>1656</v>
      </c>
      <c r="C1376" s="39" t="s">
        <v>1657</v>
      </c>
      <c r="D1376" s="13" t="s">
        <v>428</v>
      </c>
      <c r="E1376" s="123">
        <v>67.2</v>
      </c>
      <c r="F1376" s="136"/>
      <c r="G1376" s="125"/>
      <c r="H1376" s="125"/>
      <c r="I1376" s="125">
        <f t="shared" si="322"/>
        <v>67.2</v>
      </c>
      <c r="J1376" s="62">
        <f>'BIỂU HỢP ĐỒNG'!J1202</f>
        <v>2229</v>
      </c>
      <c r="K1376" s="43"/>
      <c r="L1376" s="62">
        <f t="shared" si="323"/>
        <v>149789</v>
      </c>
      <c r="M1376" s="77">
        <f t="shared" si="324"/>
        <v>0</v>
      </c>
      <c r="N1376" s="43">
        <f t="shared" si="329"/>
        <v>0</v>
      </c>
      <c r="O1376" s="43">
        <f t="shared" si="326"/>
        <v>0</v>
      </c>
      <c r="P1376" s="43">
        <f t="shared" si="327"/>
        <v>149789</v>
      </c>
      <c r="Q1376" s="100"/>
      <c r="R1376" s="117"/>
    </row>
    <row r="1377" spans="1:18" x14ac:dyDescent="0.25">
      <c r="A1377" s="48" t="str">
        <f t="shared" si="328"/>
        <v>HT</v>
      </c>
      <c r="B1377" s="32" t="s">
        <v>1658</v>
      </c>
      <c r="C1377" s="39" t="s">
        <v>1659</v>
      </c>
      <c r="D1377" s="13" t="s">
        <v>90</v>
      </c>
      <c r="E1377" s="123">
        <v>0.04</v>
      </c>
      <c r="F1377" s="136"/>
      <c r="G1377" s="125"/>
      <c r="H1377" s="125"/>
      <c r="I1377" s="125">
        <f t="shared" si="322"/>
        <v>0.04</v>
      </c>
      <c r="J1377" s="62">
        <f>'BIỂU HỢP ĐỒNG'!J1203</f>
        <v>25182574</v>
      </c>
      <c r="K1377" s="43"/>
      <c r="L1377" s="62">
        <f t="shared" si="323"/>
        <v>1007303</v>
      </c>
      <c r="M1377" s="77">
        <f t="shared" si="324"/>
        <v>0</v>
      </c>
      <c r="N1377" s="43">
        <f t="shared" si="329"/>
        <v>0</v>
      </c>
      <c r="O1377" s="43">
        <f t="shared" si="326"/>
        <v>0</v>
      </c>
      <c r="P1377" s="43">
        <f t="shared" si="327"/>
        <v>1007303</v>
      </c>
      <c r="Q1377" s="100"/>
      <c r="R1377" s="117"/>
    </row>
    <row r="1378" spans="1:18" x14ac:dyDescent="0.25">
      <c r="A1378" s="48" t="str">
        <f t="shared" si="328"/>
        <v>HT</v>
      </c>
      <c r="B1378" s="32" t="s">
        <v>1660</v>
      </c>
      <c r="C1378" s="39" t="s">
        <v>1661</v>
      </c>
      <c r="D1378" s="13" t="s">
        <v>90</v>
      </c>
      <c r="E1378" s="123">
        <v>7.0266999999999999</v>
      </c>
      <c r="F1378" s="136"/>
      <c r="G1378" s="125"/>
      <c r="H1378" s="125"/>
      <c r="I1378" s="125">
        <f t="shared" si="322"/>
        <v>7.0266999999999999</v>
      </c>
      <c r="J1378" s="62">
        <f>'BIỂU HỢP ĐỒNG'!J1204</f>
        <v>24801577</v>
      </c>
      <c r="K1378" s="43"/>
      <c r="L1378" s="62">
        <f t="shared" si="323"/>
        <v>174273241</v>
      </c>
      <c r="M1378" s="77">
        <f t="shared" si="324"/>
        <v>0</v>
      </c>
      <c r="N1378" s="43">
        <f t="shared" si="329"/>
        <v>0</v>
      </c>
      <c r="O1378" s="43">
        <f t="shared" si="326"/>
        <v>0</v>
      </c>
      <c r="P1378" s="43">
        <f t="shared" si="327"/>
        <v>174273241</v>
      </c>
      <c r="Q1378" s="100"/>
      <c r="R1378" s="117"/>
    </row>
    <row r="1379" spans="1:18" x14ac:dyDescent="0.25">
      <c r="A1379" s="48" t="str">
        <f t="shared" si="328"/>
        <v>HT</v>
      </c>
      <c r="B1379" s="32" t="s">
        <v>1662</v>
      </c>
      <c r="C1379" s="39" t="s">
        <v>750</v>
      </c>
      <c r="D1379" s="13" t="s">
        <v>90</v>
      </c>
      <c r="E1379" s="123">
        <v>7.9298000000000002</v>
      </c>
      <c r="F1379" s="136"/>
      <c r="G1379" s="125"/>
      <c r="H1379" s="125"/>
      <c r="I1379" s="125">
        <f t="shared" si="322"/>
        <v>7.9298000000000002</v>
      </c>
      <c r="J1379" s="62">
        <f>'BIỂU HỢP ĐỒNG'!J1205</f>
        <v>24164499</v>
      </c>
      <c r="K1379" s="43"/>
      <c r="L1379" s="62">
        <f t="shared" si="323"/>
        <v>191619644</v>
      </c>
      <c r="M1379" s="77">
        <f t="shared" si="324"/>
        <v>0</v>
      </c>
      <c r="N1379" s="43">
        <f t="shared" si="329"/>
        <v>0</v>
      </c>
      <c r="O1379" s="43">
        <f t="shared" si="326"/>
        <v>0</v>
      </c>
      <c r="P1379" s="43">
        <f t="shared" si="327"/>
        <v>191619644</v>
      </c>
      <c r="Q1379" s="100"/>
      <c r="R1379" s="117"/>
    </row>
    <row r="1380" spans="1:18" x14ac:dyDescent="0.25">
      <c r="A1380" s="48" t="str">
        <f t="shared" si="328"/>
        <v>HT</v>
      </c>
      <c r="B1380" s="32" t="s">
        <v>1663</v>
      </c>
      <c r="C1380" s="39" t="s">
        <v>1664</v>
      </c>
      <c r="D1380" s="13" t="s">
        <v>16</v>
      </c>
      <c r="E1380" s="123">
        <v>81.48</v>
      </c>
      <c r="F1380" s="136"/>
      <c r="G1380" s="125"/>
      <c r="H1380" s="125"/>
      <c r="I1380" s="125">
        <f t="shared" si="322"/>
        <v>81.48</v>
      </c>
      <c r="J1380" s="62">
        <f>'BIỂU HỢP ĐỒNG'!J1206</f>
        <v>1559273</v>
      </c>
      <c r="K1380" s="43"/>
      <c r="L1380" s="62">
        <f t="shared" si="323"/>
        <v>127049564</v>
      </c>
      <c r="M1380" s="77">
        <f t="shared" si="324"/>
        <v>0</v>
      </c>
      <c r="N1380" s="43">
        <f t="shared" si="329"/>
        <v>0</v>
      </c>
      <c r="O1380" s="43">
        <f t="shared" si="326"/>
        <v>0</v>
      </c>
      <c r="P1380" s="43">
        <f t="shared" si="327"/>
        <v>127049564</v>
      </c>
      <c r="Q1380" s="100"/>
      <c r="R1380" s="117"/>
    </row>
    <row r="1381" spans="1:18" x14ac:dyDescent="0.25">
      <c r="A1381" s="48" t="str">
        <f t="shared" si="328"/>
        <v>HT</v>
      </c>
      <c r="B1381" s="32" t="s">
        <v>1665</v>
      </c>
      <c r="C1381" s="39" t="s">
        <v>1666</v>
      </c>
      <c r="D1381" s="13" t="s">
        <v>16</v>
      </c>
      <c r="E1381" s="123">
        <v>25.2</v>
      </c>
      <c r="F1381" s="136"/>
      <c r="G1381" s="125"/>
      <c r="H1381" s="125"/>
      <c r="I1381" s="125">
        <f t="shared" si="322"/>
        <v>25.2</v>
      </c>
      <c r="J1381" s="62">
        <f>'BIỂU HỢP ĐỒNG'!J1207</f>
        <v>1331296</v>
      </c>
      <c r="K1381" s="43"/>
      <c r="L1381" s="62">
        <f t="shared" si="323"/>
        <v>33548659</v>
      </c>
      <c r="M1381" s="77">
        <f t="shared" si="324"/>
        <v>0</v>
      </c>
      <c r="N1381" s="43">
        <f t="shared" si="329"/>
        <v>0</v>
      </c>
      <c r="O1381" s="43">
        <f t="shared" si="326"/>
        <v>0</v>
      </c>
      <c r="P1381" s="43">
        <f t="shared" si="327"/>
        <v>33548659</v>
      </c>
      <c r="Q1381" s="100"/>
      <c r="R1381" s="117"/>
    </row>
    <row r="1382" spans="1:18" x14ac:dyDescent="0.25">
      <c r="A1382" s="48" t="str">
        <f t="shared" si="328"/>
        <v>HT</v>
      </c>
      <c r="B1382" s="32" t="s">
        <v>1667</v>
      </c>
      <c r="C1382" s="39" t="s">
        <v>752</v>
      </c>
      <c r="D1382" s="13" t="s">
        <v>13</v>
      </c>
      <c r="E1382" s="123">
        <v>40.72</v>
      </c>
      <c r="F1382" s="136"/>
      <c r="G1382" s="125"/>
      <c r="H1382" s="125"/>
      <c r="I1382" s="125">
        <f t="shared" si="322"/>
        <v>40.72</v>
      </c>
      <c r="J1382" s="62">
        <f>'BIỂU HỢP ĐỒNG'!J1208</f>
        <v>65242</v>
      </c>
      <c r="K1382" s="43"/>
      <c r="L1382" s="62">
        <f t="shared" si="323"/>
        <v>2656654</v>
      </c>
      <c r="M1382" s="77">
        <f t="shared" si="324"/>
        <v>0</v>
      </c>
      <c r="N1382" s="43">
        <f t="shared" si="329"/>
        <v>0</v>
      </c>
      <c r="O1382" s="43">
        <f t="shared" si="326"/>
        <v>0</v>
      </c>
      <c r="P1382" s="43">
        <f t="shared" si="327"/>
        <v>2656654</v>
      </c>
      <c r="Q1382" s="100"/>
      <c r="R1382" s="117"/>
    </row>
    <row r="1383" spans="1:18" x14ac:dyDescent="0.25">
      <c r="A1383" s="48" t="str">
        <f t="shared" si="328"/>
        <v>HT</v>
      </c>
      <c r="B1383" s="32" t="s">
        <v>1668</v>
      </c>
      <c r="C1383" s="39" t="s">
        <v>1669</v>
      </c>
      <c r="D1383" s="13" t="s">
        <v>16</v>
      </c>
      <c r="E1383" s="123">
        <v>2431.7629999999999</v>
      </c>
      <c r="F1383" s="136"/>
      <c r="G1383" s="125">
        <v>-9.891</v>
      </c>
      <c r="H1383" s="125"/>
      <c r="I1383" s="125">
        <f t="shared" si="322"/>
        <v>2421.8719999999998</v>
      </c>
      <c r="J1383" s="62">
        <f>'BIỂU HỢP ĐỒNG'!J1209</f>
        <v>2045500</v>
      </c>
      <c r="K1383" s="43"/>
      <c r="L1383" s="62">
        <f t="shared" si="323"/>
        <v>4974171217</v>
      </c>
      <c r="M1383" s="77">
        <f t="shared" si="324"/>
        <v>0</v>
      </c>
      <c r="N1383" s="151">
        <f>+ROUND(G1383*J1383,-3)</f>
        <v>-20232000</v>
      </c>
      <c r="O1383" s="43">
        <f t="shared" si="326"/>
        <v>0</v>
      </c>
      <c r="P1383" s="43">
        <f t="shared" si="327"/>
        <v>4953939217</v>
      </c>
      <c r="Q1383" s="100"/>
      <c r="R1383" s="117"/>
    </row>
    <row r="1384" spans="1:18" x14ac:dyDescent="0.25">
      <c r="A1384" s="48" t="str">
        <f t="shared" si="328"/>
        <v>HT</v>
      </c>
      <c r="B1384" s="32" t="s">
        <v>1670</v>
      </c>
      <c r="C1384" s="39" t="s">
        <v>1671</v>
      </c>
      <c r="D1384" s="13" t="s">
        <v>16</v>
      </c>
      <c r="E1384" s="123">
        <v>56.671199999999999</v>
      </c>
      <c r="F1384" s="136"/>
      <c r="G1384" s="125"/>
      <c r="H1384" s="125"/>
      <c r="I1384" s="125">
        <f t="shared" si="322"/>
        <v>56.671199999999999</v>
      </c>
      <c r="J1384" s="62">
        <f>'BIỂU HỢP ĐỒNG'!J1210</f>
        <v>1437305</v>
      </c>
      <c r="K1384" s="43"/>
      <c r="L1384" s="62">
        <f t="shared" si="323"/>
        <v>81453799</v>
      </c>
      <c r="M1384" s="77">
        <f t="shared" si="324"/>
        <v>0</v>
      </c>
      <c r="N1384" s="151">
        <f t="shared" ref="N1384:N1399" si="330">+ROUND(G1384*J1384,0)</f>
        <v>0</v>
      </c>
      <c r="O1384" s="43">
        <f t="shared" si="326"/>
        <v>0</v>
      </c>
      <c r="P1384" s="43">
        <f t="shared" si="327"/>
        <v>81453799</v>
      </c>
      <c r="Q1384" s="100"/>
      <c r="R1384" s="117"/>
    </row>
    <row r="1385" spans="1:18" ht="31.5" customHeight="1" x14ac:dyDescent="0.25">
      <c r="A1385" s="48" t="str">
        <f t="shared" si="328"/>
        <v>HT</v>
      </c>
      <c r="B1385" s="32" t="s">
        <v>1672</v>
      </c>
      <c r="C1385" s="39" t="s">
        <v>1673</v>
      </c>
      <c r="D1385" s="13" t="s">
        <v>16</v>
      </c>
      <c r="E1385" s="123">
        <v>2468.2399999999998</v>
      </c>
      <c r="F1385" s="136"/>
      <c r="G1385" s="125"/>
      <c r="H1385" s="125"/>
      <c r="I1385" s="125">
        <f t="shared" si="322"/>
        <v>2468.2399999999998</v>
      </c>
      <c r="J1385" s="62">
        <f>'BIỂU HỢP ĐỒNG'!J1211</f>
        <v>57102</v>
      </c>
      <c r="K1385" s="43"/>
      <c r="L1385" s="62">
        <f t="shared" si="323"/>
        <v>140941440</v>
      </c>
      <c r="M1385" s="77">
        <f t="shared" si="324"/>
        <v>0</v>
      </c>
      <c r="N1385" s="151">
        <f t="shared" si="330"/>
        <v>0</v>
      </c>
      <c r="O1385" s="43">
        <f t="shared" si="326"/>
        <v>0</v>
      </c>
      <c r="P1385" s="43">
        <f t="shared" si="327"/>
        <v>140941440</v>
      </c>
      <c r="Q1385" s="100"/>
      <c r="R1385" s="117"/>
    </row>
    <row r="1386" spans="1:18" x14ac:dyDescent="0.25">
      <c r="A1386" s="48" t="str">
        <f t="shared" si="328"/>
        <v>HT</v>
      </c>
      <c r="B1386" s="32" t="s">
        <v>1674</v>
      </c>
      <c r="C1386" s="39" t="s">
        <v>562</v>
      </c>
      <c r="D1386" s="13" t="s">
        <v>16</v>
      </c>
      <c r="E1386" s="123">
        <v>2468.2399999999998</v>
      </c>
      <c r="F1386" s="136"/>
      <c r="G1386" s="125"/>
      <c r="H1386" s="125"/>
      <c r="I1386" s="125">
        <f t="shared" si="322"/>
        <v>2468.2399999999998</v>
      </c>
      <c r="J1386" s="62">
        <f>'BIỂU HỢP ĐỒNG'!J1212</f>
        <v>285443</v>
      </c>
      <c r="K1386" s="43"/>
      <c r="L1386" s="62">
        <f t="shared" si="323"/>
        <v>704541830</v>
      </c>
      <c r="M1386" s="77">
        <f t="shared" si="324"/>
        <v>0</v>
      </c>
      <c r="N1386" s="151">
        <f t="shared" si="330"/>
        <v>0</v>
      </c>
      <c r="O1386" s="43">
        <f t="shared" si="326"/>
        <v>0</v>
      </c>
      <c r="P1386" s="43">
        <f t="shared" si="327"/>
        <v>704541830</v>
      </c>
      <c r="Q1386" s="100"/>
      <c r="R1386" s="117"/>
    </row>
    <row r="1387" spans="1:18" s="22" customFormat="1" x14ac:dyDescent="0.25">
      <c r="A1387" s="48" t="str">
        <f t="shared" si="328"/>
        <v>HT</v>
      </c>
      <c r="B1387" s="32" t="s">
        <v>1675</v>
      </c>
      <c r="C1387" s="39" t="s">
        <v>1676</v>
      </c>
      <c r="D1387" s="13" t="s">
        <v>90</v>
      </c>
      <c r="E1387" s="123">
        <v>0.23</v>
      </c>
      <c r="F1387" s="136"/>
      <c r="G1387" s="125"/>
      <c r="H1387" s="125"/>
      <c r="I1387" s="125">
        <f t="shared" si="322"/>
        <v>0.23</v>
      </c>
      <c r="J1387" s="62">
        <f>'BIỂU HỢP ĐỒNG'!J1213</f>
        <v>27013071</v>
      </c>
      <c r="K1387" s="43"/>
      <c r="L1387" s="62">
        <f t="shared" si="323"/>
        <v>6213006</v>
      </c>
      <c r="M1387" s="77">
        <f t="shared" si="324"/>
        <v>0</v>
      </c>
      <c r="N1387" s="151">
        <f t="shared" si="330"/>
        <v>0</v>
      </c>
      <c r="O1387" s="43">
        <f t="shared" si="326"/>
        <v>0</v>
      </c>
      <c r="P1387" s="43">
        <f t="shared" si="327"/>
        <v>6213006</v>
      </c>
      <c r="Q1387" s="100"/>
      <c r="R1387" s="117"/>
    </row>
    <row r="1388" spans="1:18" x14ac:dyDescent="0.25">
      <c r="A1388" s="48" t="str">
        <f t="shared" si="328"/>
        <v>HT</v>
      </c>
      <c r="B1388" s="32" t="s">
        <v>1677</v>
      </c>
      <c r="C1388" s="39" t="s">
        <v>1678</v>
      </c>
      <c r="D1388" s="13" t="s">
        <v>90</v>
      </c>
      <c r="E1388" s="123">
        <v>75.554400000000001</v>
      </c>
      <c r="F1388" s="136"/>
      <c r="G1388" s="125"/>
      <c r="H1388" s="125"/>
      <c r="I1388" s="125">
        <f t="shared" si="322"/>
        <v>75.554400000000001</v>
      </c>
      <c r="J1388" s="62">
        <f>'BIỂU HỢP ĐỒNG'!J1214</f>
        <v>26226135</v>
      </c>
      <c r="K1388" s="43"/>
      <c r="L1388" s="62">
        <f t="shared" si="323"/>
        <v>1981499894</v>
      </c>
      <c r="M1388" s="77">
        <f t="shared" si="324"/>
        <v>0</v>
      </c>
      <c r="N1388" s="151">
        <f t="shared" si="330"/>
        <v>0</v>
      </c>
      <c r="O1388" s="43">
        <f t="shared" si="326"/>
        <v>0</v>
      </c>
      <c r="P1388" s="43">
        <f t="shared" si="327"/>
        <v>1981499894</v>
      </c>
      <c r="Q1388" s="100"/>
      <c r="R1388" s="117"/>
    </row>
    <row r="1389" spans="1:18" x14ac:dyDescent="0.25">
      <c r="A1389" s="48" t="str">
        <f t="shared" si="328"/>
        <v>HT</v>
      </c>
      <c r="B1389" s="32" t="s">
        <v>1679</v>
      </c>
      <c r="C1389" s="39" t="s">
        <v>1680</v>
      </c>
      <c r="D1389" s="13" t="s">
        <v>90</v>
      </c>
      <c r="E1389" s="123">
        <v>136.19970000000001</v>
      </c>
      <c r="F1389" s="136"/>
      <c r="G1389" s="125"/>
      <c r="H1389" s="125"/>
      <c r="I1389" s="125">
        <f t="shared" si="322"/>
        <v>136.19970000000001</v>
      </c>
      <c r="J1389" s="62">
        <f>'BIỂU HỢP ĐỒNG'!J1215</f>
        <v>25632494</v>
      </c>
      <c r="K1389" s="43"/>
      <c r="L1389" s="62">
        <f t="shared" si="323"/>
        <v>3491137993</v>
      </c>
      <c r="M1389" s="77">
        <f t="shared" si="324"/>
        <v>0</v>
      </c>
      <c r="N1389" s="151">
        <f t="shared" si="330"/>
        <v>0</v>
      </c>
      <c r="O1389" s="43">
        <f t="shared" si="326"/>
        <v>0</v>
      </c>
      <c r="P1389" s="43">
        <f t="shared" si="327"/>
        <v>3491137993</v>
      </c>
      <c r="Q1389" s="100"/>
      <c r="R1389" s="117"/>
    </row>
    <row r="1390" spans="1:18" ht="31.5" customHeight="1" x14ac:dyDescent="0.25">
      <c r="A1390" s="48" t="str">
        <f t="shared" si="328"/>
        <v>HT</v>
      </c>
      <c r="B1390" s="32" t="s">
        <v>1681</v>
      </c>
      <c r="C1390" s="39" t="s">
        <v>1682</v>
      </c>
      <c r="D1390" s="13" t="s">
        <v>13</v>
      </c>
      <c r="E1390" s="123">
        <v>3243.1804000000002</v>
      </c>
      <c r="F1390" s="136"/>
      <c r="G1390" s="125"/>
      <c r="H1390" s="125"/>
      <c r="I1390" s="125">
        <f t="shared" si="322"/>
        <v>3243.1804000000002</v>
      </c>
      <c r="J1390" s="62">
        <f>'BIỂU HỢP ĐỒNG'!J1216</f>
        <v>181766</v>
      </c>
      <c r="K1390" s="43"/>
      <c r="L1390" s="62">
        <f t="shared" si="323"/>
        <v>589499929</v>
      </c>
      <c r="M1390" s="77">
        <f t="shared" si="324"/>
        <v>0</v>
      </c>
      <c r="N1390" s="151">
        <f t="shared" si="330"/>
        <v>0</v>
      </c>
      <c r="O1390" s="43">
        <f t="shared" si="326"/>
        <v>0</v>
      </c>
      <c r="P1390" s="43">
        <f t="shared" si="327"/>
        <v>589499929</v>
      </c>
      <c r="Q1390" s="100"/>
      <c r="R1390" s="117"/>
    </row>
    <row r="1391" spans="1:18" x14ac:dyDescent="0.25">
      <c r="A1391" s="48" t="str">
        <f t="shared" si="328"/>
        <v>HT</v>
      </c>
      <c r="B1391" s="32" t="s">
        <v>1683</v>
      </c>
      <c r="C1391" s="39" t="s">
        <v>1684</v>
      </c>
      <c r="D1391" s="13" t="s">
        <v>90</v>
      </c>
      <c r="E1391" s="123">
        <v>0.3</v>
      </c>
      <c r="F1391" s="136"/>
      <c r="G1391" s="125"/>
      <c r="H1391" s="125"/>
      <c r="I1391" s="125">
        <f t="shared" si="322"/>
        <v>0.3</v>
      </c>
      <c r="J1391" s="62">
        <f>'BIỂU HỢP ĐỒNG'!J1217</f>
        <v>25632494</v>
      </c>
      <c r="K1391" s="43"/>
      <c r="L1391" s="62">
        <f t="shared" si="323"/>
        <v>7689748</v>
      </c>
      <c r="M1391" s="77">
        <f t="shared" si="324"/>
        <v>0</v>
      </c>
      <c r="N1391" s="151">
        <f t="shared" si="330"/>
        <v>0</v>
      </c>
      <c r="O1391" s="43">
        <f t="shared" si="326"/>
        <v>0</v>
      </c>
      <c r="P1391" s="43">
        <f t="shared" si="327"/>
        <v>7689748</v>
      </c>
      <c r="Q1391" s="100"/>
      <c r="R1391" s="117"/>
    </row>
    <row r="1392" spans="1:18" x14ac:dyDescent="0.25">
      <c r="A1392" s="48" t="str">
        <f t="shared" si="328"/>
        <v>HT</v>
      </c>
      <c r="B1392" s="32" t="s">
        <v>1685</v>
      </c>
      <c r="C1392" s="39" t="s">
        <v>1230</v>
      </c>
      <c r="D1392" s="13" t="s">
        <v>90</v>
      </c>
      <c r="E1392" s="123">
        <v>0.3</v>
      </c>
      <c r="F1392" s="136"/>
      <c r="G1392" s="125"/>
      <c r="H1392" s="125"/>
      <c r="I1392" s="125">
        <f t="shared" si="322"/>
        <v>0.3</v>
      </c>
      <c r="J1392" s="62">
        <f>'BIỂU HỢP ĐỒNG'!J1218</f>
        <v>9028655</v>
      </c>
      <c r="K1392" s="43"/>
      <c r="L1392" s="62">
        <f t="shared" si="323"/>
        <v>2708597</v>
      </c>
      <c r="M1392" s="77">
        <f t="shared" si="324"/>
        <v>0</v>
      </c>
      <c r="N1392" s="151">
        <f t="shared" si="330"/>
        <v>0</v>
      </c>
      <c r="O1392" s="43">
        <f t="shared" si="326"/>
        <v>0</v>
      </c>
      <c r="P1392" s="43">
        <f t="shared" si="327"/>
        <v>2708597</v>
      </c>
      <c r="Q1392" s="100"/>
      <c r="R1392" s="117"/>
    </row>
    <row r="1393" spans="1:18" x14ac:dyDescent="0.25">
      <c r="A1393" s="48" t="str">
        <f t="shared" si="328"/>
        <v>HT</v>
      </c>
      <c r="B1393" s="32" t="s">
        <v>1686</v>
      </c>
      <c r="C1393" s="39" t="s">
        <v>1687</v>
      </c>
      <c r="D1393" s="13" t="s">
        <v>90</v>
      </c>
      <c r="E1393" s="123">
        <v>0.1</v>
      </c>
      <c r="F1393" s="136"/>
      <c r="G1393" s="125"/>
      <c r="H1393" s="125"/>
      <c r="I1393" s="125">
        <f t="shared" si="322"/>
        <v>0.1</v>
      </c>
      <c r="J1393" s="62">
        <f>'BIỂU HỢP ĐỒNG'!J1219</f>
        <v>31912360</v>
      </c>
      <c r="K1393" s="43"/>
      <c r="L1393" s="62">
        <f t="shared" si="323"/>
        <v>3191236</v>
      </c>
      <c r="M1393" s="77">
        <f t="shared" si="324"/>
        <v>0</v>
      </c>
      <c r="N1393" s="151">
        <f t="shared" si="330"/>
        <v>0</v>
      </c>
      <c r="O1393" s="43">
        <f t="shared" si="326"/>
        <v>0</v>
      </c>
      <c r="P1393" s="43">
        <f t="shared" si="327"/>
        <v>3191236</v>
      </c>
      <c r="Q1393" s="100"/>
      <c r="R1393" s="117"/>
    </row>
    <row r="1394" spans="1:18" x14ac:dyDescent="0.25">
      <c r="A1394" s="48" t="str">
        <f t="shared" si="328"/>
        <v>HT</v>
      </c>
      <c r="B1394" s="32" t="s">
        <v>1688</v>
      </c>
      <c r="C1394" s="39" t="s">
        <v>1689</v>
      </c>
      <c r="D1394" s="13" t="s">
        <v>90</v>
      </c>
      <c r="E1394" s="123">
        <v>0.1</v>
      </c>
      <c r="F1394" s="136"/>
      <c r="G1394" s="125"/>
      <c r="H1394" s="125"/>
      <c r="I1394" s="125">
        <f t="shared" si="322"/>
        <v>0.1</v>
      </c>
      <c r="J1394" s="62">
        <f>'BIỂU HỢP ĐỒNG'!J1220</f>
        <v>5329201</v>
      </c>
      <c r="K1394" s="43"/>
      <c r="L1394" s="62">
        <f t="shared" si="323"/>
        <v>532920</v>
      </c>
      <c r="M1394" s="77">
        <f t="shared" si="324"/>
        <v>0</v>
      </c>
      <c r="N1394" s="151">
        <f t="shared" si="330"/>
        <v>0</v>
      </c>
      <c r="O1394" s="43">
        <f t="shared" si="326"/>
        <v>0</v>
      </c>
      <c r="P1394" s="43">
        <f t="shared" si="327"/>
        <v>532920</v>
      </c>
      <c r="Q1394" s="100"/>
      <c r="R1394" s="117"/>
    </row>
    <row r="1395" spans="1:18" x14ac:dyDescent="0.25">
      <c r="A1395" s="48" t="str">
        <f t="shared" si="328"/>
        <v>HT</v>
      </c>
      <c r="B1395" s="32" t="s">
        <v>1690</v>
      </c>
      <c r="C1395" s="39" t="s">
        <v>1691</v>
      </c>
      <c r="D1395" s="13" t="s">
        <v>16</v>
      </c>
      <c r="E1395" s="123">
        <v>1.7588999999999999</v>
      </c>
      <c r="F1395" s="136"/>
      <c r="G1395" s="125"/>
      <c r="H1395" s="125"/>
      <c r="I1395" s="125">
        <f t="shared" si="322"/>
        <v>1.7588999999999999</v>
      </c>
      <c r="J1395" s="62">
        <f>'BIỂU HỢP ĐỒNG'!J1221</f>
        <v>15641024</v>
      </c>
      <c r="K1395" s="43"/>
      <c r="L1395" s="62">
        <f t="shared" si="323"/>
        <v>27510997</v>
      </c>
      <c r="M1395" s="77">
        <f t="shared" si="324"/>
        <v>0</v>
      </c>
      <c r="N1395" s="151">
        <f t="shared" si="330"/>
        <v>0</v>
      </c>
      <c r="O1395" s="43">
        <f t="shared" si="326"/>
        <v>0</v>
      </c>
      <c r="P1395" s="43">
        <f t="shared" si="327"/>
        <v>27510997</v>
      </c>
      <c r="Q1395" s="100"/>
      <c r="R1395" s="117"/>
    </row>
    <row r="1396" spans="1:18" x14ac:dyDescent="0.25">
      <c r="A1396" s="48" t="str">
        <f t="shared" si="328"/>
        <v>HT</v>
      </c>
      <c r="B1396" s="32" t="s">
        <v>1692</v>
      </c>
      <c r="C1396" s="39" t="s">
        <v>1693</v>
      </c>
      <c r="D1396" s="13" t="s">
        <v>75</v>
      </c>
      <c r="E1396" s="123">
        <v>19.399999999999999</v>
      </c>
      <c r="F1396" s="136"/>
      <c r="G1396" s="125"/>
      <c r="H1396" s="125"/>
      <c r="I1396" s="125">
        <f t="shared" si="322"/>
        <v>19.399999999999999</v>
      </c>
      <c r="J1396" s="62">
        <f>'BIỂU HỢP ĐỒNG'!J1222</f>
        <v>126388</v>
      </c>
      <c r="K1396" s="43"/>
      <c r="L1396" s="62">
        <f t="shared" si="323"/>
        <v>2451927</v>
      </c>
      <c r="M1396" s="77">
        <f t="shared" si="324"/>
        <v>0</v>
      </c>
      <c r="N1396" s="151">
        <f t="shared" si="330"/>
        <v>0</v>
      </c>
      <c r="O1396" s="43">
        <f t="shared" si="326"/>
        <v>0</v>
      </c>
      <c r="P1396" s="43">
        <f t="shared" si="327"/>
        <v>2451927</v>
      </c>
      <c r="Q1396" s="100"/>
      <c r="R1396" s="117"/>
    </row>
    <row r="1397" spans="1:18" x14ac:dyDescent="0.25">
      <c r="A1397" s="48" t="str">
        <f t="shared" si="328"/>
        <v>HT</v>
      </c>
      <c r="B1397" s="32" t="s">
        <v>1694</v>
      </c>
      <c r="C1397" s="39" t="s">
        <v>1695</v>
      </c>
      <c r="D1397" s="13" t="s">
        <v>75</v>
      </c>
      <c r="E1397" s="123">
        <v>26</v>
      </c>
      <c r="F1397" s="136"/>
      <c r="G1397" s="125"/>
      <c r="H1397" s="125"/>
      <c r="I1397" s="125">
        <f t="shared" ref="I1397:I1460" si="331">SUM(E1397:H1397)</f>
        <v>26</v>
      </c>
      <c r="J1397" s="62">
        <f>'BIỂU HỢP ĐỒNG'!J1223</f>
        <v>94291</v>
      </c>
      <c r="K1397" s="43"/>
      <c r="L1397" s="62">
        <f t="shared" ref="L1397:L1460" si="332">+ROUND(J1397*E1397,0)</f>
        <v>2451566</v>
      </c>
      <c r="M1397" s="77">
        <f t="shared" ref="M1397:M1460" si="333">+ROUND(F1397*J1397,0)</f>
        <v>0</v>
      </c>
      <c r="N1397" s="151">
        <f t="shared" si="330"/>
        <v>0</v>
      </c>
      <c r="O1397" s="43">
        <f t="shared" ref="O1397:O1460" si="334">+ROUND(H1397*J1397,0)</f>
        <v>0</v>
      </c>
      <c r="P1397" s="43">
        <f t="shared" si="327"/>
        <v>2451566</v>
      </c>
      <c r="Q1397" s="100"/>
      <c r="R1397" s="117"/>
    </row>
    <row r="1398" spans="1:18" x14ac:dyDescent="0.25">
      <c r="A1398" s="48" t="str">
        <f t="shared" si="328"/>
        <v>HT</v>
      </c>
      <c r="B1398" s="32" t="s">
        <v>1696</v>
      </c>
      <c r="C1398" s="39" t="s">
        <v>1697</v>
      </c>
      <c r="D1398" s="13" t="s">
        <v>16</v>
      </c>
      <c r="E1398" s="123">
        <v>0.51</v>
      </c>
      <c r="F1398" s="136"/>
      <c r="G1398" s="125"/>
      <c r="H1398" s="125"/>
      <c r="I1398" s="125">
        <f t="shared" si="331"/>
        <v>0.51</v>
      </c>
      <c r="J1398" s="62">
        <f>'BIỂU HỢP ĐỒNG'!J1224</f>
        <v>23670194</v>
      </c>
      <c r="K1398" s="43"/>
      <c r="L1398" s="62">
        <f t="shared" si="332"/>
        <v>12071799</v>
      </c>
      <c r="M1398" s="77">
        <f t="shared" si="333"/>
        <v>0</v>
      </c>
      <c r="N1398" s="151">
        <f t="shared" si="330"/>
        <v>0</v>
      </c>
      <c r="O1398" s="43">
        <f t="shared" si="334"/>
        <v>0</v>
      </c>
      <c r="P1398" s="43">
        <f t="shared" si="327"/>
        <v>12071799</v>
      </c>
      <c r="Q1398" s="100"/>
      <c r="R1398" s="117"/>
    </row>
    <row r="1399" spans="1:18" x14ac:dyDescent="0.25">
      <c r="A1399" s="48" t="str">
        <f t="shared" si="328"/>
        <v>HT</v>
      </c>
      <c r="B1399" s="32" t="s">
        <v>1698</v>
      </c>
      <c r="C1399" s="39" t="s">
        <v>1699</v>
      </c>
      <c r="D1399" s="13" t="s">
        <v>13</v>
      </c>
      <c r="E1399" s="123">
        <v>1808.04</v>
      </c>
      <c r="F1399" s="136"/>
      <c r="G1399" s="125"/>
      <c r="H1399" s="125"/>
      <c r="I1399" s="125">
        <f t="shared" si="331"/>
        <v>1808.04</v>
      </c>
      <c r="J1399" s="62">
        <f>'BIỂU HỢP ĐỒNG'!J1225</f>
        <v>144654</v>
      </c>
      <c r="K1399" s="43"/>
      <c r="L1399" s="62">
        <f t="shared" si="332"/>
        <v>261540218</v>
      </c>
      <c r="M1399" s="77">
        <f t="shared" si="333"/>
        <v>0</v>
      </c>
      <c r="N1399" s="151">
        <f t="shared" si="330"/>
        <v>0</v>
      </c>
      <c r="O1399" s="43">
        <f t="shared" si="334"/>
        <v>0</v>
      </c>
      <c r="P1399" s="43">
        <f t="shared" si="327"/>
        <v>261540218</v>
      </c>
      <c r="Q1399" s="100"/>
      <c r="R1399" s="117"/>
    </row>
    <row r="1400" spans="1:18" ht="31.5" customHeight="1" x14ac:dyDescent="0.25">
      <c r="A1400" s="48" t="str">
        <f t="shared" si="328"/>
        <v>HT</v>
      </c>
      <c r="B1400" s="32" t="s">
        <v>1700</v>
      </c>
      <c r="C1400" s="39" t="s">
        <v>1701</v>
      </c>
      <c r="D1400" s="13" t="s">
        <v>16</v>
      </c>
      <c r="E1400" s="123">
        <v>2097.4234999999999</v>
      </c>
      <c r="F1400" s="136"/>
      <c r="G1400" s="125">
        <v>-86.583399999999997</v>
      </c>
      <c r="H1400" s="125"/>
      <c r="I1400" s="125">
        <f t="shared" si="331"/>
        <v>2010.8400999999999</v>
      </c>
      <c r="J1400" s="62">
        <f>'BIỂU HỢP ĐỒNG'!J1226</f>
        <v>2198139</v>
      </c>
      <c r="K1400" s="43"/>
      <c r="L1400" s="62">
        <f t="shared" si="332"/>
        <v>4610428395</v>
      </c>
      <c r="M1400" s="77">
        <f t="shared" si="333"/>
        <v>0</v>
      </c>
      <c r="N1400" s="151">
        <f>+ROUND(G1400*J1400,-3)</f>
        <v>-190322000</v>
      </c>
      <c r="O1400" s="43">
        <f t="shared" si="334"/>
        <v>0</v>
      </c>
      <c r="P1400" s="43">
        <f t="shared" si="327"/>
        <v>4420106395</v>
      </c>
      <c r="Q1400" s="100"/>
      <c r="R1400" s="117"/>
    </row>
    <row r="1401" spans="1:18" s="22" customFormat="1" ht="31.5" customHeight="1" x14ac:dyDescent="0.25">
      <c r="A1401" s="48" t="str">
        <f t="shared" si="328"/>
        <v>HT</v>
      </c>
      <c r="B1401" s="32" t="s">
        <v>1702</v>
      </c>
      <c r="C1401" s="39" t="s">
        <v>1673</v>
      </c>
      <c r="D1401" s="13" t="s">
        <v>16</v>
      </c>
      <c r="E1401" s="123">
        <v>2307.17</v>
      </c>
      <c r="F1401" s="136"/>
      <c r="G1401" s="125">
        <v>-95.242000000000004</v>
      </c>
      <c r="H1401" s="125"/>
      <c r="I1401" s="125">
        <f t="shared" si="331"/>
        <v>2211.9279999999999</v>
      </c>
      <c r="J1401" s="62">
        <f>'BIỂU HỢP ĐỒNG'!J1227</f>
        <v>57102</v>
      </c>
      <c r="K1401" s="43"/>
      <c r="L1401" s="62">
        <f t="shared" si="332"/>
        <v>131744021</v>
      </c>
      <c r="M1401" s="77">
        <f t="shared" si="333"/>
        <v>0</v>
      </c>
      <c r="N1401" s="151">
        <f>+ROUND(G1401*J1401,-3)</f>
        <v>-5439000</v>
      </c>
      <c r="O1401" s="43">
        <f t="shared" si="334"/>
        <v>0</v>
      </c>
      <c r="P1401" s="43">
        <f t="shared" si="327"/>
        <v>126305021</v>
      </c>
      <c r="Q1401" s="100"/>
      <c r="R1401" s="117"/>
    </row>
    <row r="1402" spans="1:18" x14ac:dyDescent="0.25">
      <c r="A1402" s="48" t="str">
        <f t="shared" si="328"/>
        <v>HT</v>
      </c>
      <c r="B1402" s="32" t="s">
        <v>1703</v>
      </c>
      <c r="C1402" s="39" t="s">
        <v>562</v>
      </c>
      <c r="D1402" s="13" t="s">
        <v>16</v>
      </c>
      <c r="E1402" s="123">
        <v>2307.17</v>
      </c>
      <c r="F1402" s="136"/>
      <c r="G1402" s="125">
        <f>G1401</f>
        <v>-95.242000000000004</v>
      </c>
      <c r="H1402" s="125"/>
      <c r="I1402" s="125">
        <f t="shared" si="331"/>
        <v>2211.9279999999999</v>
      </c>
      <c r="J1402" s="62">
        <f>'BIỂU HỢP ĐỒNG'!J1228</f>
        <v>285443</v>
      </c>
      <c r="K1402" s="43"/>
      <c r="L1402" s="62">
        <f t="shared" si="332"/>
        <v>658565526</v>
      </c>
      <c r="M1402" s="77">
        <f t="shared" si="333"/>
        <v>0</v>
      </c>
      <c r="N1402" s="151">
        <f>+ROUND(G1402*J1402,-3)</f>
        <v>-27186000</v>
      </c>
      <c r="O1402" s="43">
        <f t="shared" si="334"/>
        <v>0</v>
      </c>
      <c r="P1402" s="43">
        <f t="shared" si="327"/>
        <v>631379526</v>
      </c>
      <c r="Q1402" s="100"/>
      <c r="R1402" s="117"/>
    </row>
    <row r="1403" spans="1:18" x14ac:dyDescent="0.25">
      <c r="A1403" s="48" t="str">
        <f t="shared" si="328"/>
        <v>HT</v>
      </c>
      <c r="B1403" s="32" t="s">
        <v>1704</v>
      </c>
      <c r="C1403" s="39" t="s">
        <v>1705</v>
      </c>
      <c r="D1403" s="13" t="s">
        <v>90</v>
      </c>
      <c r="E1403" s="123">
        <v>26.3095</v>
      </c>
      <c r="F1403" s="136"/>
      <c r="G1403" s="125"/>
      <c r="H1403" s="125"/>
      <c r="I1403" s="125">
        <f t="shared" si="331"/>
        <v>26.3095</v>
      </c>
      <c r="J1403" s="62">
        <f>'BIỂU HỢP ĐỒNG'!J1229</f>
        <v>27573930</v>
      </c>
      <c r="K1403" s="43"/>
      <c r="L1403" s="62">
        <f t="shared" si="332"/>
        <v>725456311</v>
      </c>
      <c r="M1403" s="77">
        <f t="shared" si="333"/>
        <v>0</v>
      </c>
      <c r="N1403" s="151">
        <f t="shared" ref="N1403:N1418" si="335">+ROUND(G1403*J1403,0)</f>
        <v>0</v>
      </c>
      <c r="O1403" s="43">
        <f t="shared" si="334"/>
        <v>0</v>
      </c>
      <c r="P1403" s="43">
        <f t="shared" si="327"/>
        <v>725456311</v>
      </c>
      <c r="Q1403" s="100"/>
      <c r="R1403" s="117"/>
    </row>
    <row r="1404" spans="1:18" s="9" customFormat="1" x14ac:dyDescent="0.25">
      <c r="A1404" s="48" t="str">
        <f t="shared" si="328"/>
        <v>HT</v>
      </c>
      <c r="B1404" s="32" t="s">
        <v>1706</v>
      </c>
      <c r="C1404" s="39" t="s">
        <v>1707</v>
      </c>
      <c r="D1404" s="13" t="s">
        <v>90</v>
      </c>
      <c r="E1404" s="123">
        <v>264.63310000000001</v>
      </c>
      <c r="F1404" s="136"/>
      <c r="G1404" s="125"/>
      <c r="H1404" s="125"/>
      <c r="I1404" s="125">
        <f t="shared" si="331"/>
        <v>264.63310000000001</v>
      </c>
      <c r="J1404" s="62">
        <f>'BIỂU HỢP ĐỒNG'!J1230</f>
        <v>27141473</v>
      </c>
      <c r="K1404" s="43"/>
      <c r="L1404" s="62">
        <f t="shared" si="332"/>
        <v>7182532139</v>
      </c>
      <c r="M1404" s="77">
        <f t="shared" si="333"/>
        <v>0</v>
      </c>
      <c r="N1404" s="151">
        <f t="shared" si="335"/>
        <v>0</v>
      </c>
      <c r="O1404" s="43">
        <f t="shared" si="334"/>
        <v>0</v>
      </c>
      <c r="P1404" s="43">
        <f t="shared" si="327"/>
        <v>7182532139</v>
      </c>
      <c r="Q1404" s="100"/>
      <c r="R1404" s="117"/>
    </row>
    <row r="1405" spans="1:18" s="9" customFormat="1" x14ac:dyDescent="0.25">
      <c r="A1405" s="48" t="str">
        <f t="shared" si="328"/>
        <v>HT</v>
      </c>
      <c r="B1405" s="32" t="s">
        <v>1708</v>
      </c>
      <c r="C1405" s="39" t="s">
        <v>1709</v>
      </c>
      <c r="D1405" s="13" t="s">
        <v>90</v>
      </c>
      <c r="E1405" s="123">
        <v>8.5090000000000003</v>
      </c>
      <c r="F1405" s="136"/>
      <c r="G1405" s="125"/>
      <c r="H1405" s="125"/>
      <c r="I1405" s="125">
        <f t="shared" si="331"/>
        <v>8.5090000000000003</v>
      </c>
      <c r="J1405" s="62">
        <f>'BIỂU HỢP ĐỒNG'!J1231</f>
        <v>31912360</v>
      </c>
      <c r="K1405" s="43"/>
      <c r="L1405" s="62">
        <f t="shared" si="332"/>
        <v>271542271</v>
      </c>
      <c r="M1405" s="77">
        <f t="shared" si="333"/>
        <v>0</v>
      </c>
      <c r="N1405" s="151">
        <f t="shared" si="335"/>
        <v>0</v>
      </c>
      <c r="O1405" s="43">
        <f t="shared" si="334"/>
        <v>0</v>
      </c>
      <c r="P1405" s="43">
        <f t="shared" si="327"/>
        <v>271542271</v>
      </c>
      <c r="Q1405" s="100"/>
      <c r="R1405" s="117"/>
    </row>
    <row r="1406" spans="1:18" s="9" customFormat="1" x14ac:dyDescent="0.25">
      <c r="A1406" s="48" t="str">
        <f t="shared" si="328"/>
        <v>HT</v>
      </c>
      <c r="B1406" s="32" t="s">
        <v>1710</v>
      </c>
      <c r="C1406" s="39" t="s">
        <v>1711</v>
      </c>
      <c r="D1406" s="13" t="s">
        <v>90</v>
      </c>
      <c r="E1406" s="123">
        <v>8.5090000000000003</v>
      </c>
      <c r="F1406" s="136"/>
      <c r="G1406" s="125"/>
      <c r="H1406" s="125"/>
      <c r="I1406" s="125">
        <f t="shared" si="331"/>
        <v>8.5090000000000003</v>
      </c>
      <c r="J1406" s="62">
        <f>'BIỂU HỢP ĐỒNG'!J1232</f>
        <v>5329201</v>
      </c>
      <c r="K1406" s="43"/>
      <c r="L1406" s="62">
        <f t="shared" si="332"/>
        <v>45346171</v>
      </c>
      <c r="M1406" s="77">
        <f t="shared" si="333"/>
        <v>0</v>
      </c>
      <c r="N1406" s="151">
        <f t="shared" si="335"/>
        <v>0</v>
      </c>
      <c r="O1406" s="43">
        <f t="shared" si="334"/>
        <v>0</v>
      </c>
      <c r="P1406" s="43">
        <f t="shared" si="327"/>
        <v>45346171</v>
      </c>
      <c r="Q1406" s="100"/>
      <c r="R1406" s="117"/>
    </row>
    <row r="1407" spans="1:18" s="10" customFormat="1" ht="31.5" customHeight="1" x14ac:dyDescent="0.3">
      <c r="A1407" s="48" t="str">
        <f t="shared" si="328"/>
        <v>HT</v>
      </c>
      <c r="B1407" s="32" t="s">
        <v>1712</v>
      </c>
      <c r="C1407" s="39" t="s">
        <v>1713</v>
      </c>
      <c r="D1407" s="13" t="s">
        <v>75</v>
      </c>
      <c r="E1407" s="123">
        <v>98.6</v>
      </c>
      <c r="F1407" s="136"/>
      <c r="G1407" s="125"/>
      <c r="H1407" s="125"/>
      <c r="I1407" s="125">
        <f t="shared" si="331"/>
        <v>98.6</v>
      </c>
      <c r="J1407" s="62">
        <f>'BIỂU HỢP ĐỒNG'!J1233</f>
        <v>980795</v>
      </c>
      <c r="K1407" s="43"/>
      <c r="L1407" s="62">
        <f t="shared" si="332"/>
        <v>96706387</v>
      </c>
      <c r="M1407" s="77">
        <f t="shared" si="333"/>
        <v>0</v>
      </c>
      <c r="N1407" s="151">
        <f t="shared" si="335"/>
        <v>0</v>
      </c>
      <c r="O1407" s="43">
        <f t="shared" si="334"/>
        <v>0</v>
      </c>
      <c r="P1407" s="43">
        <f t="shared" si="327"/>
        <v>96706387</v>
      </c>
      <c r="Q1407" s="100"/>
      <c r="R1407" s="117"/>
    </row>
    <row r="1408" spans="1:18" s="15" customFormat="1" ht="47.25" customHeight="1" x14ac:dyDescent="0.25">
      <c r="A1408" s="48" t="str">
        <f t="shared" si="328"/>
        <v>HT</v>
      </c>
      <c r="B1408" s="32" t="s">
        <v>1714</v>
      </c>
      <c r="C1408" s="39" t="s">
        <v>1715</v>
      </c>
      <c r="D1408" s="13" t="s">
        <v>75</v>
      </c>
      <c r="E1408" s="123">
        <v>2421.4</v>
      </c>
      <c r="F1408" s="136"/>
      <c r="G1408" s="125"/>
      <c r="H1408" s="125"/>
      <c r="I1408" s="125">
        <f t="shared" si="331"/>
        <v>2421.4</v>
      </c>
      <c r="J1408" s="62">
        <f>'BIỂU HỢP ĐỒNG'!J1234</f>
        <v>1171576</v>
      </c>
      <c r="K1408" s="43"/>
      <c r="L1408" s="62">
        <f t="shared" si="332"/>
        <v>2836854126</v>
      </c>
      <c r="M1408" s="77">
        <f t="shared" si="333"/>
        <v>0</v>
      </c>
      <c r="N1408" s="151">
        <f t="shared" si="335"/>
        <v>0</v>
      </c>
      <c r="O1408" s="43">
        <f t="shared" si="334"/>
        <v>0</v>
      </c>
      <c r="P1408" s="43">
        <f t="shared" si="327"/>
        <v>2836854126</v>
      </c>
      <c r="Q1408" s="100"/>
      <c r="R1408" s="117"/>
    </row>
    <row r="1409" spans="1:18" s="15" customFormat="1" ht="47.25" customHeight="1" x14ac:dyDescent="0.25">
      <c r="A1409" s="48" t="str">
        <f t="shared" si="328"/>
        <v>HT</v>
      </c>
      <c r="B1409" s="32" t="s">
        <v>1716</v>
      </c>
      <c r="C1409" s="39" t="s">
        <v>1717</v>
      </c>
      <c r="D1409" s="13" t="s">
        <v>75</v>
      </c>
      <c r="E1409" s="123">
        <v>218.5</v>
      </c>
      <c r="F1409" s="136"/>
      <c r="G1409" s="125"/>
      <c r="H1409" s="125"/>
      <c r="I1409" s="125">
        <f t="shared" si="331"/>
        <v>218.5</v>
      </c>
      <c r="J1409" s="62">
        <f>'BIỂU HỢP ĐỒNG'!J1235</f>
        <v>1188748</v>
      </c>
      <c r="K1409" s="43"/>
      <c r="L1409" s="62">
        <f t="shared" si="332"/>
        <v>259741438</v>
      </c>
      <c r="M1409" s="77">
        <f t="shared" si="333"/>
        <v>0</v>
      </c>
      <c r="N1409" s="151">
        <f t="shared" si="335"/>
        <v>0</v>
      </c>
      <c r="O1409" s="43">
        <f t="shared" si="334"/>
        <v>0</v>
      </c>
      <c r="P1409" s="43">
        <f t="shared" si="327"/>
        <v>259741438</v>
      </c>
      <c r="Q1409" s="100"/>
      <c r="R1409" s="117"/>
    </row>
    <row r="1410" spans="1:18" s="15" customFormat="1" ht="47.25" customHeight="1" x14ac:dyDescent="0.25">
      <c r="A1410" s="48" t="str">
        <f t="shared" si="328"/>
        <v>HT</v>
      </c>
      <c r="B1410" s="32" t="s">
        <v>1718</v>
      </c>
      <c r="C1410" s="39" t="s">
        <v>1719</v>
      </c>
      <c r="D1410" s="13" t="s">
        <v>75</v>
      </c>
      <c r="E1410" s="123">
        <v>206.65199999999999</v>
      </c>
      <c r="F1410" s="136"/>
      <c r="G1410" s="125"/>
      <c r="H1410" s="125"/>
      <c r="I1410" s="125">
        <f t="shared" si="331"/>
        <v>206.65199999999999</v>
      </c>
      <c r="J1410" s="62">
        <f>'BIỂU HỢP ĐỒNG'!J1236</f>
        <v>3021362</v>
      </c>
      <c r="K1410" s="43"/>
      <c r="L1410" s="62">
        <f t="shared" si="332"/>
        <v>624370500</v>
      </c>
      <c r="M1410" s="77">
        <f t="shared" si="333"/>
        <v>0</v>
      </c>
      <c r="N1410" s="151">
        <f t="shared" si="335"/>
        <v>0</v>
      </c>
      <c r="O1410" s="43">
        <f t="shared" si="334"/>
        <v>0</v>
      </c>
      <c r="P1410" s="43">
        <f t="shared" si="327"/>
        <v>624370500</v>
      </c>
      <c r="Q1410" s="100"/>
      <c r="R1410" s="117"/>
    </row>
    <row r="1411" spans="1:18" s="15" customFormat="1" x14ac:dyDescent="0.25">
      <c r="A1411" s="48" t="str">
        <f t="shared" si="328"/>
        <v>HT</v>
      </c>
      <c r="B1411" s="32" t="s">
        <v>1720</v>
      </c>
      <c r="C1411" s="39" t="s">
        <v>1721</v>
      </c>
      <c r="D1411" s="13" t="s">
        <v>16</v>
      </c>
      <c r="E1411" s="123">
        <v>2313.2112000000002</v>
      </c>
      <c r="F1411" s="136"/>
      <c r="G1411" s="125"/>
      <c r="H1411" s="125"/>
      <c r="I1411" s="125">
        <f t="shared" si="331"/>
        <v>2313.2112000000002</v>
      </c>
      <c r="J1411" s="62">
        <f>'BIỂU HỢP ĐỒNG'!J1237</f>
        <v>479919</v>
      </c>
      <c r="K1411" s="43"/>
      <c r="L1411" s="62">
        <f t="shared" si="332"/>
        <v>1110154006</v>
      </c>
      <c r="M1411" s="77">
        <f t="shared" si="333"/>
        <v>0</v>
      </c>
      <c r="N1411" s="151">
        <f t="shared" si="335"/>
        <v>0</v>
      </c>
      <c r="O1411" s="43">
        <f t="shared" si="334"/>
        <v>0</v>
      </c>
      <c r="P1411" s="43">
        <f t="shared" si="327"/>
        <v>1110154006</v>
      </c>
      <c r="Q1411" s="100"/>
      <c r="R1411" s="117"/>
    </row>
    <row r="1412" spans="1:18" s="15" customFormat="1" x14ac:dyDescent="0.25">
      <c r="A1412" s="48" t="str">
        <f t="shared" si="328"/>
        <v>HT</v>
      </c>
      <c r="B1412" s="32" t="s">
        <v>1722</v>
      </c>
      <c r="C1412" s="39" t="s">
        <v>1723</v>
      </c>
      <c r="D1412" s="13" t="s">
        <v>16</v>
      </c>
      <c r="E1412" s="123">
        <v>38.011299999999999</v>
      </c>
      <c r="F1412" s="136"/>
      <c r="G1412" s="125"/>
      <c r="H1412" s="125"/>
      <c r="I1412" s="125">
        <f t="shared" si="331"/>
        <v>38.011299999999999</v>
      </c>
      <c r="J1412" s="62">
        <f>'BIỂU HỢP ĐỒNG'!J1238</f>
        <v>2296256</v>
      </c>
      <c r="K1412" s="43"/>
      <c r="L1412" s="62">
        <f t="shared" si="332"/>
        <v>87283676</v>
      </c>
      <c r="M1412" s="77">
        <f t="shared" si="333"/>
        <v>0</v>
      </c>
      <c r="N1412" s="151">
        <f t="shared" si="335"/>
        <v>0</v>
      </c>
      <c r="O1412" s="43">
        <f t="shared" si="334"/>
        <v>0</v>
      </c>
      <c r="P1412" s="43">
        <f t="shared" ref="P1412:P1475" si="336">SUM(L1412:O1412)</f>
        <v>87283676</v>
      </c>
      <c r="Q1412" s="100"/>
      <c r="R1412" s="117"/>
    </row>
    <row r="1413" spans="1:18" s="15" customFormat="1" x14ac:dyDescent="0.25">
      <c r="A1413" s="48" t="str">
        <f t="shared" si="328"/>
        <v>HT</v>
      </c>
      <c r="B1413" s="32" t="s">
        <v>1724</v>
      </c>
      <c r="C1413" s="39" t="s">
        <v>1725</v>
      </c>
      <c r="D1413" s="13" t="s">
        <v>75</v>
      </c>
      <c r="E1413" s="123">
        <v>6126</v>
      </c>
      <c r="F1413" s="136"/>
      <c r="G1413" s="125"/>
      <c r="H1413" s="125"/>
      <c r="I1413" s="125">
        <f t="shared" si="331"/>
        <v>6126</v>
      </c>
      <c r="J1413" s="62">
        <f>'BIỂU HỢP ĐỒNG'!J1239</f>
        <v>174511</v>
      </c>
      <c r="K1413" s="43"/>
      <c r="L1413" s="62">
        <f t="shared" si="332"/>
        <v>1069054386</v>
      </c>
      <c r="M1413" s="77">
        <f t="shared" si="333"/>
        <v>0</v>
      </c>
      <c r="N1413" s="151">
        <f t="shared" si="335"/>
        <v>0</v>
      </c>
      <c r="O1413" s="43">
        <f t="shared" si="334"/>
        <v>0</v>
      </c>
      <c r="P1413" s="43">
        <f t="shared" si="336"/>
        <v>1069054386</v>
      </c>
      <c r="Q1413" s="100"/>
      <c r="R1413" s="117"/>
    </row>
    <row r="1414" spans="1:18" s="15" customFormat="1" x14ac:dyDescent="0.25">
      <c r="A1414" s="48" t="str">
        <f t="shared" si="328"/>
        <v>HT</v>
      </c>
      <c r="B1414" s="32" t="s">
        <v>1726</v>
      </c>
      <c r="C1414" s="39" t="s">
        <v>1727</v>
      </c>
      <c r="D1414" s="13" t="s">
        <v>75</v>
      </c>
      <c r="E1414" s="123">
        <v>2987.4</v>
      </c>
      <c r="F1414" s="136"/>
      <c r="G1414" s="125"/>
      <c r="H1414" s="125"/>
      <c r="I1414" s="125">
        <f t="shared" si="331"/>
        <v>2987.4</v>
      </c>
      <c r="J1414" s="62">
        <f>'BIỂU HỢP ĐỒNG'!J1240</f>
        <v>214046</v>
      </c>
      <c r="K1414" s="43"/>
      <c r="L1414" s="62">
        <f t="shared" si="332"/>
        <v>639441020</v>
      </c>
      <c r="M1414" s="77">
        <f t="shared" si="333"/>
        <v>0</v>
      </c>
      <c r="N1414" s="151">
        <f t="shared" si="335"/>
        <v>0</v>
      </c>
      <c r="O1414" s="43">
        <f t="shared" si="334"/>
        <v>0</v>
      </c>
      <c r="P1414" s="43">
        <f t="shared" si="336"/>
        <v>639441020</v>
      </c>
      <c r="Q1414" s="100"/>
      <c r="R1414" s="117"/>
    </row>
    <row r="1415" spans="1:18" s="15" customFormat="1" x14ac:dyDescent="0.25">
      <c r="A1415" s="48" t="str">
        <f t="shared" ref="A1415:A1478" si="337">A1414</f>
        <v>HT</v>
      </c>
      <c r="B1415" s="32" t="s">
        <v>1728</v>
      </c>
      <c r="C1415" s="39" t="s">
        <v>1729</v>
      </c>
      <c r="D1415" s="13" t="s">
        <v>428</v>
      </c>
      <c r="E1415" s="123">
        <v>504</v>
      </c>
      <c r="F1415" s="136"/>
      <c r="G1415" s="125"/>
      <c r="H1415" s="125"/>
      <c r="I1415" s="125">
        <f t="shared" si="331"/>
        <v>504</v>
      </c>
      <c r="J1415" s="62">
        <f>'BIỂU HỢP ĐỒNG'!J1241</f>
        <v>4688</v>
      </c>
      <c r="K1415" s="43"/>
      <c r="L1415" s="62">
        <f t="shared" si="332"/>
        <v>2362752</v>
      </c>
      <c r="M1415" s="77">
        <f t="shared" si="333"/>
        <v>0</v>
      </c>
      <c r="N1415" s="151">
        <f t="shared" si="335"/>
        <v>0</v>
      </c>
      <c r="O1415" s="43">
        <f t="shared" si="334"/>
        <v>0</v>
      </c>
      <c r="P1415" s="43">
        <f t="shared" si="336"/>
        <v>2362752</v>
      </c>
      <c r="Q1415" s="100"/>
      <c r="R1415" s="117"/>
    </row>
    <row r="1416" spans="1:18" s="15" customFormat="1" x14ac:dyDescent="0.25">
      <c r="A1416" s="48" t="str">
        <f t="shared" si="337"/>
        <v>HT</v>
      </c>
      <c r="B1416" s="32" t="s">
        <v>1730</v>
      </c>
      <c r="C1416" s="39" t="s">
        <v>1731</v>
      </c>
      <c r="D1416" s="13" t="s">
        <v>428</v>
      </c>
      <c r="E1416" s="123">
        <v>168</v>
      </c>
      <c r="F1416" s="136"/>
      <c r="G1416" s="125"/>
      <c r="H1416" s="125"/>
      <c r="I1416" s="125">
        <f t="shared" si="331"/>
        <v>168</v>
      </c>
      <c r="J1416" s="62">
        <f>'BIỂU HỢP ĐỒNG'!J1242</f>
        <v>11770</v>
      </c>
      <c r="K1416" s="43"/>
      <c r="L1416" s="62">
        <f t="shared" si="332"/>
        <v>1977360</v>
      </c>
      <c r="M1416" s="77">
        <f t="shared" si="333"/>
        <v>0</v>
      </c>
      <c r="N1416" s="151">
        <f t="shared" si="335"/>
        <v>0</v>
      </c>
      <c r="O1416" s="43">
        <f t="shared" si="334"/>
        <v>0</v>
      </c>
      <c r="P1416" s="43">
        <f t="shared" si="336"/>
        <v>1977360</v>
      </c>
      <c r="Q1416" s="100"/>
      <c r="R1416" s="117"/>
    </row>
    <row r="1417" spans="1:18" s="15" customFormat="1" x14ac:dyDescent="0.25">
      <c r="A1417" s="48" t="str">
        <f t="shared" si="337"/>
        <v>HT</v>
      </c>
      <c r="B1417" s="32" t="s">
        <v>1732</v>
      </c>
      <c r="C1417" s="39" t="s">
        <v>1733</v>
      </c>
      <c r="D1417" s="13" t="s">
        <v>428</v>
      </c>
      <c r="E1417" s="123">
        <v>1052</v>
      </c>
      <c r="F1417" s="136"/>
      <c r="G1417" s="125"/>
      <c r="H1417" s="125"/>
      <c r="I1417" s="125">
        <f t="shared" si="331"/>
        <v>1052</v>
      </c>
      <c r="J1417" s="62">
        <f>'BIỂU HỢP ĐỒNG'!J1243</f>
        <v>16259</v>
      </c>
      <c r="K1417" s="43"/>
      <c r="L1417" s="62">
        <f t="shared" si="332"/>
        <v>17104468</v>
      </c>
      <c r="M1417" s="77">
        <f t="shared" si="333"/>
        <v>0</v>
      </c>
      <c r="N1417" s="151">
        <f t="shared" si="335"/>
        <v>0</v>
      </c>
      <c r="O1417" s="43">
        <f t="shared" si="334"/>
        <v>0</v>
      </c>
      <c r="P1417" s="43">
        <f t="shared" si="336"/>
        <v>17104468</v>
      </c>
      <c r="Q1417" s="100"/>
      <c r="R1417" s="117"/>
    </row>
    <row r="1418" spans="1:18" s="15" customFormat="1" x14ac:dyDescent="0.25">
      <c r="A1418" s="48" t="str">
        <f t="shared" si="337"/>
        <v>HT</v>
      </c>
      <c r="B1418" s="32" t="s">
        <v>1734</v>
      </c>
      <c r="C1418" s="39" t="s">
        <v>1735</v>
      </c>
      <c r="D1418" s="13" t="s">
        <v>428</v>
      </c>
      <c r="E1418" s="123">
        <v>526</v>
      </c>
      <c r="F1418" s="136"/>
      <c r="G1418" s="125"/>
      <c r="H1418" s="125"/>
      <c r="I1418" s="125">
        <f t="shared" si="331"/>
        <v>526</v>
      </c>
      <c r="J1418" s="62">
        <f>'BIỂU HỢP ĐỒNG'!J1244</f>
        <v>97184</v>
      </c>
      <c r="K1418" s="43"/>
      <c r="L1418" s="62">
        <f t="shared" si="332"/>
        <v>51118784</v>
      </c>
      <c r="M1418" s="77">
        <f t="shared" si="333"/>
        <v>0</v>
      </c>
      <c r="N1418" s="151">
        <f t="shared" si="335"/>
        <v>0</v>
      </c>
      <c r="O1418" s="43">
        <f t="shared" si="334"/>
        <v>0</v>
      </c>
      <c r="P1418" s="43">
        <f t="shared" si="336"/>
        <v>51118784</v>
      </c>
      <c r="Q1418" s="100"/>
      <c r="R1418" s="117"/>
    </row>
    <row r="1419" spans="1:18" s="15" customFormat="1" x14ac:dyDescent="0.25">
      <c r="A1419" s="48" t="str">
        <f t="shared" si="337"/>
        <v>HT</v>
      </c>
      <c r="B1419" s="32" t="s">
        <v>1736</v>
      </c>
      <c r="C1419" s="39" t="s">
        <v>1737</v>
      </c>
      <c r="D1419" s="13" t="s">
        <v>428</v>
      </c>
      <c r="E1419" s="123">
        <v>18709.8</v>
      </c>
      <c r="F1419" s="136"/>
      <c r="G1419" s="125">
        <v>-7309.8</v>
      </c>
      <c r="H1419" s="125"/>
      <c r="I1419" s="125">
        <f t="shared" si="331"/>
        <v>11400</v>
      </c>
      <c r="J1419" s="62">
        <f>'BIỂU HỢP ĐỒNG'!J1245</f>
        <v>44564</v>
      </c>
      <c r="K1419" s="43"/>
      <c r="L1419" s="62">
        <f t="shared" si="332"/>
        <v>833783527</v>
      </c>
      <c r="M1419" s="77">
        <f t="shared" si="333"/>
        <v>0</v>
      </c>
      <c r="N1419" s="151">
        <f>+ROUND(G1419*J1419,-3)</f>
        <v>-325754000</v>
      </c>
      <c r="O1419" s="43">
        <f t="shared" si="334"/>
        <v>0</v>
      </c>
      <c r="P1419" s="43">
        <f t="shared" si="336"/>
        <v>508029527</v>
      </c>
      <c r="Q1419" s="100"/>
      <c r="R1419" s="117"/>
    </row>
    <row r="1420" spans="1:18" s="15" customFormat="1" x14ac:dyDescent="0.25">
      <c r="A1420" s="48" t="str">
        <f t="shared" si="337"/>
        <v>HT</v>
      </c>
      <c r="B1420" s="32" t="s">
        <v>1738</v>
      </c>
      <c r="C1420" s="39" t="s">
        <v>1739</v>
      </c>
      <c r="D1420" s="13" t="s">
        <v>90</v>
      </c>
      <c r="E1420" s="123">
        <v>3.984</v>
      </c>
      <c r="F1420" s="136"/>
      <c r="G1420" s="125"/>
      <c r="H1420" s="125"/>
      <c r="I1420" s="125">
        <f t="shared" si="331"/>
        <v>3.984</v>
      </c>
      <c r="J1420" s="62">
        <f>'BIỂU HỢP ĐỒNG'!J1246</f>
        <v>7612923</v>
      </c>
      <c r="K1420" s="43"/>
      <c r="L1420" s="62">
        <f t="shared" si="332"/>
        <v>30329885</v>
      </c>
      <c r="M1420" s="77">
        <f t="shared" si="333"/>
        <v>0</v>
      </c>
      <c r="N1420" s="43">
        <f t="shared" ref="N1420:N1451" si="338">+ROUND(G1420*J1420,0)</f>
        <v>0</v>
      </c>
      <c r="O1420" s="43">
        <f t="shared" si="334"/>
        <v>0</v>
      </c>
      <c r="P1420" s="43">
        <f t="shared" si="336"/>
        <v>30329885</v>
      </c>
      <c r="Q1420" s="100"/>
      <c r="R1420" s="117"/>
    </row>
    <row r="1421" spans="1:18" s="15" customFormat="1" ht="31.5" customHeight="1" x14ac:dyDescent="0.25">
      <c r="A1421" s="48" t="str">
        <f t="shared" si="337"/>
        <v>HT</v>
      </c>
      <c r="B1421" s="32" t="s">
        <v>1740</v>
      </c>
      <c r="C1421" s="39" t="s">
        <v>1741</v>
      </c>
      <c r="D1421" s="13" t="s">
        <v>90</v>
      </c>
      <c r="E1421" s="123">
        <v>3.984</v>
      </c>
      <c r="F1421" s="136"/>
      <c r="G1421" s="125"/>
      <c r="H1421" s="125"/>
      <c r="I1421" s="125">
        <f t="shared" si="331"/>
        <v>3.984</v>
      </c>
      <c r="J1421" s="62">
        <f>'BIỂU HỢP ĐỒNG'!J1247</f>
        <v>9422453</v>
      </c>
      <c r="K1421" s="43"/>
      <c r="L1421" s="62">
        <f t="shared" si="332"/>
        <v>37539053</v>
      </c>
      <c r="M1421" s="77">
        <f t="shared" si="333"/>
        <v>0</v>
      </c>
      <c r="N1421" s="43">
        <f t="shared" si="338"/>
        <v>0</v>
      </c>
      <c r="O1421" s="43">
        <f t="shared" si="334"/>
        <v>0</v>
      </c>
      <c r="P1421" s="43">
        <f t="shared" si="336"/>
        <v>37539053</v>
      </c>
      <c r="Q1421" s="100"/>
      <c r="R1421" s="117"/>
    </row>
    <row r="1422" spans="1:18" s="15" customFormat="1" ht="31.5" customHeight="1" x14ac:dyDescent="0.25">
      <c r="A1422" s="48" t="str">
        <f t="shared" si="337"/>
        <v>HT</v>
      </c>
      <c r="B1422" s="32" t="s">
        <v>1742</v>
      </c>
      <c r="C1422" s="39" t="s">
        <v>1743</v>
      </c>
      <c r="D1422" s="13" t="s">
        <v>90</v>
      </c>
      <c r="E1422" s="123">
        <v>3.984</v>
      </c>
      <c r="F1422" s="136"/>
      <c r="G1422" s="125"/>
      <c r="H1422" s="125"/>
      <c r="I1422" s="125">
        <f t="shared" si="331"/>
        <v>3.984</v>
      </c>
      <c r="J1422" s="62">
        <f>'BIỂU HỢP ĐỒNG'!J1248</f>
        <v>9422453</v>
      </c>
      <c r="K1422" s="43"/>
      <c r="L1422" s="62">
        <f t="shared" si="332"/>
        <v>37539053</v>
      </c>
      <c r="M1422" s="77">
        <f t="shared" si="333"/>
        <v>0</v>
      </c>
      <c r="N1422" s="43">
        <f t="shared" si="338"/>
        <v>0</v>
      </c>
      <c r="O1422" s="43">
        <f t="shared" si="334"/>
        <v>0</v>
      </c>
      <c r="P1422" s="43">
        <f t="shared" si="336"/>
        <v>37539053</v>
      </c>
      <c r="Q1422" s="100"/>
      <c r="R1422" s="117"/>
    </row>
    <row r="1423" spans="1:18" s="15" customFormat="1" ht="31.5" customHeight="1" x14ac:dyDescent="0.25">
      <c r="A1423" s="48" t="str">
        <f t="shared" si="337"/>
        <v>HT</v>
      </c>
      <c r="B1423" s="32" t="s">
        <v>1744</v>
      </c>
      <c r="C1423" s="39" t="s">
        <v>1745</v>
      </c>
      <c r="D1423" s="13" t="s">
        <v>90</v>
      </c>
      <c r="E1423" s="123">
        <v>3.984</v>
      </c>
      <c r="F1423" s="136"/>
      <c r="G1423" s="125"/>
      <c r="H1423" s="125"/>
      <c r="I1423" s="125">
        <f t="shared" si="331"/>
        <v>3.984</v>
      </c>
      <c r="J1423" s="62">
        <f>'BIỂU HỢP ĐỒNG'!J1249</f>
        <v>8614945</v>
      </c>
      <c r="K1423" s="43"/>
      <c r="L1423" s="62">
        <f t="shared" si="332"/>
        <v>34321941</v>
      </c>
      <c r="M1423" s="77">
        <f t="shared" si="333"/>
        <v>0</v>
      </c>
      <c r="N1423" s="43">
        <f t="shared" si="338"/>
        <v>0</v>
      </c>
      <c r="O1423" s="43">
        <f t="shared" si="334"/>
        <v>0</v>
      </c>
      <c r="P1423" s="43">
        <f t="shared" si="336"/>
        <v>34321941</v>
      </c>
      <c r="Q1423" s="100"/>
      <c r="R1423" s="117"/>
    </row>
    <row r="1424" spans="1:18" s="15" customFormat="1" ht="31.5" customHeight="1" x14ac:dyDescent="0.25">
      <c r="A1424" s="48" t="str">
        <f t="shared" si="337"/>
        <v>HT</v>
      </c>
      <c r="B1424" s="32" t="s">
        <v>1746</v>
      </c>
      <c r="C1424" s="39" t="s">
        <v>1747</v>
      </c>
      <c r="D1424" s="13" t="s">
        <v>90</v>
      </c>
      <c r="E1424" s="123">
        <v>3.984</v>
      </c>
      <c r="F1424" s="136"/>
      <c r="G1424" s="125"/>
      <c r="H1424" s="125"/>
      <c r="I1424" s="125">
        <f t="shared" si="331"/>
        <v>3.984</v>
      </c>
      <c r="J1424" s="62">
        <f>'BIỂU HỢP ĐỒNG'!J1250</f>
        <v>8614945</v>
      </c>
      <c r="K1424" s="43"/>
      <c r="L1424" s="62">
        <f t="shared" si="332"/>
        <v>34321941</v>
      </c>
      <c r="M1424" s="77">
        <f t="shared" si="333"/>
        <v>0</v>
      </c>
      <c r="N1424" s="43">
        <f t="shared" si="338"/>
        <v>0</v>
      </c>
      <c r="O1424" s="43">
        <f t="shared" si="334"/>
        <v>0</v>
      </c>
      <c r="P1424" s="43">
        <f t="shared" si="336"/>
        <v>34321941</v>
      </c>
      <c r="Q1424" s="100"/>
      <c r="R1424" s="117"/>
    </row>
    <row r="1425" spans="1:18" s="15" customFormat="1" x14ac:dyDescent="0.25">
      <c r="A1425" s="48" t="str">
        <f t="shared" si="337"/>
        <v>HT</v>
      </c>
      <c r="B1425" s="32" t="s">
        <v>1748</v>
      </c>
      <c r="C1425" s="39" t="s">
        <v>1749</v>
      </c>
      <c r="D1425" s="13" t="s">
        <v>16</v>
      </c>
      <c r="E1425" s="123">
        <v>75.649600000000007</v>
      </c>
      <c r="F1425" s="136"/>
      <c r="G1425" s="125"/>
      <c r="H1425" s="125"/>
      <c r="I1425" s="125">
        <f t="shared" si="331"/>
        <v>75.649600000000007</v>
      </c>
      <c r="J1425" s="62">
        <f>'BIỂU HỢP ĐỒNG'!J1251</f>
        <v>840810</v>
      </c>
      <c r="K1425" s="43"/>
      <c r="L1425" s="62">
        <f t="shared" si="332"/>
        <v>63606940</v>
      </c>
      <c r="M1425" s="77">
        <f t="shared" si="333"/>
        <v>0</v>
      </c>
      <c r="N1425" s="43">
        <f t="shared" si="338"/>
        <v>0</v>
      </c>
      <c r="O1425" s="43">
        <f t="shared" si="334"/>
        <v>0</v>
      </c>
      <c r="P1425" s="43">
        <f t="shared" si="336"/>
        <v>63606940</v>
      </c>
      <c r="Q1425" s="100"/>
      <c r="R1425" s="117"/>
    </row>
    <row r="1426" spans="1:18" ht="31.5" customHeight="1" x14ac:dyDescent="0.25">
      <c r="A1426" s="48" t="str">
        <f t="shared" si="337"/>
        <v>HT</v>
      </c>
      <c r="B1426" s="32" t="s">
        <v>1750</v>
      </c>
      <c r="C1426" s="39" t="s">
        <v>1751</v>
      </c>
      <c r="D1426" s="13" t="s">
        <v>493</v>
      </c>
      <c r="E1426" s="123">
        <v>2311.94</v>
      </c>
      <c r="F1426" s="136"/>
      <c r="G1426" s="125"/>
      <c r="H1426" s="125"/>
      <c r="I1426" s="125">
        <f t="shared" si="331"/>
        <v>2311.94</v>
      </c>
      <c r="J1426" s="62">
        <f>'BIỂU HỢP ĐỒNG'!J1252</f>
        <v>15707</v>
      </c>
      <c r="K1426" s="43"/>
      <c r="L1426" s="62">
        <f t="shared" si="332"/>
        <v>36313642</v>
      </c>
      <c r="M1426" s="77">
        <f t="shared" si="333"/>
        <v>0</v>
      </c>
      <c r="N1426" s="43">
        <f t="shared" si="338"/>
        <v>0</v>
      </c>
      <c r="O1426" s="43">
        <f t="shared" si="334"/>
        <v>0</v>
      </c>
      <c r="P1426" s="43">
        <f t="shared" si="336"/>
        <v>36313642</v>
      </c>
      <c r="Q1426" s="100"/>
      <c r="R1426" s="117"/>
    </row>
    <row r="1427" spans="1:18" ht="31.5" customHeight="1" x14ac:dyDescent="0.25">
      <c r="A1427" s="48" t="str">
        <f t="shared" si="337"/>
        <v>HT</v>
      </c>
      <c r="B1427" s="32" t="s">
        <v>1752</v>
      </c>
      <c r="C1427" s="39" t="s">
        <v>1753</v>
      </c>
      <c r="D1427" s="13" t="s">
        <v>16</v>
      </c>
      <c r="E1427" s="123">
        <v>2311.94</v>
      </c>
      <c r="F1427" s="136"/>
      <c r="G1427" s="125"/>
      <c r="H1427" s="125"/>
      <c r="I1427" s="125">
        <f t="shared" si="331"/>
        <v>2311.94</v>
      </c>
      <c r="J1427" s="62">
        <f>'BIỂU HỢP ĐỒNG'!J1253</f>
        <v>56948</v>
      </c>
      <c r="K1427" s="43"/>
      <c r="L1427" s="62">
        <f t="shared" si="332"/>
        <v>131660359</v>
      </c>
      <c r="M1427" s="77">
        <f t="shared" si="333"/>
        <v>0</v>
      </c>
      <c r="N1427" s="43">
        <f t="shared" si="338"/>
        <v>0</v>
      </c>
      <c r="O1427" s="43">
        <f t="shared" si="334"/>
        <v>0</v>
      </c>
      <c r="P1427" s="43">
        <f t="shared" si="336"/>
        <v>131660359</v>
      </c>
      <c r="Q1427" s="100"/>
      <c r="R1427" s="117"/>
    </row>
    <row r="1428" spans="1:18" x14ac:dyDescent="0.25">
      <c r="A1428" s="48" t="str">
        <f t="shared" si="337"/>
        <v>HT</v>
      </c>
      <c r="B1428" s="32" t="s">
        <v>1754</v>
      </c>
      <c r="C1428" s="39" t="s">
        <v>1755</v>
      </c>
      <c r="D1428" s="13" t="s">
        <v>16</v>
      </c>
      <c r="E1428" s="123">
        <v>75.649600000000007</v>
      </c>
      <c r="F1428" s="136"/>
      <c r="G1428" s="125"/>
      <c r="H1428" s="125"/>
      <c r="I1428" s="125">
        <f t="shared" si="331"/>
        <v>75.649600000000007</v>
      </c>
      <c r="J1428" s="62">
        <f>'BIỂU HỢP ĐỒNG'!J1254</f>
        <v>72655</v>
      </c>
      <c r="K1428" s="43"/>
      <c r="L1428" s="62">
        <f t="shared" si="332"/>
        <v>5496322</v>
      </c>
      <c r="M1428" s="77">
        <f t="shared" si="333"/>
        <v>0</v>
      </c>
      <c r="N1428" s="43">
        <f t="shared" si="338"/>
        <v>0</v>
      </c>
      <c r="O1428" s="43">
        <f t="shared" si="334"/>
        <v>0</v>
      </c>
      <c r="P1428" s="43">
        <f t="shared" si="336"/>
        <v>5496322</v>
      </c>
      <c r="Q1428" s="100"/>
      <c r="R1428" s="117"/>
    </row>
    <row r="1429" spans="1:18" ht="63" customHeight="1" x14ac:dyDescent="0.25">
      <c r="A1429" s="48" t="str">
        <f t="shared" si="337"/>
        <v>HT</v>
      </c>
      <c r="B1429" s="32" t="s">
        <v>1756</v>
      </c>
      <c r="C1429" s="39" t="s">
        <v>1757</v>
      </c>
      <c r="D1429" s="13" t="s">
        <v>1758</v>
      </c>
      <c r="E1429" s="123">
        <v>252</v>
      </c>
      <c r="F1429" s="136"/>
      <c r="G1429" s="125"/>
      <c r="H1429" s="125"/>
      <c r="I1429" s="125">
        <f t="shared" si="331"/>
        <v>252</v>
      </c>
      <c r="J1429" s="62">
        <f>'BIỂU HỢP ĐỒNG'!J1255</f>
        <v>753290</v>
      </c>
      <c r="K1429" s="43"/>
      <c r="L1429" s="62">
        <f t="shared" si="332"/>
        <v>189829080</v>
      </c>
      <c r="M1429" s="77">
        <f t="shared" si="333"/>
        <v>0</v>
      </c>
      <c r="N1429" s="43">
        <f t="shared" si="338"/>
        <v>0</v>
      </c>
      <c r="O1429" s="43">
        <f t="shared" si="334"/>
        <v>0</v>
      </c>
      <c r="P1429" s="43">
        <f t="shared" si="336"/>
        <v>189829080</v>
      </c>
      <c r="Q1429" s="100"/>
      <c r="R1429" s="117"/>
    </row>
    <row r="1430" spans="1:18" x14ac:dyDescent="0.25">
      <c r="A1430" s="48" t="str">
        <f t="shared" si="337"/>
        <v>HT</v>
      </c>
      <c r="B1430" s="32" t="s">
        <v>1759</v>
      </c>
      <c r="C1430" s="39" t="s">
        <v>1760</v>
      </c>
      <c r="D1430" s="13" t="s">
        <v>1761</v>
      </c>
      <c r="E1430" s="123">
        <v>4</v>
      </c>
      <c r="F1430" s="136"/>
      <c r="G1430" s="125"/>
      <c r="H1430" s="125"/>
      <c r="I1430" s="125">
        <f t="shared" si="331"/>
        <v>4</v>
      </c>
      <c r="J1430" s="62">
        <f>'BIỂU HỢP ĐỒNG'!J1256</f>
        <v>5121205</v>
      </c>
      <c r="K1430" s="43"/>
      <c r="L1430" s="62">
        <f t="shared" si="332"/>
        <v>20484820</v>
      </c>
      <c r="M1430" s="77">
        <f t="shared" si="333"/>
        <v>0</v>
      </c>
      <c r="N1430" s="43">
        <f t="shared" si="338"/>
        <v>0</v>
      </c>
      <c r="O1430" s="43">
        <f t="shared" si="334"/>
        <v>0</v>
      </c>
      <c r="P1430" s="43">
        <f t="shared" si="336"/>
        <v>20484820</v>
      </c>
      <c r="Q1430" s="100"/>
      <c r="R1430" s="117"/>
    </row>
    <row r="1431" spans="1:18" ht="31.5" customHeight="1" x14ac:dyDescent="0.25">
      <c r="A1431" s="48" t="str">
        <f t="shared" si="337"/>
        <v>HT</v>
      </c>
      <c r="B1431" s="32" t="s">
        <v>1762</v>
      </c>
      <c r="C1431" s="39" t="s">
        <v>1763</v>
      </c>
      <c r="D1431" s="13" t="s">
        <v>1764</v>
      </c>
      <c r="E1431" s="123">
        <v>4</v>
      </c>
      <c r="F1431" s="136"/>
      <c r="G1431" s="125"/>
      <c r="H1431" s="125"/>
      <c r="I1431" s="125">
        <f t="shared" si="331"/>
        <v>4</v>
      </c>
      <c r="J1431" s="62">
        <f>'BIỂU HỢP ĐỒNG'!J1257</f>
        <v>22607396</v>
      </c>
      <c r="K1431" s="43"/>
      <c r="L1431" s="62">
        <f t="shared" si="332"/>
        <v>90429584</v>
      </c>
      <c r="M1431" s="77">
        <f t="shared" si="333"/>
        <v>0</v>
      </c>
      <c r="N1431" s="43">
        <f t="shared" si="338"/>
        <v>0</v>
      </c>
      <c r="O1431" s="43">
        <f t="shared" si="334"/>
        <v>0</v>
      </c>
      <c r="P1431" s="43">
        <f t="shared" si="336"/>
        <v>90429584</v>
      </c>
      <c r="Q1431" s="100"/>
      <c r="R1431" s="117"/>
    </row>
    <row r="1432" spans="1:18" x14ac:dyDescent="0.25">
      <c r="A1432" s="48" t="str">
        <f t="shared" si="337"/>
        <v>HT</v>
      </c>
      <c r="B1432" s="32" t="s">
        <v>1765</v>
      </c>
      <c r="C1432" s="39" t="s">
        <v>1766</v>
      </c>
      <c r="D1432" s="13" t="s">
        <v>16</v>
      </c>
      <c r="E1432" s="123">
        <v>13.351800000000001</v>
      </c>
      <c r="F1432" s="136"/>
      <c r="G1432" s="125"/>
      <c r="H1432" s="125"/>
      <c r="I1432" s="125">
        <f t="shared" si="331"/>
        <v>13.351800000000001</v>
      </c>
      <c r="J1432" s="62">
        <f>'BIỂU HỢP ĐỒNG'!J1258</f>
        <v>2198139</v>
      </c>
      <c r="K1432" s="43"/>
      <c r="L1432" s="62">
        <f t="shared" si="332"/>
        <v>29349112</v>
      </c>
      <c r="M1432" s="77">
        <f t="shared" si="333"/>
        <v>0</v>
      </c>
      <c r="N1432" s="43">
        <f t="shared" si="338"/>
        <v>0</v>
      </c>
      <c r="O1432" s="43">
        <f t="shared" si="334"/>
        <v>0</v>
      </c>
      <c r="P1432" s="43">
        <f t="shared" si="336"/>
        <v>29349112</v>
      </c>
      <c r="Q1432" s="100"/>
      <c r="R1432" s="117"/>
    </row>
    <row r="1433" spans="1:18" x14ac:dyDescent="0.25">
      <c r="A1433" s="48" t="str">
        <f t="shared" si="337"/>
        <v>HT</v>
      </c>
      <c r="B1433" s="32" t="s">
        <v>1767</v>
      </c>
      <c r="C1433" s="39" t="s">
        <v>1477</v>
      </c>
      <c r="D1433" s="13" t="s">
        <v>16</v>
      </c>
      <c r="E1433" s="123">
        <v>14.686999999999999</v>
      </c>
      <c r="F1433" s="136"/>
      <c r="G1433" s="125"/>
      <c r="H1433" s="125"/>
      <c r="I1433" s="125">
        <f t="shared" si="331"/>
        <v>14.686999999999999</v>
      </c>
      <c r="J1433" s="62">
        <f>'BIỂU HỢP ĐỒNG'!J1259</f>
        <v>57102</v>
      </c>
      <c r="K1433" s="43"/>
      <c r="L1433" s="62">
        <f t="shared" si="332"/>
        <v>838657</v>
      </c>
      <c r="M1433" s="77">
        <f t="shared" si="333"/>
        <v>0</v>
      </c>
      <c r="N1433" s="43">
        <f t="shared" si="338"/>
        <v>0</v>
      </c>
      <c r="O1433" s="43">
        <f t="shared" si="334"/>
        <v>0</v>
      </c>
      <c r="P1433" s="43">
        <f t="shared" si="336"/>
        <v>838657</v>
      </c>
      <c r="Q1433" s="100"/>
      <c r="R1433" s="117"/>
    </row>
    <row r="1434" spans="1:18" x14ac:dyDescent="0.25">
      <c r="A1434" s="48" t="str">
        <f t="shared" si="337"/>
        <v>HT</v>
      </c>
      <c r="B1434" s="32" t="s">
        <v>1768</v>
      </c>
      <c r="C1434" s="39" t="s">
        <v>562</v>
      </c>
      <c r="D1434" s="13" t="s">
        <v>16</v>
      </c>
      <c r="E1434" s="123">
        <v>14.686999999999999</v>
      </c>
      <c r="F1434" s="136"/>
      <c r="G1434" s="125"/>
      <c r="H1434" s="125"/>
      <c r="I1434" s="125">
        <f t="shared" si="331"/>
        <v>14.686999999999999</v>
      </c>
      <c r="J1434" s="62">
        <f>'BIỂU HỢP ĐỒNG'!J1260</f>
        <v>132072</v>
      </c>
      <c r="K1434" s="43"/>
      <c r="L1434" s="62">
        <f t="shared" si="332"/>
        <v>1939741</v>
      </c>
      <c r="M1434" s="77">
        <f t="shared" si="333"/>
        <v>0</v>
      </c>
      <c r="N1434" s="43">
        <f t="shared" si="338"/>
        <v>0</v>
      </c>
      <c r="O1434" s="43">
        <f t="shared" si="334"/>
        <v>0</v>
      </c>
      <c r="P1434" s="43">
        <f t="shared" si="336"/>
        <v>1939741</v>
      </c>
      <c r="Q1434" s="100"/>
      <c r="R1434" s="117"/>
    </row>
    <row r="1435" spans="1:18" x14ac:dyDescent="0.25">
      <c r="A1435" s="48" t="str">
        <f t="shared" si="337"/>
        <v>HT</v>
      </c>
      <c r="B1435" s="32" t="s">
        <v>1769</v>
      </c>
      <c r="C1435" s="39" t="s">
        <v>1705</v>
      </c>
      <c r="D1435" s="13" t="s">
        <v>90</v>
      </c>
      <c r="E1435" s="123">
        <v>0.2</v>
      </c>
      <c r="F1435" s="136"/>
      <c r="G1435" s="125"/>
      <c r="H1435" s="125"/>
      <c r="I1435" s="125">
        <f t="shared" si="331"/>
        <v>0.2</v>
      </c>
      <c r="J1435" s="62">
        <f>'BIỂU HỢP ĐỒNG'!J1261</f>
        <v>27573930</v>
      </c>
      <c r="K1435" s="43"/>
      <c r="L1435" s="62">
        <f t="shared" si="332"/>
        <v>5514786</v>
      </c>
      <c r="M1435" s="77">
        <f t="shared" si="333"/>
        <v>0</v>
      </c>
      <c r="N1435" s="43">
        <f t="shared" si="338"/>
        <v>0</v>
      </c>
      <c r="O1435" s="43">
        <f t="shared" si="334"/>
        <v>0</v>
      </c>
      <c r="P1435" s="43">
        <f t="shared" si="336"/>
        <v>5514786</v>
      </c>
      <c r="Q1435" s="100"/>
      <c r="R1435" s="117"/>
    </row>
    <row r="1436" spans="1:18" x14ac:dyDescent="0.25">
      <c r="A1436" s="48" t="str">
        <f t="shared" si="337"/>
        <v>HT</v>
      </c>
      <c r="B1436" s="32" t="s">
        <v>1770</v>
      </c>
      <c r="C1436" s="39" t="s">
        <v>1707</v>
      </c>
      <c r="D1436" s="13" t="s">
        <v>90</v>
      </c>
      <c r="E1436" s="123">
        <v>0.09</v>
      </c>
      <c r="F1436" s="136"/>
      <c r="G1436" s="125"/>
      <c r="H1436" s="125"/>
      <c r="I1436" s="125">
        <f t="shared" si="331"/>
        <v>0.09</v>
      </c>
      <c r="J1436" s="62">
        <f>'BIỂU HỢP ĐỒNG'!J1262</f>
        <v>27141473</v>
      </c>
      <c r="K1436" s="43"/>
      <c r="L1436" s="62">
        <f t="shared" si="332"/>
        <v>2442733</v>
      </c>
      <c r="M1436" s="77">
        <f t="shared" si="333"/>
        <v>0</v>
      </c>
      <c r="N1436" s="43">
        <f t="shared" si="338"/>
        <v>0</v>
      </c>
      <c r="O1436" s="43">
        <f t="shared" si="334"/>
        <v>0</v>
      </c>
      <c r="P1436" s="43">
        <f t="shared" si="336"/>
        <v>2442733</v>
      </c>
      <c r="Q1436" s="100"/>
      <c r="R1436" s="117"/>
    </row>
    <row r="1437" spans="1:18" x14ac:dyDescent="0.25">
      <c r="A1437" s="48" t="str">
        <f t="shared" si="337"/>
        <v>HT</v>
      </c>
      <c r="B1437" s="32" t="s">
        <v>1771</v>
      </c>
      <c r="C1437" s="39" t="s">
        <v>1709</v>
      </c>
      <c r="D1437" s="13" t="s">
        <v>90</v>
      </c>
      <c r="E1437" s="123">
        <v>0.06</v>
      </c>
      <c r="F1437" s="136"/>
      <c r="G1437" s="125"/>
      <c r="H1437" s="125"/>
      <c r="I1437" s="125">
        <f t="shared" si="331"/>
        <v>0.06</v>
      </c>
      <c r="J1437" s="62">
        <f>'BIỂU HỢP ĐỒNG'!J1263</f>
        <v>31912360</v>
      </c>
      <c r="K1437" s="43"/>
      <c r="L1437" s="62">
        <f t="shared" si="332"/>
        <v>1914742</v>
      </c>
      <c r="M1437" s="77">
        <f t="shared" si="333"/>
        <v>0</v>
      </c>
      <c r="N1437" s="43">
        <f t="shared" si="338"/>
        <v>0</v>
      </c>
      <c r="O1437" s="43">
        <f t="shared" si="334"/>
        <v>0</v>
      </c>
      <c r="P1437" s="43">
        <f t="shared" si="336"/>
        <v>1914742</v>
      </c>
      <c r="Q1437" s="100"/>
      <c r="R1437" s="117"/>
    </row>
    <row r="1438" spans="1:18" x14ac:dyDescent="0.25">
      <c r="A1438" s="48" t="str">
        <f t="shared" si="337"/>
        <v>HT</v>
      </c>
      <c r="B1438" s="32" t="s">
        <v>1772</v>
      </c>
      <c r="C1438" s="39" t="s">
        <v>1711</v>
      </c>
      <c r="D1438" s="13" t="s">
        <v>90</v>
      </c>
      <c r="E1438" s="123">
        <v>0.06</v>
      </c>
      <c r="F1438" s="136"/>
      <c r="G1438" s="125"/>
      <c r="H1438" s="125"/>
      <c r="I1438" s="125">
        <f t="shared" si="331"/>
        <v>0.06</v>
      </c>
      <c r="J1438" s="62">
        <f>'BIỂU HỢP ĐỒNG'!J1264</f>
        <v>5329201</v>
      </c>
      <c r="K1438" s="43"/>
      <c r="L1438" s="62">
        <f t="shared" si="332"/>
        <v>319752</v>
      </c>
      <c r="M1438" s="77">
        <f t="shared" si="333"/>
        <v>0</v>
      </c>
      <c r="N1438" s="43">
        <f t="shared" si="338"/>
        <v>0</v>
      </c>
      <c r="O1438" s="43">
        <f t="shared" si="334"/>
        <v>0</v>
      </c>
      <c r="P1438" s="43">
        <f t="shared" si="336"/>
        <v>319752</v>
      </c>
      <c r="Q1438" s="100"/>
      <c r="R1438" s="117"/>
    </row>
    <row r="1439" spans="1:18" x14ac:dyDescent="0.25">
      <c r="A1439" s="48" t="str">
        <f t="shared" si="337"/>
        <v>HT</v>
      </c>
      <c r="B1439" s="32" t="s">
        <v>1773</v>
      </c>
      <c r="C1439" s="39" t="s">
        <v>1723</v>
      </c>
      <c r="D1439" s="13" t="s">
        <v>16</v>
      </c>
      <c r="E1439" s="123">
        <v>0.24</v>
      </c>
      <c r="F1439" s="136"/>
      <c r="G1439" s="125"/>
      <c r="H1439" s="125"/>
      <c r="I1439" s="125">
        <f t="shared" si="331"/>
        <v>0.24</v>
      </c>
      <c r="J1439" s="62">
        <f>'BIỂU HỢP ĐỒNG'!J1265</f>
        <v>2296256</v>
      </c>
      <c r="K1439" s="43"/>
      <c r="L1439" s="62">
        <f t="shared" si="332"/>
        <v>551101</v>
      </c>
      <c r="M1439" s="77">
        <f t="shared" si="333"/>
        <v>0</v>
      </c>
      <c r="N1439" s="43">
        <f t="shared" si="338"/>
        <v>0</v>
      </c>
      <c r="O1439" s="43">
        <f t="shared" si="334"/>
        <v>0</v>
      </c>
      <c r="P1439" s="43">
        <f t="shared" si="336"/>
        <v>551101</v>
      </c>
      <c r="Q1439" s="100"/>
      <c r="R1439" s="117"/>
    </row>
    <row r="1440" spans="1:18" x14ac:dyDescent="0.25">
      <c r="A1440" s="48" t="str">
        <f t="shared" si="337"/>
        <v>HT</v>
      </c>
      <c r="B1440" s="32" t="s">
        <v>1774</v>
      </c>
      <c r="C1440" s="39" t="s">
        <v>1725</v>
      </c>
      <c r="D1440" s="13" t="s">
        <v>75</v>
      </c>
      <c r="E1440" s="123">
        <v>34</v>
      </c>
      <c r="F1440" s="136"/>
      <c r="G1440" s="125"/>
      <c r="H1440" s="125"/>
      <c r="I1440" s="125">
        <f t="shared" si="331"/>
        <v>34</v>
      </c>
      <c r="J1440" s="62">
        <f>'BIỂU HỢP ĐỒNG'!J1266</f>
        <v>174511</v>
      </c>
      <c r="K1440" s="43"/>
      <c r="L1440" s="62">
        <f t="shared" si="332"/>
        <v>5933374</v>
      </c>
      <c r="M1440" s="77">
        <f t="shared" si="333"/>
        <v>0</v>
      </c>
      <c r="N1440" s="43">
        <f t="shared" si="338"/>
        <v>0</v>
      </c>
      <c r="O1440" s="43">
        <f t="shared" si="334"/>
        <v>0</v>
      </c>
      <c r="P1440" s="43">
        <f t="shared" si="336"/>
        <v>5933374</v>
      </c>
      <c r="Q1440" s="100"/>
      <c r="R1440" s="117"/>
    </row>
    <row r="1441" spans="1:18" x14ac:dyDescent="0.25">
      <c r="A1441" s="48" t="str">
        <f t="shared" si="337"/>
        <v>HT</v>
      </c>
      <c r="B1441" s="32" t="s">
        <v>1775</v>
      </c>
      <c r="C1441" s="39" t="s">
        <v>1727</v>
      </c>
      <c r="D1441" s="13" t="s">
        <v>75</v>
      </c>
      <c r="E1441" s="123">
        <v>17</v>
      </c>
      <c r="F1441" s="136"/>
      <c r="G1441" s="125"/>
      <c r="H1441" s="125"/>
      <c r="I1441" s="125">
        <f t="shared" si="331"/>
        <v>17</v>
      </c>
      <c r="J1441" s="62">
        <f>'BIỂU HỢP ĐỒNG'!J1267</f>
        <v>214046</v>
      </c>
      <c r="K1441" s="43"/>
      <c r="L1441" s="62">
        <f t="shared" si="332"/>
        <v>3638782</v>
      </c>
      <c r="M1441" s="77">
        <f t="shared" si="333"/>
        <v>0</v>
      </c>
      <c r="N1441" s="43">
        <f t="shared" si="338"/>
        <v>0</v>
      </c>
      <c r="O1441" s="43">
        <f t="shared" si="334"/>
        <v>0</v>
      </c>
      <c r="P1441" s="43">
        <f t="shared" si="336"/>
        <v>3638782</v>
      </c>
      <c r="Q1441" s="100"/>
      <c r="R1441" s="117"/>
    </row>
    <row r="1442" spans="1:18" x14ac:dyDescent="0.25">
      <c r="A1442" s="48" t="str">
        <f t="shared" si="337"/>
        <v>HT</v>
      </c>
      <c r="B1442" s="32" t="s">
        <v>1776</v>
      </c>
      <c r="C1442" s="39" t="s">
        <v>1749</v>
      </c>
      <c r="D1442" s="13" t="s">
        <v>16</v>
      </c>
      <c r="E1442" s="123">
        <v>13.351800000000001</v>
      </c>
      <c r="F1442" s="136"/>
      <c r="G1442" s="125"/>
      <c r="H1442" s="125"/>
      <c r="I1442" s="125">
        <f t="shared" si="331"/>
        <v>13.351800000000001</v>
      </c>
      <c r="J1442" s="62">
        <f>'BIỂU HỢP ĐỒNG'!J1268</f>
        <v>840810</v>
      </c>
      <c r="K1442" s="43"/>
      <c r="L1442" s="62">
        <f t="shared" si="332"/>
        <v>11226327</v>
      </c>
      <c r="M1442" s="77">
        <f t="shared" si="333"/>
        <v>0</v>
      </c>
      <c r="N1442" s="43">
        <f t="shared" si="338"/>
        <v>0</v>
      </c>
      <c r="O1442" s="43">
        <f t="shared" si="334"/>
        <v>0</v>
      </c>
      <c r="P1442" s="43">
        <f t="shared" si="336"/>
        <v>11226327</v>
      </c>
      <c r="Q1442" s="100"/>
      <c r="R1442" s="117"/>
    </row>
    <row r="1443" spans="1:18" x14ac:dyDescent="0.25">
      <c r="A1443" s="48" t="str">
        <f t="shared" si="337"/>
        <v>HT</v>
      </c>
      <c r="B1443" s="32" t="s">
        <v>1777</v>
      </c>
      <c r="C1443" s="39" t="s">
        <v>1778</v>
      </c>
      <c r="D1443" s="13" t="s">
        <v>16</v>
      </c>
      <c r="E1443" s="123">
        <v>13.35</v>
      </c>
      <c r="F1443" s="136"/>
      <c r="G1443" s="125"/>
      <c r="H1443" s="125"/>
      <c r="I1443" s="125">
        <f t="shared" si="331"/>
        <v>13.35</v>
      </c>
      <c r="J1443" s="62">
        <f>'BIỂU HỢP ĐỒNG'!J1269</f>
        <v>57318.19</v>
      </c>
      <c r="K1443" s="43"/>
      <c r="L1443" s="62">
        <f t="shared" si="332"/>
        <v>765198</v>
      </c>
      <c r="M1443" s="77">
        <f t="shared" si="333"/>
        <v>0</v>
      </c>
      <c r="N1443" s="43">
        <f t="shared" si="338"/>
        <v>0</v>
      </c>
      <c r="O1443" s="43">
        <f t="shared" si="334"/>
        <v>0</v>
      </c>
      <c r="P1443" s="43">
        <f t="shared" si="336"/>
        <v>765198</v>
      </c>
      <c r="Q1443" s="100"/>
      <c r="R1443" s="117"/>
    </row>
    <row r="1444" spans="1:18" x14ac:dyDescent="0.25">
      <c r="A1444" s="48" t="str">
        <f t="shared" si="337"/>
        <v>HT</v>
      </c>
      <c r="B1444" s="32" t="s">
        <v>1779</v>
      </c>
      <c r="C1444" s="39" t="s">
        <v>1739</v>
      </c>
      <c r="D1444" s="13" t="s">
        <v>90</v>
      </c>
      <c r="E1444" s="123">
        <v>0.3</v>
      </c>
      <c r="F1444" s="136"/>
      <c r="G1444" s="125"/>
      <c r="H1444" s="125"/>
      <c r="I1444" s="125">
        <f t="shared" si="331"/>
        <v>0.3</v>
      </c>
      <c r="J1444" s="62">
        <f>'BIỂU HỢP ĐỒNG'!J1270</f>
        <v>30799905</v>
      </c>
      <c r="K1444" s="43"/>
      <c r="L1444" s="62">
        <f t="shared" si="332"/>
        <v>9239972</v>
      </c>
      <c r="M1444" s="77">
        <f t="shared" si="333"/>
        <v>0</v>
      </c>
      <c r="N1444" s="43">
        <f t="shared" si="338"/>
        <v>0</v>
      </c>
      <c r="O1444" s="43">
        <f t="shared" si="334"/>
        <v>0</v>
      </c>
      <c r="P1444" s="43">
        <f t="shared" si="336"/>
        <v>9239972</v>
      </c>
      <c r="Q1444" s="100"/>
      <c r="R1444" s="117"/>
    </row>
    <row r="1445" spans="1:18" x14ac:dyDescent="0.25">
      <c r="A1445" s="48" t="str">
        <f t="shared" si="337"/>
        <v>HT</v>
      </c>
      <c r="B1445" s="32" t="s">
        <v>1780</v>
      </c>
      <c r="C1445" s="39" t="s">
        <v>1781</v>
      </c>
      <c r="D1445" s="13" t="s">
        <v>90</v>
      </c>
      <c r="E1445" s="123">
        <v>0.3</v>
      </c>
      <c r="F1445" s="136"/>
      <c r="G1445" s="125"/>
      <c r="H1445" s="125"/>
      <c r="I1445" s="125">
        <f t="shared" si="331"/>
        <v>0.3</v>
      </c>
      <c r="J1445" s="62">
        <f>'BIỂU HỢP ĐỒNG'!J1271</f>
        <v>10743587</v>
      </c>
      <c r="K1445" s="43"/>
      <c r="L1445" s="62">
        <f t="shared" si="332"/>
        <v>3223076</v>
      </c>
      <c r="M1445" s="77">
        <f t="shared" si="333"/>
        <v>0</v>
      </c>
      <c r="N1445" s="43">
        <f t="shared" si="338"/>
        <v>0</v>
      </c>
      <c r="O1445" s="43">
        <f t="shared" si="334"/>
        <v>0</v>
      </c>
      <c r="P1445" s="43">
        <f t="shared" si="336"/>
        <v>3223076</v>
      </c>
      <c r="Q1445" s="100"/>
      <c r="R1445" s="117"/>
    </row>
    <row r="1446" spans="1:18" ht="47.25" customHeight="1" x14ac:dyDescent="0.25">
      <c r="A1446" s="48" t="str">
        <f t="shared" si="337"/>
        <v>HT</v>
      </c>
      <c r="B1446" s="32" t="s">
        <v>1782</v>
      </c>
      <c r="C1446" s="39" t="s">
        <v>1783</v>
      </c>
      <c r="D1446" s="13" t="s">
        <v>90</v>
      </c>
      <c r="E1446" s="123">
        <v>49.127299999999998</v>
      </c>
      <c r="F1446" s="136"/>
      <c r="G1446" s="125"/>
      <c r="H1446" s="125"/>
      <c r="I1446" s="125">
        <f t="shared" si="331"/>
        <v>49.127299999999998</v>
      </c>
      <c r="J1446" s="62">
        <f>'BIỂU HỢP ĐỒNG'!J1272</f>
        <v>10406267</v>
      </c>
      <c r="K1446" s="43"/>
      <c r="L1446" s="62">
        <f t="shared" si="332"/>
        <v>511231801</v>
      </c>
      <c r="M1446" s="77">
        <f t="shared" si="333"/>
        <v>0</v>
      </c>
      <c r="N1446" s="43">
        <f t="shared" si="338"/>
        <v>0</v>
      </c>
      <c r="O1446" s="43">
        <f t="shared" si="334"/>
        <v>0</v>
      </c>
      <c r="P1446" s="43">
        <f t="shared" si="336"/>
        <v>511231801</v>
      </c>
      <c r="Q1446" s="100"/>
      <c r="R1446" s="117"/>
    </row>
    <row r="1447" spans="1:18" x14ac:dyDescent="0.25">
      <c r="A1447" s="48" t="str">
        <f t="shared" si="337"/>
        <v>HT</v>
      </c>
      <c r="B1447" s="32" t="s">
        <v>1784</v>
      </c>
      <c r="C1447" s="39" t="s">
        <v>1785</v>
      </c>
      <c r="D1447" s="13" t="s">
        <v>90</v>
      </c>
      <c r="E1447" s="123">
        <v>49.13</v>
      </c>
      <c r="F1447" s="136"/>
      <c r="G1447" s="125"/>
      <c r="H1447" s="125"/>
      <c r="I1447" s="125">
        <f t="shared" si="331"/>
        <v>49.13</v>
      </c>
      <c r="J1447" s="62">
        <f>'BIỂU HỢP ĐỒNG'!J1273</f>
        <v>1512019</v>
      </c>
      <c r="K1447" s="43"/>
      <c r="L1447" s="62">
        <f t="shared" si="332"/>
        <v>74285493</v>
      </c>
      <c r="M1447" s="77">
        <f t="shared" si="333"/>
        <v>0</v>
      </c>
      <c r="N1447" s="43">
        <f t="shared" si="338"/>
        <v>0</v>
      </c>
      <c r="O1447" s="43">
        <f t="shared" si="334"/>
        <v>0</v>
      </c>
      <c r="P1447" s="43">
        <f t="shared" si="336"/>
        <v>74285493</v>
      </c>
      <c r="Q1447" s="100"/>
      <c r="R1447" s="117"/>
    </row>
    <row r="1448" spans="1:18" x14ac:dyDescent="0.25">
      <c r="A1448" s="48" t="str">
        <f t="shared" si="337"/>
        <v>HT</v>
      </c>
      <c r="B1448" s="32" t="s">
        <v>1786</v>
      </c>
      <c r="C1448" s="39" t="s">
        <v>1787</v>
      </c>
      <c r="D1448" s="13" t="s">
        <v>90</v>
      </c>
      <c r="E1448" s="123">
        <v>49.13</v>
      </c>
      <c r="F1448" s="136"/>
      <c r="G1448" s="125"/>
      <c r="H1448" s="125"/>
      <c r="I1448" s="125">
        <f t="shared" si="331"/>
        <v>49.13</v>
      </c>
      <c r="J1448" s="62">
        <f>'BIỂU HỢP ĐỒNG'!J1274</f>
        <v>1512019</v>
      </c>
      <c r="K1448" s="43"/>
      <c r="L1448" s="62">
        <f t="shared" si="332"/>
        <v>74285493</v>
      </c>
      <c r="M1448" s="77">
        <f t="shared" si="333"/>
        <v>0</v>
      </c>
      <c r="N1448" s="43">
        <f t="shared" si="338"/>
        <v>0</v>
      </c>
      <c r="O1448" s="43">
        <f t="shared" si="334"/>
        <v>0</v>
      </c>
      <c r="P1448" s="43">
        <f t="shared" si="336"/>
        <v>74285493</v>
      </c>
      <c r="Q1448" s="100"/>
      <c r="R1448" s="117"/>
    </row>
    <row r="1449" spans="1:18" x14ac:dyDescent="0.25">
      <c r="A1449" s="48" t="str">
        <f t="shared" si="337"/>
        <v>HT</v>
      </c>
      <c r="B1449" s="32" t="s">
        <v>1788</v>
      </c>
      <c r="C1449" s="39" t="s">
        <v>1789</v>
      </c>
      <c r="D1449" s="13" t="s">
        <v>90</v>
      </c>
      <c r="E1449" s="123">
        <v>49.13</v>
      </c>
      <c r="F1449" s="136"/>
      <c r="G1449" s="125"/>
      <c r="H1449" s="125"/>
      <c r="I1449" s="125">
        <f t="shared" si="331"/>
        <v>49.13</v>
      </c>
      <c r="J1449" s="62">
        <f>'BIỂU HỢP ĐỒNG'!J1275</f>
        <v>1512019</v>
      </c>
      <c r="K1449" s="43"/>
      <c r="L1449" s="62">
        <f t="shared" si="332"/>
        <v>74285493</v>
      </c>
      <c r="M1449" s="77">
        <f t="shared" si="333"/>
        <v>0</v>
      </c>
      <c r="N1449" s="43">
        <f t="shared" si="338"/>
        <v>0</v>
      </c>
      <c r="O1449" s="43">
        <f t="shared" si="334"/>
        <v>0</v>
      </c>
      <c r="P1449" s="43">
        <f t="shared" si="336"/>
        <v>74285493</v>
      </c>
      <c r="Q1449" s="100"/>
      <c r="R1449" s="117"/>
    </row>
    <row r="1450" spans="1:18" x14ac:dyDescent="0.25">
      <c r="A1450" s="48" t="str">
        <f t="shared" si="337"/>
        <v>HT</v>
      </c>
      <c r="B1450" s="32" t="s">
        <v>1790</v>
      </c>
      <c r="C1450" s="39" t="s">
        <v>1791</v>
      </c>
      <c r="D1450" s="13" t="s">
        <v>90</v>
      </c>
      <c r="E1450" s="123">
        <v>49.13</v>
      </c>
      <c r="F1450" s="136"/>
      <c r="G1450" s="125"/>
      <c r="H1450" s="125"/>
      <c r="I1450" s="125">
        <f t="shared" si="331"/>
        <v>49.13</v>
      </c>
      <c r="J1450" s="62">
        <f>'BIỂU HỢP ĐỒNG'!J1276</f>
        <v>1512019</v>
      </c>
      <c r="K1450" s="43"/>
      <c r="L1450" s="62">
        <f t="shared" si="332"/>
        <v>74285493</v>
      </c>
      <c r="M1450" s="77">
        <f t="shared" si="333"/>
        <v>0</v>
      </c>
      <c r="N1450" s="43">
        <f t="shared" si="338"/>
        <v>0</v>
      </c>
      <c r="O1450" s="43">
        <f t="shared" si="334"/>
        <v>0</v>
      </c>
      <c r="P1450" s="43">
        <f t="shared" si="336"/>
        <v>74285493</v>
      </c>
      <c r="Q1450" s="100"/>
      <c r="R1450" s="117"/>
    </row>
    <row r="1451" spans="1:18" x14ac:dyDescent="0.25">
      <c r="A1451" s="48" t="str">
        <f t="shared" si="337"/>
        <v>HT</v>
      </c>
      <c r="B1451" s="32" t="s">
        <v>1792</v>
      </c>
      <c r="C1451" s="39" t="s">
        <v>1793</v>
      </c>
      <c r="D1451" s="13" t="s">
        <v>90</v>
      </c>
      <c r="E1451" s="123">
        <v>40.64</v>
      </c>
      <c r="F1451" s="136"/>
      <c r="G1451" s="125"/>
      <c r="H1451" s="125"/>
      <c r="I1451" s="125">
        <f t="shared" si="331"/>
        <v>40.64</v>
      </c>
      <c r="J1451" s="62">
        <f>'BIỂU HỢP ĐỒNG'!J1277</f>
        <v>1512019</v>
      </c>
      <c r="K1451" s="43"/>
      <c r="L1451" s="62">
        <f t="shared" si="332"/>
        <v>61448452</v>
      </c>
      <c r="M1451" s="77">
        <f t="shared" si="333"/>
        <v>0</v>
      </c>
      <c r="N1451" s="43">
        <f t="shared" si="338"/>
        <v>0</v>
      </c>
      <c r="O1451" s="43">
        <f t="shared" si="334"/>
        <v>0</v>
      </c>
      <c r="P1451" s="43">
        <f t="shared" si="336"/>
        <v>61448452</v>
      </c>
      <c r="Q1451" s="100"/>
      <c r="R1451" s="117"/>
    </row>
    <row r="1452" spans="1:18" x14ac:dyDescent="0.25">
      <c r="A1452" s="48" t="str">
        <f t="shared" si="337"/>
        <v>HT</v>
      </c>
      <c r="B1452" s="32" t="s">
        <v>1794</v>
      </c>
      <c r="C1452" s="39" t="s">
        <v>1795</v>
      </c>
      <c r="D1452" s="13" t="s">
        <v>90</v>
      </c>
      <c r="E1452" s="123">
        <v>40.64</v>
      </c>
      <c r="F1452" s="136"/>
      <c r="G1452" s="125"/>
      <c r="H1452" s="125"/>
      <c r="I1452" s="125">
        <f t="shared" si="331"/>
        <v>40.64</v>
      </c>
      <c r="J1452" s="62">
        <f>'BIỂU HỢP ĐỒNG'!J1278</f>
        <v>1565192</v>
      </c>
      <c r="K1452" s="43"/>
      <c r="L1452" s="62">
        <f t="shared" si="332"/>
        <v>63609403</v>
      </c>
      <c r="M1452" s="77">
        <f t="shared" si="333"/>
        <v>0</v>
      </c>
      <c r="N1452" s="43">
        <f t="shared" ref="N1452:N1483" si="339">+ROUND(G1452*J1452,0)</f>
        <v>0</v>
      </c>
      <c r="O1452" s="43">
        <f t="shared" si="334"/>
        <v>0</v>
      </c>
      <c r="P1452" s="43">
        <f t="shared" si="336"/>
        <v>63609403</v>
      </c>
      <c r="Q1452" s="100"/>
      <c r="R1452" s="117"/>
    </row>
    <row r="1453" spans="1:18" x14ac:dyDescent="0.25">
      <c r="A1453" s="48" t="str">
        <f t="shared" si="337"/>
        <v>HT</v>
      </c>
      <c r="B1453" s="32" t="s">
        <v>1796</v>
      </c>
      <c r="C1453" s="39" t="s">
        <v>1797</v>
      </c>
      <c r="D1453" s="13" t="s">
        <v>90</v>
      </c>
      <c r="E1453" s="123">
        <v>40.64</v>
      </c>
      <c r="F1453" s="136"/>
      <c r="G1453" s="125"/>
      <c r="H1453" s="125"/>
      <c r="I1453" s="125">
        <f t="shared" si="331"/>
        <v>40.64</v>
      </c>
      <c r="J1453" s="62">
        <f>'BIỂU HỢP ĐỒNG'!J1279</f>
        <v>1512019</v>
      </c>
      <c r="K1453" s="43"/>
      <c r="L1453" s="62">
        <f t="shared" si="332"/>
        <v>61448452</v>
      </c>
      <c r="M1453" s="77">
        <f t="shared" si="333"/>
        <v>0</v>
      </c>
      <c r="N1453" s="43">
        <f t="shared" si="339"/>
        <v>0</v>
      </c>
      <c r="O1453" s="43">
        <f t="shared" si="334"/>
        <v>0</v>
      </c>
      <c r="P1453" s="43">
        <f t="shared" si="336"/>
        <v>61448452</v>
      </c>
      <c r="Q1453" s="100"/>
      <c r="R1453" s="117"/>
    </row>
    <row r="1454" spans="1:18" x14ac:dyDescent="0.25">
      <c r="A1454" s="48" t="str">
        <f t="shared" si="337"/>
        <v>HT</v>
      </c>
      <c r="B1454" s="32" t="s">
        <v>1798</v>
      </c>
      <c r="C1454" s="39" t="s">
        <v>1799</v>
      </c>
      <c r="D1454" s="13" t="s">
        <v>90</v>
      </c>
      <c r="E1454" s="123">
        <v>40.64</v>
      </c>
      <c r="F1454" s="136"/>
      <c r="G1454" s="125"/>
      <c r="H1454" s="125"/>
      <c r="I1454" s="125">
        <f t="shared" si="331"/>
        <v>40.64</v>
      </c>
      <c r="J1454" s="62">
        <f>'BIỂU HỢP ĐỒNG'!J1280</f>
        <v>1512019</v>
      </c>
      <c r="K1454" s="43"/>
      <c r="L1454" s="62">
        <f t="shared" si="332"/>
        <v>61448452</v>
      </c>
      <c r="M1454" s="77">
        <f t="shared" si="333"/>
        <v>0</v>
      </c>
      <c r="N1454" s="43">
        <f t="shared" si="339"/>
        <v>0</v>
      </c>
      <c r="O1454" s="43">
        <f t="shared" si="334"/>
        <v>0</v>
      </c>
      <c r="P1454" s="43">
        <f t="shared" si="336"/>
        <v>61448452</v>
      </c>
      <c r="Q1454" s="100"/>
      <c r="R1454" s="117"/>
    </row>
    <row r="1455" spans="1:18" x14ac:dyDescent="0.25">
      <c r="A1455" s="48" t="str">
        <f t="shared" si="337"/>
        <v>HT</v>
      </c>
      <c r="B1455" s="32" t="s">
        <v>1800</v>
      </c>
      <c r="C1455" s="39" t="s">
        <v>1801</v>
      </c>
      <c r="D1455" s="13" t="s">
        <v>90</v>
      </c>
      <c r="E1455" s="123">
        <v>359.06</v>
      </c>
      <c r="F1455" s="136"/>
      <c r="G1455" s="125"/>
      <c r="H1455" s="125"/>
      <c r="I1455" s="125">
        <f t="shared" si="331"/>
        <v>359.06</v>
      </c>
      <c r="J1455" s="62">
        <f>'BIỂU HỢP ĐỒNG'!J1281</f>
        <v>5687244</v>
      </c>
      <c r="K1455" s="43"/>
      <c r="L1455" s="62">
        <f t="shared" si="332"/>
        <v>2042061831</v>
      </c>
      <c r="M1455" s="77">
        <f t="shared" si="333"/>
        <v>0</v>
      </c>
      <c r="N1455" s="43">
        <f t="shared" si="339"/>
        <v>0</v>
      </c>
      <c r="O1455" s="43">
        <f t="shared" si="334"/>
        <v>0</v>
      </c>
      <c r="P1455" s="43">
        <f t="shared" si="336"/>
        <v>2042061831</v>
      </c>
      <c r="Q1455" s="100"/>
      <c r="R1455" s="117"/>
    </row>
    <row r="1456" spans="1:18" x14ac:dyDescent="0.25">
      <c r="A1456" s="48" t="str">
        <f t="shared" si="337"/>
        <v>HT</v>
      </c>
      <c r="B1456" s="32" t="s">
        <v>1802</v>
      </c>
      <c r="C1456" s="39" t="s">
        <v>1803</v>
      </c>
      <c r="D1456" s="13" t="s">
        <v>90</v>
      </c>
      <c r="E1456" s="123">
        <v>359.06</v>
      </c>
      <c r="F1456" s="136"/>
      <c r="G1456" s="125"/>
      <c r="H1456" s="125"/>
      <c r="I1456" s="125">
        <f t="shared" si="331"/>
        <v>359.06</v>
      </c>
      <c r="J1456" s="62">
        <f>'BIỂU HỢP ĐỒNG'!J1282</f>
        <v>2343426</v>
      </c>
      <c r="K1456" s="43"/>
      <c r="L1456" s="62">
        <f t="shared" si="332"/>
        <v>841430540</v>
      </c>
      <c r="M1456" s="77">
        <f t="shared" si="333"/>
        <v>0</v>
      </c>
      <c r="N1456" s="43">
        <f t="shared" si="339"/>
        <v>0</v>
      </c>
      <c r="O1456" s="43">
        <f t="shared" si="334"/>
        <v>0</v>
      </c>
      <c r="P1456" s="43">
        <f t="shared" si="336"/>
        <v>841430540</v>
      </c>
      <c r="Q1456" s="100"/>
      <c r="R1456" s="117"/>
    </row>
    <row r="1457" spans="1:18" ht="31.5" customHeight="1" x14ac:dyDescent="0.25">
      <c r="A1457" s="48" t="str">
        <f t="shared" si="337"/>
        <v>HT</v>
      </c>
      <c r="B1457" s="32" t="s">
        <v>1804</v>
      </c>
      <c r="C1457" s="39" t="s">
        <v>1805</v>
      </c>
      <c r="D1457" s="13" t="s">
        <v>90</v>
      </c>
      <c r="E1457" s="123">
        <v>113.24</v>
      </c>
      <c r="F1457" s="136"/>
      <c r="G1457" s="125"/>
      <c r="H1457" s="125"/>
      <c r="I1457" s="125">
        <f t="shared" si="331"/>
        <v>113.24</v>
      </c>
      <c r="J1457" s="62">
        <f>'BIỂU HỢP ĐỒNG'!J1283</f>
        <v>2165664</v>
      </c>
      <c r="K1457" s="43"/>
      <c r="L1457" s="62">
        <f t="shared" si="332"/>
        <v>245239791</v>
      </c>
      <c r="M1457" s="77">
        <f t="shared" si="333"/>
        <v>0</v>
      </c>
      <c r="N1457" s="43">
        <f t="shared" si="339"/>
        <v>0</v>
      </c>
      <c r="O1457" s="43">
        <f t="shared" si="334"/>
        <v>0</v>
      </c>
      <c r="P1457" s="43">
        <f t="shared" si="336"/>
        <v>245239791</v>
      </c>
      <c r="Q1457" s="100"/>
      <c r="R1457" s="117"/>
    </row>
    <row r="1458" spans="1:18" ht="31.5" customHeight="1" x14ac:dyDescent="0.25">
      <c r="A1458" s="48" t="str">
        <f t="shared" si="337"/>
        <v>HT</v>
      </c>
      <c r="B1458" s="32" t="s">
        <v>1806</v>
      </c>
      <c r="C1458" s="39" t="s">
        <v>1807</v>
      </c>
      <c r="D1458" s="13" t="s">
        <v>90</v>
      </c>
      <c r="E1458" s="123">
        <v>113.24</v>
      </c>
      <c r="F1458" s="136"/>
      <c r="G1458" s="125"/>
      <c r="H1458" s="125"/>
      <c r="I1458" s="125">
        <f t="shared" si="331"/>
        <v>113.24</v>
      </c>
      <c r="J1458" s="62">
        <f>'BIỂU HỢP ĐỒNG'!J1284</f>
        <v>2165664</v>
      </c>
      <c r="K1458" s="43"/>
      <c r="L1458" s="62">
        <f t="shared" si="332"/>
        <v>245239791</v>
      </c>
      <c r="M1458" s="77">
        <f t="shared" si="333"/>
        <v>0</v>
      </c>
      <c r="N1458" s="43">
        <f t="shared" si="339"/>
        <v>0</v>
      </c>
      <c r="O1458" s="43">
        <f t="shared" si="334"/>
        <v>0</v>
      </c>
      <c r="P1458" s="43">
        <f t="shared" si="336"/>
        <v>245239791</v>
      </c>
      <c r="Q1458" s="100"/>
      <c r="R1458" s="117"/>
    </row>
    <row r="1459" spans="1:18" x14ac:dyDescent="0.25">
      <c r="A1459" s="48" t="str">
        <f t="shared" si="337"/>
        <v>HT</v>
      </c>
      <c r="B1459" s="32" t="s">
        <v>1808</v>
      </c>
      <c r="C1459" s="39" t="s">
        <v>1809</v>
      </c>
      <c r="D1459" s="13" t="s">
        <v>75</v>
      </c>
      <c r="E1459" s="123">
        <v>5704</v>
      </c>
      <c r="F1459" s="136"/>
      <c r="G1459" s="125"/>
      <c r="H1459" s="125"/>
      <c r="I1459" s="125">
        <f t="shared" si="331"/>
        <v>5704</v>
      </c>
      <c r="J1459" s="62">
        <f>'BIỂU HỢP ĐỒNG'!J1285</f>
        <v>67386</v>
      </c>
      <c r="K1459" s="43"/>
      <c r="L1459" s="62">
        <f t="shared" si="332"/>
        <v>384369744</v>
      </c>
      <c r="M1459" s="77">
        <f t="shared" si="333"/>
        <v>0</v>
      </c>
      <c r="N1459" s="43">
        <f t="shared" si="339"/>
        <v>0</v>
      </c>
      <c r="O1459" s="43">
        <f t="shared" si="334"/>
        <v>0</v>
      </c>
      <c r="P1459" s="43">
        <f t="shared" si="336"/>
        <v>384369744</v>
      </c>
      <c r="Q1459" s="100"/>
      <c r="R1459" s="117"/>
    </row>
    <row r="1460" spans="1:18" ht="31.5" customHeight="1" x14ac:dyDescent="0.25">
      <c r="A1460" s="48" t="str">
        <f t="shared" si="337"/>
        <v>HT</v>
      </c>
      <c r="B1460" s="32" t="s">
        <v>1810</v>
      </c>
      <c r="C1460" s="39" t="s">
        <v>1811</v>
      </c>
      <c r="D1460" s="13" t="s">
        <v>75</v>
      </c>
      <c r="E1460" s="123">
        <v>248</v>
      </c>
      <c r="F1460" s="136"/>
      <c r="G1460" s="125"/>
      <c r="H1460" s="125"/>
      <c r="I1460" s="125">
        <f t="shared" si="331"/>
        <v>248</v>
      </c>
      <c r="J1460" s="62">
        <f>'BIỂU HỢP ĐỒNG'!J1286</f>
        <v>67386</v>
      </c>
      <c r="K1460" s="43"/>
      <c r="L1460" s="62">
        <f t="shared" si="332"/>
        <v>16711728</v>
      </c>
      <c r="M1460" s="77">
        <f t="shared" si="333"/>
        <v>0</v>
      </c>
      <c r="N1460" s="43">
        <f t="shared" si="339"/>
        <v>0</v>
      </c>
      <c r="O1460" s="43">
        <f t="shared" si="334"/>
        <v>0</v>
      </c>
      <c r="P1460" s="43">
        <f t="shared" si="336"/>
        <v>16711728</v>
      </c>
      <c r="Q1460" s="100"/>
      <c r="R1460" s="117"/>
    </row>
    <row r="1461" spans="1:18" x14ac:dyDescent="0.25">
      <c r="A1461" s="48" t="str">
        <f t="shared" si="337"/>
        <v>HT</v>
      </c>
      <c r="B1461" s="32" t="s">
        <v>1812</v>
      </c>
      <c r="C1461" s="39" t="s">
        <v>1813</v>
      </c>
      <c r="D1461" s="13" t="s">
        <v>75</v>
      </c>
      <c r="E1461" s="123">
        <v>5704</v>
      </c>
      <c r="F1461" s="136"/>
      <c r="G1461" s="125"/>
      <c r="H1461" s="125"/>
      <c r="I1461" s="125">
        <f t="shared" ref="I1461:I1523" si="340">SUM(E1461:H1461)</f>
        <v>5704</v>
      </c>
      <c r="J1461" s="62">
        <f>'BIỂU HỢP ĐỒNG'!J1287</f>
        <v>52562</v>
      </c>
      <c r="K1461" s="43"/>
      <c r="L1461" s="62">
        <f t="shared" ref="L1461:L1523" si="341">+ROUND(J1461*E1461,0)</f>
        <v>299813648</v>
      </c>
      <c r="M1461" s="77">
        <f t="shared" ref="M1461:M1523" si="342">+ROUND(F1461*J1461,0)</f>
        <v>0</v>
      </c>
      <c r="N1461" s="43">
        <f t="shared" si="339"/>
        <v>0</v>
      </c>
      <c r="O1461" s="43">
        <f t="shared" ref="O1461:O1523" si="343">+ROUND(H1461*J1461,0)</f>
        <v>0</v>
      </c>
      <c r="P1461" s="43">
        <f t="shared" si="336"/>
        <v>299813648</v>
      </c>
      <c r="Q1461" s="100"/>
      <c r="R1461" s="117"/>
    </row>
    <row r="1462" spans="1:18" x14ac:dyDescent="0.25">
      <c r="A1462" s="48" t="str">
        <f t="shared" si="337"/>
        <v>HT</v>
      </c>
      <c r="B1462" s="32" t="s">
        <v>1814</v>
      </c>
      <c r="C1462" s="39" t="s">
        <v>1815</v>
      </c>
      <c r="D1462" s="13" t="s">
        <v>16</v>
      </c>
      <c r="E1462" s="123">
        <v>5522.2103999999999</v>
      </c>
      <c r="F1462" s="136"/>
      <c r="G1462" s="125"/>
      <c r="H1462" s="125"/>
      <c r="I1462" s="125">
        <f t="shared" si="340"/>
        <v>5522.2103999999999</v>
      </c>
      <c r="J1462" s="62">
        <f>'BIỂU HỢP ĐỒNG'!J1288</f>
        <v>21361</v>
      </c>
      <c r="K1462" s="43"/>
      <c r="L1462" s="62">
        <f t="shared" si="341"/>
        <v>117959936</v>
      </c>
      <c r="M1462" s="77">
        <f t="shared" si="342"/>
        <v>0</v>
      </c>
      <c r="N1462" s="43">
        <f t="shared" si="339"/>
        <v>0</v>
      </c>
      <c r="O1462" s="43">
        <f t="shared" si="343"/>
        <v>0</v>
      </c>
      <c r="P1462" s="43">
        <f t="shared" si="336"/>
        <v>117959936</v>
      </c>
      <c r="Q1462" s="100"/>
      <c r="R1462" s="117"/>
    </row>
    <row r="1463" spans="1:18" x14ac:dyDescent="0.25">
      <c r="A1463" s="48" t="str">
        <f t="shared" si="337"/>
        <v>HT</v>
      </c>
      <c r="B1463" s="32" t="s">
        <v>1816</v>
      </c>
      <c r="C1463" s="39" t="s">
        <v>1817</v>
      </c>
      <c r="D1463" s="13" t="s">
        <v>16</v>
      </c>
      <c r="E1463" s="123">
        <v>2881.1</v>
      </c>
      <c r="F1463" s="136"/>
      <c r="G1463" s="125"/>
      <c r="H1463" s="125"/>
      <c r="I1463" s="125">
        <f t="shared" si="340"/>
        <v>2881.1</v>
      </c>
      <c r="J1463" s="62">
        <f>'BIỂU HỢP ĐỒNG'!J1289</f>
        <v>19560</v>
      </c>
      <c r="K1463" s="43"/>
      <c r="L1463" s="62">
        <f t="shared" si="341"/>
        <v>56354316</v>
      </c>
      <c r="M1463" s="77">
        <f t="shared" si="342"/>
        <v>0</v>
      </c>
      <c r="N1463" s="43">
        <f t="shared" si="339"/>
        <v>0</v>
      </c>
      <c r="O1463" s="43">
        <f t="shared" si="343"/>
        <v>0</v>
      </c>
      <c r="P1463" s="43">
        <f t="shared" si="336"/>
        <v>56354316</v>
      </c>
      <c r="Q1463" s="100"/>
      <c r="R1463" s="117"/>
    </row>
    <row r="1464" spans="1:18" x14ac:dyDescent="0.25">
      <c r="A1464" s="48" t="str">
        <f t="shared" si="337"/>
        <v>HT</v>
      </c>
      <c r="B1464" s="32" t="s">
        <v>1818</v>
      </c>
      <c r="C1464" s="39" t="s">
        <v>1819</v>
      </c>
      <c r="D1464" s="13" t="s">
        <v>16</v>
      </c>
      <c r="E1464" s="123">
        <v>994.42079999999999</v>
      </c>
      <c r="F1464" s="136"/>
      <c r="G1464" s="125"/>
      <c r="H1464" s="125"/>
      <c r="I1464" s="125">
        <f t="shared" si="340"/>
        <v>994.42079999999999</v>
      </c>
      <c r="J1464" s="62">
        <f>'BIỂU HỢP ĐỒNG'!J1290</f>
        <v>12936</v>
      </c>
      <c r="K1464" s="43"/>
      <c r="L1464" s="62">
        <f t="shared" si="341"/>
        <v>12863827</v>
      </c>
      <c r="M1464" s="77">
        <f t="shared" si="342"/>
        <v>0</v>
      </c>
      <c r="N1464" s="43">
        <f t="shared" si="339"/>
        <v>0</v>
      </c>
      <c r="O1464" s="43">
        <f t="shared" si="343"/>
        <v>0</v>
      </c>
      <c r="P1464" s="43">
        <f t="shared" si="336"/>
        <v>12863827</v>
      </c>
      <c r="Q1464" s="100"/>
      <c r="R1464" s="117"/>
    </row>
    <row r="1465" spans="1:18" ht="47.25" customHeight="1" x14ac:dyDescent="0.25">
      <c r="A1465" s="48" t="str">
        <f t="shared" si="337"/>
        <v>HT</v>
      </c>
      <c r="B1465" s="32" t="s">
        <v>1820</v>
      </c>
      <c r="C1465" s="39" t="s">
        <v>1821</v>
      </c>
      <c r="D1465" s="13" t="s">
        <v>16</v>
      </c>
      <c r="E1465" s="123">
        <v>48.6</v>
      </c>
      <c r="F1465" s="136"/>
      <c r="G1465" s="125"/>
      <c r="H1465" s="125"/>
      <c r="I1465" s="125">
        <f t="shared" si="340"/>
        <v>48.6</v>
      </c>
      <c r="J1465" s="62">
        <f>'BIỂU HỢP ĐỒNG'!J1291</f>
        <v>1570800</v>
      </c>
      <c r="K1465" s="43"/>
      <c r="L1465" s="62">
        <f t="shared" si="341"/>
        <v>76340880</v>
      </c>
      <c r="M1465" s="77">
        <f t="shared" si="342"/>
        <v>0</v>
      </c>
      <c r="N1465" s="43">
        <f t="shared" si="339"/>
        <v>0</v>
      </c>
      <c r="O1465" s="43">
        <f t="shared" si="343"/>
        <v>0</v>
      </c>
      <c r="P1465" s="43">
        <f t="shared" si="336"/>
        <v>76340880</v>
      </c>
      <c r="Q1465" s="100"/>
      <c r="R1465" s="117"/>
    </row>
    <row r="1466" spans="1:18" x14ac:dyDescent="0.25">
      <c r="A1466" s="48" t="str">
        <f t="shared" si="337"/>
        <v>HT</v>
      </c>
      <c r="B1466" s="32" t="s">
        <v>1822</v>
      </c>
      <c r="C1466" s="39" t="s">
        <v>1823</v>
      </c>
      <c r="D1466" s="13" t="s">
        <v>16</v>
      </c>
      <c r="E1466" s="123">
        <v>573.76</v>
      </c>
      <c r="F1466" s="136"/>
      <c r="G1466" s="125"/>
      <c r="H1466" s="125"/>
      <c r="I1466" s="125">
        <f t="shared" si="340"/>
        <v>573.76</v>
      </c>
      <c r="J1466" s="62">
        <f>'BIỂU HỢP ĐỒNG'!J1292</f>
        <v>1602004</v>
      </c>
      <c r="K1466" s="43"/>
      <c r="L1466" s="62">
        <f t="shared" si="341"/>
        <v>919165815</v>
      </c>
      <c r="M1466" s="77">
        <f t="shared" si="342"/>
        <v>0</v>
      </c>
      <c r="N1466" s="43">
        <f t="shared" si="339"/>
        <v>0</v>
      </c>
      <c r="O1466" s="43">
        <f t="shared" si="343"/>
        <v>0</v>
      </c>
      <c r="P1466" s="43">
        <f t="shared" si="336"/>
        <v>919165815</v>
      </c>
      <c r="Q1466" s="100"/>
      <c r="R1466" s="117"/>
    </row>
    <row r="1467" spans="1:18" ht="31.5" customHeight="1" x14ac:dyDescent="0.25">
      <c r="A1467" s="48" t="str">
        <f t="shared" si="337"/>
        <v>HT</v>
      </c>
      <c r="B1467" s="32" t="s">
        <v>1824</v>
      </c>
      <c r="C1467" s="39" t="s">
        <v>1753</v>
      </c>
      <c r="D1467" s="13" t="s">
        <v>16</v>
      </c>
      <c r="E1467" s="123">
        <v>4398.51</v>
      </c>
      <c r="F1467" s="136"/>
      <c r="G1467" s="125"/>
      <c r="H1467" s="125"/>
      <c r="I1467" s="125">
        <f t="shared" si="340"/>
        <v>4398.51</v>
      </c>
      <c r="J1467" s="62">
        <f>'BIỂU HỢP ĐỒNG'!J1293</f>
        <v>42711</v>
      </c>
      <c r="K1467" s="43"/>
      <c r="L1467" s="62">
        <f t="shared" si="341"/>
        <v>187864761</v>
      </c>
      <c r="M1467" s="77">
        <f t="shared" si="342"/>
        <v>0</v>
      </c>
      <c r="N1467" s="43">
        <f t="shared" si="339"/>
        <v>0</v>
      </c>
      <c r="O1467" s="43">
        <f t="shared" si="343"/>
        <v>0</v>
      </c>
      <c r="P1467" s="43">
        <f t="shared" si="336"/>
        <v>187864761</v>
      </c>
      <c r="Q1467" s="100"/>
      <c r="R1467" s="117"/>
    </row>
    <row r="1468" spans="1:18" x14ac:dyDescent="0.25">
      <c r="A1468" s="48" t="str">
        <f t="shared" si="337"/>
        <v>HT</v>
      </c>
      <c r="B1468" s="32" t="s">
        <v>1825</v>
      </c>
      <c r="C1468" s="39" t="s">
        <v>1477</v>
      </c>
      <c r="D1468" s="13" t="s">
        <v>16</v>
      </c>
      <c r="E1468" s="123">
        <v>585.23519999999996</v>
      </c>
      <c r="F1468" s="136"/>
      <c r="G1468" s="125"/>
      <c r="H1468" s="125"/>
      <c r="I1468" s="125">
        <f t="shared" si="340"/>
        <v>585.23519999999996</v>
      </c>
      <c r="J1468" s="62">
        <f>'BIỂU HỢP ĐỒNG'!J1294</f>
        <v>57102</v>
      </c>
      <c r="K1468" s="43"/>
      <c r="L1468" s="62">
        <f t="shared" si="341"/>
        <v>33418100</v>
      </c>
      <c r="M1468" s="77">
        <f t="shared" si="342"/>
        <v>0</v>
      </c>
      <c r="N1468" s="43">
        <f t="shared" si="339"/>
        <v>0</v>
      </c>
      <c r="O1468" s="43">
        <f t="shared" si="343"/>
        <v>0</v>
      </c>
      <c r="P1468" s="43">
        <f t="shared" si="336"/>
        <v>33418100</v>
      </c>
      <c r="Q1468" s="100"/>
      <c r="R1468" s="117"/>
    </row>
    <row r="1469" spans="1:18" x14ac:dyDescent="0.25">
      <c r="A1469" s="48" t="str">
        <f t="shared" si="337"/>
        <v>HT</v>
      </c>
      <c r="B1469" s="32" t="s">
        <v>1826</v>
      </c>
      <c r="C1469" s="39" t="s">
        <v>562</v>
      </c>
      <c r="D1469" s="13" t="s">
        <v>16</v>
      </c>
      <c r="E1469" s="123">
        <v>585.24</v>
      </c>
      <c r="F1469" s="136"/>
      <c r="G1469" s="125"/>
      <c r="H1469" s="125"/>
      <c r="I1469" s="125">
        <f t="shared" si="340"/>
        <v>585.24</v>
      </c>
      <c r="J1469" s="62">
        <f>'BIỂU HỢP ĐỒNG'!J1295</f>
        <v>285443</v>
      </c>
      <c r="K1469" s="43"/>
      <c r="L1469" s="62">
        <f t="shared" si="341"/>
        <v>167052661</v>
      </c>
      <c r="M1469" s="77">
        <f t="shared" si="342"/>
        <v>0</v>
      </c>
      <c r="N1469" s="43">
        <f t="shared" si="339"/>
        <v>0</v>
      </c>
      <c r="O1469" s="43">
        <f t="shared" si="343"/>
        <v>0</v>
      </c>
      <c r="P1469" s="43">
        <f t="shared" si="336"/>
        <v>167052661</v>
      </c>
      <c r="Q1469" s="100"/>
      <c r="R1469" s="117"/>
    </row>
    <row r="1470" spans="1:18" x14ac:dyDescent="0.25">
      <c r="A1470" s="48" t="str">
        <f t="shared" si="337"/>
        <v>HT</v>
      </c>
      <c r="B1470" s="32" t="s">
        <v>1827</v>
      </c>
      <c r="C1470" s="39" t="s">
        <v>1828</v>
      </c>
      <c r="D1470" s="13" t="s">
        <v>16</v>
      </c>
      <c r="E1470" s="123">
        <v>6951.9075999999995</v>
      </c>
      <c r="F1470" s="136"/>
      <c r="G1470" s="125"/>
      <c r="H1470" s="125"/>
      <c r="I1470" s="125">
        <f t="shared" si="340"/>
        <v>6951.9075999999995</v>
      </c>
      <c r="J1470" s="62">
        <f>'BIỂU HỢP ĐỒNG'!J1296</f>
        <v>292922</v>
      </c>
      <c r="K1470" s="43"/>
      <c r="L1470" s="62">
        <f t="shared" si="341"/>
        <v>2036366678</v>
      </c>
      <c r="M1470" s="77">
        <f t="shared" si="342"/>
        <v>0</v>
      </c>
      <c r="N1470" s="43">
        <f t="shared" si="339"/>
        <v>0</v>
      </c>
      <c r="O1470" s="43">
        <f t="shared" si="343"/>
        <v>0</v>
      </c>
      <c r="P1470" s="43">
        <f t="shared" si="336"/>
        <v>2036366678</v>
      </c>
      <c r="Q1470" s="100"/>
      <c r="R1470" s="117"/>
    </row>
    <row r="1471" spans="1:18" x14ac:dyDescent="0.25">
      <c r="A1471" s="48" t="str">
        <f t="shared" si="337"/>
        <v>HT</v>
      </c>
      <c r="B1471" s="32" t="s">
        <v>1829</v>
      </c>
      <c r="C1471" s="39" t="s">
        <v>1830</v>
      </c>
      <c r="D1471" s="13" t="s">
        <v>16</v>
      </c>
      <c r="E1471" s="123">
        <v>3402.2836000000002</v>
      </c>
      <c r="F1471" s="136"/>
      <c r="G1471" s="125"/>
      <c r="H1471" s="125"/>
      <c r="I1471" s="125">
        <f t="shared" si="340"/>
        <v>3402.2836000000002</v>
      </c>
      <c r="J1471" s="62">
        <f>'BIỂU HỢP ĐỒNG'!J1297</f>
        <v>12936</v>
      </c>
      <c r="K1471" s="43"/>
      <c r="L1471" s="62">
        <f t="shared" si="341"/>
        <v>44011941</v>
      </c>
      <c r="M1471" s="77">
        <f t="shared" si="342"/>
        <v>0</v>
      </c>
      <c r="N1471" s="43">
        <f t="shared" si="339"/>
        <v>0</v>
      </c>
      <c r="O1471" s="43">
        <f t="shared" si="343"/>
        <v>0</v>
      </c>
      <c r="P1471" s="43">
        <f t="shared" si="336"/>
        <v>44011941</v>
      </c>
      <c r="Q1471" s="100"/>
      <c r="R1471" s="117"/>
    </row>
    <row r="1472" spans="1:18" x14ac:dyDescent="0.25">
      <c r="A1472" s="48" t="str">
        <f t="shared" si="337"/>
        <v>HT</v>
      </c>
      <c r="B1472" s="32" t="s">
        <v>1831</v>
      </c>
      <c r="C1472" s="39" t="s">
        <v>1832</v>
      </c>
      <c r="D1472" s="13" t="s">
        <v>16</v>
      </c>
      <c r="E1472" s="123">
        <v>274.85919999999999</v>
      </c>
      <c r="F1472" s="136"/>
      <c r="G1472" s="125"/>
      <c r="H1472" s="125"/>
      <c r="I1472" s="125">
        <f t="shared" si="340"/>
        <v>274.85919999999999</v>
      </c>
      <c r="J1472" s="62">
        <f>'BIỂU HỢP ĐỒNG'!J1298</f>
        <v>20072</v>
      </c>
      <c r="K1472" s="43"/>
      <c r="L1472" s="62">
        <f t="shared" si="341"/>
        <v>5516974</v>
      </c>
      <c r="M1472" s="77">
        <f t="shared" si="342"/>
        <v>0</v>
      </c>
      <c r="N1472" s="43">
        <f t="shared" si="339"/>
        <v>0</v>
      </c>
      <c r="O1472" s="43">
        <f t="shared" si="343"/>
        <v>0</v>
      </c>
      <c r="P1472" s="43">
        <f t="shared" si="336"/>
        <v>5516974</v>
      </c>
      <c r="Q1472" s="100"/>
      <c r="R1472" s="117"/>
    </row>
    <row r="1473" spans="1:18" x14ac:dyDescent="0.25">
      <c r="A1473" s="48" t="str">
        <f t="shared" si="337"/>
        <v>HT</v>
      </c>
      <c r="B1473" s="32" t="s">
        <v>1833</v>
      </c>
      <c r="C1473" s="39" t="s">
        <v>1834</v>
      </c>
      <c r="D1473" s="13" t="s">
        <v>16</v>
      </c>
      <c r="E1473" s="123">
        <v>9165.0097000000005</v>
      </c>
      <c r="F1473" s="136"/>
      <c r="G1473" s="125"/>
      <c r="H1473" s="125"/>
      <c r="I1473" s="125">
        <f t="shared" si="340"/>
        <v>9165.0097000000005</v>
      </c>
      <c r="J1473" s="62">
        <f>'BIỂU HỢP ĐỒNG'!J1299</f>
        <v>15760</v>
      </c>
      <c r="K1473" s="43"/>
      <c r="L1473" s="62">
        <f t="shared" si="341"/>
        <v>144440553</v>
      </c>
      <c r="M1473" s="77">
        <f t="shared" si="342"/>
        <v>0</v>
      </c>
      <c r="N1473" s="43">
        <f t="shared" si="339"/>
        <v>0</v>
      </c>
      <c r="O1473" s="43">
        <f t="shared" si="343"/>
        <v>0</v>
      </c>
      <c r="P1473" s="43">
        <f t="shared" si="336"/>
        <v>144440553</v>
      </c>
      <c r="Q1473" s="100"/>
      <c r="R1473" s="117"/>
    </row>
    <row r="1474" spans="1:18" ht="31.5" customHeight="1" x14ac:dyDescent="0.25">
      <c r="A1474" s="48" t="str">
        <f t="shared" si="337"/>
        <v>HT</v>
      </c>
      <c r="B1474" s="32" t="s">
        <v>1835</v>
      </c>
      <c r="C1474" s="39" t="s">
        <v>1753</v>
      </c>
      <c r="D1474" s="13" t="s">
        <v>16</v>
      </c>
      <c r="E1474" s="123">
        <v>5361.43</v>
      </c>
      <c r="F1474" s="136"/>
      <c r="G1474" s="125"/>
      <c r="H1474" s="125"/>
      <c r="I1474" s="125">
        <f t="shared" si="340"/>
        <v>5361.43</v>
      </c>
      <c r="J1474" s="62">
        <f>'BIỂU HỢP ĐỒNG'!J1300</f>
        <v>40424</v>
      </c>
      <c r="K1474" s="43"/>
      <c r="L1474" s="62">
        <f t="shared" si="341"/>
        <v>216730446</v>
      </c>
      <c r="M1474" s="77">
        <f t="shared" si="342"/>
        <v>0</v>
      </c>
      <c r="N1474" s="43">
        <f t="shared" si="339"/>
        <v>0</v>
      </c>
      <c r="O1474" s="43">
        <f t="shared" si="343"/>
        <v>0</v>
      </c>
      <c r="P1474" s="43">
        <f t="shared" si="336"/>
        <v>216730446</v>
      </c>
      <c r="Q1474" s="100"/>
      <c r="R1474" s="117"/>
    </row>
    <row r="1475" spans="1:18" x14ac:dyDescent="0.25">
      <c r="A1475" s="48" t="str">
        <f t="shared" si="337"/>
        <v>HT</v>
      </c>
      <c r="B1475" s="32" t="s">
        <v>1836</v>
      </c>
      <c r="C1475" s="39" t="s">
        <v>1837</v>
      </c>
      <c r="D1475" s="13" t="s">
        <v>16</v>
      </c>
      <c r="E1475" s="123">
        <v>99.285600000000002</v>
      </c>
      <c r="F1475" s="136"/>
      <c r="G1475" s="125"/>
      <c r="H1475" s="125"/>
      <c r="I1475" s="125">
        <f t="shared" si="340"/>
        <v>99.285600000000002</v>
      </c>
      <c r="J1475" s="62">
        <f>'BIỂU HỢP ĐỒNG'!J1301</f>
        <v>1817922</v>
      </c>
      <c r="K1475" s="43"/>
      <c r="L1475" s="62">
        <f t="shared" si="341"/>
        <v>180493477</v>
      </c>
      <c r="M1475" s="77">
        <f t="shared" si="342"/>
        <v>0</v>
      </c>
      <c r="N1475" s="43">
        <f t="shared" si="339"/>
        <v>0</v>
      </c>
      <c r="O1475" s="43">
        <f t="shared" si="343"/>
        <v>0</v>
      </c>
      <c r="P1475" s="43">
        <f t="shared" si="336"/>
        <v>180493477</v>
      </c>
      <c r="Q1475" s="100"/>
      <c r="R1475" s="117"/>
    </row>
    <row r="1476" spans="1:18" x14ac:dyDescent="0.25">
      <c r="A1476" s="48" t="str">
        <f t="shared" si="337"/>
        <v>HT</v>
      </c>
      <c r="B1476" s="32" t="s">
        <v>1838</v>
      </c>
      <c r="C1476" s="39" t="s">
        <v>1597</v>
      </c>
      <c r="D1476" s="13" t="s">
        <v>90</v>
      </c>
      <c r="E1476" s="123">
        <v>1.7562</v>
      </c>
      <c r="F1476" s="136"/>
      <c r="G1476" s="125"/>
      <c r="H1476" s="125"/>
      <c r="I1476" s="125">
        <f t="shared" si="340"/>
        <v>1.7562</v>
      </c>
      <c r="J1476" s="62">
        <f>'BIỂU HỢP ĐỒNG'!J1302</f>
        <v>24801577</v>
      </c>
      <c r="K1476" s="43"/>
      <c r="L1476" s="62">
        <f t="shared" si="341"/>
        <v>43556530</v>
      </c>
      <c r="M1476" s="77">
        <f t="shared" si="342"/>
        <v>0</v>
      </c>
      <c r="N1476" s="43">
        <f t="shared" si="339"/>
        <v>0</v>
      </c>
      <c r="O1476" s="43">
        <f t="shared" si="343"/>
        <v>0</v>
      </c>
      <c r="P1476" s="43">
        <f t="shared" ref="P1476:P1523" si="344">SUM(L1476:O1476)</f>
        <v>43556530</v>
      </c>
      <c r="Q1476" s="100"/>
      <c r="R1476" s="117"/>
    </row>
    <row r="1477" spans="1:18" x14ac:dyDescent="0.25">
      <c r="A1477" s="48" t="str">
        <f t="shared" si="337"/>
        <v>HT</v>
      </c>
      <c r="B1477" s="32" t="s">
        <v>1839</v>
      </c>
      <c r="C1477" s="39" t="s">
        <v>622</v>
      </c>
      <c r="D1477" s="13" t="s">
        <v>13</v>
      </c>
      <c r="E1477" s="123">
        <v>884.23929999999996</v>
      </c>
      <c r="F1477" s="136"/>
      <c r="G1477" s="125"/>
      <c r="H1477" s="125"/>
      <c r="I1477" s="125">
        <f t="shared" si="340"/>
        <v>884.23929999999996</v>
      </c>
      <c r="J1477" s="62">
        <f>'BIỂU HỢP ĐỒNG'!J1303</f>
        <v>20017</v>
      </c>
      <c r="K1477" s="43"/>
      <c r="L1477" s="62">
        <f t="shared" si="341"/>
        <v>17699818</v>
      </c>
      <c r="M1477" s="77">
        <f t="shared" si="342"/>
        <v>0</v>
      </c>
      <c r="N1477" s="43">
        <f t="shared" si="339"/>
        <v>0</v>
      </c>
      <c r="O1477" s="43">
        <f t="shared" si="343"/>
        <v>0</v>
      </c>
      <c r="P1477" s="43">
        <f t="shared" si="344"/>
        <v>17699818</v>
      </c>
      <c r="Q1477" s="100"/>
      <c r="R1477" s="117"/>
    </row>
    <row r="1478" spans="1:18" x14ac:dyDescent="0.25">
      <c r="A1478" s="48" t="str">
        <f t="shared" si="337"/>
        <v>HT</v>
      </c>
      <c r="B1478" s="32" t="s">
        <v>1840</v>
      </c>
      <c r="C1478" s="39" t="s">
        <v>1605</v>
      </c>
      <c r="D1478" s="13" t="s">
        <v>13</v>
      </c>
      <c r="E1478" s="123">
        <v>224.41139999999999</v>
      </c>
      <c r="F1478" s="136"/>
      <c r="G1478" s="125"/>
      <c r="H1478" s="125"/>
      <c r="I1478" s="125">
        <f t="shared" si="340"/>
        <v>224.41139999999999</v>
      </c>
      <c r="J1478" s="62">
        <f>'BIỂU HỢP ĐỒNG'!J1304</f>
        <v>214840</v>
      </c>
      <c r="K1478" s="43"/>
      <c r="L1478" s="62">
        <f t="shared" si="341"/>
        <v>48212545</v>
      </c>
      <c r="M1478" s="77">
        <f t="shared" si="342"/>
        <v>0</v>
      </c>
      <c r="N1478" s="43">
        <f t="shared" si="339"/>
        <v>0</v>
      </c>
      <c r="O1478" s="43">
        <f t="shared" si="343"/>
        <v>0</v>
      </c>
      <c r="P1478" s="43">
        <f t="shared" si="344"/>
        <v>48212545</v>
      </c>
      <c r="Q1478" s="100"/>
      <c r="R1478" s="117"/>
    </row>
    <row r="1479" spans="1:18" x14ac:dyDescent="0.25">
      <c r="A1479" s="48" t="str">
        <f t="shared" ref="A1479:A1529" si="345">A1478</f>
        <v>HT</v>
      </c>
      <c r="B1479" s="32" t="s">
        <v>1841</v>
      </c>
      <c r="C1479" s="39" t="s">
        <v>1842</v>
      </c>
      <c r="D1479" s="13" t="s">
        <v>16</v>
      </c>
      <c r="E1479" s="123">
        <v>4.4882</v>
      </c>
      <c r="F1479" s="136"/>
      <c r="G1479" s="125"/>
      <c r="H1479" s="125"/>
      <c r="I1479" s="125">
        <f t="shared" si="340"/>
        <v>4.4882</v>
      </c>
      <c r="J1479" s="62">
        <f>'BIỂU HỢP ĐỒNG'!J1305</f>
        <v>1152723</v>
      </c>
      <c r="K1479" s="43"/>
      <c r="L1479" s="62">
        <f t="shared" si="341"/>
        <v>5173651</v>
      </c>
      <c r="M1479" s="77">
        <f t="shared" si="342"/>
        <v>0</v>
      </c>
      <c r="N1479" s="43">
        <f t="shared" si="339"/>
        <v>0</v>
      </c>
      <c r="O1479" s="43">
        <f t="shared" si="343"/>
        <v>0</v>
      </c>
      <c r="P1479" s="43">
        <f t="shared" si="344"/>
        <v>5173651</v>
      </c>
      <c r="Q1479" s="100"/>
      <c r="R1479" s="117"/>
    </row>
    <row r="1480" spans="1:18" x14ac:dyDescent="0.25">
      <c r="A1480" s="48" t="str">
        <f t="shared" si="345"/>
        <v>HT</v>
      </c>
      <c r="B1480" s="32" t="s">
        <v>1843</v>
      </c>
      <c r="C1480" s="39" t="s">
        <v>1844</v>
      </c>
      <c r="D1480" s="13" t="s">
        <v>16</v>
      </c>
      <c r="E1480" s="123">
        <v>9165</v>
      </c>
      <c r="F1480" s="136"/>
      <c r="G1480" s="125"/>
      <c r="H1480" s="125"/>
      <c r="I1480" s="125">
        <f t="shared" si="340"/>
        <v>9165</v>
      </c>
      <c r="J1480" s="62">
        <f>'BIỂU HỢP ĐỒNG'!J1306</f>
        <v>20072</v>
      </c>
      <c r="K1480" s="43"/>
      <c r="L1480" s="62">
        <f t="shared" si="341"/>
        <v>183959880</v>
      </c>
      <c r="M1480" s="77">
        <f t="shared" si="342"/>
        <v>0</v>
      </c>
      <c r="N1480" s="43">
        <f t="shared" si="339"/>
        <v>0</v>
      </c>
      <c r="O1480" s="43">
        <f t="shared" si="343"/>
        <v>0</v>
      </c>
      <c r="P1480" s="43">
        <f t="shared" si="344"/>
        <v>183959880</v>
      </c>
      <c r="Q1480" s="100"/>
      <c r="R1480" s="117"/>
    </row>
    <row r="1481" spans="1:18" x14ac:dyDescent="0.25">
      <c r="A1481" s="48" t="str">
        <f t="shared" si="345"/>
        <v>HT</v>
      </c>
      <c r="B1481" s="32" t="s">
        <v>1845</v>
      </c>
      <c r="C1481" s="39" t="s">
        <v>1846</v>
      </c>
      <c r="D1481" s="13" t="s">
        <v>16</v>
      </c>
      <c r="E1481" s="123">
        <v>4230.09</v>
      </c>
      <c r="F1481" s="136"/>
      <c r="G1481" s="125"/>
      <c r="H1481" s="125"/>
      <c r="I1481" s="125">
        <f t="shared" si="340"/>
        <v>4230.09</v>
      </c>
      <c r="J1481" s="62">
        <f>'BIỂU HỢP ĐỒNG'!J1307</f>
        <v>9946</v>
      </c>
      <c r="K1481" s="43"/>
      <c r="L1481" s="62">
        <f t="shared" si="341"/>
        <v>42072475</v>
      </c>
      <c r="M1481" s="77">
        <f t="shared" si="342"/>
        <v>0</v>
      </c>
      <c r="N1481" s="43">
        <f t="shared" si="339"/>
        <v>0</v>
      </c>
      <c r="O1481" s="43">
        <f t="shared" si="343"/>
        <v>0</v>
      </c>
      <c r="P1481" s="43">
        <f t="shared" si="344"/>
        <v>42072475</v>
      </c>
      <c r="Q1481" s="100"/>
      <c r="R1481" s="117"/>
    </row>
    <row r="1482" spans="1:18" x14ac:dyDescent="0.25">
      <c r="A1482" s="48" t="str">
        <f t="shared" si="345"/>
        <v>HT</v>
      </c>
      <c r="B1482" s="32" t="s">
        <v>1847</v>
      </c>
      <c r="C1482" s="39" t="s">
        <v>1848</v>
      </c>
      <c r="D1482" s="13" t="s">
        <v>16</v>
      </c>
      <c r="E1482" s="123">
        <v>229.90219999999999</v>
      </c>
      <c r="F1482" s="136"/>
      <c r="G1482" s="125"/>
      <c r="H1482" s="125"/>
      <c r="I1482" s="125">
        <f t="shared" si="340"/>
        <v>229.90219999999999</v>
      </c>
      <c r="J1482" s="62">
        <f>'BIỂU HỢP ĐỒNG'!J1308</f>
        <v>1563454</v>
      </c>
      <c r="K1482" s="43"/>
      <c r="L1482" s="62">
        <f t="shared" si="341"/>
        <v>359441514</v>
      </c>
      <c r="M1482" s="77">
        <f t="shared" si="342"/>
        <v>0</v>
      </c>
      <c r="N1482" s="43">
        <f t="shared" si="339"/>
        <v>0</v>
      </c>
      <c r="O1482" s="43">
        <f t="shared" si="343"/>
        <v>0</v>
      </c>
      <c r="P1482" s="43">
        <f t="shared" si="344"/>
        <v>359441514</v>
      </c>
      <c r="Q1482" s="100"/>
      <c r="R1482" s="117"/>
    </row>
    <row r="1483" spans="1:18" x14ac:dyDescent="0.25">
      <c r="A1483" s="48" t="str">
        <f t="shared" si="345"/>
        <v>HT</v>
      </c>
      <c r="B1483" s="32" t="s">
        <v>1849</v>
      </c>
      <c r="C1483" s="39" t="s">
        <v>1597</v>
      </c>
      <c r="D1483" s="13" t="s">
        <v>90</v>
      </c>
      <c r="E1483" s="123">
        <v>0.79</v>
      </c>
      <c r="F1483" s="136"/>
      <c r="G1483" s="125"/>
      <c r="H1483" s="125"/>
      <c r="I1483" s="125">
        <f t="shared" si="340"/>
        <v>0.79</v>
      </c>
      <c r="J1483" s="62">
        <f>'BIỂU HỢP ĐỒNG'!J1309</f>
        <v>27101433</v>
      </c>
      <c r="K1483" s="43"/>
      <c r="L1483" s="62">
        <f t="shared" si="341"/>
        <v>21410132</v>
      </c>
      <c r="M1483" s="77">
        <f t="shared" si="342"/>
        <v>0</v>
      </c>
      <c r="N1483" s="43">
        <f t="shared" si="339"/>
        <v>0</v>
      </c>
      <c r="O1483" s="43">
        <f t="shared" si="343"/>
        <v>0</v>
      </c>
      <c r="P1483" s="43">
        <f t="shared" si="344"/>
        <v>21410132</v>
      </c>
      <c r="Q1483" s="100"/>
      <c r="R1483" s="117"/>
    </row>
    <row r="1484" spans="1:18" x14ac:dyDescent="0.25">
      <c r="A1484" s="48" t="str">
        <f t="shared" si="345"/>
        <v>HT</v>
      </c>
      <c r="B1484" s="32" t="s">
        <v>1850</v>
      </c>
      <c r="C1484" s="39" t="s">
        <v>497</v>
      </c>
      <c r="D1484" s="13" t="s">
        <v>13</v>
      </c>
      <c r="E1484" s="123">
        <v>2643.8755000000001</v>
      </c>
      <c r="F1484" s="136"/>
      <c r="G1484" s="125"/>
      <c r="H1484" s="125"/>
      <c r="I1484" s="125">
        <f t="shared" si="340"/>
        <v>2643.8755000000001</v>
      </c>
      <c r="J1484" s="62">
        <f>'BIỂU HỢP ĐỒNG'!J1310</f>
        <v>86606</v>
      </c>
      <c r="K1484" s="43"/>
      <c r="L1484" s="62">
        <f t="shared" si="341"/>
        <v>228975482</v>
      </c>
      <c r="M1484" s="77">
        <f t="shared" si="342"/>
        <v>0</v>
      </c>
      <c r="N1484" s="43">
        <f t="shared" ref="N1484:N1515" si="346">+ROUND(G1484*J1484,0)</f>
        <v>0</v>
      </c>
      <c r="O1484" s="43">
        <f t="shared" si="343"/>
        <v>0</v>
      </c>
      <c r="P1484" s="43">
        <f t="shared" si="344"/>
        <v>228975482</v>
      </c>
      <c r="Q1484" s="100"/>
      <c r="R1484" s="117"/>
    </row>
    <row r="1485" spans="1:18" x14ac:dyDescent="0.25">
      <c r="A1485" s="48" t="str">
        <f t="shared" si="345"/>
        <v>HT</v>
      </c>
      <c r="B1485" s="32" t="s">
        <v>1851</v>
      </c>
      <c r="C1485" s="39" t="s">
        <v>1852</v>
      </c>
      <c r="D1485" s="13" t="s">
        <v>297</v>
      </c>
      <c r="E1485" s="123">
        <v>7184.4443000000001</v>
      </c>
      <c r="F1485" s="136"/>
      <c r="G1485" s="125"/>
      <c r="H1485" s="125"/>
      <c r="I1485" s="125">
        <f t="shared" si="340"/>
        <v>7184.4443000000001</v>
      </c>
      <c r="J1485" s="62">
        <f>'BIỂU HỢP ĐỒNG'!J1311</f>
        <v>36395</v>
      </c>
      <c r="K1485" s="43"/>
      <c r="L1485" s="62">
        <f t="shared" si="341"/>
        <v>261477850</v>
      </c>
      <c r="M1485" s="77">
        <f t="shared" si="342"/>
        <v>0</v>
      </c>
      <c r="N1485" s="43">
        <f t="shared" si="346"/>
        <v>0</v>
      </c>
      <c r="O1485" s="43">
        <f t="shared" si="343"/>
        <v>0</v>
      </c>
      <c r="P1485" s="43">
        <f t="shared" si="344"/>
        <v>261477850</v>
      </c>
      <c r="Q1485" s="100"/>
      <c r="R1485" s="117"/>
    </row>
    <row r="1486" spans="1:18" ht="47.25" customHeight="1" x14ac:dyDescent="0.25">
      <c r="A1486" s="48" t="str">
        <f t="shared" si="345"/>
        <v>HT</v>
      </c>
      <c r="B1486" s="32" t="s">
        <v>1853</v>
      </c>
      <c r="C1486" s="39" t="s">
        <v>1854</v>
      </c>
      <c r="D1486" s="13" t="s">
        <v>250</v>
      </c>
      <c r="E1486" s="123">
        <v>7184.4443000000001</v>
      </c>
      <c r="F1486" s="136"/>
      <c r="G1486" s="125"/>
      <c r="H1486" s="125"/>
      <c r="I1486" s="125">
        <f t="shared" si="340"/>
        <v>7184.4443000000001</v>
      </c>
      <c r="J1486" s="62">
        <f>'BIỂU HỢP ĐỒNG'!J1312</f>
        <v>33894</v>
      </c>
      <c r="K1486" s="43"/>
      <c r="L1486" s="62">
        <f t="shared" si="341"/>
        <v>243509555</v>
      </c>
      <c r="M1486" s="77">
        <f t="shared" si="342"/>
        <v>0</v>
      </c>
      <c r="N1486" s="43">
        <f t="shared" si="346"/>
        <v>0</v>
      </c>
      <c r="O1486" s="43">
        <f t="shared" si="343"/>
        <v>0</v>
      </c>
      <c r="P1486" s="43">
        <f t="shared" si="344"/>
        <v>243509555</v>
      </c>
      <c r="Q1486" s="100"/>
      <c r="R1486" s="117"/>
    </row>
    <row r="1487" spans="1:18" ht="47.25" customHeight="1" x14ac:dyDescent="0.25">
      <c r="A1487" s="48" t="str">
        <f t="shared" si="345"/>
        <v>HT</v>
      </c>
      <c r="B1487" s="32" t="s">
        <v>1855</v>
      </c>
      <c r="C1487" s="39" t="s">
        <v>1856</v>
      </c>
      <c r="D1487" s="13" t="s">
        <v>250</v>
      </c>
      <c r="E1487" s="123">
        <v>7184.4443000000001</v>
      </c>
      <c r="F1487" s="136"/>
      <c r="G1487" s="125"/>
      <c r="H1487" s="125"/>
      <c r="I1487" s="125">
        <f t="shared" si="340"/>
        <v>7184.4443000000001</v>
      </c>
      <c r="J1487" s="62">
        <f>'BIỂU HỢP ĐỒNG'!J1313</f>
        <v>26228</v>
      </c>
      <c r="K1487" s="43"/>
      <c r="L1487" s="62">
        <f t="shared" si="341"/>
        <v>188433605</v>
      </c>
      <c r="M1487" s="77">
        <f t="shared" si="342"/>
        <v>0</v>
      </c>
      <c r="N1487" s="43">
        <f t="shared" si="346"/>
        <v>0</v>
      </c>
      <c r="O1487" s="43">
        <f t="shared" si="343"/>
        <v>0</v>
      </c>
      <c r="P1487" s="43">
        <f t="shared" si="344"/>
        <v>188433605</v>
      </c>
      <c r="Q1487" s="100"/>
      <c r="R1487" s="117"/>
    </row>
    <row r="1488" spans="1:18" ht="31.5" customHeight="1" x14ac:dyDescent="0.25">
      <c r="A1488" s="48" t="str">
        <f t="shared" si="345"/>
        <v>HT</v>
      </c>
      <c r="B1488" s="32" t="s">
        <v>1857</v>
      </c>
      <c r="C1488" s="39" t="s">
        <v>284</v>
      </c>
      <c r="D1488" s="13" t="s">
        <v>253</v>
      </c>
      <c r="E1488" s="123">
        <v>57.4756</v>
      </c>
      <c r="F1488" s="136"/>
      <c r="G1488" s="125"/>
      <c r="H1488" s="125"/>
      <c r="I1488" s="125">
        <f t="shared" si="340"/>
        <v>57.4756</v>
      </c>
      <c r="J1488" s="62">
        <f>'BIỂU HỢP ĐỒNG'!J1314</f>
        <v>36271</v>
      </c>
      <c r="K1488" s="43"/>
      <c r="L1488" s="62">
        <f t="shared" si="341"/>
        <v>2084697</v>
      </c>
      <c r="M1488" s="77">
        <f t="shared" si="342"/>
        <v>0</v>
      </c>
      <c r="N1488" s="43">
        <f t="shared" si="346"/>
        <v>0</v>
      </c>
      <c r="O1488" s="43">
        <f t="shared" si="343"/>
        <v>0</v>
      </c>
      <c r="P1488" s="43">
        <f t="shared" si="344"/>
        <v>2084697</v>
      </c>
      <c r="Q1488" s="100"/>
      <c r="R1488" s="117"/>
    </row>
    <row r="1489" spans="1:18" x14ac:dyDescent="0.25">
      <c r="A1489" s="48" t="str">
        <f t="shared" si="345"/>
        <v>HT</v>
      </c>
      <c r="B1489" s="32" t="s">
        <v>1858</v>
      </c>
      <c r="C1489" s="39" t="s">
        <v>1859</v>
      </c>
      <c r="D1489" s="13" t="s">
        <v>16</v>
      </c>
      <c r="E1489" s="123">
        <v>2.48</v>
      </c>
      <c r="F1489" s="136"/>
      <c r="G1489" s="125"/>
      <c r="H1489" s="125"/>
      <c r="I1489" s="125">
        <f t="shared" si="340"/>
        <v>2.48</v>
      </c>
      <c r="J1489" s="62">
        <f>'BIỂU HỢP ĐỒNG'!J1315</f>
        <v>1654556</v>
      </c>
      <c r="K1489" s="43"/>
      <c r="L1489" s="62">
        <f t="shared" si="341"/>
        <v>4103299</v>
      </c>
      <c r="M1489" s="77">
        <f t="shared" si="342"/>
        <v>0</v>
      </c>
      <c r="N1489" s="43">
        <f t="shared" si="346"/>
        <v>0</v>
      </c>
      <c r="O1489" s="43">
        <f t="shared" si="343"/>
        <v>0</v>
      </c>
      <c r="P1489" s="43">
        <f t="shared" si="344"/>
        <v>4103299</v>
      </c>
      <c r="Q1489" s="100"/>
      <c r="R1489" s="117"/>
    </row>
    <row r="1490" spans="1:18" x14ac:dyDescent="0.25">
      <c r="A1490" s="48" t="str">
        <f t="shared" si="345"/>
        <v>HT</v>
      </c>
      <c r="B1490" s="32" t="s">
        <v>1860</v>
      </c>
      <c r="C1490" s="39" t="s">
        <v>1861</v>
      </c>
      <c r="D1490" s="13" t="s">
        <v>16</v>
      </c>
      <c r="E1490" s="123">
        <v>1.5349999999999999</v>
      </c>
      <c r="F1490" s="136"/>
      <c r="G1490" s="125"/>
      <c r="H1490" s="125"/>
      <c r="I1490" s="125">
        <f t="shared" si="340"/>
        <v>1.5349999999999999</v>
      </c>
      <c r="J1490" s="62">
        <f>'BIỂU HỢP ĐỒNG'!J1316</f>
        <v>1152723</v>
      </c>
      <c r="K1490" s="43"/>
      <c r="L1490" s="62">
        <f t="shared" si="341"/>
        <v>1769430</v>
      </c>
      <c r="M1490" s="77">
        <f t="shared" si="342"/>
        <v>0</v>
      </c>
      <c r="N1490" s="43">
        <f t="shared" si="346"/>
        <v>0</v>
      </c>
      <c r="O1490" s="43">
        <f t="shared" si="343"/>
        <v>0</v>
      </c>
      <c r="P1490" s="43">
        <f t="shared" si="344"/>
        <v>1769430</v>
      </c>
      <c r="Q1490" s="100"/>
      <c r="R1490" s="117"/>
    </row>
    <row r="1491" spans="1:18" x14ac:dyDescent="0.25">
      <c r="A1491" s="48" t="str">
        <f t="shared" si="345"/>
        <v>HT</v>
      </c>
      <c r="B1491" s="32" t="s">
        <v>1862</v>
      </c>
      <c r="C1491" s="39" t="s">
        <v>497</v>
      </c>
      <c r="D1491" s="13" t="s">
        <v>13</v>
      </c>
      <c r="E1491" s="123">
        <v>44.92</v>
      </c>
      <c r="F1491" s="136"/>
      <c r="G1491" s="125"/>
      <c r="H1491" s="125"/>
      <c r="I1491" s="125">
        <f t="shared" si="340"/>
        <v>44.92</v>
      </c>
      <c r="J1491" s="62">
        <f>'BIỂU HỢP ĐỒNG'!J1317</f>
        <v>65242</v>
      </c>
      <c r="K1491" s="43"/>
      <c r="L1491" s="62">
        <f t="shared" si="341"/>
        <v>2930671</v>
      </c>
      <c r="M1491" s="77">
        <f t="shared" si="342"/>
        <v>0</v>
      </c>
      <c r="N1491" s="43">
        <f t="shared" si="346"/>
        <v>0</v>
      </c>
      <c r="O1491" s="43">
        <f t="shared" si="343"/>
        <v>0</v>
      </c>
      <c r="P1491" s="43">
        <f t="shared" si="344"/>
        <v>2930671</v>
      </c>
      <c r="Q1491" s="100"/>
      <c r="R1491" s="117"/>
    </row>
    <row r="1492" spans="1:18" x14ac:dyDescent="0.25">
      <c r="A1492" s="48" t="str">
        <f t="shared" si="345"/>
        <v>HT</v>
      </c>
      <c r="B1492" s="32" t="s">
        <v>1863</v>
      </c>
      <c r="C1492" s="39" t="s">
        <v>1864</v>
      </c>
      <c r="D1492" s="13" t="s">
        <v>16</v>
      </c>
      <c r="E1492" s="123">
        <v>0.45</v>
      </c>
      <c r="F1492" s="136"/>
      <c r="G1492" s="125"/>
      <c r="H1492" s="125"/>
      <c r="I1492" s="125">
        <f t="shared" si="340"/>
        <v>0.45</v>
      </c>
      <c r="J1492" s="62">
        <f>'BIỂU HỢP ĐỒNG'!J1318</f>
        <v>1532161</v>
      </c>
      <c r="K1492" s="43"/>
      <c r="L1492" s="62">
        <f t="shared" si="341"/>
        <v>689472</v>
      </c>
      <c r="M1492" s="77">
        <f t="shared" si="342"/>
        <v>0</v>
      </c>
      <c r="N1492" s="43">
        <f t="shared" si="346"/>
        <v>0</v>
      </c>
      <c r="O1492" s="43">
        <f t="shared" si="343"/>
        <v>0</v>
      </c>
      <c r="P1492" s="43">
        <f t="shared" si="344"/>
        <v>689472</v>
      </c>
      <c r="Q1492" s="100"/>
      <c r="R1492" s="117"/>
    </row>
    <row r="1493" spans="1:18" ht="47.25" customHeight="1" x14ac:dyDescent="0.25">
      <c r="A1493" s="48" t="str">
        <f t="shared" si="345"/>
        <v>HT</v>
      </c>
      <c r="B1493" s="32" t="s">
        <v>1865</v>
      </c>
      <c r="C1493" s="39" t="s">
        <v>1866</v>
      </c>
      <c r="D1493" s="13" t="s">
        <v>16</v>
      </c>
      <c r="E1493" s="123">
        <v>81.19</v>
      </c>
      <c r="F1493" s="136"/>
      <c r="G1493" s="125"/>
      <c r="H1493" s="125"/>
      <c r="I1493" s="125">
        <f t="shared" si="340"/>
        <v>81.19</v>
      </c>
      <c r="J1493" s="62">
        <f>'BIỂU HỢP ĐỒNG'!J1319</f>
        <v>1521411</v>
      </c>
      <c r="K1493" s="43"/>
      <c r="L1493" s="62">
        <f t="shared" si="341"/>
        <v>123523359</v>
      </c>
      <c r="M1493" s="77">
        <f t="shared" si="342"/>
        <v>0</v>
      </c>
      <c r="N1493" s="43">
        <f t="shared" si="346"/>
        <v>0</v>
      </c>
      <c r="O1493" s="43">
        <f t="shared" si="343"/>
        <v>0</v>
      </c>
      <c r="P1493" s="43">
        <f t="shared" si="344"/>
        <v>123523359</v>
      </c>
      <c r="Q1493" s="100"/>
      <c r="R1493" s="117"/>
    </row>
    <row r="1494" spans="1:18" x14ac:dyDescent="0.25">
      <c r="A1494" s="48" t="str">
        <f t="shared" si="345"/>
        <v>HT</v>
      </c>
      <c r="B1494" s="32" t="s">
        <v>1867</v>
      </c>
      <c r="C1494" s="39" t="s">
        <v>1868</v>
      </c>
      <c r="D1494" s="13" t="s">
        <v>126</v>
      </c>
      <c r="E1494" s="123">
        <v>2.2231999999999998</v>
      </c>
      <c r="F1494" s="136"/>
      <c r="G1494" s="125"/>
      <c r="H1494" s="125"/>
      <c r="I1494" s="125">
        <f t="shared" si="340"/>
        <v>2.2231999999999998</v>
      </c>
      <c r="J1494" s="62">
        <f>'BIỂU HỢP ĐỒNG'!J1320</f>
        <v>10479792</v>
      </c>
      <c r="K1494" s="43"/>
      <c r="L1494" s="62">
        <f t="shared" si="341"/>
        <v>23298674</v>
      </c>
      <c r="M1494" s="77">
        <f t="shared" si="342"/>
        <v>0</v>
      </c>
      <c r="N1494" s="43">
        <f t="shared" si="346"/>
        <v>0</v>
      </c>
      <c r="O1494" s="43">
        <f t="shared" si="343"/>
        <v>0</v>
      </c>
      <c r="P1494" s="43">
        <f t="shared" si="344"/>
        <v>23298674</v>
      </c>
      <c r="Q1494" s="100"/>
      <c r="R1494" s="117"/>
    </row>
    <row r="1495" spans="1:18" x14ac:dyDescent="0.25">
      <c r="A1495" s="48" t="str">
        <f t="shared" si="345"/>
        <v>HT</v>
      </c>
      <c r="B1495" s="32" t="s">
        <v>1869</v>
      </c>
      <c r="C1495" s="39" t="s">
        <v>1671</v>
      </c>
      <c r="D1495" s="13" t="s">
        <v>16</v>
      </c>
      <c r="E1495" s="123">
        <v>13.0518</v>
      </c>
      <c r="F1495" s="136"/>
      <c r="G1495" s="125"/>
      <c r="H1495" s="125"/>
      <c r="I1495" s="125">
        <f t="shared" si="340"/>
        <v>13.0518</v>
      </c>
      <c r="J1495" s="62">
        <f>'BIỂU HỢP ĐỒNG'!J1321</f>
        <v>1331296</v>
      </c>
      <c r="K1495" s="43"/>
      <c r="L1495" s="62">
        <f t="shared" si="341"/>
        <v>17375809</v>
      </c>
      <c r="M1495" s="77">
        <f t="shared" si="342"/>
        <v>0</v>
      </c>
      <c r="N1495" s="43">
        <f t="shared" si="346"/>
        <v>0</v>
      </c>
      <c r="O1495" s="43">
        <f t="shared" si="343"/>
        <v>0</v>
      </c>
      <c r="P1495" s="43">
        <f t="shared" si="344"/>
        <v>17375809</v>
      </c>
      <c r="Q1495" s="100"/>
      <c r="R1495" s="117"/>
    </row>
    <row r="1496" spans="1:18" x14ac:dyDescent="0.25">
      <c r="A1496" s="48" t="str">
        <f t="shared" si="345"/>
        <v>HT</v>
      </c>
      <c r="B1496" s="32" t="s">
        <v>1870</v>
      </c>
      <c r="C1496" s="39" t="s">
        <v>1871</v>
      </c>
      <c r="D1496" s="13" t="s">
        <v>13</v>
      </c>
      <c r="E1496" s="123">
        <v>11</v>
      </c>
      <c r="F1496" s="136"/>
      <c r="G1496" s="125"/>
      <c r="H1496" s="125"/>
      <c r="I1496" s="125">
        <f t="shared" si="340"/>
        <v>11</v>
      </c>
      <c r="J1496" s="62">
        <f>'BIỂU HỢP ĐỒNG'!J1322</f>
        <v>104797.92</v>
      </c>
      <c r="K1496" s="43"/>
      <c r="L1496" s="62">
        <f t="shared" si="341"/>
        <v>1152777</v>
      </c>
      <c r="M1496" s="77">
        <f t="shared" si="342"/>
        <v>0</v>
      </c>
      <c r="N1496" s="43">
        <f t="shared" si="346"/>
        <v>0</v>
      </c>
      <c r="O1496" s="43">
        <f t="shared" si="343"/>
        <v>0</v>
      </c>
      <c r="P1496" s="43">
        <f t="shared" si="344"/>
        <v>1152777</v>
      </c>
      <c r="Q1496" s="100"/>
      <c r="R1496" s="117"/>
    </row>
    <row r="1497" spans="1:18" x14ac:dyDescent="0.25">
      <c r="A1497" s="48" t="str">
        <f t="shared" si="345"/>
        <v>HT</v>
      </c>
      <c r="B1497" s="32" t="s">
        <v>1872</v>
      </c>
      <c r="C1497" s="39" t="s">
        <v>1873</v>
      </c>
      <c r="D1497" s="13" t="s">
        <v>16</v>
      </c>
      <c r="E1497" s="123">
        <v>28.996200000000002</v>
      </c>
      <c r="F1497" s="136"/>
      <c r="G1497" s="125"/>
      <c r="H1497" s="125"/>
      <c r="I1497" s="125">
        <f t="shared" si="340"/>
        <v>28.996200000000002</v>
      </c>
      <c r="J1497" s="62">
        <f>'BIỂU HỢP ĐỒNG'!J1323</f>
        <v>1521411</v>
      </c>
      <c r="K1497" s="43"/>
      <c r="L1497" s="62">
        <f t="shared" si="341"/>
        <v>44115138</v>
      </c>
      <c r="M1497" s="77">
        <f t="shared" si="342"/>
        <v>0</v>
      </c>
      <c r="N1497" s="43">
        <f t="shared" si="346"/>
        <v>0</v>
      </c>
      <c r="O1497" s="43">
        <f t="shared" si="343"/>
        <v>0</v>
      </c>
      <c r="P1497" s="43">
        <f t="shared" si="344"/>
        <v>44115138</v>
      </c>
      <c r="Q1497" s="100"/>
      <c r="R1497" s="117"/>
    </row>
    <row r="1498" spans="1:18" x14ac:dyDescent="0.25">
      <c r="A1498" s="48" t="str">
        <f t="shared" si="345"/>
        <v>HT</v>
      </c>
      <c r="B1498" s="32" t="s">
        <v>1874</v>
      </c>
      <c r="C1498" s="39" t="s">
        <v>1875</v>
      </c>
      <c r="D1498" s="13" t="s">
        <v>13</v>
      </c>
      <c r="E1498" s="123">
        <v>51.348700000000001</v>
      </c>
      <c r="F1498" s="136"/>
      <c r="G1498" s="125"/>
      <c r="H1498" s="125"/>
      <c r="I1498" s="125">
        <f t="shared" si="340"/>
        <v>51.348700000000001</v>
      </c>
      <c r="J1498" s="62">
        <f>'BIỂU HỢP ĐỒNG'!J1324</f>
        <v>20017</v>
      </c>
      <c r="K1498" s="43"/>
      <c r="L1498" s="62">
        <f t="shared" si="341"/>
        <v>1027847</v>
      </c>
      <c r="M1498" s="77">
        <f t="shared" si="342"/>
        <v>0</v>
      </c>
      <c r="N1498" s="43">
        <f t="shared" si="346"/>
        <v>0</v>
      </c>
      <c r="O1498" s="43">
        <f t="shared" si="343"/>
        <v>0</v>
      </c>
      <c r="P1498" s="43">
        <f t="shared" si="344"/>
        <v>1027847</v>
      </c>
      <c r="Q1498" s="100"/>
      <c r="R1498" s="117"/>
    </row>
    <row r="1499" spans="1:18" x14ac:dyDescent="0.25">
      <c r="A1499" s="48" t="str">
        <f t="shared" si="345"/>
        <v>HT</v>
      </c>
      <c r="B1499" s="32" t="s">
        <v>1876</v>
      </c>
      <c r="C1499" s="39" t="s">
        <v>1877</v>
      </c>
      <c r="D1499" s="13" t="s">
        <v>75</v>
      </c>
      <c r="E1499" s="123">
        <v>9788.85</v>
      </c>
      <c r="F1499" s="136"/>
      <c r="G1499" s="125"/>
      <c r="H1499" s="125"/>
      <c r="I1499" s="125">
        <f t="shared" si="340"/>
        <v>9788.85</v>
      </c>
      <c r="J1499" s="62">
        <f>'BIỂU HỢP ĐỒNG'!J1325</f>
        <v>11223</v>
      </c>
      <c r="K1499" s="43"/>
      <c r="L1499" s="62">
        <f t="shared" si="341"/>
        <v>109860264</v>
      </c>
      <c r="M1499" s="77">
        <f t="shared" si="342"/>
        <v>0</v>
      </c>
      <c r="N1499" s="43">
        <f t="shared" si="346"/>
        <v>0</v>
      </c>
      <c r="O1499" s="43">
        <f t="shared" si="343"/>
        <v>0</v>
      </c>
      <c r="P1499" s="43">
        <f t="shared" si="344"/>
        <v>109860264</v>
      </c>
      <c r="Q1499" s="100"/>
      <c r="R1499" s="117"/>
    </row>
    <row r="1500" spans="1:18" ht="47.25" customHeight="1" x14ac:dyDescent="0.25">
      <c r="A1500" s="48" t="str">
        <f t="shared" si="345"/>
        <v>HT</v>
      </c>
      <c r="B1500" s="32" t="s">
        <v>1878</v>
      </c>
      <c r="C1500" s="39" t="s">
        <v>94</v>
      </c>
      <c r="D1500" s="13" t="s">
        <v>13</v>
      </c>
      <c r="E1500" s="123">
        <v>672</v>
      </c>
      <c r="F1500" s="136"/>
      <c r="G1500" s="125"/>
      <c r="H1500" s="125"/>
      <c r="I1500" s="125">
        <f t="shared" si="340"/>
        <v>672</v>
      </c>
      <c r="J1500" s="62">
        <f>'BIỂU HỢP ĐỒNG'!J1326</f>
        <v>11015</v>
      </c>
      <c r="K1500" s="43"/>
      <c r="L1500" s="62">
        <f t="shared" si="341"/>
        <v>7402080</v>
      </c>
      <c r="M1500" s="77">
        <f t="shared" si="342"/>
        <v>0</v>
      </c>
      <c r="N1500" s="43">
        <f t="shared" si="346"/>
        <v>0</v>
      </c>
      <c r="O1500" s="43">
        <f t="shared" si="343"/>
        <v>0</v>
      </c>
      <c r="P1500" s="43">
        <f t="shared" si="344"/>
        <v>7402080</v>
      </c>
      <c r="Q1500" s="100"/>
      <c r="R1500" s="117"/>
    </row>
    <row r="1501" spans="1:18" ht="31.5" customHeight="1" x14ac:dyDescent="0.25">
      <c r="A1501" s="48" t="str">
        <f t="shared" si="345"/>
        <v>HT</v>
      </c>
      <c r="B1501" s="32" t="s">
        <v>1879</v>
      </c>
      <c r="C1501" s="39" t="s">
        <v>96</v>
      </c>
      <c r="D1501" s="13" t="s">
        <v>90</v>
      </c>
      <c r="E1501" s="123">
        <v>95.692800000000005</v>
      </c>
      <c r="F1501" s="136"/>
      <c r="G1501" s="125"/>
      <c r="H1501" s="125"/>
      <c r="I1501" s="125">
        <f t="shared" si="340"/>
        <v>95.692800000000005</v>
      </c>
      <c r="J1501" s="62">
        <f>'BIỂU HỢP ĐỒNG'!J1327</f>
        <v>1646788</v>
      </c>
      <c r="K1501" s="43"/>
      <c r="L1501" s="62">
        <f t="shared" si="341"/>
        <v>157585755</v>
      </c>
      <c r="M1501" s="77">
        <f t="shared" si="342"/>
        <v>0</v>
      </c>
      <c r="N1501" s="43">
        <f t="shared" si="346"/>
        <v>0</v>
      </c>
      <c r="O1501" s="43">
        <f t="shared" si="343"/>
        <v>0</v>
      </c>
      <c r="P1501" s="43">
        <f t="shared" si="344"/>
        <v>157585755</v>
      </c>
      <c r="Q1501" s="100"/>
      <c r="R1501" s="117"/>
    </row>
    <row r="1502" spans="1:18" ht="31.5" customHeight="1" x14ac:dyDescent="0.25">
      <c r="A1502" s="48" t="str">
        <f t="shared" si="345"/>
        <v>HT</v>
      </c>
      <c r="B1502" s="32" t="s">
        <v>1880</v>
      </c>
      <c r="C1502" s="39" t="s">
        <v>98</v>
      </c>
      <c r="D1502" s="13" t="s">
        <v>90</v>
      </c>
      <c r="E1502" s="123">
        <v>95.69</v>
      </c>
      <c r="F1502" s="136"/>
      <c r="G1502" s="125"/>
      <c r="H1502" s="125"/>
      <c r="I1502" s="125">
        <f t="shared" si="340"/>
        <v>95.69</v>
      </c>
      <c r="J1502" s="62">
        <f>'BIỂU HỢP ĐỒNG'!J1328</f>
        <v>113842.61</v>
      </c>
      <c r="K1502" s="43"/>
      <c r="L1502" s="62">
        <f t="shared" si="341"/>
        <v>10893599</v>
      </c>
      <c r="M1502" s="77">
        <f t="shared" si="342"/>
        <v>0</v>
      </c>
      <c r="N1502" s="43">
        <f t="shared" si="346"/>
        <v>0</v>
      </c>
      <c r="O1502" s="43">
        <f t="shared" si="343"/>
        <v>0</v>
      </c>
      <c r="P1502" s="43">
        <f t="shared" si="344"/>
        <v>10893599</v>
      </c>
      <c r="Q1502" s="100"/>
      <c r="R1502" s="117"/>
    </row>
    <row r="1503" spans="1:18" x14ac:dyDescent="0.25">
      <c r="A1503" s="48" t="str">
        <f t="shared" si="345"/>
        <v>HT</v>
      </c>
      <c r="B1503" s="32" t="s">
        <v>1881</v>
      </c>
      <c r="C1503" s="39" t="s">
        <v>1882</v>
      </c>
      <c r="D1503" s="13" t="s">
        <v>13</v>
      </c>
      <c r="E1503" s="123">
        <v>672</v>
      </c>
      <c r="F1503" s="136"/>
      <c r="G1503" s="125"/>
      <c r="H1503" s="125"/>
      <c r="I1503" s="125">
        <f t="shared" si="340"/>
        <v>672</v>
      </c>
      <c r="J1503" s="62">
        <f>'BIỂU HỢP ĐỒNG'!J1329</f>
        <v>32529</v>
      </c>
      <c r="K1503" s="43"/>
      <c r="L1503" s="62">
        <f t="shared" si="341"/>
        <v>21859488</v>
      </c>
      <c r="M1503" s="77">
        <f t="shared" si="342"/>
        <v>0</v>
      </c>
      <c r="N1503" s="43">
        <f t="shared" si="346"/>
        <v>0</v>
      </c>
      <c r="O1503" s="43">
        <f t="shared" si="343"/>
        <v>0</v>
      </c>
      <c r="P1503" s="43">
        <f t="shared" si="344"/>
        <v>21859488</v>
      </c>
      <c r="Q1503" s="100"/>
      <c r="R1503" s="117"/>
    </row>
    <row r="1504" spans="1:18" x14ac:dyDescent="0.25">
      <c r="A1504" s="48" t="str">
        <f t="shared" si="345"/>
        <v>HT</v>
      </c>
      <c r="B1504" s="32" t="s">
        <v>1883</v>
      </c>
      <c r="C1504" s="39" t="s">
        <v>1884</v>
      </c>
      <c r="D1504" s="13" t="s">
        <v>16</v>
      </c>
      <c r="E1504" s="123">
        <v>201.6</v>
      </c>
      <c r="F1504" s="136"/>
      <c r="G1504" s="125"/>
      <c r="H1504" s="125"/>
      <c r="I1504" s="125">
        <f t="shared" si="340"/>
        <v>201.6</v>
      </c>
      <c r="J1504" s="62">
        <f>'BIỂU HỢP ĐỒNG'!J1330</f>
        <v>16751</v>
      </c>
      <c r="K1504" s="43"/>
      <c r="L1504" s="62">
        <f t="shared" si="341"/>
        <v>3377002</v>
      </c>
      <c r="M1504" s="77">
        <f t="shared" si="342"/>
        <v>0</v>
      </c>
      <c r="N1504" s="43">
        <f t="shared" si="346"/>
        <v>0</v>
      </c>
      <c r="O1504" s="43">
        <f t="shared" si="343"/>
        <v>0</v>
      </c>
      <c r="P1504" s="43">
        <f t="shared" si="344"/>
        <v>3377002</v>
      </c>
      <c r="Q1504" s="100"/>
      <c r="R1504" s="117"/>
    </row>
    <row r="1505" spans="1:18" x14ac:dyDescent="0.25">
      <c r="A1505" s="48" t="str">
        <f t="shared" si="345"/>
        <v>HT</v>
      </c>
      <c r="B1505" s="32" t="s">
        <v>1885</v>
      </c>
      <c r="C1505" s="39" t="s">
        <v>1886</v>
      </c>
      <c r="D1505" s="13" t="s">
        <v>16</v>
      </c>
      <c r="E1505" s="123">
        <v>161.28</v>
      </c>
      <c r="F1505" s="136"/>
      <c r="G1505" s="125"/>
      <c r="H1505" s="125"/>
      <c r="I1505" s="125">
        <f t="shared" si="340"/>
        <v>161.28</v>
      </c>
      <c r="J1505" s="62">
        <f>'BIỂU HỢP ĐỒNG'!J1331</f>
        <v>364704</v>
      </c>
      <c r="K1505" s="43"/>
      <c r="L1505" s="62">
        <f t="shared" si="341"/>
        <v>58819461</v>
      </c>
      <c r="M1505" s="77">
        <f t="shared" si="342"/>
        <v>0</v>
      </c>
      <c r="N1505" s="43">
        <f t="shared" si="346"/>
        <v>0</v>
      </c>
      <c r="O1505" s="43">
        <f t="shared" si="343"/>
        <v>0</v>
      </c>
      <c r="P1505" s="43">
        <f t="shared" si="344"/>
        <v>58819461</v>
      </c>
      <c r="Q1505" s="100"/>
      <c r="R1505" s="117"/>
    </row>
    <row r="1506" spans="1:18" x14ac:dyDescent="0.25">
      <c r="A1506" s="48" t="str">
        <f t="shared" si="345"/>
        <v>HT</v>
      </c>
      <c r="B1506" s="32" t="s">
        <v>1887</v>
      </c>
      <c r="C1506" s="39" t="s">
        <v>1888</v>
      </c>
      <c r="D1506" s="13" t="s">
        <v>16</v>
      </c>
      <c r="E1506" s="123">
        <v>228.48</v>
      </c>
      <c r="F1506" s="136"/>
      <c r="G1506" s="125"/>
      <c r="H1506" s="125"/>
      <c r="I1506" s="125">
        <f t="shared" si="340"/>
        <v>228.48</v>
      </c>
      <c r="J1506" s="62">
        <f>'BIỂU HỢP ĐỒNG'!J1332</f>
        <v>363053</v>
      </c>
      <c r="K1506" s="43"/>
      <c r="L1506" s="62">
        <f t="shared" si="341"/>
        <v>82950349</v>
      </c>
      <c r="M1506" s="77">
        <f t="shared" si="342"/>
        <v>0</v>
      </c>
      <c r="N1506" s="43">
        <f t="shared" si="346"/>
        <v>0</v>
      </c>
      <c r="O1506" s="43">
        <f t="shared" si="343"/>
        <v>0</v>
      </c>
      <c r="P1506" s="43">
        <f t="shared" si="344"/>
        <v>82950349</v>
      </c>
      <c r="Q1506" s="100"/>
      <c r="R1506" s="117"/>
    </row>
    <row r="1507" spans="1:18" x14ac:dyDescent="0.25">
      <c r="A1507" s="48" t="str">
        <f t="shared" si="345"/>
        <v>HT</v>
      </c>
      <c r="B1507" s="32" t="s">
        <v>1889</v>
      </c>
      <c r="C1507" s="39" t="s">
        <v>1890</v>
      </c>
      <c r="D1507" s="13" t="s">
        <v>16</v>
      </c>
      <c r="E1507" s="123">
        <v>41.4</v>
      </c>
      <c r="F1507" s="136"/>
      <c r="G1507" s="125"/>
      <c r="H1507" s="125"/>
      <c r="I1507" s="125">
        <f t="shared" si="340"/>
        <v>41.4</v>
      </c>
      <c r="J1507" s="62">
        <f>'BIỂU HỢP ĐỒNG'!J1333</f>
        <v>1719728</v>
      </c>
      <c r="K1507" s="43"/>
      <c r="L1507" s="62">
        <f t="shared" si="341"/>
        <v>71196739</v>
      </c>
      <c r="M1507" s="77">
        <f t="shared" si="342"/>
        <v>0</v>
      </c>
      <c r="N1507" s="43">
        <f t="shared" si="346"/>
        <v>0</v>
      </c>
      <c r="O1507" s="43">
        <f t="shared" si="343"/>
        <v>0</v>
      </c>
      <c r="P1507" s="43">
        <f t="shared" si="344"/>
        <v>71196739</v>
      </c>
      <c r="Q1507" s="100"/>
      <c r="R1507" s="117"/>
    </row>
    <row r="1508" spans="1:18" x14ac:dyDescent="0.25">
      <c r="A1508" s="48" t="str">
        <f t="shared" si="345"/>
        <v>HT</v>
      </c>
      <c r="B1508" s="32" t="s">
        <v>1891</v>
      </c>
      <c r="C1508" s="39" t="s">
        <v>1597</v>
      </c>
      <c r="D1508" s="13" t="s">
        <v>90</v>
      </c>
      <c r="E1508" s="123">
        <v>1.7538</v>
      </c>
      <c r="F1508" s="136"/>
      <c r="G1508" s="125"/>
      <c r="H1508" s="125"/>
      <c r="I1508" s="125">
        <f t="shared" si="340"/>
        <v>1.7538</v>
      </c>
      <c r="J1508" s="62">
        <f>'BIỂU HỢP ĐỒNG'!J1334</f>
        <v>27101433</v>
      </c>
      <c r="K1508" s="43"/>
      <c r="L1508" s="62">
        <f t="shared" si="341"/>
        <v>47530493</v>
      </c>
      <c r="M1508" s="77">
        <f t="shared" si="342"/>
        <v>0</v>
      </c>
      <c r="N1508" s="43">
        <f t="shared" si="346"/>
        <v>0</v>
      </c>
      <c r="O1508" s="43">
        <f t="shared" si="343"/>
        <v>0</v>
      </c>
      <c r="P1508" s="43">
        <f t="shared" si="344"/>
        <v>47530493</v>
      </c>
      <c r="Q1508" s="100"/>
      <c r="R1508" s="117"/>
    </row>
    <row r="1509" spans="1:18" x14ac:dyDescent="0.25">
      <c r="A1509" s="48" t="str">
        <f t="shared" si="345"/>
        <v>HT</v>
      </c>
      <c r="B1509" s="32" t="s">
        <v>1892</v>
      </c>
      <c r="C1509" s="39" t="s">
        <v>1893</v>
      </c>
      <c r="D1509" s="13" t="s">
        <v>1894</v>
      </c>
      <c r="E1509" s="123">
        <v>1720</v>
      </c>
      <c r="F1509" s="136"/>
      <c r="G1509" s="125"/>
      <c r="H1509" s="125"/>
      <c r="I1509" s="125">
        <f t="shared" si="340"/>
        <v>1720</v>
      </c>
      <c r="J1509" s="62">
        <f>'BIỂU HỢP ĐỒNG'!J1335</f>
        <v>20372</v>
      </c>
      <c r="K1509" s="43"/>
      <c r="L1509" s="62">
        <f t="shared" si="341"/>
        <v>35039840</v>
      </c>
      <c r="M1509" s="77">
        <f t="shared" si="342"/>
        <v>0</v>
      </c>
      <c r="N1509" s="43">
        <f t="shared" si="346"/>
        <v>0</v>
      </c>
      <c r="O1509" s="43">
        <f t="shared" si="343"/>
        <v>0</v>
      </c>
      <c r="P1509" s="43">
        <f t="shared" si="344"/>
        <v>35039840</v>
      </c>
      <c r="Q1509" s="100"/>
      <c r="R1509" s="117"/>
    </row>
    <row r="1510" spans="1:18" x14ac:dyDescent="0.25">
      <c r="A1510" s="48" t="str">
        <f t="shared" si="345"/>
        <v>HT</v>
      </c>
      <c r="B1510" s="32" t="s">
        <v>1895</v>
      </c>
      <c r="C1510" s="39" t="s">
        <v>1896</v>
      </c>
      <c r="D1510" s="13" t="s">
        <v>16</v>
      </c>
      <c r="E1510" s="123">
        <v>135</v>
      </c>
      <c r="F1510" s="136"/>
      <c r="G1510" s="125"/>
      <c r="H1510" s="125"/>
      <c r="I1510" s="125">
        <f t="shared" si="340"/>
        <v>135</v>
      </c>
      <c r="J1510" s="62">
        <f>'BIỂU HỢP ĐỒNG'!J1336</f>
        <v>363053</v>
      </c>
      <c r="K1510" s="43"/>
      <c r="L1510" s="62">
        <f t="shared" si="341"/>
        <v>49012155</v>
      </c>
      <c r="M1510" s="77">
        <f t="shared" si="342"/>
        <v>0</v>
      </c>
      <c r="N1510" s="43">
        <f t="shared" si="346"/>
        <v>0</v>
      </c>
      <c r="O1510" s="43">
        <f t="shared" si="343"/>
        <v>0</v>
      </c>
      <c r="P1510" s="43">
        <f t="shared" si="344"/>
        <v>49012155</v>
      </c>
      <c r="Q1510" s="100"/>
      <c r="R1510" s="117"/>
    </row>
    <row r="1511" spans="1:18" x14ac:dyDescent="0.25">
      <c r="A1511" s="48" t="str">
        <f t="shared" si="345"/>
        <v>HT</v>
      </c>
      <c r="B1511" s="32" t="s">
        <v>1897</v>
      </c>
      <c r="C1511" s="39" t="s">
        <v>1898</v>
      </c>
      <c r="D1511" s="13" t="s">
        <v>16</v>
      </c>
      <c r="E1511" s="123">
        <v>1260</v>
      </c>
      <c r="F1511" s="136"/>
      <c r="G1511" s="125"/>
      <c r="H1511" s="125"/>
      <c r="I1511" s="125">
        <f t="shared" si="340"/>
        <v>1260</v>
      </c>
      <c r="J1511" s="62">
        <f>'BIỂU HỢP ĐỒNG'!J1337</f>
        <v>6875</v>
      </c>
      <c r="K1511" s="43"/>
      <c r="L1511" s="62">
        <f t="shared" si="341"/>
        <v>8662500</v>
      </c>
      <c r="M1511" s="77">
        <f t="shared" si="342"/>
        <v>0</v>
      </c>
      <c r="N1511" s="43">
        <f t="shared" si="346"/>
        <v>0</v>
      </c>
      <c r="O1511" s="43">
        <f t="shared" si="343"/>
        <v>0</v>
      </c>
      <c r="P1511" s="43">
        <f t="shared" si="344"/>
        <v>8662500</v>
      </c>
      <c r="Q1511" s="100"/>
      <c r="R1511" s="117"/>
    </row>
    <row r="1512" spans="1:18" x14ac:dyDescent="0.25">
      <c r="A1512" s="48" t="str">
        <f t="shared" si="345"/>
        <v>HT</v>
      </c>
      <c r="B1512" s="32" t="s">
        <v>1899</v>
      </c>
      <c r="C1512" s="39" t="s">
        <v>195</v>
      </c>
      <c r="D1512" s="13" t="s">
        <v>16</v>
      </c>
      <c r="E1512" s="123">
        <v>1692.306</v>
      </c>
      <c r="F1512" s="136"/>
      <c r="G1512" s="125"/>
      <c r="H1512" s="125"/>
      <c r="I1512" s="125">
        <f t="shared" si="340"/>
        <v>1692.306</v>
      </c>
      <c r="J1512" s="62">
        <f>'BIỂU HỢP ĐỒNG'!J1338</f>
        <v>50585</v>
      </c>
      <c r="K1512" s="43"/>
      <c r="L1512" s="62">
        <f t="shared" si="341"/>
        <v>85605299</v>
      </c>
      <c r="M1512" s="77">
        <f t="shared" si="342"/>
        <v>0</v>
      </c>
      <c r="N1512" s="43">
        <f t="shared" si="346"/>
        <v>0</v>
      </c>
      <c r="O1512" s="43">
        <f t="shared" si="343"/>
        <v>0</v>
      </c>
      <c r="P1512" s="43">
        <f t="shared" si="344"/>
        <v>85605299</v>
      </c>
      <c r="Q1512" s="100"/>
      <c r="R1512" s="117"/>
    </row>
    <row r="1513" spans="1:18" x14ac:dyDescent="0.25">
      <c r="A1513" s="48" t="str">
        <f t="shared" si="345"/>
        <v>HT</v>
      </c>
      <c r="B1513" s="32" t="s">
        <v>1900</v>
      </c>
      <c r="C1513" s="39" t="s">
        <v>36</v>
      </c>
      <c r="D1513" s="13" t="s">
        <v>37</v>
      </c>
      <c r="E1513" s="123">
        <v>169.23060000000001</v>
      </c>
      <c r="F1513" s="136"/>
      <c r="G1513" s="125"/>
      <c r="H1513" s="125"/>
      <c r="I1513" s="125">
        <f t="shared" si="340"/>
        <v>169.23060000000001</v>
      </c>
      <c r="J1513" s="62">
        <f>'BIỂU HỢP ĐỒNG'!J1339</f>
        <v>1064000</v>
      </c>
      <c r="K1513" s="43"/>
      <c r="L1513" s="62">
        <f t="shared" si="341"/>
        <v>180061358</v>
      </c>
      <c r="M1513" s="77">
        <f t="shared" si="342"/>
        <v>0</v>
      </c>
      <c r="N1513" s="43">
        <f t="shared" si="346"/>
        <v>0</v>
      </c>
      <c r="O1513" s="43">
        <f t="shared" si="343"/>
        <v>0</v>
      </c>
      <c r="P1513" s="43">
        <f t="shared" si="344"/>
        <v>180061358</v>
      </c>
      <c r="Q1513" s="100"/>
      <c r="R1513" s="117"/>
    </row>
    <row r="1514" spans="1:18" x14ac:dyDescent="0.25">
      <c r="A1514" s="48" t="str">
        <f t="shared" si="345"/>
        <v>HT</v>
      </c>
      <c r="B1514" s="32" t="s">
        <v>1901</v>
      </c>
      <c r="C1514" s="39" t="s">
        <v>1421</v>
      </c>
      <c r="D1514" s="13" t="s">
        <v>16</v>
      </c>
      <c r="E1514" s="123">
        <v>15</v>
      </c>
      <c r="F1514" s="136"/>
      <c r="G1514" s="125"/>
      <c r="H1514" s="125"/>
      <c r="I1514" s="125">
        <f t="shared" si="340"/>
        <v>15</v>
      </c>
      <c r="J1514" s="62">
        <f>'BIỂU HỢP ĐỒNG'!J1340</f>
        <v>363053</v>
      </c>
      <c r="K1514" s="43"/>
      <c r="L1514" s="62">
        <f t="shared" si="341"/>
        <v>5445795</v>
      </c>
      <c r="M1514" s="77">
        <f t="shared" si="342"/>
        <v>0</v>
      </c>
      <c r="N1514" s="43">
        <f t="shared" si="346"/>
        <v>0</v>
      </c>
      <c r="O1514" s="43">
        <f t="shared" si="343"/>
        <v>0</v>
      </c>
      <c r="P1514" s="43">
        <f t="shared" si="344"/>
        <v>5445795</v>
      </c>
      <c r="Q1514" s="100"/>
      <c r="R1514" s="117"/>
    </row>
    <row r="1515" spans="1:18" x14ac:dyDescent="0.25">
      <c r="A1515" s="48" t="str">
        <f t="shared" si="345"/>
        <v>HT</v>
      </c>
      <c r="B1515" s="32" t="s">
        <v>1902</v>
      </c>
      <c r="C1515" s="39" t="s">
        <v>1898</v>
      </c>
      <c r="D1515" s="13" t="s">
        <v>16</v>
      </c>
      <c r="E1515" s="123">
        <v>140</v>
      </c>
      <c r="F1515" s="136"/>
      <c r="G1515" s="125"/>
      <c r="H1515" s="125"/>
      <c r="I1515" s="125">
        <f t="shared" si="340"/>
        <v>140</v>
      </c>
      <c r="J1515" s="62">
        <f>'BIỂU HỢP ĐỒNG'!J1341</f>
        <v>6875</v>
      </c>
      <c r="K1515" s="43"/>
      <c r="L1515" s="62">
        <f t="shared" si="341"/>
        <v>962500</v>
      </c>
      <c r="M1515" s="77">
        <f t="shared" si="342"/>
        <v>0</v>
      </c>
      <c r="N1515" s="43">
        <f t="shared" si="346"/>
        <v>0</v>
      </c>
      <c r="O1515" s="43">
        <f t="shared" si="343"/>
        <v>0</v>
      </c>
      <c r="P1515" s="43">
        <f t="shared" si="344"/>
        <v>962500</v>
      </c>
      <c r="Q1515" s="100"/>
      <c r="R1515" s="117"/>
    </row>
    <row r="1516" spans="1:18" x14ac:dyDescent="0.25">
      <c r="A1516" s="48" t="str">
        <f t="shared" si="345"/>
        <v>HT</v>
      </c>
      <c r="B1516" s="32" t="s">
        <v>1903</v>
      </c>
      <c r="C1516" s="39" t="s">
        <v>195</v>
      </c>
      <c r="D1516" s="13" t="s">
        <v>16</v>
      </c>
      <c r="E1516" s="123">
        <v>188.03399999999999</v>
      </c>
      <c r="F1516" s="136"/>
      <c r="G1516" s="125"/>
      <c r="H1516" s="125"/>
      <c r="I1516" s="125">
        <f t="shared" si="340"/>
        <v>188.03399999999999</v>
      </c>
      <c r="J1516" s="62">
        <f>'BIỂU HỢP ĐỒNG'!J1342</f>
        <v>50585</v>
      </c>
      <c r="K1516" s="43"/>
      <c r="L1516" s="62">
        <f t="shared" si="341"/>
        <v>9511700</v>
      </c>
      <c r="M1516" s="77">
        <f t="shared" si="342"/>
        <v>0</v>
      </c>
      <c r="N1516" s="43">
        <f t="shared" ref="N1516:N1523" si="347">+ROUND(G1516*J1516,0)</f>
        <v>0</v>
      </c>
      <c r="O1516" s="43">
        <f t="shared" si="343"/>
        <v>0</v>
      </c>
      <c r="P1516" s="43">
        <f t="shared" si="344"/>
        <v>9511700</v>
      </c>
      <c r="Q1516" s="100"/>
      <c r="R1516" s="117"/>
    </row>
    <row r="1517" spans="1:18" x14ac:dyDescent="0.25">
      <c r="A1517" s="48" t="str">
        <f t="shared" si="345"/>
        <v>HT</v>
      </c>
      <c r="B1517" s="32" t="s">
        <v>1904</v>
      </c>
      <c r="C1517" s="39" t="s">
        <v>36</v>
      </c>
      <c r="D1517" s="13" t="s">
        <v>37</v>
      </c>
      <c r="E1517" s="123">
        <v>18.8034</v>
      </c>
      <c r="F1517" s="136"/>
      <c r="G1517" s="125"/>
      <c r="H1517" s="125"/>
      <c r="I1517" s="125">
        <f t="shared" si="340"/>
        <v>18.8034</v>
      </c>
      <c r="J1517" s="62">
        <f>'BIỂU HỢP ĐỒNG'!J1343</f>
        <v>1064000</v>
      </c>
      <c r="K1517" s="43"/>
      <c r="L1517" s="62">
        <f t="shared" si="341"/>
        <v>20006818</v>
      </c>
      <c r="M1517" s="77">
        <f t="shared" si="342"/>
        <v>0</v>
      </c>
      <c r="N1517" s="43">
        <f t="shared" si="347"/>
        <v>0</v>
      </c>
      <c r="O1517" s="43">
        <f t="shared" si="343"/>
        <v>0</v>
      </c>
      <c r="P1517" s="43">
        <f t="shared" si="344"/>
        <v>20006818</v>
      </c>
      <c r="Q1517" s="100"/>
      <c r="R1517" s="117"/>
    </row>
    <row r="1518" spans="1:18" x14ac:dyDescent="0.25">
      <c r="A1518" s="48" t="str">
        <f t="shared" si="345"/>
        <v>HT</v>
      </c>
      <c r="B1518" s="32" t="s">
        <v>1905</v>
      </c>
      <c r="C1518" s="39" t="s">
        <v>1896</v>
      </c>
      <c r="D1518" s="13" t="s">
        <v>16</v>
      </c>
      <c r="E1518" s="123">
        <v>11.25</v>
      </c>
      <c r="F1518" s="136"/>
      <c r="G1518" s="125"/>
      <c r="H1518" s="125"/>
      <c r="I1518" s="125">
        <f t="shared" si="340"/>
        <v>11.25</v>
      </c>
      <c r="J1518" s="62">
        <f>'BIỂU HỢP ĐỒNG'!J1344</f>
        <v>363053</v>
      </c>
      <c r="K1518" s="43"/>
      <c r="L1518" s="62">
        <f t="shared" si="341"/>
        <v>4084346</v>
      </c>
      <c r="M1518" s="77">
        <f t="shared" si="342"/>
        <v>0</v>
      </c>
      <c r="N1518" s="43">
        <f t="shared" si="347"/>
        <v>0</v>
      </c>
      <c r="O1518" s="43">
        <f t="shared" si="343"/>
        <v>0</v>
      </c>
      <c r="P1518" s="43">
        <f t="shared" si="344"/>
        <v>4084346</v>
      </c>
      <c r="Q1518" s="100"/>
      <c r="R1518" s="117"/>
    </row>
    <row r="1519" spans="1:18" x14ac:dyDescent="0.25">
      <c r="A1519" s="48" t="str">
        <f t="shared" si="345"/>
        <v>HT</v>
      </c>
      <c r="B1519" s="32" t="s">
        <v>1906</v>
      </c>
      <c r="C1519" s="39" t="s">
        <v>1898</v>
      </c>
      <c r="D1519" s="13" t="s">
        <v>16</v>
      </c>
      <c r="E1519" s="123">
        <v>105</v>
      </c>
      <c r="F1519" s="136"/>
      <c r="G1519" s="125"/>
      <c r="H1519" s="125"/>
      <c r="I1519" s="125">
        <f t="shared" si="340"/>
        <v>105</v>
      </c>
      <c r="J1519" s="62">
        <f>'BIỂU HỢP ĐỒNG'!J1345</f>
        <v>6875</v>
      </c>
      <c r="K1519" s="43"/>
      <c r="L1519" s="62">
        <f t="shared" si="341"/>
        <v>721875</v>
      </c>
      <c r="M1519" s="77">
        <f t="shared" si="342"/>
        <v>0</v>
      </c>
      <c r="N1519" s="43">
        <f t="shared" si="347"/>
        <v>0</v>
      </c>
      <c r="O1519" s="43">
        <f t="shared" si="343"/>
        <v>0</v>
      </c>
      <c r="P1519" s="43">
        <f t="shared" si="344"/>
        <v>721875</v>
      </c>
      <c r="Q1519" s="100"/>
      <c r="R1519" s="117"/>
    </row>
    <row r="1520" spans="1:18" x14ac:dyDescent="0.25">
      <c r="A1520" s="48" t="str">
        <f t="shared" si="345"/>
        <v>HT</v>
      </c>
      <c r="B1520" s="32" t="s">
        <v>1907</v>
      </c>
      <c r="C1520" s="39" t="s">
        <v>195</v>
      </c>
      <c r="D1520" s="13" t="s">
        <v>16</v>
      </c>
      <c r="E1520" s="123">
        <v>141.02549999999999</v>
      </c>
      <c r="F1520" s="136"/>
      <c r="G1520" s="125"/>
      <c r="H1520" s="125"/>
      <c r="I1520" s="125">
        <f t="shared" si="340"/>
        <v>141.02549999999999</v>
      </c>
      <c r="J1520" s="62">
        <f>'BIỂU HỢP ĐỒNG'!J1346</f>
        <v>50585</v>
      </c>
      <c r="K1520" s="43"/>
      <c r="L1520" s="62">
        <f t="shared" si="341"/>
        <v>7133775</v>
      </c>
      <c r="M1520" s="77">
        <f t="shared" si="342"/>
        <v>0</v>
      </c>
      <c r="N1520" s="43">
        <f t="shared" si="347"/>
        <v>0</v>
      </c>
      <c r="O1520" s="43">
        <f t="shared" si="343"/>
        <v>0</v>
      </c>
      <c r="P1520" s="43">
        <f t="shared" si="344"/>
        <v>7133775</v>
      </c>
      <c r="Q1520" s="100"/>
      <c r="R1520" s="117"/>
    </row>
    <row r="1521" spans="1:19" x14ac:dyDescent="0.25">
      <c r="A1521" s="48" t="str">
        <f t="shared" si="345"/>
        <v>HT</v>
      </c>
      <c r="B1521" s="32" t="s">
        <v>1908</v>
      </c>
      <c r="C1521" s="39" t="s">
        <v>36</v>
      </c>
      <c r="D1521" s="13" t="s">
        <v>37</v>
      </c>
      <c r="E1521" s="123">
        <v>14.102600000000001</v>
      </c>
      <c r="F1521" s="136"/>
      <c r="G1521" s="125"/>
      <c r="H1521" s="125"/>
      <c r="I1521" s="125">
        <f t="shared" si="340"/>
        <v>14.102600000000001</v>
      </c>
      <c r="J1521" s="62">
        <f>'BIỂU HỢP ĐỒNG'!J1347</f>
        <v>1064000</v>
      </c>
      <c r="K1521" s="43"/>
      <c r="L1521" s="62">
        <f t="shared" si="341"/>
        <v>15005166</v>
      </c>
      <c r="M1521" s="77">
        <f t="shared" si="342"/>
        <v>0</v>
      </c>
      <c r="N1521" s="43">
        <f t="shared" si="347"/>
        <v>0</v>
      </c>
      <c r="O1521" s="43">
        <f t="shared" si="343"/>
        <v>0</v>
      </c>
      <c r="P1521" s="43">
        <f t="shared" si="344"/>
        <v>15005166</v>
      </c>
      <c r="Q1521" s="100"/>
      <c r="R1521" s="117"/>
    </row>
    <row r="1522" spans="1:19" x14ac:dyDescent="0.25">
      <c r="A1522" s="48" t="str">
        <f t="shared" si="345"/>
        <v>HT</v>
      </c>
      <c r="B1522" s="32" t="s">
        <v>1909</v>
      </c>
      <c r="C1522" s="39" t="s">
        <v>1910</v>
      </c>
      <c r="D1522" s="13" t="s">
        <v>16</v>
      </c>
      <c r="E1522" s="123">
        <v>1537.1</v>
      </c>
      <c r="F1522" s="136"/>
      <c r="G1522" s="125"/>
      <c r="H1522" s="125"/>
      <c r="I1522" s="125">
        <f t="shared" si="340"/>
        <v>1537.1</v>
      </c>
      <c r="J1522" s="62">
        <f>'BIỂU HỢP ĐỒNG'!J1348</f>
        <v>9946</v>
      </c>
      <c r="K1522" s="43"/>
      <c r="L1522" s="62">
        <f t="shared" si="341"/>
        <v>15287997</v>
      </c>
      <c r="M1522" s="77">
        <f t="shared" si="342"/>
        <v>0</v>
      </c>
      <c r="N1522" s="43">
        <f t="shared" si="347"/>
        <v>0</v>
      </c>
      <c r="O1522" s="43">
        <f t="shared" si="343"/>
        <v>0</v>
      </c>
      <c r="P1522" s="43">
        <f t="shared" si="344"/>
        <v>15287997</v>
      </c>
      <c r="Q1522" s="100"/>
      <c r="R1522" s="117"/>
    </row>
    <row r="1523" spans="1:19" x14ac:dyDescent="0.25">
      <c r="A1523" s="48" t="str">
        <f t="shared" si="345"/>
        <v>HT</v>
      </c>
      <c r="B1523" s="32" t="s">
        <v>1911</v>
      </c>
      <c r="C1523" s="39" t="s">
        <v>41</v>
      </c>
      <c r="D1523" s="13" t="s">
        <v>16</v>
      </c>
      <c r="E1523" s="123">
        <v>1537.1</v>
      </c>
      <c r="F1523" s="136"/>
      <c r="G1523" s="125"/>
      <c r="H1523" s="125"/>
      <c r="I1523" s="125">
        <f t="shared" si="340"/>
        <v>1537.1</v>
      </c>
      <c r="J1523" s="62">
        <f>'BIỂU HỢP ĐỒNG'!J1349</f>
        <v>40424</v>
      </c>
      <c r="K1523" s="43"/>
      <c r="L1523" s="62">
        <f t="shared" si="341"/>
        <v>62135730</v>
      </c>
      <c r="M1523" s="77">
        <f t="shared" si="342"/>
        <v>0</v>
      </c>
      <c r="N1523" s="43">
        <f t="shared" si="347"/>
        <v>0</v>
      </c>
      <c r="O1523" s="43">
        <f t="shared" si="343"/>
        <v>0</v>
      </c>
      <c r="P1523" s="43">
        <f t="shared" si="344"/>
        <v>62135730</v>
      </c>
      <c r="Q1523" s="100"/>
      <c r="R1523" s="117"/>
    </row>
    <row r="1524" spans="1:19" x14ac:dyDescent="0.25">
      <c r="A1524" s="48" t="str">
        <f t="shared" si="345"/>
        <v>HT</v>
      </c>
      <c r="B1524" s="140"/>
      <c r="C1524" s="149" t="s">
        <v>2359</v>
      </c>
      <c r="D1524" s="142"/>
      <c r="E1524" s="143"/>
      <c r="F1524" s="143"/>
      <c r="G1524" s="144"/>
      <c r="H1524" s="144"/>
      <c r="I1524" s="144"/>
      <c r="J1524" s="145"/>
      <c r="K1524" s="146"/>
      <c r="L1524" s="145"/>
      <c r="M1524" s="147"/>
      <c r="N1524" s="146"/>
      <c r="O1524" s="146"/>
      <c r="P1524" s="146"/>
      <c r="Q1524" s="100"/>
      <c r="R1524" s="117"/>
    </row>
    <row r="1525" spans="1:19" x14ac:dyDescent="0.25">
      <c r="A1525" s="48" t="str">
        <f t="shared" si="345"/>
        <v>HT</v>
      </c>
      <c r="B1525" s="140" t="s">
        <v>2360</v>
      </c>
      <c r="C1525" s="141" t="s">
        <v>2361</v>
      </c>
      <c r="D1525" s="142" t="s">
        <v>16</v>
      </c>
      <c r="E1525" s="143"/>
      <c r="F1525" s="143">
        <v>373.74</v>
      </c>
      <c r="G1525" s="144"/>
      <c r="H1525" s="144"/>
      <c r="I1525" s="144">
        <f>SUM(E1525:H1525)</f>
        <v>373.74</v>
      </c>
      <c r="J1525" s="145"/>
      <c r="K1525" s="146">
        <v>510187</v>
      </c>
      <c r="L1525" s="145">
        <f>+ROUND(K1525*E1525,0)</f>
        <v>0</v>
      </c>
      <c r="M1525" s="147">
        <f>+ROUND(F1525*K1525,0)</f>
        <v>190677289</v>
      </c>
      <c r="N1525" s="146">
        <f>+ROUND(G1525*K1525,0)</f>
        <v>0</v>
      </c>
      <c r="O1525" s="146">
        <f>+ROUND(H1525*K1525,0)</f>
        <v>0</v>
      </c>
      <c r="P1525" s="146">
        <f t="shared" ref="P1525:P1549" si="348">SUM(L1525:O1525)</f>
        <v>190677289</v>
      </c>
      <c r="Q1525" s="100"/>
      <c r="R1525" s="117"/>
      <c r="S1525" t="s">
        <v>2362</v>
      </c>
    </row>
    <row r="1526" spans="1:19" x14ac:dyDescent="0.25">
      <c r="A1526" s="48" t="str">
        <f t="shared" si="345"/>
        <v>HT</v>
      </c>
      <c r="B1526" s="140" t="s">
        <v>2363</v>
      </c>
      <c r="C1526" s="141" t="s">
        <v>2364</v>
      </c>
      <c r="D1526" s="142" t="s">
        <v>1613</v>
      </c>
      <c r="E1526" s="143"/>
      <c r="F1526" s="143">
        <v>12</v>
      </c>
      <c r="G1526" s="144"/>
      <c r="H1526" s="144"/>
      <c r="I1526" s="144">
        <f>SUM(E1526:H1526)</f>
        <v>12</v>
      </c>
      <c r="J1526" s="145"/>
      <c r="K1526" s="146">
        <v>638856</v>
      </c>
      <c r="L1526" s="145">
        <f>+ROUND(K1526*E1526,0)</f>
        <v>0</v>
      </c>
      <c r="M1526" s="147">
        <f>+ROUND(F1526*K1526,0)</f>
        <v>7666272</v>
      </c>
      <c r="N1526" s="146">
        <f>+ROUND(G1526*K1526,0)</f>
        <v>0</v>
      </c>
      <c r="O1526" s="146">
        <f>+ROUND(H1526*K1526,0)</f>
        <v>0</v>
      </c>
      <c r="P1526" s="146">
        <f t="shared" si="348"/>
        <v>7666272</v>
      </c>
      <c r="Q1526" s="100"/>
      <c r="R1526" s="117"/>
      <c r="S1526" t="s">
        <v>2365</v>
      </c>
    </row>
    <row r="1527" spans="1:19" ht="31.5" x14ac:dyDescent="0.25">
      <c r="A1527" s="48" t="str">
        <f t="shared" si="345"/>
        <v>HT</v>
      </c>
      <c r="B1527" s="140" t="s">
        <v>2366</v>
      </c>
      <c r="C1527" s="141" t="s">
        <v>2367</v>
      </c>
      <c r="D1527" s="142" t="s">
        <v>150</v>
      </c>
      <c r="E1527" s="143"/>
      <c r="F1527" s="143">
        <v>3.7374000000000001</v>
      </c>
      <c r="G1527" s="144"/>
      <c r="H1527" s="144"/>
      <c r="I1527" s="144">
        <f>SUM(E1527:H1527)</f>
        <v>3.7374000000000001</v>
      </c>
      <c r="J1527" s="145"/>
      <c r="K1527" s="146">
        <v>2376763</v>
      </c>
      <c r="L1527" s="145">
        <f>+ROUND(K1527*E1527,0)</f>
        <v>0</v>
      </c>
      <c r="M1527" s="147">
        <f>+ROUND(F1527*K1527,0)</f>
        <v>8882914</v>
      </c>
      <c r="N1527" s="146">
        <f>+ROUND(G1527*K1527,0)</f>
        <v>0</v>
      </c>
      <c r="O1527" s="146">
        <f>+ROUND(H1527*K1527,0)</f>
        <v>0</v>
      </c>
      <c r="P1527" s="146">
        <f t="shared" si="348"/>
        <v>8882914</v>
      </c>
      <c r="Q1527" s="100"/>
      <c r="R1527" s="117"/>
      <c r="S1527" t="s">
        <v>2368</v>
      </c>
    </row>
    <row r="1528" spans="1:19" ht="31.5" x14ac:dyDescent="0.25">
      <c r="A1528" s="48" t="str">
        <f t="shared" si="345"/>
        <v>HT</v>
      </c>
      <c r="B1528" s="140" t="s">
        <v>2369</v>
      </c>
      <c r="C1528" s="141" t="s">
        <v>2370</v>
      </c>
      <c r="D1528" s="142" t="s">
        <v>2153</v>
      </c>
      <c r="E1528" s="143"/>
      <c r="F1528" s="143">
        <v>3.7374000000000001</v>
      </c>
      <c r="G1528" s="144"/>
      <c r="H1528" s="144"/>
      <c r="I1528" s="144">
        <f>SUM(E1528:H1528)</f>
        <v>3.7374000000000001</v>
      </c>
      <c r="J1528" s="145"/>
      <c r="K1528" s="146">
        <v>876795</v>
      </c>
      <c r="L1528" s="145">
        <f>+ROUND(K1528*E1528,0)</f>
        <v>0</v>
      </c>
      <c r="M1528" s="147">
        <f>+ROUND(F1528*K1528,0)</f>
        <v>3276934</v>
      </c>
      <c r="N1528" s="146">
        <f>+ROUND(G1528*K1528,0)</f>
        <v>0</v>
      </c>
      <c r="O1528" s="146">
        <f>+ROUND(H1528*K1528,0)</f>
        <v>0</v>
      </c>
      <c r="P1528" s="146">
        <f t="shared" si="348"/>
        <v>3276934</v>
      </c>
      <c r="Q1528" s="100"/>
      <c r="R1528" s="117"/>
      <c r="S1528" t="s">
        <v>2371</v>
      </c>
    </row>
    <row r="1529" spans="1:19" ht="47.25" x14ac:dyDescent="0.25">
      <c r="A1529" s="48" t="str">
        <f t="shared" si="345"/>
        <v>HT</v>
      </c>
      <c r="B1529" s="140" t="s">
        <v>2372</v>
      </c>
      <c r="C1529" s="141" t="s">
        <v>2373</v>
      </c>
      <c r="D1529" s="142" t="s">
        <v>2153</v>
      </c>
      <c r="E1529" s="143"/>
      <c r="F1529" s="143">
        <v>3.7374000000000001</v>
      </c>
      <c r="G1529" s="144"/>
      <c r="H1529" s="144"/>
      <c r="I1529" s="144">
        <f>SUM(E1529:H1529)</f>
        <v>3.7374000000000001</v>
      </c>
      <c r="J1529" s="145"/>
      <c r="K1529" s="146">
        <v>475585</v>
      </c>
      <c r="L1529" s="145">
        <f>+ROUND(K1529*E1529,0)</f>
        <v>0</v>
      </c>
      <c r="M1529" s="147">
        <f>+ROUND(F1529*K1529,0)</f>
        <v>1777451</v>
      </c>
      <c r="N1529" s="146">
        <f>+ROUND(G1529*K1529,0)</f>
        <v>0</v>
      </c>
      <c r="O1529" s="146">
        <f>+ROUND(H1529*K1529,0)</f>
        <v>0</v>
      </c>
      <c r="P1529" s="146">
        <f t="shared" si="348"/>
        <v>1777451</v>
      </c>
      <c r="Q1529" s="100"/>
      <c r="R1529" s="117"/>
      <c r="S1529" t="s">
        <v>2374</v>
      </c>
    </row>
    <row r="1530" spans="1:19" x14ac:dyDescent="0.25">
      <c r="A1530" s="48" t="str">
        <f>A1523</f>
        <v>HT</v>
      </c>
      <c r="B1530" s="29">
        <v>21</v>
      </c>
      <c r="C1530" s="12" t="s">
        <v>1944</v>
      </c>
      <c r="D1530" s="79"/>
      <c r="E1530" s="123"/>
      <c r="F1530" s="136"/>
      <c r="G1530" s="125"/>
      <c r="H1530" s="125"/>
      <c r="I1530" s="125"/>
      <c r="J1530" s="62"/>
      <c r="K1530" s="43"/>
      <c r="L1530" s="62"/>
      <c r="M1530" s="77"/>
      <c r="N1530" s="43"/>
      <c r="O1530" s="43"/>
      <c r="P1530" s="43">
        <f t="shared" si="348"/>
        <v>0</v>
      </c>
      <c r="Q1530" s="100"/>
      <c r="R1530" s="117"/>
    </row>
    <row r="1531" spans="1:19" x14ac:dyDescent="0.25">
      <c r="A1531" s="48" t="str">
        <f t="shared" ref="A1531:A1549" si="349">A1530</f>
        <v>HT</v>
      </c>
      <c r="B1531" s="32" t="s">
        <v>1945</v>
      </c>
      <c r="C1531" s="39" t="s">
        <v>1946</v>
      </c>
      <c r="D1531" s="13" t="s">
        <v>258</v>
      </c>
      <c r="E1531" s="123">
        <v>8</v>
      </c>
      <c r="F1531" s="136"/>
      <c r="G1531" s="125"/>
      <c r="H1531" s="125"/>
      <c r="I1531" s="125">
        <f t="shared" ref="I1531:I1543" si="350">SUM(E1531:H1531)</f>
        <v>8</v>
      </c>
      <c r="J1531" s="62">
        <f>'BIỂU HỢP ĐỒNG'!J1367</f>
        <v>2548876</v>
      </c>
      <c r="K1531" s="43"/>
      <c r="L1531" s="62">
        <f t="shared" ref="L1531:L1543" si="351">+ROUND(J1531*E1531,0)</f>
        <v>20391008</v>
      </c>
      <c r="M1531" s="77">
        <f t="shared" ref="M1531:M1543" si="352">+ROUND(F1531*J1531,0)</f>
        <v>0</v>
      </c>
      <c r="N1531" s="43">
        <f t="shared" ref="N1531:N1543" si="353">+ROUND(G1531*J1531,0)</f>
        <v>0</v>
      </c>
      <c r="O1531" s="43">
        <f t="shared" ref="O1531:O1543" si="354">+ROUND(H1531*J1531,0)</f>
        <v>0</v>
      </c>
      <c r="P1531" s="43">
        <f t="shared" si="348"/>
        <v>20391008</v>
      </c>
      <c r="Q1531" s="100"/>
      <c r="R1531" s="117"/>
    </row>
    <row r="1532" spans="1:19" x14ac:dyDescent="0.25">
      <c r="A1532" s="48" t="str">
        <f t="shared" si="349"/>
        <v>HT</v>
      </c>
      <c r="B1532" s="32" t="s">
        <v>1947</v>
      </c>
      <c r="C1532" s="39" t="s">
        <v>1948</v>
      </c>
      <c r="D1532" s="13" t="s">
        <v>258</v>
      </c>
      <c r="E1532" s="123">
        <v>8</v>
      </c>
      <c r="F1532" s="136"/>
      <c r="G1532" s="125"/>
      <c r="H1532" s="125"/>
      <c r="I1532" s="125">
        <f t="shared" si="350"/>
        <v>8</v>
      </c>
      <c r="J1532" s="62">
        <f>'BIỂU HỢP ĐỒNG'!J1368</f>
        <v>281193</v>
      </c>
      <c r="K1532" s="43"/>
      <c r="L1532" s="62">
        <f t="shared" si="351"/>
        <v>2249544</v>
      </c>
      <c r="M1532" s="77">
        <f t="shared" si="352"/>
        <v>0</v>
      </c>
      <c r="N1532" s="43">
        <f t="shared" si="353"/>
        <v>0</v>
      </c>
      <c r="O1532" s="43">
        <f t="shared" si="354"/>
        <v>0</v>
      </c>
      <c r="P1532" s="43">
        <f t="shared" si="348"/>
        <v>2249544</v>
      </c>
      <c r="Q1532" s="100"/>
      <c r="R1532" s="117"/>
    </row>
    <row r="1533" spans="1:19" x14ac:dyDescent="0.25">
      <c r="A1533" s="48" t="str">
        <f t="shared" si="349"/>
        <v>HT</v>
      </c>
      <c r="B1533" s="32" t="s">
        <v>1949</v>
      </c>
      <c r="C1533" s="39" t="s">
        <v>1950</v>
      </c>
      <c r="D1533" s="13" t="s">
        <v>258</v>
      </c>
      <c r="E1533" s="123">
        <v>6</v>
      </c>
      <c r="F1533" s="136"/>
      <c r="G1533" s="125"/>
      <c r="H1533" s="125"/>
      <c r="I1533" s="125">
        <f t="shared" si="350"/>
        <v>6</v>
      </c>
      <c r="J1533" s="62">
        <f>'BIỂU HỢP ĐỒNG'!J1369</f>
        <v>1757450</v>
      </c>
      <c r="K1533" s="43"/>
      <c r="L1533" s="62">
        <f t="shared" si="351"/>
        <v>10544700</v>
      </c>
      <c r="M1533" s="77">
        <f t="shared" si="352"/>
        <v>0</v>
      </c>
      <c r="N1533" s="43">
        <f t="shared" si="353"/>
        <v>0</v>
      </c>
      <c r="O1533" s="43">
        <f t="shared" si="354"/>
        <v>0</v>
      </c>
      <c r="P1533" s="43">
        <f t="shared" si="348"/>
        <v>10544700</v>
      </c>
      <c r="Q1533" s="100"/>
      <c r="R1533" s="117"/>
    </row>
    <row r="1534" spans="1:19" x14ac:dyDescent="0.25">
      <c r="A1534" s="48" t="str">
        <f t="shared" si="349"/>
        <v>HT</v>
      </c>
      <c r="B1534" s="32" t="s">
        <v>1951</v>
      </c>
      <c r="C1534" s="39" t="s">
        <v>1952</v>
      </c>
      <c r="D1534" s="13" t="s">
        <v>258</v>
      </c>
      <c r="E1534" s="123">
        <v>14</v>
      </c>
      <c r="F1534" s="136"/>
      <c r="G1534" s="125"/>
      <c r="H1534" s="125"/>
      <c r="I1534" s="125">
        <f t="shared" si="350"/>
        <v>14</v>
      </c>
      <c r="J1534" s="62">
        <f>'BIỂU HỢP ĐỒNG'!J1370</f>
        <v>703288</v>
      </c>
      <c r="K1534" s="43"/>
      <c r="L1534" s="62">
        <f t="shared" si="351"/>
        <v>9846032</v>
      </c>
      <c r="M1534" s="77">
        <f t="shared" si="352"/>
        <v>0</v>
      </c>
      <c r="N1534" s="43">
        <f t="shared" si="353"/>
        <v>0</v>
      </c>
      <c r="O1534" s="43">
        <f t="shared" si="354"/>
        <v>0</v>
      </c>
      <c r="P1534" s="43">
        <f t="shared" si="348"/>
        <v>9846032</v>
      </c>
      <c r="Q1534" s="100"/>
      <c r="R1534" s="117"/>
    </row>
    <row r="1535" spans="1:19" x14ac:dyDescent="0.25">
      <c r="A1535" s="48" t="str">
        <f t="shared" si="349"/>
        <v>HT</v>
      </c>
      <c r="B1535" s="32" t="s">
        <v>1953</v>
      </c>
      <c r="C1535" s="39" t="s">
        <v>1954</v>
      </c>
      <c r="D1535" s="13" t="s">
        <v>13</v>
      </c>
      <c r="E1535" s="123">
        <v>20</v>
      </c>
      <c r="F1535" s="136"/>
      <c r="G1535" s="125"/>
      <c r="H1535" s="125"/>
      <c r="I1535" s="125">
        <f t="shared" si="350"/>
        <v>20</v>
      </c>
      <c r="J1535" s="62">
        <f>'BIỂU HỢP ĐỒNG'!J1371</f>
        <v>55074</v>
      </c>
      <c r="K1535" s="43"/>
      <c r="L1535" s="62">
        <f t="shared" si="351"/>
        <v>1101480</v>
      </c>
      <c r="M1535" s="77">
        <f t="shared" si="352"/>
        <v>0</v>
      </c>
      <c r="N1535" s="43">
        <f t="shared" si="353"/>
        <v>0</v>
      </c>
      <c r="O1535" s="43">
        <f t="shared" si="354"/>
        <v>0</v>
      </c>
      <c r="P1535" s="43">
        <f t="shared" si="348"/>
        <v>1101480</v>
      </c>
      <c r="Q1535" s="100"/>
      <c r="R1535" s="117"/>
    </row>
    <row r="1536" spans="1:19" x14ac:dyDescent="0.25">
      <c r="A1536" s="48" t="str">
        <f t="shared" si="349"/>
        <v>HT</v>
      </c>
      <c r="B1536" s="32" t="s">
        <v>1955</v>
      </c>
      <c r="C1536" s="39" t="s">
        <v>1956</v>
      </c>
      <c r="D1536" s="13" t="s">
        <v>258</v>
      </c>
      <c r="E1536" s="123">
        <v>4</v>
      </c>
      <c r="F1536" s="136"/>
      <c r="G1536" s="125"/>
      <c r="H1536" s="125"/>
      <c r="I1536" s="125">
        <f t="shared" si="350"/>
        <v>4</v>
      </c>
      <c r="J1536" s="62">
        <f>'BIỂU HỢP ĐỒNG'!J1372</f>
        <v>6372190</v>
      </c>
      <c r="K1536" s="43"/>
      <c r="L1536" s="62">
        <f t="shared" si="351"/>
        <v>25488760</v>
      </c>
      <c r="M1536" s="77">
        <f t="shared" si="352"/>
        <v>0</v>
      </c>
      <c r="N1536" s="43">
        <f t="shared" si="353"/>
        <v>0</v>
      </c>
      <c r="O1536" s="43">
        <f t="shared" si="354"/>
        <v>0</v>
      </c>
      <c r="P1536" s="43">
        <f t="shared" si="348"/>
        <v>25488760</v>
      </c>
      <c r="Q1536" s="100"/>
      <c r="R1536" s="117"/>
    </row>
    <row r="1537" spans="1:18" x14ac:dyDescent="0.25">
      <c r="A1537" s="48" t="str">
        <f t="shared" si="349"/>
        <v>HT</v>
      </c>
      <c r="B1537" s="32" t="s">
        <v>1957</v>
      </c>
      <c r="C1537" s="39" t="s">
        <v>1958</v>
      </c>
      <c r="D1537" s="13" t="s">
        <v>258</v>
      </c>
      <c r="E1537" s="123">
        <v>4</v>
      </c>
      <c r="F1537" s="136"/>
      <c r="G1537" s="125"/>
      <c r="H1537" s="125"/>
      <c r="I1537" s="125">
        <f t="shared" si="350"/>
        <v>4</v>
      </c>
      <c r="J1537" s="62">
        <f>'BIỂU HỢP ĐỒNG'!J1373</f>
        <v>375632</v>
      </c>
      <c r="K1537" s="43"/>
      <c r="L1537" s="62">
        <f t="shared" si="351"/>
        <v>1502528</v>
      </c>
      <c r="M1537" s="77">
        <f t="shared" si="352"/>
        <v>0</v>
      </c>
      <c r="N1537" s="43">
        <f t="shared" si="353"/>
        <v>0</v>
      </c>
      <c r="O1537" s="43">
        <f t="shared" si="354"/>
        <v>0</v>
      </c>
      <c r="P1537" s="43">
        <f t="shared" si="348"/>
        <v>1502528</v>
      </c>
      <c r="Q1537" s="100"/>
      <c r="R1537" s="117"/>
    </row>
    <row r="1538" spans="1:18" x14ac:dyDescent="0.25">
      <c r="A1538" s="48" t="str">
        <f t="shared" si="349"/>
        <v>HT</v>
      </c>
      <c r="B1538" s="32" t="s">
        <v>1959</v>
      </c>
      <c r="C1538" s="39" t="s">
        <v>1960</v>
      </c>
      <c r="D1538" s="13" t="s">
        <v>258</v>
      </c>
      <c r="E1538" s="123">
        <v>4</v>
      </c>
      <c r="F1538" s="136"/>
      <c r="G1538" s="125"/>
      <c r="H1538" s="125"/>
      <c r="I1538" s="125">
        <f t="shared" si="350"/>
        <v>4</v>
      </c>
      <c r="J1538" s="62">
        <f>'BIỂU HỢP ĐỒNG'!J1374</f>
        <v>375632</v>
      </c>
      <c r="K1538" s="43"/>
      <c r="L1538" s="62">
        <f t="shared" si="351"/>
        <v>1502528</v>
      </c>
      <c r="M1538" s="77">
        <f t="shared" si="352"/>
        <v>0</v>
      </c>
      <c r="N1538" s="43">
        <f t="shared" si="353"/>
        <v>0</v>
      </c>
      <c r="O1538" s="43">
        <f t="shared" si="354"/>
        <v>0</v>
      </c>
      <c r="P1538" s="43">
        <f t="shared" si="348"/>
        <v>1502528</v>
      </c>
      <c r="Q1538" s="100"/>
      <c r="R1538" s="117"/>
    </row>
    <row r="1539" spans="1:18" x14ac:dyDescent="0.25">
      <c r="A1539" s="48" t="str">
        <f t="shared" si="349"/>
        <v>HT</v>
      </c>
      <c r="B1539" s="32" t="s">
        <v>1961</v>
      </c>
      <c r="C1539" s="39" t="s">
        <v>1950</v>
      </c>
      <c r="D1539" s="13" t="s">
        <v>258</v>
      </c>
      <c r="E1539" s="123">
        <v>2</v>
      </c>
      <c r="F1539" s="136"/>
      <c r="G1539" s="125"/>
      <c r="H1539" s="125"/>
      <c r="I1539" s="125">
        <f t="shared" si="350"/>
        <v>2</v>
      </c>
      <c r="J1539" s="62">
        <f>'BIỂU HỢP ĐỒNG'!J1375</f>
        <v>1012290</v>
      </c>
      <c r="K1539" s="43"/>
      <c r="L1539" s="62">
        <f t="shared" si="351"/>
        <v>2024580</v>
      </c>
      <c r="M1539" s="77">
        <f t="shared" si="352"/>
        <v>0</v>
      </c>
      <c r="N1539" s="43">
        <f t="shared" si="353"/>
        <v>0</v>
      </c>
      <c r="O1539" s="43">
        <f t="shared" si="354"/>
        <v>0</v>
      </c>
      <c r="P1539" s="43">
        <f t="shared" si="348"/>
        <v>2024580</v>
      </c>
      <c r="Q1539" s="100"/>
      <c r="R1539" s="117"/>
    </row>
    <row r="1540" spans="1:18" x14ac:dyDescent="0.25">
      <c r="A1540" s="48" t="str">
        <f t="shared" si="349"/>
        <v>HT</v>
      </c>
      <c r="B1540" s="32" t="s">
        <v>1962</v>
      </c>
      <c r="C1540" s="39" t="s">
        <v>1963</v>
      </c>
      <c r="D1540" s="13" t="s">
        <v>258</v>
      </c>
      <c r="E1540" s="123">
        <v>12</v>
      </c>
      <c r="F1540" s="136"/>
      <c r="G1540" s="125"/>
      <c r="H1540" s="125"/>
      <c r="I1540" s="125">
        <f t="shared" si="350"/>
        <v>12</v>
      </c>
      <c r="J1540" s="62">
        <f>'BIỂU HỢP ĐỒNG'!J1376</f>
        <v>1434079</v>
      </c>
      <c r="K1540" s="43"/>
      <c r="L1540" s="62">
        <f t="shared" si="351"/>
        <v>17208948</v>
      </c>
      <c r="M1540" s="77">
        <f t="shared" si="352"/>
        <v>0</v>
      </c>
      <c r="N1540" s="43">
        <f t="shared" si="353"/>
        <v>0</v>
      </c>
      <c r="O1540" s="43">
        <f t="shared" si="354"/>
        <v>0</v>
      </c>
      <c r="P1540" s="43">
        <f t="shared" si="348"/>
        <v>17208948</v>
      </c>
      <c r="Q1540" s="100"/>
      <c r="R1540" s="117"/>
    </row>
    <row r="1541" spans="1:18" x14ac:dyDescent="0.25">
      <c r="A1541" s="48" t="str">
        <f t="shared" si="349"/>
        <v>HT</v>
      </c>
      <c r="B1541" s="32" t="s">
        <v>1964</v>
      </c>
      <c r="C1541" s="39" t="s">
        <v>1952</v>
      </c>
      <c r="D1541" s="13" t="s">
        <v>258</v>
      </c>
      <c r="E1541" s="123">
        <v>14</v>
      </c>
      <c r="F1541" s="136"/>
      <c r="G1541" s="125"/>
      <c r="H1541" s="125"/>
      <c r="I1541" s="125">
        <f t="shared" si="350"/>
        <v>14</v>
      </c>
      <c r="J1541" s="62">
        <f>'BIỂU HỢP ĐỒNG'!J1377</f>
        <v>703288</v>
      </c>
      <c r="K1541" s="43"/>
      <c r="L1541" s="62">
        <f t="shared" si="351"/>
        <v>9846032</v>
      </c>
      <c r="M1541" s="77">
        <f t="shared" si="352"/>
        <v>0</v>
      </c>
      <c r="N1541" s="43">
        <f t="shared" si="353"/>
        <v>0</v>
      </c>
      <c r="O1541" s="43">
        <f t="shared" si="354"/>
        <v>0</v>
      </c>
      <c r="P1541" s="43">
        <f t="shared" si="348"/>
        <v>9846032</v>
      </c>
      <c r="Q1541" s="100"/>
      <c r="R1541" s="117"/>
    </row>
    <row r="1542" spans="1:18" x14ac:dyDescent="0.25">
      <c r="A1542" s="48" t="str">
        <f t="shared" si="349"/>
        <v>HT</v>
      </c>
      <c r="B1542" s="32" t="s">
        <v>1965</v>
      </c>
      <c r="C1542" s="39" t="s">
        <v>1966</v>
      </c>
      <c r="D1542" s="13" t="s">
        <v>258</v>
      </c>
      <c r="E1542" s="123">
        <v>8</v>
      </c>
      <c r="F1542" s="136"/>
      <c r="G1542" s="125"/>
      <c r="H1542" s="125"/>
      <c r="I1542" s="125">
        <f t="shared" si="350"/>
        <v>8</v>
      </c>
      <c r="J1542" s="62">
        <f>'BIỂU HỢP ĐỒNG'!J1378</f>
        <v>378508</v>
      </c>
      <c r="K1542" s="43"/>
      <c r="L1542" s="62">
        <f t="shared" si="351"/>
        <v>3028064</v>
      </c>
      <c r="M1542" s="77">
        <f t="shared" si="352"/>
        <v>0</v>
      </c>
      <c r="N1542" s="43">
        <f t="shared" si="353"/>
        <v>0</v>
      </c>
      <c r="O1542" s="43">
        <f t="shared" si="354"/>
        <v>0</v>
      </c>
      <c r="P1542" s="43">
        <f t="shared" si="348"/>
        <v>3028064</v>
      </c>
      <c r="Q1542" s="100"/>
      <c r="R1542" s="117"/>
    </row>
    <row r="1543" spans="1:18" x14ac:dyDescent="0.25">
      <c r="A1543" s="48" t="str">
        <f t="shared" si="349"/>
        <v>HT</v>
      </c>
      <c r="B1543" s="32" t="s">
        <v>1967</v>
      </c>
      <c r="C1543" s="39" t="s">
        <v>1968</v>
      </c>
      <c r="D1543" s="13" t="s">
        <v>258</v>
      </c>
      <c r="E1543" s="123">
        <v>8</v>
      </c>
      <c r="F1543" s="136"/>
      <c r="G1543" s="125"/>
      <c r="H1543" s="125"/>
      <c r="I1543" s="125">
        <f t="shared" si="350"/>
        <v>8</v>
      </c>
      <c r="J1543" s="62">
        <f>'BIỂU HỢP ĐỒNG'!J1379</f>
        <v>2479194</v>
      </c>
      <c r="K1543" s="43"/>
      <c r="L1543" s="62">
        <f t="shared" si="351"/>
        <v>19833552</v>
      </c>
      <c r="M1543" s="77">
        <f t="shared" si="352"/>
        <v>0</v>
      </c>
      <c r="N1543" s="43">
        <f t="shared" si="353"/>
        <v>0</v>
      </c>
      <c r="O1543" s="43">
        <f t="shared" si="354"/>
        <v>0</v>
      </c>
      <c r="P1543" s="43">
        <f t="shared" si="348"/>
        <v>19833552</v>
      </c>
      <c r="Q1543" s="100"/>
      <c r="R1543" s="117"/>
    </row>
    <row r="1544" spans="1:18" x14ac:dyDescent="0.25">
      <c r="A1544" s="48" t="str">
        <f t="shared" si="349"/>
        <v>HT</v>
      </c>
      <c r="B1544" s="29">
        <v>22</v>
      </c>
      <c r="C1544" s="12" t="s">
        <v>1969</v>
      </c>
      <c r="D1544" s="79"/>
      <c r="E1544" s="123"/>
      <c r="F1544" s="136"/>
      <c r="G1544" s="125"/>
      <c r="H1544" s="125"/>
      <c r="I1544" s="125"/>
      <c r="J1544" s="108"/>
      <c r="K1544" s="97"/>
      <c r="L1544" s="62"/>
      <c r="M1544" s="77"/>
      <c r="N1544" s="43"/>
      <c r="O1544" s="43"/>
      <c r="P1544" s="43">
        <f t="shared" si="348"/>
        <v>0</v>
      </c>
      <c r="Q1544" s="100"/>
      <c r="R1544" s="117"/>
    </row>
    <row r="1545" spans="1:19" ht="31.5" customHeight="1" x14ac:dyDescent="0.25">
      <c r="A1545" s="48" t="str">
        <f t="shared" si="349"/>
        <v>HT</v>
      </c>
      <c r="B1545" s="32" t="s">
        <v>1970</v>
      </c>
      <c r="C1545" s="39" t="s">
        <v>1971</v>
      </c>
      <c r="D1545" s="13" t="s">
        <v>1972</v>
      </c>
      <c r="E1545" s="123"/>
      <c r="F1545" s="136"/>
      <c r="G1545" s="125"/>
      <c r="H1545" s="125"/>
      <c r="I1545" s="125"/>
      <c r="J1545" s="112"/>
      <c r="K1545" s="99"/>
      <c r="L1545" s="126">
        <f>'BIỂU HỢP ĐỒNG'!M1381</f>
        <v>232047385.9050037</v>
      </c>
      <c r="M1545" s="138">
        <f>+ROUND(F1545*J1545,0)</f>
        <v>0</v>
      </c>
      <c r="N1545" s="98"/>
      <c r="O1545" s="98"/>
      <c r="P1545" s="43">
        <f t="shared" si="348"/>
        <v>232047385.9050037</v>
      </c>
      <c r="Q1545" s="100"/>
      <c r="R1545" s="117"/>
      <c r="S1545" t="inlineStr">
        <is>
          <t>Bỏ 242.576.117 đ ở cột QĐ 5892: đây là phần bảo hiểm của thành viên TL (đã có ở dòng 692), không thuộc điều chỉnh QĐ 5892</t>
        </is>
      </c>
    </row>
    <row r="1546" spans="1:18" x14ac:dyDescent="0.25">
      <c r="A1546" s="48" t="str">
        <f t="shared" si="349"/>
        <v>HT</v>
      </c>
      <c r="B1546" s="32" t="s">
        <v>1973</v>
      </c>
      <c r="C1546" s="39" t="s">
        <v>1974</v>
      </c>
      <c r="D1546" s="13" t="s">
        <v>1972</v>
      </c>
      <c r="E1546" s="123"/>
      <c r="F1546" s="74"/>
      <c r="G1546" s="125"/>
      <c r="H1546" s="125"/>
      <c r="I1546" s="125"/>
      <c r="J1546" s="112"/>
      <c r="K1546" s="99"/>
      <c r="L1546" s="126">
        <f>'BIỂU HỢP ĐỒNG'!M1382</f>
        <v>295964821</v>
      </c>
      <c r="M1546" s="152">
        <f>+ROUND(F1546*J1546,0)</f>
        <v>0</v>
      </c>
      <c r="N1546" s="98"/>
      <c r="O1546" s="98"/>
      <c r="P1546" s="43">
        <f t="shared" si="348"/>
        <v>295964821</v>
      </c>
      <c r="Q1546" s="100"/>
      <c r="R1546" s="95"/>
    </row>
    <row r="1547" spans="1:19" ht="43.5" customHeight="1" x14ac:dyDescent="0.25">
      <c r="A1547" s="48" t="str">
        <f t="shared" si="349"/>
        <v>HT</v>
      </c>
      <c r="B1547" s="29">
        <v>23</v>
      </c>
      <c r="C1547" s="12" t="s">
        <v>1975</v>
      </c>
      <c r="D1547" s="79" t="s">
        <v>1972</v>
      </c>
      <c r="E1547" s="38"/>
      <c r="F1547" s="153"/>
      <c r="G1547" s="38"/>
      <c r="H1547" s="38"/>
      <c r="I1547" s="38"/>
      <c r="J1547" s="108"/>
      <c r="K1547" s="108"/>
      <c r="L1547" s="108">
        <f>'BIỂU HỢP ĐỒNG'!M1383</f>
        <v>12169736837.565363</v>
      </c>
      <c r="M1547" s="153">
        <v>-1663082511</v>
      </c>
      <c r="N1547" s="109"/>
      <c r="O1547" s="109"/>
      <c r="P1547" s="43">
        <f t="shared" si="348"/>
        <v>10506654326.565363</v>
      </c>
      <c r="Q1547" s="100"/>
      <c r="R1547" s="110"/>
      <c r="S1547" t="inlineStr">
        <is>
          <t>Dự phòng QĐ 5892 lấy theo ô I775 file Bang_GT_phat_sinh_31.12.2024_da_sua (-1.663.082.511 đ, trước là -1.663.083.000 đ)</t>
        </is>
      </c>
    </row>
    <row r="1548" spans="1:18" ht="55.5" customHeight="1" x14ac:dyDescent="0.25">
      <c r="A1548" s="48" t="str">
        <f t="shared" si="349"/>
        <v>HT</v>
      </c>
      <c r="B1548" s="29">
        <v>24</v>
      </c>
      <c r="C1548" s="12" t="s">
        <v>2031</v>
      </c>
      <c r="D1548" s="79"/>
      <c r="E1548" s="38"/>
      <c r="F1548" s="75"/>
      <c r="G1548" s="38"/>
      <c r="H1548" s="38"/>
      <c r="I1548" s="38"/>
      <c r="J1548" s="108"/>
      <c r="K1548" s="108"/>
      <c r="L1548" s="108"/>
      <c r="M1548" s="153"/>
      <c r="N1548" s="109"/>
      <c r="O1548" s="109"/>
      <c r="P1548" s="43">
        <f t="shared" si="348"/>
        <v>0</v>
      </c>
      <c r="Q1548" s="100"/>
      <c r="R1548" s="110"/>
    </row>
    <row r="1549" spans="1:18" ht="55.5" customHeight="1" x14ac:dyDescent="0.25">
      <c r="A1549" s="48" t="str">
        <f t="shared" si="349"/>
        <v>HT</v>
      </c>
      <c r="B1549" s="29">
        <v>25</v>
      </c>
      <c r="C1549" s="12" t="s">
        <v>2375</v>
      </c>
      <c r="D1549" s="79"/>
      <c r="E1549" s="38"/>
      <c r="F1549" s="75"/>
      <c r="G1549" s="38"/>
      <c r="H1549" s="38"/>
      <c r="I1549" s="38"/>
      <c r="J1549" s="108"/>
      <c r="K1549" s="108"/>
      <c r="L1549" s="108"/>
      <c r="M1549" s="153"/>
      <c r="N1549" s="109">
        <v>-826727000</v>
      </c>
      <c r="O1549" s="109"/>
      <c r="P1549" s="43">
        <f t="shared" si="348"/>
        <v>-826727000</v>
      </c>
      <c r="Q1549" s="100"/>
      <c r="R1549" s="110"/>
    </row>
    <row r="1550" spans="1:18" ht="30.75" customHeight="1" x14ac:dyDescent="0.3">
      <c r="A1550" s="48"/>
      <c r="B1550" s="56"/>
      <c r="C1550" s="57"/>
      <c r="D1550" s="56"/>
      <c r="E1550" s="56"/>
      <c r="F1550" s="56"/>
      <c r="G1550" s="56"/>
      <c r="H1550" s="56"/>
      <c r="I1550" s="56"/>
      <c r="J1550" s="154"/>
      <c r="K1550" s="155"/>
      <c r="L1550" s="154">
        <f>L6+L696</f>
        <v>324273209000</v>
      </c>
      <c r="M1550" s="154">
        <f>M6+M696</f>
        <v>203765000</v>
      </c>
      <c r="N1550" s="154">
        <f>N6+N696</f>
        <v>-6002245000</v>
      </c>
      <c r="O1550" s="154">
        <f>O6+O696</f>
        <v>0</v>
      </c>
      <c r="P1550" s="154">
        <f>P6+P696</f>
        <v>318474729000</v>
      </c>
      <c r="Q1550" s="111"/>
      <c r="R1550" s="111"/>
    </row>
    <row r="1551" spans="1:18" ht="6.75" customHeight="1" x14ac:dyDescent="0.2">
      <c r="B1551" s="53"/>
      <c r="C1551" s="54"/>
      <c r="D1551" s="53"/>
      <c r="E1551" s="53"/>
      <c r="F1551" s="53"/>
      <c r="G1551" s="53"/>
      <c r="H1551" s="53"/>
      <c r="I1551" s="53"/>
      <c r="J1551" s="156"/>
      <c r="K1551" s="156"/>
      <c r="L1551" s="55"/>
      <c r="M1551" s="55"/>
      <c r="N1551" s="55"/>
      <c r="O1551" s="55"/>
      <c r="P1551" s="55"/>
      <c r="Q1551" s="113"/>
    </row>
    <row r="1552" spans="1:18" ht="22.5" customHeight="1" x14ac:dyDescent="0.2">
      <c r="B1552" s="161" t="s">
        <v>1992</v>
      </c>
      <c r="C1552" s="173"/>
      <c r="D1552" s="174"/>
      <c r="E1552" s="174"/>
      <c r="F1552" s="164" t="s">
        <v>1993</v>
      </c>
      <c r="G1552" s="175"/>
      <c r="H1552" s="175"/>
      <c r="I1552" s="175"/>
      <c r="J1552" s="176"/>
      <c r="K1552" s="178"/>
      <c r="L1552" s="179"/>
      <c r="M1552" s="180"/>
      <c r="N1552" s="180"/>
      <c r="O1552" s="180"/>
      <c r="P1552" s="180"/>
      <c r="Q1552" s="113"/>
    </row>
    <row r="1553" spans="2:17" ht="33.75" customHeight="1" x14ac:dyDescent="0.2">
      <c r="B1553" s="161" t="s">
        <v>1994</v>
      </c>
      <c r="C1553" s="173"/>
      <c r="D1553" s="174"/>
      <c r="E1553" s="174"/>
      <c r="F1553" s="161" t="s">
        <v>1995</v>
      </c>
      <c r="G1553" s="175"/>
      <c r="H1553" s="175"/>
      <c r="I1553" s="175"/>
      <c r="J1553" s="176"/>
      <c r="K1553" s="80"/>
      <c r="L1553" s="163" t="s">
        <v>1996</v>
      </c>
      <c r="M1553" s="159"/>
      <c r="N1553" s="159"/>
      <c r="O1553" s="159"/>
      <c r="P1553" s="159"/>
      <c r="Q1553" s="113"/>
    </row>
    <row r="1554" spans="2:17" ht="69" customHeight="1" x14ac:dyDescent="0.2">
      <c r="C1554" s="24"/>
      <c r="J1554" s="113"/>
      <c r="K1554" s="113"/>
      <c r="L1554" s="113"/>
      <c r="M1554" s="116"/>
      <c r="N1554" s="116"/>
      <c r="O1554" s="116"/>
      <c r="P1554" s="116"/>
      <c r="Q1554" s="113"/>
    </row>
    <row r="1555" spans="2:17" ht="29.25" customHeight="1" x14ac:dyDescent="0.2">
      <c r="B1555" s="161" t="s">
        <v>1997</v>
      </c>
      <c r="C1555" s="173"/>
      <c r="D1555" s="174"/>
      <c r="E1555" s="174"/>
      <c r="F1555" s="161" t="s">
        <v>1998</v>
      </c>
      <c r="G1555" s="175"/>
      <c r="H1555" s="175"/>
      <c r="I1555" s="175"/>
      <c r="J1555" s="176"/>
      <c r="K1555" s="80"/>
      <c r="L1555" s="163" t="s">
        <v>1999</v>
      </c>
      <c r="M1555" s="159"/>
      <c r="N1555" s="159"/>
      <c r="O1555" s="159"/>
      <c r="P1555" s="159"/>
      <c r="Q1555" s="113"/>
    </row>
    <row r="1556" spans="2:17" ht="29.25" customHeight="1" x14ac:dyDescent="0.2">
      <c r="C1556" s="24"/>
      <c r="J1556" s="113"/>
      <c r="K1556" s="113"/>
      <c r="L1556" s="113"/>
      <c r="M1556" s="116"/>
      <c r="N1556" s="116"/>
      <c r="O1556" s="116"/>
      <c r="P1556" s="116"/>
      <c r="Q1556" s="113"/>
    </row>
    <row r="1557" spans="2:17" ht="29.25" customHeight="1" x14ac:dyDescent="0.2">
      <c r="C1557" s="24"/>
      <c r="J1557" s="113"/>
      <c r="K1557" s="113"/>
      <c r="L1557" s="113"/>
      <c r="M1557" s="116"/>
      <c r="N1557" s="116"/>
      <c r="O1557" s="116"/>
      <c r="P1557" s="116"/>
      <c r="Q1557" s="113"/>
    </row>
    <row r="1558" spans="2:17" ht="29.25" customHeight="1" x14ac:dyDescent="0.2">
      <c r="C1558" s="24"/>
      <c r="J1558" s="113"/>
      <c r="K1558" s="113"/>
      <c r="L1558" s="113"/>
      <c r="M1558" s="116"/>
      <c r="N1558" s="116"/>
      <c r="O1558" s="116"/>
      <c r="P1558" s="116"/>
      <c r="Q1558" s="113"/>
    </row>
    <row r="1559" spans="2:17" ht="29.25" customHeight="1" x14ac:dyDescent="0.2">
      <c r="C1559" s="24"/>
      <c r="J1559" s="113"/>
      <c r="K1559" s="113"/>
      <c r="L1559" s="113"/>
      <c r="M1559" s="116"/>
      <c r="N1559" s="116"/>
      <c r="O1559" s="116"/>
      <c r="P1559" s="116"/>
      <c r="Q1559" s="113"/>
    </row>
    <row r="1560" spans="2:17" ht="29.25" customHeight="1" x14ac:dyDescent="0.2">
      <c r="C1560" s="24"/>
      <c r="J1560" s="113"/>
      <c r="K1560" s="113"/>
      <c r="L1560" s="113"/>
      <c r="M1560" s="116"/>
      <c r="N1560" s="116"/>
      <c r="O1560" s="116"/>
      <c r="P1560" s="116"/>
      <c r="Q1560" s="113"/>
    </row>
    <row r="1561" spans="2:17" ht="29.25" customHeight="1" x14ac:dyDescent="0.2">
      <c r="C1561" s="24"/>
      <c r="J1561" s="113"/>
      <c r="K1561" s="113"/>
      <c r="L1561" s="113"/>
      <c r="M1561" s="116"/>
      <c r="N1561" s="116"/>
      <c r="O1561" s="116"/>
      <c r="P1561" s="116"/>
      <c r="Q1561" s="113"/>
    </row>
    <row r="1562" spans="2:17" ht="29.25" customHeight="1" x14ac:dyDescent="0.2">
      <c r="C1562" s="24"/>
      <c r="J1562" s="113"/>
      <c r="K1562" s="113"/>
      <c r="L1562" s="113"/>
      <c r="M1562" s="116"/>
      <c r="N1562" s="116"/>
      <c r="O1562" s="116"/>
      <c r="P1562" s="116"/>
      <c r="Q1562" s="113"/>
    </row>
    <row r="1563" spans="2:17" ht="29.25" customHeight="1" x14ac:dyDescent="0.2">
      <c r="C1563" s="24"/>
      <c r="J1563" s="113"/>
      <c r="K1563" s="113"/>
      <c r="L1563" s="113"/>
      <c r="M1563" s="116"/>
      <c r="N1563" s="116"/>
      <c r="O1563" s="116"/>
      <c r="P1563" s="116"/>
      <c r="Q1563" s="113"/>
    </row>
    <row r="1564" spans="2:17" ht="29.25" customHeight="1" x14ac:dyDescent="0.2">
      <c r="C1564" s="24"/>
      <c r="J1564" s="113"/>
      <c r="K1564" s="113"/>
      <c r="L1564" s="113"/>
      <c r="M1564" s="116"/>
      <c r="N1564" s="116"/>
      <c r="O1564" s="116"/>
      <c r="P1564" s="116"/>
      <c r="Q1564" s="113"/>
    </row>
    <row r="1565" spans="2:17" ht="29.25" customHeight="1" x14ac:dyDescent="0.2">
      <c r="C1565" s="24"/>
      <c r="J1565" s="113"/>
      <c r="K1565" s="113"/>
      <c r="L1565" s="113"/>
      <c r="M1565" s="116"/>
      <c r="N1565" s="116"/>
      <c r="O1565" s="116"/>
      <c r="P1565" s="116"/>
      <c r="Q1565" s="113"/>
    </row>
    <row r="1566" spans="2:17" ht="29.25" customHeight="1" x14ac:dyDescent="0.2">
      <c r="C1566" s="24"/>
      <c r="J1566" s="113"/>
      <c r="K1566" s="113"/>
      <c r="L1566" s="113"/>
      <c r="M1566" s="116"/>
      <c r="N1566" s="116"/>
      <c r="O1566" s="116"/>
      <c r="P1566" s="116"/>
      <c r="Q1566" s="113"/>
    </row>
    <row r="1567" spans="2:17" ht="29.25" customHeight="1" x14ac:dyDescent="0.2">
      <c r="C1567" s="24"/>
      <c r="J1567" s="113"/>
      <c r="K1567" s="113"/>
      <c r="L1567" s="113"/>
      <c r="M1567" s="116"/>
      <c r="N1567" s="116"/>
      <c r="O1567" s="116"/>
      <c r="P1567" s="116"/>
      <c r="Q1567" s="113"/>
    </row>
    <row r="1568" spans="2:17" ht="29.25" customHeight="1" x14ac:dyDescent="0.2">
      <c r="C1568" s="24"/>
      <c r="J1568" s="113"/>
      <c r="K1568" s="113"/>
      <c r="L1568" s="113"/>
      <c r="M1568" s="116"/>
      <c r="N1568" s="116"/>
      <c r="O1568" s="116"/>
      <c r="P1568" s="116"/>
      <c r="Q1568" s="113"/>
    </row>
    <row r="1569" spans="12:18" x14ac:dyDescent="0.2">
      <c r="L1569" s="119">
        <v>324304704420.98102</v>
      </c>
      <c r="M1569" s="95">
        <f>+L1550*40%</f>
        <v>129709283600</v>
      </c>
      <c r="N1569" s="95"/>
      <c r="O1569" s="95"/>
      <c r="P1569" s="95"/>
      <c r="Q1569" s="95"/>
      <c r="R1569" s="117"/>
    </row>
    <row r="1570" spans="12:18" x14ac:dyDescent="0.25">
      <c r="L1570" s="157"/>
      <c r="M1570" s="118">
        <f>+M1550*30%</f>
        <v>61129500</v>
      </c>
      <c r="N1570" s="118"/>
      <c r="O1570" s="118"/>
      <c r="P1570" s="118"/>
      <c r="Q1570" s="118"/>
    </row>
    <row r="1571" spans="12:18" x14ac:dyDescent="0.25">
      <c r="L1571" s="157">
        <f>+ROUND(L1545+L1546,-3)</f>
        <v>528012000</v>
      </c>
      <c r="M1571" s="118">
        <f>+ROUND(M1545+M1546,-3)</f>
        <v>0</v>
      </c>
      <c r="N1571" s="118"/>
      <c r="O1571" s="118"/>
      <c r="P1571" s="118">
        <f>+ROUND(P1545+P1546,-3)</f>
        <v>528012000</v>
      </c>
      <c r="Q1571" s="118"/>
    </row>
    <row r="1572" spans="12:18" x14ac:dyDescent="0.25">
      <c r="L1572" s="157">
        <f>+ROUND(L1547,-3)</f>
        <v>12169737000</v>
      </c>
      <c r="M1572" s="118">
        <f>+ROUND(M1547,-3)</f>
        <v>-1663083000</v>
      </c>
      <c r="N1572" s="118"/>
      <c r="O1572" s="118"/>
      <c r="P1572" s="118">
        <f>+ROUND(P1547,-3)</f>
        <v>10506654000</v>
      </c>
      <c r="Q1572" s="118"/>
      <c r="R1572" s="27"/>
    </row>
    <row r="1573" spans="12:18" x14ac:dyDescent="0.25">
      <c r="L1573" s="157">
        <f>+L1550-L1571-L1572</f>
        <v>311575460000</v>
      </c>
      <c r="M1573" s="118">
        <f>+M1550-M1571-M1572</f>
        <v>1866848000</v>
      </c>
      <c r="N1573" s="118"/>
      <c r="O1573" s="118"/>
      <c r="P1573" s="118">
        <f>+P1550-P1571-P1572</f>
        <v>307440063000</v>
      </c>
      <c r="Q1573" s="118"/>
      <c r="R1573" s="27"/>
    </row>
    <row r="1574" spans="12:18" x14ac:dyDescent="0.25">
      <c r="L1574" s="157"/>
      <c r="M1574" s="118"/>
      <c r="N1574" s="118"/>
      <c r="O1574" s="118"/>
      <c r="P1574" s="118"/>
      <c r="Q1574" s="118"/>
    </row>
  </sheetData>
  <autoFilter ref="A5:R1550"/>
  <mergeCells count="15">
    <mergeCell ref="B1555:E1555"/>
    <mergeCell ref="L1553:P1553"/>
    <mergeCell ref="C4:C5"/>
    <mergeCell ref="B1553:E1553"/>
    <mergeCell ref="B1:P3"/>
    <mergeCell ref="F1553:J1553"/>
    <mergeCell ref="E4:I4"/>
    <mergeCell ref="B4:B5"/>
    <mergeCell ref="B1552:E1552"/>
    <mergeCell ref="D4:D5"/>
    <mergeCell ref="L4:P4"/>
    <mergeCell ref="J4:K4"/>
    <mergeCell ref="F1552:P1552"/>
    <mergeCell ref="F1555:J1555"/>
    <mergeCell ref="L1555:P1555"/>
  </mergeCells>
  <pageMargins left="0.32" right="0.19" top="0.69" bottom="0.54" header="0.3" footer="0.3"/>
  <pageSetup paperSize="9" scale="82" orientation="landscape"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Mẫu số 11C. Bảng tổng hợp giá d</vt:lpstr>
      <vt:lpstr>BIỂU HỢP ĐỒNG</vt:lpstr>
      <vt:lpstr>PLHĐ PS</vt:lpstr>
      <vt:lpstr>Sheet1</vt:lpstr>
      <vt:lpstr>'BIỂU HỢP ĐỒNG'!Print_Area</vt:lpstr>
      <vt:lpstr>'PLHĐ PS'!Print_Area</vt:lpstr>
      <vt:lpstr>'BIỂU HỢP ĐỒNG'!Print_Titles</vt:lpstr>
      <vt:lpstr>'PLHĐ PS'!Print_Titles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2023-04-10T08:21:20Z</dcterms:created>
  <dcterms:modified xsi:type="dcterms:W3CDTF">2026-10-13T07:37:36Z</dcterms:modified>
</cp:coreProperties>
</file>