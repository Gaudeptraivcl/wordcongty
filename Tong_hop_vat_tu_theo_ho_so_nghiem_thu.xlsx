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ng hop vat tu" sheetId="1" state="visible" r:id="rId3"/>
    <sheet name="Duc cau kien" sheetId="2" state="visible" r:id="rId4"/>
    <sheet name="Quy doi vat tu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" authorId="0">
      <text>
        <r>
          <rPr>
            <sz val="10"/>
            <rFont val="Arial"/>
            <family val="2"/>
          </rPr>
          <t xml:space="preserve">Ván khuôn/ck suy ra theo bình phương tối thiểu từ cột 'Diện tích ván khuôn' của danh mục (sai số lớn nhất 0,006 m²/đợt).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7" authorId="0">
      <text>
        <r>
          <rPr>
            <sz val="10"/>
            <rFont val="Arial"/>
            <family val="2"/>
          </rPr>
          <t xml:space="preserve">Nguồn: DANH_MUC_NGHIEM_THU_KE_K2A_C16-C2.xlsx (tổng 14 đoạn)</t>
        </r>
      </text>
    </comment>
    <comment ref="D18" authorId="0">
      <text>
        <r>
          <rPr>
            <sz val="10"/>
            <rFont val="Arial"/>
            <family val="2"/>
          </rPr>
          <t xml:space="preserve">Nguồn: DANH_MUC_NGHIEM_THU_KE_K2A_C16-C2.xlsx (tổng 14 đoạn)</t>
        </r>
      </text>
    </comment>
    <comment ref="D19" authorId="0">
      <text>
        <r>
          <rPr>
            <sz val="10"/>
            <rFont val="Arial"/>
            <family val="2"/>
          </rPr>
          <t xml:space="preserve">Nguồn: DANH_MUC_NGHIEM_THU_KE_K2A_C16-C2.xlsx (tổng 14 đoạn)</t>
        </r>
      </text>
    </comment>
    <comment ref="D20" authorId="0">
      <text>
        <r>
          <rPr>
            <sz val="10"/>
            <rFont val="Arial"/>
            <family val="2"/>
          </rPr>
          <t xml:space="preserve">Nguồn: DANH_MUC_NGHIEM_THU_KE_K2A_C16-C2.xlsx (tổng 14 đoạn)</t>
        </r>
      </text>
    </comment>
    <comment ref="D21" authorId="0">
      <text>
        <r>
          <rPr>
            <sz val="10"/>
            <rFont val="Arial"/>
            <family val="2"/>
          </rPr>
          <t xml:space="preserve">Nguồn: DANH_MUC_NGHIEM_THU_KE_K2A_C16-C2.xlsx (tổng 14 đoạn)</t>
        </r>
      </text>
    </comment>
    <comment ref="D22" authorId="0">
      <text>
        <r>
          <rPr>
            <sz val="10"/>
            <rFont val="Arial"/>
            <family val="2"/>
          </rPr>
          <t xml:space="preserve">Nguồn: DANH_MUC_NGHIEM_THU_KE_K2A_C16-C2.xlsx (tổng 14 đoạn)</t>
        </r>
      </text>
    </comment>
    <comment ref="D23" authorId="0">
      <text>
        <r>
          <rPr>
            <sz val="10"/>
            <rFont val="Arial"/>
            <family val="2"/>
          </rPr>
          <t xml:space="preserve">Nguồn: DANH_MUC_HO_SO_NGHIEM_THU_K2A_DOT2 (cao trình 1,78).xlsx – cột Khối lượng TK toàn đoạn (21 đoạn)</t>
        </r>
      </text>
    </comment>
    <comment ref="D24" authorId="0">
      <text>
        <r>
          <rPr>
            <sz val="10"/>
            <rFont val="Arial"/>
            <family val="2"/>
          </rPr>
          <t xml:space="preserve">Nguồn: DANH_MUC_HO_SO_NGHIEM_THU_K2A_DOT2 (cao trình 1,78).xlsx – cột Khối lượng TK toàn đoạn (21 đoạn)</t>
        </r>
      </text>
    </comment>
    <comment ref="D25" authorId="0">
      <text>
        <r>
          <rPr>
            <sz val="10"/>
            <rFont val="Arial"/>
            <family val="2"/>
          </rPr>
          <t xml:space="preserve">Nguồn: DANH_MUC_HO_SO_NGHIEM_THU_K2A_DOT2 (cao trình 1,78).xlsx – cột Khối lượng TK toàn đoạn (21 đoạn)</t>
        </r>
      </text>
    </comment>
    <comment ref="D26" authorId="0">
      <text>
        <r>
          <rPr>
            <sz val="10"/>
            <rFont val="Arial"/>
            <family val="2"/>
          </rPr>
          <t xml:space="preserve">Nguồn: DANH_MUC_HO_SO_NGHIEM_THU_K2A_DOT2 (cao trình 1,78).xlsx – cột Khối lượng TK toàn đoạn (21 đoạn)</t>
        </r>
      </text>
    </comment>
    <comment ref="D27" authorId="0">
      <text>
        <r>
          <rPr>
            <sz val="10"/>
            <rFont val="Arial"/>
            <family val="2"/>
          </rPr>
          <t xml:space="preserve">Nguồn: DANH_MUC_HO_SO_NGHIEM_THU_K2A_DOT2 (cao trình 1,78).xlsx – cột Khối lượng TK toàn đoạn (21 đoạn)</t>
        </r>
      </text>
    </comment>
    <comment ref="D28" authorId="0">
      <text>
        <r>
          <rPr>
            <sz val="10"/>
            <rFont val="Arial"/>
            <family val="2"/>
          </rPr>
          <t xml:space="preserve">Nguồn: người dùng cung cấp</t>
        </r>
      </text>
    </comment>
  </commentList>
</comments>
</file>

<file path=xl/sharedStrings.xml><?xml version="1.0" encoding="utf-8"?>
<sst xmlns="http://schemas.openxmlformats.org/spreadsheetml/2006/main" count="287" uniqueCount="168">
  <si>
    <t xml:space="preserve">BẢNG TỔNG HỢP VẬT TƯ THEO HỒ SƠ NGHIỆM THU</t>
  </si>
  <si>
    <t xml:space="preserve">Dự án: Xử lý khẩn cấp kè biển khu du lịch Hải Tiến, xã Hoằng Tiến</t>
  </si>
  <si>
    <t xml:space="preserve">Kè bờ K2A (đợt 1 chân khay C16÷C2, đợt 2 đến +1,78 m), đúc cấu kiện bê tông và ống địa kỹ thuật (13.000 md)</t>
  </si>
  <si>
    <t xml:space="preserve">STT</t>
  </si>
  <si>
    <t xml:space="preserve">Tên vật tư</t>
  </si>
  <si>
    <t xml:space="preserve">Đơn vị</t>
  </si>
  <si>
    <t xml:space="preserve">Đúc cấu kiện</t>
  </si>
  <si>
    <t xml:space="preserve">K2A đợt 1 (C16÷C2)</t>
  </si>
  <si>
    <t xml:space="preserve">K2A đợt 2 (đến +1,78)</t>
  </si>
  <si>
    <t xml:space="preserve">Ống địa kỹ thuật</t>
  </si>
  <si>
    <t xml:space="preserve">Tổng cộng</t>
  </si>
  <si>
    <t xml:space="preserve">Xi măng PCB40 rời/bền sunfat type II</t>
  </si>
  <si>
    <t xml:space="preserve">kg</t>
  </si>
  <si>
    <t xml:space="preserve">Cát vàng</t>
  </si>
  <si>
    <t xml:space="preserve">m3</t>
  </si>
  <si>
    <t xml:space="preserve">Đá 2x4</t>
  </si>
  <si>
    <t xml:space="preserve">Nước</t>
  </si>
  <si>
    <t xml:space="preserve">lít</t>
  </si>
  <si>
    <t xml:space="preserve">Phụ gia R7</t>
  </si>
  <si>
    <t xml:space="preserve">Thép tròn Fi ≤18mm</t>
  </si>
  <si>
    <t xml:space="preserve">Thép tấm</t>
  </si>
  <si>
    <t xml:space="preserve">Thép hình</t>
  </si>
  <si>
    <t xml:space="preserve">Que hàn</t>
  </si>
  <si>
    <t xml:space="preserve">Dây thép</t>
  </si>
  <si>
    <t xml:space="preserve">Cát đắp</t>
  </si>
  <si>
    <t xml:space="preserve">Vải địa kỹ thuật</t>
  </si>
  <si>
    <t xml:space="preserve">m2</t>
  </si>
  <si>
    <t xml:space="preserve">Đá 4x6</t>
  </si>
  <si>
    <t xml:space="preserve">Đá hộc hỗn hợp</t>
  </si>
  <si>
    <t xml:space="preserve">Đá hộc 100-200kg</t>
  </si>
  <si>
    <t xml:space="preserve">Ống địa kỹ thuật GREENTUBE H=3m</t>
  </si>
  <si>
    <t xml:space="preserve">m</t>
  </si>
  <si>
    <t xml:space="preserve">Cọc định vị</t>
  </si>
  <si>
    <t xml:space="preserve">Ghi chú:</t>
  </si>
  <si>
    <t xml:space="preserve">1. Vật tư = Khối lượng nghiệm thu × Định mức hao phí vật liệu trong dự toán (hạng mục Kè bờ tuyến 2A). Chi tiết từng công việc ở sheet 'Quy doi vat tu'.</t>
  </si>
  <si>
    <t xml:space="preserve">2. Đúc cấu kiện: lấy các hồ sơ 'Theo dõi đổ bê tông M300'; hồ sơ trùng số/trùng đợt chỉ tính 1 lần (xem cột Ghi chú sheet 'Duc cau kien').</t>
  </si>
  <si>
    <t xml:space="preserve">3. K2A đợt 1: tổng 14 đoạn C16÷C2 theo danh mục. Khối chặn chân lắp đặt (540 ck) đã được tính vật tư ở phần đúc cấu kiện nên không cộng lại.</t>
  </si>
  <si>
    <t xml:space="preserve">4. K2A đợt 2: khối lượng thiết kế toàn đoạn (21 đoạn C1÷C22) như ghi trong danh mục; khối lát kè cũ tận dụng không phát sinh vật tư mới.</t>
  </si>
  <si>
    <t xml:space="preserve">5. Ống địa kỹ thuật: 13.000 md theo số liệu người dùng cung cấp (danh mục hồ sơ không có công việc này).</t>
  </si>
  <si>
    <t xml:space="preserve">6. Cát đắp: dự toán không có định mức vật liệu riêng cho cát đắp nên lấy bằng khối lượng nghiệm thu.</t>
  </si>
  <si>
    <t xml:space="preserve">KHỐI LƯỢNG ĐÚC CẤU KIỆN BÊ TÔNG M300 THEO HỒ SƠ (đã loại hồ sơ trùng)</t>
  </si>
  <si>
    <t xml:space="preserve">Nguồn: DANH_MUC_NGHIEM_THU_CAU_KIEN_DUC_SAN.xlsx – các hồ sơ 'Theo dõi đổ bê tông M300'</t>
  </si>
  <si>
    <t xml:space="preserve">Thông số 1 cấu kiện (suy ra từ danh mục, khớp 100% các dòng):</t>
  </si>
  <si>
    <t xml:space="preserve">Loại cấu kiện</t>
  </si>
  <si>
    <t xml:space="preserve">BT M300 (m³/ck)</t>
  </si>
  <si>
    <t xml:space="preserve">Ván khuôn (m²/ck)</t>
  </si>
  <si>
    <t xml:space="preserve">Thép móc cẩu (kg/ck)</t>
  </si>
  <si>
    <t xml:space="preserve">Khối bậc thang 2T</t>
  </si>
  <si>
    <t xml:space="preserve">Khối chặn chân 1,5x1,5x0,5m</t>
  </si>
  <si>
    <t xml:space="preserve">Khối vai kè loại 1</t>
  </si>
  <si>
    <t xml:space="preserve">Khối vai kè loại 2</t>
  </si>
  <si>
    <t xml:space="preserve">STT hồ sơ</t>
  </si>
  <si>
    <t xml:space="preserve">Số BBNT đổ BT</t>
  </si>
  <si>
    <t xml:space="preserve">Ngày</t>
  </si>
  <si>
    <t xml:space="preserve">Đợt bậc thang</t>
  </si>
  <si>
    <t xml:space="preserve">SL bậc thang (ck)</t>
  </si>
  <si>
    <t xml:space="preserve">Đợt chặn chân</t>
  </si>
  <si>
    <t xml:space="preserve">SL chặn chân (ck)</t>
  </si>
  <si>
    <t xml:space="preserve">Đợt vai kè</t>
  </si>
  <si>
    <t xml:space="preserve">SL vai kè 1 (ck)</t>
  </si>
  <si>
    <t xml:space="preserve">SL vai kè 2 (ck)</t>
  </si>
  <si>
    <t xml:space="preserve">BT M300 (m³)</t>
  </si>
  <si>
    <t xml:space="preserve">Ván khuôn (m²)</t>
  </si>
  <si>
    <t xml:space="preserve">Thép móc cẩu (kg)</t>
  </si>
  <si>
    <t xml:space="preserve">Ghi chú</t>
  </si>
  <si>
    <t xml:space="preserve">04/BBNT/BT M300, đá 2x4</t>
  </si>
  <si>
    <t xml:space="preserve">08/BBNT/BT M300, đá 2x4</t>
  </si>
  <si>
    <t xml:space="preserve">12/BBNT/BT M300, đá 2x4</t>
  </si>
  <si>
    <t xml:space="preserve">16/BBNT/BT M300, đá 2x4</t>
  </si>
  <si>
    <t xml:space="preserve">20/BBNT/BT M300, đá 2x4</t>
  </si>
  <si>
    <t xml:space="preserve">24/BBNT/BT M300, đá 2x4</t>
  </si>
  <si>
    <t xml:space="preserve">28/BBNT/BT M300, đá 2x4</t>
  </si>
  <si>
    <t xml:space="preserve">32/BBNT/BT M300, đá 2x4</t>
  </si>
  <si>
    <t xml:space="preserve">36/BBNT/BT M300, đá 2x4</t>
  </si>
  <si>
    <t xml:space="preserve">40/BBNT/BT M300, đá 2x4</t>
  </si>
  <si>
    <t xml:space="preserve">44/BBNT/BT M300, đá 2x4</t>
  </si>
  <si>
    <t xml:space="preserve">48/BBNT/BT M300, đá 2x4</t>
  </si>
  <si>
    <t xml:space="preserve">52/BBNT/BT M300, đá 2x4</t>
  </si>
  <si>
    <t xml:space="preserve">56/BBNT/BT M300, đá 2x4</t>
  </si>
  <si>
    <t xml:space="preserve">60/BBNT/BT M300, đá 2x4</t>
  </si>
  <si>
    <t xml:space="preserve">64/BBNT/BT M300, đá 2x4</t>
  </si>
  <si>
    <t xml:space="preserve">68/BBNT/BT M300, đá 2x4</t>
  </si>
  <si>
    <t xml:space="preserve">72/BBNT/BT M300, đá 2x4</t>
  </si>
  <si>
    <t xml:space="preserve">76/BBNT/BT M300, đá 2x4</t>
  </si>
  <si>
    <t xml:space="preserve">80/BBNT/BT M300, đá 2x4</t>
  </si>
  <si>
    <t xml:space="preserve">Bậc thang đợt 20 đã tính ở hồ sơ trước; Chặn chân đợt 20 đã tính ở hồ sơ trước</t>
  </si>
  <si>
    <t xml:space="preserve">88/BBNT/BT M300, đá 2x4</t>
  </si>
  <si>
    <t xml:space="preserve">96/BBNT/BT M300, đá 2x4</t>
  </si>
  <si>
    <t xml:space="preserve">100/BBNT/BT M300, đá 2x4</t>
  </si>
  <si>
    <t xml:space="preserve">104/BBNT/BT M300, đá 2x4</t>
  </si>
  <si>
    <t xml:space="preserve">108/BBNT/BT M300, đá 2x4</t>
  </si>
  <si>
    <t xml:space="preserve">112/BBNT/BT M300, đá 2x4</t>
  </si>
  <si>
    <t xml:space="preserve">116/BBNT/BT M300, đá 2x4</t>
  </si>
  <si>
    <t xml:space="preserve">120/BBNT/BT M300, đá 2x4</t>
  </si>
  <si>
    <t xml:space="preserve">124/BBNT/BT M300, đá 2x4</t>
  </si>
  <si>
    <t xml:space="preserve">Bậc thang đợt 29 đã tính ở hồ sơ trước; Chặn chân đợt 29 đã tính ở hồ sơ trước</t>
  </si>
  <si>
    <t xml:space="preserve">128/BBNT/BT M300, đá 2x4</t>
  </si>
  <si>
    <t xml:space="preserve">Bậc thang đợt 30 đã tính ở hồ sơ trước; Chặn chân đợt 30 đã tính ở hồ sơ trước</t>
  </si>
  <si>
    <t xml:space="preserve">136/BBNT/BT M300, đá 2x4</t>
  </si>
  <si>
    <t xml:space="preserve">140/BBNT/BT M300, đá 2x4</t>
  </si>
  <si>
    <t xml:space="preserve">144/BBNT/BT M300, đá 2x4</t>
  </si>
  <si>
    <t xml:space="preserve">148/BBNT/BT M300, đá 2x4</t>
  </si>
  <si>
    <t xml:space="preserve">152/BBNT/BT M300, đá 2x4</t>
  </si>
  <si>
    <t xml:space="preserve">156/BBNT/BT M300, đá 2x4</t>
  </si>
  <si>
    <t xml:space="preserve">160/BBNT/BT M300, đá 2x4</t>
  </si>
  <si>
    <t xml:space="preserve">164/BBNT/BT M300, đá 2x4</t>
  </si>
  <si>
    <t xml:space="preserve">168/BBNT/BT M300, đá 2x4</t>
  </si>
  <si>
    <t xml:space="preserve">172/BBNT/BT M300, đá 2x4</t>
  </si>
  <si>
    <t xml:space="preserve">Bậc thang đợt 38 đã tính ở hồ sơ trước; Chặn chân đợt 38 đã tính ở hồ sơ trước</t>
  </si>
  <si>
    <t xml:space="preserve">176/BBNT/BT M300, đá 2x4</t>
  </si>
  <si>
    <t xml:space="preserve">Bậc thang đợt 39 đã tính ở hồ sơ trước; Chặn chân đợt 39 đã tính ở hồ sơ trước</t>
  </si>
  <si>
    <t xml:space="preserve">180/BBNT/BT M300, đá 2x4</t>
  </si>
  <si>
    <t xml:space="preserve">184/BBNT/BT M300, đá 2x4</t>
  </si>
  <si>
    <t xml:space="preserve">188/BBNT/BT M300, đá 2x4</t>
  </si>
  <si>
    <t xml:space="preserve">192BBNT/BT M300, đá 2x4</t>
  </si>
  <si>
    <t xml:space="preserve">196/BBNT/BT M300, đá 2x4</t>
  </si>
  <si>
    <t xml:space="preserve">200/BBNT/BT M300, đá 2x4</t>
  </si>
  <si>
    <t xml:space="preserve">Bậc thang đợt 45 đã tính ở hồ sơ trước; Chặn chân đợt 45 đã tính ở hồ sơ trước; Vai kè đợt 14 đã tính</t>
  </si>
  <si>
    <t xml:space="preserve">208/BBNT/BT M300, đá 2x4</t>
  </si>
  <si>
    <t xml:space="preserve">212/BBNT/BT M300, đá 2x4</t>
  </si>
  <si>
    <t xml:space="preserve">216/BBNT/BT M300, đá 2x4</t>
  </si>
  <si>
    <t xml:space="preserve">220/BBNT/BT M300, đá 2x4</t>
  </si>
  <si>
    <t xml:space="preserve">224/BBNT/BT M300, đá 2x4</t>
  </si>
  <si>
    <t xml:space="preserve">CỘNG (không trùng)</t>
  </si>
  <si>
    <t xml:space="preserve">KHỐI LƯỢNG THI CÔNG THEO HỒ SƠ NGHIỆM THU VÀ QUY ĐỔI VẬT TƯ</t>
  </si>
  <si>
    <t xml:space="preserve">Định mức hao phí vật liệu lấy theo file Du_toan_Hoang_Tien_26.08.2026_TAC.xlsx – sheet 'Hao phí VT', hạng mục Kè bờ tuyến 2A</t>
  </si>
  <si>
    <t xml:space="preserve">Nguồn hồ sơ</t>
  </si>
  <si>
    <t xml:space="preserve">Công việc nghiệm thu</t>
  </si>
  <si>
    <t xml:space="preserve">Khối lượng nghiệm thu</t>
  </si>
  <si>
    <t xml:space="preserve">Mã định mức</t>
  </si>
  <si>
    <t xml:space="preserve">Vật tư</t>
  </si>
  <si>
    <t xml:space="preserve">Đơn vị VT</t>
  </si>
  <si>
    <t xml:space="preserve">Định mức</t>
  </si>
  <si>
    <t xml:space="preserve">Đơn vị ĐM tính trên</t>
  </si>
  <si>
    <t xml:space="preserve">Khối lượng vật tư</t>
  </si>
  <si>
    <t xml:space="preserve">Bê tông M300 đá 2x4 cấu kiện đúc sẵn (bậc thang, chặn chân, vai kè)</t>
  </si>
  <si>
    <t xml:space="preserve">AG.11924</t>
  </si>
  <si>
    <t xml:space="preserve">KL lấy từ sheet 'Duc cau kien' (đã loại trùng)</t>
  </si>
  <si>
    <t xml:space="preserve">Ván khuôn cấu kiện đúc sẵn</t>
  </si>
  <si>
    <t xml:space="preserve">AG.32211</t>
  </si>
  <si>
    <t xml:space="preserve">Định mức tính trên 100 m²</t>
  </si>
  <si>
    <t xml:space="preserve">Thép móc cẩu khối bậc thang</t>
  </si>
  <si>
    <t xml:space="preserve">AG.13720</t>
  </si>
  <si>
    <t xml:space="preserve">Định mức tính trên 1 tấn</t>
  </si>
  <si>
    <t xml:space="preserve">Đào hố móng chân khay</t>
  </si>
  <si>
    <t xml:space="preserve">Không phát sinh vật tư</t>
  </si>
  <si>
    <t xml:space="preserve">Trải vải địa kỹ thuật chân khay (rộng 7,5 m)</t>
  </si>
  <si>
    <t xml:space="preserve">AL.16121</t>
  </si>
  <si>
    <t xml:space="preserve">Rải đá dăm 4x6 cm dày 20 cm chân khay</t>
  </si>
  <si>
    <t xml:space="preserve">TLB.21311</t>
  </si>
  <si>
    <t xml:space="preserve">Đá hộc 100÷200 kg lớp dưới khối chặn chân</t>
  </si>
  <si>
    <t xml:space="preserve">AB.55313vd</t>
  </si>
  <si>
    <t xml:space="preserve">Đá hộc 100÷200 kg thềm chống xói</t>
  </si>
  <si>
    <t xml:space="preserve">Lắp đặt khối bê tông chặn chân 1,5x1,5x0,5 m</t>
  </si>
  <si>
    <t xml:space="preserve">ck</t>
  </si>
  <si>
    <t xml:space="preserve">AG.61110</t>
  </si>
  <si>
    <t xml:space="preserve">Khối đã đúc – vật tư tính ở phần Đúc cấu kiện</t>
  </si>
  <si>
    <t xml:space="preserve">Đào thanh thải mái kè, ống buy, bậc lên xuống hiện trạng</t>
  </si>
  <si>
    <t xml:space="preserve">Đắp cát hố móng chân kè cũ đến cao trình +0,70 m</t>
  </si>
  <si>
    <t xml:space="preserve">AB.24131</t>
  </si>
  <si>
    <t xml:space="preserve">Dự toán không có định mức vật liệu cho cát đắp – lấy bằng KL nghiệm thu</t>
  </si>
  <si>
    <t xml:space="preserve">Trải vải địa kỹ thuật không dệt trên mặt cát đắp</t>
  </si>
  <si>
    <t xml:space="preserve">Rải đá dăm 4x6 cm dày 20 cm</t>
  </si>
  <si>
    <t xml:space="preserve">Đá hộc hỗn hợp (đá lõi) đến cao trình +1,78 m</t>
  </si>
  <si>
    <t xml:space="preserve">AB.55311vd</t>
  </si>
  <si>
    <t xml:space="preserve">Cung cấp, thi công ống địa kỹ thuật (Geotube)</t>
  </si>
  <si>
    <t xml:space="preserve">TT</t>
  </si>
  <si>
    <t xml:space="preserve">KL do người dùng cung cấp: thi công được 13.000 md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</si>
</sst>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0;\-#,##0.000;\-"/>
    <numFmt numFmtId="166" formatCode="0.000"/>
    <numFmt numFmtId="167" formatCode="0.00"/>
    <numFmt numFmtId="168" formatCode="dd/mm/yyyy"/>
    <numFmt numFmtId="169" formatCode="#,##0;\-#,##0;\-"/>
    <numFmt numFmtId="170" formatCode="#,##0.00"/>
    <numFmt numFmtId="171" formatCode="#,##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0"/>
      <charset val="1"/>
    </font>
    <font>
      <i val="true"/>
      <sz val="11"/>
      <color rgb="FF000000"/>
      <name val="Times New Roman"/>
      <family val="0"/>
      <charset val="1"/>
    </font>
    <font>
      <i val="true"/>
      <sz val="10"/>
      <color rgb="FF000000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sz val="11"/>
      <color rgb="FF000000"/>
      <name val="Times New Roman"/>
      <family val="0"/>
      <charset val="1"/>
    </font>
    <font>
      <sz val="11"/>
      <color rgb="FF008000"/>
      <name val="Times New Roman"/>
      <family val="0"/>
      <charset val="1"/>
    </font>
    <font>
      <sz val="11"/>
      <color rgb="FF0000FF"/>
      <name val="Times New Roman"/>
      <family val="0"/>
      <charset val="1"/>
    </font>
    <font>
      <i val="true"/>
      <sz val="10"/>
      <color rgb="FFC00000"/>
      <name val="Times New Roman"/>
      <family val="0"/>
      <charset val="1"/>
    </font>
    <font>
      <sz val="10"/>
      <name val="Arial"/>
      <family val="2"/>
    </font>
    <font>
      <sz val="9"/>
      <color rgb="FF80808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9"/>
    <col collapsed="false" customWidth="true" hidden="false" outlineLevel="0" max="8" min="4" style="0" width="16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4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n">
        <v>1</v>
      </c>
      <c r="B6" s="6" t="s">
        <v>11</v>
      </c>
      <c r="C6" s="5" t="s">
        <v>12</v>
      </c>
      <c r="D6" s="7" t="n">
        <f aca="false">SUMIFS('Quy doi vat tu'!$J$6:$J$29,'Quy doi vat tu'!$F$6:$F$29,$B6,'Quy doi vat tu'!$L$6:$L$29,"Đúc cấu kiện")</f>
        <v>1655031.35952</v>
      </c>
      <c r="E6" s="7" t="n">
        <f aca="false">SUMIFS('Quy doi vat tu'!$J$6:$J$29,'Quy doi vat tu'!$F$6:$F$29,$B6,'Quy doi vat tu'!$L$6:$L$29,"K2A đợt 1 (C16÷C2)")</f>
        <v>0</v>
      </c>
      <c r="F6" s="7" t="n">
        <f aca="false">SUMIFS('Quy doi vat tu'!$J$6:$J$29,'Quy doi vat tu'!$F$6:$F$29,$B6,'Quy doi vat tu'!$L$6:$L$29,"K2A đợt 2 (đến +1,78)")</f>
        <v>0</v>
      </c>
      <c r="G6" s="7" t="n">
        <f aca="false">SUMIFS('Quy doi vat tu'!$J$6:$J$29,'Quy doi vat tu'!$F$6:$F$29,$B6,'Quy doi vat tu'!$L$6:$L$29,"Ống địa kỹ thuật")</f>
        <v>0</v>
      </c>
      <c r="H6" s="8" t="n">
        <f aca="false">SUM(D6:G6)</f>
        <v>1655031.35952</v>
      </c>
    </row>
    <row r="7" customFormat="false" ht="15" hidden="false" customHeight="false" outlineLevel="0" collapsed="false">
      <c r="A7" s="5" t="n">
        <v>2</v>
      </c>
      <c r="B7" s="6" t="s">
        <v>13</v>
      </c>
      <c r="C7" s="5" t="s">
        <v>14</v>
      </c>
      <c r="D7" s="7" t="n">
        <f aca="false">SUMIFS('Quy doi vat tu'!$J$6:$J$29,'Quy doi vat tu'!$F$6:$F$29,$B7,'Quy doi vat tu'!$L$6:$L$29,"Đúc cấu kiện")</f>
        <v>2365.002198405</v>
      </c>
      <c r="E7" s="7" t="n">
        <f aca="false">SUMIFS('Quy doi vat tu'!$J$6:$J$29,'Quy doi vat tu'!$F$6:$F$29,$B7,'Quy doi vat tu'!$L$6:$L$29,"K2A đợt 1 (C16÷C2)")</f>
        <v>0</v>
      </c>
      <c r="F7" s="7" t="n">
        <f aca="false">SUMIFS('Quy doi vat tu'!$J$6:$J$29,'Quy doi vat tu'!$F$6:$F$29,$B7,'Quy doi vat tu'!$L$6:$L$29,"K2A đợt 2 (đến +1,78)")</f>
        <v>0</v>
      </c>
      <c r="G7" s="7" t="n">
        <f aca="false">SUMIFS('Quy doi vat tu'!$J$6:$J$29,'Quy doi vat tu'!$F$6:$F$29,$B7,'Quy doi vat tu'!$L$6:$L$29,"Ống địa kỹ thuật")</f>
        <v>0</v>
      </c>
      <c r="H7" s="8" t="n">
        <f aca="false">SUM(D7:G7)</f>
        <v>2365.002198405</v>
      </c>
    </row>
    <row r="8" customFormat="false" ht="15" hidden="false" customHeight="false" outlineLevel="0" collapsed="false">
      <c r="A8" s="5" t="n">
        <v>3</v>
      </c>
      <c r="B8" s="6" t="s">
        <v>15</v>
      </c>
      <c r="C8" s="5" t="s">
        <v>14</v>
      </c>
      <c r="D8" s="7" t="n">
        <f aca="false">SUMIFS('Quy doi vat tu'!$J$6:$J$29,'Quy doi vat tu'!$F$6:$F$29,$B8,'Quy doi vat tu'!$L$6:$L$29,"Đúc cấu kiện")</f>
        <v>3836.66360616</v>
      </c>
      <c r="E8" s="7" t="n">
        <f aca="false">SUMIFS('Quy doi vat tu'!$J$6:$J$29,'Quy doi vat tu'!$F$6:$F$29,$B8,'Quy doi vat tu'!$L$6:$L$29,"K2A đợt 1 (C16÷C2)")</f>
        <v>0</v>
      </c>
      <c r="F8" s="7" t="n">
        <f aca="false">SUMIFS('Quy doi vat tu'!$J$6:$J$29,'Quy doi vat tu'!$F$6:$F$29,$B8,'Quy doi vat tu'!$L$6:$L$29,"K2A đợt 2 (đến +1,78)")</f>
        <v>0</v>
      </c>
      <c r="G8" s="7" t="n">
        <f aca="false">SUMIFS('Quy doi vat tu'!$J$6:$J$29,'Quy doi vat tu'!$F$6:$F$29,$B8,'Quy doi vat tu'!$L$6:$L$29,"Ống địa kỹ thuật")</f>
        <v>0</v>
      </c>
      <c r="H8" s="8" t="n">
        <f aca="false">SUM(D8:G8)</f>
        <v>3836.66360616</v>
      </c>
    </row>
    <row r="9" customFormat="false" ht="15" hidden="false" customHeight="false" outlineLevel="0" collapsed="false">
      <c r="A9" s="5" t="n">
        <v>4</v>
      </c>
      <c r="B9" s="6" t="s">
        <v>16</v>
      </c>
      <c r="C9" s="5" t="s">
        <v>17</v>
      </c>
      <c r="D9" s="7" t="n">
        <f aca="false">SUMIFS('Quy doi vat tu'!$J$6:$J$29,'Quy doi vat tu'!$F$6:$F$29,$B9,'Quy doi vat tu'!$L$6:$L$29,"Đúc cấu kiện")</f>
        <v>702024.80764185</v>
      </c>
      <c r="E9" s="7" t="n">
        <f aca="false">SUMIFS('Quy doi vat tu'!$J$6:$J$29,'Quy doi vat tu'!$F$6:$F$29,$B9,'Quy doi vat tu'!$L$6:$L$29,"K2A đợt 1 (C16÷C2)")</f>
        <v>0</v>
      </c>
      <c r="F9" s="7" t="n">
        <f aca="false">SUMIFS('Quy doi vat tu'!$J$6:$J$29,'Quy doi vat tu'!$F$6:$F$29,$B9,'Quy doi vat tu'!$L$6:$L$29,"K2A đợt 2 (đến +1,78)")</f>
        <v>0</v>
      </c>
      <c r="G9" s="7" t="n">
        <f aca="false">SUMIFS('Quy doi vat tu'!$J$6:$J$29,'Quy doi vat tu'!$F$6:$F$29,$B9,'Quy doi vat tu'!$L$6:$L$29,"Ống địa kỹ thuật")</f>
        <v>0</v>
      </c>
      <c r="H9" s="8" t="n">
        <f aca="false">SUM(D9:G9)</f>
        <v>702024.80764185</v>
      </c>
    </row>
    <row r="10" customFormat="false" ht="15" hidden="false" customHeight="false" outlineLevel="0" collapsed="false">
      <c r="A10" s="5" t="n">
        <v>5</v>
      </c>
      <c r="B10" s="6" t="s">
        <v>18</v>
      </c>
      <c r="C10" s="5" t="s">
        <v>12</v>
      </c>
      <c r="D10" s="7" t="n">
        <f aca="false">SUMIFS('Quy doi vat tu'!$J$6:$J$29,'Quy doi vat tu'!$F$6:$F$29,$B10,'Quy doi vat tu'!$L$6:$L$29,"Đúc cấu kiện")</f>
        <v>8275.1567976</v>
      </c>
      <c r="E10" s="7" t="n">
        <f aca="false">SUMIFS('Quy doi vat tu'!$J$6:$J$29,'Quy doi vat tu'!$F$6:$F$29,$B10,'Quy doi vat tu'!$L$6:$L$29,"K2A đợt 1 (C16÷C2)")</f>
        <v>0</v>
      </c>
      <c r="F10" s="7" t="n">
        <f aca="false">SUMIFS('Quy doi vat tu'!$J$6:$J$29,'Quy doi vat tu'!$F$6:$F$29,$B10,'Quy doi vat tu'!$L$6:$L$29,"K2A đợt 2 (đến +1,78)")</f>
        <v>0</v>
      </c>
      <c r="G10" s="7" t="n">
        <f aca="false">SUMIFS('Quy doi vat tu'!$J$6:$J$29,'Quy doi vat tu'!$F$6:$F$29,$B10,'Quy doi vat tu'!$L$6:$L$29,"Ống địa kỹ thuật")</f>
        <v>0</v>
      </c>
      <c r="H10" s="8" t="n">
        <f aca="false">SUM(D10:G10)</f>
        <v>8275.1567976</v>
      </c>
    </row>
    <row r="11" customFormat="false" ht="15" hidden="false" customHeight="false" outlineLevel="0" collapsed="false">
      <c r="A11" s="5" t="n">
        <v>6</v>
      </c>
      <c r="B11" s="6" t="s">
        <v>19</v>
      </c>
      <c r="C11" s="5" t="s">
        <v>12</v>
      </c>
      <c r="D11" s="7" t="n">
        <f aca="false">SUMIFS('Quy doi vat tu'!$J$6:$J$29,'Quy doi vat tu'!$F$6:$F$29,$B11,'Quy doi vat tu'!$L$6:$L$29,"Đúc cấu kiện")</f>
        <v>14933.8098</v>
      </c>
      <c r="E11" s="7" t="n">
        <f aca="false">SUMIFS('Quy doi vat tu'!$J$6:$J$29,'Quy doi vat tu'!$F$6:$F$29,$B11,'Quy doi vat tu'!$L$6:$L$29,"K2A đợt 1 (C16÷C2)")</f>
        <v>0</v>
      </c>
      <c r="F11" s="7" t="n">
        <f aca="false">SUMIFS('Quy doi vat tu'!$J$6:$J$29,'Quy doi vat tu'!$F$6:$F$29,$B11,'Quy doi vat tu'!$L$6:$L$29,"K2A đợt 2 (đến +1,78)")</f>
        <v>0</v>
      </c>
      <c r="G11" s="7" t="n">
        <f aca="false">SUMIFS('Quy doi vat tu'!$J$6:$J$29,'Quy doi vat tu'!$F$6:$F$29,$B11,'Quy doi vat tu'!$L$6:$L$29,"Ống địa kỹ thuật")</f>
        <v>0</v>
      </c>
      <c r="H11" s="8" t="n">
        <f aca="false">SUM(D11:G11)</f>
        <v>14933.8098</v>
      </c>
    </row>
    <row r="12" customFormat="false" ht="15" hidden="false" customHeight="false" outlineLevel="0" collapsed="false">
      <c r="A12" s="5" t="n">
        <v>7</v>
      </c>
      <c r="B12" s="6" t="s">
        <v>20</v>
      </c>
      <c r="C12" s="5" t="s">
        <v>12</v>
      </c>
      <c r="D12" s="7" t="n">
        <f aca="false">SUMIFS('Quy doi vat tu'!$J$6:$J$29,'Quy doi vat tu'!$F$6:$F$29,$B12,'Quy doi vat tu'!$L$6:$L$29,"Đúc cấu kiện")</f>
        <v>4290.9606729</v>
      </c>
      <c r="E12" s="7" t="n">
        <f aca="false">SUMIFS('Quy doi vat tu'!$J$6:$J$29,'Quy doi vat tu'!$F$6:$F$29,$B12,'Quy doi vat tu'!$L$6:$L$29,"K2A đợt 1 (C16÷C2)")</f>
        <v>0</v>
      </c>
      <c r="F12" s="7" t="n">
        <f aca="false">SUMIFS('Quy doi vat tu'!$J$6:$J$29,'Quy doi vat tu'!$F$6:$F$29,$B12,'Quy doi vat tu'!$L$6:$L$29,"K2A đợt 2 (đến +1,78)")</f>
        <v>0</v>
      </c>
      <c r="G12" s="7" t="n">
        <f aca="false">SUMIFS('Quy doi vat tu'!$J$6:$J$29,'Quy doi vat tu'!$F$6:$F$29,$B12,'Quy doi vat tu'!$L$6:$L$29,"Ống địa kỹ thuật")</f>
        <v>0</v>
      </c>
      <c r="H12" s="8" t="n">
        <f aca="false">SUM(D12:G12)</f>
        <v>4290.9606729</v>
      </c>
    </row>
    <row r="13" customFormat="false" ht="15" hidden="false" customHeight="false" outlineLevel="0" collapsed="false">
      <c r="A13" s="5" t="n">
        <v>8</v>
      </c>
      <c r="B13" s="6" t="s">
        <v>21</v>
      </c>
      <c r="C13" s="5" t="s">
        <v>12</v>
      </c>
      <c r="D13" s="7" t="n">
        <f aca="false">SUMIFS('Quy doi vat tu'!$J$6:$J$29,'Quy doi vat tu'!$F$6:$F$29,$B13,'Quy doi vat tu'!$L$6:$L$29,"Đúc cấu kiện")</f>
        <v>4044.9820356</v>
      </c>
      <c r="E13" s="7" t="n">
        <f aca="false">SUMIFS('Quy doi vat tu'!$J$6:$J$29,'Quy doi vat tu'!$F$6:$F$29,$B13,'Quy doi vat tu'!$L$6:$L$29,"K2A đợt 1 (C16÷C2)")</f>
        <v>0</v>
      </c>
      <c r="F13" s="7" t="n">
        <f aca="false">SUMIFS('Quy doi vat tu'!$J$6:$J$29,'Quy doi vat tu'!$F$6:$F$29,$B13,'Quy doi vat tu'!$L$6:$L$29,"K2A đợt 2 (đến +1,78)")</f>
        <v>0</v>
      </c>
      <c r="G13" s="7" t="n">
        <f aca="false">SUMIFS('Quy doi vat tu'!$J$6:$J$29,'Quy doi vat tu'!$F$6:$F$29,$B13,'Quy doi vat tu'!$L$6:$L$29,"Ống địa kỹ thuật")</f>
        <v>0</v>
      </c>
      <c r="H13" s="8" t="n">
        <f aca="false">SUM(D13:G13)</f>
        <v>4044.9820356</v>
      </c>
    </row>
    <row r="14" customFormat="false" ht="15" hidden="false" customHeight="false" outlineLevel="0" collapsed="false">
      <c r="A14" s="5" t="n">
        <v>9</v>
      </c>
      <c r="B14" s="6" t="s">
        <v>22</v>
      </c>
      <c r="C14" s="5" t="s">
        <v>12</v>
      </c>
      <c r="D14" s="7" t="n">
        <f aca="false">SUMIFS('Quy doi vat tu'!$J$6:$J$29,'Quy doi vat tu'!$F$6:$F$29,$B14,'Quy doi vat tu'!$L$6:$L$29,"Đúc cấu kiện")</f>
        <v>542.6497848</v>
      </c>
      <c r="E14" s="7" t="n">
        <f aca="false">SUMIFS('Quy doi vat tu'!$J$6:$J$29,'Quy doi vat tu'!$F$6:$F$29,$B14,'Quy doi vat tu'!$L$6:$L$29,"K2A đợt 1 (C16÷C2)")</f>
        <v>0</v>
      </c>
      <c r="F14" s="7" t="n">
        <f aca="false">SUMIFS('Quy doi vat tu'!$J$6:$J$29,'Quy doi vat tu'!$F$6:$F$29,$B14,'Quy doi vat tu'!$L$6:$L$29,"K2A đợt 2 (đến +1,78)")</f>
        <v>0</v>
      </c>
      <c r="G14" s="7" t="n">
        <f aca="false">SUMIFS('Quy doi vat tu'!$J$6:$J$29,'Quy doi vat tu'!$F$6:$F$29,$B14,'Quy doi vat tu'!$L$6:$L$29,"Ống địa kỹ thuật")</f>
        <v>0</v>
      </c>
      <c r="H14" s="8" t="n">
        <f aca="false">SUM(D14:G14)</f>
        <v>542.6497848</v>
      </c>
    </row>
    <row r="15" customFormat="false" ht="15" hidden="false" customHeight="false" outlineLevel="0" collapsed="false">
      <c r="A15" s="5" t="n">
        <v>10</v>
      </c>
      <c r="B15" s="6" t="s">
        <v>23</v>
      </c>
      <c r="C15" s="5" t="s">
        <v>12</v>
      </c>
      <c r="D15" s="7" t="n">
        <f aca="false">SUMIFS('Quy doi vat tu'!$J$6:$J$29,'Quy doi vat tu'!$F$6:$F$29,$B15,'Quy doi vat tu'!$L$6:$L$29,"Đúc cấu kiện")</f>
        <v>135.8683872</v>
      </c>
      <c r="E15" s="7" t="n">
        <f aca="false">SUMIFS('Quy doi vat tu'!$J$6:$J$29,'Quy doi vat tu'!$F$6:$F$29,$B15,'Quy doi vat tu'!$L$6:$L$29,"K2A đợt 1 (C16÷C2)")</f>
        <v>0</v>
      </c>
      <c r="F15" s="7" t="n">
        <f aca="false">SUMIFS('Quy doi vat tu'!$J$6:$J$29,'Quy doi vat tu'!$F$6:$F$29,$B15,'Quy doi vat tu'!$L$6:$L$29,"K2A đợt 2 (đến +1,78)")</f>
        <v>0</v>
      </c>
      <c r="G15" s="7" t="n">
        <f aca="false">SUMIFS('Quy doi vat tu'!$J$6:$J$29,'Quy doi vat tu'!$F$6:$F$29,$B15,'Quy doi vat tu'!$L$6:$L$29,"Ống địa kỹ thuật")</f>
        <v>0</v>
      </c>
      <c r="H15" s="8" t="n">
        <f aca="false">SUM(D15:G15)</f>
        <v>135.8683872</v>
      </c>
    </row>
    <row r="16" customFormat="false" ht="15" hidden="false" customHeight="false" outlineLevel="0" collapsed="false">
      <c r="A16" s="5" t="n">
        <v>11</v>
      </c>
      <c r="B16" s="6" t="s">
        <v>24</v>
      </c>
      <c r="C16" s="5" t="s">
        <v>14</v>
      </c>
      <c r="D16" s="7" t="n">
        <f aca="false">SUMIFS('Quy doi vat tu'!$J$6:$J$29,'Quy doi vat tu'!$F$6:$F$29,$B16,'Quy doi vat tu'!$L$6:$L$29,"Đúc cấu kiện")</f>
        <v>0</v>
      </c>
      <c r="E16" s="7" t="n">
        <f aca="false">SUMIFS('Quy doi vat tu'!$J$6:$J$29,'Quy doi vat tu'!$F$6:$F$29,$B16,'Quy doi vat tu'!$L$6:$L$29,"K2A đợt 1 (C16÷C2)")</f>
        <v>0</v>
      </c>
      <c r="F16" s="7" t="n">
        <f aca="false">SUMIFS('Quy doi vat tu'!$J$6:$J$29,'Quy doi vat tu'!$F$6:$F$29,$B16,'Quy doi vat tu'!$L$6:$L$29,"K2A đợt 2 (đến +1,78)")</f>
        <v>14572.96</v>
      </c>
      <c r="G16" s="7" t="n">
        <f aca="false">SUMIFS('Quy doi vat tu'!$J$6:$J$29,'Quy doi vat tu'!$F$6:$F$29,$B16,'Quy doi vat tu'!$L$6:$L$29,"Ống địa kỹ thuật")</f>
        <v>0</v>
      </c>
      <c r="H16" s="8" t="n">
        <f aca="false">SUM(D16:G16)</f>
        <v>14572.96</v>
      </c>
    </row>
    <row r="17" customFormat="false" ht="15" hidden="false" customHeight="false" outlineLevel="0" collapsed="false">
      <c r="A17" s="5" t="n">
        <v>12</v>
      </c>
      <c r="B17" s="6" t="s">
        <v>25</v>
      </c>
      <c r="C17" s="5" t="s">
        <v>26</v>
      </c>
      <c r="D17" s="7" t="n">
        <f aca="false">SUMIFS('Quy doi vat tu'!$J$6:$J$29,'Quy doi vat tu'!$F$6:$F$29,$B17,'Quy doi vat tu'!$L$6:$L$29,"Đúc cấu kiện")</f>
        <v>0</v>
      </c>
      <c r="E17" s="7" t="n">
        <f aca="false">SUMIFS('Quy doi vat tu'!$J$6:$J$29,'Quy doi vat tu'!$F$6:$F$29,$B17,'Quy doi vat tu'!$L$6:$L$29,"K2A đợt 1 (C16÷C2)")</f>
        <v>2126.25</v>
      </c>
      <c r="F17" s="7" t="n">
        <f aca="false">SUMIFS('Quy doi vat tu'!$J$6:$J$29,'Quy doi vat tu'!$F$6:$F$29,$B17,'Quy doi vat tu'!$L$6:$L$29,"K2A đợt 2 (đến +1,78)")</f>
        <v>21723.4605</v>
      </c>
      <c r="G17" s="7" t="n">
        <f aca="false">SUMIFS('Quy doi vat tu'!$J$6:$J$29,'Quy doi vat tu'!$F$6:$F$29,$B17,'Quy doi vat tu'!$L$6:$L$29,"Ống địa kỹ thuật")</f>
        <v>0</v>
      </c>
      <c r="H17" s="8" t="n">
        <f aca="false">SUM(D17:G17)</f>
        <v>23849.7105</v>
      </c>
    </row>
    <row r="18" customFormat="false" ht="15" hidden="false" customHeight="false" outlineLevel="0" collapsed="false">
      <c r="A18" s="5" t="n">
        <v>13</v>
      </c>
      <c r="B18" s="6" t="s">
        <v>27</v>
      </c>
      <c r="C18" s="5" t="s">
        <v>14</v>
      </c>
      <c r="D18" s="7" t="n">
        <f aca="false">SUMIFS('Quy doi vat tu'!$J$6:$J$29,'Quy doi vat tu'!$F$6:$F$29,$B18,'Quy doi vat tu'!$L$6:$L$29,"Đúc cấu kiện")</f>
        <v>0</v>
      </c>
      <c r="E18" s="7" t="n">
        <f aca="false">SUMIFS('Quy doi vat tu'!$J$6:$J$29,'Quy doi vat tu'!$F$6:$F$29,$B18,'Quy doi vat tu'!$L$6:$L$29,"K2A đợt 1 (C16÷C2)")</f>
        <v>445.5</v>
      </c>
      <c r="F18" s="7" t="n">
        <f aca="false">SUMIFS('Quy doi vat tu'!$J$6:$J$29,'Quy doi vat tu'!$F$6:$F$29,$B18,'Quy doi vat tu'!$L$6:$L$29,"K2A đợt 2 (đến +1,78)")</f>
        <v>3814.888</v>
      </c>
      <c r="G18" s="7" t="n">
        <f aca="false">SUMIFS('Quy doi vat tu'!$J$6:$J$29,'Quy doi vat tu'!$F$6:$F$29,$B18,'Quy doi vat tu'!$L$6:$L$29,"Ống địa kỹ thuật")</f>
        <v>0</v>
      </c>
      <c r="H18" s="8" t="n">
        <f aca="false">SUM(D18:G18)</f>
        <v>4260.388</v>
      </c>
    </row>
    <row r="19" customFormat="false" ht="15" hidden="false" customHeight="false" outlineLevel="0" collapsed="false">
      <c r="A19" s="5" t="n">
        <v>14</v>
      </c>
      <c r="B19" s="6" t="s">
        <v>28</v>
      </c>
      <c r="C19" s="5" t="s">
        <v>14</v>
      </c>
      <c r="D19" s="7" t="n">
        <f aca="false">SUMIFS('Quy doi vat tu'!$J$6:$J$29,'Quy doi vat tu'!$F$6:$F$29,$B19,'Quy doi vat tu'!$L$6:$L$29,"Đúc cấu kiện")</f>
        <v>0</v>
      </c>
      <c r="E19" s="7" t="n">
        <f aca="false">SUMIFS('Quy doi vat tu'!$J$6:$J$29,'Quy doi vat tu'!$F$6:$F$29,$B19,'Quy doi vat tu'!$L$6:$L$29,"K2A đợt 1 (C16÷C2)")</f>
        <v>0</v>
      </c>
      <c r="F19" s="7" t="n">
        <f aca="false">SUMIFS('Quy doi vat tu'!$J$6:$J$29,'Quy doi vat tu'!$F$6:$F$29,$B19,'Quy doi vat tu'!$L$6:$L$29,"K2A đợt 2 (đến +1,78)")</f>
        <v>9939.0054</v>
      </c>
      <c r="G19" s="7" t="n">
        <f aca="false">SUMIFS('Quy doi vat tu'!$J$6:$J$29,'Quy doi vat tu'!$F$6:$F$29,$B19,'Quy doi vat tu'!$L$6:$L$29,"Ống địa kỹ thuật")</f>
        <v>0</v>
      </c>
      <c r="H19" s="8" t="n">
        <f aca="false">SUM(D19:G19)</f>
        <v>9939.0054</v>
      </c>
    </row>
    <row r="20" customFormat="false" ht="15" hidden="false" customHeight="false" outlineLevel="0" collapsed="false">
      <c r="A20" s="5" t="n">
        <v>15</v>
      </c>
      <c r="B20" s="6" t="s">
        <v>29</v>
      </c>
      <c r="C20" s="5" t="s">
        <v>14</v>
      </c>
      <c r="D20" s="7" t="n">
        <f aca="false">SUMIFS('Quy doi vat tu'!$J$6:$J$29,'Quy doi vat tu'!$F$6:$F$29,$B20,'Quy doi vat tu'!$L$6:$L$29,"Đúc cấu kiện")</f>
        <v>0</v>
      </c>
      <c r="E20" s="7" t="n">
        <f aca="false">SUMIFS('Quy doi vat tu'!$J$6:$J$29,'Quy doi vat tu'!$F$6:$F$29,$B20,'Quy doi vat tu'!$L$6:$L$29,"K2A đợt 1 (C16÷C2)")</f>
        <v>915.3</v>
      </c>
      <c r="F20" s="7" t="n">
        <f aca="false">SUMIFS('Quy doi vat tu'!$J$6:$J$29,'Quy doi vat tu'!$F$6:$F$29,$B20,'Quy doi vat tu'!$L$6:$L$29,"K2A đợt 2 (đến +1,78)")</f>
        <v>0</v>
      </c>
      <c r="G20" s="7" t="n">
        <f aca="false">SUMIFS('Quy doi vat tu'!$J$6:$J$29,'Quy doi vat tu'!$F$6:$F$29,$B20,'Quy doi vat tu'!$L$6:$L$29,"Ống địa kỹ thuật")</f>
        <v>0</v>
      </c>
      <c r="H20" s="8" t="n">
        <f aca="false">SUM(D20:G20)</f>
        <v>915.3</v>
      </c>
    </row>
    <row r="21" customFormat="false" ht="15" hidden="false" customHeight="false" outlineLevel="0" collapsed="false">
      <c r="A21" s="5" t="n">
        <v>16</v>
      </c>
      <c r="B21" s="6" t="s">
        <v>30</v>
      </c>
      <c r="C21" s="5" t="s">
        <v>31</v>
      </c>
      <c r="D21" s="7" t="n">
        <f aca="false">SUMIFS('Quy doi vat tu'!$J$6:$J$29,'Quy doi vat tu'!$F$6:$F$29,$B21,'Quy doi vat tu'!$L$6:$L$29,"Đúc cấu kiện")</f>
        <v>0</v>
      </c>
      <c r="E21" s="7" t="n">
        <f aca="false">SUMIFS('Quy doi vat tu'!$J$6:$J$29,'Quy doi vat tu'!$F$6:$F$29,$B21,'Quy doi vat tu'!$L$6:$L$29,"K2A đợt 1 (C16÷C2)")</f>
        <v>0</v>
      </c>
      <c r="F21" s="7" t="n">
        <f aca="false">SUMIFS('Quy doi vat tu'!$J$6:$J$29,'Quy doi vat tu'!$F$6:$F$29,$B21,'Quy doi vat tu'!$L$6:$L$29,"K2A đợt 2 (đến +1,78)")</f>
        <v>0</v>
      </c>
      <c r="G21" s="7" t="n">
        <f aca="false">SUMIFS('Quy doi vat tu'!$J$6:$J$29,'Quy doi vat tu'!$F$6:$F$29,$B21,'Quy doi vat tu'!$L$6:$L$29,"Ống địa kỹ thuật")</f>
        <v>13000</v>
      </c>
      <c r="H21" s="8" t="n">
        <f aca="false">SUM(D21:G21)</f>
        <v>13000</v>
      </c>
    </row>
    <row r="22" customFormat="false" ht="15" hidden="false" customHeight="false" outlineLevel="0" collapsed="false">
      <c r="A22" s="5" t="n">
        <v>17</v>
      </c>
      <c r="B22" s="6" t="s">
        <v>32</v>
      </c>
      <c r="C22" s="5" t="s">
        <v>12</v>
      </c>
      <c r="D22" s="7" t="n">
        <f aca="false">SUMIFS('Quy doi vat tu'!$J$6:$J$29,'Quy doi vat tu'!$F$6:$F$29,$B22,'Quy doi vat tu'!$L$6:$L$29,"Đúc cấu kiện")</f>
        <v>0</v>
      </c>
      <c r="E22" s="7" t="n">
        <f aca="false">SUMIFS('Quy doi vat tu'!$J$6:$J$29,'Quy doi vat tu'!$F$6:$F$29,$B22,'Quy doi vat tu'!$L$6:$L$29,"K2A đợt 1 (C16÷C2)")</f>
        <v>0</v>
      </c>
      <c r="F22" s="7" t="n">
        <f aca="false">SUMIFS('Quy doi vat tu'!$J$6:$J$29,'Quy doi vat tu'!$F$6:$F$29,$B22,'Quy doi vat tu'!$L$6:$L$29,"K2A đợt 2 (đến +1,78)")</f>
        <v>0</v>
      </c>
      <c r="G22" s="7" t="n">
        <f aca="false">SUMIFS('Quy doi vat tu'!$J$6:$J$29,'Quy doi vat tu'!$F$6:$F$29,$B22,'Quy doi vat tu'!$L$6:$L$29,"Ống địa kỹ thuật")</f>
        <v>338</v>
      </c>
      <c r="H22" s="8" t="n">
        <f aca="false">SUM(D22:G22)</f>
        <v>338</v>
      </c>
    </row>
    <row r="24" customFormat="false" ht="15" hidden="false" customHeight="false" outlineLevel="0" collapsed="false">
      <c r="B24" s="9" t="s">
        <v>33</v>
      </c>
    </row>
    <row r="25" customFormat="false" ht="27.75" hidden="false" customHeight="true" outlineLevel="0" collapsed="false">
      <c r="B25" s="10" t="s">
        <v>34</v>
      </c>
      <c r="C25" s="10"/>
      <c r="D25" s="10"/>
      <c r="E25" s="10"/>
      <c r="F25" s="10"/>
      <c r="G25" s="10"/>
      <c r="H25" s="10"/>
    </row>
    <row r="26" customFormat="false" ht="27.75" hidden="false" customHeight="true" outlineLevel="0" collapsed="false">
      <c r="B26" s="10" t="s">
        <v>35</v>
      </c>
      <c r="C26" s="10"/>
      <c r="D26" s="10"/>
      <c r="E26" s="10"/>
      <c r="F26" s="10"/>
      <c r="G26" s="10"/>
      <c r="H26" s="10"/>
    </row>
    <row r="27" customFormat="false" ht="27.75" hidden="false" customHeight="true" outlineLevel="0" collapsed="false">
      <c r="B27" s="10" t="s">
        <v>36</v>
      </c>
      <c r="C27" s="10"/>
      <c r="D27" s="10"/>
      <c r="E27" s="10"/>
      <c r="F27" s="10"/>
      <c r="G27" s="10"/>
      <c r="H27" s="10"/>
    </row>
    <row r="28" customFormat="false" ht="27.75" hidden="false" customHeight="true" outlineLevel="0" collapsed="false">
      <c r="B28" s="10" t="s">
        <v>37</v>
      </c>
      <c r="C28" s="10"/>
      <c r="D28" s="10"/>
      <c r="E28" s="10"/>
      <c r="F28" s="10"/>
      <c r="G28" s="10"/>
      <c r="H28" s="10"/>
    </row>
    <row r="29" customFormat="false" ht="27.75" hidden="false" customHeight="true" outlineLevel="0" collapsed="false">
      <c r="B29" s="10" t="s">
        <v>38</v>
      </c>
      <c r="C29" s="10"/>
      <c r="D29" s="10"/>
      <c r="E29" s="10"/>
      <c r="F29" s="10"/>
      <c r="G29" s="10"/>
      <c r="H29" s="10"/>
    </row>
    <row r="30" customFormat="false" ht="27.75" hidden="false" customHeight="true" outlineLevel="0" collapsed="false">
      <c r="B30" s="10" t="s">
        <v>39</v>
      </c>
      <c r="C30" s="10"/>
      <c r="D30" s="10"/>
      <c r="E30" s="10"/>
      <c r="F30" s="10"/>
      <c r="G30" s="10"/>
      <c r="H30" s="10"/>
    </row>
  </sheetData>
  <mergeCells count="9">
    <mergeCell ref="A1:I1"/>
    <mergeCell ref="A2:I2"/>
    <mergeCell ref="A3:I3"/>
    <mergeCell ref="B25:H25"/>
    <mergeCell ref="B26:H26"/>
    <mergeCell ref="B27:H27"/>
    <mergeCell ref="B28:H28"/>
    <mergeCell ref="B29:H29"/>
    <mergeCell ref="B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10" min="8" style="0" width="9"/>
    <col collapsed="false" customWidth="true" hidden="false" outlineLevel="0" max="13" min="11" style="0" width="12"/>
    <col collapsed="false" customWidth="true" hidden="false" outlineLevel="0" max="14" min="14" style="0" width="40"/>
  </cols>
  <sheetData>
    <row r="1" customFormat="false" ht="17.35" hidden="false" customHeight="true" outlineLevel="0" collapsed="false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true" outlineLevel="0" collapsed="false">
      <c r="A3" s="3" t="s">
        <v>41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customFormat="false" ht="15" hidden="false" customHeight="true" outlineLevel="0" collapsed="false">
      <c r="A5" s="11" t="s">
        <v>42</v>
      </c>
      <c r="B5" s="11"/>
      <c r="C5" s="11"/>
      <c r="D5" s="11"/>
      <c r="E5" s="11"/>
      <c r="F5" s="11"/>
    </row>
    <row r="6" customFormat="false" ht="37.3" hidden="false" customHeight="false" outlineLevel="0" collapsed="false">
      <c r="A6" s="4" t="s">
        <v>43</v>
      </c>
      <c r="B6" s="4" t="s">
        <v>44</v>
      </c>
      <c r="C6" s="4" t="s">
        <v>45</v>
      </c>
      <c r="D6" s="4" t="s">
        <v>46</v>
      </c>
    </row>
    <row r="7" customFormat="false" ht="37.3" hidden="false" customHeight="false" outlineLevel="0" collapsed="false">
      <c r="A7" s="6" t="s">
        <v>47</v>
      </c>
      <c r="B7" s="12" t="n">
        <v>0.999</v>
      </c>
      <c r="C7" s="12" t="n">
        <v>5.515</v>
      </c>
      <c r="D7" s="13" t="n">
        <v>4.03</v>
      </c>
    </row>
    <row r="8" customFormat="false" ht="61.15" hidden="false" customHeight="false" outlineLevel="0" collapsed="false">
      <c r="A8" s="6" t="s">
        <v>48</v>
      </c>
      <c r="B8" s="12" t="n">
        <v>1.044</v>
      </c>
      <c r="C8" s="12" t="n">
        <v>4.488</v>
      </c>
      <c r="D8" s="13" t="n">
        <v>0</v>
      </c>
    </row>
    <row r="9" customFormat="false" ht="25.35" hidden="false" customHeight="false" outlineLevel="0" collapsed="false">
      <c r="A9" s="6" t="s">
        <v>49</v>
      </c>
      <c r="B9" s="12" t="n">
        <v>0.909</v>
      </c>
      <c r="C9" s="12" t="n">
        <v>5.419</v>
      </c>
      <c r="D9" s="13" t="n">
        <v>0</v>
      </c>
    </row>
    <row r="10" customFormat="false" ht="25.35" hidden="false" customHeight="false" outlineLevel="0" collapsed="false">
      <c r="A10" s="6" t="s">
        <v>50</v>
      </c>
      <c r="B10" s="12" t="n">
        <v>0.882</v>
      </c>
      <c r="C10" s="12" t="n">
        <v>5.276</v>
      </c>
      <c r="D10" s="13" t="n">
        <v>0</v>
      </c>
    </row>
    <row r="12" customFormat="false" ht="45" hidden="false" customHeight="true" outlineLevel="0" collapsed="false">
      <c r="A12" s="4" t="s">
        <v>51</v>
      </c>
      <c r="B12" s="4" t="s">
        <v>52</v>
      </c>
      <c r="C12" s="4" t="s">
        <v>53</v>
      </c>
      <c r="D12" s="4" t="s">
        <v>54</v>
      </c>
      <c r="E12" s="4" t="s">
        <v>55</v>
      </c>
      <c r="F12" s="4" t="s">
        <v>56</v>
      </c>
      <c r="G12" s="4" t="s">
        <v>57</v>
      </c>
      <c r="H12" s="4" t="s">
        <v>58</v>
      </c>
      <c r="I12" s="4" t="s">
        <v>59</v>
      </c>
      <c r="J12" s="4" t="s">
        <v>60</v>
      </c>
      <c r="K12" s="4" t="s">
        <v>61</v>
      </c>
      <c r="L12" s="4" t="s">
        <v>62</v>
      </c>
      <c r="M12" s="4" t="s">
        <v>63</v>
      </c>
      <c r="N12" s="4" t="s">
        <v>64</v>
      </c>
    </row>
    <row r="13" customFormat="false" ht="15" hidden="false" customHeight="false" outlineLevel="0" collapsed="false">
      <c r="A13" s="5" t="n">
        <v>4</v>
      </c>
      <c r="B13" s="6" t="s">
        <v>65</v>
      </c>
      <c r="C13" s="14" t="n">
        <v>46243</v>
      </c>
      <c r="D13" s="5" t="n">
        <v>1</v>
      </c>
      <c r="E13" s="15" t="n">
        <v>68</v>
      </c>
      <c r="F13" s="5" t="n">
        <v>1</v>
      </c>
      <c r="G13" s="15" t="n">
        <v>12</v>
      </c>
      <c r="H13" s="5"/>
      <c r="I13" s="15" t="n">
        <v>0</v>
      </c>
      <c r="J13" s="15" t="n">
        <v>0</v>
      </c>
      <c r="K13" s="16" t="n">
        <f aca="false">E13*$B$7+G13*$B$8+I13*$B$9+J13*$B$10</f>
        <v>80.46</v>
      </c>
      <c r="L13" s="16" t="n">
        <f aca="false">E13*$C$7+G13*$C$8+I13*$C$9+J13*$C$10</f>
        <v>428.876</v>
      </c>
      <c r="M13" s="17" t="n">
        <f aca="false">E13*$D$7</f>
        <v>274.04</v>
      </c>
      <c r="N13" s="18"/>
    </row>
    <row r="14" customFormat="false" ht="15" hidden="false" customHeight="false" outlineLevel="0" collapsed="false">
      <c r="A14" s="5" t="n">
        <v>8</v>
      </c>
      <c r="B14" s="6" t="s">
        <v>66</v>
      </c>
      <c r="C14" s="14" t="n">
        <v>46244</v>
      </c>
      <c r="D14" s="5" t="n">
        <v>2</v>
      </c>
      <c r="E14" s="15" t="n">
        <v>68</v>
      </c>
      <c r="F14" s="5" t="n">
        <v>2</v>
      </c>
      <c r="G14" s="15" t="n">
        <v>12</v>
      </c>
      <c r="H14" s="5"/>
      <c r="I14" s="15" t="n">
        <v>0</v>
      </c>
      <c r="J14" s="15" t="n">
        <v>0</v>
      </c>
      <c r="K14" s="16" t="n">
        <f aca="false">E14*$B$7+G14*$B$8+I14*$B$9+J14*$B$10</f>
        <v>80.46</v>
      </c>
      <c r="L14" s="16" t="n">
        <f aca="false">E14*$C$7+G14*$C$8+I14*$C$9+J14*$C$10</f>
        <v>428.876</v>
      </c>
      <c r="M14" s="17" t="n">
        <f aca="false">E14*$D$7</f>
        <v>274.04</v>
      </c>
      <c r="N14" s="18"/>
    </row>
    <row r="15" customFormat="false" ht="15" hidden="false" customHeight="false" outlineLevel="0" collapsed="false">
      <c r="A15" s="5" t="n">
        <v>12</v>
      </c>
      <c r="B15" s="6" t="s">
        <v>67</v>
      </c>
      <c r="C15" s="14" t="n">
        <v>46245</v>
      </c>
      <c r="D15" s="5" t="n">
        <v>3</v>
      </c>
      <c r="E15" s="15" t="n">
        <v>54</v>
      </c>
      <c r="F15" s="5" t="n">
        <v>3</v>
      </c>
      <c r="G15" s="15" t="n">
        <v>7</v>
      </c>
      <c r="H15" s="5"/>
      <c r="I15" s="15" t="n">
        <v>0</v>
      </c>
      <c r="J15" s="15" t="n">
        <v>0</v>
      </c>
      <c r="K15" s="16" t="n">
        <f aca="false">E15*$B$7+G15*$B$8+I15*$B$9+J15*$B$10</f>
        <v>61.254</v>
      </c>
      <c r="L15" s="16" t="n">
        <f aca="false">E15*$C$7+G15*$C$8+I15*$C$9+J15*$C$10</f>
        <v>329.226</v>
      </c>
      <c r="M15" s="17" t="n">
        <f aca="false">E15*$D$7</f>
        <v>217.62</v>
      </c>
      <c r="N15" s="18"/>
    </row>
    <row r="16" customFormat="false" ht="15" hidden="false" customHeight="false" outlineLevel="0" collapsed="false">
      <c r="A16" s="5" t="n">
        <v>16</v>
      </c>
      <c r="B16" s="6" t="s">
        <v>68</v>
      </c>
      <c r="C16" s="14" t="n">
        <v>46246</v>
      </c>
      <c r="D16" s="5" t="n">
        <v>4</v>
      </c>
      <c r="E16" s="15" t="n">
        <v>71</v>
      </c>
      <c r="F16" s="5" t="n">
        <v>4</v>
      </c>
      <c r="G16" s="15" t="n">
        <v>12</v>
      </c>
      <c r="H16" s="5"/>
      <c r="I16" s="15" t="n">
        <v>0</v>
      </c>
      <c r="J16" s="15" t="n">
        <v>0</v>
      </c>
      <c r="K16" s="16" t="n">
        <f aca="false">E16*$B$7+G16*$B$8+I16*$B$9+J16*$B$10</f>
        <v>83.457</v>
      </c>
      <c r="L16" s="16" t="n">
        <f aca="false">E16*$C$7+G16*$C$8+I16*$C$9+J16*$C$10</f>
        <v>445.421</v>
      </c>
      <c r="M16" s="17" t="n">
        <f aca="false">E16*$D$7</f>
        <v>286.13</v>
      </c>
      <c r="N16" s="18"/>
    </row>
    <row r="17" customFormat="false" ht="15" hidden="false" customHeight="false" outlineLevel="0" collapsed="false">
      <c r="A17" s="5" t="n">
        <v>20</v>
      </c>
      <c r="B17" s="6" t="s">
        <v>69</v>
      </c>
      <c r="C17" s="14" t="n">
        <v>46247</v>
      </c>
      <c r="D17" s="5" t="n">
        <v>5</v>
      </c>
      <c r="E17" s="15" t="n">
        <v>73</v>
      </c>
      <c r="F17" s="5" t="n">
        <v>5</v>
      </c>
      <c r="G17" s="15" t="n">
        <v>8</v>
      </c>
      <c r="H17" s="5"/>
      <c r="I17" s="15" t="n">
        <v>0</v>
      </c>
      <c r="J17" s="15" t="n">
        <v>0</v>
      </c>
      <c r="K17" s="16" t="n">
        <f aca="false">E17*$B$7+G17*$B$8+I17*$B$9+J17*$B$10</f>
        <v>81.279</v>
      </c>
      <c r="L17" s="16" t="n">
        <f aca="false">E17*$C$7+G17*$C$8+I17*$C$9+J17*$C$10</f>
        <v>438.499</v>
      </c>
      <c r="M17" s="17" t="n">
        <f aca="false">E17*$D$7</f>
        <v>294.19</v>
      </c>
      <c r="N17" s="18"/>
    </row>
    <row r="18" customFormat="false" ht="15" hidden="false" customHeight="false" outlineLevel="0" collapsed="false">
      <c r="A18" s="5" t="n">
        <v>24</v>
      </c>
      <c r="B18" s="6" t="s">
        <v>70</v>
      </c>
      <c r="C18" s="14" t="n">
        <v>46248</v>
      </c>
      <c r="D18" s="5" t="n">
        <v>6</v>
      </c>
      <c r="E18" s="15" t="n">
        <v>45</v>
      </c>
      <c r="F18" s="5" t="n">
        <v>6</v>
      </c>
      <c r="G18" s="15" t="n">
        <v>8</v>
      </c>
      <c r="H18" s="5"/>
      <c r="I18" s="15" t="n">
        <v>0</v>
      </c>
      <c r="J18" s="15" t="n">
        <v>0</v>
      </c>
      <c r="K18" s="16" t="n">
        <f aca="false">E18*$B$7+G18*$B$8+I18*$B$9+J18*$B$10</f>
        <v>53.307</v>
      </c>
      <c r="L18" s="16" t="n">
        <f aca="false">E18*$C$7+G18*$C$8+I18*$C$9+J18*$C$10</f>
        <v>284.079</v>
      </c>
      <c r="M18" s="17" t="n">
        <f aca="false">E18*$D$7</f>
        <v>181.35</v>
      </c>
      <c r="N18" s="18"/>
    </row>
    <row r="19" customFormat="false" ht="15" hidden="false" customHeight="false" outlineLevel="0" collapsed="false">
      <c r="A19" s="5" t="n">
        <v>28</v>
      </c>
      <c r="B19" s="6" t="s">
        <v>71</v>
      </c>
      <c r="C19" s="14" t="n">
        <v>46249</v>
      </c>
      <c r="D19" s="5" t="n">
        <v>7</v>
      </c>
      <c r="E19" s="15" t="n">
        <v>78</v>
      </c>
      <c r="F19" s="5" t="n">
        <v>7</v>
      </c>
      <c r="G19" s="15" t="n">
        <v>16</v>
      </c>
      <c r="H19" s="5"/>
      <c r="I19" s="15" t="n">
        <v>0</v>
      </c>
      <c r="J19" s="15" t="n">
        <v>0</v>
      </c>
      <c r="K19" s="16" t="n">
        <f aca="false">E19*$B$7+G19*$B$8+I19*$B$9+J19*$B$10</f>
        <v>94.626</v>
      </c>
      <c r="L19" s="16" t="n">
        <f aca="false">E19*$C$7+G19*$C$8+I19*$C$9+J19*$C$10</f>
        <v>501.978</v>
      </c>
      <c r="M19" s="17" t="n">
        <f aca="false">E19*$D$7</f>
        <v>314.34</v>
      </c>
      <c r="N19" s="18"/>
    </row>
    <row r="20" customFormat="false" ht="15" hidden="false" customHeight="false" outlineLevel="0" collapsed="false">
      <c r="A20" s="5" t="n">
        <v>32</v>
      </c>
      <c r="B20" s="6" t="s">
        <v>72</v>
      </c>
      <c r="C20" s="14" t="n">
        <v>46250</v>
      </c>
      <c r="D20" s="5" t="n">
        <v>8</v>
      </c>
      <c r="E20" s="15" t="n">
        <v>70</v>
      </c>
      <c r="F20" s="5" t="n">
        <v>8</v>
      </c>
      <c r="G20" s="15" t="n">
        <v>16</v>
      </c>
      <c r="H20" s="5"/>
      <c r="I20" s="15" t="n">
        <v>0</v>
      </c>
      <c r="J20" s="15" t="n">
        <v>0</v>
      </c>
      <c r="K20" s="16" t="n">
        <f aca="false">E20*$B$7+G20*$B$8+I20*$B$9+J20*$B$10</f>
        <v>86.634</v>
      </c>
      <c r="L20" s="16" t="n">
        <f aca="false">E20*$C$7+G20*$C$8+I20*$C$9+J20*$C$10</f>
        <v>457.858</v>
      </c>
      <c r="M20" s="17" t="n">
        <f aca="false">E20*$D$7</f>
        <v>282.1</v>
      </c>
      <c r="N20" s="18"/>
    </row>
    <row r="21" customFormat="false" ht="15" hidden="false" customHeight="false" outlineLevel="0" collapsed="false">
      <c r="A21" s="5" t="n">
        <v>36</v>
      </c>
      <c r="B21" s="6" t="s">
        <v>73</v>
      </c>
      <c r="C21" s="14" t="n">
        <v>46251</v>
      </c>
      <c r="D21" s="5" t="n">
        <v>9</v>
      </c>
      <c r="E21" s="15" t="n">
        <v>78</v>
      </c>
      <c r="F21" s="5" t="n">
        <v>9</v>
      </c>
      <c r="G21" s="15" t="n">
        <v>16</v>
      </c>
      <c r="H21" s="5"/>
      <c r="I21" s="15" t="n">
        <v>0</v>
      </c>
      <c r="J21" s="15" t="n">
        <v>0</v>
      </c>
      <c r="K21" s="16" t="n">
        <f aca="false">E21*$B$7+G21*$B$8+I21*$B$9+J21*$B$10</f>
        <v>94.626</v>
      </c>
      <c r="L21" s="16" t="n">
        <f aca="false">E21*$C$7+G21*$C$8+I21*$C$9+J21*$C$10</f>
        <v>501.978</v>
      </c>
      <c r="M21" s="17" t="n">
        <f aca="false">E21*$D$7</f>
        <v>314.34</v>
      </c>
      <c r="N21" s="18"/>
    </row>
    <row r="22" customFormat="false" ht="15" hidden="false" customHeight="false" outlineLevel="0" collapsed="false">
      <c r="A22" s="5" t="n">
        <v>40</v>
      </c>
      <c r="B22" s="6" t="s">
        <v>74</v>
      </c>
      <c r="C22" s="14" t="n">
        <v>46252</v>
      </c>
      <c r="D22" s="5" t="n">
        <v>10</v>
      </c>
      <c r="E22" s="15" t="n">
        <v>72</v>
      </c>
      <c r="F22" s="5" t="n">
        <v>10</v>
      </c>
      <c r="G22" s="15" t="n">
        <v>11</v>
      </c>
      <c r="H22" s="5"/>
      <c r="I22" s="15" t="n">
        <v>0</v>
      </c>
      <c r="J22" s="15" t="n">
        <v>0</v>
      </c>
      <c r="K22" s="16" t="n">
        <f aca="false">E22*$B$7+G22*$B$8+I22*$B$9+J22*$B$10</f>
        <v>83.412</v>
      </c>
      <c r="L22" s="16" t="n">
        <f aca="false">E22*$C$7+G22*$C$8+I22*$C$9+J22*$C$10</f>
        <v>446.448</v>
      </c>
      <c r="M22" s="17" t="n">
        <f aca="false">E22*$D$7</f>
        <v>290.16</v>
      </c>
      <c r="N22" s="18"/>
    </row>
    <row r="23" customFormat="false" ht="15" hidden="false" customHeight="false" outlineLevel="0" collapsed="false">
      <c r="A23" s="5" t="n">
        <v>44</v>
      </c>
      <c r="B23" s="6" t="s">
        <v>75</v>
      </c>
      <c r="C23" s="14" t="n">
        <v>46253</v>
      </c>
      <c r="D23" s="5" t="n">
        <v>11</v>
      </c>
      <c r="E23" s="15" t="n">
        <v>35</v>
      </c>
      <c r="F23" s="5" t="n">
        <v>11</v>
      </c>
      <c r="G23" s="15" t="n">
        <v>4</v>
      </c>
      <c r="H23" s="5"/>
      <c r="I23" s="15" t="n">
        <v>0</v>
      </c>
      <c r="J23" s="15" t="n">
        <v>0</v>
      </c>
      <c r="K23" s="16" t="n">
        <f aca="false">E23*$B$7+G23*$B$8+I23*$B$9+J23*$B$10</f>
        <v>39.141</v>
      </c>
      <c r="L23" s="16" t="n">
        <f aca="false">E23*$C$7+G23*$C$8+I23*$C$9+J23*$C$10</f>
        <v>210.977</v>
      </c>
      <c r="M23" s="17" t="n">
        <f aca="false">E23*$D$7</f>
        <v>141.05</v>
      </c>
      <c r="N23" s="18"/>
    </row>
    <row r="24" customFormat="false" ht="15" hidden="false" customHeight="false" outlineLevel="0" collapsed="false">
      <c r="A24" s="5" t="n">
        <v>48</v>
      </c>
      <c r="B24" s="6" t="s">
        <v>76</v>
      </c>
      <c r="C24" s="14" t="n">
        <v>46254</v>
      </c>
      <c r="D24" s="5" t="n">
        <v>12</v>
      </c>
      <c r="E24" s="15" t="n">
        <v>35</v>
      </c>
      <c r="F24" s="5" t="n">
        <v>12</v>
      </c>
      <c r="G24" s="15" t="n">
        <v>8</v>
      </c>
      <c r="H24" s="5"/>
      <c r="I24" s="15" t="n">
        <v>0</v>
      </c>
      <c r="J24" s="15" t="n">
        <v>0</v>
      </c>
      <c r="K24" s="16" t="n">
        <f aca="false">E24*$B$7+G24*$B$8+I24*$B$9+J24*$B$10</f>
        <v>43.317</v>
      </c>
      <c r="L24" s="16" t="n">
        <f aca="false">E24*$C$7+G24*$C$8+I24*$C$9+J24*$C$10</f>
        <v>228.929</v>
      </c>
      <c r="M24" s="17" t="n">
        <f aca="false">E24*$D$7</f>
        <v>141.05</v>
      </c>
      <c r="N24" s="18"/>
    </row>
    <row r="25" customFormat="false" ht="15" hidden="false" customHeight="false" outlineLevel="0" collapsed="false">
      <c r="A25" s="5" t="n">
        <v>52</v>
      </c>
      <c r="B25" s="6" t="s">
        <v>77</v>
      </c>
      <c r="C25" s="14" t="n">
        <v>46256</v>
      </c>
      <c r="D25" s="5" t="n">
        <v>13</v>
      </c>
      <c r="E25" s="15" t="n">
        <v>50</v>
      </c>
      <c r="F25" s="5" t="n">
        <v>13</v>
      </c>
      <c r="G25" s="15" t="n">
        <v>11</v>
      </c>
      <c r="H25" s="5"/>
      <c r="I25" s="15" t="n">
        <v>0</v>
      </c>
      <c r="J25" s="15" t="n">
        <v>0</v>
      </c>
      <c r="K25" s="16" t="n">
        <f aca="false">E25*$B$7+G25*$B$8+I25*$B$9+J25*$B$10</f>
        <v>61.434</v>
      </c>
      <c r="L25" s="16" t="n">
        <f aca="false">E25*$C$7+G25*$C$8+I25*$C$9+J25*$C$10</f>
        <v>325.118</v>
      </c>
      <c r="M25" s="17" t="n">
        <f aca="false">E25*$D$7</f>
        <v>201.5</v>
      </c>
      <c r="N25" s="18"/>
    </row>
    <row r="26" customFormat="false" ht="15" hidden="false" customHeight="false" outlineLevel="0" collapsed="false">
      <c r="A26" s="5" t="n">
        <v>56</v>
      </c>
      <c r="B26" s="6" t="s">
        <v>78</v>
      </c>
      <c r="C26" s="14" t="n">
        <v>46257</v>
      </c>
      <c r="D26" s="5" t="n">
        <v>14</v>
      </c>
      <c r="E26" s="15" t="n">
        <v>20</v>
      </c>
      <c r="F26" s="5" t="n">
        <v>14</v>
      </c>
      <c r="G26" s="15" t="n">
        <v>23</v>
      </c>
      <c r="H26" s="5"/>
      <c r="I26" s="15" t="n">
        <v>0</v>
      </c>
      <c r="J26" s="15" t="n">
        <v>0</v>
      </c>
      <c r="K26" s="16" t="n">
        <f aca="false">E26*$B$7+G26*$B$8+I26*$B$9+J26*$B$10</f>
        <v>43.992</v>
      </c>
      <c r="L26" s="16" t="n">
        <f aca="false">E26*$C$7+G26*$C$8+I26*$C$9+J26*$C$10</f>
        <v>213.524</v>
      </c>
      <c r="M26" s="17" t="n">
        <f aca="false">E26*$D$7</f>
        <v>80.6</v>
      </c>
      <c r="N26" s="18"/>
    </row>
    <row r="27" customFormat="false" ht="15" hidden="false" customHeight="false" outlineLevel="0" collapsed="false">
      <c r="A27" s="5" t="n">
        <v>60</v>
      </c>
      <c r="B27" s="6" t="s">
        <v>79</v>
      </c>
      <c r="C27" s="14" t="n">
        <v>46259</v>
      </c>
      <c r="D27" s="5" t="n">
        <v>15</v>
      </c>
      <c r="E27" s="15" t="n">
        <v>69</v>
      </c>
      <c r="F27" s="5" t="n">
        <v>15</v>
      </c>
      <c r="G27" s="15" t="n">
        <v>12</v>
      </c>
      <c r="H27" s="5"/>
      <c r="I27" s="15" t="n">
        <v>0</v>
      </c>
      <c r="J27" s="15" t="n">
        <v>0</v>
      </c>
      <c r="K27" s="16" t="n">
        <f aca="false">E27*$B$7+G27*$B$8+I27*$B$9+J27*$B$10</f>
        <v>81.459</v>
      </c>
      <c r="L27" s="16" t="n">
        <f aca="false">E27*$C$7+G27*$C$8+I27*$C$9+J27*$C$10</f>
        <v>434.391</v>
      </c>
      <c r="M27" s="17" t="n">
        <f aca="false">E27*$D$7</f>
        <v>278.07</v>
      </c>
      <c r="N27" s="18"/>
    </row>
    <row r="28" customFormat="false" ht="15" hidden="false" customHeight="false" outlineLevel="0" collapsed="false">
      <c r="A28" s="5" t="n">
        <v>64</v>
      </c>
      <c r="B28" s="6" t="s">
        <v>80</v>
      </c>
      <c r="C28" s="14" t="n">
        <v>46260</v>
      </c>
      <c r="D28" s="5" t="n">
        <v>16</v>
      </c>
      <c r="E28" s="15" t="n">
        <v>69</v>
      </c>
      <c r="F28" s="5" t="n">
        <v>16</v>
      </c>
      <c r="G28" s="15" t="n">
        <v>14</v>
      </c>
      <c r="H28" s="5"/>
      <c r="I28" s="15" t="n">
        <v>0</v>
      </c>
      <c r="J28" s="15" t="n">
        <v>0</v>
      </c>
      <c r="K28" s="16" t="n">
        <f aca="false">E28*$B$7+G28*$B$8+I28*$B$9+J28*$B$10</f>
        <v>83.547</v>
      </c>
      <c r="L28" s="16" t="n">
        <f aca="false">E28*$C$7+G28*$C$8+I28*$C$9+J28*$C$10</f>
        <v>443.367</v>
      </c>
      <c r="M28" s="17" t="n">
        <f aca="false">E28*$D$7</f>
        <v>278.07</v>
      </c>
      <c r="N28" s="18"/>
    </row>
    <row r="29" customFormat="false" ht="15" hidden="false" customHeight="false" outlineLevel="0" collapsed="false">
      <c r="A29" s="5" t="n">
        <v>68</v>
      </c>
      <c r="B29" s="6" t="s">
        <v>81</v>
      </c>
      <c r="C29" s="14" t="n">
        <v>46261</v>
      </c>
      <c r="D29" s="5" t="n">
        <v>17</v>
      </c>
      <c r="E29" s="15" t="n">
        <v>34</v>
      </c>
      <c r="F29" s="5" t="n">
        <v>17</v>
      </c>
      <c r="G29" s="15" t="n">
        <v>4</v>
      </c>
      <c r="H29" s="5"/>
      <c r="I29" s="15" t="n">
        <v>0</v>
      </c>
      <c r="J29" s="15" t="n">
        <v>0</v>
      </c>
      <c r="K29" s="16" t="n">
        <f aca="false">E29*$B$7+G29*$B$8+I29*$B$9+J29*$B$10</f>
        <v>38.142</v>
      </c>
      <c r="L29" s="16" t="n">
        <f aca="false">E29*$C$7+G29*$C$8+I29*$C$9+J29*$C$10</f>
        <v>205.462</v>
      </c>
      <c r="M29" s="17" t="n">
        <f aca="false">E29*$D$7</f>
        <v>137.02</v>
      </c>
      <c r="N29" s="18"/>
    </row>
    <row r="30" customFormat="false" ht="15" hidden="false" customHeight="false" outlineLevel="0" collapsed="false">
      <c r="A30" s="5" t="n">
        <v>72</v>
      </c>
      <c r="B30" s="6" t="s">
        <v>82</v>
      </c>
      <c r="C30" s="14" t="n">
        <v>46262</v>
      </c>
      <c r="D30" s="5" t="n">
        <v>18</v>
      </c>
      <c r="E30" s="15" t="n">
        <v>69</v>
      </c>
      <c r="F30" s="5" t="n">
        <v>18</v>
      </c>
      <c r="G30" s="15" t="n">
        <v>16</v>
      </c>
      <c r="H30" s="5"/>
      <c r="I30" s="15" t="n">
        <v>0</v>
      </c>
      <c r="J30" s="15" t="n">
        <v>0</v>
      </c>
      <c r="K30" s="16" t="n">
        <f aca="false">E30*$B$7+G30*$B$8+I30*$B$9+J30*$B$10</f>
        <v>85.635</v>
      </c>
      <c r="L30" s="16" t="n">
        <f aca="false">E30*$C$7+G30*$C$8+I30*$C$9+J30*$C$10</f>
        <v>452.343</v>
      </c>
      <c r="M30" s="17" t="n">
        <f aca="false">E30*$D$7</f>
        <v>278.07</v>
      </c>
      <c r="N30" s="18"/>
    </row>
    <row r="31" customFormat="false" ht="15" hidden="false" customHeight="false" outlineLevel="0" collapsed="false">
      <c r="A31" s="5" t="n">
        <v>76</v>
      </c>
      <c r="B31" s="6" t="s">
        <v>83</v>
      </c>
      <c r="C31" s="14" t="n">
        <v>46263</v>
      </c>
      <c r="D31" s="5" t="n">
        <v>19</v>
      </c>
      <c r="E31" s="15" t="n">
        <v>69</v>
      </c>
      <c r="F31" s="5" t="n">
        <v>19</v>
      </c>
      <c r="G31" s="15" t="n">
        <v>16</v>
      </c>
      <c r="H31" s="5"/>
      <c r="I31" s="15" t="n">
        <v>0</v>
      </c>
      <c r="J31" s="15" t="n">
        <v>0</v>
      </c>
      <c r="K31" s="16" t="n">
        <f aca="false">E31*$B$7+G31*$B$8+I31*$B$9+J31*$B$10</f>
        <v>85.635</v>
      </c>
      <c r="L31" s="16" t="n">
        <f aca="false">E31*$C$7+G31*$C$8+I31*$C$9+J31*$C$10</f>
        <v>452.343</v>
      </c>
      <c r="M31" s="17" t="n">
        <f aca="false">E31*$D$7</f>
        <v>278.07</v>
      </c>
      <c r="N31" s="18"/>
    </row>
    <row r="32" customFormat="false" ht="15" hidden="false" customHeight="false" outlineLevel="0" collapsed="false">
      <c r="A32" s="5" t="n">
        <v>80</v>
      </c>
      <c r="B32" s="6" t="s">
        <v>84</v>
      </c>
      <c r="C32" s="14" t="n">
        <v>46264</v>
      </c>
      <c r="D32" s="5" t="n">
        <v>20</v>
      </c>
      <c r="E32" s="15" t="n">
        <v>57</v>
      </c>
      <c r="F32" s="5" t="n">
        <v>20</v>
      </c>
      <c r="G32" s="15" t="n">
        <v>12</v>
      </c>
      <c r="H32" s="5"/>
      <c r="I32" s="15" t="n">
        <v>0</v>
      </c>
      <c r="J32" s="15" t="n">
        <v>0</v>
      </c>
      <c r="K32" s="16" t="n">
        <f aca="false">E32*$B$7+G32*$B$8+I32*$B$9+J32*$B$10</f>
        <v>69.471</v>
      </c>
      <c r="L32" s="16" t="n">
        <f aca="false">E32*$C$7+G32*$C$8+I32*$C$9+J32*$C$10</f>
        <v>368.211</v>
      </c>
      <c r="M32" s="17" t="n">
        <f aca="false">E32*$D$7</f>
        <v>229.71</v>
      </c>
      <c r="N32" s="18"/>
    </row>
    <row r="33" customFormat="false" ht="23.85" hidden="false" customHeight="false" outlineLevel="0" collapsed="false">
      <c r="A33" s="5" t="n">
        <v>84</v>
      </c>
      <c r="B33" s="6" t="s">
        <v>84</v>
      </c>
      <c r="C33" s="14" t="n">
        <v>46264</v>
      </c>
      <c r="D33" s="5" t="n">
        <v>20</v>
      </c>
      <c r="E33" s="15" t="n">
        <v>0</v>
      </c>
      <c r="F33" s="5" t="n">
        <v>20</v>
      </c>
      <c r="G33" s="15" t="n">
        <v>0</v>
      </c>
      <c r="H33" s="5"/>
      <c r="I33" s="15" t="n">
        <v>0</v>
      </c>
      <c r="J33" s="15" t="n">
        <v>0</v>
      </c>
      <c r="K33" s="16" t="n">
        <f aca="false">E33*$B$7+G33*$B$8+I33*$B$9+J33*$B$10</f>
        <v>0</v>
      </c>
      <c r="L33" s="16" t="n">
        <f aca="false">E33*$C$7+G33*$C$8+I33*$C$9+J33*$C$10</f>
        <v>0</v>
      </c>
      <c r="M33" s="17" t="n">
        <f aca="false">E33*$D$7</f>
        <v>0</v>
      </c>
      <c r="N33" s="18" t="s">
        <v>85</v>
      </c>
    </row>
    <row r="34" customFormat="false" ht="15" hidden="false" customHeight="false" outlineLevel="0" collapsed="false">
      <c r="A34" s="5" t="n">
        <v>88</v>
      </c>
      <c r="B34" s="6" t="s">
        <v>86</v>
      </c>
      <c r="C34" s="14" t="n">
        <v>46265</v>
      </c>
      <c r="D34" s="5" t="n">
        <v>21</v>
      </c>
      <c r="E34" s="15" t="n">
        <v>84</v>
      </c>
      <c r="F34" s="5" t="n">
        <v>21</v>
      </c>
      <c r="G34" s="15" t="n">
        <v>16</v>
      </c>
      <c r="H34" s="5"/>
      <c r="I34" s="15" t="n">
        <v>0</v>
      </c>
      <c r="J34" s="15" t="n">
        <v>0</v>
      </c>
      <c r="K34" s="16" t="n">
        <f aca="false">E34*$B$7+G34*$B$8+I34*$B$9+J34*$B$10</f>
        <v>100.62</v>
      </c>
      <c r="L34" s="16" t="n">
        <f aca="false">E34*$C$7+G34*$C$8+I34*$C$9+J34*$C$10</f>
        <v>535.068</v>
      </c>
      <c r="M34" s="17" t="n">
        <f aca="false">E34*$D$7</f>
        <v>338.52</v>
      </c>
      <c r="N34" s="18"/>
    </row>
    <row r="35" customFormat="false" ht="15" hidden="false" customHeight="false" outlineLevel="0" collapsed="false">
      <c r="A35" s="5" t="n">
        <v>92</v>
      </c>
      <c r="B35" s="6" t="s">
        <v>87</v>
      </c>
      <c r="C35" s="14" t="n">
        <v>46266</v>
      </c>
      <c r="D35" s="5" t="n">
        <v>22</v>
      </c>
      <c r="E35" s="15" t="n">
        <v>83</v>
      </c>
      <c r="F35" s="5" t="n">
        <v>22</v>
      </c>
      <c r="G35" s="15" t="n">
        <v>12</v>
      </c>
      <c r="H35" s="5"/>
      <c r="I35" s="15" t="n">
        <v>0</v>
      </c>
      <c r="J35" s="15" t="n">
        <v>0</v>
      </c>
      <c r="K35" s="16" t="n">
        <f aca="false">E35*$B$7+G35*$B$8+I35*$B$9+J35*$B$10</f>
        <v>95.445</v>
      </c>
      <c r="L35" s="16" t="n">
        <f aca="false">E35*$C$7+G35*$C$8+I35*$C$9+J35*$C$10</f>
        <v>511.601</v>
      </c>
      <c r="M35" s="17" t="n">
        <f aca="false">E35*$D$7</f>
        <v>334.49</v>
      </c>
      <c r="N35" s="18"/>
    </row>
    <row r="36" customFormat="false" ht="15" hidden="false" customHeight="false" outlineLevel="0" collapsed="false">
      <c r="A36" s="5" t="n">
        <v>96</v>
      </c>
      <c r="B36" s="6" t="s">
        <v>87</v>
      </c>
      <c r="C36" s="14" t="n">
        <v>46267</v>
      </c>
      <c r="D36" s="5" t="n">
        <v>23</v>
      </c>
      <c r="E36" s="15" t="n">
        <v>84</v>
      </c>
      <c r="F36" s="5" t="n">
        <v>23</v>
      </c>
      <c r="G36" s="15" t="n">
        <v>12</v>
      </c>
      <c r="H36" s="5"/>
      <c r="I36" s="15" t="n">
        <v>0</v>
      </c>
      <c r="J36" s="15" t="n">
        <v>0</v>
      </c>
      <c r="K36" s="16" t="n">
        <f aca="false">E36*$B$7+G36*$B$8+I36*$B$9+J36*$B$10</f>
        <v>96.444</v>
      </c>
      <c r="L36" s="16" t="n">
        <f aca="false">E36*$C$7+G36*$C$8+I36*$C$9+J36*$C$10</f>
        <v>517.116</v>
      </c>
      <c r="M36" s="17" t="n">
        <f aca="false">E36*$D$7</f>
        <v>338.52</v>
      </c>
      <c r="N36" s="18"/>
    </row>
    <row r="37" customFormat="false" ht="15" hidden="false" customHeight="false" outlineLevel="0" collapsed="false">
      <c r="A37" s="5" t="n">
        <v>100</v>
      </c>
      <c r="B37" s="6" t="s">
        <v>88</v>
      </c>
      <c r="C37" s="14" t="n">
        <v>46268</v>
      </c>
      <c r="D37" s="5" t="n">
        <v>24</v>
      </c>
      <c r="E37" s="15" t="n">
        <v>84</v>
      </c>
      <c r="F37" s="5" t="n">
        <v>24</v>
      </c>
      <c r="G37" s="15" t="n">
        <v>16</v>
      </c>
      <c r="H37" s="5"/>
      <c r="I37" s="15" t="n">
        <v>0</v>
      </c>
      <c r="J37" s="15" t="n">
        <v>0</v>
      </c>
      <c r="K37" s="16" t="n">
        <f aca="false">E37*$B$7+G37*$B$8+I37*$B$9+J37*$B$10</f>
        <v>100.62</v>
      </c>
      <c r="L37" s="16" t="n">
        <f aca="false">E37*$C$7+G37*$C$8+I37*$C$9+J37*$C$10</f>
        <v>535.068</v>
      </c>
      <c r="M37" s="17" t="n">
        <f aca="false">E37*$D$7</f>
        <v>338.52</v>
      </c>
      <c r="N37" s="18"/>
    </row>
    <row r="38" customFormat="false" ht="15" hidden="false" customHeight="false" outlineLevel="0" collapsed="false">
      <c r="A38" s="5" t="n">
        <v>104</v>
      </c>
      <c r="B38" s="6" t="s">
        <v>89</v>
      </c>
      <c r="C38" s="14" t="n">
        <v>46269</v>
      </c>
      <c r="D38" s="5" t="n">
        <v>25</v>
      </c>
      <c r="E38" s="15" t="n">
        <v>84</v>
      </c>
      <c r="F38" s="5" t="n">
        <v>25</v>
      </c>
      <c r="G38" s="15" t="n">
        <v>15</v>
      </c>
      <c r="H38" s="5"/>
      <c r="I38" s="15" t="n">
        <v>0</v>
      </c>
      <c r="J38" s="15" t="n">
        <v>0</v>
      </c>
      <c r="K38" s="16" t="n">
        <f aca="false">E38*$B$7+G38*$B$8+I38*$B$9+J38*$B$10</f>
        <v>99.576</v>
      </c>
      <c r="L38" s="16" t="n">
        <f aca="false">E38*$C$7+G38*$C$8+I38*$C$9+J38*$C$10</f>
        <v>530.58</v>
      </c>
      <c r="M38" s="17" t="n">
        <f aca="false">E38*$D$7</f>
        <v>338.52</v>
      </c>
      <c r="N38" s="18"/>
    </row>
    <row r="39" customFormat="false" ht="15" hidden="false" customHeight="false" outlineLevel="0" collapsed="false">
      <c r="A39" s="5" t="n">
        <v>108</v>
      </c>
      <c r="B39" s="6" t="s">
        <v>90</v>
      </c>
      <c r="C39" s="14" t="n">
        <v>46270</v>
      </c>
      <c r="D39" s="5" t="n">
        <v>26</v>
      </c>
      <c r="E39" s="15" t="n">
        <v>64</v>
      </c>
      <c r="F39" s="5" t="n">
        <v>26</v>
      </c>
      <c r="G39" s="15" t="n">
        <v>12</v>
      </c>
      <c r="H39" s="5"/>
      <c r="I39" s="15" t="n">
        <v>0</v>
      </c>
      <c r="J39" s="15" t="n">
        <v>0</v>
      </c>
      <c r="K39" s="16" t="n">
        <f aca="false">E39*$B$7+G39*$B$8+I39*$B$9+J39*$B$10</f>
        <v>76.464</v>
      </c>
      <c r="L39" s="16" t="n">
        <f aca="false">E39*$C$7+G39*$C$8+I39*$C$9+J39*$C$10</f>
        <v>406.816</v>
      </c>
      <c r="M39" s="17" t="n">
        <f aca="false">E39*$D$7</f>
        <v>257.92</v>
      </c>
      <c r="N39" s="18"/>
    </row>
    <row r="40" customFormat="false" ht="15" hidden="false" customHeight="false" outlineLevel="0" collapsed="false">
      <c r="A40" s="5" t="n">
        <v>112</v>
      </c>
      <c r="B40" s="6" t="s">
        <v>91</v>
      </c>
      <c r="C40" s="14" t="n">
        <v>46271</v>
      </c>
      <c r="D40" s="5" t="n">
        <v>27</v>
      </c>
      <c r="E40" s="15" t="n">
        <v>84</v>
      </c>
      <c r="F40" s="5" t="n">
        <v>27</v>
      </c>
      <c r="G40" s="15" t="n">
        <v>16</v>
      </c>
      <c r="H40" s="5"/>
      <c r="I40" s="15" t="n">
        <v>0</v>
      </c>
      <c r="J40" s="15" t="n">
        <v>0</v>
      </c>
      <c r="K40" s="16" t="n">
        <f aca="false">E40*$B$7+G40*$B$8+I40*$B$9+J40*$B$10</f>
        <v>100.62</v>
      </c>
      <c r="L40" s="16" t="n">
        <f aca="false">E40*$C$7+G40*$C$8+I40*$C$9+J40*$C$10</f>
        <v>535.068</v>
      </c>
      <c r="M40" s="17" t="n">
        <f aca="false">E40*$D$7</f>
        <v>338.52</v>
      </c>
      <c r="N40" s="18"/>
    </row>
    <row r="41" customFormat="false" ht="15" hidden="false" customHeight="false" outlineLevel="0" collapsed="false">
      <c r="A41" s="5" t="n">
        <v>116</v>
      </c>
      <c r="B41" s="6" t="s">
        <v>92</v>
      </c>
      <c r="C41" s="14" t="n">
        <v>46272</v>
      </c>
      <c r="D41" s="5" t="n">
        <v>28</v>
      </c>
      <c r="E41" s="15" t="n">
        <v>84</v>
      </c>
      <c r="F41" s="5" t="n">
        <v>28</v>
      </c>
      <c r="G41" s="15" t="n">
        <v>16</v>
      </c>
      <c r="H41" s="5"/>
      <c r="I41" s="15" t="n">
        <v>0</v>
      </c>
      <c r="J41" s="15" t="n">
        <v>0</v>
      </c>
      <c r="K41" s="16" t="n">
        <f aca="false">E41*$B$7+G41*$B$8+I41*$B$9+J41*$B$10</f>
        <v>100.62</v>
      </c>
      <c r="L41" s="16" t="n">
        <f aca="false">E41*$C$7+G41*$C$8+I41*$C$9+J41*$C$10</f>
        <v>535.068</v>
      </c>
      <c r="M41" s="17" t="n">
        <f aca="false">E41*$D$7</f>
        <v>338.52</v>
      </c>
      <c r="N41" s="18"/>
    </row>
    <row r="42" customFormat="false" ht="15" hidden="false" customHeight="false" outlineLevel="0" collapsed="false">
      <c r="A42" s="5" t="n">
        <v>120</v>
      </c>
      <c r="B42" s="6" t="s">
        <v>93</v>
      </c>
      <c r="C42" s="14" t="n">
        <v>46273</v>
      </c>
      <c r="D42" s="5" t="n">
        <v>29</v>
      </c>
      <c r="E42" s="15" t="n">
        <v>84</v>
      </c>
      <c r="F42" s="5" t="n">
        <v>29</v>
      </c>
      <c r="G42" s="15" t="n">
        <v>16</v>
      </c>
      <c r="H42" s="5"/>
      <c r="I42" s="15" t="n">
        <v>0</v>
      </c>
      <c r="J42" s="15" t="n">
        <v>0</v>
      </c>
      <c r="K42" s="16" t="n">
        <f aca="false">E42*$B$7+G42*$B$8+I42*$B$9+J42*$B$10</f>
        <v>100.62</v>
      </c>
      <c r="L42" s="16" t="n">
        <f aca="false">E42*$C$7+G42*$C$8+I42*$C$9+J42*$C$10</f>
        <v>535.068</v>
      </c>
      <c r="M42" s="17" t="n">
        <f aca="false">E42*$D$7</f>
        <v>338.52</v>
      </c>
      <c r="N42" s="18"/>
    </row>
    <row r="43" customFormat="false" ht="23.85" hidden="false" customHeight="false" outlineLevel="0" collapsed="false">
      <c r="A43" s="5" t="n">
        <v>124</v>
      </c>
      <c r="B43" s="6" t="s">
        <v>94</v>
      </c>
      <c r="C43" s="14" t="n">
        <v>46273</v>
      </c>
      <c r="D43" s="5" t="n">
        <v>29</v>
      </c>
      <c r="E43" s="15" t="n">
        <v>0</v>
      </c>
      <c r="F43" s="5" t="n">
        <v>29</v>
      </c>
      <c r="G43" s="15" t="n">
        <v>0</v>
      </c>
      <c r="H43" s="5"/>
      <c r="I43" s="15" t="n">
        <v>0</v>
      </c>
      <c r="J43" s="15" t="n">
        <v>0</v>
      </c>
      <c r="K43" s="16" t="n">
        <f aca="false">E43*$B$7+G43*$B$8+I43*$B$9+J43*$B$10</f>
        <v>0</v>
      </c>
      <c r="L43" s="16" t="n">
        <f aca="false">E43*$C$7+G43*$C$8+I43*$C$9+J43*$C$10</f>
        <v>0</v>
      </c>
      <c r="M43" s="17" t="n">
        <f aca="false">E43*$D$7</f>
        <v>0</v>
      </c>
      <c r="N43" s="18" t="s">
        <v>95</v>
      </c>
    </row>
    <row r="44" customFormat="false" ht="15" hidden="false" customHeight="false" outlineLevel="0" collapsed="false">
      <c r="A44" s="5" t="n">
        <v>128</v>
      </c>
      <c r="B44" s="6" t="s">
        <v>96</v>
      </c>
      <c r="C44" s="14" t="n">
        <v>46274</v>
      </c>
      <c r="D44" s="5" t="n">
        <v>30</v>
      </c>
      <c r="E44" s="15" t="n">
        <v>84</v>
      </c>
      <c r="F44" s="5" t="n">
        <v>30</v>
      </c>
      <c r="G44" s="15" t="n">
        <v>16</v>
      </c>
      <c r="H44" s="5"/>
      <c r="I44" s="15" t="n">
        <v>0</v>
      </c>
      <c r="J44" s="15" t="n">
        <v>0</v>
      </c>
      <c r="K44" s="16" t="n">
        <f aca="false">E44*$B$7+G44*$B$8+I44*$B$9+J44*$B$10</f>
        <v>100.62</v>
      </c>
      <c r="L44" s="16" t="n">
        <f aca="false">E44*$C$7+G44*$C$8+I44*$C$9+J44*$C$10</f>
        <v>535.068</v>
      </c>
      <c r="M44" s="17" t="n">
        <f aca="false">E44*$D$7</f>
        <v>338.52</v>
      </c>
      <c r="N44" s="18"/>
    </row>
    <row r="45" customFormat="false" ht="23.85" hidden="false" customHeight="false" outlineLevel="0" collapsed="false">
      <c r="A45" s="5" t="n">
        <v>132</v>
      </c>
      <c r="B45" s="6" t="s">
        <v>96</v>
      </c>
      <c r="C45" s="14" t="n">
        <v>46275</v>
      </c>
      <c r="D45" s="5" t="n">
        <v>30</v>
      </c>
      <c r="E45" s="15" t="n">
        <v>0</v>
      </c>
      <c r="F45" s="5" t="n">
        <v>30</v>
      </c>
      <c r="G45" s="15" t="n">
        <v>0</v>
      </c>
      <c r="H45" s="5"/>
      <c r="I45" s="15" t="n">
        <v>0</v>
      </c>
      <c r="J45" s="15" t="n">
        <v>0</v>
      </c>
      <c r="K45" s="16" t="n">
        <f aca="false">E45*$B$7+G45*$B$8+I45*$B$9+J45*$B$10</f>
        <v>0</v>
      </c>
      <c r="L45" s="16" t="n">
        <f aca="false">E45*$C$7+G45*$C$8+I45*$C$9+J45*$C$10</f>
        <v>0</v>
      </c>
      <c r="M45" s="17" t="n">
        <f aca="false">E45*$D$7</f>
        <v>0</v>
      </c>
      <c r="N45" s="18" t="s">
        <v>97</v>
      </c>
    </row>
    <row r="46" customFormat="false" ht="15" hidden="false" customHeight="false" outlineLevel="0" collapsed="false">
      <c r="A46" s="5" t="n">
        <v>136</v>
      </c>
      <c r="B46" s="6" t="s">
        <v>98</v>
      </c>
      <c r="C46" s="14" t="n">
        <v>46276</v>
      </c>
      <c r="D46" s="5" t="n">
        <v>31</v>
      </c>
      <c r="E46" s="15" t="n">
        <v>84</v>
      </c>
      <c r="F46" s="5" t="n">
        <v>31</v>
      </c>
      <c r="G46" s="15" t="n">
        <v>16</v>
      </c>
      <c r="H46" s="5"/>
      <c r="I46" s="15" t="n">
        <v>0</v>
      </c>
      <c r="J46" s="15" t="n">
        <v>0</v>
      </c>
      <c r="K46" s="16" t="n">
        <f aca="false">E46*$B$7+G46*$B$8+I46*$B$9+J46*$B$10</f>
        <v>100.62</v>
      </c>
      <c r="L46" s="16" t="n">
        <f aca="false">E46*$C$7+G46*$C$8+I46*$C$9+J46*$C$10</f>
        <v>535.068</v>
      </c>
      <c r="M46" s="17" t="n">
        <f aca="false">E46*$D$7</f>
        <v>338.52</v>
      </c>
      <c r="N46" s="18"/>
    </row>
    <row r="47" customFormat="false" ht="15" hidden="false" customHeight="false" outlineLevel="0" collapsed="false">
      <c r="A47" s="5" t="n">
        <v>140</v>
      </c>
      <c r="B47" s="6" t="s">
        <v>99</v>
      </c>
      <c r="C47" s="14" t="n">
        <v>46277</v>
      </c>
      <c r="D47" s="5" t="n">
        <v>32</v>
      </c>
      <c r="E47" s="15" t="n">
        <v>84</v>
      </c>
      <c r="F47" s="5" t="n">
        <v>32</v>
      </c>
      <c r="G47" s="15" t="n">
        <v>16</v>
      </c>
      <c r="H47" s="5"/>
      <c r="I47" s="15" t="n">
        <v>0</v>
      </c>
      <c r="J47" s="15" t="n">
        <v>0</v>
      </c>
      <c r="K47" s="16" t="n">
        <f aca="false">E47*$B$7+G47*$B$8+I47*$B$9+J47*$B$10</f>
        <v>100.62</v>
      </c>
      <c r="L47" s="16" t="n">
        <f aca="false">E47*$C$7+G47*$C$8+I47*$C$9+J47*$C$10</f>
        <v>535.068</v>
      </c>
      <c r="M47" s="17" t="n">
        <f aca="false">E47*$D$7</f>
        <v>338.52</v>
      </c>
      <c r="N47" s="18"/>
    </row>
    <row r="48" customFormat="false" ht="15" hidden="false" customHeight="false" outlineLevel="0" collapsed="false">
      <c r="A48" s="5" t="n">
        <v>144</v>
      </c>
      <c r="B48" s="6" t="s">
        <v>100</v>
      </c>
      <c r="C48" s="14" t="n">
        <v>46278</v>
      </c>
      <c r="D48" s="5" t="n">
        <v>33</v>
      </c>
      <c r="E48" s="15" t="n">
        <v>84</v>
      </c>
      <c r="F48" s="5" t="n">
        <v>33</v>
      </c>
      <c r="G48" s="15" t="n">
        <v>8</v>
      </c>
      <c r="H48" s="5"/>
      <c r="I48" s="15" t="n">
        <v>0</v>
      </c>
      <c r="J48" s="15" t="n">
        <v>0</v>
      </c>
      <c r="K48" s="16" t="n">
        <f aca="false">E48*$B$7+G48*$B$8+I48*$B$9+J48*$B$10</f>
        <v>92.268</v>
      </c>
      <c r="L48" s="16" t="n">
        <f aca="false">E48*$C$7+G48*$C$8+I48*$C$9+J48*$C$10</f>
        <v>499.164</v>
      </c>
      <c r="M48" s="17" t="n">
        <f aca="false">E48*$D$7</f>
        <v>338.52</v>
      </c>
      <c r="N48" s="18"/>
    </row>
    <row r="49" customFormat="false" ht="15" hidden="false" customHeight="false" outlineLevel="0" collapsed="false">
      <c r="A49" s="5" t="n">
        <v>148</v>
      </c>
      <c r="B49" s="6" t="s">
        <v>101</v>
      </c>
      <c r="C49" s="14" t="n">
        <v>46284</v>
      </c>
      <c r="D49" s="5" t="n">
        <v>34</v>
      </c>
      <c r="E49" s="15" t="n">
        <v>42</v>
      </c>
      <c r="F49" s="5" t="n">
        <v>34</v>
      </c>
      <c r="G49" s="15" t="n">
        <v>8</v>
      </c>
      <c r="H49" s="5" t="n">
        <v>1</v>
      </c>
      <c r="I49" s="15" t="n">
        <v>10</v>
      </c>
      <c r="J49" s="15" t="n">
        <v>10</v>
      </c>
      <c r="K49" s="16" t="n">
        <f aca="false">E49*$B$7+G49*$B$8+I49*$B$9+J49*$B$10</f>
        <v>68.22</v>
      </c>
      <c r="L49" s="16" t="n">
        <f aca="false">E49*$C$7+G49*$C$8+I49*$C$9+J49*$C$10</f>
        <v>374.484</v>
      </c>
      <c r="M49" s="17" t="n">
        <f aca="false">E49*$D$7</f>
        <v>169.26</v>
      </c>
      <c r="N49" s="18"/>
    </row>
    <row r="50" customFormat="false" ht="15" hidden="false" customHeight="false" outlineLevel="0" collapsed="false">
      <c r="A50" s="5" t="n">
        <v>152</v>
      </c>
      <c r="B50" s="6" t="s">
        <v>102</v>
      </c>
      <c r="C50" s="14" t="n">
        <v>46285</v>
      </c>
      <c r="D50" s="5" t="n">
        <v>35</v>
      </c>
      <c r="E50" s="15" t="n">
        <v>84</v>
      </c>
      <c r="F50" s="5" t="n">
        <v>35</v>
      </c>
      <c r="G50" s="15" t="n">
        <v>16</v>
      </c>
      <c r="H50" s="5" t="n">
        <v>2</v>
      </c>
      <c r="I50" s="15" t="n">
        <v>10</v>
      </c>
      <c r="J50" s="15" t="n">
        <v>10</v>
      </c>
      <c r="K50" s="16" t="n">
        <f aca="false">E50*$B$7+G50*$B$8+I50*$B$9+J50*$B$10</f>
        <v>118.53</v>
      </c>
      <c r="L50" s="16" t="n">
        <f aca="false">E50*$C$7+G50*$C$8+I50*$C$9+J50*$C$10</f>
        <v>642.018</v>
      </c>
      <c r="M50" s="17" t="n">
        <f aca="false">E50*$D$7</f>
        <v>338.52</v>
      </c>
      <c r="N50" s="18"/>
    </row>
    <row r="51" customFormat="false" ht="15" hidden="false" customHeight="false" outlineLevel="0" collapsed="false">
      <c r="A51" s="5" t="n">
        <v>156</v>
      </c>
      <c r="B51" s="6" t="s">
        <v>103</v>
      </c>
      <c r="C51" s="14" t="n">
        <v>46286</v>
      </c>
      <c r="D51" s="5" t="n">
        <v>36</v>
      </c>
      <c r="E51" s="15" t="n">
        <v>84</v>
      </c>
      <c r="F51" s="5" t="n">
        <v>36</v>
      </c>
      <c r="G51" s="15" t="n">
        <v>14</v>
      </c>
      <c r="H51" s="5" t="n">
        <v>3</v>
      </c>
      <c r="I51" s="15" t="n">
        <v>10</v>
      </c>
      <c r="J51" s="15" t="n">
        <v>10</v>
      </c>
      <c r="K51" s="16" t="n">
        <f aca="false">E51*$B$7+G51*$B$8+I51*$B$9+J51*$B$10</f>
        <v>116.442</v>
      </c>
      <c r="L51" s="16" t="n">
        <f aca="false">E51*$C$7+G51*$C$8+I51*$C$9+J51*$C$10</f>
        <v>633.042</v>
      </c>
      <c r="M51" s="17" t="n">
        <f aca="false">E51*$D$7</f>
        <v>338.52</v>
      </c>
      <c r="N51" s="18"/>
    </row>
    <row r="52" customFormat="false" ht="15" hidden="false" customHeight="false" outlineLevel="0" collapsed="false">
      <c r="A52" s="5" t="n">
        <v>160</v>
      </c>
      <c r="B52" s="6" t="s">
        <v>104</v>
      </c>
      <c r="C52" s="14" t="n">
        <v>46287</v>
      </c>
      <c r="D52" s="5" t="n">
        <v>37</v>
      </c>
      <c r="E52" s="15" t="n">
        <v>84</v>
      </c>
      <c r="F52" s="5" t="n">
        <v>37</v>
      </c>
      <c r="G52" s="15" t="n">
        <v>16</v>
      </c>
      <c r="H52" s="5" t="n">
        <v>4</v>
      </c>
      <c r="I52" s="15" t="n">
        <v>10</v>
      </c>
      <c r="J52" s="15" t="n">
        <v>10</v>
      </c>
      <c r="K52" s="16" t="n">
        <f aca="false">E52*$B$7+G52*$B$8+I52*$B$9+J52*$B$10</f>
        <v>118.53</v>
      </c>
      <c r="L52" s="16" t="n">
        <f aca="false">E52*$C$7+G52*$C$8+I52*$C$9+J52*$C$10</f>
        <v>642.018</v>
      </c>
      <c r="M52" s="17" t="n">
        <f aca="false">E52*$D$7</f>
        <v>338.52</v>
      </c>
      <c r="N52" s="18"/>
    </row>
    <row r="53" customFormat="false" ht="15" hidden="false" customHeight="false" outlineLevel="0" collapsed="false">
      <c r="A53" s="5" t="n">
        <v>164</v>
      </c>
      <c r="B53" s="6" t="s">
        <v>105</v>
      </c>
      <c r="C53" s="14" t="n">
        <v>46288</v>
      </c>
      <c r="D53" s="5" t="n">
        <v>38</v>
      </c>
      <c r="E53" s="15" t="n">
        <v>88</v>
      </c>
      <c r="F53" s="5" t="n">
        <v>38</v>
      </c>
      <c r="G53" s="15" t="n">
        <v>16</v>
      </c>
      <c r="H53" s="5"/>
      <c r="I53" s="15" t="n">
        <v>0</v>
      </c>
      <c r="J53" s="15" t="n">
        <v>0</v>
      </c>
      <c r="K53" s="16" t="n">
        <f aca="false">E53*$B$7+G53*$B$8+I53*$B$9+J53*$B$10</f>
        <v>104.616</v>
      </c>
      <c r="L53" s="16" t="n">
        <f aca="false">E53*$C$7+G53*$C$8+I53*$C$9+J53*$C$10</f>
        <v>557.128</v>
      </c>
      <c r="M53" s="17" t="n">
        <f aca="false">E53*$D$7</f>
        <v>354.64</v>
      </c>
      <c r="N53" s="18"/>
    </row>
    <row r="54" customFormat="false" ht="15" hidden="false" customHeight="false" outlineLevel="0" collapsed="false">
      <c r="A54" s="5" t="n">
        <v>168</v>
      </c>
      <c r="B54" s="6" t="s">
        <v>106</v>
      </c>
      <c r="C54" s="14" t="n">
        <v>46289</v>
      </c>
      <c r="D54" s="5" t="n">
        <v>39</v>
      </c>
      <c r="E54" s="15" t="n">
        <v>84</v>
      </c>
      <c r="F54" s="5" t="n">
        <v>39</v>
      </c>
      <c r="G54" s="15" t="n">
        <v>16</v>
      </c>
      <c r="H54" s="5" t="n">
        <v>6</v>
      </c>
      <c r="I54" s="15" t="n">
        <v>8</v>
      </c>
      <c r="J54" s="15" t="n">
        <v>5</v>
      </c>
      <c r="K54" s="16" t="n">
        <f aca="false">E54*$B$7+G54*$B$8+I54*$B$9+J54*$B$10</f>
        <v>112.302</v>
      </c>
      <c r="L54" s="16" t="n">
        <f aca="false">E54*$C$7+G54*$C$8+I54*$C$9+J54*$C$10</f>
        <v>604.8</v>
      </c>
      <c r="M54" s="17" t="n">
        <f aca="false">E54*$D$7</f>
        <v>338.52</v>
      </c>
      <c r="N54" s="18"/>
    </row>
    <row r="55" customFormat="false" ht="23.85" hidden="false" customHeight="false" outlineLevel="0" collapsed="false">
      <c r="A55" s="5" t="n">
        <v>172</v>
      </c>
      <c r="B55" s="6" t="s">
        <v>107</v>
      </c>
      <c r="C55" s="14" t="n">
        <v>46290</v>
      </c>
      <c r="D55" s="5" t="n">
        <v>38</v>
      </c>
      <c r="E55" s="15" t="n">
        <v>0</v>
      </c>
      <c r="F55" s="5" t="n">
        <v>38</v>
      </c>
      <c r="G55" s="15" t="n">
        <v>0</v>
      </c>
      <c r="H55" s="5" t="n">
        <v>7</v>
      </c>
      <c r="I55" s="15" t="n">
        <v>5</v>
      </c>
      <c r="J55" s="15" t="n">
        <v>5</v>
      </c>
      <c r="K55" s="16" t="n">
        <f aca="false">E55*$B$7+G55*$B$8+I55*$B$9+J55*$B$10</f>
        <v>8.955</v>
      </c>
      <c r="L55" s="16" t="n">
        <f aca="false">E55*$C$7+G55*$C$8+I55*$C$9+J55*$C$10</f>
        <v>53.475</v>
      </c>
      <c r="M55" s="17" t="n">
        <f aca="false">E55*$D$7</f>
        <v>0</v>
      </c>
      <c r="N55" s="18" t="s">
        <v>108</v>
      </c>
    </row>
    <row r="56" customFormat="false" ht="23.85" hidden="false" customHeight="false" outlineLevel="0" collapsed="false">
      <c r="A56" s="5" t="n">
        <v>176</v>
      </c>
      <c r="B56" s="6" t="s">
        <v>109</v>
      </c>
      <c r="C56" s="14" t="n">
        <v>46291</v>
      </c>
      <c r="D56" s="5" t="n">
        <v>39</v>
      </c>
      <c r="E56" s="15" t="n">
        <v>0</v>
      </c>
      <c r="F56" s="5" t="n">
        <v>39</v>
      </c>
      <c r="G56" s="15" t="n">
        <v>0</v>
      </c>
      <c r="H56" s="5" t="n">
        <v>8</v>
      </c>
      <c r="I56" s="15" t="n">
        <v>10</v>
      </c>
      <c r="J56" s="15" t="n">
        <v>10</v>
      </c>
      <c r="K56" s="16" t="n">
        <f aca="false">E56*$B$7+G56*$B$8+I56*$B$9+J56*$B$10</f>
        <v>17.91</v>
      </c>
      <c r="L56" s="16" t="n">
        <f aca="false">E56*$C$7+G56*$C$8+I56*$C$9+J56*$C$10</f>
        <v>106.95</v>
      </c>
      <c r="M56" s="17" t="n">
        <f aca="false">E56*$D$7</f>
        <v>0</v>
      </c>
      <c r="N56" s="18" t="s">
        <v>110</v>
      </c>
    </row>
    <row r="57" customFormat="false" ht="15" hidden="false" customHeight="false" outlineLevel="0" collapsed="false">
      <c r="A57" s="5" t="n">
        <v>180</v>
      </c>
      <c r="B57" s="6" t="s">
        <v>111</v>
      </c>
      <c r="C57" s="14" t="n">
        <v>46293</v>
      </c>
      <c r="D57" s="5" t="n">
        <v>40</v>
      </c>
      <c r="E57" s="15" t="n">
        <v>84</v>
      </c>
      <c r="F57" s="5" t="n">
        <v>40</v>
      </c>
      <c r="G57" s="15" t="n">
        <v>16</v>
      </c>
      <c r="H57" s="5" t="n">
        <v>9</v>
      </c>
      <c r="I57" s="15" t="n">
        <v>10</v>
      </c>
      <c r="J57" s="15" t="n">
        <v>10</v>
      </c>
      <c r="K57" s="16" t="n">
        <f aca="false">E57*$B$7+G57*$B$8+I57*$B$9+J57*$B$10</f>
        <v>118.53</v>
      </c>
      <c r="L57" s="16" t="n">
        <f aca="false">E57*$C$7+G57*$C$8+I57*$C$9+J57*$C$10</f>
        <v>642.018</v>
      </c>
      <c r="M57" s="17" t="n">
        <f aca="false">E57*$D$7</f>
        <v>338.52</v>
      </c>
      <c r="N57" s="18"/>
    </row>
    <row r="58" customFormat="false" ht="15" hidden="false" customHeight="false" outlineLevel="0" collapsed="false">
      <c r="A58" s="5" t="n">
        <v>184</v>
      </c>
      <c r="B58" s="6" t="s">
        <v>112</v>
      </c>
      <c r="C58" s="14" t="n">
        <v>46294</v>
      </c>
      <c r="D58" s="5" t="n">
        <v>41</v>
      </c>
      <c r="E58" s="15" t="n">
        <v>88</v>
      </c>
      <c r="F58" s="5" t="n">
        <v>41</v>
      </c>
      <c r="G58" s="15" t="n">
        <v>16</v>
      </c>
      <c r="H58" s="5" t="n">
        <v>10</v>
      </c>
      <c r="I58" s="15" t="n">
        <v>10</v>
      </c>
      <c r="J58" s="15" t="n">
        <v>10</v>
      </c>
      <c r="K58" s="16" t="n">
        <f aca="false">E58*$B$7+G58*$B$8+I58*$B$9+J58*$B$10</f>
        <v>122.526</v>
      </c>
      <c r="L58" s="16" t="n">
        <f aca="false">E58*$C$7+G58*$C$8+I58*$C$9+J58*$C$10</f>
        <v>664.078</v>
      </c>
      <c r="M58" s="17" t="n">
        <f aca="false">E58*$D$7</f>
        <v>354.64</v>
      </c>
      <c r="N58" s="18"/>
    </row>
    <row r="59" customFormat="false" ht="15" hidden="false" customHeight="false" outlineLevel="0" collapsed="false">
      <c r="A59" s="5" t="n">
        <v>188</v>
      </c>
      <c r="B59" s="6" t="s">
        <v>113</v>
      </c>
      <c r="C59" s="14" t="n">
        <v>46295</v>
      </c>
      <c r="D59" s="5" t="n">
        <v>42</v>
      </c>
      <c r="E59" s="15" t="n">
        <v>84</v>
      </c>
      <c r="F59" s="5" t="n">
        <v>42</v>
      </c>
      <c r="G59" s="15" t="n">
        <v>16</v>
      </c>
      <c r="H59" s="5" t="n">
        <v>11</v>
      </c>
      <c r="I59" s="15" t="n">
        <v>10</v>
      </c>
      <c r="J59" s="15" t="n">
        <v>10</v>
      </c>
      <c r="K59" s="16" t="n">
        <f aca="false">E59*$B$7+G59*$B$8+I59*$B$9+J59*$B$10</f>
        <v>118.53</v>
      </c>
      <c r="L59" s="16" t="n">
        <f aca="false">E59*$C$7+G59*$C$8+I59*$C$9+J59*$C$10</f>
        <v>642.018</v>
      </c>
      <c r="M59" s="17" t="n">
        <f aca="false">E59*$D$7</f>
        <v>338.52</v>
      </c>
      <c r="N59" s="18"/>
    </row>
    <row r="60" customFormat="false" ht="15" hidden="false" customHeight="false" outlineLevel="0" collapsed="false">
      <c r="A60" s="5" t="n">
        <v>192</v>
      </c>
      <c r="B60" s="6" t="s">
        <v>114</v>
      </c>
      <c r="C60" s="14" t="n">
        <v>46296</v>
      </c>
      <c r="D60" s="5" t="n">
        <v>43</v>
      </c>
      <c r="E60" s="15" t="n">
        <v>84</v>
      </c>
      <c r="F60" s="5" t="n">
        <v>43</v>
      </c>
      <c r="G60" s="15" t="n">
        <v>16</v>
      </c>
      <c r="H60" s="5" t="n">
        <v>12</v>
      </c>
      <c r="I60" s="15" t="n">
        <v>10</v>
      </c>
      <c r="J60" s="15" t="n">
        <v>10</v>
      </c>
      <c r="K60" s="16" t="n">
        <f aca="false">E60*$B$7+G60*$B$8+I60*$B$9+J60*$B$10</f>
        <v>118.53</v>
      </c>
      <c r="L60" s="16" t="n">
        <f aca="false">E60*$C$7+G60*$C$8+I60*$C$9+J60*$C$10</f>
        <v>642.018</v>
      </c>
      <c r="M60" s="17" t="n">
        <f aca="false">E60*$D$7</f>
        <v>338.52</v>
      </c>
      <c r="N60" s="18"/>
    </row>
    <row r="61" customFormat="false" ht="15" hidden="false" customHeight="false" outlineLevel="0" collapsed="false">
      <c r="A61" s="5" t="n">
        <v>196</v>
      </c>
      <c r="B61" s="6" t="s">
        <v>115</v>
      </c>
      <c r="C61" s="14" t="n">
        <v>46297</v>
      </c>
      <c r="D61" s="5" t="n">
        <v>44</v>
      </c>
      <c r="E61" s="15" t="n">
        <v>84</v>
      </c>
      <c r="F61" s="5" t="n">
        <v>44</v>
      </c>
      <c r="G61" s="15" t="n">
        <v>16</v>
      </c>
      <c r="H61" s="5" t="n">
        <v>13</v>
      </c>
      <c r="I61" s="15" t="n">
        <v>10</v>
      </c>
      <c r="J61" s="15" t="n">
        <v>10</v>
      </c>
      <c r="K61" s="16" t="n">
        <f aca="false">E61*$B$7+G61*$B$8+I61*$B$9+J61*$B$10</f>
        <v>118.53</v>
      </c>
      <c r="L61" s="16" t="n">
        <f aca="false">E61*$C$7+G61*$C$8+I61*$C$9+J61*$C$10</f>
        <v>642.018</v>
      </c>
      <c r="M61" s="17" t="n">
        <f aca="false">E61*$D$7</f>
        <v>338.52</v>
      </c>
      <c r="N61" s="18"/>
    </row>
    <row r="62" customFormat="false" ht="15" hidden="false" customHeight="false" outlineLevel="0" collapsed="false">
      <c r="A62" s="5" t="n">
        <v>200</v>
      </c>
      <c r="B62" s="6" t="s">
        <v>116</v>
      </c>
      <c r="C62" s="14" t="n">
        <v>46297</v>
      </c>
      <c r="D62" s="5" t="n">
        <v>45</v>
      </c>
      <c r="E62" s="15" t="n">
        <v>84</v>
      </c>
      <c r="F62" s="5" t="n">
        <v>45</v>
      </c>
      <c r="G62" s="15" t="n">
        <v>16</v>
      </c>
      <c r="H62" s="5" t="n">
        <v>14</v>
      </c>
      <c r="I62" s="15" t="n">
        <v>10</v>
      </c>
      <c r="J62" s="15" t="n">
        <v>10</v>
      </c>
      <c r="K62" s="16" t="n">
        <f aca="false">E62*$B$7+G62*$B$8+I62*$B$9+J62*$B$10</f>
        <v>118.53</v>
      </c>
      <c r="L62" s="16" t="n">
        <f aca="false">E62*$C$7+G62*$C$8+I62*$C$9+J62*$C$10</f>
        <v>642.018</v>
      </c>
      <c r="M62" s="17" t="n">
        <f aca="false">E62*$D$7</f>
        <v>338.52</v>
      </c>
      <c r="N62" s="18"/>
    </row>
    <row r="63" customFormat="false" ht="23.85" hidden="false" customHeight="false" outlineLevel="0" collapsed="false">
      <c r="A63" s="5" t="n">
        <v>204</v>
      </c>
      <c r="B63" s="6" t="s">
        <v>116</v>
      </c>
      <c r="C63" s="14" t="n">
        <v>46298</v>
      </c>
      <c r="D63" s="5" t="n">
        <v>45</v>
      </c>
      <c r="E63" s="15" t="n">
        <v>0</v>
      </c>
      <c r="F63" s="5" t="n">
        <v>45</v>
      </c>
      <c r="G63" s="15" t="n">
        <v>0</v>
      </c>
      <c r="H63" s="5" t="n">
        <v>14</v>
      </c>
      <c r="I63" s="15" t="n">
        <v>0</v>
      </c>
      <c r="J63" s="15" t="n">
        <v>0</v>
      </c>
      <c r="K63" s="16" t="n">
        <f aca="false">E63*$B$7+G63*$B$8+I63*$B$9+J63*$B$10</f>
        <v>0</v>
      </c>
      <c r="L63" s="16" t="n">
        <f aca="false">E63*$C$7+G63*$C$8+I63*$C$9+J63*$C$10</f>
        <v>0</v>
      </c>
      <c r="M63" s="17" t="n">
        <f aca="false">E63*$D$7</f>
        <v>0</v>
      </c>
      <c r="N63" s="18" t="s">
        <v>117</v>
      </c>
    </row>
    <row r="64" customFormat="false" ht="15" hidden="false" customHeight="false" outlineLevel="0" collapsed="false">
      <c r="A64" s="5" t="n">
        <v>208</v>
      </c>
      <c r="B64" s="6" t="s">
        <v>118</v>
      </c>
      <c r="C64" s="14" t="n">
        <v>46299</v>
      </c>
      <c r="D64" s="5" t="n">
        <v>46</v>
      </c>
      <c r="E64" s="15" t="n">
        <v>68</v>
      </c>
      <c r="F64" s="5" t="n">
        <v>46</v>
      </c>
      <c r="G64" s="15" t="n">
        <v>8</v>
      </c>
      <c r="H64" s="5" t="n">
        <v>15</v>
      </c>
      <c r="I64" s="15" t="n">
        <v>5</v>
      </c>
      <c r="J64" s="15" t="n">
        <v>5</v>
      </c>
      <c r="K64" s="16" t="n">
        <f aca="false">E64*$B$7+G64*$B$8+I64*$B$9+J64*$B$10</f>
        <v>85.239</v>
      </c>
      <c r="L64" s="16" t="n">
        <f aca="false">E64*$C$7+G64*$C$8+I64*$C$9+J64*$C$10</f>
        <v>464.399</v>
      </c>
      <c r="M64" s="17" t="n">
        <f aca="false">E64*$D$7</f>
        <v>274.04</v>
      </c>
      <c r="N64" s="18"/>
    </row>
    <row r="65" customFormat="false" ht="15" hidden="false" customHeight="false" outlineLevel="0" collapsed="false">
      <c r="A65" s="5" t="n">
        <v>212</v>
      </c>
      <c r="B65" s="6" t="s">
        <v>119</v>
      </c>
      <c r="C65" s="14" t="n">
        <v>46300</v>
      </c>
      <c r="D65" s="5" t="n">
        <v>47</v>
      </c>
      <c r="E65" s="15" t="n">
        <v>84</v>
      </c>
      <c r="F65" s="5" t="n">
        <v>47</v>
      </c>
      <c r="G65" s="15" t="n">
        <v>16</v>
      </c>
      <c r="H65" s="5" t="n">
        <v>16</v>
      </c>
      <c r="I65" s="15" t="n">
        <v>10</v>
      </c>
      <c r="J65" s="15" t="n">
        <v>10</v>
      </c>
      <c r="K65" s="16" t="n">
        <f aca="false">E65*$B$7+G65*$B$8+I65*$B$9+J65*$B$10</f>
        <v>118.53</v>
      </c>
      <c r="L65" s="16" t="n">
        <f aca="false">E65*$C$7+G65*$C$8+I65*$C$9+J65*$C$10</f>
        <v>642.018</v>
      </c>
      <c r="M65" s="17" t="n">
        <f aca="false">E65*$D$7</f>
        <v>338.52</v>
      </c>
      <c r="N65" s="18"/>
    </row>
    <row r="66" customFormat="false" ht="15" hidden="false" customHeight="false" outlineLevel="0" collapsed="false">
      <c r="A66" s="5" t="n">
        <v>216</v>
      </c>
      <c r="B66" s="6" t="s">
        <v>120</v>
      </c>
      <c r="C66" s="14" t="n">
        <v>46301</v>
      </c>
      <c r="D66" s="5" t="n">
        <v>48</v>
      </c>
      <c r="E66" s="15" t="n">
        <v>84</v>
      </c>
      <c r="F66" s="5" t="n">
        <v>48</v>
      </c>
      <c r="G66" s="15" t="n">
        <v>12</v>
      </c>
      <c r="H66" s="5" t="n">
        <v>17</v>
      </c>
      <c r="I66" s="15" t="n">
        <v>10</v>
      </c>
      <c r="J66" s="15" t="n">
        <v>10</v>
      </c>
      <c r="K66" s="16" t="n">
        <f aca="false">E66*$B$7+G66*$B$8+I66*$B$9+J66*$B$10</f>
        <v>114.354</v>
      </c>
      <c r="L66" s="16" t="n">
        <f aca="false">E66*$C$7+G66*$C$8+I66*$C$9+J66*$C$10</f>
        <v>624.066</v>
      </c>
      <c r="M66" s="17" t="n">
        <f aca="false">E66*$D$7</f>
        <v>338.52</v>
      </c>
      <c r="N66" s="18"/>
    </row>
    <row r="67" customFormat="false" ht="15" hidden="false" customHeight="false" outlineLevel="0" collapsed="false">
      <c r="A67" s="5" t="n">
        <v>220</v>
      </c>
      <c r="B67" s="6" t="s">
        <v>121</v>
      </c>
      <c r="C67" s="14" t="n">
        <v>46302</v>
      </c>
      <c r="D67" s="5" t="n">
        <v>49</v>
      </c>
      <c r="E67" s="15" t="n">
        <v>84</v>
      </c>
      <c r="F67" s="5" t="n">
        <v>49</v>
      </c>
      <c r="G67" s="15" t="n">
        <v>16</v>
      </c>
      <c r="H67" s="5" t="n">
        <v>18</v>
      </c>
      <c r="I67" s="15" t="n">
        <v>10</v>
      </c>
      <c r="J67" s="15" t="n">
        <v>10</v>
      </c>
      <c r="K67" s="16" t="n">
        <f aca="false">E67*$B$7+G67*$B$8+I67*$B$9+J67*$B$10</f>
        <v>118.53</v>
      </c>
      <c r="L67" s="16" t="n">
        <f aca="false">E67*$C$7+G67*$C$8+I67*$C$9+J67*$C$10</f>
        <v>642.018</v>
      </c>
      <c r="M67" s="17" t="n">
        <f aca="false">E67*$D$7</f>
        <v>338.52</v>
      </c>
      <c r="N67" s="18"/>
    </row>
    <row r="68" customFormat="false" ht="15" hidden="false" customHeight="false" outlineLevel="0" collapsed="false">
      <c r="A68" s="5" t="n">
        <v>224</v>
      </c>
      <c r="B68" s="6" t="s">
        <v>122</v>
      </c>
      <c r="C68" s="14" t="n">
        <v>46303</v>
      </c>
      <c r="D68" s="5" t="n">
        <v>50</v>
      </c>
      <c r="E68" s="15" t="n">
        <v>84</v>
      </c>
      <c r="F68" s="5" t="n">
        <v>50</v>
      </c>
      <c r="G68" s="15" t="n">
        <v>16</v>
      </c>
      <c r="H68" s="5" t="n">
        <v>19</v>
      </c>
      <c r="I68" s="15" t="n">
        <v>10</v>
      </c>
      <c r="J68" s="15" t="n">
        <v>10</v>
      </c>
      <c r="K68" s="16" t="n">
        <f aca="false">E68*$B$7+G68*$B$8+I68*$B$9+J68*$B$10</f>
        <v>118.53</v>
      </c>
      <c r="L68" s="16" t="n">
        <f aca="false">E68*$C$7+G68*$C$8+I68*$C$9+J68*$C$10</f>
        <v>642.018</v>
      </c>
      <c r="M68" s="17" t="n">
        <f aca="false">E68*$D$7</f>
        <v>338.52</v>
      </c>
      <c r="N68" s="18"/>
    </row>
    <row r="69" customFormat="false" ht="15" hidden="false" customHeight="true" outlineLevel="0" collapsed="false">
      <c r="A69" s="19" t="s">
        <v>123</v>
      </c>
      <c r="B69" s="19"/>
      <c r="C69" s="19"/>
      <c r="D69" s="19"/>
      <c r="E69" s="20" t="n">
        <f aca="false">SUM(E13:E68)</f>
        <v>3633</v>
      </c>
      <c r="F69" s="21"/>
      <c r="G69" s="20" t="n">
        <f aca="false">SUM(G13:G68)</f>
        <v>675</v>
      </c>
      <c r="H69" s="21"/>
      <c r="I69" s="20" t="n">
        <f aca="false">SUM(I13:I68)</f>
        <v>168</v>
      </c>
      <c r="J69" s="20" t="n">
        <f aca="false">SUM(J13:J68)</f>
        <v>165</v>
      </c>
      <c r="K69" s="22" t="n">
        <f aca="false">SUM(K13:K68)</f>
        <v>4632.309</v>
      </c>
      <c r="L69" s="22" t="n">
        <f aca="false">SUM(L13:L68)</f>
        <v>24846.327</v>
      </c>
      <c r="M69" s="22" t="n">
        <f aca="false">SUM(M13:M68)</f>
        <v>14640.99</v>
      </c>
      <c r="N69" s="21"/>
    </row>
  </sheetData>
  <mergeCells count="5">
    <mergeCell ref="A1:M1"/>
    <mergeCell ref="A2:M2"/>
    <mergeCell ref="A3:M3"/>
    <mergeCell ref="A5:F5"/>
    <mergeCell ref="A69:D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8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5"/>
    <col collapsed="false" customWidth="true" hidden="false" outlineLevel="0" max="11" min="11" style="0" width="44"/>
    <col collapsed="false" customWidth="true" hidden="true" outlineLevel="0" max="12" min="12" style="0" width="13"/>
  </cols>
  <sheetData>
    <row r="1" customFormat="false" ht="17.35" hidden="false" customHeight="true" outlineLevel="0" collapsed="false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true" outlineLevel="0" collapsed="false">
      <c r="A3" s="3" t="s">
        <v>125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customFormat="false" ht="45" hidden="false" customHeight="true" outlineLevel="0" collapsed="false">
      <c r="A5" s="4" t="s">
        <v>126</v>
      </c>
      <c r="B5" s="4" t="s">
        <v>127</v>
      </c>
      <c r="C5" s="4" t="s">
        <v>5</v>
      </c>
      <c r="D5" s="4" t="s">
        <v>128</v>
      </c>
      <c r="E5" s="4" t="s">
        <v>129</v>
      </c>
      <c r="F5" s="4" t="s">
        <v>130</v>
      </c>
      <c r="G5" s="4" t="s">
        <v>131</v>
      </c>
      <c r="H5" s="4" t="s">
        <v>132</v>
      </c>
      <c r="I5" s="4" t="s">
        <v>133</v>
      </c>
      <c r="J5" s="4" t="s">
        <v>134</v>
      </c>
      <c r="K5" s="4" t="s">
        <v>64</v>
      </c>
    </row>
    <row r="6" customFormat="false" ht="25.35" hidden="false" customHeight="false" outlineLevel="0" collapsed="false">
      <c r="A6" s="23" t="s">
        <v>6</v>
      </c>
      <c r="B6" s="24" t="s">
        <v>135</v>
      </c>
      <c r="C6" s="25" t="s">
        <v>14</v>
      </c>
      <c r="D6" s="26" t="n">
        <f aca="false">'Duc cau kien'!K69</f>
        <v>4632.309</v>
      </c>
      <c r="E6" s="5" t="s">
        <v>136</v>
      </c>
      <c r="F6" s="6" t="s">
        <v>11</v>
      </c>
      <c r="G6" s="5" t="s">
        <v>12</v>
      </c>
      <c r="H6" s="27" t="n">
        <v>357.28</v>
      </c>
      <c r="I6" s="28" t="n">
        <v>1</v>
      </c>
      <c r="J6" s="16" t="n">
        <f aca="false">D6*H6/I6</f>
        <v>1655031.35952</v>
      </c>
      <c r="K6" s="29" t="s">
        <v>137</v>
      </c>
      <c r="L6" s="30" t="s">
        <v>6</v>
      </c>
    </row>
    <row r="7" customFormat="false" ht="15" hidden="false" customHeight="false" outlineLevel="0" collapsed="false">
      <c r="A7" s="6"/>
      <c r="B7" s="6"/>
      <c r="C7" s="5"/>
      <c r="D7" s="31" t="n">
        <f aca="false">D6</f>
        <v>4632.309</v>
      </c>
      <c r="E7" s="5"/>
      <c r="F7" s="6" t="s">
        <v>13</v>
      </c>
      <c r="G7" s="5" t="s">
        <v>14</v>
      </c>
      <c r="H7" s="27" t="n">
        <v>0.510545</v>
      </c>
      <c r="I7" s="28" t="n">
        <v>1</v>
      </c>
      <c r="J7" s="16" t="n">
        <f aca="false">D7*H7/I7</f>
        <v>2365.002198405</v>
      </c>
      <c r="K7" s="29"/>
      <c r="L7" s="30" t="s">
        <v>6</v>
      </c>
    </row>
    <row r="8" customFormat="false" ht="15" hidden="false" customHeight="false" outlineLevel="0" collapsed="false">
      <c r="A8" s="6"/>
      <c r="B8" s="6"/>
      <c r="C8" s="5"/>
      <c r="D8" s="31" t="n">
        <f aca="false">D6</f>
        <v>4632.309</v>
      </c>
      <c r="E8" s="5"/>
      <c r="F8" s="6" t="s">
        <v>15</v>
      </c>
      <c r="G8" s="5" t="s">
        <v>14</v>
      </c>
      <c r="H8" s="27" t="n">
        <v>0.82824</v>
      </c>
      <c r="I8" s="28" t="n">
        <v>1</v>
      </c>
      <c r="J8" s="16" t="n">
        <f aca="false">D8*H8/I8</f>
        <v>3836.66360616</v>
      </c>
      <c r="K8" s="29"/>
      <c r="L8" s="30" t="s">
        <v>6</v>
      </c>
    </row>
    <row r="9" customFormat="false" ht="15" hidden="false" customHeight="false" outlineLevel="0" collapsed="false">
      <c r="A9" s="6"/>
      <c r="B9" s="6"/>
      <c r="C9" s="5"/>
      <c r="D9" s="31" t="n">
        <f aca="false">D6</f>
        <v>4632.309</v>
      </c>
      <c r="E9" s="5"/>
      <c r="F9" s="6" t="s">
        <v>16</v>
      </c>
      <c r="G9" s="5" t="s">
        <v>17</v>
      </c>
      <c r="H9" s="27" t="n">
        <v>151.54965</v>
      </c>
      <c r="I9" s="28" t="n">
        <v>1</v>
      </c>
      <c r="J9" s="16" t="n">
        <f aca="false">D9*H9/I9</f>
        <v>702024.80764185</v>
      </c>
      <c r="K9" s="29"/>
      <c r="L9" s="30" t="s">
        <v>6</v>
      </c>
    </row>
    <row r="10" customFormat="false" ht="15" hidden="false" customHeight="false" outlineLevel="0" collapsed="false">
      <c r="A10" s="6"/>
      <c r="B10" s="6"/>
      <c r="C10" s="5"/>
      <c r="D10" s="31" t="n">
        <f aca="false">D6</f>
        <v>4632.309</v>
      </c>
      <c r="E10" s="5"/>
      <c r="F10" s="6" t="s">
        <v>18</v>
      </c>
      <c r="G10" s="5" t="s">
        <v>12</v>
      </c>
      <c r="H10" s="27" t="n">
        <v>1.7864</v>
      </c>
      <c r="I10" s="28" t="n">
        <v>1</v>
      </c>
      <c r="J10" s="16" t="n">
        <f aca="false">D10*H10/I10</f>
        <v>8275.1567976</v>
      </c>
      <c r="K10" s="29"/>
      <c r="L10" s="30" t="s">
        <v>6</v>
      </c>
    </row>
    <row r="11" customFormat="false" ht="15" hidden="false" customHeight="false" outlineLevel="0" collapsed="false">
      <c r="A11" s="23" t="s">
        <v>6</v>
      </c>
      <c r="B11" s="24" t="s">
        <v>138</v>
      </c>
      <c r="C11" s="25" t="s">
        <v>26</v>
      </c>
      <c r="D11" s="26" t="n">
        <f aca="false">'Duc cau kien'!L69</f>
        <v>24846.327</v>
      </c>
      <c r="E11" s="5" t="s">
        <v>139</v>
      </c>
      <c r="F11" s="6" t="s">
        <v>22</v>
      </c>
      <c r="G11" s="5" t="s">
        <v>12</v>
      </c>
      <c r="H11" s="27" t="n">
        <v>1.9</v>
      </c>
      <c r="I11" s="28" t="n">
        <v>100</v>
      </c>
      <c r="J11" s="16" t="n">
        <f aca="false">D11*H11/I11</f>
        <v>472.080213</v>
      </c>
      <c r="K11" s="29" t="s">
        <v>140</v>
      </c>
      <c r="L11" s="30" t="s">
        <v>6</v>
      </c>
    </row>
    <row r="12" customFormat="false" ht="15" hidden="false" customHeight="false" outlineLevel="0" collapsed="false">
      <c r="A12" s="6"/>
      <c r="B12" s="6"/>
      <c r="C12" s="5"/>
      <c r="D12" s="31" t="n">
        <f aca="false">D11</f>
        <v>24846.327</v>
      </c>
      <c r="E12" s="5"/>
      <c r="F12" s="6" t="s">
        <v>20</v>
      </c>
      <c r="G12" s="5" t="s">
        <v>12</v>
      </c>
      <c r="H12" s="27" t="n">
        <v>17.27</v>
      </c>
      <c r="I12" s="28" t="n">
        <v>100</v>
      </c>
      <c r="J12" s="16" t="n">
        <f aca="false">D12*H12/I12</f>
        <v>4290.9606729</v>
      </c>
      <c r="K12" s="29"/>
      <c r="L12" s="30" t="s">
        <v>6</v>
      </c>
    </row>
    <row r="13" customFormat="false" ht="15" hidden="false" customHeight="false" outlineLevel="0" collapsed="false">
      <c r="A13" s="6"/>
      <c r="B13" s="6"/>
      <c r="C13" s="5"/>
      <c r="D13" s="31" t="n">
        <f aca="false">D11</f>
        <v>24846.327</v>
      </c>
      <c r="E13" s="5"/>
      <c r="F13" s="6" t="s">
        <v>21</v>
      </c>
      <c r="G13" s="5" t="s">
        <v>12</v>
      </c>
      <c r="H13" s="27" t="n">
        <v>16.28</v>
      </c>
      <c r="I13" s="28" t="n">
        <v>100</v>
      </c>
      <c r="J13" s="16" t="n">
        <f aca="false">D13*H13/I13</f>
        <v>4044.9820356</v>
      </c>
      <c r="K13" s="29"/>
      <c r="L13" s="30" t="s">
        <v>6</v>
      </c>
    </row>
    <row r="14" customFormat="false" ht="15" hidden="false" customHeight="false" outlineLevel="0" collapsed="false">
      <c r="A14" s="23" t="s">
        <v>6</v>
      </c>
      <c r="B14" s="24" t="s">
        <v>141</v>
      </c>
      <c r="C14" s="25" t="s">
        <v>12</v>
      </c>
      <c r="D14" s="26" t="n">
        <f aca="false">'Duc cau kien'!M69</f>
        <v>14640.99</v>
      </c>
      <c r="E14" s="5" t="s">
        <v>142</v>
      </c>
      <c r="F14" s="6" t="s">
        <v>19</v>
      </c>
      <c r="G14" s="5" t="s">
        <v>12</v>
      </c>
      <c r="H14" s="27" t="n">
        <v>1020</v>
      </c>
      <c r="I14" s="28" t="n">
        <v>1000</v>
      </c>
      <c r="J14" s="16" t="n">
        <f aca="false">D14*H14/I14</f>
        <v>14933.8098</v>
      </c>
      <c r="K14" s="29" t="s">
        <v>143</v>
      </c>
      <c r="L14" s="30" t="s">
        <v>6</v>
      </c>
    </row>
    <row r="15" customFormat="false" ht="15" hidden="false" customHeight="false" outlineLevel="0" collapsed="false">
      <c r="A15" s="6"/>
      <c r="B15" s="6"/>
      <c r="C15" s="5"/>
      <c r="D15" s="31" t="n">
        <f aca="false">D14</f>
        <v>14640.99</v>
      </c>
      <c r="E15" s="5"/>
      <c r="F15" s="6" t="s">
        <v>22</v>
      </c>
      <c r="G15" s="5" t="s">
        <v>12</v>
      </c>
      <c r="H15" s="27" t="n">
        <v>4.82</v>
      </c>
      <c r="I15" s="28" t="n">
        <v>1000</v>
      </c>
      <c r="J15" s="16" t="n">
        <f aca="false">D15*H15/I15</f>
        <v>70.5695718</v>
      </c>
      <c r="K15" s="29"/>
      <c r="L15" s="30" t="s">
        <v>6</v>
      </c>
    </row>
    <row r="16" customFormat="false" ht="15" hidden="false" customHeight="false" outlineLevel="0" collapsed="false">
      <c r="A16" s="6"/>
      <c r="B16" s="6"/>
      <c r="C16" s="5"/>
      <c r="D16" s="31" t="n">
        <f aca="false">D14</f>
        <v>14640.99</v>
      </c>
      <c r="E16" s="5"/>
      <c r="F16" s="6" t="s">
        <v>23</v>
      </c>
      <c r="G16" s="5" t="s">
        <v>12</v>
      </c>
      <c r="H16" s="27" t="n">
        <v>9.28</v>
      </c>
      <c r="I16" s="28" t="n">
        <v>1000</v>
      </c>
      <c r="J16" s="16" t="n">
        <f aca="false">D16*H16/I16</f>
        <v>135.8683872</v>
      </c>
      <c r="K16" s="29"/>
      <c r="L16" s="30" t="s">
        <v>6</v>
      </c>
    </row>
    <row r="17" customFormat="false" ht="15" hidden="false" customHeight="false" outlineLevel="0" collapsed="false">
      <c r="A17" s="23" t="s">
        <v>7</v>
      </c>
      <c r="B17" s="24" t="s">
        <v>144</v>
      </c>
      <c r="C17" s="25" t="s">
        <v>14</v>
      </c>
      <c r="D17" s="32" t="n">
        <v>2419.2</v>
      </c>
      <c r="E17" s="5"/>
      <c r="F17" s="6"/>
      <c r="G17" s="6"/>
      <c r="H17" s="6"/>
      <c r="I17" s="6"/>
      <c r="J17" s="6"/>
      <c r="K17" s="29" t="s">
        <v>145</v>
      </c>
      <c r="L17" s="30" t="s">
        <v>7</v>
      </c>
    </row>
    <row r="18" customFormat="false" ht="15" hidden="false" customHeight="false" outlineLevel="0" collapsed="false">
      <c r="A18" s="23" t="s">
        <v>7</v>
      </c>
      <c r="B18" s="24" t="s">
        <v>146</v>
      </c>
      <c r="C18" s="25" t="s">
        <v>26</v>
      </c>
      <c r="D18" s="32" t="n">
        <v>2025</v>
      </c>
      <c r="E18" s="5" t="s">
        <v>147</v>
      </c>
      <c r="F18" s="6" t="s">
        <v>25</v>
      </c>
      <c r="G18" s="5" t="s">
        <v>26</v>
      </c>
      <c r="H18" s="27" t="n">
        <v>105</v>
      </c>
      <c r="I18" s="28" t="n">
        <v>100</v>
      </c>
      <c r="J18" s="16" t="n">
        <f aca="false">D18*H18/I18</f>
        <v>2126.25</v>
      </c>
      <c r="K18" s="29"/>
      <c r="L18" s="30" t="s">
        <v>7</v>
      </c>
    </row>
    <row r="19" customFormat="false" ht="15" hidden="false" customHeight="false" outlineLevel="0" collapsed="false">
      <c r="A19" s="23" t="s">
        <v>7</v>
      </c>
      <c r="B19" s="24" t="s">
        <v>148</v>
      </c>
      <c r="C19" s="25" t="s">
        <v>14</v>
      </c>
      <c r="D19" s="32" t="n">
        <v>405</v>
      </c>
      <c r="E19" s="5" t="s">
        <v>149</v>
      </c>
      <c r="F19" s="6" t="s">
        <v>27</v>
      </c>
      <c r="G19" s="5" t="s">
        <v>14</v>
      </c>
      <c r="H19" s="27" t="n">
        <v>1.1</v>
      </c>
      <c r="I19" s="28" t="n">
        <v>1</v>
      </c>
      <c r="J19" s="16" t="n">
        <f aca="false">D19*H19/I19</f>
        <v>445.5</v>
      </c>
      <c r="K19" s="29"/>
      <c r="L19" s="30" t="s">
        <v>7</v>
      </c>
    </row>
    <row r="20" customFormat="false" ht="15" hidden="false" customHeight="false" outlineLevel="0" collapsed="false">
      <c r="A20" s="23" t="s">
        <v>7</v>
      </c>
      <c r="B20" s="24" t="s">
        <v>150</v>
      </c>
      <c r="C20" s="25" t="s">
        <v>14</v>
      </c>
      <c r="D20" s="32" t="n">
        <v>243</v>
      </c>
      <c r="E20" s="5" t="s">
        <v>151</v>
      </c>
      <c r="F20" s="6" t="s">
        <v>29</v>
      </c>
      <c r="G20" s="5" t="s">
        <v>14</v>
      </c>
      <c r="H20" s="27" t="n">
        <v>113</v>
      </c>
      <c r="I20" s="28" t="n">
        <v>100</v>
      </c>
      <c r="J20" s="16" t="n">
        <f aca="false">D20*H20/I20</f>
        <v>274.59</v>
      </c>
      <c r="K20" s="29"/>
      <c r="L20" s="30" t="s">
        <v>7</v>
      </c>
    </row>
    <row r="21" customFormat="false" ht="15" hidden="false" customHeight="false" outlineLevel="0" collapsed="false">
      <c r="A21" s="23" t="s">
        <v>7</v>
      </c>
      <c r="B21" s="24" t="s">
        <v>152</v>
      </c>
      <c r="C21" s="25" t="s">
        <v>14</v>
      </c>
      <c r="D21" s="32" t="n">
        <v>567</v>
      </c>
      <c r="E21" s="5" t="s">
        <v>151</v>
      </c>
      <c r="F21" s="6" t="s">
        <v>29</v>
      </c>
      <c r="G21" s="5" t="s">
        <v>14</v>
      </c>
      <c r="H21" s="27" t="n">
        <v>113</v>
      </c>
      <c r="I21" s="28" t="n">
        <v>100</v>
      </c>
      <c r="J21" s="16" t="n">
        <f aca="false">D21*H21/I21</f>
        <v>640.71</v>
      </c>
      <c r="K21" s="29"/>
      <c r="L21" s="30" t="s">
        <v>7</v>
      </c>
    </row>
    <row r="22" customFormat="false" ht="15" hidden="false" customHeight="false" outlineLevel="0" collapsed="false">
      <c r="A22" s="23" t="s">
        <v>7</v>
      </c>
      <c r="B22" s="24" t="s">
        <v>153</v>
      </c>
      <c r="C22" s="25" t="s">
        <v>154</v>
      </c>
      <c r="D22" s="32" t="n">
        <v>540</v>
      </c>
      <c r="E22" s="5" t="s">
        <v>155</v>
      </c>
      <c r="F22" s="6"/>
      <c r="G22" s="6"/>
      <c r="H22" s="6"/>
      <c r="I22" s="6"/>
      <c r="J22" s="6"/>
      <c r="K22" s="29" t="s">
        <v>156</v>
      </c>
      <c r="L22" s="30" t="s">
        <v>7</v>
      </c>
    </row>
    <row r="23" customFormat="false" ht="25.35" hidden="false" customHeight="false" outlineLevel="0" collapsed="false">
      <c r="A23" s="23" t="s">
        <v>8</v>
      </c>
      <c r="B23" s="24" t="s">
        <v>157</v>
      </c>
      <c r="C23" s="25" t="s">
        <v>14</v>
      </c>
      <c r="D23" s="32" t="n">
        <v>4134.64</v>
      </c>
      <c r="E23" s="5"/>
      <c r="F23" s="6"/>
      <c r="G23" s="6"/>
      <c r="H23" s="6"/>
      <c r="I23" s="6"/>
      <c r="J23" s="6"/>
      <c r="K23" s="29" t="s">
        <v>145</v>
      </c>
      <c r="L23" s="30" t="s">
        <v>8</v>
      </c>
    </row>
    <row r="24" customFormat="false" ht="25.35" hidden="false" customHeight="false" outlineLevel="0" collapsed="false">
      <c r="A24" s="23" t="s">
        <v>8</v>
      </c>
      <c r="B24" s="24" t="s">
        <v>158</v>
      </c>
      <c r="C24" s="25" t="s">
        <v>14</v>
      </c>
      <c r="D24" s="32" t="n">
        <v>14572.96</v>
      </c>
      <c r="E24" s="5" t="s">
        <v>159</v>
      </c>
      <c r="F24" s="6" t="s">
        <v>24</v>
      </c>
      <c r="G24" s="5" t="s">
        <v>14</v>
      </c>
      <c r="H24" s="27" t="n">
        <v>1</v>
      </c>
      <c r="I24" s="28" t="n">
        <v>1</v>
      </c>
      <c r="J24" s="16" t="n">
        <f aca="false">D24*H24/I24</f>
        <v>14572.96</v>
      </c>
      <c r="K24" s="29" t="s">
        <v>160</v>
      </c>
      <c r="L24" s="30" t="s">
        <v>8</v>
      </c>
    </row>
    <row r="25" customFormat="false" ht="25.35" hidden="false" customHeight="false" outlineLevel="0" collapsed="false">
      <c r="A25" s="23" t="s">
        <v>8</v>
      </c>
      <c r="B25" s="24" t="s">
        <v>161</v>
      </c>
      <c r="C25" s="25" t="s">
        <v>26</v>
      </c>
      <c r="D25" s="32" t="n">
        <v>20689.01</v>
      </c>
      <c r="E25" s="5" t="s">
        <v>147</v>
      </c>
      <c r="F25" s="6" t="s">
        <v>25</v>
      </c>
      <c r="G25" s="5" t="s">
        <v>26</v>
      </c>
      <c r="H25" s="27" t="n">
        <v>105</v>
      </c>
      <c r="I25" s="28" t="n">
        <v>100</v>
      </c>
      <c r="J25" s="16" t="n">
        <f aca="false">D25*H25/I25</f>
        <v>21723.4605</v>
      </c>
      <c r="K25" s="29"/>
      <c r="L25" s="30" t="s">
        <v>8</v>
      </c>
    </row>
    <row r="26" customFormat="false" ht="25.35" hidden="false" customHeight="false" outlineLevel="0" collapsed="false">
      <c r="A26" s="23" t="s">
        <v>8</v>
      </c>
      <c r="B26" s="24" t="s">
        <v>162</v>
      </c>
      <c r="C26" s="25" t="s">
        <v>14</v>
      </c>
      <c r="D26" s="32" t="n">
        <v>3468.08</v>
      </c>
      <c r="E26" s="5" t="s">
        <v>149</v>
      </c>
      <c r="F26" s="6" t="s">
        <v>27</v>
      </c>
      <c r="G26" s="5" t="s">
        <v>14</v>
      </c>
      <c r="H26" s="27" t="n">
        <v>1.1</v>
      </c>
      <c r="I26" s="28" t="n">
        <v>1</v>
      </c>
      <c r="J26" s="16" t="n">
        <f aca="false">D26*H26/I26</f>
        <v>3814.888</v>
      </c>
      <c r="K26" s="29"/>
      <c r="L26" s="30" t="s">
        <v>8</v>
      </c>
    </row>
    <row r="27" customFormat="false" ht="25.35" hidden="false" customHeight="false" outlineLevel="0" collapsed="false">
      <c r="A27" s="23" t="s">
        <v>8</v>
      </c>
      <c r="B27" s="24" t="s">
        <v>163</v>
      </c>
      <c r="C27" s="25" t="s">
        <v>14</v>
      </c>
      <c r="D27" s="32" t="n">
        <v>8795.58</v>
      </c>
      <c r="E27" s="5" t="s">
        <v>164</v>
      </c>
      <c r="F27" s="6" t="s">
        <v>28</v>
      </c>
      <c r="G27" s="5" t="s">
        <v>14</v>
      </c>
      <c r="H27" s="27" t="n">
        <v>113</v>
      </c>
      <c r="I27" s="28" t="n">
        <v>100</v>
      </c>
      <c r="J27" s="16" t="n">
        <f aca="false">D27*H27/I27</f>
        <v>9939.0054</v>
      </c>
      <c r="K27" s="29"/>
      <c r="L27" s="30" t="s">
        <v>8</v>
      </c>
    </row>
    <row r="28" customFormat="false" ht="15" hidden="false" customHeight="false" outlineLevel="0" collapsed="false">
      <c r="A28" s="23" t="s">
        <v>9</v>
      </c>
      <c r="B28" s="24" t="s">
        <v>165</v>
      </c>
      <c r="C28" s="25" t="s">
        <v>31</v>
      </c>
      <c r="D28" s="32" t="n">
        <v>13000</v>
      </c>
      <c r="E28" s="5" t="s">
        <v>166</v>
      </c>
      <c r="F28" s="6" t="s">
        <v>30</v>
      </c>
      <c r="G28" s="5" t="s">
        <v>31</v>
      </c>
      <c r="H28" s="27" t="n">
        <v>1</v>
      </c>
      <c r="I28" s="28" t="n">
        <v>1</v>
      </c>
      <c r="J28" s="16" t="n">
        <f aca="false">D28*H28/I28</f>
        <v>13000</v>
      </c>
      <c r="K28" s="29" t="s">
        <v>167</v>
      </c>
      <c r="L28" s="30" t="s">
        <v>9</v>
      </c>
    </row>
    <row r="29" customFormat="false" ht="15" hidden="false" customHeight="false" outlineLevel="0" collapsed="false">
      <c r="A29" s="6"/>
      <c r="B29" s="6"/>
      <c r="C29" s="5"/>
      <c r="D29" s="31" t="n">
        <f aca="false">D28</f>
        <v>13000</v>
      </c>
      <c r="E29" s="5"/>
      <c r="F29" s="6" t="s">
        <v>32</v>
      </c>
      <c r="G29" s="5" t="s">
        <v>12</v>
      </c>
      <c r="H29" s="27" t="n">
        <v>0.026</v>
      </c>
      <c r="I29" s="28" t="n">
        <v>1</v>
      </c>
      <c r="J29" s="16" t="n">
        <f aca="false">D29*H29/I29</f>
        <v>338</v>
      </c>
      <c r="K29" s="29"/>
      <c r="L29" s="30" t="s">
        <v>9</v>
      </c>
    </row>
  </sheetData>
  <mergeCells count="3">
    <mergeCell ref="A1:K1"/>
    <mergeCell ref="A2:K2"/>
    <mergeCell ref="A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2026-10-13T09:18:16Z</dcterms:created>
  <dc:creator>openpyxl</dc:creator>
  <dc:description/>
  <dc:language>en-US</dc:language>
  <cp:lastModifiedBy/>
  <dcterms:modified xsi:type="dcterms:W3CDTF">2026-10-13T09:18:16Z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