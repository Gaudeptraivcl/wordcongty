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<sst xmlns="http://schemas.openxmlformats.org/spreadsheetml/2006/main" count="643" uniqueCount="78">
  <si>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</si>
  <si>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</si>
  <si>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</si>
  <si>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</si>
  <si>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</si>
  <si>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</si>
  <si>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</si>
  <si>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</si>
  <si>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</si>
  <si>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</si>
  <si>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</si>
  <si>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</si>
  <si>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</si>
  <si>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</si>
  <si>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</si>
  <si>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</si>
  <si>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</si>
  <si>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</si>
  <si>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</si>
  <si>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</si>
  <si>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</si>
  <si>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</si>
  <si>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</si>
  <si>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</si>
  <si>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</t>
  </si>
  <si>
    <t xml:space="preserve">31</t>
  </si>
  <si>
    <t xml:space="preserve">32</t>
  </si>
  <si>
    <t xml:space="preserve">PHỤ LỤC KIỂM TRA CAO ĐỘ, KÍCH THƯỚC HÌNH HỌC</t>
  </si>
  <si>
    <t xml:space="preserve">Kèm theo BBNT số: 08.NĐXD4/CVXD ngày 19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</si>
  <si>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</si>
  <si>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</si>
  <si>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</si>
  <si>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</si>
  <si>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</si>
  <si>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nền đường lớp 1 đoạn từ Km0+441,84 - Km0+554,08,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</si>
  <si>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</si>
  <si>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</si>
  <si>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</si>
  <si>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</si>
  <si>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</si>
  <si>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</si>
  <si>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</si>
  <si>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</si>
  <si>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</si>
  <si>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</si>
  <si>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</si>
  <si>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</si>
  <si>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</si>
  <si>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</si>
  <si>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</si>
  <si>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</si>
  <si>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</si>
  <si>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</si>
  <si>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</si>
  <si>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</si>
  <si>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</si>
  <si>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</si>
  <si>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</si>
  <si>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</si>
  <si>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</si>
  <si>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</si>
  <si>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</si>
  <si>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09.NĐXD4/CVXD ngày 20 tháng 08 năm 2026</t>
  </si>
  <si>
    <t xml:space="preserve">Đắp đất nền đường lớp 2 đoạn từ Km0+441,84 - Km0+554,08, độ chặt K&gt;=0,95</t>
  </si>
  <si>
    <t xml:space="preserve">Kèm theo BBNT số: 10.NĐXD4/CVXD ngày 20 tháng 08 năm 2026</t>
  </si>
  <si>
    <t xml:space="preserve">Đắp đất nền đường lớp 3 đoạn từ Km0+441,84 - Km0+554,08, độ chặt K&gt;=0,95</t>
  </si>
  <si>
    <t xml:space="preserve">Kèm theo BBNT số: 11.NĐXD4/CVXD ngày 21 tháng 08 năm 2026</t>
  </si>
  <si>
    <t xml:space="preserve">Đắp đất nền đường lớp 4 đoạn từ Km0+441,84 - Km0+554,08, độ chặt K&gt;=0,95</t>
  </si>
  <si>
    <t xml:space="preserve">Kèm theo BBNT số: 12.NĐXD4/CVXD ngày 21 tháng 08 năm 2026</t>
  </si>
  <si>
    <t xml:space="preserve">Đắp đất nền đường lớp 5 đoạn từ Km0+441,84 - Km0+554,08, độ chặt K&gt;=0,95</t>
  </si>
  <si>
    <t xml:space="preserve">Kèm theo BBNT số: 13.NĐXD4/CVXD ngày 22 tháng 08 năm 2026</t>
  </si>
  <si>
    <t xml:space="preserve">Đắp đất nền đường lớp 6 đoạn từ Km0+441,84 - Km0+554,08, độ chặt K&gt;=0,95</t>
  </si>
  <si>
    <t xml:space="preserve">Kèm theo BBNT số: 14.NĐXD4/CVXD ngày 22 tháng 08 năm 2026</t>
  </si>
  <si>
    <t xml:space="preserve">Đắp đất nền đường lớp 7 đoạn từ Km0+441,84 - Km0+554,08, độ chặt K&gt;=0,95</t>
  </si>
  <si>
    <t xml:space="preserve">Kèm theo BBNT số: 15.NĐXD4/CVXD ngày 23 tháng 08 năm 2026</t>
  </si>
  <si>
    <t xml:space="preserve">Đắp đất nền đường lớp 8 đoạn từ Km0+441,84 - Km0+554,08, độ chặt K&gt;=0,95</t>
  </si>
  <si>
    <t xml:space="preserve">Kèm theo BBNT số: 16.NĐXD4/CVXD ngày 23 tháng 08 năm 2026</t>
  </si>
  <si>
    <t xml:space="preserve">Đắp đất nền đường lớp 9 đoạn từ Km0+441,84 - Km0+554,08,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</si>
</sst>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Km0+441,84 -:- Km0+554,08</v>
          </cell>
          <cell r="D3" t="str">
            <v xml:space="preserve">ngày 15 tháng 08 năm 2026</v>
          </cell>
          <cell r="G3" t="str">
            <v xml:space="preserve">01.NĐXD4/CVXD </v>
          </cell>
        </row>
        <row r="4">
          <cell r="A4">
            <v>2</v>
          </cell>
          <cell r="B4" t="str">
            <v xml:space="preserve">Đào đất xử lý nền đường đoạn từ Km0+441,84 - Km0+554,08</v>
          </cell>
          <cell r="D4" t="str">
            <v xml:space="preserve">ngày 16 tháng 08 năm 2026</v>
          </cell>
          <cell r="G4" t="str">
            <v xml:space="preserve">02.NĐXD4/CVXD </v>
          </cell>
        </row>
        <row r="5">
          <cell r="A5">
            <v>3</v>
          </cell>
          <cell r="B5" t="str">
            <v xml:space="preserve">Rải vải địa kỹ thuật đoạn từ Km0+441,84 - Km0+554,08</v>
          </cell>
          <cell r="D5" t="str">
            <v xml:space="preserve">ngày 17 tháng 08 năm 2026</v>
          </cell>
          <cell r="G5" t="str">
            <v xml:space="preserve">03.NĐXD4/CVXD </v>
          </cell>
        </row>
        <row r="6">
          <cell r="A6">
            <v>4</v>
          </cell>
          <cell r="B6" t="str">
            <v xml:space="preserve">Đắp cát nền đường lớp 1 đoạn từ Km0+441,84 - Km0+554,08, độ chặt K&gt;=0,95</v>
          </cell>
          <cell r="D6" t="str">
            <v xml:space="preserve">ngày 17 tháng 08 năm 2026</v>
          </cell>
          <cell r="G6" t="str">
            <v xml:space="preserve">04.NĐXD4/CVXD </v>
          </cell>
        </row>
        <row r="7">
          <cell r="A7">
            <v>5</v>
          </cell>
          <cell r="B7" t="str">
            <v xml:space="preserve">Đắp cát nền đường lớp 2 đoạn từ Km0+441,84 - Km0+554,08, độ chặt K&gt;=0,95</v>
          </cell>
          <cell r="D7" t="str">
            <v xml:space="preserve">ngày 18 tháng 08 năm 2026</v>
          </cell>
          <cell r="G7" t="str">
            <v xml:space="preserve">05.NĐXD4/CVXD </v>
          </cell>
        </row>
        <row r="8">
          <cell r="A8">
            <v>6</v>
          </cell>
          <cell r="B8" t="str">
            <v xml:space="preserve">Đắp cát nền đường lớp 3 đoạn từ Km0+441,84 - Km0+554,08, độ chặt K&gt;=0,95</v>
          </cell>
          <cell r="D8" t="str">
            <v xml:space="preserve">ngày 18 tháng 08 năm 2026</v>
          </cell>
          <cell r="G8" t="str">
            <v xml:space="preserve">06.NĐXD4/CVXD </v>
          </cell>
        </row>
        <row r="9">
          <cell r="A9">
            <v>7</v>
          </cell>
          <cell r="B9" t="str">
            <v xml:space="preserve">Đắp cát nền đường lớp 4 đoạn từ Km0+441,84 - Km0+554,08, độ chặt K&gt;=0,95</v>
          </cell>
          <cell r="D9" t="str">
            <v xml:space="preserve">ngày 19 tháng 08 năm 2026</v>
          </cell>
          <cell r="G9" t="str">
            <v xml:space="preserve">07.NĐXD4/CVXD </v>
          </cell>
        </row>
        <row r="10">
          <cell r="A10">
            <v>8</v>
          </cell>
          <cell r="B10" t="str">
            <v xml:space="preserve">Đắp đất nền đường lớp 1 đoạn từ Km0+441,84 - Km0+554,08, độ chặt K&gt;=0,95</v>
          </cell>
          <cell r="D10" t="str">
            <v xml:space="preserve">ngày 19 tháng 08 năm 2026</v>
          </cell>
          <cell r="G10" t="str">
            <v xml:space="preserve">08.NĐXD4/CVXD </v>
          </cell>
        </row>
        <row r="11">
          <cell r="A11">
            <v>9</v>
          </cell>
          <cell r="B11" t="str">
            <v xml:space="preserve">Đắp đất nền đường lớp 2 đoạn từ Km0+441,84 - Km0+554,08, độ chặt K&gt;=0,95</v>
          </cell>
          <cell r="D11" t="str">
            <v xml:space="preserve">ngày 20 tháng 08 năm 2026</v>
          </cell>
          <cell r="G11" t="str">
            <v xml:space="preserve">09.NĐXD4/CVXD </v>
          </cell>
        </row>
        <row r="12">
          <cell r="A12">
            <v>10</v>
          </cell>
          <cell r="B12" t="str">
            <v xml:space="preserve">Đắp đất nền đường lớp 3 đoạn từ Km0+441,84 - Km0+554,08, độ chặt K&gt;=0,95</v>
          </cell>
          <cell r="D12" t="str">
            <v xml:space="preserve">ngày 20 tháng 08 năm 2026</v>
          </cell>
          <cell r="G12" t="str">
            <v xml:space="preserve">10.NĐXD4/CVXD </v>
          </cell>
        </row>
        <row r="13">
          <cell r="A13">
            <v>11</v>
          </cell>
          <cell r="B13" t="str">
            <v xml:space="preserve">Đắp đất nền đường lớp 4 đoạn từ Km0+441,84 - Km0+554,08, độ chặt K&gt;=0,95</v>
          </cell>
          <cell r="D13" t="str">
            <v xml:space="preserve">ngày 21 tháng 08 năm 2026</v>
          </cell>
          <cell r="G13" t="str">
            <v xml:space="preserve">11.NĐXD4/CVXD </v>
          </cell>
        </row>
        <row r="14">
          <cell r="A14">
            <v>12</v>
          </cell>
          <cell r="B14" t="str">
            <v xml:space="preserve">Đắp đất nền đường lớp 5 đoạn từ Km0+441,84 - Km0+554,08, độ chặt K&gt;=0,95</v>
          </cell>
          <cell r="D14" t="str">
            <v xml:space="preserve">ngày 21 tháng 08 năm 2026</v>
          </cell>
          <cell r="G14" t="str">
            <v xml:space="preserve">12.NĐXD4/CVXD </v>
          </cell>
        </row>
        <row r="15">
          <cell r="A15">
            <v>13</v>
          </cell>
          <cell r="B15" t="str">
            <v xml:space="preserve">Đắp đất nền đường lớp 6 đoạn từ Km0+441,84 - Km0+554,08, độ chặt K&gt;=0,95</v>
          </cell>
          <cell r="D15" t="str">
            <v xml:space="preserve">ngày 22 tháng 08 năm 2026</v>
          </cell>
          <cell r="G15" t="str">
            <v xml:space="preserve">13.NĐXD4/CVXD </v>
          </cell>
        </row>
        <row r="16">
          <cell r="A16">
            <v>14</v>
          </cell>
          <cell r="B16" t="str">
            <v xml:space="preserve">Đắp đất nền đường lớp 7 đoạn từ Km0+441,84 - Km0+554,08, độ chặt K&gt;=0,95</v>
          </cell>
          <cell r="D16" t="str">
            <v xml:space="preserve">ngày 22 tháng 08 năm 2026</v>
          </cell>
          <cell r="G16" t="str">
            <v xml:space="preserve">14.NĐXD4/CVXD </v>
          </cell>
        </row>
        <row r="17">
          <cell r="A17">
            <v>15</v>
          </cell>
          <cell r="B17" t="str">
            <v xml:space="preserve">Đắp đất nền đường lớp 8 đoạn từ Km0+441,84 - Km0+554,08, độ chặt K&gt;=0,95</v>
          </cell>
          <cell r="D17" t="str">
            <v xml:space="preserve">ngày 23 tháng 08 năm 2026</v>
          </cell>
          <cell r="G17" t="str">
            <v xml:space="preserve">15.NĐXD4/CVXD </v>
          </cell>
        </row>
        <row r="18">
          <cell r="A18">
            <v>16</v>
          </cell>
          <cell r="B18" t="str">
            <v xml:space="preserve">Đắp đất nền đường lớp 9 đoạn từ Km0+441,84 - Km0+554,08, độ chặt K&gt;=0,95</v>
          </cell>
          <cell r="D18" t="str">
            <v xml:space="preserve">ngày 23 tháng 08 năm 2026</v>
          </cell>
          <cell r="G18" t="str">
            <v xml:space="preserve">16.NĐXD4/CVXD </v>
          </cell>
        </row>
        <row r="19">
          <cell r="A19">
            <v>17</v>
          </cell>
          <cell r="B19" t="str">
            <v xml:space="preserve">Đắp đất nền đường lớp 1, độ chặt K&gt;=0,98 đoạn từ Km0+441,84 - Km0+554,08</v>
          </cell>
          <cell r="D19" t="str">
            <v xml:space="preserve">ngày 24 tháng 08 năm 2026</v>
          </cell>
          <cell r="G19" t="str">
            <v xml:space="preserve">17.NĐXD4/CVXD </v>
          </cell>
        </row>
        <row r="20">
          <cell r="A20">
            <v>18</v>
          </cell>
          <cell r="B20" t="str">
            <v xml:space="preserve">Đắp đất lề đường lớp 1, độ chặt K&gt;=0,95 đoạn từ Km0+441,84 - Km0+554,08</v>
          </cell>
          <cell r="D20" t="str">
            <v xml:space="preserve">ngày 24 tháng 08 năm 2026</v>
          </cell>
          <cell r="G20" t="str">
            <v xml:space="preserve">18.NĐXD4/CVXD </v>
          </cell>
        </row>
        <row r="21">
          <cell r="A21">
            <v>19</v>
          </cell>
          <cell r="B21" t="str">
            <v xml:space="preserve">Đắp đất nền đường lớp 2, độ chặt K&gt;=0,98 đoạn từ Km0+441,84 - Km0+554,08</v>
          </cell>
          <cell r="D21" t="str">
            <v xml:space="preserve">ngày 25 tháng 08 năm 2026</v>
          </cell>
          <cell r="G21" t="str">
            <v xml:space="preserve">19.NĐXD4/CVXD </v>
          </cell>
        </row>
        <row r="22">
          <cell r="A22">
            <v>20</v>
          </cell>
          <cell r="B22" t="str">
            <v xml:space="preserve">Đắp đất lề đường lớp 2, độ chặt K&gt;=0,95 đoạn từ Km0+441,84 - Km0+554,08</v>
          </cell>
          <cell r="D22" t="str">
            <v xml:space="preserve">ngày 25 tháng 08 năm 2026</v>
          </cell>
          <cell r="G22" t="str">
            <v xml:space="preserve">20.NĐXD4/CVXD </v>
          </cell>
        </row>
        <row r="23">
          <cell r="A23">
            <v>21</v>
          </cell>
          <cell r="B23" t="str">
            <v xml:space="preserve">Đắp cấp phối đá dăm loại 2 đoạn từ Km0+441,84 - Km0+554,08</v>
          </cell>
          <cell r="D23" t="str">
            <v xml:space="preserve">ngày 26 tháng 08 năm 2026</v>
          </cell>
          <cell r="G23" t="str">
            <v xml:space="preserve">21.NĐXD4/CVXD </v>
          </cell>
        </row>
        <row r="24">
          <cell r="A24">
            <v>22</v>
          </cell>
          <cell r="B24" t="str">
            <v xml:space="preserve">Đắp đất lề đường lớp 3, độ chặt K&gt;=0,95 đoạn từ Km0+441,84 - Km0+554,08</v>
          </cell>
          <cell r="D24" t="str">
            <v xml:space="preserve">ngày 26 tháng 08 năm 2026</v>
          </cell>
          <cell r="G24" t="str">
            <v xml:space="preserve">22.NĐXD4/CVXD </v>
          </cell>
        </row>
        <row r="25">
          <cell r="A25">
            <v>23</v>
          </cell>
          <cell r="B25" t="str">
            <v xml:space="preserve">Đắp đất lề đường lớp 4, độ chặt K&gt;=0,95 đoạn từ Km0+441,84 - Km0+554,08</v>
          </cell>
          <cell r="D25" t="str">
            <v xml:space="preserve">ngày 27 tháng 08 năm 2026</v>
          </cell>
          <cell r="G25" t="str">
            <v xml:space="preserve">23.NĐXD4/CVXD </v>
          </cell>
        </row>
        <row r="26">
          <cell r="A26">
            <v>24</v>
          </cell>
          <cell r="B26" t="str">
            <v xml:space="preserve">Đắp cấp phối đá dăm loại 1 đoạn từ Km0+441,84 - Km0+554,08</v>
          </cell>
          <cell r="D26" t="str">
            <v xml:space="preserve">ngày 27 tháng 08 năm 2026</v>
          </cell>
          <cell r="G26" t="str">
            <v xml:space="preserve">24.NĐXD4/CVXD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25.NĐXD4/CVXD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26.NĐXD4/CVXD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27.NĐXD4/CVXD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1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441.84</v>
      </c>
      <c r="D2" s="0" t="n">
        <v>9</v>
      </c>
      <c r="E2" s="0" t="n">
        <v>7.31</v>
      </c>
      <c r="F2" s="0" t="n">
        <v>-11.95</v>
      </c>
      <c r="G2" s="2" t="n">
        <v>2</v>
      </c>
      <c r="H2" s="1" t="n">
        <v>-5.25</v>
      </c>
      <c r="I2" s="1" t="n">
        <v>2</v>
      </c>
      <c r="J2" s="0" t="n">
        <v>0</v>
      </c>
      <c r="K2" s="2" t="n">
        <v>2.11</v>
      </c>
      <c r="L2" s="0" t="n">
        <v>5.25</v>
      </c>
      <c r="M2" s="2" t="n">
        <v>2</v>
      </c>
      <c r="N2" s="1" t="n">
        <v>11.95</v>
      </c>
      <c r="O2" s="1" t="n">
        <v>2</v>
      </c>
      <c r="P2" s="0" t="n">
        <v>78.06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7.58</v>
      </c>
      <c r="F3" s="0" t="n">
        <v>-12.4</v>
      </c>
      <c r="G3" s="2" t="n">
        <v>1.7</v>
      </c>
      <c r="H3" s="1" t="n">
        <v>-5.25</v>
      </c>
      <c r="I3" s="1" t="n">
        <v>1.7</v>
      </c>
      <c r="J3" s="0" t="n">
        <v>0</v>
      </c>
      <c r="K3" s="2" t="n">
        <v>1.81</v>
      </c>
      <c r="L3" s="0" t="n">
        <v>5.25</v>
      </c>
      <c r="M3" s="2" t="n">
        <v>1.7</v>
      </c>
      <c r="N3" s="1" t="n">
        <v>12.4</v>
      </c>
      <c r="O3" s="1" t="n">
        <v>1.7</v>
      </c>
    </row>
    <row r="4" customFormat="false" ht="15" hidden="false" customHeight="false" outlineLevel="0" collapsed="false">
      <c r="D4" s="0" t="n">
        <v>7</v>
      </c>
      <c r="E4" s="0" t="n">
        <v>7.85</v>
      </c>
      <c r="F4" s="0" t="n">
        <v>-12.85</v>
      </c>
      <c r="G4" s="2" t="n">
        <v>1.4</v>
      </c>
      <c r="H4" s="1" t="n">
        <v>-5.25</v>
      </c>
      <c r="I4" s="1" t="n">
        <v>1.4</v>
      </c>
      <c r="J4" s="0" t="n">
        <v>0</v>
      </c>
      <c r="K4" s="2" t="n">
        <v>1.51</v>
      </c>
      <c r="L4" s="0" t="n">
        <v>5.25</v>
      </c>
      <c r="M4" s="2" t="n">
        <v>1.4</v>
      </c>
      <c r="N4" s="1" t="n">
        <v>12.85</v>
      </c>
      <c r="O4" s="1" t="n">
        <v>1.4</v>
      </c>
    </row>
    <row r="5" customFormat="false" ht="15" hidden="false" customHeight="false" outlineLevel="0" collapsed="false">
      <c r="D5" s="0" t="n">
        <v>6</v>
      </c>
      <c r="E5" s="0" t="n">
        <v>8.12</v>
      </c>
      <c r="F5" s="0" t="n">
        <v>-13.3</v>
      </c>
      <c r="G5" s="2" t="n">
        <v>1.1</v>
      </c>
      <c r="H5" s="1" t="n">
        <v>-5.25</v>
      </c>
      <c r="I5" s="1" t="n">
        <v>1.1</v>
      </c>
      <c r="J5" s="0" t="n">
        <v>0</v>
      </c>
      <c r="K5" s="2" t="n">
        <v>1.21</v>
      </c>
      <c r="L5" s="0" t="n">
        <v>5.25</v>
      </c>
      <c r="M5" s="2" t="n">
        <v>1.1</v>
      </c>
      <c r="N5" s="1" t="n">
        <v>13.3</v>
      </c>
      <c r="O5" s="1" t="n">
        <v>1.1</v>
      </c>
    </row>
    <row r="6" customFormat="false" ht="15" hidden="false" customHeight="false" outlineLevel="0" collapsed="false">
      <c r="D6" s="0" t="n">
        <v>5</v>
      </c>
      <c r="E6" s="0" t="n">
        <v>8.39</v>
      </c>
      <c r="F6" s="0" t="n">
        <v>-13.75</v>
      </c>
      <c r="G6" s="2" t="n">
        <v>0.8</v>
      </c>
      <c r="H6" s="1" t="n">
        <v>-5.25</v>
      </c>
      <c r="I6" s="1" t="n">
        <v>0.8</v>
      </c>
      <c r="J6" s="0" t="n">
        <v>0</v>
      </c>
      <c r="K6" s="2" t="n">
        <v>0.91</v>
      </c>
      <c r="L6" s="0" t="n">
        <v>5.25</v>
      </c>
      <c r="M6" s="2" t="n">
        <v>0.8</v>
      </c>
      <c r="N6" s="1" t="n">
        <v>13.75</v>
      </c>
      <c r="O6" s="1" t="n">
        <v>0.8</v>
      </c>
    </row>
    <row r="7" customFormat="false" ht="15" hidden="false" customHeight="false" outlineLevel="0" collapsed="false">
      <c r="D7" s="0" t="n">
        <v>4</v>
      </c>
      <c r="E7" s="0" t="n">
        <v>8.66</v>
      </c>
      <c r="F7" s="0" t="n">
        <v>-14.2</v>
      </c>
      <c r="G7" s="2" t="n">
        <v>0.5</v>
      </c>
      <c r="H7" s="1" t="n">
        <v>-5.25</v>
      </c>
      <c r="I7" s="1" t="n">
        <v>0.5</v>
      </c>
      <c r="J7" s="0" t="n">
        <v>0</v>
      </c>
      <c r="K7" s="2" t="n">
        <v>0.61</v>
      </c>
      <c r="L7" s="0" t="n">
        <v>5.25</v>
      </c>
      <c r="M7" s="2" t="n">
        <v>0.5</v>
      </c>
      <c r="N7" s="1" t="n">
        <v>14.2</v>
      </c>
      <c r="O7" s="1" t="n">
        <v>0.5</v>
      </c>
    </row>
    <row r="8" customFormat="false" ht="15" hidden="false" customHeight="false" outlineLevel="0" collapsed="false">
      <c r="D8" s="0" t="n">
        <v>3</v>
      </c>
      <c r="E8" s="0" t="n">
        <v>8.07</v>
      </c>
      <c r="F8" s="0" t="n">
        <v>-14.65</v>
      </c>
      <c r="G8" s="2" t="n">
        <v>0.2</v>
      </c>
      <c r="H8" s="1" t="n">
        <v>-5.25</v>
      </c>
      <c r="I8" s="1" t="n">
        <v>0.2</v>
      </c>
      <c r="J8" s="0" t="n">
        <v>0</v>
      </c>
      <c r="K8" s="2" t="n">
        <v>0.31</v>
      </c>
      <c r="L8" s="0" t="n">
        <v>5.25</v>
      </c>
      <c r="M8" s="2" t="n">
        <v>0.2</v>
      </c>
      <c r="N8" s="1" t="n">
        <v>14.65</v>
      </c>
      <c r="O8" s="1" t="n">
        <v>0.2</v>
      </c>
    </row>
    <row r="9" customFormat="false" ht="15" hidden="false" customHeight="false" outlineLevel="0" collapsed="false">
      <c r="D9" s="0" t="n">
        <v>2</v>
      </c>
      <c r="E9" s="0" t="n">
        <v>6.07</v>
      </c>
      <c r="F9" s="0" t="n">
        <v>-10.38</v>
      </c>
      <c r="G9" s="2" t="n">
        <v>-0.1</v>
      </c>
      <c r="H9" s="1" t="n">
        <v>-5.25</v>
      </c>
      <c r="I9" s="1" t="n">
        <v>-0.1</v>
      </c>
      <c r="J9" s="0" t="n">
        <v>0</v>
      </c>
      <c r="K9" s="2" t="n">
        <v>0.01</v>
      </c>
      <c r="L9" s="0" t="n">
        <v>5.25</v>
      </c>
      <c r="M9" s="2" t="n">
        <v>-0.1</v>
      </c>
      <c r="N9" s="1" t="n">
        <v>10.17</v>
      </c>
      <c r="O9" s="1" t="n">
        <v>-0.1</v>
      </c>
    </row>
    <row r="10" customFormat="false" ht="15" hidden="false" customHeight="false" outlineLevel="0" collapsed="false">
      <c r="D10" s="0" t="n">
        <v>1</v>
      </c>
      <c r="E10" s="0" t="n">
        <v>4.48</v>
      </c>
      <c r="F10" s="0" t="n">
        <v>-10.08</v>
      </c>
      <c r="G10" s="2" t="n">
        <v>-0.4</v>
      </c>
      <c r="H10" s="1" t="n">
        <v>-5.25</v>
      </c>
      <c r="I10" s="1" t="n">
        <v>-0.4</v>
      </c>
      <c r="J10" s="0" t="n">
        <v>0</v>
      </c>
      <c r="K10" s="2" t="n">
        <v>-0.29</v>
      </c>
      <c r="L10" s="0" t="n">
        <v>5.25</v>
      </c>
      <c r="M10" s="2" t="n">
        <v>-0.4</v>
      </c>
      <c r="N10" s="1" t="n">
        <v>9.87</v>
      </c>
      <c r="O10" s="1" t="n">
        <v>-0.4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454.34</v>
      </c>
      <c r="D11" s="0" t="n">
        <v>9</v>
      </c>
      <c r="E11" s="0" t="n">
        <v>7.31</v>
      </c>
      <c r="F11" s="0" t="n">
        <v>-11.95</v>
      </c>
      <c r="G11" s="2" t="n">
        <v>1.99</v>
      </c>
      <c r="H11" s="1" t="n">
        <v>-5.25</v>
      </c>
      <c r="I11" s="1" t="n">
        <v>1.99</v>
      </c>
      <c r="J11" s="0" t="n">
        <v>0</v>
      </c>
      <c r="K11" s="2" t="n">
        <v>2.11</v>
      </c>
      <c r="L11" s="0" t="n">
        <v>5.25</v>
      </c>
      <c r="M11" s="2" t="n">
        <v>1.99</v>
      </c>
      <c r="N11" s="1" t="n">
        <v>11.95</v>
      </c>
      <c r="O11" s="1" t="n">
        <v>1.99</v>
      </c>
      <c r="P11" s="0" t="n">
        <v>78.11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7.58</v>
      </c>
      <c r="F12" s="0" t="n">
        <v>-12.4</v>
      </c>
      <c r="G12" s="2" t="n">
        <v>1.69</v>
      </c>
      <c r="H12" s="1" t="n">
        <v>-5.25</v>
      </c>
      <c r="I12" s="1" t="n">
        <v>1.69</v>
      </c>
      <c r="J12" s="0" t="n">
        <v>0</v>
      </c>
      <c r="K12" s="2" t="n">
        <v>1.81</v>
      </c>
      <c r="L12" s="0" t="n">
        <v>5.25</v>
      </c>
      <c r="M12" s="2" t="n">
        <v>1.69</v>
      </c>
      <c r="N12" s="1" t="n">
        <v>12.4</v>
      </c>
      <c r="O12" s="1" t="n">
        <v>1.69</v>
      </c>
    </row>
    <row r="13" customFormat="false" ht="15" hidden="false" customHeight="false" outlineLevel="0" collapsed="false">
      <c r="D13" s="0" t="n">
        <v>7</v>
      </c>
      <c r="E13" s="0" t="n">
        <v>7.85</v>
      </c>
      <c r="F13" s="0" t="n">
        <v>-12.85</v>
      </c>
      <c r="G13" s="2" t="n">
        <v>1.39</v>
      </c>
      <c r="H13" s="1" t="n">
        <v>-5.25</v>
      </c>
      <c r="I13" s="1" t="n">
        <v>1.39</v>
      </c>
      <c r="J13" s="0" t="n">
        <v>0</v>
      </c>
      <c r="K13" s="2" t="n">
        <v>1.51</v>
      </c>
      <c r="L13" s="0" t="n">
        <v>5.25</v>
      </c>
      <c r="M13" s="2" t="n">
        <v>1.39</v>
      </c>
      <c r="N13" s="1" t="n">
        <v>12.85</v>
      </c>
      <c r="O13" s="1" t="n">
        <v>1.39</v>
      </c>
    </row>
    <row r="14" customFormat="false" ht="15" hidden="false" customHeight="false" outlineLevel="0" collapsed="false">
      <c r="D14" s="0" t="n">
        <v>6</v>
      </c>
      <c r="E14" s="0" t="n">
        <v>8.12</v>
      </c>
      <c r="F14" s="0" t="n">
        <v>-13.3</v>
      </c>
      <c r="G14" s="2" t="n">
        <v>1.09</v>
      </c>
      <c r="H14" s="1" t="n">
        <v>-5.25</v>
      </c>
      <c r="I14" s="1" t="n">
        <v>1.09</v>
      </c>
      <c r="J14" s="0" t="n">
        <v>0</v>
      </c>
      <c r="K14" s="2" t="n">
        <v>1.21</v>
      </c>
      <c r="L14" s="0" t="n">
        <v>5.25</v>
      </c>
      <c r="M14" s="2" t="n">
        <v>1.09</v>
      </c>
      <c r="N14" s="1" t="n">
        <v>13.3</v>
      </c>
      <c r="O14" s="1" t="n">
        <v>1.09</v>
      </c>
    </row>
    <row r="15" customFormat="false" ht="15" hidden="false" customHeight="false" outlineLevel="0" collapsed="false">
      <c r="D15" s="0" t="n">
        <v>5</v>
      </c>
      <c r="E15" s="0" t="n">
        <v>8.39</v>
      </c>
      <c r="F15" s="0" t="n">
        <v>-13.75</v>
      </c>
      <c r="G15" s="2" t="n">
        <v>0.79</v>
      </c>
      <c r="H15" s="1" t="n">
        <v>-5.25</v>
      </c>
      <c r="I15" s="1" t="n">
        <v>0.79</v>
      </c>
      <c r="J15" s="0" t="n">
        <v>0</v>
      </c>
      <c r="K15" s="2" t="n">
        <v>0.91</v>
      </c>
      <c r="L15" s="0" t="n">
        <v>5.25</v>
      </c>
      <c r="M15" s="2" t="n">
        <v>0.79</v>
      </c>
      <c r="N15" s="1" t="n">
        <v>13.75</v>
      </c>
      <c r="O15" s="1" t="n">
        <v>0.79</v>
      </c>
    </row>
    <row r="16" customFormat="false" ht="15" hidden="false" customHeight="false" outlineLevel="0" collapsed="false">
      <c r="D16" s="0" t="n">
        <v>4</v>
      </c>
      <c r="E16" s="0" t="n">
        <v>8.66</v>
      </c>
      <c r="F16" s="0" t="n">
        <v>-14.2</v>
      </c>
      <c r="G16" s="2" t="n">
        <v>0.49</v>
      </c>
      <c r="H16" s="1" t="n">
        <v>-5.25</v>
      </c>
      <c r="I16" s="1" t="n">
        <v>0.49</v>
      </c>
      <c r="J16" s="0" t="n">
        <v>0</v>
      </c>
      <c r="K16" s="2" t="n">
        <v>0.61</v>
      </c>
      <c r="L16" s="0" t="n">
        <v>5.25</v>
      </c>
      <c r="M16" s="2" t="n">
        <v>0.49</v>
      </c>
      <c r="N16" s="1" t="n">
        <v>14.2</v>
      </c>
      <c r="O16" s="1" t="n">
        <v>0.49</v>
      </c>
    </row>
    <row r="17" customFormat="false" ht="15" hidden="false" customHeight="false" outlineLevel="0" collapsed="false">
      <c r="D17" s="0" t="n">
        <v>3</v>
      </c>
      <c r="E17" s="0" t="n">
        <v>8.21</v>
      </c>
      <c r="F17" s="0" t="n">
        <v>-14.65</v>
      </c>
      <c r="G17" s="2" t="n">
        <v>0.19</v>
      </c>
      <c r="H17" s="1" t="n">
        <v>-5.25</v>
      </c>
      <c r="I17" s="1" t="n">
        <v>0.19</v>
      </c>
      <c r="J17" s="0" t="n">
        <v>0</v>
      </c>
      <c r="K17" s="2" t="n">
        <v>0.31</v>
      </c>
      <c r="L17" s="0" t="n">
        <v>5.25</v>
      </c>
      <c r="M17" s="2" t="n">
        <v>0.19</v>
      </c>
      <c r="N17" s="1" t="n">
        <v>14.65</v>
      </c>
      <c r="O17" s="1" t="n">
        <v>0.19</v>
      </c>
    </row>
    <row r="18" customFormat="false" ht="15" hidden="false" customHeight="false" outlineLevel="0" collapsed="false">
      <c r="D18" s="0" t="n">
        <v>2</v>
      </c>
      <c r="E18" s="0" t="n">
        <v>6.09</v>
      </c>
      <c r="F18" s="0" t="n">
        <v>-10.32</v>
      </c>
      <c r="G18" s="2" t="n">
        <v>-0.11</v>
      </c>
      <c r="H18" s="1" t="n">
        <v>-5.25</v>
      </c>
      <c r="I18" s="1" t="n">
        <v>-0.11</v>
      </c>
      <c r="J18" s="0" t="n">
        <v>0</v>
      </c>
      <c r="K18" s="2" t="n">
        <v>0.01</v>
      </c>
      <c r="L18" s="0" t="n">
        <v>5.25</v>
      </c>
      <c r="M18" s="2" t="n">
        <v>-0.11</v>
      </c>
      <c r="N18" s="1" t="n">
        <v>10.27</v>
      </c>
      <c r="O18" s="1" t="n">
        <v>-0.11</v>
      </c>
    </row>
    <row r="19" customFormat="false" ht="15" hidden="false" customHeight="false" outlineLevel="0" collapsed="false">
      <c r="D19" s="0" t="n">
        <v>1</v>
      </c>
      <c r="E19" s="0" t="n">
        <v>4.39</v>
      </c>
      <c r="F19" s="0" t="n">
        <v>-10.02</v>
      </c>
      <c r="G19" s="2" t="n">
        <v>-0.41</v>
      </c>
      <c r="H19" s="1" t="n">
        <v>-5.25</v>
      </c>
      <c r="I19" s="1" t="n">
        <v>-0.41</v>
      </c>
      <c r="J19" s="0" t="n">
        <v>0</v>
      </c>
      <c r="K19" s="2" t="n">
        <v>-0.29</v>
      </c>
      <c r="L19" s="0" t="n">
        <v>5.25</v>
      </c>
      <c r="M19" s="2" t="n">
        <v>-0.41</v>
      </c>
      <c r="N19" s="1" t="n">
        <v>9.97</v>
      </c>
      <c r="O19" s="1" t="n">
        <v>-0.41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466.84</v>
      </c>
      <c r="D20" s="0" t="n">
        <v>9</v>
      </c>
      <c r="E20" s="0" t="n">
        <v>7.31</v>
      </c>
      <c r="F20" s="0" t="n">
        <v>-11.95</v>
      </c>
      <c r="G20" s="2" t="n">
        <v>1.98</v>
      </c>
      <c r="H20" s="1" t="n">
        <v>-5.25</v>
      </c>
      <c r="I20" s="1" t="n">
        <v>1.98</v>
      </c>
      <c r="J20" s="0" t="n">
        <v>0</v>
      </c>
      <c r="K20" s="2" t="n">
        <v>2.1</v>
      </c>
      <c r="L20" s="0" t="n">
        <v>5.25</v>
      </c>
      <c r="M20" s="2" t="n">
        <v>1.98</v>
      </c>
      <c r="N20" s="1" t="n">
        <v>11.95</v>
      </c>
      <c r="O20" s="1" t="n">
        <v>1.98</v>
      </c>
      <c r="P20" s="0" t="n">
        <v>79.32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7.58</v>
      </c>
      <c r="F21" s="0" t="n">
        <v>-12.4</v>
      </c>
      <c r="G21" s="2" t="n">
        <v>1.68</v>
      </c>
      <c r="H21" s="1" t="n">
        <v>-5.25</v>
      </c>
      <c r="I21" s="1" t="n">
        <v>1.68</v>
      </c>
      <c r="J21" s="0" t="n">
        <v>0</v>
      </c>
      <c r="K21" s="2" t="n">
        <v>1.8</v>
      </c>
      <c r="L21" s="0" t="n">
        <v>5.25</v>
      </c>
      <c r="M21" s="2" t="n">
        <v>1.68</v>
      </c>
      <c r="N21" s="1" t="n">
        <v>12.4</v>
      </c>
      <c r="O21" s="1" t="n">
        <v>1.68</v>
      </c>
    </row>
    <row r="22" customFormat="false" ht="15" hidden="false" customHeight="false" outlineLevel="0" collapsed="false">
      <c r="D22" s="0" t="n">
        <v>7</v>
      </c>
      <c r="E22" s="0" t="n">
        <v>7.85</v>
      </c>
      <c r="F22" s="0" t="n">
        <v>-12.85</v>
      </c>
      <c r="G22" s="2" t="n">
        <v>1.38</v>
      </c>
      <c r="H22" s="1" t="n">
        <v>-5.25</v>
      </c>
      <c r="I22" s="1" t="n">
        <v>1.38</v>
      </c>
      <c r="J22" s="0" t="n">
        <v>0</v>
      </c>
      <c r="K22" s="2" t="n">
        <v>1.5</v>
      </c>
      <c r="L22" s="0" t="n">
        <v>5.25</v>
      </c>
      <c r="M22" s="2" t="n">
        <v>1.38</v>
      </c>
      <c r="N22" s="1" t="n">
        <v>12.85</v>
      </c>
      <c r="O22" s="1" t="n">
        <v>1.38</v>
      </c>
    </row>
    <row r="23" customFormat="false" ht="15" hidden="false" customHeight="false" outlineLevel="0" collapsed="false">
      <c r="D23" s="0" t="n">
        <v>6</v>
      </c>
      <c r="E23" s="0" t="n">
        <v>8.12</v>
      </c>
      <c r="F23" s="0" t="n">
        <v>-13.3</v>
      </c>
      <c r="G23" s="2" t="n">
        <v>1.08</v>
      </c>
      <c r="H23" s="1" t="n">
        <v>-5.25</v>
      </c>
      <c r="I23" s="1" t="n">
        <v>1.08</v>
      </c>
      <c r="J23" s="0" t="n">
        <v>0</v>
      </c>
      <c r="K23" s="2" t="n">
        <v>1.2</v>
      </c>
      <c r="L23" s="0" t="n">
        <v>5.25</v>
      </c>
      <c r="M23" s="2" t="n">
        <v>1.08</v>
      </c>
      <c r="N23" s="1" t="n">
        <v>13.3</v>
      </c>
      <c r="O23" s="1" t="n">
        <v>1.08</v>
      </c>
    </row>
    <row r="24" customFormat="false" ht="15" hidden="false" customHeight="false" outlineLevel="0" collapsed="false">
      <c r="D24" s="0" t="n">
        <v>5</v>
      </c>
      <c r="E24" s="0" t="n">
        <v>8.39</v>
      </c>
      <c r="F24" s="0" t="n">
        <v>-13.75</v>
      </c>
      <c r="G24" s="2" t="n">
        <v>0.78</v>
      </c>
      <c r="H24" s="1" t="n">
        <v>-5.25</v>
      </c>
      <c r="I24" s="1" t="n">
        <v>0.78</v>
      </c>
      <c r="J24" s="0" t="n">
        <v>0</v>
      </c>
      <c r="K24" s="2" t="n">
        <v>0.9</v>
      </c>
      <c r="L24" s="0" t="n">
        <v>5.25</v>
      </c>
      <c r="M24" s="2" t="n">
        <v>0.78</v>
      </c>
      <c r="N24" s="1" t="n">
        <v>13.75</v>
      </c>
      <c r="O24" s="1" t="n">
        <v>0.78</v>
      </c>
    </row>
    <row r="25" customFormat="false" ht="15" hidden="false" customHeight="false" outlineLevel="0" collapsed="false">
      <c r="D25" s="0" t="n">
        <v>4</v>
      </c>
      <c r="E25" s="0" t="n">
        <v>8.66</v>
      </c>
      <c r="F25" s="0" t="n">
        <v>-14.2</v>
      </c>
      <c r="G25" s="2" t="n">
        <v>0.48</v>
      </c>
      <c r="H25" s="1" t="n">
        <v>-5.25</v>
      </c>
      <c r="I25" s="1" t="n">
        <v>0.48</v>
      </c>
      <c r="J25" s="0" t="n">
        <v>0</v>
      </c>
      <c r="K25" s="2" t="n">
        <v>0.6</v>
      </c>
      <c r="L25" s="0" t="n">
        <v>5.25</v>
      </c>
      <c r="M25" s="2" t="n">
        <v>0.48</v>
      </c>
      <c r="N25" s="1" t="n">
        <v>14.2</v>
      </c>
      <c r="O25" s="1" t="n">
        <v>0.48</v>
      </c>
    </row>
    <row r="26" customFormat="false" ht="15" hidden="false" customHeight="false" outlineLevel="0" collapsed="false">
      <c r="D26" s="0" t="n">
        <v>3</v>
      </c>
      <c r="E26" s="0" t="n">
        <v>8.55</v>
      </c>
      <c r="F26" s="0" t="n">
        <v>-14.65</v>
      </c>
      <c r="G26" s="2" t="n">
        <v>0.18</v>
      </c>
      <c r="H26" s="1" t="n">
        <v>-5.25</v>
      </c>
      <c r="I26" s="1" t="n">
        <v>0.18</v>
      </c>
      <c r="J26" s="0" t="n">
        <v>0</v>
      </c>
      <c r="K26" s="2" t="n">
        <v>0.3</v>
      </c>
      <c r="L26" s="0" t="n">
        <v>5.25</v>
      </c>
      <c r="M26" s="2" t="n">
        <v>0.18</v>
      </c>
      <c r="N26" s="1" t="n">
        <v>14.65</v>
      </c>
      <c r="O26" s="1" t="n">
        <v>0.18</v>
      </c>
    </row>
    <row r="27" customFormat="false" ht="15" hidden="false" customHeight="false" outlineLevel="0" collapsed="false">
      <c r="D27" s="0" t="n">
        <v>2</v>
      </c>
      <c r="E27" s="0" t="n">
        <v>6.96</v>
      </c>
      <c r="F27" s="0" t="n">
        <v>-15.1</v>
      </c>
      <c r="G27" s="2" t="n">
        <v>-0.12</v>
      </c>
      <c r="H27" s="1" t="n">
        <v>-5.25</v>
      </c>
      <c r="I27" s="1" t="n">
        <v>-0.12</v>
      </c>
      <c r="J27" s="0" t="n">
        <v>0</v>
      </c>
      <c r="K27" s="2" t="n">
        <v>0</v>
      </c>
      <c r="L27" s="0" t="n">
        <v>5.25</v>
      </c>
      <c r="M27" s="2" t="n">
        <v>-0.12</v>
      </c>
      <c r="N27" s="1" t="n">
        <v>10.26</v>
      </c>
      <c r="O27" s="1" t="n">
        <v>-0.12</v>
      </c>
    </row>
    <row r="28" customFormat="false" ht="15" hidden="false" customHeight="false" outlineLevel="0" collapsed="false">
      <c r="D28" s="0" t="n">
        <v>1</v>
      </c>
      <c r="E28" s="0" t="n">
        <v>4.37</v>
      </c>
      <c r="F28" s="0" t="n">
        <v>-10.5</v>
      </c>
      <c r="G28" s="2" t="n">
        <v>-0.42</v>
      </c>
      <c r="H28" s="1" t="n">
        <v>-5.25</v>
      </c>
      <c r="I28" s="1" t="n">
        <v>-0.42</v>
      </c>
      <c r="J28" s="0" t="n">
        <v>0</v>
      </c>
      <c r="K28" s="2" t="n">
        <v>-0.3</v>
      </c>
      <c r="L28" s="0" t="n">
        <v>5.25</v>
      </c>
      <c r="M28" s="2" t="n">
        <v>-0.42</v>
      </c>
      <c r="N28" s="1" t="n">
        <v>9.96</v>
      </c>
      <c r="O28" s="1" t="n">
        <v>-0.42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474.34</v>
      </c>
      <c r="D29" s="0" t="n">
        <v>9</v>
      </c>
      <c r="E29" s="0" t="n">
        <v>7.31</v>
      </c>
      <c r="F29" s="0" t="n">
        <v>-11.95</v>
      </c>
      <c r="G29" s="2" t="n">
        <v>1.98</v>
      </c>
      <c r="H29" s="1" t="n">
        <v>-5.25</v>
      </c>
      <c r="I29" s="1" t="n">
        <v>1.98</v>
      </c>
      <c r="J29" s="0" t="n">
        <v>0</v>
      </c>
      <c r="K29" s="2" t="n">
        <v>2.1</v>
      </c>
      <c r="L29" s="0" t="n">
        <v>5.25</v>
      </c>
      <c r="M29" s="2" t="n">
        <v>1.98</v>
      </c>
      <c r="N29" s="1" t="n">
        <v>11.95</v>
      </c>
      <c r="O29" s="1" t="n">
        <v>1.98</v>
      </c>
      <c r="P29" s="0" t="n">
        <v>79.44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7.58</v>
      </c>
      <c r="F30" s="0" t="n">
        <v>-12.4</v>
      </c>
      <c r="G30" s="2" t="n">
        <v>1.68</v>
      </c>
      <c r="H30" s="1" t="n">
        <v>-5.25</v>
      </c>
      <c r="I30" s="1" t="n">
        <v>1.68</v>
      </c>
      <c r="J30" s="0" t="n">
        <v>0</v>
      </c>
      <c r="K30" s="2" t="n">
        <v>1.8</v>
      </c>
      <c r="L30" s="0" t="n">
        <v>5.25</v>
      </c>
      <c r="M30" s="2" t="n">
        <v>1.68</v>
      </c>
      <c r="N30" s="1" t="n">
        <v>12.4</v>
      </c>
      <c r="O30" s="1" t="n">
        <v>1.68</v>
      </c>
    </row>
    <row r="31" customFormat="false" ht="15" hidden="false" customHeight="false" outlineLevel="0" collapsed="false">
      <c r="D31" s="0" t="n">
        <v>7</v>
      </c>
      <c r="E31" s="0" t="n">
        <v>7.85</v>
      </c>
      <c r="F31" s="0" t="n">
        <v>-12.85</v>
      </c>
      <c r="G31" s="2" t="n">
        <v>1.38</v>
      </c>
      <c r="H31" s="1" t="n">
        <v>-5.25</v>
      </c>
      <c r="I31" s="1" t="n">
        <v>1.38</v>
      </c>
      <c r="J31" s="0" t="n">
        <v>0</v>
      </c>
      <c r="K31" s="2" t="n">
        <v>1.5</v>
      </c>
      <c r="L31" s="0" t="n">
        <v>5.25</v>
      </c>
      <c r="M31" s="2" t="n">
        <v>1.38</v>
      </c>
      <c r="N31" s="1" t="n">
        <v>12.85</v>
      </c>
      <c r="O31" s="1" t="n">
        <v>1.38</v>
      </c>
    </row>
    <row r="32" customFormat="false" ht="15" hidden="false" customHeight="false" outlineLevel="0" collapsed="false">
      <c r="D32" s="0" t="n">
        <v>6</v>
      </c>
      <c r="E32" s="0" t="n">
        <v>8.12</v>
      </c>
      <c r="F32" s="0" t="n">
        <v>-13.3</v>
      </c>
      <c r="G32" s="2" t="n">
        <v>1.08</v>
      </c>
      <c r="H32" s="1" t="n">
        <v>-5.25</v>
      </c>
      <c r="I32" s="1" t="n">
        <v>1.08</v>
      </c>
      <c r="J32" s="0" t="n">
        <v>0</v>
      </c>
      <c r="K32" s="2" t="n">
        <v>1.2</v>
      </c>
      <c r="L32" s="0" t="n">
        <v>5.25</v>
      </c>
      <c r="M32" s="2" t="n">
        <v>1.08</v>
      </c>
      <c r="N32" s="1" t="n">
        <v>13.3</v>
      </c>
      <c r="O32" s="1" t="n">
        <v>1.08</v>
      </c>
    </row>
    <row r="33" customFormat="false" ht="15" hidden="false" customHeight="false" outlineLevel="0" collapsed="false">
      <c r="D33" s="0" t="n">
        <v>5</v>
      </c>
      <c r="E33" s="0" t="n">
        <v>8.39</v>
      </c>
      <c r="F33" s="0" t="n">
        <v>-13.75</v>
      </c>
      <c r="G33" s="2" t="n">
        <v>0.78</v>
      </c>
      <c r="H33" s="1" t="n">
        <v>-5.25</v>
      </c>
      <c r="I33" s="1" t="n">
        <v>0.78</v>
      </c>
      <c r="J33" s="0" t="n">
        <v>0</v>
      </c>
      <c r="K33" s="2" t="n">
        <v>0.9</v>
      </c>
      <c r="L33" s="0" t="n">
        <v>5.25</v>
      </c>
      <c r="M33" s="2" t="n">
        <v>0.78</v>
      </c>
      <c r="N33" s="1" t="n">
        <v>13.75</v>
      </c>
      <c r="O33" s="1" t="n">
        <v>0.78</v>
      </c>
    </row>
    <row r="34" customFormat="false" ht="15" hidden="false" customHeight="false" outlineLevel="0" collapsed="false">
      <c r="D34" s="0" t="n">
        <v>4</v>
      </c>
      <c r="E34" s="0" t="n">
        <v>8.66</v>
      </c>
      <c r="F34" s="0" t="n">
        <v>-14.2</v>
      </c>
      <c r="G34" s="2" t="n">
        <v>0.48</v>
      </c>
      <c r="H34" s="1" t="n">
        <v>-5.25</v>
      </c>
      <c r="I34" s="1" t="n">
        <v>0.48</v>
      </c>
      <c r="J34" s="0" t="n">
        <v>0</v>
      </c>
      <c r="K34" s="2" t="n">
        <v>0.6</v>
      </c>
      <c r="L34" s="0" t="n">
        <v>5.25</v>
      </c>
      <c r="M34" s="2" t="n">
        <v>0.48</v>
      </c>
      <c r="N34" s="1" t="n">
        <v>14.2</v>
      </c>
      <c r="O34" s="1" t="n">
        <v>0.48</v>
      </c>
    </row>
    <row r="35" customFormat="false" ht="15" hidden="false" customHeight="false" outlineLevel="0" collapsed="false">
      <c r="D35" s="0" t="n">
        <v>3</v>
      </c>
      <c r="E35" s="0" t="n">
        <v>8.61</v>
      </c>
      <c r="F35" s="0" t="n">
        <v>-14.65</v>
      </c>
      <c r="G35" s="2" t="n">
        <v>0.18</v>
      </c>
      <c r="H35" s="1" t="n">
        <v>-5.25</v>
      </c>
      <c r="I35" s="1" t="n">
        <v>0.18</v>
      </c>
      <c r="J35" s="0" t="n">
        <v>0</v>
      </c>
      <c r="K35" s="2" t="n">
        <v>0.3</v>
      </c>
      <c r="L35" s="0" t="n">
        <v>5.25</v>
      </c>
      <c r="M35" s="2" t="n">
        <v>0.18</v>
      </c>
      <c r="N35" s="1" t="n">
        <v>14.65</v>
      </c>
      <c r="O35" s="1" t="n">
        <v>0.18</v>
      </c>
    </row>
    <row r="36" customFormat="false" ht="15" hidden="false" customHeight="false" outlineLevel="0" collapsed="false">
      <c r="D36" s="0" t="n">
        <v>2</v>
      </c>
      <c r="E36" s="0" t="n">
        <v>7.07</v>
      </c>
      <c r="F36" s="0" t="n">
        <v>-15.1</v>
      </c>
      <c r="G36" s="2" t="n">
        <v>-0.12</v>
      </c>
      <c r="H36" s="1" t="n">
        <v>-5.25</v>
      </c>
      <c r="I36" s="1" t="n">
        <v>-0.12</v>
      </c>
      <c r="J36" s="0" t="n">
        <v>0</v>
      </c>
      <c r="K36" s="2" t="n">
        <v>0</v>
      </c>
      <c r="L36" s="0" t="n">
        <v>5.25</v>
      </c>
      <c r="M36" s="2" t="n">
        <v>-0.12</v>
      </c>
      <c r="N36" s="1" t="n">
        <v>10.3</v>
      </c>
      <c r="O36" s="1" t="n">
        <v>-0.12</v>
      </c>
    </row>
    <row r="37" customFormat="false" ht="15" hidden="false" customHeight="false" outlineLevel="0" collapsed="false">
      <c r="D37" s="0" t="n">
        <v>1</v>
      </c>
      <c r="E37" s="0" t="n">
        <v>4.33</v>
      </c>
      <c r="F37" s="0" t="n">
        <v>-10.57</v>
      </c>
      <c r="G37" s="2" t="n">
        <v>-0.42</v>
      </c>
      <c r="H37" s="1" t="n">
        <v>-5.25</v>
      </c>
      <c r="I37" s="1" t="n">
        <v>-0.42</v>
      </c>
      <c r="J37" s="0" t="n">
        <v>0</v>
      </c>
      <c r="K37" s="2" t="n">
        <v>-0.3</v>
      </c>
      <c r="L37" s="0" t="n">
        <v>5.25</v>
      </c>
      <c r="M37" s="2" t="n">
        <v>-0.42</v>
      </c>
      <c r="N37" s="1" t="n">
        <v>10</v>
      </c>
      <c r="O37" s="1" t="n">
        <v>-0.42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494.34</v>
      </c>
      <c r="D38" s="0" t="n">
        <v>9</v>
      </c>
      <c r="E38" s="0" t="n">
        <v>7.31</v>
      </c>
      <c r="F38" s="0" t="n">
        <v>-11.95</v>
      </c>
      <c r="G38" s="2" t="n">
        <v>1.97</v>
      </c>
      <c r="H38" s="1" t="n">
        <v>-5.25</v>
      </c>
      <c r="I38" s="1" t="n">
        <v>1.97</v>
      </c>
      <c r="J38" s="0" t="n">
        <v>0</v>
      </c>
      <c r="K38" s="2" t="n">
        <v>2.09</v>
      </c>
      <c r="L38" s="0" t="n">
        <v>5.25</v>
      </c>
      <c r="M38" s="2" t="n">
        <v>1.97</v>
      </c>
      <c r="N38" s="1" t="n">
        <v>11.95</v>
      </c>
      <c r="O38" s="1" t="n">
        <v>1.97</v>
      </c>
      <c r="P38" s="0" t="n">
        <v>77.17</v>
      </c>
      <c r="Q38" s="0" t="n">
        <v>11.55</v>
      </c>
    </row>
    <row r="39" customFormat="false" ht="15" hidden="false" customHeight="false" outlineLevel="0" collapsed="false">
      <c r="D39" s="0" t="n">
        <v>8</v>
      </c>
      <c r="E39" s="0" t="n">
        <v>7.58</v>
      </c>
      <c r="F39" s="0" t="n">
        <v>-12.4</v>
      </c>
      <c r="G39" s="2" t="n">
        <v>1.67</v>
      </c>
      <c r="H39" s="1" t="n">
        <v>-5.25</v>
      </c>
      <c r="I39" s="1" t="n">
        <v>1.67</v>
      </c>
      <c r="J39" s="0" t="n">
        <v>0</v>
      </c>
      <c r="K39" s="2" t="n">
        <v>1.79</v>
      </c>
      <c r="L39" s="0" t="n">
        <v>5.25</v>
      </c>
      <c r="M39" s="2" t="n">
        <v>1.67</v>
      </c>
      <c r="N39" s="1" t="n">
        <v>12.4</v>
      </c>
      <c r="O39" s="1" t="n">
        <v>1.67</v>
      </c>
    </row>
    <row r="40" customFormat="false" ht="15" hidden="false" customHeight="false" outlineLevel="0" collapsed="false">
      <c r="D40" s="0" t="n">
        <v>7</v>
      </c>
      <c r="E40" s="0" t="n">
        <v>7.85</v>
      </c>
      <c r="F40" s="0" t="n">
        <v>-12.85</v>
      </c>
      <c r="G40" s="2" t="n">
        <v>1.37</v>
      </c>
      <c r="H40" s="1" t="n">
        <v>-5.25</v>
      </c>
      <c r="I40" s="1" t="n">
        <v>1.37</v>
      </c>
      <c r="J40" s="0" t="n">
        <v>0</v>
      </c>
      <c r="K40" s="2" t="n">
        <v>1.49</v>
      </c>
      <c r="L40" s="0" t="n">
        <v>5.25</v>
      </c>
      <c r="M40" s="2" t="n">
        <v>1.37</v>
      </c>
      <c r="N40" s="1" t="n">
        <v>12.85</v>
      </c>
      <c r="O40" s="1" t="n">
        <v>1.37</v>
      </c>
    </row>
    <row r="41" customFormat="false" ht="15" hidden="false" customHeight="false" outlineLevel="0" collapsed="false">
      <c r="D41" s="0" t="n">
        <v>6</v>
      </c>
      <c r="E41" s="0" t="n">
        <v>8.12</v>
      </c>
      <c r="F41" s="0" t="n">
        <v>-13.3</v>
      </c>
      <c r="G41" s="2" t="n">
        <v>1.07</v>
      </c>
      <c r="H41" s="1" t="n">
        <v>-5.25</v>
      </c>
      <c r="I41" s="1" t="n">
        <v>1.07</v>
      </c>
      <c r="J41" s="0" t="n">
        <v>0</v>
      </c>
      <c r="K41" s="2" t="n">
        <v>1.19</v>
      </c>
      <c r="L41" s="0" t="n">
        <v>5.25</v>
      </c>
      <c r="M41" s="2" t="n">
        <v>1.07</v>
      </c>
      <c r="N41" s="1" t="n">
        <v>13.3</v>
      </c>
      <c r="O41" s="1" t="n">
        <v>1.07</v>
      </c>
    </row>
    <row r="42" customFormat="false" ht="15" hidden="false" customHeight="false" outlineLevel="0" collapsed="false">
      <c r="D42" s="0" t="n">
        <v>5</v>
      </c>
      <c r="E42" s="0" t="n">
        <v>8.39</v>
      </c>
      <c r="F42" s="0" t="n">
        <v>-13.75</v>
      </c>
      <c r="G42" s="2" t="n">
        <v>0.77</v>
      </c>
      <c r="H42" s="1" t="n">
        <v>-5.25</v>
      </c>
      <c r="I42" s="1" t="n">
        <v>0.77</v>
      </c>
      <c r="J42" s="0" t="n">
        <v>0</v>
      </c>
      <c r="K42" s="2" t="n">
        <v>0.89</v>
      </c>
      <c r="L42" s="0" t="n">
        <v>5.25</v>
      </c>
      <c r="M42" s="2" t="n">
        <v>0.77</v>
      </c>
      <c r="N42" s="1" t="n">
        <v>13.75</v>
      </c>
      <c r="O42" s="1" t="n">
        <v>0.77</v>
      </c>
    </row>
    <row r="43" customFormat="false" ht="15" hidden="false" customHeight="false" outlineLevel="0" collapsed="false">
      <c r="D43" s="0" t="n">
        <v>4</v>
      </c>
      <c r="E43" s="0" t="n">
        <v>8.66</v>
      </c>
      <c r="F43" s="0" t="n">
        <v>-14.2</v>
      </c>
      <c r="G43" s="2" t="n">
        <v>0.47</v>
      </c>
      <c r="H43" s="1" t="n">
        <v>-5.25</v>
      </c>
      <c r="I43" s="1" t="n">
        <v>0.47</v>
      </c>
      <c r="J43" s="0" t="n">
        <v>0</v>
      </c>
      <c r="K43" s="2" t="n">
        <v>0.59</v>
      </c>
      <c r="L43" s="0" t="n">
        <v>5.25</v>
      </c>
      <c r="M43" s="2" t="n">
        <v>0.47</v>
      </c>
      <c r="N43" s="1" t="n">
        <v>14.2</v>
      </c>
      <c r="O43" s="1" t="n">
        <v>0.47</v>
      </c>
    </row>
    <row r="44" customFormat="false" ht="15" hidden="false" customHeight="false" outlineLevel="0" collapsed="false">
      <c r="D44" s="0" t="n">
        <v>3</v>
      </c>
      <c r="E44" s="0" t="n">
        <v>7.77</v>
      </c>
      <c r="F44" s="0" t="n">
        <v>-14.65</v>
      </c>
      <c r="G44" s="2" t="n">
        <v>0.17</v>
      </c>
      <c r="H44" s="1" t="n">
        <v>-5.25</v>
      </c>
      <c r="I44" s="1" t="n">
        <v>0.17</v>
      </c>
      <c r="J44" s="0" t="n">
        <v>0</v>
      </c>
      <c r="K44" s="2" t="n">
        <v>0.29</v>
      </c>
      <c r="L44" s="0" t="n">
        <v>5.25</v>
      </c>
      <c r="M44" s="2" t="n">
        <v>0.17</v>
      </c>
      <c r="N44" s="1" t="n">
        <v>14.65</v>
      </c>
      <c r="O44" s="1" t="n">
        <v>0.17</v>
      </c>
    </row>
    <row r="45" customFormat="false" ht="15" hidden="false" customHeight="false" outlineLevel="0" collapsed="false">
      <c r="D45" s="0" t="n">
        <v>2</v>
      </c>
      <c r="E45" s="0" t="n">
        <v>5.98</v>
      </c>
      <c r="F45" s="0" t="n">
        <v>-10.28</v>
      </c>
      <c r="G45" s="2" t="n">
        <v>-0.13</v>
      </c>
      <c r="H45" s="1" t="n">
        <v>-5.25</v>
      </c>
      <c r="I45" s="1" t="n">
        <v>-0.13</v>
      </c>
      <c r="J45" s="0" t="n">
        <v>0</v>
      </c>
      <c r="K45" s="2" t="n">
        <v>-0.01</v>
      </c>
      <c r="L45" s="0" t="n">
        <v>5.25</v>
      </c>
      <c r="M45" s="2" t="n">
        <v>-0.13</v>
      </c>
      <c r="N45" s="1" t="n">
        <v>9.96</v>
      </c>
      <c r="O45" s="1" t="n">
        <v>-0.13</v>
      </c>
    </row>
    <row r="46" customFormat="false" ht="15" hidden="false" customHeight="false" outlineLevel="0" collapsed="false">
      <c r="D46" s="0" t="n">
        <v>1</v>
      </c>
      <c r="E46" s="0" t="n">
        <v>4</v>
      </c>
      <c r="F46" s="0" t="n">
        <v>-9.98</v>
      </c>
      <c r="G46" s="2" t="n">
        <v>-0.43</v>
      </c>
      <c r="H46" s="1" t="n">
        <v>-5.25</v>
      </c>
      <c r="I46" s="1" t="n">
        <v>-0.43</v>
      </c>
      <c r="J46" s="0" t="n">
        <v>0</v>
      </c>
      <c r="K46" s="2" t="n">
        <v>-0.31</v>
      </c>
      <c r="L46" s="0" t="n">
        <v>5.25</v>
      </c>
      <c r="M46" s="2" t="n">
        <v>-0.43</v>
      </c>
      <c r="N46" s="1" t="n">
        <v>9.66</v>
      </c>
      <c r="O46" s="1" t="n">
        <v>-0.43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511.48</v>
      </c>
      <c r="D47" s="0" t="n">
        <v>9</v>
      </c>
      <c r="E47" s="0" t="n">
        <v>7.31</v>
      </c>
      <c r="F47" s="0" t="n">
        <v>-11.95</v>
      </c>
      <c r="G47" s="2" t="n">
        <v>1.96</v>
      </c>
      <c r="H47" s="1" t="n">
        <v>-5.25</v>
      </c>
      <c r="I47" s="1" t="n">
        <v>1.96</v>
      </c>
      <c r="J47" s="0" t="n">
        <v>0</v>
      </c>
      <c r="K47" s="2" t="n">
        <v>2.08</v>
      </c>
      <c r="L47" s="0" t="n">
        <v>5.25</v>
      </c>
      <c r="M47" s="2" t="n">
        <v>1.96</v>
      </c>
      <c r="N47" s="1" t="n">
        <v>11.95</v>
      </c>
      <c r="O47" s="1" t="n">
        <v>1.96</v>
      </c>
      <c r="P47" s="0" t="n">
        <v>75.38</v>
      </c>
      <c r="Q47" s="0" t="n">
        <v>11.55</v>
      </c>
    </row>
    <row r="48" customFormat="false" ht="15" hidden="false" customHeight="false" outlineLevel="0" collapsed="false">
      <c r="D48" s="0" t="n">
        <v>8</v>
      </c>
      <c r="E48" s="0" t="n">
        <v>7.58</v>
      </c>
      <c r="F48" s="0" t="n">
        <v>-12.4</v>
      </c>
      <c r="G48" s="2" t="n">
        <v>1.66</v>
      </c>
      <c r="H48" s="1" t="n">
        <v>-5.25</v>
      </c>
      <c r="I48" s="1" t="n">
        <v>1.66</v>
      </c>
      <c r="J48" s="0" t="n">
        <v>0</v>
      </c>
      <c r="K48" s="2" t="n">
        <v>1.78</v>
      </c>
      <c r="L48" s="0" t="n">
        <v>5.25</v>
      </c>
      <c r="M48" s="2" t="n">
        <v>1.66</v>
      </c>
      <c r="N48" s="1" t="n">
        <v>12.4</v>
      </c>
      <c r="O48" s="1" t="n">
        <v>1.66</v>
      </c>
    </row>
    <row r="49" customFormat="false" ht="15" hidden="false" customHeight="false" outlineLevel="0" collapsed="false">
      <c r="D49" s="0" t="n">
        <v>7</v>
      </c>
      <c r="E49" s="0" t="n">
        <v>7.85</v>
      </c>
      <c r="F49" s="0" t="n">
        <v>-12.85</v>
      </c>
      <c r="G49" s="2" t="n">
        <v>1.36</v>
      </c>
      <c r="H49" s="1" t="n">
        <v>-5.25</v>
      </c>
      <c r="I49" s="1" t="n">
        <v>1.36</v>
      </c>
      <c r="J49" s="0" t="n">
        <v>0</v>
      </c>
      <c r="K49" s="2" t="n">
        <v>1.48</v>
      </c>
      <c r="L49" s="0" t="n">
        <v>5.25</v>
      </c>
      <c r="M49" s="2" t="n">
        <v>1.36</v>
      </c>
      <c r="N49" s="1" t="n">
        <v>12.85</v>
      </c>
      <c r="O49" s="1" t="n">
        <v>1.36</v>
      </c>
    </row>
    <row r="50" customFormat="false" ht="15" hidden="false" customHeight="false" outlineLevel="0" collapsed="false">
      <c r="D50" s="0" t="n">
        <v>6</v>
      </c>
      <c r="E50" s="0" t="n">
        <v>8.12</v>
      </c>
      <c r="F50" s="0" t="n">
        <v>-13.3</v>
      </c>
      <c r="G50" s="2" t="n">
        <v>1.06</v>
      </c>
      <c r="H50" s="1" t="n">
        <v>-5.25</v>
      </c>
      <c r="I50" s="1" t="n">
        <v>1.06</v>
      </c>
      <c r="J50" s="0" t="n">
        <v>0</v>
      </c>
      <c r="K50" s="2" t="n">
        <v>1.18</v>
      </c>
      <c r="L50" s="0" t="n">
        <v>5.25</v>
      </c>
      <c r="M50" s="2" t="n">
        <v>1.06</v>
      </c>
      <c r="N50" s="1" t="n">
        <v>13.3</v>
      </c>
      <c r="O50" s="1" t="n">
        <v>1.06</v>
      </c>
    </row>
    <row r="51" customFormat="false" ht="15" hidden="false" customHeight="false" outlineLevel="0" collapsed="false">
      <c r="D51" s="0" t="n">
        <v>5</v>
      </c>
      <c r="E51" s="0" t="n">
        <v>8.39</v>
      </c>
      <c r="F51" s="0" t="n">
        <v>-13.75</v>
      </c>
      <c r="G51" s="2" t="n">
        <v>0.76</v>
      </c>
      <c r="H51" s="1" t="n">
        <v>-5.25</v>
      </c>
      <c r="I51" s="1" t="n">
        <v>0.76</v>
      </c>
      <c r="J51" s="0" t="n">
        <v>0</v>
      </c>
      <c r="K51" s="2" t="n">
        <v>0.88</v>
      </c>
      <c r="L51" s="0" t="n">
        <v>5.25</v>
      </c>
      <c r="M51" s="2" t="n">
        <v>0.76</v>
      </c>
      <c r="N51" s="1" t="n">
        <v>13.75</v>
      </c>
      <c r="O51" s="1" t="n">
        <v>0.76</v>
      </c>
    </row>
    <row r="52" customFormat="false" ht="15" hidden="false" customHeight="false" outlineLevel="0" collapsed="false">
      <c r="D52" s="0" t="n">
        <v>4</v>
      </c>
      <c r="E52" s="0" t="n">
        <v>7.99</v>
      </c>
      <c r="F52" s="0" t="n">
        <v>-14.2</v>
      </c>
      <c r="G52" s="2" t="n">
        <v>0.46</v>
      </c>
      <c r="H52" s="1" t="n">
        <v>-5.25</v>
      </c>
      <c r="I52" s="1" t="n">
        <v>0.46</v>
      </c>
      <c r="J52" s="0" t="n">
        <v>0</v>
      </c>
      <c r="K52" s="2" t="n">
        <v>0.58</v>
      </c>
      <c r="L52" s="0" t="n">
        <v>5.25</v>
      </c>
      <c r="M52" s="2" t="n">
        <v>0.46</v>
      </c>
      <c r="N52" s="1" t="n">
        <v>14.2</v>
      </c>
      <c r="O52" s="1" t="n">
        <v>0.46</v>
      </c>
    </row>
    <row r="53" customFormat="false" ht="15" hidden="false" customHeight="false" outlineLevel="0" collapsed="false">
      <c r="D53" s="0" t="n">
        <v>3</v>
      </c>
      <c r="E53" s="0" t="n">
        <v>7.06</v>
      </c>
      <c r="F53" s="0" t="n">
        <v>-14.65</v>
      </c>
      <c r="G53" s="2" t="n">
        <v>0.16</v>
      </c>
      <c r="H53" s="1" t="n">
        <v>-5.25</v>
      </c>
      <c r="I53" s="1" t="n">
        <v>0.16</v>
      </c>
      <c r="J53" s="0" t="n">
        <v>0</v>
      </c>
      <c r="K53" s="2" t="n">
        <v>0.28</v>
      </c>
      <c r="L53" s="0" t="n">
        <v>5.25</v>
      </c>
      <c r="M53" s="2" t="n">
        <v>0.16</v>
      </c>
      <c r="N53" s="1" t="n">
        <v>9.63</v>
      </c>
      <c r="O53" s="1" t="n">
        <v>0.16</v>
      </c>
    </row>
    <row r="54" customFormat="false" ht="15" hidden="false" customHeight="false" outlineLevel="0" collapsed="false">
      <c r="D54" s="0" t="n">
        <v>2</v>
      </c>
      <c r="E54" s="0" t="n">
        <v>5.79</v>
      </c>
      <c r="F54" s="0" t="n">
        <v>-10.28</v>
      </c>
      <c r="G54" s="2" t="n">
        <v>-0.14</v>
      </c>
      <c r="H54" s="1" t="n">
        <v>-5.25</v>
      </c>
      <c r="I54" s="1" t="n">
        <v>-0.14</v>
      </c>
      <c r="J54" s="0" t="n">
        <v>0</v>
      </c>
      <c r="K54" s="2" t="n">
        <v>-0.02</v>
      </c>
      <c r="L54" s="0" t="n">
        <v>5.25</v>
      </c>
      <c r="M54" s="2" t="n">
        <v>-0.14</v>
      </c>
      <c r="N54" s="1" t="n">
        <v>9.33</v>
      </c>
      <c r="O54" s="1" t="n">
        <v>-0.14</v>
      </c>
    </row>
    <row r="55" customFormat="false" ht="15" hidden="false" customHeight="false" outlineLevel="0" collapsed="false">
      <c r="D55" s="0" t="n">
        <v>1</v>
      </c>
      <c r="E55" s="0" t="n">
        <v>3.76</v>
      </c>
      <c r="F55" s="0" t="n">
        <v>-9.98</v>
      </c>
      <c r="G55" s="2" t="n">
        <v>-0.44</v>
      </c>
      <c r="H55" s="1" t="n">
        <v>-5.25</v>
      </c>
      <c r="I55" s="1" t="n">
        <v>-0.44</v>
      </c>
      <c r="J55" s="0" t="n">
        <v>0</v>
      </c>
      <c r="K55" s="2" t="n">
        <v>-0.32</v>
      </c>
      <c r="L55" s="0" t="n">
        <v>5.25</v>
      </c>
      <c r="M55" s="2" t="n">
        <v>-0.44</v>
      </c>
      <c r="N55" s="1" t="n">
        <v>9.03</v>
      </c>
      <c r="O55" s="1" t="n">
        <v>-0.44</v>
      </c>
    </row>
    <row r="56" customFormat="false" ht="15" hidden="false" customHeight="false" outlineLevel="0" collapsed="false">
      <c r="A56" s="1" t="n">
        <v>7</v>
      </c>
      <c r="B56" s="2" t="s">
        <v>23</v>
      </c>
      <c r="C56" s="0" t="n">
        <v>514.6</v>
      </c>
      <c r="D56" s="0" t="n">
        <v>9</v>
      </c>
      <c r="E56" s="0" t="n">
        <v>7.31</v>
      </c>
      <c r="F56" s="0" t="n">
        <v>-11.95</v>
      </c>
      <c r="G56" s="2" t="n">
        <v>1.96</v>
      </c>
      <c r="H56" s="1" t="n">
        <v>-5.25</v>
      </c>
      <c r="I56" s="1" t="n">
        <v>1.96</v>
      </c>
      <c r="J56" s="0" t="n">
        <v>0</v>
      </c>
      <c r="K56" s="2" t="n">
        <v>2.08</v>
      </c>
      <c r="L56" s="0" t="n">
        <v>5.25</v>
      </c>
      <c r="M56" s="2" t="n">
        <v>1.96</v>
      </c>
      <c r="N56" s="1" t="n">
        <v>11.95</v>
      </c>
      <c r="O56" s="1" t="n">
        <v>1.96</v>
      </c>
      <c r="P56" s="0" t="n">
        <v>70.25</v>
      </c>
      <c r="Q56" s="0" t="n">
        <v>11.55</v>
      </c>
    </row>
    <row r="57" customFormat="false" ht="15" hidden="false" customHeight="false" outlineLevel="0" collapsed="false">
      <c r="D57" s="0" t="n">
        <v>8</v>
      </c>
      <c r="E57" s="0" t="n">
        <v>7.58</v>
      </c>
      <c r="F57" s="0" t="n">
        <v>-12.4</v>
      </c>
      <c r="G57" s="2" t="n">
        <v>1.66</v>
      </c>
      <c r="H57" s="1" t="n">
        <v>-5.25</v>
      </c>
      <c r="I57" s="1" t="n">
        <v>1.66</v>
      </c>
      <c r="J57" s="0" t="n">
        <v>0</v>
      </c>
      <c r="K57" s="2" t="n">
        <v>1.78</v>
      </c>
      <c r="L57" s="0" t="n">
        <v>5.25</v>
      </c>
      <c r="M57" s="2" t="n">
        <v>1.66</v>
      </c>
      <c r="N57" s="1" t="n">
        <v>12.4</v>
      </c>
      <c r="O57" s="1" t="n">
        <v>1.66</v>
      </c>
    </row>
    <row r="58" customFormat="false" ht="15" hidden="false" customHeight="false" outlineLevel="0" collapsed="false">
      <c r="D58" s="0" t="n">
        <v>7</v>
      </c>
      <c r="E58" s="0" t="n">
        <v>7.85</v>
      </c>
      <c r="F58" s="0" t="n">
        <v>-12.85</v>
      </c>
      <c r="G58" s="2" t="n">
        <v>1.36</v>
      </c>
      <c r="H58" s="1" t="n">
        <v>-5.25</v>
      </c>
      <c r="I58" s="1" t="n">
        <v>1.36</v>
      </c>
      <c r="J58" s="0" t="n">
        <v>0</v>
      </c>
      <c r="K58" s="2" t="n">
        <v>1.48</v>
      </c>
      <c r="L58" s="0" t="n">
        <v>5.25</v>
      </c>
      <c r="M58" s="2" t="n">
        <v>1.36</v>
      </c>
      <c r="N58" s="1" t="n">
        <v>12.85</v>
      </c>
      <c r="O58" s="1" t="n">
        <v>1.36</v>
      </c>
    </row>
    <row r="59" customFormat="false" ht="15" hidden="false" customHeight="false" outlineLevel="0" collapsed="false">
      <c r="D59" s="0" t="n">
        <v>6</v>
      </c>
      <c r="E59" s="0" t="n">
        <v>7.18</v>
      </c>
      <c r="F59" s="0" t="n">
        <v>-13.3</v>
      </c>
      <c r="G59" s="2" t="n">
        <v>1.06</v>
      </c>
      <c r="H59" s="1" t="n">
        <v>-5.25</v>
      </c>
      <c r="I59" s="1" t="n">
        <v>1.06</v>
      </c>
      <c r="J59" s="0" t="n">
        <v>0</v>
      </c>
      <c r="K59" s="2" t="n">
        <v>1.18</v>
      </c>
      <c r="L59" s="0" t="n">
        <v>5.25</v>
      </c>
      <c r="M59" s="2" t="n">
        <v>1.06</v>
      </c>
      <c r="N59" s="1" t="n">
        <v>13.3</v>
      </c>
      <c r="O59" s="1" t="n">
        <v>1.06</v>
      </c>
    </row>
    <row r="60" customFormat="false" ht="15" hidden="false" customHeight="false" outlineLevel="0" collapsed="false">
      <c r="D60" s="0" t="n">
        <v>5</v>
      </c>
      <c r="E60" s="0" t="n">
        <v>6.68</v>
      </c>
      <c r="F60" s="0" t="n">
        <v>-13.75</v>
      </c>
      <c r="G60" s="2" t="n">
        <v>0.76</v>
      </c>
      <c r="H60" s="1" t="n">
        <v>-5.25</v>
      </c>
      <c r="I60" s="1" t="n">
        <v>0.76</v>
      </c>
      <c r="J60" s="0" t="n">
        <v>0</v>
      </c>
      <c r="K60" s="2" t="n">
        <v>0.88</v>
      </c>
      <c r="L60" s="0" t="n">
        <v>5.25</v>
      </c>
      <c r="M60" s="2" t="n">
        <v>0.76</v>
      </c>
      <c r="N60" s="1" t="n">
        <v>8.44</v>
      </c>
      <c r="O60" s="1" t="n">
        <v>0.76</v>
      </c>
    </row>
    <row r="61" customFormat="false" ht="15" hidden="false" customHeight="false" outlineLevel="0" collapsed="false">
      <c r="D61" s="0" t="n">
        <v>4</v>
      </c>
      <c r="E61" s="0" t="n">
        <v>6.72</v>
      </c>
      <c r="F61" s="0" t="n">
        <v>-14.2</v>
      </c>
      <c r="G61" s="2" t="n">
        <v>0.46</v>
      </c>
      <c r="H61" s="1" t="n">
        <v>-5.25</v>
      </c>
      <c r="I61" s="1" t="n">
        <v>0.46</v>
      </c>
      <c r="J61" s="0" t="n">
        <v>0</v>
      </c>
      <c r="K61" s="2" t="n">
        <v>0.58</v>
      </c>
      <c r="L61" s="0" t="n">
        <v>5.25</v>
      </c>
      <c r="M61" s="2" t="n">
        <v>0.46</v>
      </c>
      <c r="N61" s="1" t="n">
        <v>8.14</v>
      </c>
      <c r="O61" s="1" t="n">
        <v>0.46</v>
      </c>
    </row>
    <row r="62" customFormat="false" ht="15" hidden="false" customHeight="false" outlineLevel="0" collapsed="false">
      <c r="D62" s="0" t="n">
        <v>3</v>
      </c>
      <c r="E62" s="0" t="n">
        <v>6.66</v>
      </c>
      <c r="F62" s="0" t="n">
        <v>-14.65</v>
      </c>
      <c r="G62" s="2" t="n">
        <v>0.16</v>
      </c>
      <c r="H62" s="1" t="n">
        <v>-5.25</v>
      </c>
      <c r="I62" s="1" t="n">
        <v>0.16</v>
      </c>
      <c r="J62" s="0" t="n">
        <v>0</v>
      </c>
      <c r="K62" s="2" t="n">
        <v>0.28</v>
      </c>
      <c r="L62" s="0" t="n">
        <v>5.25</v>
      </c>
      <c r="M62" s="2" t="n">
        <v>0.16</v>
      </c>
      <c r="N62" s="1" t="n">
        <v>7.84</v>
      </c>
      <c r="O62" s="1" t="n">
        <v>0.16</v>
      </c>
    </row>
    <row r="63" customFormat="false" ht="15" hidden="false" customHeight="false" outlineLevel="0" collapsed="false">
      <c r="D63" s="0" t="n">
        <v>2</v>
      </c>
      <c r="E63" s="0" t="n">
        <v>5.28</v>
      </c>
      <c r="F63" s="0" t="n">
        <v>-15.1</v>
      </c>
      <c r="G63" s="2" t="n">
        <v>-0.14</v>
      </c>
      <c r="H63" s="1" t="n">
        <v>-5.25</v>
      </c>
      <c r="I63" s="1" t="n">
        <v>-0.14</v>
      </c>
      <c r="J63" s="0" t="n">
        <v>0</v>
      </c>
      <c r="K63" s="2" t="n">
        <v>-0.02</v>
      </c>
      <c r="L63" s="0" t="n">
        <v>5.25</v>
      </c>
      <c r="M63" s="2" t="n">
        <v>-0.14</v>
      </c>
      <c r="N63" s="1" t="n">
        <v>7.54</v>
      </c>
      <c r="O63" s="1" t="n">
        <v>-0.14</v>
      </c>
    </row>
    <row r="64" customFormat="false" ht="15" hidden="false" customHeight="false" outlineLevel="0" collapsed="false">
      <c r="D64" s="0" t="n">
        <v>1</v>
      </c>
      <c r="E64" s="0" t="n">
        <v>3.45</v>
      </c>
      <c r="F64" s="0" t="n">
        <v>-10.04</v>
      </c>
      <c r="G64" s="2" t="n">
        <v>-0.44</v>
      </c>
      <c r="H64" s="1" t="n">
        <v>-5.25</v>
      </c>
      <c r="I64" s="1" t="n">
        <v>-0.44</v>
      </c>
      <c r="J64" s="0" t="n">
        <v>0</v>
      </c>
      <c r="K64" s="2" t="n">
        <v>-0.32</v>
      </c>
      <c r="L64" s="0" t="n">
        <v>5.25</v>
      </c>
      <c r="M64" s="2" t="n">
        <v>-0.44</v>
      </c>
      <c r="N64" s="1" t="n">
        <v>7.24</v>
      </c>
      <c r="O64" s="1" t="n">
        <v>-0.44</v>
      </c>
    </row>
    <row r="65" customFormat="false" ht="15" hidden="false" customHeight="false" outlineLevel="0" collapsed="false">
      <c r="A65" s="1" t="n">
        <v>8</v>
      </c>
      <c r="B65" s="2" t="s">
        <v>24</v>
      </c>
      <c r="C65" s="0" t="n">
        <v>525.08</v>
      </c>
      <c r="D65" s="0" t="n">
        <v>9</v>
      </c>
      <c r="E65" s="0" t="n">
        <v>7.31</v>
      </c>
      <c r="F65" s="0" t="n">
        <v>-11.95</v>
      </c>
      <c r="G65" s="2" t="n">
        <v>1.95</v>
      </c>
      <c r="H65" s="1" t="n">
        <v>-5.25</v>
      </c>
      <c r="I65" s="1" t="n">
        <v>1.95</v>
      </c>
      <c r="J65" s="0" t="n">
        <v>0</v>
      </c>
      <c r="K65" s="2" t="n">
        <v>2.07</v>
      </c>
      <c r="L65" s="0" t="n">
        <v>5.25</v>
      </c>
      <c r="M65" s="2" t="n">
        <v>1.95</v>
      </c>
      <c r="N65" s="1" t="n">
        <v>11.95</v>
      </c>
      <c r="O65" s="1" t="n">
        <v>1.95</v>
      </c>
      <c r="P65" s="0" t="n">
        <v>77.46</v>
      </c>
      <c r="Q65" s="0" t="n">
        <v>11.55</v>
      </c>
    </row>
    <row r="66" customFormat="false" ht="15" hidden="false" customHeight="false" outlineLevel="0" collapsed="false">
      <c r="D66" s="0" t="n">
        <v>8</v>
      </c>
      <c r="E66" s="0" t="n">
        <v>7.57</v>
      </c>
      <c r="F66" s="0" t="n">
        <v>-12.4</v>
      </c>
      <c r="G66" s="2" t="n">
        <v>1.65</v>
      </c>
      <c r="H66" s="1" t="n">
        <v>-5.25</v>
      </c>
      <c r="I66" s="1" t="n">
        <v>1.65</v>
      </c>
      <c r="J66" s="0" t="n">
        <v>0</v>
      </c>
      <c r="K66" s="2" t="n">
        <v>1.77</v>
      </c>
      <c r="L66" s="0" t="n">
        <v>5.25</v>
      </c>
      <c r="M66" s="2" t="n">
        <v>1.65</v>
      </c>
      <c r="N66" s="1" t="n">
        <v>12.4</v>
      </c>
      <c r="O66" s="1" t="n">
        <v>1.65</v>
      </c>
    </row>
    <row r="67" customFormat="false" ht="15" hidden="false" customHeight="false" outlineLevel="0" collapsed="false">
      <c r="D67" s="0" t="n">
        <v>7</v>
      </c>
      <c r="E67" s="0" t="n">
        <v>7.7</v>
      </c>
      <c r="F67" s="0" t="n">
        <v>-12.73</v>
      </c>
      <c r="G67" s="2" t="n">
        <v>1.35</v>
      </c>
      <c r="H67" s="1" t="n">
        <v>-5.25</v>
      </c>
      <c r="I67" s="1" t="n">
        <v>1.35</v>
      </c>
      <c r="J67" s="0" t="n">
        <v>0</v>
      </c>
      <c r="K67" s="2" t="n">
        <v>1.47</v>
      </c>
      <c r="L67" s="0" t="n">
        <v>5.25</v>
      </c>
      <c r="M67" s="2" t="n">
        <v>1.35</v>
      </c>
      <c r="N67" s="1" t="n">
        <v>12.85</v>
      </c>
      <c r="O67" s="1" t="n">
        <v>1.35</v>
      </c>
    </row>
    <row r="68" customFormat="false" ht="15" hidden="false" customHeight="false" outlineLevel="0" collapsed="false">
      <c r="D68" s="0" t="n">
        <v>6</v>
      </c>
      <c r="E68" s="0" t="n">
        <v>7.74</v>
      </c>
      <c r="F68" s="0" t="n">
        <v>-12.43</v>
      </c>
      <c r="G68" s="2" t="n">
        <v>1.05</v>
      </c>
      <c r="H68" s="1" t="n">
        <v>-5.25</v>
      </c>
      <c r="I68" s="1" t="n">
        <v>1.05</v>
      </c>
      <c r="J68" s="0" t="n">
        <v>0</v>
      </c>
      <c r="K68" s="2" t="n">
        <v>1.17</v>
      </c>
      <c r="L68" s="0" t="n">
        <v>5.25</v>
      </c>
      <c r="M68" s="2" t="n">
        <v>1.05</v>
      </c>
      <c r="N68" s="1" t="n">
        <v>13.3</v>
      </c>
      <c r="O68" s="1" t="n">
        <v>1.05</v>
      </c>
    </row>
    <row r="69" customFormat="false" ht="15" hidden="false" customHeight="false" outlineLevel="0" collapsed="false">
      <c r="D69" s="0" t="n">
        <v>5</v>
      </c>
      <c r="E69" s="0" t="n">
        <v>7.79</v>
      </c>
      <c r="F69" s="0" t="n">
        <v>-12.13</v>
      </c>
      <c r="G69" s="2" t="n">
        <v>0.75</v>
      </c>
      <c r="H69" s="1" t="n">
        <v>-5.25</v>
      </c>
      <c r="I69" s="1" t="n">
        <v>0.75</v>
      </c>
      <c r="J69" s="0" t="n">
        <v>0</v>
      </c>
      <c r="K69" s="2" t="n">
        <v>0.87</v>
      </c>
      <c r="L69" s="0" t="n">
        <v>5.25</v>
      </c>
      <c r="M69" s="2" t="n">
        <v>0.75</v>
      </c>
      <c r="N69" s="1" t="n">
        <v>13.75</v>
      </c>
      <c r="O69" s="1" t="n">
        <v>0.75</v>
      </c>
    </row>
    <row r="70" customFormat="false" ht="15" hidden="false" customHeight="false" outlineLevel="0" collapsed="false">
      <c r="D70" s="0" t="n">
        <v>4</v>
      </c>
      <c r="E70" s="0" t="n">
        <v>7.83</v>
      </c>
      <c r="F70" s="0" t="n">
        <v>-11.83</v>
      </c>
      <c r="G70" s="2" t="n">
        <v>0.45</v>
      </c>
      <c r="H70" s="1" t="n">
        <v>-5.25</v>
      </c>
      <c r="I70" s="1" t="n">
        <v>0.45</v>
      </c>
      <c r="J70" s="0" t="n">
        <v>0</v>
      </c>
      <c r="K70" s="2" t="n">
        <v>0.57</v>
      </c>
      <c r="L70" s="0" t="n">
        <v>5.25</v>
      </c>
      <c r="M70" s="2" t="n">
        <v>0.45</v>
      </c>
      <c r="N70" s="1" t="n">
        <v>14.2</v>
      </c>
      <c r="O70" s="1" t="n">
        <v>0.45</v>
      </c>
    </row>
    <row r="71" customFormat="false" ht="15" hidden="false" customHeight="false" outlineLevel="0" collapsed="false">
      <c r="D71" s="0" t="n">
        <v>3</v>
      </c>
      <c r="E71" s="0" t="n">
        <v>7.78</v>
      </c>
      <c r="F71" s="0" t="n">
        <v>-11.53</v>
      </c>
      <c r="G71" s="2" t="n">
        <v>0.15</v>
      </c>
      <c r="H71" s="1" t="n">
        <v>-5.25</v>
      </c>
      <c r="I71" s="1" t="n">
        <v>0.15</v>
      </c>
      <c r="J71" s="0" t="n">
        <v>0</v>
      </c>
      <c r="K71" s="2" t="n">
        <v>0.27</v>
      </c>
      <c r="L71" s="0" t="n">
        <v>5.25</v>
      </c>
      <c r="M71" s="2" t="n">
        <v>0.15</v>
      </c>
      <c r="N71" s="1" t="n">
        <v>14.65</v>
      </c>
      <c r="O71" s="1" t="n">
        <v>0.15</v>
      </c>
    </row>
    <row r="72" customFormat="false" ht="15" hidden="false" customHeight="false" outlineLevel="0" collapsed="false">
      <c r="D72" s="0" t="n">
        <v>2</v>
      </c>
      <c r="E72" s="0" t="n">
        <v>7.6</v>
      </c>
      <c r="F72" s="0" t="n">
        <v>-11.23</v>
      </c>
      <c r="G72" s="2" t="n">
        <v>-0.15</v>
      </c>
      <c r="H72" s="1" t="n">
        <v>-5.25</v>
      </c>
      <c r="I72" s="1" t="n">
        <v>-0.15</v>
      </c>
      <c r="J72" s="0" t="n">
        <v>0</v>
      </c>
      <c r="K72" s="2" t="n">
        <v>-0.03</v>
      </c>
      <c r="L72" s="0" t="n">
        <v>5.25</v>
      </c>
      <c r="M72" s="2" t="n">
        <v>-0.15</v>
      </c>
      <c r="N72" s="1" t="n">
        <v>14.41</v>
      </c>
      <c r="O72" s="1" t="n">
        <v>-0.15</v>
      </c>
    </row>
    <row r="73" customFormat="false" ht="15" hidden="false" customHeight="false" outlineLevel="0" collapsed="false">
      <c r="D73" s="0" t="n">
        <v>1</v>
      </c>
      <c r="E73" s="0" t="n">
        <v>4.6</v>
      </c>
      <c r="F73" s="0" t="n">
        <v>-10.93</v>
      </c>
      <c r="G73" s="2" t="n">
        <v>-0.45</v>
      </c>
      <c r="H73" s="1" t="n">
        <v>-5.25</v>
      </c>
      <c r="I73" s="1" t="n">
        <v>-0.45</v>
      </c>
      <c r="J73" s="0" t="n">
        <v>0</v>
      </c>
      <c r="K73" s="2" t="n">
        <v>-0.33</v>
      </c>
      <c r="L73" s="0" t="n">
        <v>5.25</v>
      </c>
      <c r="M73" s="2" t="n">
        <v>-0.45</v>
      </c>
      <c r="N73" s="1" t="n">
        <v>14.11</v>
      </c>
      <c r="O73" s="1" t="n">
        <v>-0.45</v>
      </c>
    </row>
    <row r="74" customFormat="false" ht="15" hidden="false" customHeight="false" outlineLevel="0" collapsed="false">
      <c r="A74" s="1" t="n">
        <v>9</v>
      </c>
      <c r="B74" s="2" t="s">
        <v>25</v>
      </c>
      <c r="C74" s="0" t="n">
        <v>538.68</v>
      </c>
      <c r="D74" s="0" t="n">
        <v>9</v>
      </c>
      <c r="E74" s="0" t="n">
        <v>7.31</v>
      </c>
      <c r="F74" s="0" t="n">
        <v>-11.95</v>
      </c>
      <c r="G74" s="2" t="n">
        <v>1.95</v>
      </c>
      <c r="H74" s="1" t="n">
        <v>-5.25</v>
      </c>
      <c r="I74" s="1" t="n">
        <v>1.95</v>
      </c>
      <c r="J74" s="0" t="n">
        <v>0</v>
      </c>
      <c r="K74" s="2" t="n">
        <v>2.06</v>
      </c>
      <c r="L74" s="0" t="n">
        <v>5.25</v>
      </c>
      <c r="M74" s="2" t="n">
        <v>1.95</v>
      </c>
      <c r="N74" s="1" t="n">
        <v>11.95</v>
      </c>
      <c r="O74" s="1" t="n">
        <v>1.95</v>
      </c>
      <c r="P74" s="0" t="n">
        <v>68.84</v>
      </c>
      <c r="Q74" s="0" t="n">
        <v>11.55</v>
      </c>
    </row>
    <row r="75" customFormat="false" ht="15" hidden="false" customHeight="false" outlineLevel="0" collapsed="false">
      <c r="D75" s="0" t="n">
        <v>8</v>
      </c>
      <c r="E75" s="0" t="n">
        <v>7.58</v>
      </c>
      <c r="F75" s="0" t="n">
        <v>-12.4</v>
      </c>
      <c r="G75" s="2" t="n">
        <v>1.65</v>
      </c>
      <c r="H75" s="1" t="n">
        <v>-5.25</v>
      </c>
      <c r="I75" s="1" t="n">
        <v>1.65</v>
      </c>
      <c r="J75" s="0" t="n">
        <v>0</v>
      </c>
      <c r="K75" s="2" t="n">
        <v>1.76</v>
      </c>
      <c r="L75" s="0" t="n">
        <v>5.25</v>
      </c>
      <c r="M75" s="2" t="n">
        <v>1.65</v>
      </c>
      <c r="N75" s="1" t="n">
        <v>12.4</v>
      </c>
      <c r="O75" s="1" t="n">
        <v>1.65</v>
      </c>
    </row>
    <row r="76" customFormat="false" ht="15" hidden="false" customHeight="false" outlineLevel="0" collapsed="false">
      <c r="D76" s="0" t="n">
        <v>7</v>
      </c>
      <c r="E76" s="0" t="n">
        <v>7.04</v>
      </c>
      <c r="F76" s="0" t="n">
        <v>-12.85</v>
      </c>
      <c r="G76" s="2" t="n">
        <v>1.35</v>
      </c>
      <c r="H76" s="1" t="n">
        <v>-5.25</v>
      </c>
      <c r="I76" s="1" t="n">
        <v>1.35</v>
      </c>
      <c r="J76" s="0" t="n">
        <v>0</v>
      </c>
      <c r="K76" s="2" t="n">
        <v>1.46</v>
      </c>
      <c r="L76" s="0" t="n">
        <v>5.25</v>
      </c>
      <c r="M76" s="2" t="n">
        <v>1.35</v>
      </c>
      <c r="N76" s="1" t="n">
        <v>12.85</v>
      </c>
      <c r="O76" s="1" t="n">
        <v>1.35</v>
      </c>
    </row>
    <row r="77" customFormat="false" ht="15" hidden="false" customHeight="false" outlineLevel="0" collapsed="false">
      <c r="D77" s="0" t="n">
        <v>6</v>
      </c>
      <c r="E77" s="0" t="n">
        <v>6.77</v>
      </c>
      <c r="F77" s="0" t="n">
        <v>-9.2</v>
      </c>
      <c r="G77" s="2" t="n">
        <v>1.05</v>
      </c>
      <c r="H77" s="1" t="n">
        <v>-5.25</v>
      </c>
      <c r="I77" s="1" t="n">
        <v>1.05</v>
      </c>
      <c r="J77" s="0" t="n">
        <v>0</v>
      </c>
      <c r="K77" s="2" t="n">
        <v>1.16</v>
      </c>
      <c r="L77" s="0" t="n">
        <v>5.25</v>
      </c>
      <c r="M77" s="2" t="n">
        <v>1.05</v>
      </c>
      <c r="N77" s="1" t="n">
        <v>13.3</v>
      </c>
      <c r="O77" s="1" t="n">
        <v>1.05</v>
      </c>
    </row>
    <row r="78" customFormat="false" ht="15" hidden="false" customHeight="false" outlineLevel="0" collapsed="false">
      <c r="D78" s="0" t="n">
        <v>5</v>
      </c>
      <c r="E78" s="0" t="n">
        <v>6.82</v>
      </c>
      <c r="F78" s="0" t="n">
        <v>-8.9</v>
      </c>
      <c r="G78" s="2" t="n">
        <v>0.75</v>
      </c>
      <c r="H78" s="1" t="n">
        <v>-5.25</v>
      </c>
      <c r="I78" s="1" t="n">
        <v>0.75</v>
      </c>
      <c r="J78" s="0" t="n">
        <v>0</v>
      </c>
      <c r="K78" s="2" t="n">
        <v>0.86</v>
      </c>
      <c r="L78" s="0" t="n">
        <v>5.25</v>
      </c>
      <c r="M78" s="2" t="n">
        <v>0.75</v>
      </c>
      <c r="N78" s="1" t="n">
        <v>13.75</v>
      </c>
      <c r="O78" s="1" t="n">
        <v>0.75</v>
      </c>
    </row>
    <row r="79" customFormat="false" ht="15" hidden="false" customHeight="false" outlineLevel="0" collapsed="false">
      <c r="D79" s="0" t="n">
        <v>4</v>
      </c>
      <c r="E79" s="0" t="n">
        <v>6.86</v>
      </c>
      <c r="F79" s="0" t="n">
        <v>-8.6</v>
      </c>
      <c r="G79" s="2" t="n">
        <v>0.45</v>
      </c>
      <c r="H79" s="1" t="n">
        <v>-5.25</v>
      </c>
      <c r="I79" s="1" t="n">
        <v>0.45</v>
      </c>
      <c r="J79" s="0" t="n">
        <v>0</v>
      </c>
      <c r="K79" s="2" t="n">
        <v>0.56</v>
      </c>
      <c r="L79" s="0" t="n">
        <v>5.25</v>
      </c>
      <c r="M79" s="2" t="n">
        <v>0.45</v>
      </c>
      <c r="N79" s="1" t="n">
        <v>14.2</v>
      </c>
      <c r="O79" s="1" t="n">
        <v>0.45</v>
      </c>
    </row>
    <row r="80" customFormat="false" ht="15" hidden="false" customHeight="false" outlineLevel="0" collapsed="false">
      <c r="D80" s="0" t="n">
        <v>3</v>
      </c>
      <c r="E80" s="0" t="n">
        <v>6.23</v>
      </c>
      <c r="F80" s="0" t="n">
        <v>-8.3</v>
      </c>
      <c r="G80" s="2" t="n">
        <v>0.15</v>
      </c>
      <c r="H80" s="1" t="n">
        <v>-5.25</v>
      </c>
      <c r="I80" s="1" t="n">
        <v>0.15</v>
      </c>
      <c r="J80" s="0" t="n">
        <v>0</v>
      </c>
      <c r="K80" s="2" t="n">
        <v>0.26</v>
      </c>
      <c r="L80" s="0" t="n">
        <v>5.25</v>
      </c>
      <c r="M80" s="2" t="n">
        <v>0.15</v>
      </c>
      <c r="N80" s="1" t="n">
        <v>14.65</v>
      </c>
      <c r="O80" s="1" t="n">
        <v>0.15</v>
      </c>
    </row>
    <row r="81" customFormat="false" ht="15" hidden="false" customHeight="false" outlineLevel="0" collapsed="false">
      <c r="D81" s="0" t="n">
        <v>2</v>
      </c>
      <c r="E81" s="0" t="n">
        <v>5.37</v>
      </c>
      <c r="F81" s="0" t="n">
        <v>-8</v>
      </c>
      <c r="G81" s="2" t="n">
        <v>-0.15</v>
      </c>
      <c r="H81" s="1" t="n">
        <v>-5.25</v>
      </c>
      <c r="I81" s="1" t="n">
        <v>-0.15</v>
      </c>
      <c r="J81" s="0" t="n">
        <v>0</v>
      </c>
      <c r="K81" s="2" t="n">
        <v>-0.04</v>
      </c>
      <c r="L81" s="0" t="n">
        <v>5.25</v>
      </c>
      <c r="M81" s="2" t="n">
        <v>-0.15</v>
      </c>
      <c r="N81" s="1" t="n">
        <v>10.2</v>
      </c>
      <c r="O81" s="1" t="n">
        <v>-0.15</v>
      </c>
    </row>
    <row r="82" customFormat="false" ht="15" hidden="false" customHeight="false" outlineLevel="0" collapsed="false">
      <c r="D82" s="0" t="n">
        <v>1</v>
      </c>
      <c r="E82" s="0" t="n">
        <v>3.33</v>
      </c>
      <c r="F82" s="0" t="n">
        <v>-7.7</v>
      </c>
      <c r="G82" s="2" t="n">
        <v>-0.45</v>
      </c>
      <c r="H82" s="1" t="n">
        <v>-5.25</v>
      </c>
      <c r="I82" s="1" t="n">
        <v>-0.45</v>
      </c>
      <c r="J82" s="0" t="n">
        <v>0</v>
      </c>
      <c r="K82" s="2" t="n">
        <v>-0.34</v>
      </c>
      <c r="L82" s="0" t="n">
        <v>5.25</v>
      </c>
      <c r="M82" s="2" t="n">
        <v>-0.45</v>
      </c>
      <c r="N82" s="1" t="n">
        <v>9.9</v>
      </c>
      <c r="O82" s="1" t="n">
        <v>-0.45</v>
      </c>
    </row>
    <row r="83" customFormat="false" ht="15" hidden="false" customHeight="false" outlineLevel="0" collapsed="false">
      <c r="A83" s="1" t="n">
        <v>10</v>
      </c>
      <c r="B83" s="2" t="s">
        <v>26</v>
      </c>
      <c r="C83" s="0" t="n">
        <v>554.08</v>
      </c>
      <c r="D83" s="0" t="n">
        <v>9</v>
      </c>
      <c r="E83" s="0" t="n">
        <v>7.31</v>
      </c>
      <c r="F83" s="0" t="n">
        <v>-11.95</v>
      </c>
      <c r="G83" s="2" t="n">
        <v>1.94</v>
      </c>
      <c r="H83" s="1" t="n">
        <v>-5.25</v>
      </c>
      <c r="I83" s="1" t="n">
        <v>1.94</v>
      </c>
      <c r="J83" s="0" t="n">
        <v>0</v>
      </c>
      <c r="K83" s="2" t="n">
        <v>2.06</v>
      </c>
      <c r="L83" s="0" t="n">
        <v>5.25</v>
      </c>
      <c r="M83" s="2" t="n">
        <v>1.94</v>
      </c>
      <c r="N83" s="1" t="n">
        <v>11.95</v>
      </c>
      <c r="O83" s="1" t="n">
        <v>1.94</v>
      </c>
      <c r="P83" s="0" t="n">
        <v>66.4</v>
      </c>
      <c r="Q83" s="0" t="n">
        <v>11.55</v>
      </c>
    </row>
    <row r="84" customFormat="false" ht="15" hidden="false" customHeight="false" outlineLevel="0" collapsed="false">
      <c r="D84" s="0" t="n">
        <v>8</v>
      </c>
      <c r="E84" s="0" t="n">
        <v>7.57</v>
      </c>
      <c r="F84" s="0" t="n">
        <v>-12.4</v>
      </c>
      <c r="G84" s="2" t="n">
        <v>1.64</v>
      </c>
      <c r="H84" s="1" t="n">
        <v>-5.25</v>
      </c>
      <c r="I84" s="1" t="n">
        <v>1.64</v>
      </c>
      <c r="J84" s="0" t="n">
        <v>0</v>
      </c>
      <c r="K84" s="2" t="n">
        <v>1.76</v>
      </c>
      <c r="L84" s="0" t="n">
        <v>5.25</v>
      </c>
      <c r="M84" s="2" t="n">
        <v>1.64</v>
      </c>
      <c r="N84" s="1" t="n">
        <v>12.4</v>
      </c>
      <c r="O84" s="1" t="n">
        <v>1.64</v>
      </c>
    </row>
    <row r="85" customFormat="false" ht="15" hidden="false" customHeight="false" outlineLevel="0" collapsed="false">
      <c r="D85" s="0" t="n">
        <v>7</v>
      </c>
      <c r="E85" s="0" t="n">
        <v>6.76</v>
      </c>
      <c r="F85" s="0" t="n">
        <v>-12.54</v>
      </c>
      <c r="G85" s="2" t="n">
        <v>1.34</v>
      </c>
      <c r="H85" s="1" t="n">
        <v>-5.25</v>
      </c>
      <c r="I85" s="1" t="n">
        <v>1.34</v>
      </c>
      <c r="J85" s="0" t="n">
        <v>0</v>
      </c>
      <c r="K85" s="2" t="n">
        <v>1.46</v>
      </c>
      <c r="L85" s="0" t="n">
        <v>5.25</v>
      </c>
      <c r="M85" s="2" t="n">
        <v>1.34</v>
      </c>
      <c r="N85" s="1" t="n">
        <v>12.85</v>
      </c>
      <c r="O85" s="1" t="n">
        <v>1.34</v>
      </c>
    </row>
    <row r="86" customFormat="false" ht="15" hidden="false" customHeight="false" outlineLevel="0" collapsed="false">
      <c r="D86" s="0" t="n">
        <v>6</v>
      </c>
      <c r="E86" s="0" t="n">
        <v>6.43</v>
      </c>
      <c r="F86" s="0" t="n">
        <v>-8.07</v>
      </c>
      <c r="G86" s="2" t="n">
        <v>1.04</v>
      </c>
      <c r="H86" s="1" t="n">
        <v>-5.25</v>
      </c>
      <c r="I86" s="1" t="n">
        <v>1.04</v>
      </c>
      <c r="J86" s="0" t="n">
        <v>0</v>
      </c>
      <c r="K86" s="2" t="n">
        <v>1.16</v>
      </c>
      <c r="L86" s="0" t="n">
        <v>5.25</v>
      </c>
      <c r="M86" s="2" t="n">
        <v>1.04</v>
      </c>
      <c r="N86" s="1" t="n">
        <v>13.3</v>
      </c>
      <c r="O86" s="1" t="n">
        <v>1.04</v>
      </c>
    </row>
    <row r="87" customFormat="false" ht="15" hidden="false" customHeight="false" outlineLevel="0" collapsed="false">
      <c r="D87" s="0" t="n">
        <v>5</v>
      </c>
      <c r="E87" s="0" t="n">
        <v>6.48</v>
      </c>
      <c r="F87" s="0" t="n">
        <v>-7.77</v>
      </c>
      <c r="G87" s="2" t="n">
        <v>0.74</v>
      </c>
      <c r="H87" s="1" t="n">
        <v>-5.25</v>
      </c>
      <c r="I87" s="1" t="n">
        <v>0.74</v>
      </c>
      <c r="J87" s="0" t="n">
        <v>0</v>
      </c>
      <c r="K87" s="2" t="n">
        <v>0.86</v>
      </c>
      <c r="L87" s="0" t="n">
        <v>5.25</v>
      </c>
      <c r="M87" s="2" t="n">
        <v>0.74</v>
      </c>
      <c r="N87" s="1" t="n">
        <v>13.75</v>
      </c>
      <c r="O87" s="1" t="n">
        <v>0.74</v>
      </c>
    </row>
    <row r="88" customFormat="false" ht="15" hidden="false" customHeight="false" outlineLevel="0" collapsed="false">
      <c r="D88" s="0" t="n">
        <v>4</v>
      </c>
      <c r="E88" s="0" t="n">
        <v>6.52</v>
      </c>
      <c r="F88" s="0" t="n">
        <v>-7.47</v>
      </c>
      <c r="G88" s="2" t="n">
        <v>0.44</v>
      </c>
      <c r="H88" s="1" t="n">
        <v>-5.25</v>
      </c>
      <c r="I88" s="1" t="n">
        <v>0.44</v>
      </c>
      <c r="J88" s="0" t="n">
        <v>0</v>
      </c>
      <c r="K88" s="2" t="n">
        <v>0.56</v>
      </c>
      <c r="L88" s="0" t="n">
        <v>5.25</v>
      </c>
      <c r="M88" s="2" t="n">
        <v>0.44</v>
      </c>
      <c r="N88" s="1" t="n">
        <v>14.2</v>
      </c>
      <c r="O88" s="1" t="n">
        <v>0.44</v>
      </c>
    </row>
    <row r="89" customFormat="false" ht="15" hidden="false" customHeight="false" outlineLevel="0" collapsed="false">
      <c r="D89" s="0" t="n">
        <v>3</v>
      </c>
      <c r="E89" s="0" t="n">
        <v>5.73</v>
      </c>
      <c r="F89" s="0" t="n">
        <v>-7.17</v>
      </c>
      <c r="G89" s="2" t="n">
        <v>0.14</v>
      </c>
      <c r="H89" s="1" t="n">
        <v>-5.25</v>
      </c>
      <c r="I89" s="1" t="n">
        <v>0.14</v>
      </c>
      <c r="J89" s="0" t="n">
        <v>0</v>
      </c>
      <c r="K89" s="2" t="n">
        <v>0.26</v>
      </c>
      <c r="L89" s="0" t="n">
        <v>5.25</v>
      </c>
      <c r="M89" s="2" t="n">
        <v>0.14</v>
      </c>
      <c r="N89" s="1" t="n">
        <v>14.65</v>
      </c>
      <c r="O89" s="1" t="n">
        <v>0.14</v>
      </c>
    </row>
    <row r="90" customFormat="false" ht="15" hidden="false" customHeight="false" outlineLevel="0" collapsed="false">
      <c r="D90" s="0" t="n">
        <v>2</v>
      </c>
      <c r="E90" s="0" t="n">
        <v>5</v>
      </c>
      <c r="F90" s="0" t="n">
        <v>-6.87</v>
      </c>
      <c r="G90" s="2" t="n">
        <v>-0.16</v>
      </c>
      <c r="H90" s="1" t="n">
        <v>-5.25</v>
      </c>
      <c r="I90" s="1" t="n">
        <v>-0.16</v>
      </c>
      <c r="J90" s="0" t="n">
        <v>0</v>
      </c>
      <c r="K90" s="2" t="n">
        <v>-0.04</v>
      </c>
      <c r="L90" s="0" t="n">
        <v>5.25</v>
      </c>
      <c r="M90" s="2" t="n">
        <v>-0.16</v>
      </c>
      <c r="N90" s="1" t="n">
        <v>10.1</v>
      </c>
      <c r="O90" s="1" t="n">
        <v>-0.16</v>
      </c>
    </row>
    <row r="91" customFormat="false" ht="15" hidden="false" customHeight="false" outlineLevel="0" collapsed="false">
      <c r="D91" s="0" t="n">
        <v>1</v>
      </c>
      <c r="E91" s="0" t="n">
        <v>3.04</v>
      </c>
      <c r="F91" s="0" t="n">
        <v>-6.57</v>
      </c>
      <c r="G91" s="2" t="n">
        <v>-0.46</v>
      </c>
      <c r="H91" s="1" t="n">
        <v>-5.25</v>
      </c>
      <c r="I91" s="1" t="n">
        <v>-0.46</v>
      </c>
      <c r="J91" s="0" t="n">
        <v>0</v>
      </c>
      <c r="K91" s="2" t="n">
        <v>-0.34</v>
      </c>
      <c r="L91" s="0" t="n">
        <v>5.25</v>
      </c>
      <c r="M91" s="2" t="n">
        <v>-0.46</v>
      </c>
      <c r="N91" s="1" t="n">
        <v>9.8</v>
      </c>
      <c r="O91" s="1" t="n">
        <v>-0.46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08.NĐXD4/CVXD ngày 19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8</v>
      </c>
    </row>
    <row r="3" customFormat="false" ht="18.75" hidden="false" customHeight="true" outlineLevel="0" collapsed="false">
      <c r="A3" s="7" t="s">
        <v>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31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1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36</v>
      </c>
      <c r="B19" s="9" t="s">
        <v>37</v>
      </c>
      <c r="C19" s="9" t="s">
        <v>38</v>
      </c>
      <c r="D19" s="10" t="s">
        <v>39</v>
      </c>
      <c r="E19" s="10"/>
      <c r="F19" s="10"/>
      <c r="G19" s="10"/>
      <c r="H19" s="10"/>
      <c r="I19" s="10"/>
      <c r="J19" s="10" t="s">
        <v>40</v>
      </c>
      <c r="K19" s="10"/>
      <c r="L19" s="10"/>
      <c r="M19" s="10" t="s">
        <v>41</v>
      </c>
      <c r="N19" s="10"/>
      <c r="O19" s="10"/>
      <c r="P19" s="10"/>
      <c r="Q19" s="10"/>
      <c r="R19" s="10"/>
      <c r="S19" s="9" t="s">
        <v>42</v>
      </c>
    </row>
    <row r="20" customFormat="false" ht="30" hidden="false" customHeight="true" outlineLevel="0" collapsed="false">
      <c r="A20" s="9"/>
      <c r="B20" s="9"/>
      <c r="C20" s="9"/>
      <c r="D20" s="11" t="s">
        <v>43</v>
      </c>
      <c r="E20" s="11" t="s">
        <v>44</v>
      </c>
      <c r="F20" s="11" t="s">
        <v>45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43</v>
      </c>
      <c r="N20" s="11" t="s">
        <v>44</v>
      </c>
      <c r="O20" s="11" t="s">
        <v>45</v>
      </c>
      <c r="P20" s="11" t="s">
        <v>46</v>
      </c>
      <c r="Q20" s="11" t="s">
        <v>47</v>
      </c>
      <c r="R20" s="11" t="s">
        <v>48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441.84</v>
      </c>
      <c r="D21" s="16" t="n">
        <f aca="false">+Chạy!F10</f>
        <v>-10.08</v>
      </c>
      <c r="E21" s="16" t="n">
        <f aca="false">+D21+F21</f>
        <v>-10.079</v>
      </c>
      <c r="F21" s="16" t="n">
        <f aca="false">RANDBETWEEN(-105,115)/10000</f>
        <v>0.001</v>
      </c>
      <c r="G21" s="16" t="n">
        <f aca="false">+Chạy!G10</f>
        <v>-0.4</v>
      </c>
      <c r="H21" s="16" t="n">
        <f aca="false">G21+I21</f>
        <v>-0.349</v>
      </c>
      <c r="I21" s="16" t="n">
        <f aca="false">RANDBETWEEN(-30,90)/1000</f>
        <v>0.051</v>
      </c>
      <c r="J21" s="16" t="n">
        <f aca="false">+Chạy!K10</f>
        <v>-0.29</v>
      </c>
      <c r="K21" s="16" t="n">
        <f aca="false">J21+L21</f>
        <v>-0.225</v>
      </c>
      <c r="L21" s="16" t="n">
        <f aca="false">RANDBETWEEN(-30,90)/1000</f>
        <v>0.065</v>
      </c>
      <c r="M21" s="16" t="n">
        <f aca="false">+Chạy!N10</f>
        <v>9.87</v>
      </c>
      <c r="N21" s="16" t="n">
        <f aca="false">+M21+O21</f>
        <v>9.862</v>
      </c>
      <c r="O21" s="16" t="n">
        <f aca="false">RANDBETWEEN(-105,115)/10000</f>
        <v>-0.008</v>
      </c>
      <c r="P21" s="16" t="n">
        <f aca="false">+Chạy!O10</f>
        <v>-0.4</v>
      </c>
      <c r="Q21" s="16" t="n">
        <f aca="false">P21+R21</f>
        <v>-0.374</v>
      </c>
      <c r="R21" s="16" t="n">
        <f aca="false">RANDBETWEEN(-30,90)/1000</f>
        <v>0.026</v>
      </c>
      <c r="S21" s="17"/>
      <c r="T21" s="18" t="n">
        <v>12.5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454.34</v>
      </c>
      <c r="D22" s="16" t="n">
        <f aca="false">+Chạy!F19</f>
        <v>-10.02</v>
      </c>
      <c r="E22" s="16" t="n">
        <f aca="false">+D22+F22</f>
        <v>-10.0277</v>
      </c>
      <c r="F22" s="16" t="n">
        <f aca="false">RANDBETWEEN(-105,115)/10000</f>
        <v>-0.0077</v>
      </c>
      <c r="G22" s="16" t="n">
        <f aca="false">+Chạy!G19</f>
        <v>-0.41</v>
      </c>
      <c r="H22" s="16" t="n">
        <f aca="false">G22+I22</f>
        <v>-0.358</v>
      </c>
      <c r="I22" s="16" t="n">
        <f aca="false">RANDBETWEEN(-30,90)/1000</f>
        <v>0.052</v>
      </c>
      <c r="J22" s="16" t="n">
        <f aca="false">+Chạy!K19</f>
        <v>-0.29</v>
      </c>
      <c r="K22" s="16" t="n">
        <f aca="false">J22+L22</f>
        <v>-0.29</v>
      </c>
      <c r="L22" s="16" t="n">
        <f aca="false">RANDBETWEEN(-30,90)/1000</f>
        <v>0</v>
      </c>
      <c r="M22" s="16" t="n">
        <f aca="false">+Chạy!N19</f>
        <v>9.97</v>
      </c>
      <c r="N22" s="16" t="n">
        <f aca="false">+M22+O22</f>
        <v>9.9702</v>
      </c>
      <c r="O22" s="16" t="n">
        <f aca="false">RANDBETWEEN(-105,115)/10000</f>
        <v>0.0002</v>
      </c>
      <c r="P22" s="16" t="n">
        <f aca="false">+Chạy!O19</f>
        <v>-0.41</v>
      </c>
      <c r="Q22" s="16" t="n">
        <f aca="false">P22+R22</f>
        <v>-0.366</v>
      </c>
      <c r="R22" s="16" t="n">
        <f aca="false">RANDBETWEEN(-30,90)/1000</f>
        <v>0.044</v>
      </c>
      <c r="S22" s="17"/>
      <c r="T22" s="18" t="n">
        <v>12.5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466.84</v>
      </c>
      <c r="D23" s="16" t="n">
        <f aca="false">+Chạy!F28</f>
        <v>-10.5</v>
      </c>
      <c r="E23" s="16" t="n">
        <f aca="false">+D23+F23</f>
        <v>-10.4944</v>
      </c>
      <c r="F23" s="16" t="n">
        <f aca="false">RANDBETWEEN(-105,115)/10000</f>
        <v>0.0056</v>
      </c>
      <c r="G23" s="16" t="n">
        <f aca="false">+Chạy!G28</f>
        <v>-0.42</v>
      </c>
      <c r="H23" s="16" t="n">
        <f aca="false">G23+I23</f>
        <v>-0.404</v>
      </c>
      <c r="I23" s="16" t="n">
        <f aca="false">RANDBETWEEN(-30,90)/1000</f>
        <v>0.016</v>
      </c>
      <c r="J23" s="16" t="n">
        <f aca="false">+Chạy!K28</f>
        <v>-0.3</v>
      </c>
      <c r="K23" s="16" t="n">
        <f aca="false">J23+L23</f>
        <v>-0.272</v>
      </c>
      <c r="L23" s="16" t="n">
        <f aca="false">RANDBETWEEN(-30,90)/1000</f>
        <v>0.028</v>
      </c>
      <c r="M23" s="16" t="n">
        <f aca="false">+Chạy!N28</f>
        <v>9.96</v>
      </c>
      <c r="N23" s="16" t="n">
        <f aca="false">+M23+O23</f>
        <v>9.9636</v>
      </c>
      <c r="O23" s="16" t="n">
        <f aca="false">RANDBETWEEN(-105,115)/10000</f>
        <v>0.0036</v>
      </c>
      <c r="P23" s="16" t="n">
        <f aca="false">+Chạy!O28</f>
        <v>-0.42</v>
      </c>
      <c r="Q23" s="16" t="n">
        <f aca="false">P23+R23</f>
        <v>-0.356</v>
      </c>
      <c r="R23" s="16" t="n">
        <f aca="false">RANDBETWEEN(-30,90)/1000</f>
        <v>0.064</v>
      </c>
      <c r="S23" s="17"/>
      <c r="T23" s="18" t="n">
        <v>7.5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474.34</v>
      </c>
      <c r="D24" s="16" t="n">
        <f aca="false">+Chạy!F37</f>
        <v>-10.57</v>
      </c>
      <c r="E24" s="16" t="n">
        <f aca="false">+D24+F24</f>
        <v>-10.5702</v>
      </c>
      <c r="F24" s="16" t="n">
        <f aca="false">RANDBETWEEN(-105,115)/10000</f>
        <v>-0.0002</v>
      </c>
      <c r="G24" s="16" t="n">
        <f aca="false">+Chạy!G37</f>
        <v>-0.42</v>
      </c>
      <c r="H24" s="16" t="n">
        <f aca="false">G24+I24</f>
        <v>-0.419</v>
      </c>
      <c r="I24" s="16" t="n">
        <f aca="false">RANDBETWEEN(-30,90)/1000</f>
        <v>0.001</v>
      </c>
      <c r="J24" s="16" t="n">
        <f aca="false">+Chạy!K37</f>
        <v>-0.3</v>
      </c>
      <c r="K24" s="16" t="n">
        <f aca="false">J24+L24</f>
        <v>-0.231</v>
      </c>
      <c r="L24" s="16" t="n">
        <f aca="false">RANDBETWEEN(-30,90)/1000</f>
        <v>0.069</v>
      </c>
      <c r="M24" s="16" t="n">
        <f aca="false">+Chạy!N37</f>
        <v>10</v>
      </c>
      <c r="N24" s="16" t="n">
        <f aca="false">+M24+O24</f>
        <v>10.0001</v>
      </c>
      <c r="O24" s="16" t="n">
        <f aca="false">RANDBETWEEN(-105,115)/10000</f>
        <v>0.0001</v>
      </c>
      <c r="P24" s="16" t="n">
        <f aca="false">+Chạy!O37</f>
        <v>-0.42</v>
      </c>
      <c r="Q24" s="16" t="n">
        <f aca="false">P24+R24</f>
        <v>-0.449</v>
      </c>
      <c r="R24" s="16" t="n">
        <f aca="false">RANDBETWEEN(-30,90)/1000</f>
        <v>-0.029</v>
      </c>
      <c r="S24" s="17"/>
      <c r="T24" s="18" t="n">
        <v>20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494.34</v>
      </c>
      <c r="D25" s="16" t="n">
        <f aca="false">+Chạy!F46</f>
        <v>-9.98</v>
      </c>
      <c r="E25" s="16" t="n">
        <f aca="false">+D25+F25</f>
        <v>-9.9853</v>
      </c>
      <c r="F25" s="16" t="n">
        <f aca="false">RANDBETWEEN(-105,115)/10000</f>
        <v>-0.0053</v>
      </c>
      <c r="G25" s="16" t="n">
        <f aca="false">+Chạy!G46</f>
        <v>-0.43</v>
      </c>
      <c r="H25" s="16" t="n">
        <f aca="false">G25+I25</f>
        <v>-0.354</v>
      </c>
      <c r="I25" s="16" t="n">
        <f aca="false">RANDBETWEEN(-30,90)/1000</f>
        <v>0.076</v>
      </c>
      <c r="J25" s="16" t="n">
        <f aca="false">+Chạy!K46</f>
        <v>-0.31</v>
      </c>
      <c r="K25" s="16" t="n">
        <f aca="false">J25+L25</f>
        <v>-0.273</v>
      </c>
      <c r="L25" s="16" t="n">
        <f aca="false">RANDBETWEEN(-30,90)/1000</f>
        <v>0.037</v>
      </c>
      <c r="M25" s="16" t="n">
        <f aca="false">+Chạy!N46</f>
        <v>9.66</v>
      </c>
      <c r="N25" s="16" t="n">
        <f aca="false">+M25+O25</f>
        <v>9.6568</v>
      </c>
      <c r="O25" s="16" t="n">
        <f aca="false">RANDBETWEEN(-105,115)/10000</f>
        <v>-0.0032</v>
      </c>
      <c r="P25" s="16" t="n">
        <f aca="false">+Chạy!O46</f>
        <v>-0.43</v>
      </c>
      <c r="Q25" s="16" t="n">
        <f aca="false">P25+R25</f>
        <v>-0.343</v>
      </c>
      <c r="R25" s="16" t="n">
        <f aca="false">RANDBETWEEN(-30,90)/1000</f>
        <v>0.087</v>
      </c>
      <c r="S25" s="17"/>
      <c r="T25" s="18" t="n">
        <v>17.14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511.48</v>
      </c>
      <c r="D26" s="16" t="n">
        <f aca="false">+Chạy!F55</f>
        <v>-9.98</v>
      </c>
      <c r="E26" s="16" t="n">
        <f aca="false">+D26+F26</f>
        <v>-9.9848</v>
      </c>
      <c r="F26" s="16" t="n">
        <f aca="false">RANDBETWEEN(-105,115)/10000</f>
        <v>-0.0048</v>
      </c>
      <c r="G26" s="16" t="n">
        <f aca="false">+Chạy!G55</f>
        <v>-0.44</v>
      </c>
      <c r="H26" s="16" t="n">
        <f aca="false">G26+I26</f>
        <v>-0.388</v>
      </c>
      <c r="I26" s="16" t="n">
        <f aca="false">RANDBETWEEN(-30,90)/1000</f>
        <v>0.052</v>
      </c>
      <c r="J26" s="16" t="n">
        <f aca="false">+Chạy!K55</f>
        <v>-0.32</v>
      </c>
      <c r="K26" s="16" t="n">
        <f aca="false">J26+L26</f>
        <v>-0.266</v>
      </c>
      <c r="L26" s="16" t="n">
        <f aca="false">RANDBETWEEN(-30,90)/1000</f>
        <v>0.054</v>
      </c>
      <c r="M26" s="16" t="n">
        <f aca="false">+Chạy!N55</f>
        <v>9.03</v>
      </c>
      <c r="N26" s="16" t="n">
        <f aca="false">+M26+O26</f>
        <v>9.0227</v>
      </c>
      <c r="O26" s="16" t="n">
        <f aca="false">RANDBETWEEN(-105,115)/10000</f>
        <v>-0.0073</v>
      </c>
      <c r="P26" s="16" t="n">
        <f aca="false">+Chạy!O55</f>
        <v>-0.44</v>
      </c>
      <c r="Q26" s="16" t="n">
        <f aca="false">P26+R26</f>
        <v>-0.403</v>
      </c>
      <c r="R26" s="16" t="n">
        <f aca="false">RANDBETWEEN(-30,90)/1000</f>
        <v>0.037</v>
      </c>
      <c r="S26" s="17"/>
      <c r="T26" s="18" t="n">
        <v>3.12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514.6</v>
      </c>
      <c r="D27" s="16" t="n">
        <f aca="false">+Chạy!F64</f>
        <v>-10.04</v>
      </c>
      <c r="E27" s="16" t="n">
        <f aca="false">+D27+F27</f>
        <v>-10.0339</v>
      </c>
      <c r="F27" s="16" t="n">
        <f aca="false">RANDBETWEEN(-105,115)/10000</f>
        <v>0.0061</v>
      </c>
      <c r="G27" s="16" t="n">
        <f aca="false">+Chạy!G64</f>
        <v>-0.44</v>
      </c>
      <c r="H27" s="16" t="n">
        <f aca="false">G27+I27</f>
        <v>-0.451</v>
      </c>
      <c r="I27" s="16" t="n">
        <f aca="false">RANDBETWEEN(-30,90)/1000</f>
        <v>-0.011</v>
      </c>
      <c r="J27" s="16" t="n">
        <f aca="false">+Chạy!K64</f>
        <v>-0.32</v>
      </c>
      <c r="K27" s="16" t="n">
        <f aca="false">J27+L27</f>
        <v>-0.285</v>
      </c>
      <c r="L27" s="16" t="n">
        <f aca="false">RANDBETWEEN(-30,90)/1000</f>
        <v>0.035</v>
      </c>
      <c r="M27" s="16" t="n">
        <f aca="false">+Chạy!N64</f>
        <v>7.24</v>
      </c>
      <c r="N27" s="16" t="n">
        <f aca="false">+M27+O27</f>
        <v>7.2358</v>
      </c>
      <c r="O27" s="16" t="n">
        <f aca="false">RANDBETWEEN(-105,115)/10000</f>
        <v>-0.0042</v>
      </c>
      <c r="P27" s="16" t="n">
        <f aca="false">+Chạy!O64</f>
        <v>-0.44</v>
      </c>
      <c r="Q27" s="16" t="n">
        <f aca="false">P27+R27</f>
        <v>-0.403</v>
      </c>
      <c r="R27" s="16" t="n">
        <f aca="false">RANDBETWEEN(-30,90)/1000</f>
        <v>0.037</v>
      </c>
      <c r="S27" s="17"/>
      <c r="T27" s="18" t="n">
        <v>10.48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525.08</v>
      </c>
      <c r="D28" s="16" t="n">
        <f aca="false">+Chạy!F73</f>
        <v>-10.93</v>
      </c>
      <c r="E28" s="16" t="n">
        <f aca="false">+D28+F28</f>
        <v>-10.9387</v>
      </c>
      <c r="F28" s="16" t="n">
        <f aca="false">RANDBETWEEN(-105,115)/10000</f>
        <v>-0.0087</v>
      </c>
      <c r="G28" s="16" t="n">
        <f aca="false">+Chạy!G73</f>
        <v>-0.45</v>
      </c>
      <c r="H28" s="16" t="n">
        <f aca="false">G28+I28</f>
        <v>-0.424</v>
      </c>
      <c r="I28" s="16" t="n">
        <f aca="false">RANDBETWEEN(-30,90)/1000</f>
        <v>0.026</v>
      </c>
      <c r="J28" s="16" t="n">
        <f aca="false">+Chạy!K73</f>
        <v>-0.33</v>
      </c>
      <c r="K28" s="16" t="n">
        <f aca="false">J28+L28</f>
        <v>-0.265</v>
      </c>
      <c r="L28" s="16" t="n">
        <f aca="false">RANDBETWEEN(-30,90)/1000</f>
        <v>0.065</v>
      </c>
      <c r="M28" s="16" t="n">
        <f aca="false">+Chạy!N73</f>
        <v>14.11</v>
      </c>
      <c r="N28" s="16" t="n">
        <f aca="false">+M28+O28</f>
        <v>14.1035</v>
      </c>
      <c r="O28" s="16" t="n">
        <f aca="false">RANDBETWEEN(-105,115)/10000</f>
        <v>-0.0065</v>
      </c>
      <c r="P28" s="16" t="n">
        <f aca="false">+Chạy!O73</f>
        <v>-0.45</v>
      </c>
      <c r="Q28" s="16" t="n">
        <f aca="false">P28+R28</f>
        <v>-0.409</v>
      </c>
      <c r="R28" s="16" t="n">
        <f aca="false">RANDBETWEEN(-30,90)/1000</f>
        <v>0.041</v>
      </c>
      <c r="S28" s="17"/>
      <c r="T28" s="18" t="n">
        <v>13.6</v>
      </c>
    </row>
    <row r="29" customFormat="false" ht="17.25" hidden="false" customHeight="true" outlineLevel="0" collapsed="false">
      <c r="A29" s="13" t="n">
        <v>9</v>
      </c>
      <c r="B29" s="14" t="s">
        <v>25</v>
      </c>
      <c r="C29" s="15" t="n">
        <f aca="false">+C28+T28</f>
        <v>538.68</v>
      </c>
      <c r="D29" s="16" t="n">
        <f aca="false">+Chạy!F82</f>
        <v>-7.7</v>
      </c>
      <c r="E29" s="16" t="n">
        <f aca="false">+D29+F29</f>
        <v>-7.6986</v>
      </c>
      <c r="F29" s="16" t="n">
        <f aca="false">RANDBETWEEN(-105,115)/10000</f>
        <v>0.0014</v>
      </c>
      <c r="G29" s="16" t="n">
        <f aca="false">+Chạy!G82</f>
        <v>-0.45</v>
      </c>
      <c r="H29" s="16" t="n">
        <f aca="false">G29+I29</f>
        <v>-0.476</v>
      </c>
      <c r="I29" s="16" t="n">
        <f aca="false">RANDBETWEEN(-30,90)/1000</f>
        <v>-0.026</v>
      </c>
      <c r="J29" s="16" t="n">
        <f aca="false">+Chạy!K82</f>
        <v>-0.34</v>
      </c>
      <c r="K29" s="16" t="n">
        <f aca="false">J29+L29</f>
        <v>-0.352</v>
      </c>
      <c r="L29" s="16" t="n">
        <f aca="false">RANDBETWEEN(-30,90)/1000</f>
        <v>-0.012</v>
      </c>
      <c r="M29" s="16" t="n">
        <f aca="false">+Chạy!N82</f>
        <v>9.9</v>
      </c>
      <c r="N29" s="16" t="n">
        <f aca="false">+M29+O29</f>
        <v>9.8975</v>
      </c>
      <c r="O29" s="16" t="n">
        <f aca="false">RANDBETWEEN(-105,115)/10000</f>
        <v>-0.0025</v>
      </c>
      <c r="P29" s="16" t="n">
        <f aca="false">+Chạy!O82</f>
        <v>-0.45</v>
      </c>
      <c r="Q29" s="16" t="n">
        <f aca="false">P29+R29</f>
        <v>-0.385</v>
      </c>
      <c r="R29" s="16" t="n">
        <f aca="false">RANDBETWEEN(-30,90)/1000</f>
        <v>0.065</v>
      </c>
      <c r="S29" s="17"/>
      <c r="T29" s="18" t="n">
        <v>15.4</v>
      </c>
    </row>
    <row r="30" customFormat="false" ht="17.25" hidden="false" customHeight="true" outlineLevel="0" collapsed="false">
      <c r="A30" s="13" t="n">
        <v>10</v>
      </c>
      <c r="B30" s="14" t="s">
        <v>26</v>
      </c>
      <c r="C30" s="15" t="n">
        <f aca="false">+C29+T29</f>
        <v>554.08</v>
      </c>
      <c r="D30" s="16" t="n">
        <f aca="false">+Chạy!F91</f>
        <v>-6.57</v>
      </c>
      <c r="E30" s="16" t="n">
        <f aca="false">+D30+F30</f>
        <v>-6.5783</v>
      </c>
      <c r="F30" s="16" t="n">
        <f aca="false">RANDBETWEEN(-105,115)/10000</f>
        <v>-0.0083</v>
      </c>
      <c r="G30" s="16" t="n">
        <f aca="false">+Chạy!G91</f>
        <v>-0.46</v>
      </c>
      <c r="H30" s="16" t="n">
        <f aca="false">G30+I30</f>
        <v>-0.461</v>
      </c>
      <c r="I30" s="16" t="n">
        <f aca="false">RANDBETWEEN(-30,90)/1000</f>
        <v>-0.001</v>
      </c>
      <c r="J30" s="16" t="n">
        <f aca="false">+Chạy!K91</f>
        <v>-0.34</v>
      </c>
      <c r="K30" s="16" t="n">
        <f aca="false">J30+L30</f>
        <v>-0.334</v>
      </c>
      <c r="L30" s="16" t="n">
        <f aca="false">RANDBETWEEN(-30,90)/1000</f>
        <v>0.006</v>
      </c>
      <c r="M30" s="16" t="n">
        <f aca="false">+Chạy!N91</f>
        <v>9.8</v>
      </c>
      <c r="N30" s="16" t="n">
        <f aca="false">+M30+O30</f>
        <v>9.8095</v>
      </c>
      <c r="O30" s="16" t="n">
        <f aca="false">RANDBETWEEN(-105,115)/10000</f>
        <v>0.0095</v>
      </c>
      <c r="P30" s="16" t="n">
        <f aca="false">+Chạy!O91</f>
        <v>-0.46</v>
      </c>
      <c r="Q30" s="16" t="n">
        <f aca="false">P30+R30</f>
        <v>-0.428</v>
      </c>
      <c r="R30" s="16" t="n">
        <f aca="false">RANDBETWEEN(-30,90)/1000</f>
        <v>0.032</v>
      </c>
      <c r="S30" s="17"/>
      <c r="T30" s="18"/>
    </row>
    <row r="31" customFormat="false" ht="17.25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</row>
    <row r="32" customFormat="false" ht="17.25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49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50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51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52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08.NĐXD4/CVXD ngày 19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8</v>
      </c>
    </row>
    <row r="3" s="32" customFormat="true" ht="37.5" hidden="false" customHeight="true" outlineLevel="0" collapsed="false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30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31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1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24</v>
      </c>
      <c r="C11" s="51" t="n">
        <f aca="false">'1.KTHH L1'!C21</f>
        <v>441.84</v>
      </c>
      <c r="D11" s="13" t="n">
        <f aca="false">'1.KTHH L1'!T21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4.48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55.4375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25</v>
      </c>
      <c r="C12" s="51" t="n">
        <f aca="false">'1.KTHH L1'!C22</f>
        <v>454.34</v>
      </c>
      <c r="D12" s="13" t="n">
        <f aca="false">'1.KTHH L1'!T22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4.39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54.75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26</v>
      </c>
      <c r="C13" s="51" t="n">
        <f aca="false">'1.KTHH L1'!C23</f>
        <v>466.84</v>
      </c>
      <c r="D13" s="13" t="n">
        <f aca="false">'1.KTHH L1'!T23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4.37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32.625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27</v>
      </c>
      <c r="C14" s="51" t="n">
        <f aca="false">'1.KTHH L1'!C24</f>
        <v>474.34</v>
      </c>
      <c r="D14" s="13" t="n">
        <f aca="false">'1.KTHH L1'!T24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4.33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83.3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28</v>
      </c>
      <c r="C15" s="51" t="n">
        <f aca="false">'1.KTHH L1'!C25</f>
        <v>494.34</v>
      </c>
      <c r="D15" s="13" t="n">
        <f aca="false">'1.KTHH L1'!T25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66.5032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29</v>
      </c>
      <c r="C16" s="51" t="n">
        <f aca="false">'1.KTHH L1'!C26</f>
        <v>511.48</v>
      </c>
      <c r="D16" s="13" t="n">
        <f aca="false">'1.KTHH L1'!T26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3.76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11.2476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30</v>
      </c>
      <c r="C17" s="51" t="n">
        <f aca="false">'1.KTHH L1'!C27</f>
        <v>514.6</v>
      </c>
      <c r="D17" s="13" t="n">
        <f aca="false">'1.KTHH L1'!T27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Chạy!E64</f>
        <v>3.45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42.182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D</v>
      </c>
      <c r="C18" s="51" t="n">
        <f aca="false">'1.KTHH L1'!C28</f>
        <v>525.08</v>
      </c>
      <c r="D18" s="13" t="n">
        <f aca="false">'1.KTHH L1'!T28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Chạy!E73</f>
        <v>4.6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53.924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31</v>
      </c>
      <c r="C19" s="51" t="n">
        <f aca="false">'1.KTHH L1'!C29</f>
        <v>538.68</v>
      </c>
      <c r="D19" s="13" t="n">
        <f aca="false">'1.KTHH L1'!T29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Chạy!E82</f>
        <v>3.33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49.049</v>
      </c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false" customHeight="true" outlineLevel="0" collapsed="false">
      <c r="A20" s="13" t="n">
        <v>10</v>
      </c>
      <c r="B20" s="13" t="str">
        <f aca="false">'1.KTHH L1'!B30</f>
        <v>32</v>
      </c>
      <c r="C20" s="51" t="n">
        <f aca="false">'1.KTHH L1'!C30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Chạy!E91</f>
        <v>3.04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449.0183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09.NĐXD4/CVXD ngày 20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2 đoạn từ Km0+441,84 - Km0+554,08,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36</v>
      </c>
      <c r="B19" s="9" t="s">
        <v>37</v>
      </c>
      <c r="C19" s="9" t="s">
        <v>38</v>
      </c>
      <c r="D19" s="10" t="s">
        <v>39</v>
      </c>
      <c r="E19" s="10"/>
      <c r="F19" s="10"/>
      <c r="G19" s="10"/>
      <c r="H19" s="10"/>
      <c r="I19" s="10"/>
      <c r="J19" s="10" t="s">
        <v>40</v>
      </c>
      <c r="K19" s="10"/>
      <c r="L19" s="10"/>
      <c r="M19" s="10" t="s">
        <v>41</v>
      </c>
      <c r="N19" s="10"/>
      <c r="O19" s="10"/>
      <c r="P19" s="10"/>
      <c r="Q19" s="10"/>
      <c r="R19" s="10"/>
      <c r="S19" s="9" t="s">
        <v>42</v>
      </c>
    </row>
    <row r="20" customFormat="false" ht="30" hidden="false" customHeight="true" outlineLevel="0" collapsed="false">
      <c r="A20" s="9"/>
      <c r="B20" s="9"/>
      <c r="C20" s="9"/>
      <c r="D20" s="11" t="s">
        <v>43</v>
      </c>
      <c r="E20" s="11" t="s">
        <v>44</v>
      </c>
      <c r="F20" s="11" t="s">
        <v>45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43</v>
      </c>
      <c r="N20" s="11" t="s">
        <v>44</v>
      </c>
      <c r="O20" s="11" t="s">
        <v>45</v>
      </c>
      <c r="P20" s="11" t="s">
        <v>46</v>
      </c>
      <c r="Q20" s="11" t="s">
        <v>47</v>
      </c>
      <c r="R20" s="11" t="s">
        <v>48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441.84</v>
      </c>
      <c r="D21" s="16" t="n">
        <f aca="false">+Chạy!F9</f>
        <v>-10.38</v>
      </c>
      <c r="E21" s="16" t="n">
        <f aca="false">+D21+F21</f>
        <v>-10.3863</v>
      </c>
      <c r="F21" s="16" t="n">
        <f aca="false">RANDBETWEEN(-105,115)/10000</f>
        <v>-0.0063</v>
      </c>
      <c r="G21" s="16" t="n">
        <f aca="false">+Chạy!G9</f>
        <v>-0.1</v>
      </c>
      <c r="H21" s="16" t="n">
        <f aca="false">G21+I21</f>
        <v>-0.099</v>
      </c>
      <c r="I21" s="16" t="n">
        <f aca="false">RANDBETWEEN(-30,90)/1000</f>
        <v>0.001</v>
      </c>
      <c r="J21" s="16" t="n">
        <f aca="false">+Chạy!K9</f>
        <v>0.01</v>
      </c>
      <c r="K21" s="16" t="n">
        <f aca="false">J21+L21</f>
        <v>0.048</v>
      </c>
      <c r="L21" s="16" t="n">
        <f aca="false">RANDBETWEEN(-30,90)/1000</f>
        <v>0.038</v>
      </c>
      <c r="M21" s="16" t="n">
        <f aca="false">+Chạy!N9</f>
        <v>10.17</v>
      </c>
      <c r="N21" s="16" t="n">
        <f aca="false">+M21+O21</f>
        <v>10.1663</v>
      </c>
      <c r="O21" s="16" t="n">
        <f aca="false">RANDBETWEEN(-105,115)/10000</f>
        <v>-0.0037</v>
      </c>
      <c r="P21" s="16" t="n">
        <f aca="false">+Chạy!O9</f>
        <v>-0.1</v>
      </c>
      <c r="Q21" s="16" t="n">
        <f aca="false">P21+R21</f>
        <v>-0.031</v>
      </c>
      <c r="R21" s="16" t="n">
        <f aca="false">RANDBETWEEN(-30,90)/1000</f>
        <v>0.069</v>
      </c>
      <c r="S21" s="17"/>
      <c r="T21" s="0" t="n">
        <v>12.5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454.34</v>
      </c>
      <c r="D22" s="16" t="n">
        <f aca="false">+Chạy!F18</f>
        <v>-10.32</v>
      </c>
      <c r="E22" s="16" t="n">
        <f aca="false">+D22+F22</f>
        <v>-10.3204</v>
      </c>
      <c r="F22" s="16" t="n">
        <f aca="false">RANDBETWEEN(-105,115)/10000</f>
        <v>-0.0004</v>
      </c>
      <c r="G22" s="16" t="n">
        <f aca="false">+Chạy!G18</f>
        <v>-0.11</v>
      </c>
      <c r="H22" s="16" t="n">
        <f aca="false">G22+I22</f>
        <v>-0.098</v>
      </c>
      <c r="I22" s="16" t="n">
        <f aca="false">RANDBETWEEN(-30,90)/1000</f>
        <v>0.012</v>
      </c>
      <c r="J22" s="16" t="n">
        <f aca="false">+Chạy!K18</f>
        <v>0.01</v>
      </c>
      <c r="K22" s="16" t="n">
        <f aca="false">J22+L22</f>
        <v>0.081</v>
      </c>
      <c r="L22" s="16" t="n">
        <f aca="false">RANDBETWEEN(-30,90)/1000</f>
        <v>0.071</v>
      </c>
      <c r="M22" s="16" t="n">
        <f aca="false">+Chạy!N18</f>
        <v>10.27</v>
      </c>
      <c r="N22" s="16" t="n">
        <f aca="false">+M22+O22</f>
        <v>10.2713</v>
      </c>
      <c r="O22" s="16" t="n">
        <f aca="false">RANDBETWEEN(-105,115)/10000</f>
        <v>0.0013</v>
      </c>
      <c r="P22" s="16" t="n">
        <f aca="false">+Chạy!O18</f>
        <v>-0.11</v>
      </c>
      <c r="Q22" s="16" t="n">
        <f aca="false">P22+R22</f>
        <v>-0.035</v>
      </c>
      <c r="R22" s="16" t="n">
        <f aca="false">RANDBETWEEN(-30,90)/1000</f>
        <v>0.075</v>
      </c>
      <c r="S22" s="17"/>
      <c r="T22" s="0" t="n">
        <v>12.5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466.84</v>
      </c>
      <c r="D23" s="16" t="n">
        <f aca="false">+Chạy!F27</f>
        <v>-15.1</v>
      </c>
      <c r="E23" s="16" t="n">
        <f aca="false">+D23+F23</f>
        <v>-15.1024</v>
      </c>
      <c r="F23" s="16" t="n">
        <f aca="false">RANDBETWEEN(-105,115)/10000</f>
        <v>-0.0024</v>
      </c>
      <c r="G23" s="16" t="n">
        <f aca="false">+Chạy!G27</f>
        <v>-0.12</v>
      </c>
      <c r="H23" s="16" t="n">
        <f aca="false">G23+I23</f>
        <v>-0.098</v>
      </c>
      <c r="I23" s="16" t="n">
        <f aca="false">RANDBETWEEN(-30,90)/1000</f>
        <v>0.022</v>
      </c>
      <c r="J23" s="16" t="n">
        <f aca="false">+Chạy!K27</f>
        <v>0</v>
      </c>
      <c r="K23" s="16" t="n">
        <f aca="false">J23+L23</f>
        <v>-0.028</v>
      </c>
      <c r="L23" s="16" t="n">
        <f aca="false">RANDBETWEEN(-30,90)/1000</f>
        <v>-0.028</v>
      </c>
      <c r="M23" s="16" t="n">
        <f aca="false">+Chạy!N27</f>
        <v>10.26</v>
      </c>
      <c r="N23" s="16" t="n">
        <f aca="false">+M23+O23</f>
        <v>10.2705</v>
      </c>
      <c r="O23" s="16" t="n">
        <f aca="false">RANDBETWEEN(-105,115)/10000</f>
        <v>0.0105</v>
      </c>
      <c r="P23" s="16" t="n">
        <f aca="false">+Chạy!O27</f>
        <v>-0.12</v>
      </c>
      <c r="Q23" s="16" t="n">
        <f aca="false">P23+R23</f>
        <v>-0.118</v>
      </c>
      <c r="R23" s="16" t="n">
        <f aca="false">RANDBETWEEN(-30,90)/1000</f>
        <v>0.002</v>
      </c>
      <c r="S23" s="17"/>
      <c r="T23" s="0" t="n">
        <v>7.5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474.34</v>
      </c>
      <c r="D24" s="16" t="n">
        <f aca="false">+Chạy!F36</f>
        <v>-15.1</v>
      </c>
      <c r="E24" s="16" t="n">
        <f aca="false">+D24+F24</f>
        <v>-15.1037</v>
      </c>
      <c r="F24" s="16" t="n">
        <f aca="false">RANDBETWEEN(-105,115)/10000</f>
        <v>-0.0037</v>
      </c>
      <c r="G24" s="16" t="n">
        <f aca="false">+Chạy!G36</f>
        <v>-0.12</v>
      </c>
      <c r="H24" s="16" t="n">
        <f aca="false">G24+I24</f>
        <v>-0.103</v>
      </c>
      <c r="I24" s="16" t="n">
        <f aca="false">RANDBETWEEN(-30,90)/1000</f>
        <v>0.017</v>
      </c>
      <c r="J24" s="16" t="n">
        <f aca="false">+Chạy!K36</f>
        <v>0</v>
      </c>
      <c r="K24" s="16" t="n">
        <f aca="false">J24+L24</f>
        <v>0.077</v>
      </c>
      <c r="L24" s="16" t="n">
        <f aca="false">RANDBETWEEN(-30,90)/1000</f>
        <v>0.077</v>
      </c>
      <c r="M24" s="16" t="n">
        <f aca="false">+Chạy!N36</f>
        <v>10.3</v>
      </c>
      <c r="N24" s="16" t="n">
        <f aca="false">+M24+O24</f>
        <v>10.2913</v>
      </c>
      <c r="O24" s="16" t="n">
        <f aca="false">RANDBETWEEN(-105,115)/10000</f>
        <v>-0.0087</v>
      </c>
      <c r="P24" s="16" t="n">
        <f aca="false">+Chạy!O36</f>
        <v>-0.12</v>
      </c>
      <c r="Q24" s="16" t="n">
        <f aca="false">P24+R24</f>
        <v>-0.105</v>
      </c>
      <c r="R24" s="16" t="n">
        <f aca="false">RANDBETWEEN(-30,90)/1000</f>
        <v>0.015</v>
      </c>
      <c r="S24" s="17"/>
      <c r="T24" s="0" t="n">
        <v>20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494.34</v>
      </c>
      <c r="D25" s="16" t="n">
        <f aca="false">+Chạy!F45</f>
        <v>-10.28</v>
      </c>
      <c r="E25" s="16" t="n">
        <f aca="false">+D25+F25</f>
        <v>-10.2852</v>
      </c>
      <c r="F25" s="16" t="n">
        <f aca="false">RANDBETWEEN(-105,115)/10000</f>
        <v>-0.0052</v>
      </c>
      <c r="G25" s="16" t="n">
        <f aca="false">+Chạy!G45</f>
        <v>-0.13</v>
      </c>
      <c r="H25" s="16" t="n">
        <f aca="false">G25+I25</f>
        <v>-0.085</v>
      </c>
      <c r="I25" s="16" t="n">
        <f aca="false">RANDBETWEEN(-30,90)/1000</f>
        <v>0.045</v>
      </c>
      <c r="J25" s="16" t="n">
        <f aca="false">+Chạy!K45</f>
        <v>-0.01</v>
      </c>
      <c r="K25" s="16" t="n">
        <f aca="false">J25+L25</f>
        <v>0.048</v>
      </c>
      <c r="L25" s="16" t="n">
        <f aca="false">RANDBETWEEN(-30,90)/1000</f>
        <v>0.058</v>
      </c>
      <c r="M25" s="16" t="n">
        <f aca="false">+Chạy!N45</f>
        <v>9.96</v>
      </c>
      <c r="N25" s="16" t="n">
        <f aca="false">+M25+O25</f>
        <v>9.9636</v>
      </c>
      <c r="O25" s="16" t="n">
        <f aca="false">RANDBETWEEN(-105,115)/10000</f>
        <v>0.0036</v>
      </c>
      <c r="P25" s="16" t="n">
        <f aca="false">+Chạy!O45</f>
        <v>-0.13</v>
      </c>
      <c r="Q25" s="16" t="n">
        <f aca="false">P25+R25</f>
        <v>-0.057</v>
      </c>
      <c r="R25" s="16" t="n">
        <f aca="false">RANDBETWEEN(-30,90)/1000</f>
        <v>0.073</v>
      </c>
      <c r="S25" s="17"/>
      <c r="T25" s="0" t="n">
        <v>17.14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511.48</v>
      </c>
      <c r="D26" s="16" t="n">
        <f aca="false">+Chạy!F54</f>
        <v>-10.28</v>
      </c>
      <c r="E26" s="16" t="n">
        <f aca="false">+D26+F26</f>
        <v>-10.2817</v>
      </c>
      <c r="F26" s="16" t="n">
        <f aca="false">RANDBETWEEN(-105,115)/10000</f>
        <v>-0.0017</v>
      </c>
      <c r="G26" s="16" t="n">
        <f aca="false">+Chạy!G54</f>
        <v>-0.14</v>
      </c>
      <c r="H26" s="16" t="n">
        <f aca="false">G26+I26</f>
        <v>-0.147</v>
      </c>
      <c r="I26" s="16" t="n">
        <f aca="false">RANDBETWEEN(-30,90)/1000</f>
        <v>-0.007</v>
      </c>
      <c r="J26" s="16" t="n">
        <f aca="false">+Chạy!K54</f>
        <v>-0.02</v>
      </c>
      <c r="K26" s="16" t="n">
        <f aca="false">J26+L26</f>
        <v>0.023</v>
      </c>
      <c r="L26" s="16" t="n">
        <f aca="false">RANDBETWEEN(-30,90)/1000</f>
        <v>0.043</v>
      </c>
      <c r="M26" s="16" t="n">
        <f aca="false">+Chạy!N54</f>
        <v>9.33</v>
      </c>
      <c r="N26" s="16" t="n">
        <f aca="false">+M26+O26</f>
        <v>9.3378</v>
      </c>
      <c r="O26" s="16" t="n">
        <f aca="false">RANDBETWEEN(-105,115)/10000</f>
        <v>0.0078</v>
      </c>
      <c r="P26" s="16" t="n">
        <f aca="false">+Chạy!O54</f>
        <v>-0.14</v>
      </c>
      <c r="Q26" s="16" t="n">
        <f aca="false">P26+R26</f>
        <v>-0.087</v>
      </c>
      <c r="R26" s="16" t="n">
        <f aca="false">RANDBETWEEN(-30,90)/1000</f>
        <v>0.053</v>
      </c>
      <c r="S26" s="17"/>
      <c r="T26" s="0" t="n">
        <v>3.12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514.6</v>
      </c>
      <c r="D27" s="16" t="n">
        <f aca="false">+Chạy!F63</f>
        <v>-15.1</v>
      </c>
      <c r="E27" s="16" t="n">
        <f aca="false">+D27+F27</f>
        <v>-15.1094</v>
      </c>
      <c r="F27" s="16" t="n">
        <f aca="false">RANDBETWEEN(-105,115)/10000</f>
        <v>-0.0094</v>
      </c>
      <c r="G27" s="16" t="n">
        <f aca="false">+Chạy!G63</f>
        <v>-0.14</v>
      </c>
      <c r="H27" s="16" t="n">
        <f aca="false">G27+I27</f>
        <v>-0.069</v>
      </c>
      <c r="I27" s="16" t="n">
        <f aca="false">RANDBETWEEN(-30,90)/1000</f>
        <v>0.071</v>
      </c>
      <c r="J27" s="16" t="n">
        <f aca="false">+Chạy!K63</f>
        <v>-0.02</v>
      </c>
      <c r="K27" s="16" t="n">
        <f aca="false">J27+L27</f>
        <v>0.049</v>
      </c>
      <c r="L27" s="16" t="n">
        <f aca="false">RANDBETWEEN(-30,90)/1000</f>
        <v>0.069</v>
      </c>
      <c r="M27" s="16" t="n">
        <f aca="false">+Chạy!N63</f>
        <v>7.54</v>
      </c>
      <c r="N27" s="16" t="n">
        <f aca="false">+M27+O27</f>
        <v>7.5432</v>
      </c>
      <c r="O27" s="16" t="n">
        <f aca="false">RANDBETWEEN(-105,115)/10000</f>
        <v>0.0032</v>
      </c>
      <c r="P27" s="16" t="n">
        <f aca="false">+Chạy!O63</f>
        <v>-0.14</v>
      </c>
      <c r="Q27" s="16" t="n">
        <f aca="false">P27+R27</f>
        <v>-0.12</v>
      </c>
      <c r="R27" s="16" t="n">
        <f aca="false">RANDBETWEEN(-30,90)/1000</f>
        <v>0.02</v>
      </c>
      <c r="S27" s="17"/>
      <c r="T27" s="0" t="n">
        <v>10.48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525.08</v>
      </c>
      <c r="D28" s="16" t="n">
        <f aca="false">+Chạy!F72</f>
        <v>-11.23</v>
      </c>
      <c r="E28" s="16" t="n">
        <f aca="false">+D28+F28</f>
        <v>-11.2296</v>
      </c>
      <c r="F28" s="16" t="n">
        <f aca="false">RANDBETWEEN(-105,115)/10000</f>
        <v>0.0004</v>
      </c>
      <c r="G28" s="16" t="n">
        <f aca="false">+Chạy!G72</f>
        <v>-0.15</v>
      </c>
      <c r="H28" s="16" t="n">
        <f aca="false">G28+I28</f>
        <v>-0.082</v>
      </c>
      <c r="I28" s="16" t="n">
        <f aca="false">RANDBETWEEN(-30,90)/1000</f>
        <v>0.068</v>
      </c>
      <c r="J28" s="16" t="n">
        <f aca="false">+Chạy!K72</f>
        <v>-0.03</v>
      </c>
      <c r="K28" s="16" t="n">
        <f aca="false">J28+L28</f>
        <v>0.004</v>
      </c>
      <c r="L28" s="16" t="n">
        <f aca="false">RANDBETWEEN(-30,90)/1000</f>
        <v>0.034</v>
      </c>
      <c r="M28" s="16" t="n">
        <f aca="false">+Chạy!N72</f>
        <v>14.41</v>
      </c>
      <c r="N28" s="16" t="n">
        <f aca="false">+M28+O28</f>
        <v>14.4114</v>
      </c>
      <c r="O28" s="16" t="n">
        <f aca="false">RANDBETWEEN(-105,115)/10000</f>
        <v>0.0014</v>
      </c>
      <c r="P28" s="16" t="n">
        <f aca="false">+Chạy!O72</f>
        <v>-0.15</v>
      </c>
      <c r="Q28" s="16" t="n">
        <f aca="false">P28+R28</f>
        <v>-0.076</v>
      </c>
      <c r="R28" s="16" t="n">
        <f aca="false">RANDBETWEEN(-30,90)/1000</f>
        <v>0.074</v>
      </c>
      <c r="S28" s="17"/>
      <c r="T28" s="0" t="n">
        <v>13.6</v>
      </c>
    </row>
    <row r="29" customFormat="false" ht="15" hidden="false" customHeight="false" outlineLevel="0" collapsed="false">
      <c r="A29" s="13" t="n">
        <v>9</v>
      </c>
      <c r="B29" s="13" t="s">
        <v>25</v>
      </c>
      <c r="C29" s="15" t="n">
        <f aca="false">+C28+T28</f>
        <v>538.68</v>
      </c>
      <c r="D29" s="16" t="n">
        <f aca="false">+Chạy!F81</f>
        <v>-8</v>
      </c>
      <c r="E29" s="16" t="n">
        <f aca="false">+D29+F29</f>
        <v>-8.0086</v>
      </c>
      <c r="F29" s="16" t="n">
        <f aca="false">RANDBETWEEN(-105,115)/10000</f>
        <v>-0.0086</v>
      </c>
      <c r="G29" s="16" t="n">
        <f aca="false">+Chạy!G81</f>
        <v>-0.15</v>
      </c>
      <c r="H29" s="16" t="n">
        <f aca="false">G29+I29</f>
        <v>-0.071</v>
      </c>
      <c r="I29" s="16" t="n">
        <f aca="false">RANDBETWEEN(-30,90)/1000</f>
        <v>0.079</v>
      </c>
      <c r="J29" s="16" t="n">
        <f aca="false">+Chạy!K81</f>
        <v>-0.04</v>
      </c>
      <c r="K29" s="16" t="n">
        <f aca="false">J29+L29</f>
        <v>-0.027</v>
      </c>
      <c r="L29" s="16" t="n">
        <f aca="false">RANDBETWEEN(-30,90)/1000</f>
        <v>0.013</v>
      </c>
      <c r="M29" s="16" t="n">
        <f aca="false">+Chạy!N81</f>
        <v>10.2</v>
      </c>
      <c r="N29" s="16" t="n">
        <f aca="false">+M29+O29</f>
        <v>10.1904</v>
      </c>
      <c r="O29" s="16" t="n">
        <f aca="false">RANDBETWEEN(-105,115)/10000</f>
        <v>-0.0096</v>
      </c>
      <c r="P29" s="16" t="n">
        <f aca="false">+Chạy!O81</f>
        <v>-0.15</v>
      </c>
      <c r="Q29" s="16" t="n">
        <f aca="false">P29+R29</f>
        <v>-0.133</v>
      </c>
      <c r="R29" s="16" t="n">
        <f aca="false">RANDBETWEEN(-30,90)/1000</f>
        <v>0.017</v>
      </c>
      <c r="S29" s="17"/>
      <c r="T29" s="0" t="n">
        <v>15.4</v>
      </c>
    </row>
    <row r="30" customFormat="false" ht="15" hidden="false" customHeight="false" outlineLevel="0" collapsed="false">
      <c r="A30" s="13" t="n">
        <v>10</v>
      </c>
      <c r="B30" s="13" t="s">
        <v>26</v>
      </c>
      <c r="C30" s="15" t="n">
        <f aca="false">+C29+T29</f>
        <v>554.08</v>
      </c>
      <c r="D30" s="16" t="n">
        <f aca="false">+Chạy!F90</f>
        <v>-6.87</v>
      </c>
      <c r="E30" s="16" t="n">
        <f aca="false">+D30+F30</f>
        <v>-6.8726</v>
      </c>
      <c r="F30" s="16" t="n">
        <f aca="false">RANDBETWEEN(-105,115)/10000</f>
        <v>-0.0026</v>
      </c>
      <c r="G30" s="16" t="n">
        <f aca="false">+Chạy!G90</f>
        <v>-0.16</v>
      </c>
      <c r="H30" s="16" t="n">
        <f aca="false">G30+I30</f>
        <v>-0.073</v>
      </c>
      <c r="I30" s="16" t="n">
        <f aca="false">RANDBETWEEN(-30,90)/1000</f>
        <v>0.087</v>
      </c>
      <c r="J30" s="16" t="n">
        <f aca="false">+Chạy!K90</f>
        <v>-0.04</v>
      </c>
      <c r="K30" s="16" t="n">
        <f aca="false">J30+L30</f>
        <v>0.049</v>
      </c>
      <c r="L30" s="16" t="n">
        <f aca="false">RANDBETWEEN(-30,90)/1000</f>
        <v>0.089</v>
      </c>
      <c r="M30" s="16" t="n">
        <f aca="false">+Chạy!N90</f>
        <v>10.1</v>
      </c>
      <c r="N30" s="16" t="n">
        <f aca="false">+M30+O30</f>
        <v>10.0984</v>
      </c>
      <c r="O30" s="16" t="n">
        <f aca="false">RANDBETWEEN(-105,115)/10000</f>
        <v>-0.0016</v>
      </c>
      <c r="P30" s="16" t="n">
        <f aca="false">+Chạy!O90</f>
        <v>-0.16</v>
      </c>
      <c r="Q30" s="16" t="n">
        <f aca="false">P30+R30</f>
        <v>-0.173</v>
      </c>
      <c r="R30" s="16" t="n">
        <f aca="false">RANDBETWEEN(-30,90)/1000</f>
        <v>-0.013</v>
      </c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49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50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51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52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09.NĐXD4/CVXD ngày 20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2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24</v>
      </c>
      <c r="C11" s="51" t="n">
        <f aca="false">'2.KTHH L2'!C21</f>
        <v>441.84</v>
      </c>
      <c r="D11" s="13" t="n">
        <f aca="false">'2.KTHH L2'!T21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6.07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76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25</v>
      </c>
      <c r="C12" s="51" t="n">
        <f aca="false">'2.KTHH L2'!C22</f>
        <v>454.34</v>
      </c>
      <c r="D12" s="13" t="n">
        <f aca="false">'2.KTHH L2'!T22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6.09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81.5625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26</v>
      </c>
      <c r="C13" s="51" t="n">
        <f aca="false">'2.KTHH L2'!C23</f>
        <v>466.84</v>
      </c>
      <c r="D13" s="13" t="n">
        <f aca="false">'2.KTHH L2'!T23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6.96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52.6125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27</v>
      </c>
      <c r="C14" s="51" t="n">
        <f aca="false">'2.KTHH L2'!C24</f>
        <v>474.34</v>
      </c>
      <c r="D14" s="13" t="n">
        <f aca="false">'2.KTHH L2'!T24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7.07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130.5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28</v>
      </c>
      <c r="C15" s="51" t="n">
        <f aca="false">'2.KTHH L2'!C25</f>
        <v>494.34</v>
      </c>
      <c r="D15" s="13" t="n">
        <f aca="false">'2.KTHH L2'!T25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5.98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100.8689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29</v>
      </c>
      <c r="C16" s="51" t="n">
        <f aca="false">'2.KTHH L2'!C26</f>
        <v>511.48</v>
      </c>
      <c r="D16" s="13" t="n">
        <f aca="false">'2.KTHH L2'!T26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5.79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17.2692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30</v>
      </c>
      <c r="C17" s="51" t="n">
        <f aca="false">'2.KTHH L2'!C27</f>
        <v>514.6</v>
      </c>
      <c r="D17" s="13" t="n">
        <f aca="false">'2.KTHH L2'!T27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Chạy!E63</f>
        <v>5.28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67.4912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D</v>
      </c>
      <c r="C18" s="51" t="n">
        <f aca="false">'2.KTHH L2'!C28</f>
        <v>525.08</v>
      </c>
      <c r="D18" s="13" t="n">
        <f aca="false">'2.KTHH L2'!T28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Chạy!E72</f>
        <v>7.6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88.196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31</v>
      </c>
      <c r="C19" s="51" t="n">
        <f aca="false">'2.KTHH L2'!C29</f>
        <v>538.68</v>
      </c>
      <c r="D19" s="13" t="n">
        <f aca="false">'2.KTHH L2'!T29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Chạy!E81</f>
        <v>5.37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79.849</v>
      </c>
      <c r="X19" s="55"/>
      <c r="Y19" s="55"/>
      <c r="Z19" s="55"/>
      <c r="AA19" s="55"/>
      <c r="AB19" s="56"/>
      <c r="AC19" s="57"/>
      <c r="AE19" s="92"/>
    </row>
    <row r="20" s="49" customFormat="true" ht="15" hidden="false" customHeight="true" outlineLevel="0" collapsed="false">
      <c r="A20" s="13" t="n">
        <v>10</v>
      </c>
      <c r="B20" s="13" t="str">
        <f aca="false">'2.KTHH L2'!B30</f>
        <v>32</v>
      </c>
      <c r="C20" s="51" t="n">
        <f aca="false">'2.KTHH L2'!C30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Chạy!E90</f>
        <v>5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92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92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694.3493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10.NĐXD4/CVXD ngày 20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10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3 đoạn từ Km0+441,84 - Km0+554,08,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30" hidden="false" customHeight="true" outlineLevel="0" collapsed="false">
      <c r="A21" s="9"/>
      <c r="B21" s="9"/>
      <c r="C21" s="9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441.84</v>
      </c>
      <c r="D22" s="16" t="n">
        <f aca="false">+Chạy!F8</f>
        <v>-14.65</v>
      </c>
      <c r="E22" s="16" t="n">
        <f aca="false">+D22+F22</f>
        <v>-14.6522</v>
      </c>
      <c r="F22" s="16" t="n">
        <f aca="false">RANDBETWEEN(-105,115)/10000</f>
        <v>-0.0022</v>
      </c>
      <c r="G22" s="16" t="n">
        <f aca="false">+Chạy!G8</f>
        <v>0.2</v>
      </c>
      <c r="H22" s="16" t="n">
        <f aca="false">G22+I22</f>
        <v>0.279</v>
      </c>
      <c r="I22" s="16" t="n">
        <f aca="false">RANDBETWEEN(-30,90)/1000</f>
        <v>0.079</v>
      </c>
      <c r="J22" s="16" t="n">
        <f aca="false">+Chạy!K8</f>
        <v>0.31</v>
      </c>
      <c r="K22" s="16" t="n">
        <f aca="false">J22+L22</f>
        <v>0.29</v>
      </c>
      <c r="L22" s="16" t="n">
        <f aca="false">RANDBETWEEN(-30,90)/1000</f>
        <v>-0.02</v>
      </c>
      <c r="M22" s="16" t="n">
        <f aca="false">+Chạy!N8</f>
        <v>14.65</v>
      </c>
      <c r="N22" s="16" t="n">
        <f aca="false">+M22+O22</f>
        <v>14.6615</v>
      </c>
      <c r="O22" s="16" t="n">
        <f aca="false">RANDBETWEEN(-105,115)/10000</f>
        <v>0.0115</v>
      </c>
      <c r="P22" s="16" t="n">
        <f aca="false">+Chạy!O8</f>
        <v>0.2</v>
      </c>
      <c r="Q22" s="16" t="n">
        <f aca="false">P22+R22</f>
        <v>0.288</v>
      </c>
      <c r="R22" s="16" t="n">
        <f aca="false">RANDBETWEEN(-30,90)/1000</f>
        <v>0.088</v>
      </c>
      <c r="S22" s="17"/>
      <c r="T22" s="0" t="n">
        <v>12.5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454.34</v>
      </c>
      <c r="D23" s="16" t="n">
        <f aca="false">+Chạy!F17</f>
        <v>-14.65</v>
      </c>
      <c r="E23" s="16" t="n">
        <f aca="false">+D23+F23</f>
        <v>-14.6597</v>
      </c>
      <c r="F23" s="16" t="n">
        <f aca="false">RANDBETWEEN(-105,115)/10000</f>
        <v>-0.0097</v>
      </c>
      <c r="G23" s="16" t="n">
        <f aca="false">+Chạy!G17</f>
        <v>0.19</v>
      </c>
      <c r="H23" s="16" t="n">
        <f aca="false">G23+I23</f>
        <v>0.246</v>
      </c>
      <c r="I23" s="16" t="n">
        <f aca="false">RANDBETWEEN(-30,90)/1000</f>
        <v>0.056</v>
      </c>
      <c r="J23" s="16" t="n">
        <f aca="false">+Chạy!K17</f>
        <v>0.31</v>
      </c>
      <c r="K23" s="16" t="n">
        <f aca="false">J23+L23</f>
        <v>0.302</v>
      </c>
      <c r="L23" s="16" t="n">
        <f aca="false">RANDBETWEEN(-30,90)/1000</f>
        <v>-0.008</v>
      </c>
      <c r="M23" s="16" t="n">
        <f aca="false">+Chạy!N17</f>
        <v>14.65</v>
      </c>
      <c r="N23" s="16" t="n">
        <f aca="false">+M23+O23</f>
        <v>14.6525</v>
      </c>
      <c r="O23" s="16" t="n">
        <f aca="false">RANDBETWEEN(-105,115)/10000</f>
        <v>0.0025</v>
      </c>
      <c r="P23" s="16" t="n">
        <f aca="false">+Chạy!O17</f>
        <v>0.19</v>
      </c>
      <c r="Q23" s="16" t="n">
        <f aca="false">P23+R23</f>
        <v>0.245</v>
      </c>
      <c r="R23" s="16" t="n">
        <f aca="false">RANDBETWEEN(-30,90)/1000</f>
        <v>0.055</v>
      </c>
      <c r="S23" s="17"/>
      <c r="T23" s="0" t="n">
        <v>12.5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466.84</v>
      </c>
      <c r="D24" s="16" t="n">
        <f aca="false">+Chạy!F26</f>
        <v>-14.65</v>
      </c>
      <c r="E24" s="16" t="n">
        <f aca="false">+D24+F24</f>
        <v>-14.6504</v>
      </c>
      <c r="F24" s="16" t="n">
        <f aca="false">RANDBETWEEN(-105,115)/10000</f>
        <v>-0.0004</v>
      </c>
      <c r="G24" s="16" t="n">
        <f aca="false">+Chạy!G26</f>
        <v>0.18</v>
      </c>
      <c r="H24" s="16" t="n">
        <f aca="false">G24+I24</f>
        <v>0.219</v>
      </c>
      <c r="I24" s="16" t="n">
        <f aca="false">RANDBETWEEN(-30,90)/1000</f>
        <v>0.039</v>
      </c>
      <c r="J24" s="16" t="n">
        <f aca="false">+Chạy!K26</f>
        <v>0.3</v>
      </c>
      <c r="K24" s="16" t="n">
        <f aca="false">J24+L24</f>
        <v>0.337</v>
      </c>
      <c r="L24" s="16" t="n">
        <f aca="false">RANDBETWEEN(-30,90)/1000</f>
        <v>0.037</v>
      </c>
      <c r="M24" s="16" t="n">
        <f aca="false">+Chạy!N26</f>
        <v>14.65</v>
      </c>
      <c r="N24" s="16" t="n">
        <f aca="false">+M24+O24</f>
        <v>14.6615</v>
      </c>
      <c r="O24" s="16" t="n">
        <f aca="false">RANDBETWEEN(-105,115)/10000</f>
        <v>0.0115</v>
      </c>
      <c r="P24" s="16" t="n">
        <f aca="false">+Chạy!O26</f>
        <v>0.18</v>
      </c>
      <c r="Q24" s="16" t="n">
        <f aca="false">P24+R24</f>
        <v>0.222</v>
      </c>
      <c r="R24" s="16" t="n">
        <f aca="false">RANDBETWEEN(-30,90)/1000</f>
        <v>0.042</v>
      </c>
      <c r="S24" s="17"/>
      <c r="T24" s="0" t="n">
        <v>7.5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474.34</v>
      </c>
      <c r="D25" s="16" t="n">
        <f aca="false">+Chạy!F35</f>
        <v>-14.65</v>
      </c>
      <c r="E25" s="16" t="n">
        <f aca="false">+D25+F25</f>
        <v>-14.6466</v>
      </c>
      <c r="F25" s="16" t="n">
        <f aca="false">RANDBETWEEN(-105,115)/10000</f>
        <v>0.0034</v>
      </c>
      <c r="G25" s="16" t="n">
        <f aca="false">+Chạy!G35</f>
        <v>0.18</v>
      </c>
      <c r="H25" s="16" t="n">
        <f aca="false">G25+I25</f>
        <v>0.156</v>
      </c>
      <c r="I25" s="16" t="n">
        <f aca="false">RANDBETWEEN(-30,90)/1000</f>
        <v>-0.024</v>
      </c>
      <c r="J25" s="16" t="n">
        <f aca="false">+Chạy!K35</f>
        <v>0.3</v>
      </c>
      <c r="K25" s="16" t="n">
        <f aca="false">J25+L25</f>
        <v>0.363</v>
      </c>
      <c r="L25" s="16" t="n">
        <f aca="false">RANDBETWEEN(-30,90)/1000</f>
        <v>0.063</v>
      </c>
      <c r="M25" s="16" t="n">
        <f aca="false">+Chạy!N35</f>
        <v>14.65</v>
      </c>
      <c r="N25" s="16" t="n">
        <f aca="false">+M25+O25</f>
        <v>14.655</v>
      </c>
      <c r="O25" s="16" t="n">
        <f aca="false">RANDBETWEEN(-105,115)/10000</f>
        <v>0.005</v>
      </c>
      <c r="P25" s="16" t="n">
        <f aca="false">+Chạy!O35</f>
        <v>0.18</v>
      </c>
      <c r="Q25" s="16" t="n">
        <f aca="false">P25+R25</f>
        <v>0.214</v>
      </c>
      <c r="R25" s="16" t="n">
        <f aca="false">RANDBETWEEN(-30,90)/1000</f>
        <v>0.034</v>
      </c>
      <c r="S25" s="17"/>
      <c r="T25" s="0" t="n">
        <v>20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494.34</v>
      </c>
      <c r="D26" s="16" t="n">
        <f aca="false">+Chạy!F44</f>
        <v>-14.65</v>
      </c>
      <c r="E26" s="16" t="n">
        <f aca="false">+D26+F26</f>
        <v>-14.6385</v>
      </c>
      <c r="F26" s="16" t="n">
        <f aca="false">RANDBETWEEN(-105,115)/10000</f>
        <v>0.0115</v>
      </c>
      <c r="G26" s="16" t="n">
        <f aca="false">+Chạy!G44</f>
        <v>0.17</v>
      </c>
      <c r="H26" s="16" t="n">
        <f aca="false">G26+I26</f>
        <v>0.219</v>
      </c>
      <c r="I26" s="16" t="n">
        <f aca="false">RANDBETWEEN(-30,90)/1000</f>
        <v>0.049</v>
      </c>
      <c r="J26" s="16" t="n">
        <f aca="false">+Chạy!K44</f>
        <v>0.29</v>
      </c>
      <c r="K26" s="16" t="n">
        <f aca="false">J26+L26</f>
        <v>0.292</v>
      </c>
      <c r="L26" s="16" t="n">
        <f aca="false">RANDBETWEEN(-30,90)/1000</f>
        <v>0.002</v>
      </c>
      <c r="M26" s="16" t="n">
        <f aca="false">+Chạy!N44</f>
        <v>14.65</v>
      </c>
      <c r="N26" s="16" t="n">
        <f aca="false">+M26+O26</f>
        <v>14.6457</v>
      </c>
      <c r="O26" s="16" t="n">
        <f aca="false">RANDBETWEEN(-105,115)/10000</f>
        <v>-0.0043</v>
      </c>
      <c r="P26" s="16" t="n">
        <f aca="false">+Chạy!O44</f>
        <v>0.17</v>
      </c>
      <c r="Q26" s="16" t="n">
        <f aca="false">P26+R26</f>
        <v>0.24</v>
      </c>
      <c r="R26" s="16" t="n">
        <f aca="false">RANDBETWEEN(-30,90)/1000</f>
        <v>0.07</v>
      </c>
      <c r="S26" s="17"/>
      <c r="T26" s="0" t="n">
        <v>17.14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511.48</v>
      </c>
      <c r="D27" s="16" t="n">
        <f aca="false">+Chạy!F53</f>
        <v>-14.65</v>
      </c>
      <c r="E27" s="16" t="n">
        <f aca="false">+D27+F27</f>
        <v>-14.6427</v>
      </c>
      <c r="F27" s="16" t="n">
        <f aca="false">RANDBETWEEN(-105,115)/10000</f>
        <v>0.0073</v>
      </c>
      <c r="G27" s="16" t="n">
        <f aca="false">+Chạy!G53</f>
        <v>0.16</v>
      </c>
      <c r="H27" s="16" t="n">
        <f aca="false">G27+I27</f>
        <v>0.227</v>
      </c>
      <c r="I27" s="16" t="n">
        <f aca="false">RANDBETWEEN(-30,90)/1000</f>
        <v>0.067</v>
      </c>
      <c r="J27" s="16" t="n">
        <f aca="false">+Chạy!K53</f>
        <v>0.28</v>
      </c>
      <c r="K27" s="16" t="n">
        <f aca="false">J27+L27</f>
        <v>0.301</v>
      </c>
      <c r="L27" s="16" t="n">
        <f aca="false">RANDBETWEEN(-30,90)/1000</f>
        <v>0.021</v>
      </c>
      <c r="M27" s="16" t="n">
        <f aca="false">+Chạy!N53</f>
        <v>9.63</v>
      </c>
      <c r="N27" s="16" t="n">
        <f aca="false">+M27+O27</f>
        <v>9.6387</v>
      </c>
      <c r="O27" s="16" t="n">
        <f aca="false">RANDBETWEEN(-105,115)/10000</f>
        <v>0.0087</v>
      </c>
      <c r="P27" s="16" t="n">
        <f aca="false">+Chạy!O53</f>
        <v>0.16</v>
      </c>
      <c r="Q27" s="16" t="n">
        <f aca="false">P27+R27</f>
        <v>0.187</v>
      </c>
      <c r="R27" s="16" t="n">
        <f aca="false">RANDBETWEEN(-30,90)/1000</f>
        <v>0.027</v>
      </c>
      <c r="S27" s="17"/>
      <c r="T27" s="0" t="n">
        <v>3.12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514.6</v>
      </c>
      <c r="D28" s="16" t="n">
        <f aca="false">+Chạy!F62</f>
        <v>-14.65</v>
      </c>
      <c r="E28" s="16" t="n">
        <f aca="false">+D28+F28</f>
        <v>-14.6541</v>
      </c>
      <c r="F28" s="16" t="n">
        <f aca="false">RANDBETWEEN(-105,115)/10000</f>
        <v>-0.0041</v>
      </c>
      <c r="G28" s="16" t="n">
        <f aca="false">+Chạy!G62</f>
        <v>0.16</v>
      </c>
      <c r="H28" s="16" t="n">
        <f aca="false">G28+I28</f>
        <v>0.216</v>
      </c>
      <c r="I28" s="16" t="n">
        <f aca="false">RANDBETWEEN(-30,90)/1000</f>
        <v>0.056</v>
      </c>
      <c r="J28" s="16" t="n">
        <f aca="false">+Chạy!K62</f>
        <v>0.28</v>
      </c>
      <c r="K28" s="16" t="n">
        <f aca="false">J28+L28</f>
        <v>0.347</v>
      </c>
      <c r="L28" s="16" t="n">
        <f aca="false">RANDBETWEEN(-30,90)/1000</f>
        <v>0.067</v>
      </c>
      <c r="M28" s="16" t="n">
        <f aca="false">+Chạy!N62</f>
        <v>7.84</v>
      </c>
      <c r="N28" s="16" t="n">
        <f aca="false">+M28+O28</f>
        <v>7.8449</v>
      </c>
      <c r="O28" s="16" t="n">
        <f aca="false">RANDBETWEEN(-105,115)/10000</f>
        <v>0.0049</v>
      </c>
      <c r="P28" s="16" t="n">
        <f aca="false">+Chạy!O62</f>
        <v>0.16</v>
      </c>
      <c r="Q28" s="16" t="n">
        <f aca="false">P28+R28</f>
        <v>0.16</v>
      </c>
      <c r="R28" s="16" t="n">
        <f aca="false">RANDBETWEEN(-30,90)/1000</f>
        <v>0</v>
      </c>
      <c r="S28" s="17"/>
      <c r="T28" s="0" t="n">
        <v>10.48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525.08</v>
      </c>
      <c r="D29" s="16" t="n">
        <f aca="false">+Chạy!F71</f>
        <v>-11.53</v>
      </c>
      <c r="E29" s="16" t="n">
        <f aca="false">+D29+F29</f>
        <v>-11.5274</v>
      </c>
      <c r="F29" s="16" t="n">
        <f aca="false">RANDBETWEEN(-105,115)/10000</f>
        <v>0.0026</v>
      </c>
      <c r="G29" s="16" t="n">
        <f aca="false">+Chạy!G71</f>
        <v>0.15</v>
      </c>
      <c r="H29" s="16" t="n">
        <f aca="false">G29+I29</f>
        <v>0.226</v>
      </c>
      <c r="I29" s="16" t="n">
        <f aca="false">RANDBETWEEN(-30,90)/1000</f>
        <v>0.076</v>
      </c>
      <c r="J29" s="16" t="n">
        <f aca="false">+Chạy!K71</f>
        <v>0.27</v>
      </c>
      <c r="K29" s="16" t="n">
        <f aca="false">J29+L29</f>
        <v>0.322</v>
      </c>
      <c r="L29" s="16" t="n">
        <f aca="false">RANDBETWEEN(-30,90)/1000</f>
        <v>0.052</v>
      </c>
      <c r="M29" s="16" t="n">
        <f aca="false">+Chạy!N71</f>
        <v>14.65</v>
      </c>
      <c r="N29" s="16" t="n">
        <f aca="false">+M29+O29</f>
        <v>14.6494</v>
      </c>
      <c r="O29" s="16" t="n">
        <f aca="false">RANDBETWEEN(-105,115)/10000</f>
        <v>-0.0006</v>
      </c>
      <c r="P29" s="16" t="n">
        <f aca="false">+Chạy!O71</f>
        <v>0.15</v>
      </c>
      <c r="Q29" s="16" t="n">
        <f aca="false">P29+R29</f>
        <v>0.173</v>
      </c>
      <c r="R29" s="16" t="n">
        <f aca="false">RANDBETWEEN(-30,90)/1000</f>
        <v>0.023</v>
      </c>
      <c r="S29" s="17"/>
      <c r="T29" s="0" t="n">
        <v>13.6</v>
      </c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538.68</v>
      </c>
      <c r="D30" s="16" t="n">
        <f aca="false">+Chạy!F80</f>
        <v>-8.3</v>
      </c>
      <c r="E30" s="16" t="n">
        <f aca="false">+D30+F30</f>
        <v>-8.2904</v>
      </c>
      <c r="F30" s="16" t="n">
        <f aca="false">RANDBETWEEN(-105,115)/10000</f>
        <v>0.0096</v>
      </c>
      <c r="G30" s="16" t="n">
        <f aca="false">+Chạy!G80</f>
        <v>0.15</v>
      </c>
      <c r="H30" s="16" t="n">
        <f aca="false">G30+I30</f>
        <v>0.137</v>
      </c>
      <c r="I30" s="16" t="n">
        <f aca="false">RANDBETWEEN(-30,90)/1000</f>
        <v>-0.013</v>
      </c>
      <c r="J30" s="16" t="n">
        <f aca="false">+Chạy!K80</f>
        <v>0.26</v>
      </c>
      <c r="K30" s="16" t="n">
        <f aca="false">J30+L30</f>
        <v>0.31</v>
      </c>
      <c r="L30" s="16" t="n">
        <f aca="false">RANDBETWEEN(-30,90)/1000</f>
        <v>0.05</v>
      </c>
      <c r="M30" s="16" t="n">
        <f aca="false">+Chạy!N80</f>
        <v>14.65</v>
      </c>
      <c r="N30" s="16" t="n">
        <f aca="false">+M30+O30</f>
        <v>14.64</v>
      </c>
      <c r="O30" s="16" t="n">
        <f aca="false">RANDBETWEEN(-105,115)/10000</f>
        <v>-0.01</v>
      </c>
      <c r="P30" s="16" t="n">
        <f aca="false">+Chạy!O80</f>
        <v>0.15</v>
      </c>
      <c r="Q30" s="16" t="n">
        <f aca="false">P30+R30</f>
        <v>0.217</v>
      </c>
      <c r="R30" s="16" t="n">
        <f aca="false">RANDBETWEEN(-30,90)/1000</f>
        <v>0.067</v>
      </c>
      <c r="S30" s="17"/>
      <c r="T30" s="0" t="n">
        <v>15.4</v>
      </c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554.08</v>
      </c>
      <c r="D31" s="16" t="n">
        <f aca="false">+Chạy!F89</f>
        <v>-7.17</v>
      </c>
      <c r="E31" s="16" t="n">
        <f aca="false">+D31+F31</f>
        <v>-7.1785</v>
      </c>
      <c r="F31" s="16" t="n">
        <f aca="false">RANDBETWEEN(-105,115)/10000</f>
        <v>-0.0085</v>
      </c>
      <c r="G31" s="16" t="n">
        <f aca="false">+Chạy!G89</f>
        <v>0.14</v>
      </c>
      <c r="H31" s="16" t="n">
        <f aca="false">G31+I31</f>
        <v>0.143</v>
      </c>
      <c r="I31" s="16" t="n">
        <f aca="false">RANDBETWEEN(-30,90)/1000</f>
        <v>0.003</v>
      </c>
      <c r="J31" s="16" t="n">
        <f aca="false">+Chạy!K89</f>
        <v>0.26</v>
      </c>
      <c r="K31" s="16" t="n">
        <f aca="false">J31+L31</f>
        <v>0.234</v>
      </c>
      <c r="L31" s="16" t="n">
        <f aca="false">RANDBETWEEN(-30,90)/1000</f>
        <v>-0.026</v>
      </c>
      <c r="M31" s="16" t="n">
        <f aca="false">+Chạy!N89</f>
        <v>14.65</v>
      </c>
      <c r="N31" s="16" t="n">
        <f aca="false">+M31+O31</f>
        <v>14.6579</v>
      </c>
      <c r="O31" s="16" t="n">
        <f aca="false">RANDBETWEEN(-105,115)/10000</f>
        <v>0.0079</v>
      </c>
      <c r="P31" s="16" t="n">
        <f aca="false">+Chạy!O89</f>
        <v>0.14</v>
      </c>
      <c r="Q31" s="16" t="n">
        <f aca="false">P31+R31</f>
        <v>0.185</v>
      </c>
      <c r="R31" s="16" t="n">
        <f aca="false">RANDBETWEEN(-30,90)/1000</f>
        <v>0.045</v>
      </c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52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10.NĐXD4/CVXD ngày 20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3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24</v>
      </c>
      <c r="C11" s="51" t="n">
        <f aca="false">'3.KTHH L3'!C22</f>
        <v>441.84</v>
      </c>
      <c r="D11" s="13" t="n">
        <f aca="false">'3.KTHH L3'!T22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8.07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101.75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25</v>
      </c>
      <c r="C12" s="51" t="n">
        <f aca="false">'3.KTHH L3'!C23</f>
        <v>454.34</v>
      </c>
      <c r="D12" s="13" t="n">
        <f aca="false">'3.KTHH L3'!T23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8.21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104.75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26</v>
      </c>
      <c r="C13" s="51" t="n">
        <f aca="false">'3.KTHH L3'!C24</f>
        <v>466.84</v>
      </c>
      <c r="D13" s="13" t="n">
        <f aca="false">'3.KTHH L3'!T24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8.55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64.35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27</v>
      </c>
      <c r="C14" s="51" t="n">
        <f aca="false">'3.KTHH L3'!C25</f>
        <v>474.34</v>
      </c>
      <c r="D14" s="13" t="n">
        <f aca="false">'3.KTHH L3'!T25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8.61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163.8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28</v>
      </c>
      <c r="C15" s="51" t="n">
        <f aca="false">'3.KTHH L3'!C26</f>
        <v>494.34</v>
      </c>
      <c r="D15" s="13" t="n">
        <f aca="false">'3.KTHH L3'!T26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7.77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127.0931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29</v>
      </c>
      <c r="C16" s="51" t="n">
        <f aca="false">'3.KTHH L3'!C27</f>
        <v>511.48</v>
      </c>
      <c r="D16" s="13" t="n">
        <f aca="false">'3.KTHH L3'!T27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7.06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21.4032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30</v>
      </c>
      <c r="C17" s="51" t="n">
        <f aca="false">'3.KTHH L3'!C28</f>
        <v>514.6</v>
      </c>
      <c r="D17" s="13" t="n">
        <f aca="false">'3.KTHH L3'!T28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Chạy!E62</f>
        <v>6.66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75.6656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D</v>
      </c>
      <c r="C18" s="51" t="n">
        <f aca="false">'3.KTHH L3'!C29</f>
        <v>525.08</v>
      </c>
      <c r="D18" s="13" t="n">
        <f aca="false">'3.KTHH L3'!T29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Chạy!E71</f>
        <v>7.78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95.268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31</v>
      </c>
      <c r="C19" s="51" t="n">
        <f aca="false">'3.KTHH L3'!C30</f>
        <v>538.68</v>
      </c>
      <c r="D19" s="13" t="n">
        <f aca="false">'3.KTHH L3'!T30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Chạy!E80</f>
        <v>6.23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92.092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'3.KTHH L3'!B31</f>
        <v>32</v>
      </c>
      <c r="C20" s="51" t="n">
        <f aca="false">'3.KTHH L3'!C31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Chạy!E89</f>
        <v>5.73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60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SUM(W11:W20)</f>
        <v>846.1719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11.NĐXD4/CVXD ngày 21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11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4 đoạn từ Km0+441,84 - Km0+554,08,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30" hidden="false" customHeight="true" outlineLevel="0" collapsed="false">
      <c r="A21" s="9"/>
      <c r="B21" s="9"/>
      <c r="C21" s="9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441.84</v>
      </c>
      <c r="D22" s="16" t="n">
        <f aca="false">+Chạy!F7</f>
        <v>-14.2</v>
      </c>
      <c r="E22" s="16" t="n">
        <f aca="false">+D22+F22</f>
        <v>-14.1972</v>
      </c>
      <c r="F22" s="16" t="n">
        <f aca="false">RANDBETWEEN(-105,115)/10000</f>
        <v>0.0028</v>
      </c>
      <c r="G22" s="16" t="n">
        <f aca="false">+Chạy!G7</f>
        <v>0.5</v>
      </c>
      <c r="H22" s="16" t="n">
        <f aca="false">G22+I22</f>
        <v>0.541</v>
      </c>
      <c r="I22" s="16" t="n">
        <f aca="false">RANDBETWEEN(-30,90)/1000</f>
        <v>0.041</v>
      </c>
      <c r="J22" s="16" t="n">
        <f aca="false">+Chạy!K7</f>
        <v>0.61</v>
      </c>
      <c r="K22" s="16" t="n">
        <f aca="false">J22+L22</f>
        <v>0.58</v>
      </c>
      <c r="L22" s="16" t="n">
        <f aca="false">RANDBETWEEN(-30,90)/1000</f>
        <v>-0.03</v>
      </c>
      <c r="M22" s="16" t="n">
        <f aca="false">+Chạy!N7</f>
        <v>14.2</v>
      </c>
      <c r="N22" s="16" t="n">
        <f aca="false">+M22+O22</f>
        <v>14.1969</v>
      </c>
      <c r="O22" s="16" t="n">
        <f aca="false">RANDBETWEEN(-105,115)/10000</f>
        <v>-0.0031</v>
      </c>
      <c r="P22" s="16" t="n">
        <f aca="false">+Chạy!O7</f>
        <v>0.5</v>
      </c>
      <c r="Q22" s="16" t="n">
        <f aca="false">P22+R22</f>
        <v>0.502</v>
      </c>
      <c r="R22" s="16" t="n">
        <f aca="false">RANDBETWEEN(-30,90)/1000</f>
        <v>0.002</v>
      </c>
      <c r="S22" s="17"/>
      <c r="T22" s="1" t="n">
        <v>12.5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454.34</v>
      </c>
      <c r="D23" s="16" t="n">
        <f aca="false">+Chạy!F16</f>
        <v>-14.2</v>
      </c>
      <c r="E23" s="16" t="n">
        <f aca="false">+D23+F23</f>
        <v>-14.2021</v>
      </c>
      <c r="F23" s="16" t="n">
        <f aca="false">RANDBETWEEN(-105,115)/10000</f>
        <v>-0.0021</v>
      </c>
      <c r="G23" s="16" t="n">
        <f aca="false">+Chạy!G16</f>
        <v>0.49</v>
      </c>
      <c r="H23" s="16" t="n">
        <f aca="false">G23+I23</f>
        <v>0.542</v>
      </c>
      <c r="I23" s="16" t="n">
        <f aca="false">RANDBETWEEN(-30,90)/1000</f>
        <v>0.052</v>
      </c>
      <c r="J23" s="16" t="n">
        <f aca="false">+Chạy!K16</f>
        <v>0.61</v>
      </c>
      <c r="K23" s="16" t="n">
        <f aca="false">J23+L23</f>
        <v>0.68</v>
      </c>
      <c r="L23" s="16" t="n">
        <f aca="false">RANDBETWEEN(-30,90)/1000</f>
        <v>0.07</v>
      </c>
      <c r="M23" s="16" t="n">
        <f aca="false">+Chạy!N16</f>
        <v>14.2</v>
      </c>
      <c r="N23" s="16" t="n">
        <f aca="false">+M23+O23</f>
        <v>14.1933</v>
      </c>
      <c r="O23" s="16" t="n">
        <f aca="false">RANDBETWEEN(-105,115)/10000</f>
        <v>-0.0067</v>
      </c>
      <c r="P23" s="16" t="n">
        <f aca="false">+Chạy!O16</f>
        <v>0.49</v>
      </c>
      <c r="Q23" s="16" t="n">
        <f aca="false">P23+R23</f>
        <v>0.479</v>
      </c>
      <c r="R23" s="16" t="n">
        <f aca="false">RANDBETWEEN(-30,90)/1000</f>
        <v>-0.011</v>
      </c>
      <c r="S23" s="17"/>
      <c r="T23" s="1" t="n">
        <v>12.5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466.84</v>
      </c>
      <c r="D24" s="16" t="n">
        <f aca="false">+Chạy!F25</f>
        <v>-14.2</v>
      </c>
      <c r="E24" s="16" t="n">
        <f aca="false">+D24+F24</f>
        <v>-14.1925</v>
      </c>
      <c r="F24" s="16" t="n">
        <f aca="false">RANDBETWEEN(-105,115)/10000</f>
        <v>0.0075</v>
      </c>
      <c r="G24" s="16" t="n">
        <f aca="false">+Chạy!G25</f>
        <v>0.48</v>
      </c>
      <c r="H24" s="16" t="n">
        <f aca="false">G24+I24</f>
        <v>0.48</v>
      </c>
      <c r="I24" s="16" t="n">
        <f aca="false">RANDBETWEEN(-30,90)/1000</f>
        <v>0</v>
      </c>
      <c r="J24" s="16" t="n">
        <f aca="false">+Chạy!K25</f>
        <v>0.6</v>
      </c>
      <c r="K24" s="16" t="n">
        <f aca="false">J24+L24</f>
        <v>0.611</v>
      </c>
      <c r="L24" s="16" t="n">
        <f aca="false">RANDBETWEEN(-30,90)/1000</f>
        <v>0.011</v>
      </c>
      <c r="M24" s="16" t="n">
        <f aca="false">+Chạy!N25</f>
        <v>14.2</v>
      </c>
      <c r="N24" s="16" t="n">
        <f aca="false">+M24+O24</f>
        <v>14.2077</v>
      </c>
      <c r="O24" s="16" t="n">
        <f aca="false">RANDBETWEEN(-105,115)/10000</f>
        <v>0.0077</v>
      </c>
      <c r="P24" s="16" t="n">
        <f aca="false">+Chạy!O25</f>
        <v>0.48</v>
      </c>
      <c r="Q24" s="16" t="n">
        <f aca="false">P24+R24</f>
        <v>0.522</v>
      </c>
      <c r="R24" s="16" t="n">
        <f aca="false">RANDBETWEEN(-30,90)/1000</f>
        <v>0.042</v>
      </c>
      <c r="S24" s="17"/>
      <c r="T24" s="1" t="n">
        <v>7.5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474.34</v>
      </c>
      <c r="D25" s="16" t="n">
        <f aca="false">+Chạy!F34</f>
        <v>-14.2</v>
      </c>
      <c r="E25" s="16" t="n">
        <f aca="false">+D25+F25</f>
        <v>-14.1891</v>
      </c>
      <c r="F25" s="16" t="n">
        <f aca="false">RANDBETWEEN(-105,115)/10000</f>
        <v>0.0109</v>
      </c>
      <c r="G25" s="16" t="n">
        <f aca="false">+Chạy!G34</f>
        <v>0.48</v>
      </c>
      <c r="H25" s="16" t="n">
        <f aca="false">G25+I25</f>
        <v>0.522</v>
      </c>
      <c r="I25" s="16" t="n">
        <f aca="false">RANDBETWEEN(-30,90)/1000</f>
        <v>0.042</v>
      </c>
      <c r="J25" s="16" t="n">
        <f aca="false">+Chạy!K34</f>
        <v>0.6</v>
      </c>
      <c r="K25" s="16" t="n">
        <f aca="false">J25+L25</f>
        <v>0.615</v>
      </c>
      <c r="L25" s="16" t="n">
        <f aca="false">RANDBETWEEN(-30,90)/1000</f>
        <v>0.015</v>
      </c>
      <c r="M25" s="16" t="n">
        <f aca="false">+Chạy!N34</f>
        <v>14.2</v>
      </c>
      <c r="N25" s="16" t="n">
        <f aca="false">+M25+O25</f>
        <v>14.199</v>
      </c>
      <c r="O25" s="16" t="n">
        <f aca="false">RANDBETWEEN(-105,115)/10000</f>
        <v>-0.001</v>
      </c>
      <c r="P25" s="16" t="n">
        <f aca="false">+Chạy!O34</f>
        <v>0.48</v>
      </c>
      <c r="Q25" s="16" t="n">
        <f aca="false">P25+R25</f>
        <v>0.489</v>
      </c>
      <c r="R25" s="16" t="n">
        <f aca="false">RANDBETWEEN(-30,90)/1000</f>
        <v>0.009</v>
      </c>
      <c r="S25" s="17"/>
      <c r="T25" s="1" t="n">
        <v>20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494.34</v>
      </c>
      <c r="D26" s="16" t="n">
        <f aca="false">+Chạy!F43</f>
        <v>-14.2</v>
      </c>
      <c r="E26" s="16" t="n">
        <f aca="false">+D26+F26</f>
        <v>-14.2059</v>
      </c>
      <c r="F26" s="16" t="n">
        <f aca="false">RANDBETWEEN(-105,115)/10000</f>
        <v>-0.0059</v>
      </c>
      <c r="G26" s="16" t="n">
        <f aca="false">+Chạy!G43</f>
        <v>0.47</v>
      </c>
      <c r="H26" s="16" t="n">
        <f aca="false">G26+I26</f>
        <v>0.503</v>
      </c>
      <c r="I26" s="16" t="n">
        <f aca="false">RANDBETWEEN(-30,90)/1000</f>
        <v>0.033</v>
      </c>
      <c r="J26" s="16" t="n">
        <f aca="false">+Chạy!K43</f>
        <v>0.59</v>
      </c>
      <c r="K26" s="16" t="n">
        <f aca="false">J26+L26</f>
        <v>0.576</v>
      </c>
      <c r="L26" s="16" t="n">
        <f aca="false">RANDBETWEEN(-30,90)/1000</f>
        <v>-0.014</v>
      </c>
      <c r="M26" s="16" t="n">
        <f aca="false">+Chạy!N43</f>
        <v>14.2</v>
      </c>
      <c r="N26" s="16" t="n">
        <f aca="false">+M26+O26</f>
        <v>14.2066</v>
      </c>
      <c r="O26" s="16" t="n">
        <f aca="false">RANDBETWEEN(-105,115)/10000</f>
        <v>0.0066</v>
      </c>
      <c r="P26" s="16" t="n">
        <f aca="false">+Chạy!O43</f>
        <v>0.47</v>
      </c>
      <c r="Q26" s="16" t="n">
        <f aca="false">P26+R26</f>
        <v>0.507</v>
      </c>
      <c r="R26" s="16" t="n">
        <f aca="false">RANDBETWEEN(-30,90)/1000</f>
        <v>0.037</v>
      </c>
      <c r="S26" s="17"/>
      <c r="T26" s="1" t="n">
        <v>17.14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511.48</v>
      </c>
      <c r="D27" s="16" t="n">
        <f aca="false">+Chạy!F52</f>
        <v>-14.2</v>
      </c>
      <c r="E27" s="16" t="n">
        <f aca="false">+D27+F27</f>
        <v>-14.2034</v>
      </c>
      <c r="F27" s="16" t="n">
        <f aca="false">RANDBETWEEN(-105,115)/10000</f>
        <v>-0.0034</v>
      </c>
      <c r="G27" s="16" t="n">
        <f aca="false">+Chạy!G52</f>
        <v>0.46</v>
      </c>
      <c r="H27" s="16" t="n">
        <f aca="false">G27+I27</f>
        <v>0.514</v>
      </c>
      <c r="I27" s="16" t="n">
        <f aca="false">RANDBETWEEN(-30,90)/1000</f>
        <v>0.054</v>
      </c>
      <c r="J27" s="16" t="n">
        <f aca="false">+Chạy!K52</f>
        <v>0.58</v>
      </c>
      <c r="K27" s="16" t="n">
        <f aca="false">J27+L27</f>
        <v>0.649</v>
      </c>
      <c r="L27" s="16" t="n">
        <f aca="false">RANDBETWEEN(-30,90)/1000</f>
        <v>0.069</v>
      </c>
      <c r="M27" s="16" t="n">
        <f aca="false">+Chạy!N52</f>
        <v>14.2</v>
      </c>
      <c r="N27" s="16" t="n">
        <f aca="false">+M27+O27</f>
        <v>14.2095</v>
      </c>
      <c r="O27" s="16" t="n">
        <f aca="false">RANDBETWEEN(-105,115)/10000</f>
        <v>0.0095</v>
      </c>
      <c r="P27" s="16" t="n">
        <f aca="false">+Chạy!O52</f>
        <v>0.46</v>
      </c>
      <c r="Q27" s="16" t="n">
        <f aca="false">P27+R27</f>
        <v>0.48</v>
      </c>
      <c r="R27" s="16" t="n">
        <f aca="false">RANDBETWEEN(-30,90)/1000</f>
        <v>0.02</v>
      </c>
      <c r="S27" s="17"/>
      <c r="T27" s="1" t="n">
        <v>3.12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514.6</v>
      </c>
      <c r="D28" s="16" t="n">
        <f aca="false">+Chạy!F61</f>
        <v>-14.2</v>
      </c>
      <c r="E28" s="16" t="n">
        <f aca="false">+D28+F28</f>
        <v>-14.2009</v>
      </c>
      <c r="F28" s="16" t="n">
        <f aca="false">RANDBETWEEN(-105,115)/10000</f>
        <v>-0.0009</v>
      </c>
      <c r="G28" s="16" t="n">
        <f aca="false">+Chạy!G61</f>
        <v>0.46</v>
      </c>
      <c r="H28" s="16" t="n">
        <f aca="false">G28+I28</f>
        <v>0.479</v>
      </c>
      <c r="I28" s="16" t="n">
        <f aca="false">RANDBETWEEN(-30,90)/1000</f>
        <v>0.019</v>
      </c>
      <c r="J28" s="16" t="n">
        <f aca="false">+Chạy!K61</f>
        <v>0.58</v>
      </c>
      <c r="K28" s="16" t="n">
        <f aca="false">J28+L28</f>
        <v>0.571</v>
      </c>
      <c r="L28" s="16" t="n">
        <f aca="false">RANDBETWEEN(-30,90)/1000</f>
        <v>-0.009</v>
      </c>
      <c r="M28" s="16" t="n">
        <f aca="false">+Chạy!N61</f>
        <v>8.14</v>
      </c>
      <c r="N28" s="16" t="n">
        <f aca="false">+M28+O28</f>
        <v>8.1377</v>
      </c>
      <c r="O28" s="16" t="n">
        <f aca="false">RANDBETWEEN(-105,115)/10000</f>
        <v>-0.0023</v>
      </c>
      <c r="P28" s="16" t="n">
        <f aca="false">+Chạy!O61</f>
        <v>0.46</v>
      </c>
      <c r="Q28" s="16" t="n">
        <f aca="false">P28+R28</f>
        <v>0.511</v>
      </c>
      <c r="R28" s="16" t="n">
        <f aca="false">RANDBETWEEN(-30,90)/1000</f>
        <v>0.051</v>
      </c>
      <c r="S28" s="17"/>
      <c r="T28" s="1" t="n">
        <v>10.48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525.08</v>
      </c>
      <c r="D29" s="16" t="n">
        <f aca="false">+Chạy!F70</f>
        <v>-11.83</v>
      </c>
      <c r="E29" s="16" t="n">
        <f aca="false">+D29+F29</f>
        <v>-11.8356</v>
      </c>
      <c r="F29" s="16" t="n">
        <f aca="false">RANDBETWEEN(-105,115)/10000</f>
        <v>-0.0056</v>
      </c>
      <c r="G29" s="16" t="n">
        <f aca="false">+Chạy!G70</f>
        <v>0.45</v>
      </c>
      <c r="H29" s="16" t="n">
        <f aca="false">G29+I29</f>
        <v>0.536</v>
      </c>
      <c r="I29" s="16" t="n">
        <f aca="false">RANDBETWEEN(-30,90)/1000</f>
        <v>0.086</v>
      </c>
      <c r="J29" s="16" t="n">
        <f aca="false">+Chạy!K70</f>
        <v>0.57</v>
      </c>
      <c r="K29" s="16" t="n">
        <f aca="false">J29+L29</f>
        <v>0.544</v>
      </c>
      <c r="L29" s="16" t="n">
        <f aca="false">RANDBETWEEN(-30,90)/1000</f>
        <v>-0.026</v>
      </c>
      <c r="M29" s="16" t="n">
        <f aca="false">+Chạy!N70</f>
        <v>14.2</v>
      </c>
      <c r="N29" s="16" t="n">
        <f aca="false">+M29+O29</f>
        <v>14.1936</v>
      </c>
      <c r="O29" s="16" t="n">
        <f aca="false">RANDBETWEEN(-105,115)/10000</f>
        <v>-0.0064</v>
      </c>
      <c r="P29" s="16" t="n">
        <f aca="false">+Chạy!O70</f>
        <v>0.45</v>
      </c>
      <c r="Q29" s="16" t="n">
        <f aca="false">P29+R29</f>
        <v>0.503</v>
      </c>
      <c r="R29" s="16" t="n">
        <f aca="false">RANDBETWEEN(-30,90)/1000</f>
        <v>0.053</v>
      </c>
      <c r="S29" s="17"/>
      <c r="T29" s="1" t="n">
        <v>13.6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538.68</v>
      </c>
      <c r="D30" s="16" t="n">
        <f aca="false">+Chạy!F79</f>
        <v>-8.6</v>
      </c>
      <c r="E30" s="16" t="n">
        <f aca="false">+D30+F30</f>
        <v>-8.5918</v>
      </c>
      <c r="F30" s="16" t="n">
        <f aca="false">RANDBETWEEN(-105,115)/10000</f>
        <v>0.0082</v>
      </c>
      <c r="G30" s="16" t="n">
        <f aca="false">+Chạy!G79</f>
        <v>0.45</v>
      </c>
      <c r="H30" s="16" t="n">
        <f aca="false">G30+I30</f>
        <v>0.539</v>
      </c>
      <c r="I30" s="16" t="n">
        <f aca="false">RANDBETWEEN(-30,90)/1000</f>
        <v>0.089</v>
      </c>
      <c r="J30" s="16" t="n">
        <f aca="false">+Chạy!K79</f>
        <v>0.56</v>
      </c>
      <c r="K30" s="16" t="n">
        <f aca="false">J30+L30</f>
        <v>0.624</v>
      </c>
      <c r="L30" s="16" t="n">
        <f aca="false">RANDBETWEEN(-30,90)/1000</f>
        <v>0.064</v>
      </c>
      <c r="M30" s="16" t="n">
        <f aca="false">+Chạy!N79</f>
        <v>14.2</v>
      </c>
      <c r="N30" s="16" t="n">
        <f aca="false">+M30+O30</f>
        <v>14.2025</v>
      </c>
      <c r="O30" s="16" t="n">
        <f aca="false">RANDBETWEEN(-105,115)/10000</f>
        <v>0.0025</v>
      </c>
      <c r="P30" s="16" t="n">
        <f aca="false">+Chạy!O79</f>
        <v>0.45</v>
      </c>
      <c r="Q30" s="16" t="n">
        <f aca="false">P30+R30</f>
        <v>0.421</v>
      </c>
      <c r="R30" s="16" t="n">
        <f aca="false">RANDBETWEEN(-30,90)/1000</f>
        <v>-0.029</v>
      </c>
      <c r="S30" s="17"/>
      <c r="T30" s="1" t="n">
        <v>15.4</v>
      </c>
      <c r="W30" s="102"/>
      <c r="X30" s="103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554.08</v>
      </c>
      <c r="D31" s="16" t="n">
        <f aca="false">+Chạy!F88</f>
        <v>-7.47</v>
      </c>
      <c r="E31" s="16" t="n">
        <f aca="false">+D31+F31</f>
        <v>-7.4794</v>
      </c>
      <c r="F31" s="16" t="n">
        <f aca="false">RANDBETWEEN(-105,115)/10000</f>
        <v>-0.0094</v>
      </c>
      <c r="G31" s="16" t="n">
        <f aca="false">+Chạy!G88</f>
        <v>0.44</v>
      </c>
      <c r="H31" s="16" t="n">
        <f aca="false">G31+I31</f>
        <v>0.485</v>
      </c>
      <c r="I31" s="16" t="n">
        <f aca="false">RANDBETWEEN(-30,90)/1000</f>
        <v>0.045</v>
      </c>
      <c r="J31" s="16" t="n">
        <f aca="false">+Chạy!K88</f>
        <v>0.56</v>
      </c>
      <c r="K31" s="16" t="n">
        <f aca="false">J31+L31</f>
        <v>0.531</v>
      </c>
      <c r="L31" s="16" t="n">
        <f aca="false">RANDBETWEEN(-30,90)/1000</f>
        <v>-0.029</v>
      </c>
      <c r="M31" s="16" t="n">
        <f aca="false">+Chạy!N88</f>
        <v>14.2</v>
      </c>
      <c r="N31" s="16" t="n">
        <f aca="false">+M31+O31</f>
        <v>14.2049</v>
      </c>
      <c r="O31" s="16" t="n">
        <f aca="false">RANDBETWEEN(-105,115)/10000</f>
        <v>0.0049</v>
      </c>
      <c r="P31" s="16" t="n">
        <f aca="false">+Chạy!O88</f>
        <v>0.44</v>
      </c>
      <c r="Q31" s="16" t="n">
        <f aca="false">P31+R31</f>
        <v>0.516</v>
      </c>
      <c r="R31" s="16" t="n">
        <f aca="false">RANDBETWEEN(-30,90)/1000</f>
        <v>0.076</v>
      </c>
      <c r="S31" s="17"/>
      <c r="W31" s="102"/>
      <c r="X31" s="103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3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52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11.NĐXD4/CVXD ngày 21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11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4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24</v>
      </c>
      <c r="C11" s="51" t="n">
        <f aca="false">'4.KTHH L4'!C22</f>
        <v>441.84</v>
      </c>
      <c r="D11" s="13" t="n">
        <f aca="false">'4.KTHH L4'!T22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8.66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108.25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25</v>
      </c>
      <c r="C12" s="51" t="n">
        <f aca="false">'4.KTHH L4'!C23</f>
        <v>454.34</v>
      </c>
      <c r="D12" s="13" t="n">
        <f aca="false">'4.KTHH L4'!T23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8.66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108.25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26</v>
      </c>
      <c r="C13" s="51" t="n">
        <f aca="false">'4.KTHH L4'!C24</f>
        <v>466.84</v>
      </c>
      <c r="D13" s="13" t="n">
        <f aca="false">'4.KTHH L4'!T24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8.66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64.95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27</v>
      </c>
      <c r="C14" s="51" t="n">
        <f aca="false">'4.KTHH L4'!C25</f>
        <v>474.34</v>
      </c>
      <c r="D14" s="13" t="n">
        <f aca="false">'4.KTHH L4'!T25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8.66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173.2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28</v>
      </c>
      <c r="C15" s="51" t="n">
        <f aca="false">'4.KTHH L4'!C26</f>
        <v>494.34</v>
      </c>
      <c r="D15" s="13" t="n">
        <f aca="false">'4.KTHH L4'!T26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8.66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142.6905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29</v>
      </c>
      <c r="C16" s="51" t="n">
        <f aca="false">'4.KTHH L4'!C27</f>
        <v>511.48</v>
      </c>
      <c r="D16" s="13" t="n">
        <f aca="false">'4.KTHH L4'!T27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7.99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22.9476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30</v>
      </c>
      <c r="C17" s="51" t="n">
        <f aca="false">'4.KTHH L4'!C28</f>
        <v>514.6</v>
      </c>
      <c r="D17" s="13" t="n">
        <f aca="false">'4.KTHH L4'!T28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Chạy!E61</f>
        <v>6.72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76.242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D</v>
      </c>
      <c r="C18" s="51" t="n">
        <f aca="false">'4.KTHH L4'!C29</f>
        <v>525.08</v>
      </c>
      <c r="D18" s="13" t="n">
        <f aca="false">'4.KTHH L4'!T29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Chạy!E70</f>
        <v>7.83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99.892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31</v>
      </c>
      <c r="C19" s="51" t="n">
        <f aca="false">'4.KTHH L4'!C30</f>
        <v>538.68</v>
      </c>
      <c r="D19" s="13" t="n">
        <f aca="false">'4.KTHH L4'!T30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Chạy!E79</f>
        <v>6.86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103.026</v>
      </c>
      <c r="X19" s="55"/>
      <c r="Y19" s="55"/>
      <c r="Z19" s="55"/>
      <c r="AA19" s="55"/>
      <c r="AB19" s="56"/>
      <c r="AC19" s="55"/>
    </row>
    <row r="20" s="84" customFormat="true" ht="15" hidden="false" customHeight="true" outlineLevel="0" collapsed="false">
      <c r="A20" s="13" t="n">
        <v>10</v>
      </c>
      <c r="B20" s="13" t="str">
        <f aca="false">'4.KTHH L4'!B31</f>
        <v>32</v>
      </c>
      <c r="C20" s="51" t="n">
        <f aca="false">'4.KTHH L4'!C31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Chạy!E88</f>
        <v>6.52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5"/>
    </row>
    <row r="21" s="84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5"/>
    </row>
    <row r="22" s="84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899.4481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12.NĐXD4/CVXD ngày 21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12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5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51.75" hidden="false" customHeight="true" outlineLevel="0" collapsed="false">
      <c r="A21" s="109"/>
      <c r="B21" s="109"/>
      <c r="C21" s="109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441.84</v>
      </c>
      <c r="D22" s="16" t="n">
        <f aca="false">+Chạy!F6</f>
        <v>-13.75</v>
      </c>
      <c r="E22" s="16" t="n">
        <f aca="false">+D22+F22</f>
        <v>-13.7388</v>
      </c>
      <c r="F22" s="16" t="n">
        <f aca="false">RANDBETWEEN(-105,115)/10000</f>
        <v>0.0112</v>
      </c>
      <c r="G22" s="16" t="n">
        <f aca="false">+Chạy!G6</f>
        <v>0.8</v>
      </c>
      <c r="H22" s="16" t="n">
        <f aca="false">G22+I22</f>
        <v>0.852</v>
      </c>
      <c r="I22" s="16" t="n">
        <f aca="false">RANDBETWEEN(-30,90)/1000</f>
        <v>0.052</v>
      </c>
      <c r="J22" s="16" t="n">
        <f aca="false">+Chạy!K6</f>
        <v>0.91</v>
      </c>
      <c r="K22" s="16" t="n">
        <f aca="false">J22+L22</f>
        <v>0.983</v>
      </c>
      <c r="L22" s="16" t="n">
        <f aca="false">RANDBETWEEN(-30,90)/1000</f>
        <v>0.073</v>
      </c>
      <c r="M22" s="16" t="n">
        <f aca="false">+Chạy!N6</f>
        <v>13.75</v>
      </c>
      <c r="N22" s="16" t="n">
        <f aca="false">+M22+O22</f>
        <v>13.7548</v>
      </c>
      <c r="O22" s="16" t="n">
        <f aca="false">RANDBETWEEN(-105,115)/10000</f>
        <v>0.0048</v>
      </c>
      <c r="P22" s="16" t="n">
        <f aca="false">+Chạy!O6</f>
        <v>0.8</v>
      </c>
      <c r="Q22" s="16" t="n">
        <f aca="false">P22+R22</f>
        <v>0.863</v>
      </c>
      <c r="R22" s="16" t="n">
        <f aca="false">RANDBETWEEN(-30,90)/1000</f>
        <v>0.063</v>
      </c>
      <c r="S22" s="17"/>
      <c r="T22" s="0" t="n">
        <v>12.5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454.34</v>
      </c>
      <c r="D23" s="16" t="n">
        <f aca="false">+Chạy!F15</f>
        <v>-13.75</v>
      </c>
      <c r="E23" s="16" t="n">
        <f aca="false">+D23+F23</f>
        <v>-13.7515</v>
      </c>
      <c r="F23" s="16" t="n">
        <f aca="false">RANDBETWEEN(-105,115)/10000</f>
        <v>-0.0015</v>
      </c>
      <c r="G23" s="16" t="n">
        <f aca="false">+Chạy!G15</f>
        <v>0.79</v>
      </c>
      <c r="H23" s="16" t="n">
        <f aca="false">G23+I23</f>
        <v>0.819</v>
      </c>
      <c r="I23" s="16" t="n">
        <f aca="false">RANDBETWEEN(-30,90)/1000</f>
        <v>0.029</v>
      </c>
      <c r="J23" s="16" t="n">
        <f aca="false">+Chạy!K15</f>
        <v>0.91</v>
      </c>
      <c r="K23" s="16" t="n">
        <f aca="false">J23+L23</f>
        <v>0.983</v>
      </c>
      <c r="L23" s="16" t="n">
        <f aca="false">RANDBETWEEN(-30,90)/1000</f>
        <v>0.073</v>
      </c>
      <c r="M23" s="16" t="n">
        <f aca="false">+Chạy!N15</f>
        <v>13.75</v>
      </c>
      <c r="N23" s="16" t="n">
        <f aca="false">+M23+O23</f>
        <v>13.7607</v>
      </c>
      <c r="O23" s="16" t="n">
        <f aca="false">RANDBETWEEN(-105,115)/10000</f>
        <v>0.0107</v>
      </c>
      <c r="P23" s="16" t="n">
        <f aca="false">+Chạy!O15</f>
        <v>0.79</v>
      </c>
      <c r="Q23" s="16" t="n">
        <f aca="false">P23+R23</f>
        <v>0.784</v>
      </c>
      <c r="R23" s="16" t="n">
        <f aca="false">RANDBETWEEN(-30,90)/1000</f>
        <v>-0.006</v>
      </c>
      <c r="S23" s="17"/>
      <c r="T23" s="0" t="n">
        <v>12.5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466.84</v>
      </c>
      <c r="D24" s="16" t="n">
        <f aca="false">+Chạy!F24</f>
        <v>-13.75</v>
      </c>
      <c r="E24" s="16" t="n">
        <f aca="false">+D24+F24</f>
        <v>-13.7498</v>
      </c>
      <c r="F24" s="16" t="n">
        <f aca="false">RANDBETWEEN(-105,115)/10000</f>
        <v>0.0002</v>
      </c>
      <c r="G24" s="16" t="n">
        <f aca="false">+Chạy!G24</f>
        <v>0.78</v>
      </c>
      <c r="H24" s="16" t="n">
        <f aca="false">G24+I24</f>
        <v>0.821</v>
      </c>
      <c r="I24" s="16" t="n">
        <f aca="false">RANDBETWEEN(-30,90)/1000</f>
        <v>0.041</v>
      </c>
      <c r="J24" s="16" t="n">
        <f aca="false">+Chạy!K24</f>
        <v>0.9</v>
      </c>
      <c r="K24" s="16" t="n">
        <f aca="false">J24+L24</f>
        <v>0.965</v>
      </c>
      <c r="L24" s="16" t="n">
        <f aca="false">RANDBETWEEN(-30,90)/1000</f>
        <v>0.065</v>
      </c>
      <c r="M24" s="16" t="n">
        <f aca="false">+Chạy!N24</f>
        <v>13.75</v>
      </c>
      <c r="N24" s="16" t="n">
        <f aca="false">+M24+O24</f>
        <v>13.745</v>
      </c>
      <c r="O24" s="16" t="n">
        <f aca="false">RANDBETWEEN(-105,115)/10000</f>
        <v>-0.005</v>
      </c>
      <c r="P24" s="16" t="n">
        <f aca="false">+Chạy!O24</f>
        <v>0.78</v>
      </c>
      <c r="Q24" s="16" t="n">
        <f aca="false">P24+R24</f>
        <v>0.754</v>
      </c>
      <c r="R24" s="16" t="n">
        <f aca="false">RANDBETWEEN(-30,90)/1000</f>
        <v>-0.026</v>
      </c>
      <c r="S24" s="17"/>
      <c r="T24" s="0" t="n">
        <v>7.5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474.34</v>
      </c>
      <c r="D25" s="16" t="n">
        <f aca="false">+Chạy!F33</f>
        <v>-13.75</v>
      </c>
      <c r="E25" s="16" t="n">
        <f aca="false">+D25+F25</f>
        <v>-13.7457</v>
      </c>
      <c r="F25" s="16" t="n">
        <f aca="false">RANDBETWEEN(-105,115)/10000</f>
        <v>0.0043</v>
      </c>
      <c r="G25" s="16" t="n">
        <f aca="false">+Chạy!G33</f>
        <v>0.78</v>
      </c>
      <c r="H25" s="16" t="n">
        <f aca="false">G25+I25</f>
        <v>0.814</v>
      </c>
      <c r="I25" s="16" t="n">
        <f aca="false">RANDBETWEEN(-30,90)/1000</f>
        <v>0.034</v>
      </c>
      <c r="J25" s="16" t="n">
        <f aca="false">+Chạy!K33</f>
        <v>0.9</v>
      </c>
      <c r="K25" s="16" t="n">
        <f aca="false">J25+L25</f>
        <v>0.89</v>
      </c>
      <c r="L25" s="16" t="n">
        <f aca="false">RANDBETWEEN(-30,90)/1000</f>
        <v>-0.01</v>
      </c>
      <c r="M25" s="16" t="n">
        <f aca="false">+Chạy!N33</f>
        <v>13.75</v>
      </c>
      <c r="N25" s="16" t="n">
        <f aca="false">+M25+O25</f>
        <v>13.7396</v>
      </c>
      <c r="O25" s="16" t="n">
        <f aca="false">RANDBETWEEN(-105,115)/10000</f>
        <v>-0.0104</v>
      </c>
      <c r="P25" s="16" t="n">
        <f aca="false">+Chạy!O33</f>
        <v>0.78</v>
      </c>
      <c r="Q25" s="16" t="n">
        <f aca="false">P25+R25</f>
        <v>0.769</v>
      </c>
      <c r="R25" s="16" t="n">
        <f aca="false">RANDBETWEEN(-30,90)/1000</f>
        <v>-0.011</v>
      </c>
      <c r="S25" s="17"/>
      <c r="T25" s="0" t="n">
        <v>20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494.34</v>
      </c>
      <c r="D26" s="16" t="n">
        <f aca="false">+Chạy!F42</f>
        <v>-13.75</v>
      </c>
      <c r="E26" s="16" t="n">
        <f aca="false">+D26+F26</f>
        <v>-13.7509</v>
      </c>
      <c r="F26" s="16" t="n">
        <f aca="false">RANDBETWEEN(-105,115)/10000</f>
        <v>-0.0009</v>
      </c>
      <c r="G26" s="16" t="n">
        <f aca="false">+Chạy!G42</f>
        <v>0.77</v>
      </c>
      <c r="H26" s="16" t="n">
        <f aca="false">G26+I26</f>
        <v>0.847</v>
      </c>
      <c r="I26" s="16" t="n">
        <f aca="false">RANDBETWEEN(-30,90)/1000</f>
        <v>0.077</v>
      </c>
      <c r="J26" s="16" t="n">
        <f aca="false">+Chạy!K42</f>
        <v>0.89</v>
      </c>
      <c r="K26" s="16" t="n">
        <f aca="false">J26+L26</f>
        <v>0.951</v>
      </c>
      <c r="L26" s="16" t="n">
        <f aca="false">RANDBETWEEN(-30,90)/1000</f>
        <v>0.061</v>
      </c>
      <c r="M26" s="16" t="n">
        <f aca="false">+Chạy!N42</f>
        <v>13.75</v>
      </c>
      <c r="N26" s="16" t="n">
        <f aca="false">+M26+O26</f>
        <v>13.7488</v>
      </c>
      <c r="O26" s="16" t="n">
        <f aca="false">RANDBETWEEN(-105,115)/10000</f>
        <v>-0.0012</v>
      </c>
      <c r="P26" s="16" t="n">
        <f aca="false">+Chạy!O42</f>
        <v>0.77</v>
      </c>
      <c r="Q26" s="16" t="n">
        <f aca="false">P26+R26</f>
        <v>0.839</v>
      </c>
      <c r="R26" s="16" t="n">
        <f aca="false">RANDBETWEEN(-30,90)/1000</f>
        <v>0.069</v>
      </c>
      <c r="S26" s="17"/>
      <c r="T26" s="0" t="n">
        <v>17.14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511.48</v>
      </c>
      <c r="D27" s="16" t="n">
        <f aca="false">+Chạy!F51</f>
        <v>-13.75</v>
      </c>
      <c r="E27" s="16" t="n">
        <f aca="false">+D27+F27</f>
        <v>-13.7535</v>
      </c>
      <c r="F27" s="16" t="n">
        <f aca="false">RANDBETWEEN(-105,115)/10000</f>
        <v>-0.0035</v>
      </c>
      <c r="G27" s="16" t="n">
        <f aca="false">+Chạy!G51</f>
        <v>0.76</v>
      </c>
      <c r="H27" s="16" t="n">
        <f aca="false">G27+I27</f>
        <v>0.776</v>
      </c>
      <c r="I27" s="16" t="n">
        <f aca="false">RANDBETWEEN(-30,90)/1000</f>
        <v>0.016</v>
      </c>
      <c r="J27" s="16" t="n">
        <f aca="false">+Chạy!K51</f>
        <v>0.88</v>
      </c>
      <c r="K27" s="16" t="n">
        <f aca="false">J27+L27</f>
        <v>0.924</v>
      </c>
      <c r="L27" s="16" t="n">
        <f aca="false">RANDBETWEEN(-30,90)/1000</f>
        <v>0.044</v>
      </c>
      <c r="M27" s="16" t="n">
        <f aca="false">+Chạy!N51</f>
        <v>13.75</v>
      </c>
      <c r="N27" s="16" t="n">
        <f aca="false">+M27+O27</f>
        <v>13.7589</v>
      </c>
      <c r="O27" s="16" t="n">
        <f aca="false">RANDBETWEEN(-105,115)/10000</f>
        <v>0.0089</v>
      </c>
      <c r="P27" s="16" t="n">
        <f aca="false">+Chạy!O51</f>
        <v>0.76</v>
      </c>
      <c r="Q27" s="16" t="n">
        <f aca="false">P27+R27</f>
        <v>0.842</v>
      </c>
      <c r="R27" s="16" t="n">
        <f aca="false">RANDBETWEEN(-30,90)/1000</f>
        <v>0.082</v>
      </c>
      <c r="S27" s="17"/>
      <c r="T27" s="0" t="n">
        <v>3.12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514.6</v>
      </c>
      <c r="D28" s="16" t="n">
        <f aca="false">+Chạy!F60</f>
        <v>-13.75</v>
      </c>
      <c r="E28" s="16" t="n">
        <f aca="false">+D28+F28</f>
        <v>-13.7593</v>
      </c>
      <c r="F28" s="16" t="n">
        <f aca="false">RANDBETWEEN(-105,115)/10000</f>
        <v>-0.0093</v>
      </c>
      <c r="G28" s="16" t="n">
        <f aca="false">+Chạy!G60</f>
        <v>0.76</v>
      </c>
      <c r="H28" s="16" t="n">
        <f aca="false">G28+I28</f>
        <v>0.773</v>
      </c>
      <c r="I28" s="16" t="n">
        <f aca="false">RANDBETWEEN(-30,90)/1000</f>
        <v>0.013</v>
      </c>
      <c r="J28" s="16" t="n">
        <f aca="false">+Chạy!K60</f>
        <v>0.88</v>
      </c>
      <c r="K28" s="16" t="n">
        <f aca="false">J28+L28</f>
        <v>0.97</v>
      </c>
      <c r="L28" s="16" t="n">
        <f aca="false">RANDBETWEEN(-30,90)/1000</f>
        <v>0.09</v>
      </c>
      <c r="M28" s="16" t="n">
        <f aca="false">+Chạy!N60</f>
        <v>8.44</v>
      </c>
      <c r="N28" s="16" t="n">
        <f aca="false">+M28+O28</f>
        <v>8.4463</v>
      </c>
      <c r="O28" s="16" t="n">
        <f aca="false">RANDBETWEEN(-105,115)/10000</f>
        <v>0.0063</v>
      </c>
      <c r="P28" s="16" t="n">
        <f aca="false">+Chạy!O60</f>
        <v>0.76</v>
      </c>
      <c r="Q28" s="16" t="n">
        <f aca="false">P28+R28</f>
        <v>0.768</v>
      </c>
      <c r="R28" s="16" t="n">
        <f aca="false">RANDBETWEEN(-30,90)/1000</f>
        <v>0.008</v>
      </c>
      <c r="S28" s="17"/>
      <c r="T28" s="0" t="n">
        <v>10.48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525.08</v>
      </c>
      <c r="D29" s="16" t="n">
        <f aca="false">+Chạy!F69</f>
        <v>-12.13</v>
      </c>
      <c r="E29" s="16" t="n">
        <f aca="false">+D29+F29</f>
        <v>-12.1405</v>
      </c>
      <c r="F29" s="16" t="n">
        <f aca="false">RANDBETWEEN(-105,115)/10000</f>
        <v>-0.0105</v>
      </c>
      <c r="G29" s="16" t="n">
        <f aca="false">+Chạy!G69</f>
        <v>0.75</v>
      </c>
      <c r="H29" s="16" t="n">
        <f aca="false">G29+I29</f>
        <v>0.826</v>
      </c>
      <c r="I29" s="16" t="n">
        <f aca="false">RANDBETWEEN(-30,90)/1000</f>
        <v>0.076</v>
      </c>
      <c r="J29" s="16" t="n">
        <f aca="false">+Chạy!K69</f>
        <v>0.87</v>
      </c>
      <c r="K29" s="16" t="n">
        <f aca="false">J29+L29</f>
        <v>0.847</v>
      </c>
      <c r="L29" s="16" t="n">
        <f aca="false">RANDBETWEEN(-30,90)/1000</f>
        <v>-0.023</v>
      </c>
      <c r="M29" s="16" t="n">
        <f aca="false">+Chạy!N69</f>
        <v>13.75</v>
      </c>
      <c r="N29" s="16" t="n">
        <f aca="false">+M29+O29</f>
        <v>13.7535</v>
      </c>
      <c r="O29" s="16" t="n">
        <f aca="false">RANDBETWEEN(-105,115)/10000</f>
        <v>0.0035</v>
      </c>
      <c r="P29" s="16" t="n">
        <f aca="false">+Chạy!O69</f>
        <v>0.75</v>
      </c>
      <c r="Q29" s="16" t="n">
        <f aca="false">P29+R29</f>
        <v>0.817</v>
      </c>
      <c r="R29" s="16" t="n">
        <f aca="false">RANDBETWEEN(-30,90)/1000</f>
        <v>0.067</v>
      </c>
      <c r="S29" s="17"/>
      <c r="T29" s="0" t="n">
        <v>13.6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25</v>
      </c>
      <c r="C30" s="15" t="n">
        <f aca="false">+C29+T29</f>
        <v>538.68</v>
      </c>
      <c r="D30" s="16" t="n">
        <f aca="false">+Chạy!F78</f>
        <v>-8.9</v>
      </c>
      <c r="E30" s="16" t="n">
        <f aca="false">+D30+F30</f>
        <v>-8.8964</v>
      </c>
      <c r="F30" s="16" t="n">
        <f aca="false">RANDBETWEEN(-105,115)/10000</f>
        <v>0.0036</v>
      </c>
      <c r="G30" s="16" t="n">
        <f aca="false">+Chạy!G78</f>
        <v>0.75</v>
      </c>
      <c r="H30" s="16" t="n">
        <f aca="false">G30+I30</f>
        <v>0.812</v>
      </c>
      <c r="I30" s="16" t="n">
        <f aca="false">RANDBETWEEN(-30,90)/1000</f>
        <v>0.062</v>
      </c>
      <c r="J30" s="16" t="n">
        <f aca="false">+Chạy!K78</f>
        <v>0.86</v>
      </c>
      <c r="K30" s="16" t="n">
        <f aca="false">J30+L30</f>
        <v>0.896</v>
      </c>
      <c r="L30" s="16" t="n">
        <f aca="false">RANDBETWEEN(-30,90)/1000</f>
        <v>0.036</v>
      </c>
      <c r="M30" s="16" t="n">
        <f aca="false">+Chạy!N78</f>
        <v>13.75</v>
      </c>
      <c r="N30" s="16" t="n">
        <f aca="false">+M30+O30</f>
        <v>13.7584</v>
      </c>
      <c r="O30" s="16" t="n">
        <f aca="false">RANDBETWEEN(-105,115)/10000</f>
        <v>0.0084</v>
      </c>
      <c r="P30" s="16" t="n">
        <f aca="false">+Chạy!O78</f>
        <v>0.75</v>
      </c>
      <c r="Q30" s="16" t="n">
        <f aca="false">P30+R30</f>
        <v>0.761</v>
      </c>
      <c r="R30" s="16" t="n">
        <f aca="false">RANDBETWEEN(-30,90)/1000</f>
        <v>0.011</v>
      </c>
      <c r="S30" s="17"/>
      <c r="T30" s="0" t="n">
        <v>15.4</v>
      </c>
      <c r="W30" s="102"/>
      <c r="X30" s="102"/>
    </row>
    <row r="31" customFormat="false" ht="16.5" hidden="false" customHeight="true" outlineLevel="0" collapsed="false">
      <c r="A31" s="110" t="n">
        <v>10</v>
      </c>
      <c r="B31" s="13" t="s">
        <v>26</v>
      </c>
      <c r="C31" s="15" t="n">
        <f aca="false">+C30+T30</f>
        <v>554.08</v>
      </c>
      <c r="D31" s="16" t="n">
        <f aca="false">+Chạy!F87</f>
        <v>-7.77</v>
      </c>
      <c r="E31" s="16" t="n">
        <f aca="false">+D31+F31</f>
        <v>-7.7705</v>
      </c>
      <c r="F31" s="16" t="n">
        <f aca="false">RANDBETWEEN(-105,115)/10000</f>
        <v>-0.0005</v>
      </c>
      <c r="G31" s="16" t="n">
        <f aca="false">+Chạy!G87</f>
        <v>0.74</v>
      </c>
      <c r="H31" s="16" t="n">
        <f aca="false">G31+I31</f>
        <v>0.802</v>
      </c>
      <c r="I31" s="16" t="n">
        <f aca="false">RANDBETWEEN(-30,90)/1000</f>
        <v>0.062</v>
      </c>
      <c r="J31" s="16" t="n">
        <f aca="false">+Chạy!K87</f>
        <v>0.86</v>
      </c>
      <c r="K31" s="16" t="n">
        <f aca="false">J31+L31</f>
        <v>0.855</v>
      </c>
      <c r="L31" s="16" t="n">
        <f aca="false">RANDBETWEEN(-30,90)/1000</f>
        <v>-0.005</v>
      </c>
      <c r="M31" s="16" t="n">
        <f aca="false">+Chạy!N87</f>
        <v>13.75</v>
      </c>
      <c r="N31" s="16" t="n">
        <f aca="false">+M31+O31</f>
        <v>13.755</v>
      </c>
      <c r="O31" s="16" t="n">
        <f aca="false">RANDBETWEEN(-105,115)/10000</f>
        <v>0.005</v>
      </c>
      <c r="P31" s="16" t="n">
        <f aca="false">+Chạy!O87</f>
        <v>0.74</v>
      </c>
      <c r="Q31" s="16" t="n">
        <f aca="false">P31+R31</f>
        <v>0.755</v>
      </c>
      <c r="R31" s="16" t="n">
        <f aca="false">RANDBETWEEN(-30,90)/1000</f>
        <v>0.015</v>
      </c>
      <c r="S31" s="17"/>
      <c r="W31" s="102"/>
      <c r="X31" s="102"/>
    </row>
    <row r="32" customFormat="false" ht="16.5" hidden="true" customHeight="true" outlineLevel="0" collapsed="false">
      <c r="A32" s="110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6.5" hidden="true" customHeight="true" outlineLevel="0" collapsed="false">
      <c r="A33" s="110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52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12.NĐXD4/CVXD ngày 21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12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5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24</v>
      </c>
      <c r="C11" s="51" t="n">
        <f aca="false">'5.KTHH L5'!C22</f>
        <v>441.84</v>
      </c>
      <c r="D11" s="13" t="n">
        <f aca="false">'5.KTHH L5'!T22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8.39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104.875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25</v>
      </c>
      <c r="C12" s="51" t="n">
        <f aca="false">'5.KTHH L5'!C23</f>
        <v>454.34</v>
      </c>
      <c r="D12" s="13" t="n">
        <f aca="false">'5.KTHH L5'!T23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8.39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104.875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26</v>
      </c>
      <c r="C13" s="51" t="n">
        <f aca="false">'5.KTHH L5'!C24</f>
        <v>466.84</v>
      </c>
      <c r="D13" s="13" t="n">
        <f aca="false">'5.KTHH L5'!T24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8.39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62.925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27</v>
      </c>
      <c r="C14" s="51" t="n">
        <f aca="false">'5.KTHH L5'!C25</f>
        <v>474.34</v>
      </c>
      <c r="D14" s="13" t="n">
        <f aca="false">'5.KTHH L5'!T25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8.39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167.8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28</v>
      </c>
      <c r="C15" s="51" t="n">
        <f aca="false">'5.KTHH L5'!C26</f>
        <v>494.34</v>
      </c>
      <c r="D15" s="13" t="n">
        <f aca="false">'5.KTHH L5'!T26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8.39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143.8046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29</v>
      </c>
      <c r="C16" s="51" t="n">
        <f aca="false">'5.KTHH L5'!C27</f>
        <v>511.48</v>
      </c>
      <c r="D16" s="13" t="n">
        <f aca="false">'5.KTHH L5'!T27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8.39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23.5092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30</v>
      </c>
      <c r="C17" s="51" t="n">
        <f aca="false">'5.KTHH L5'!C28</f>
        <v>514.6</v>
      </c>
      <c r="D17" s="13" t="n">
        <f aca="false">'5.KTHH L5'!T28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Chạy!E60</f>
        <v>6.68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75.8228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D</v>
      </c>
      <c r="C18" s="51" t="n">
        <f aca="false">'5.KTHH L5'!C29</f>
        <v>525.08</v>
      </c>
      <c r="D18" s="13" t="n">
        <f aca="false">'5.KTHH L5'!T29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Chạy!E69</f>
        <v>7.79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99.348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31</v>
      </c>
      <c r="C19" s="51" t="n">
        <f aca="false">'5.KTHH L5'!C30</f>
        <v>538.68</v>
      </c>
      <c r="D19" s="13" t="n">
        <f aca="false">'5.KTHH L5'!T30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Chạy!E78</f>
        <v>6.82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102.41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'5.KTHH L5'!B31</f>
        <v>32</v>
      </c>
      <c r="C20" s="51" t="n">
        <f aca="false">'5.KTHH L5'!C31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Chạy!E87</f>
        <v>6.48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885.3696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13.NĐXD4/CVXD ngày 22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13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6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30" hidden="false" customHeight="true" outlineLevel="0" collapsed="false">
      <c r="A21" s="9"/>
      <c r="B21" s="9"/>
      <c r="C21" s="9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441.84</v>
      </c>
      <c r="D22" s="16" t="n">
        <f aca="false">+Chạy!F5</f>
        <v>-13.3</v>
      </c>
      <c r="E22" s="16" t="n">
        <f aca="false">+D22+F22</f>
        <v>-13.3076</v>
      </c>
      <c r="F22" s="16" t="n">
        <f aca="false">RANDBETWEEN(-105,115)/10000</f>
        <v>-0.0076</v>
      </c>
      <c r="G22" s="16" t="n">
        <f aca="false">+Chạy!G5</f>
        <v>1.1</v>
      </c>
      <c r="H22" s="16" t="n">
        <f aca="false">G22+I22</f>
        <v>1.176</v>
      </c>
      <c r="I22" s="16" t="n">
        <f aca="false">RANDBETWEEN(-30,90)/1000</f>
        <v>0.076</v>
      </c>
      <c r="J22" s="16" t="n">
        <f aca="false">+Chạy!K5</f>
        <v>1.21</v>
      </c>
      <c r="K22" s="16" t="n">
        <f aca="false">J22+L22</f>
        <v>1.257</v>
      </c>
      <c r="L22" s="16" t="n">
        <f aca="false">RANDBETWEEN(-30,90)/1000</f>
        <v>0.047</v>
      </c>
      <c r="M22" s="16" t="n">
        <f aca="false">+Chạy!N5</f>
        <v>13.3</v>
      </c>
      <c r="N22" s="16" t="n">
        <f aca="false">+M22+O22</f>
        <v>13.2921</v>
      </c>
      <c r="O22" s="16" t="n">
        <f aca="false">RANDBETWEEN(-105,115)/10000</f>
        <v>-0.0079</v>
      </c>
      <c r="P22" s="16" t="n">
        <f aca="false">+Chạy!O5</f>
        <v>1.1</v>
      </c>
      <c r="Q22" s="16" t="n">
        <f aca="false">P22+R22</f>
        <v>1.092</v>
      </c>
      <c r="R22" s="16" t="n">
        <f aca="false">RANDBETWEEN(-30,90)/1000</f>
        <v>-0.008</v>
      </c>
      <c r="S22" s="17"/>
      <c r="T22" s="0" t="n">
        <v>12.5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454.34</v>
      </c>
      <c r="D23" s="16" t="n">
        <f aca="false">+Chạy!F14</f>
        <v>-13.3</v>
      </c>
      <c r="E23" s="16" t="n">
        <f aca="false">+D23+F23</f>
        <v>-13.2936</v>
      </c>
      <c r="F23" s="16" t="n">
        <f aca="false">RANDBETWEEN(-105,115)/10000</f>
        <v>0.0064</v>
      </c>
      <c r="G23" s="16" t="n">
        <f aca="false">+Chạy!G14</f>
        <v>1.09</v>
      </c>
      <c r="H23" s="16" t="n">
        <f aca="false">G23+I23</f>
        <v>1.175</v>
      </c>
      <c r="I23" s="16" t="n">
        <f aca="false">RANDBETWEEN(-30,90)/1000</f>
        <v>0.085</v>
      </c>
      <c r="J23" s="16" t="n">
        <f aca="false">+Chạy!K14</f>
        <v>1.21</v>
      </c>
      <c r="K23" s="16" t="n">
        <f aca="false">J23+L23</f>
        <v>1.214</v>
      </c>
      <c r="L23" s="16" t="n">
        <f aca="false">RANDBETWEEN(-30,90)/1000</f>
        <v>0.004</v>
      </c>
      <c r="M23" s="16" t="n">
        <f aca="false">+Chạy!N14</f>
        <v>13.3</v>
      </c>
      <c r="N23" s="16" t="n">
        <f aca="false">+M23+O23</f>
        <v>13.2911</v>
      </c>
      <c r="O23" s="16" t="n">
        <f aca="false">RANDBETWEEN(-105,115)/10000</f>
        <v>-0.0089</v>
      </c>
      <c r="P23" s="16" t="n">
        <f aca="false">+Chạy!O14</f>
        <v>1.09</v>
      </c>
      <c r="Q23" s="16" t="n">
        <f aca="false">P23+R23</f>
        <v>1.146</v>
      </c>
      <c r="R23" s="16" t="n">
        <f aca="false">RANDBETWEEN(-30,90)/1000</f>
        <v>0.056</v>
      </c>
      <c r="S23" s="17"/>
      <c r="T23" s="0" t="n">
        <v>12.5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466.84</v>
      </c>
      <c r="D24" s="16" t="n">
        <f aca="false">+Chạy!F23</f>
        <v>-13.3</v>
      </c>
      <c r="E24" s="16" t="n">
        <f aca="false">+D24+F24</f>
        <v>-13.289</v>
      </c>
      <c r="F24" s="16" t="n">
        <f aca="false">RANDBETWEEN(-105,115)/10000</f>
        <v>0.011</v>
      </c>
      <c r="G24" s="16" t="n">
        <f aca="false">+Chạy!G23</f>
        <v>1.08</v>
      </c>
      <c r="H24" s="16" t="n">
        <f aca="false">G24+I24</f>
        <v>1.149</v>
      </c>
      <c r="I24" s="16" t="n">
        <f aca="false">RANDBETWEEN(-30,90)/1000</f>
        <v>0.069</v>
      </c>
      <c r="J24" s="16" t="n">
        <f aca="false">+Chạy!K23</f>
        <v>1.2</v>
      </c>
      <c r="K24" s="16" t="n">
        <f aca="false">J24+L24</f>
        <v>1.181</v>
      </c>
      <c r="L24" s="16" t="n">
        <f aca="false">RANDBETWEEN(-30,90)/1000</f>
        <v>-0.019</v>
      </c>
      <c r="M24" s="16" t="n">
        <f aca="false">+Chạy!N23</f>
        <v>13.3</v>
      </c>
      <c r="N24" s="16" t="n">
        <f aca="false">+M24+O24</f>
        <v>13.2995</v>
      </c>
      <c r="O24" s="16" t="n">
        <f aca="false">RANDBETWEEN(-105,115)/10000</f>
        <v>-0.0005</v>
      </c>
      <c r="P24" s="16" t="n">
        <f aca="false">+Chạy!O23</f>
        <v>1.08</v>
      </c>
      <c r="Q24" s="16" t="n">
        <f aca="false">P24+R24</f>
        <v>1.147</v>
      </c>
      <c r="R24" s="16" t="n">
        <f aca="false">RANDBETWEEN(-30,90)/1000</f>
        <v>0.067</v>
      </c>
      <c r="S24" s="17"/>
      <c r="T24" s="0" t="n">
        <v>7.5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474.34</v>
      </c>
      <c r="D25" s="16" t="n">
        <f aca="false">+Chạy!F32</f>
        <v>-13.3</v>
      </c>
      <c r="E25" s="16" t="n">
        <f aca="false">+D25+F25</f>
        <v>-13.2904</v>
      </c>
      <c r="F25" s="16" t="n">
        <f aca="false">RANDBETWEEN(-105,115)/10000</f>
        <v>0.0096</v>
      </c>
      <c r="G25" s="16" t="n">
        <f aca="false">+Chạy!G32</f>
        <v>1.08</v>
      </c>
      <c r="H25" s="16" t="n">
        <f aca="false">G25+I25</f>
        <v>1.092</v>
      </c>
      <c r="I25" s="16" t="n">
        <f aca="false">RANDBETWEEN(-30,90)/1000</f>
        <v>0.012</v>
      </c>
      <c r="J25" s="16" t="n">
        <f aca="false">+Chạy!K32</f>
        <v>1.2</v>
      </c>
      <c r="K25" s="16" t="n">
        <f aca="false">J25+L25</f>
        <v>1.251</v>
      </c>
      <c r="L25" s="16" t="n">
        <f aca="false">RANDBETWEEN(-30,90)/1000</f>
        <v>0.051</v>
      </c>
      <c r="M25" s="16" t="n">
        <f aca="false">+Chạy!N32</f>
        <v>13.3</v>
      </c>
      <c r="N25" s="16" t="n">
        <f aca="false">+M25+O25</f>
        <v>13.297</v>
      </c>
      <c r="O25" s="16" t="n">
        <f aca="false">RANDBETWEEN(-105,115)/10000</f>
        <v>-0.003</v>
      </c>
      <c r="P25" s="16" t="n">
        <f aca="false">+Chạy!O32</f>
        <v>1.08</v>
      </c>
      <c r="Q25" s="16" t="n">
        <f aca="false">P25+R25</f>
        <v>1.143</v>
      </c>
      <c r="R25" s="16" t="n">
        <f aca="false">RANDBETWEEN(-30,90)/1000</f>
        <v>0.063</v>
      </c>
      <c r="S25" s="17"/>
      <c r="T25" s="0" t="n">
        <v>20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494.34</v>
      </c>
      <c r="D26" s="16" t="n">
        <f aca="false">+Chạy!F41</f>
        <v>-13.3</v>
      </c>
      <c r="E26" s="16" t="n">
        <f aca="false">+D26+F26</f>
        <v>-13.3066</v>
      </c>
      <c r="F26" s="16" t="n">
        <f aca="false">RANDBETWEEN(-105,115)/10000</f>
        <v>-0.0066</v>
      </c>
      <c r="G26" s="16" t="n">
        <f aca="false">+Chạy!G41</f>
        <v>1.07</v>
      </c>
      <c r="H26" s="16" t="n">
        <f aca="false">G26+I26</f>
        <v>1.069</v>
      </c>
      <c r="I26" s="16" t="n">
        <f aca="false">RANDBETWEEN(-30,90)/1000</f>
        <v>-0.001</v>
      </c>
      <c r="J26" s="16" t="n">
        <f aca="false">+Chạy!K41</f>
        <v>1.19</v>
      </c>
      <c r="K26" s="16" t="n">
        <f aca="false">J26+L26</f>
        <v>1.219</v>
      </c>
      <c r="L26" s="16" t="n">
        <f aca="false">RANDBETWEEN(-30,90)/1000</f>
        <v>0.029</v>
      </c>
      <c r="M26" s="16" t="n">
        <f aca="false">+Chạy!N41</f>
        <v>13.3</v>
      </c>
      <c r="N26" s="16" t="n">
        <f aca="false">+M26+O26</f>
        <v>13.3034</v>
      </c>
      <c r="O26" s="16" t="n">
        <f aca="false">RANDBETWEEN(-105,115)/10000</f>
        <v>0.0034</v>
      </c>
      <c r="P26" s="16" t="n">
        <f aca="false">+Chạy!O41</f>
        <v>1.07</v>
      </c>
      <c r="Q26" s="16" t="n">
        <f aca="false">P26+R26</f>
        <v>1.116</v>
      </c>
      <c r="R26" s="16" t="n">
        <f aca="false">RANDBETWEEN(-30,90)/1000</f>
        <v>0.046</v>
      </c>
      <c r="S26" s="17"/>
      <c r="T26" s="0" t="n">
        <v>17.14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511.48</v>
      </c>
      <c r="D27" s="16" t="n">
        <f aca="false">+Chạy!F50</f>
        <v>-13.3</v>
      </c>
      <c r="E27" s="16" t="n">
        <f aca="false">+D27+F27</f>
        <v>-13.2909</v>
      </c>
      <c r="F27" s="16" t="n">
        <f aca="false">RANDBETWEEN(-105,115)/10000</f>
        <v>0.0091</v>
      </c>
      <c r="G27" s="16" t="n">
        <f aca="false">+Chạy!G50</f>
        <v>1.06</v>
      </c>
      <c r="H27" s="16" t="n">
        <f aca="false">G27+I27</f>
        <v>1.134</v>
      </c>
      <c r="I27" s="16" t="n">
        <f aca="false">RANDBETWEEN(-30,90)/1000</f>
        <v>0.074</v>
      </c>
      <c r="J27" s="16" t="n">
        <f aca="false">+Chạy!K50</f>
        <v>1.18</v>
      </c>
      <c r="K27" s="16" t="n">
        <f aca="false">J27+L27</f>
        <v>1.172</v>
      </c>
      <c r="L27" s="16" t="n">
        <f aca="false">RANDBETWEEN(-30,90)/1000</f>
        <v>-0.008</v>
      </c>
      <c r="M27" s="16" t="n">
        <f aca="false">+Chạy!N50</f>
        <v>13.3</v>
      </c>
      <c r="N27" s="16" t="n">
        <f aca="false">+M27+O27</f>
        <v>13.3026</v>
      </c>
      <c r="O27" s="16" t="n">
        <f aca="false">RANDBETWEEN(-105,115)/10000</f>
        <v>0.0026</v>
      </c>
      <c r="P27" s="16" t="n">
        <f aca="false">+Chạy!O50</f>
        <v>1.06</v>
      </c>
      <c r="Q27" s="16" t="n">
        <f aca="false">P27+R27</f>
        <v>1.072</v>
      </c>
      <c r="R27" s="16" t="n">
        <f aca="false">RANDBETWEEN(-30,90)/1000</f>
        <v>0.012</v>
      </c>
      <c r="S27" s="17"/>
      <c r="T27" s="0" t="n">
        <v>3.12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514.6</v>
      </c>
      <c r="D28" s="16" t="n">
        <f aca="false">+Chạy!F59</f>
        <v>-13.3</v>
      </c>
      <c r="E28" s="16" t="n">
        <f aca="false">+D28+F28</f>
        <v>-13.3039</v>
      </c>
      <c r="F28" s="16" t="n">
        <f aca="false">RANDBETWEEN(-105,115)/10000</f>
        <v>-0.0039</v>
      </c>
      <c r="G28" s="16" t="n">
        <f aca="false">+Chạy!G59</f>
        <v>1.06</v>
      </c>
      <c r="H28" s="16" t="n">
        <f aca="false">G28+I28</f>
        <v>1.079</v>
      </c>
      <c r="I28" s="16" t="n">
        <f aca="false">RANDBETWEEN(-30,90)/1000</f>
        <v>0.019</v>
      </c>
      <c r="J28" s="16" t="n">
        <f aca="false">+Chạy!K59</f>
        <v>1.18</v>
      </c>
      <c r="K28" s="16" t="n">
        <f aca="false">J28+L28</f>
        <v>1.245</v>
      </c>
      <c r="L28" s="16" t="n">
        <f aca="false">RANDBETWEEN(-30,90)/1000</f>
        <v>0.065</v>
      </c>
      <c r="M28" s="16" t="n">
        <f aca="false">+Chạy!N59</f>
        <v>13.3</v>
      </c>
      <c r="N28" s="16" t="n">
        <f aca="false">+M28+O28</f>
        <v>13.3088</v>
      </c>
      <c r="O28" s="16" t="n">
        <f aca="false">RANDBETWEEN(-105,115)/10000</f>
        <v>0.0088</v>
      </c>
      <c r="P28" s="16" t="n">
        <f aca="false">+Chạy!O59</f>
        <v>1.06</v>
      </c>
      <c r="Q28" s="16" t="n">
        <f aca="false">P28+R28</f>
        <v>1.146</v>
      </c>
      <c r="R28" s="16" t="n">
        <f aca="false">RANDBETWEEN(-30,90)/1000</f>
        <v>0.086</v>
      </c>
      <c r="S28" s="17"/>
      <c r="T28" s="0" t="n">
        <v>10.48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525.08</v>
      </c>
      <c r="D29" s="16" t="n">
        <f aca="false">+Chạy!F68</f>
        <v>-12.43</v>
      </c>
      <c r="E29" s="16" t="n">
        <f aca="false">+D29+F29</f>
        <v>-12.4401</v>
      </c>
      <c r="F29" s="16" t="n">
        <f aca="false">RANDBETWEEN(-105,115)/10000</f>
        <v>-0.0101</v>
      </c>
      <c r="G29" s="16" t="n">
        <f aca="false">+Chạy!G68</f>
        <v>1.05</v>
      </c>
      <c r="H29" s="16" t="n">
        <f aca="false">G29+I29</f>
        <v>1.1</v>
      </c>
      <c r="I29" s="16" t="n">
        <f aca="false">RANDBETWEEN(-30,90)/1000</f>
        <v>0.05</v>
      </c>
      <c r="J29" s="16" t="n">
        <f aca="false">+Chạy!K68</f>
        <v>1.17</v>
      </c>
      <c r="K29" s="16" t="n">
        <f aca="false">J29+L29</f>
        <v>1.172</v>
      </c>
      <c r="L29" s="16" t="n">
        <f aca="false">RANDBETWEEN(-30,90)/1000</f>
        <v>0.002</v>
      </c>
      <c r="M29" s="16" t="n">
        <f aca="false">+Chạy!N68</f>
        <v>13.3</v>
      </c>
      <c r="N29" s="16" t="n">
        <f aca="false">+M29+O29</f>
        <v>13.2961</v>
      </c>
      <c r="O29" s="16" t="n">
        <f aca="false">RANDBETWEEN(-105,115)/10000</f>
        <v>-0.0039</v>
      </c>
      <c r="P29" s="16" t="n">
        <f aca="false">+Chạy!O68</f>
        <v>1.05</v>
      </c>
      <c r="Q29" s="16" t="n">
        <f aca="false">P29+R29</f>
        <v>1.077</v>
      </c>
      <c r="R29" s="16" t="n">
        <f aca="false">RANDBETWEEN(-30,90)/1000</f>
        <v>0.027</v>
      </c>
      <c r="S29" s="17"/>
      <c r="T29" s="0" t="n">
        <v>13.6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538.68</v>
      </c>
      <c r="D30" s="16" t="n">
        <f aca="false">+Chạy!F77</f>
        <v>-9.2</v>
      </c>
      <c r="E30" s="16" t="n">
        <f aca="false">+D30+F30</f>
        <v>-9.207</v>
      </c>
      <c r="F30" s="16" t="n">
        <f aca="false">RANDBETWEEN(-105,115)/10000</f>
        <v>-0.007</v>
      </c>
      <c r="G30" s="16" t="n">
        <f aca="false">+Chạy!G77</f>
        <v>1.05</v>
      </c>
      <c r="H30" s="16" t="n">
        <f aca="false">G30+I30</f>
        <v>1.084</v>
      </c>
      <c r="I30" s="16" t="n">
        <f aca="false">RANDBETWEEN(-30,90)/1000</f>
        <v>0.034</v>
      </c>
      <c r="J30" s="16" t="n">
        <f aca="false">+Chạy!K77</f>
        <v>1.16</v>
      </c>
      <c r="K30" s="16" t="n">
        <f aca="false">J30+L30</f>
        <v>1.19</v>
      </c>
      <c r="L30" s="16" t="n">
        <f aca="false">RANDBETWEEN(-30,90)/1000</f>
        <v>0.03</v>
      </c>
      <c r="M30" s="16" t="n">
        <f aca="false">+Chạy!N77</f>
        <v>13.3</v>
      </c>
      <c r="N30" s="16" t="n">
        <f aca="false">+M30+O30</f>
        <v>13.2947</v>
      </c>
      <c r="O30" s="16" t="n">
        <f aca="false">RANDBETWEEN(-105,115)/10000</f>
        <v>-0.0053</v>
      </c>
      <c r="P30" s="16" t="n">
        <f aca="false">+Chạy!O77</f>
        <v>1.05</v>
      </c>
      <c r="Q30" s="16" t="n">
        <f aca="false">P30+R30</f>
        <v>1.089</v>
      </c>
      <c r="R30" s="16" t="n">
        <f aca="false">RANDBETWEEN(-30,90)/1000</f>
        <v>0.039</v>
      </c>
      <c r="S30" s="17"/>
      <c r="T30" s="0" t="n">
        <v>15.4</v>
      </c>
      <c r="W30" s="102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554.08</v>
      </c>
      <c r="D31" s="16" t="n">
        <f aca="false">+Chạy!F86</f>
        <v>-8.07</v>
      </c>
      <c r="E31" s="16" t="n">
        <f aca="false">+D31+F31</f>
        <v>-8.0635</v>
      </c>
      <c r="F31" s="16" t="n">
        <f aca="false">RANDBETWEEN(-105,115)/10000</f>
        <v>0.0065</v>
      </c>
      <c r="G31" s="16" t="n">
        <f aca="false">+Chạy!G86</f>
        <v>1.04</v>
      </c>
      <c r="H31" s="16" t="n">
        <f aca="false">G31+I31</f>
        <v>1.06</v>
      </c>
      <c r="I31" s="16" t="n">
        <f aca="false">RANDBETWEEN(-30,90)/1000</f>
        <v>0.02</v>
      </c>
      <c r="J31" s="16" t="n">
        <f aca="false">+Chạy!K86</f>
        <v>1.16</v>
      </c>
      <c r="K31" s="16" t="n">
        <f aca="false">J31+L31</f>
        <v>1.182</v>
      </c>
      <c r="L31" s="16" t="n">
        <f aca="false">RANDBETWEEN(-30,90)/1000</f>
        <v>0.022</v>
      </c>
      <c r="M31" s="16" t="n">
        <f aca="false">+Chạy!N86</f>
        <v>13.3</v>
      </c>
      <c r="N31" s="16" t="n">
        <f aca="false">+M31+O31</f>
        <v>13.3083</v>
      </c>
      <c r="O31" s="16" t="n">
        <f aca="false">RANDBETWEEN(-105,115)/10000</f>
        <v>0.0083</v>
      </c>
      <c r="P31" s="16" t="n">
        <f aca="false">+Chạy!O86</f>
        <v>1.04</v>
      </c>
      <c r="Q31" s="16" t="n">
        <f aca="false">P31+R31</f>
        <v>1.046</v>
      </c>
      <c r="R31" s="16" t="n">
        <f aca="false">RANDBETWEEN(-30,90)/1000</f>
        <v>0.006</v>
      </c>
      <c r="S31" s="17"/>
      <c r="W31" s="102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52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13.NĐXD4/CVXD ngày 22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13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6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24</v>
      </c>
      <c r="C11" s="51" t="n">
        <f aca="false">'6.KTHH L6'!C22</f>
        <v>441.84</v>
      </c>
      <c r="D11" s="13" t="n">
        <f aca="false">'6.KTHH L6'!T22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8.12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101.5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25</v>
      </c>
      <c r="C12" s="51" t="n">
        <f aca="false">'6.KTHH L6'!C23</f>
        <v>454.34</v>
      </c>
      <c r="D12" s="13" t="n">
        <f aca="false">'6.KTHH L6'!T23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8.12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101.5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26</v>
      </c>
      <c r="C13" s="51" t="n">
        <f aca="false">'6.KTHH L6'!C24</f>
        <v>466.84</v>
      </c>
      <c r="D13" s="13" t="n">
        <f aca="false">'6.KTHH L6'!T24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8.12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60.9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27</v>
      </c>
      <c r="C14" s="51" t="n">
        <f aca="false">'6.KTHH L6'!C25</f>
        <v>474.34</v>
      </c>
      <c r="D14" s="13" t="n">
        <f aca="false">'6.KTHH L6'!T25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8.12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162.4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28</v>
      </c>
      <c r="C15" s="51" t="n">
        <f aca="false">'6.KTHH L6'!C26</f>
        <v>494.34</v>
      </c>
      <c r="D15" s="13" t="n">
        <f aca="false">'6.KTHH L6'!T26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8.12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139.1768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29</v>
      </c>
      <c r="C16" s="51" t="n">
        <f aca="false">'6.KTHH L6'!C27</f>
        <v>511.48</v>
      </c>
      <c r="D16" s="13" t="n">
        <f aca="false">'6.KTHH L6'!T27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8.12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23.868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30</v>
      </c>
      <c r="C17" s="51" t="n">
        <f aca="false">'6.KTHH L6'!C28</f>
        <v>514.6</v>
      </c>
      <c r="D17" s="13" t="n">
        <f aca="false">'6.KTHH L6'!T28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Chạy!E59</f>
        <v>7.18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78.1808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D</v>
      </c>
      <c r="C18" s="51" t="n">
        <f aca="false">'6.KTHH L6'!C29</f>
        <v>525.08</v>
      </c>
      <c r="D18" s="13" t="n">
        <f aca="false">'6.KTHH L6'!T29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Chạy!E68</f>
        <v>7.74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98.668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31</v>
      </c>
      <c r="C19" s="51" t="n">
        <f aca="false">'6.KTHH L6'!C30</f>
        <v>538.68</v>
      </c>
      <c r="D19" s="13" t="n">
        <f aca="false">'6.KTHH L6'!T30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Chạy!E77</f>
        <v>6.77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101.64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'6.KTHH L6'!B31</f>
        <v>32</v>
      </c>
      <c r="C20" s="51" t="n">
        <f aca="false">'6.KTHH L6'!C31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Chạy!E86</f>
        <v>6.43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867.8336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14.NĐXD4/CVXD ngày 22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14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7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30" hidden="false" customHeight="true" outlineLevel="0" collapsed="false">
      <c r="A21" s="9"/>
      <c r="B21" s="9"/>
      <c r="C21" s="9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441.84</v>
      </c>
      <c r="D22" s="16" t="n">
        <f aca="false">+Chạy!F4</f>
        <v>-12.85</v>
      </c>
      <c r="E22" s="16" t="n">
        <f aca="false">+D22+F22</f>
        <v>-12.8514</v>
      </c>
      <c r="F22" s="16" t="n">
        <f aca="false">RANDBETWEEN(-105,115)/10000</f>
        <v>-0.0014</v>
      </c>
      <c r="G22" s="16" t="n">
        <f aca="false">+Chạy!G4</f>
        <v>1.4</v>
      </c>
      <c r="H22" s="16" t="n">
        <f aca="false">G22+I22</f>
        <v>1.377</v>
      </c>
      <c r="I22" s="16" t="n">
        <f aca="false">RANDBETWEEN(-30,90)/1000</f>
        <v>-0.023</v>
      </c>
      <c r="J22" s="16" t="n">
        <f aca="false">+Chạy!K4</f>
        <v>1.51</v>
      </c>
      <c r="K22" s="16" t="n">
        <f aca="false">J22+L22</f>
        <v>1.487</v>
      </c>
      <c r="L22" s="16" t="n">
        <f aca="false">RANDBETWEEN(-30,90)/1000</f>
        <v>-0.023</v>
      </c>
      <c r="M22" s="16" t="n">
        <f aca="false">+Chạy!N4</f>
        <v>12.85</v>
      </c>
      <c r="N22" s="16" t="n">
        <f aca="false">+M22+O22</f>
        <v>12.8442</v>
      </c>
      <c r="O22" s="16" t="n">
        <f aca="false">RANDBETWEEN(-105,115)/10000</f>
        <v>-0.0058</v>
      </c>
      <c r="P22" s="16" t="n">
        <f aca="false">+Chạy!O4</f>
        <v>1.4</v>
      </c>
      <c r="Q22" s="16" t="n">
        <f aca="false">P22+R22</f>
        <v>1.453</v>
      </c>
      <c r="R22" s="16" t="n">
        <f aca="false">RANDBETWEEN(-30,90)/1000</f>
        <v>0.053</v>
      </c>
      <c r="S22" s="17"/>
      <c r="T22" s="0" t="n">
        <v>12.5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454.34</v>
      </c>
      <c r="D23" s="16" t="n">
        <f aca="false">+Chạy!F13</f>
        <v>-12.85</v>
      </c>
      <c r="E23" s="16" t="n">
        <f aca="false">+D23+F23</f>
        <v>-12.8557</v>
      </c>
      <c r="F23" s="16" t="n">
        <f aca="false">RANDBETWEEN(-105,115)/10000</f>
        <v>-0.0057</v>
      </c>
      <c r="G23" s="16" t="n">
        <f aca="false">+Chạy!G13</f>
        <v>1.39</v>
      </c>
      <c r="H23" s="16" t="n">
        <f aca="false">G23+I23</f>
        <v>1.404</v>
      </c>
      <c r="I23" s="16" t="n">
        <f aca="false">RANDBETWEEN(-30,90)/1000</f>
        <v>0.014</v>
      </c>
      <c r="J23" s="16" t="n">
        <f aca="false">+Chạy!K13</f>
        <v>1.51</v>
      </c>
      <c r="K23" s="16" t="n">
        <f aca="false">J23+L23</f>
        <v>1.539</v>
      </c>
      <c r="L23" s="16" t="n">
        <f aca="false">RANDBETWEEN(-30,90)/1000</f>
        <v>0.029</v>
      </c>
      <c r="M23" s="16" t="n">
        <f aca="false">+Chạy!N13</f>
        <v>12.85</v>
      </c>
      <c r="N23" s="16" t="n">
        <f aca="false">+M23+O23</f>
        <v>12.8433</v>
      </c>
      <c r="O23" s="16" t="n">
        <f aca="false">RANDBETWEEN(-105,115)/10000</f>
        <v>-0.0067</v>
      </c>
      <c r="P23" s="16" t="n">
        <f aca="false">+Chạy!O13</f>
        <v>1.39</v>
      </c>
      <c r="Q23" s="16" t="n">
        <f aca="false">P23+R23</f>
        <v>1.479</v>
      </c>
      <c r="R23" s="16" t="n">
        <f aca="false">RANDBETWEEN(-30,90)/1000</f>
        <v>0.089</v>
      </c>
      <c r="S23" s="17"/>
      <c r="T23" s="0" t="n">
        <v>12.5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466.84</v>
      </c>
      <c r="D24" s="16" t="n">
        <f aca="false">+Chạy!F22</f>
        <v>-12.85</v>
      </c>
      <c r="E24" s="16" t="n">
        <f aca="false">+D24+F24</f>
        <v>-12.8525</v>
      </c>
      <c r="F24" s="16" t="n">
        <f aca="false">RANDBETWEEN(-105,115)/10000</f>
        <v>-0.0025</v>
      </c>
      <c r="G24" s="16" t="n">
        <f aca="false">+Chạy!G22</f>
        <v>1.38</v>
      </c>
      <c r="H24" s="16" t="n">
        <f aca="false">G24+I24</f>
        <v>1.453</v>
      </c>
      <c r="I24" s="16" t="n">
        <f aca="false">RANDBETWEEN(-30,90)/1000</f>
        <v>0.073</v>
      </c>
      <c r="J24" s="16" t="n">
        <f aca="false">+Chạy!K22</f>
        <v>1.5</v>
      </c>
      <c r="K24" s="16" t="n">
        <f aca="false">J24+L24</f>
        <v>1.529</v>
      </c>
      <c r="L24" s="16" t="n">
        <f aca="false">RANDBETWEEN(-30,90)/1000</f>
        <v>0.029</v>
      </c>
      <c r="M24" s="16" t="n">
        <f aca="false">+Chạy!N22</f>
        <v>12.85</v>
      </c>
      <c r="N24" s="16" t="n">
        <f aca="false">+M24+O24</f>
        <v>12.8437</v>
      </c>
      <c r="O24" s="16" t="n">
        <f aca="false">RANDBETWEEN(-105,115)/10000</f>
        <v>-0.0063</v>
      </c>
      <c r="P24" s="16" t="n">
        <f aca="false">+Chạy!O22</f>
        <v>1.38</v>
      </c>
      <c r="Q24" s="16" t="n">
        <f aca="false">P24+R24</f>
        <v>1.379</v>
      </c>
      <c r="R24" s="16" t="n">
        <f aca="false">RANDBETWEEN(-30,90)/1000</f>
        <v>-0.001</v>
      </c>
      <c r="S24" s="17"/>
      <c r="T24" s="0" t="n">
        <v>7.5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474.34</v>
      </c>
      <c r="D25" s="16" t="n">
        <f aca="false">+Chạy!F31</f>
        <v>-12.85</v>
      </c>
      <c r="E25" s="16" t="n">
        <f aca="false">+D25+F25</f>
        <v>-12.8554</v>
      </c>
      <c r="F25" s="16" t="n">
        <f aca="false">RANDBETWEEN(-105,115)/10000</f>
        <v>-0.0054</v>
      </c>
      <c r="G25" s="16" t="n">
        <f aca="false">+Chạy!G31</f>
        <v>1.38</v>
      </c>
      <c r="H25" s="16" t="n">
        <f aca="false">G25+I25</f>
        <v>1.456</v>
      </c>
      <c r="I25" s="16" t="n">
        <f aca="false">RANDBETWEEN(-30,90)/1000</f>
        <v>0.076</v>
      </c>
      <c r="J25" s="16" t="n">
        <f aca="false">+Chạy!K31</f>
        <v>1.5</v>
      </c>
      <c r="K25" s="16" t="n">
        <f aca="false">J25+L25</f>
        <v>1.517</v>
      </c>
      <c r="L25" s="16" t="n">
        <f aca="false">RANDBETWEEN(-30,90)/1000</f>
        <v>0.017</v>
      </c>
      <c r="M25" s="16" t="n">
        <f aca="false">+Chạy!N31</f>
        <v>12.85</v>
      </c>
      <c r="N25" s="16" t="n">
        <f aca="false">+M25+O25</f>
        <v>12.8603</v>
      </c>
      <c r="O25" s="16" t="n">
        <f aca="false">RANDBETWEEN(-105,115)/10000</f>
        <v>0.0103</v>
      </c>
      <c r="P25" s="16" t="n">
        <f aca="false">+Chạy!O31</f>
        <v>1.38</v>
      </c>
      <c r="Q25" s="16" t="n">
        <f aca="false">P25+R25</f>
        <v>1.39</v>
      </c>
      <c r="R25" s="16" t="n">
        <f aca="false">RANDBETWEEN(-30,90)/1000</f>
        <v>0.01</v>
      </c>
      <c r="S25" s="17"/>
      <c r="T25" s="0" t="n">
        <v>20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494.34</v>
      </c>
      <c r="D26" s="16" t="n">
        <f aca="false">+Chạy!F40</f>
        <v>-12.85</v>
      </c>
      <c r="E26" s="16" t="n">
        <f aca="false">+D26+F26</f>
        <v>-12.8549</v>
      </c>
      <c r="F26" s="16" t="n">
        <f aca="false">RANDBETWEEN(-105,115)/10000</f>
        <v>-0.0049</v>
      </c>
      <c r="G26" s="16" t="n">
        <f aca="false">+Chạy!G40</f>
        <v>1.37</v>
      </c>
      <c r="H26" s="16" t="n">
        <f aca="false">G26+I26</f>
        <v>1.343</v>
      </c>
      <c r="I26" s="16" t="n">
        <f aca="false">RANDBETWEEN(-30,90)/1000</f>
        <v>-0.027</v>
      </c>
      <c r="J26" s="16" t="n">
        <f aca="false">+Chạy!K40</f>
        <v>1.49</v>
      </c>
      <c r="K26" s="16" t="n">
        <f aca="false">J26+L26</f>
        <v>1.469</v>
      </c>
      <c r="L26" s="16" t="n">
        <f aca="false">RANDBETWEEN(-30,90)/1000</f>
        <v>-0.021</v>
      </c>
      <c r="M26" s="16" t="n">
        <f aca="false">+Chạy!N40</f>
        <v>12.85</v>
      </c>
      <c r="N26" s="16" t="n">
        <f aca="false">+M26+O26</f>
        <v>12.8536</v>
      </c>
      <c r="O26" s="16" t="n">
        <f aca="false">RANDBETWEEN(-105,115)/10000</f>
        <v>0.0036</v>
      </c>
      <c r="P26" s="16" t="n">
        <f aca="false">+Chạy!O40</f>
        <v>1.37</v>
      </c>
      <c r="Q26" s="16" t="n">
        <f aca="false">P26+R26</f>
        <v>1.377</v>
      </c>
      <c r="R26" s="16" t="n">
        <f aca="false">RANDBETWEEN(-30,90)/1000</f>
        <v>0.007</v>
      </c>
      <c r="S26" s="17"/>
      <c r="T26" s="0" t="n">
        <v>17.14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511.48</v>
      </c>
      <c r="D27" s="16" t="n">
        <f aca="false">+Chạy!F49</f>
        <v>-12.85</v>
      </c>
      <c r="E27" s="16" t="n">
        <f aca="false">+D27+F27</f>
        <v>-12.8521</v>
      </c>
      <c r="F27" s="16" t="n">
        <f aca="false">RANDBETWEEN(-105,115)/10000</f>
        <v>-0.0021</v>
      </c>
      <c r="G27" s="16" t="n">
        <f aca="false">+Chạy!G49</f>
        <v>1.36</v>
      </c>
      <c r="H27" s="16" t="n">
        <f aca="false">G27+I27</f>
        <v>1.35</v>
      </c>
      <c r="I27" s="16" t="n">
        <f aca="false">RANDBETWEEN(-30,90)/1000</f>
        <v>-0.01</v>
      </c>
      <c r="J27" s="16" t="n">
        <f aca="false">+Chạy!K49</f>
        <v>1.48</v>
      </c>
      <c r="K27" s="16" t="n">
        <f aca="false">J27+L27</f>
        <v>1.499</v>
      </c>
      <c r="L27" s="16" t="n">
        <f aca="false">RANDBETWEEN(-30,90)/1000</f>
        <v>0.019</v>
      </c>
      <c r="M27" s="16" t="n">
        <f aca="false">+Chạy!N49</f>
        <v>12.85</v>
      </c>
      <c r="N27" s="16" t="n">
        <f aca="false">+M27+O27</f>
        <v>12.8406</v>
      </c>
      <c r="O27" s="16" t="n">
        <f aca="false">RANDBETWEEN(-105,115)/10000</f>
        <v>-0.0094</v>
      </c>
      <c r="P27" s="16" t="n">
        <f aca="false">+Chạy!O49</f>
        <v>1.36</v>
      </c>
      <c r="Q27" s="16" t="n">
        <f aca="false">P27+R27</f>
        <v>1.39</v>
      </c>
      <c r="R27" s="16" t="n">
        <f aca="false">RANDBETWEEN(-30,90)/1000</f>
        <v>0.03</v>
      </c>
      <c r="S27" s="17"/>
      <c r="T27" s="0" t="n">
        <v>3.12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514.6</v>
      </c>
      <c r="D28" s="16" t="n">
        <f aca="false">+Chạy!F58</f>
        <v>-12.85</v>
      </c>
      <c r="E28" s="16" t="n">
        <f aca="false">+D28+F28</f>
        <v>-12.8526</v>
      </c>
      <c r="F28" s="16" t="n">
        <f aca="false">RANDBETWEEN(-105,115)/10000</f>
        <v>-0.0026</v>
      </c>
      <c r="G28" s="16" t="n">
        <f aca="false">+Chạy!G58</f>
        <v>1.36</v>
      </c>
      <c r="H28" s="16" t="n">
        <f aca="false">G28+I28</f>
        <v>1.334</v>
      </c>
      <c r="I28" s="16" t="n">
        <f aca="false">RANDBETWEEN(-30,90)/1000</f>
        <v>-0.026</v>
      </c>
      <c r="J28" s="16" t="n">
        <f aca="false">+Chạy!K58</f>
        <v>1.48</v>
      </c>
      <c r="K28" s="16" t="n">
        <f aca="false">J28+L28</f>
        <v>1.517</v>
      </c>
      <c r="L28" s="16" t="n">
        <f aca="false">RANDBETWEEN(-30,90)/1000</f>
        <v>0.037</v>
      </c>
      <c r="M28" s="16" t="n">
        <f aca="false">+Chạy!N58</f>
        <v>12.85</v>
      </c>
      <c r="N28" s="16" t="n">
        <f aca="false">+M28+O28</f>
        <v>12.8587</v>
      </c>
      <c r="O28" s="16" t="n">
        <f aca="false">RANDBETWEEN(-105,115)/10000</f>
        <v>0.0087</v>
      </c>
      <c r="P28" s="16" t="n">
        <f aca="false">+Chạy!O58</f>
        <v>1.36</v>
      </c>
      <c r="Q28" s="16" t="n">
        <f aca="false">P28+R28</f>
        <v>1.334</v>
      </c>
      <c r="R28" s="16" t="n">
        <f aca="false">RANDBETWEEN(-30,90)/1000</f>
        <v>-0.026</v>
      </c>
      <c r="S28" s="17"/>
      <c r="T28" s="0" t="n">
        <v>10.48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525.08</v>
      </c>
      <c r="D29" s="16" t="n">
        <f aca="false">+Chạy!F67</f>
        <v>-12.73</v>
      </c>
      <c r="E29" s="16" t="n">
        <f aca="false">+D29+F29</f>
        <v>-12.7303</v>
      </c>
      <c r="F29" s="16" t="n">
        <f aca="false">RANDBETWEEN(-105,115)/10000</f>
        <v>-0.0003</v>
      </c>
      <c r="G29" s="16" t="n">
        <f aca="false">+Chạy!G67</f>
        <v>1.35</v>
      </c>
      <c r="H29" s="16" t="n">
        <f aca="false">G29+I29</f>
        <v>1.405</v>
      </c>
      <c r="I29" s="16" t="n">
        <f aca="false">RANDBETWEEN(-30,90)/1000</f>
        <v>0.055</v>
      </c>
      <c r="J29" s="16" t="n">
        <f aca="false">+Chạy!K67</f>
        <v>1.47</v>
      </c>
      <c r="K29" s="16" t="n">
        <f aca="false">J29+L29</f>
        <v>1.547</v>
      </c>
      <c r="L29" s="16" t="n">
        <f aca="false">RANDBETWEEN(-30,90)/1000</f>
        <v>0.077</v>
      </c>
      <c r="M29" s="16" t="n">
        <f aca="false">+Chạy!N67</f>
        <v>12.85</v>
      </c>
      <c r="N29" s="16" t="n">
        <f aca="false">+M29+O29</f>
        <v>12.8441</v>
      </c>
      <c r="O29" s="16" t="n">
        <f aca="false">RANDBETWEEN(-105,115)/10000</f>
        <v>-0.0059</v>
      </c>
      <c r="P29" s="16" t="n">
        <f aca="false">+Chạy!O67</f>
        <v>1.35</v>
      </c>
      <c r="Q29" s="16" t="n">
        <f aca="false">P29+R29</f>
        <v>1.346</v>
      </c>
      <c r="R29" s="16" t="n">
        <f aca="false">RANDBETWEEN(-30,90)/1000</f>
        <v>-0.004</v>
      </c>
      <c r="S29" s="17"/>
      <c r="T29" s="0" t="n">
        <v>13.6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538.68</v>
      </c>
      <c r="D30" s="16" t="n">
        <f aca="false">+Chạy!F76</f>
        <v>-12.85</v>
      </c>
      <c r="E30" s="16" t="n">
        <f aca="false">+D30+F30</f>
        <v>-12.8517</v>
      </c>
      <c r="F30" s="16" t="n">
        <f aca="false">RANDBETWEEN(-105,115)/10000</f>
        <v>-0.0017</v>
      </c>
      <c r="G30" s="16" t="n">
        <f aca="false">+Chạy!G76</f>
        <v>1.35</v>
      </c>
      <c r="H30" s="16" t="n">
        <f aca="false">G30+I30</f>
        <v>1.368</v>
      </c>
      <c r="I30" s="16" t="n">
        <f aca="false">RANDBETWEEN(-30,90)/1000</f>
        <v>0.018</v>
      </c>
      <c r="J30" s="16" t="n">
        <f aca="false">+Chạy!K76</f>
        <v>1.46</v>
      </c>
      <c r="K30" s="16" t="n">
        <f aca="false">J30+L30</f>
        <v>1.508</v>
      </c>
      <c r="L30" s="16" t="n">
        <f aca="false">RANDBETWEEN(-30,90)/1000</f>
        <v>0.048</v>
      </c>
      <c r="M30" s="16" t="n">
        <f aca="false">+Chạy!N76</f>
        <v>12.85</v>
      </c>
      <c r="N30" s="16" t="n">
        <f aca="false">+M30+O30</f>
        <v>12.861</v>
      </c>
      <c r="O30" s="16" t="n">
        <f aca="false">RANDBETWEEN(-105,115)/10000</f>
        <v>0.011</v>
      </c>
      <c r="P30" s="16" t="n">
        <f aca="false">+Chạy!O76</f>
        <v>1.35</v>
      </c>
      <c r="Q30" s="16" t="n">
        <f aca="false">P30+R30</f>
        <v>1.423</v>
      </c>
      <c r="R30" s="16" t="n">
        <f aca="false">RANDBETWEEN(-30,90)/1000</f>
        <v>0.073</v>
      </c>
      <c r="S30" s="17"/>
      <c r="T30" s="0" t="n">
        <v>15.4</v>
      </c>
      <c r="W30" s="115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554.08</v>
      </c>
      <c r="D31" s="16" t="n">
        <f aca="false">+Chạy!F85</f>
        <v>-12.54</v>
      </c>
      <c r="E31" s="16" t="n">
        <f aca="false">+D31+F31</f>
        <v>-12.5365</v>
      </c>
      <c r="F31" s="16" t="n">
        <f aca="false">RANDBETWEEN(-105,115)/10000</f>
        <v>0.0035</v>
      </c>
      <c r="G31" s="16" t="n">
        <f aca="false">+Chạy!G85</f>
        <v>1.34</v>
      </c>
      <c r="H31" s="16" t="n">
        <f aca="false">G31+I31</f>
        <v>1.335</v>
      </c>
      <c r="I31" s="16" t="n">
        <f aca="false">RANDBETWEEN(-30,90)/1000</f>
        <v>-0.005</v>
      </c>
      <c r="J31" s="16" t="n">
        <f aca="false">+Chạy!K85</f>
        <v>1.46</v>
      </c>
      <c r="K31" s="16" t="n">
        <f aca="false">J31+L31</f>
        <v>1.526</v>
      </c>
      <c r="L31" s="16" t="n">
        <f aca="false">RANDBETWEEN(-30,90)/1000</f>
        <v>0.066</v>
      </c>
      <c r="M31" s="16" t="n">
        <f aca="false">+Chạy!N85</f>
        <v>12.85</v>
      </c>
      <c r="N31" s="16" t="n">
        <f aca="false">+M31+O31</f>
        <v>12.8451</v>
      </c>
      <c r="O31" s="16" t="n">
        <f aca="false">RANDBETWEEN(-105,115)/10000</f>
        <v>-0.0049</v>
      </c>
      <c r="P31" s="16" t="n">
        <f aca="false">+Chạy!O85</f>
        <v>1.34</v>
      </c>
      <c r="Q31" s="16" t="n">
        <f aca="false">P31+R31</f>
        <v>1.329</v>
      </c>
      <c r="R31" s="16" t="n">
        <f aca="false">RANDBETWEEN(-30,90)/1000</f>
        <v>-0.011</v>
      </c>
      <c r="S31" s="17"/>
      <c r="W31" s="115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15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52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14.NĐXD4/CVXD ngày 22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14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7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24</v>
      </c>
      <c r="C11" s="51" t="n">
        <f aca="false">'7.KTHH L7'!C22</f>
        <v>441.84</v>
      </c>
      <c r="D11" s="13" t="n">
        <f aca="false">'7.KTHH L7'!T22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7.85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98.125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25</v>
      </c>
      <c r="C12" s="51" t="n">
        <f aca="false">'7.KTHH L7'!C23</f>
        <v>454.34</v>
      </c>
      <c r="D12" s="13" t="n">
        <f aca="false">'7.KTHH L7'!T23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7.85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98.125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26</v>
      </c>
      <c r="C13" s="51" t="n">
        <f aca="false">'7.KTHH L7'!C24</f>
        <v>466.84</v>
      </c>
      <c r="D13" s="13" t="n">
        <f aca="false">'7.KTHH L7'!T24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7.85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58.875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27</v>
      </c>
      <c r="C14" s="51" t="n">
        <f aca="false">'7.KTHH L7'!C25</f>
        <v>474.34</v>
      </c>
      <c r="D14" s="13" t="n">
        <f aca="false">'7.KTHH L7'!T25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7.85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157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28</v>
      </c>
      <c r="C15" s="51" t="n">
        <f aca="false">'7.KTHH L7'!C26</f>
        <v>494.34</v>
      </c>
      <c r="D15" s="13" t="n">
        <f aca="false">'7.KTHH L7'!T26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7.85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134.549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29</v>
      </c>
      <c r="C16" s="51" t="n">
        <f aca="false">'7.KTHH L7'!C27</f>
        <v>511.48</v>
      </c>
      <c r="D16" s="13" t="n">
        <f aca="false">'7.KTHH L7'!T27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7.85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24.492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30</v>
      </c>
      <c r="C17" s="51" t="n">
        <f aca="false">'7.KTHH L7'!C28</f>
        <v>514.6</v>
      </c>
      <c r="D17" s="13" t="n">
        <f aca="false">'7.KTHH L7'!T28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Chạy!E58</f>
        <v>7.85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81.482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D</v>
      </c>
      <c r="C18" s="51" t="n">
        <f aca="false">'7.KTHH L7'!C29</f>
        <v>525.08</v>
      </c>
      <c r="D18" s="13" t="n">
        <f aca="false">'7.KTHH L7'!T29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Chạy!E67</f>
        <v>7.7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100.232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31</v>
      </c>
      <c r="C19" s="51" t="n">
        <f aca="false">'7.KTHH L7'!C30</f>
        <v>538.68</v>
      </c>
      <c r="D19" s="13" t="n">
        <f aca="false">'7.KTHH L7'!T30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Chạy!E76</f>
        <v>7.04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106.26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'7.KTHH L7'!B31</f>
        <v>32</v>
      </c>
      <c r="C20" s="51" t="n">
        <f aca="false">'7.KTHH L7'!C31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Chạy!E85</f>
        <v>6.76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859.14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15.NĐXD4/CVXD ngày 23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15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8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51.75" hidden="false" customHeight="true" outlineLevel="0" collapsed="false">
      <c r="A21" s="116"/>
      <c r="B21" s="116"/>
      <c r="C21" s="116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441.84</v>
      </c>
      <c r="D22" s="16" t="n">
        <f aca="false">+Chạy!F3</f>
        <v>-12.4</v>
      </c>
      <c r="E22" s="16" t="n">
        <f aca="false">+D22+F22</f>
        <v>-12.3927</v>
      </c>
      <c r="F22" s="16" t="n">
        <f aca="false">RANDBETWEEN(-105,115)/10000</f>
        <v>0.0073</v>
      </c>
      <c r="G22" s="16" t="n">
        <f aca="false">+Chạy!G3</f>
        <v>1.7</v>
      </c>
      <c r="H22" s="16" t="n">
        <f aca="false">G22+I22</f>
        <v>1.788</v>
      </c>
      <c r="I22" s="16" t="n">
        <f aca="false">RANDBETWEEN(-30,90)/1000</f>
        <v>0.088</v>
      </c>
      <c r="J22" s="16" t="n">
        <f aca="false">+Chạy!K3</f>
        <v>1.81</v>
      </c>
      <c r="K22" s="16" t="n">
        <f aca="false">J22+L22</f>
        <v>1.804</v>
      </c>
      <c r="L22" s="16" t="n">
        <f aca="false">RANDBETWEEN(-30,90)/1000</f>
        <v>-0.006</v>
      </c>
      <c r="M22" s="16" t="n">
        <f aca="false">+Chạy!N3</f>
        <v>12.4</v>
      </c>
      <c r="N22" s="16" t="n">
        <f aca="false">+M22+O22</f>
        <v>12.3997</v>
      </c>
      <c r="O22" s="16" t="n">
        <f aca="false">RANDBETWEEN(-105,115)/10000</f>
        <v>-0.0003</v>
      </c>
      <c r="P22" s="16" t="n">
        <f aca="false">+Chạy!O3</f>
        <v>1.7</v>
      </c>
      <c r="Q22" s="16" t="n">
        <f aca="false">P22+R22</f>
        <v>1.711</v>
      </c>
      <c r="R22" s="16" t="n">
        <f aca="false">RANDBETWEEN(-30,90)/1000</f>
        <v>0.011</v>
      </c>
      <c r="S22" s="17"/>
      <c r="T22" s="0" t="n">
        <v>12.5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454.34</v>
      </c>
      <c r="D23" s="16" t="n">
        <f aca="false">+Chạy!F12</f>
        <v>-12.4</v>
      </c>
      <c r="E23" s="16" t="n">
        <f aca="false">+D23+F23</f>
        <v>-12.3885</v>
      </c>
      <c r="F23" s="16" t="n">
        <f aca="false">RANDBETWEEN(-105,115)/10000</f>
        <v>0.0115</v>
      </c>
      <c r="G23" s="16" t="n">
        <f aca="false">+Chạy!G12</f>
        <v>1.69</v>
      </c>
      <c r="H23" s="16" t="n">
        <f aca="false">G23+I23</f>
        <v>1.678</v>
      </c>
      <c r="I23" s="16" t="n">
        <f aca="false">RANDBETWEEN(-30,90)/1000</f>
        <v>-0.012</v>
      </c>
      <c r="J23" s="16" t="n">
        <f aca="false">+Chạy!K12</f>
        <v>1.81</v>
      </c>
      <c r="K23" s="16" t="n">
        <f aca="false">J23+L23</f>
        <v>1.811</v>
      </c>
      <c r="L23" s="16" t="n">
        <f aca="false">RANDBETWEEN(-30,90)/1000</f>
        <v>0.001</v>
      </c>
      <c r="M23" s="16" t="n">
        <f aca="false">+Chạy!N12</f>
        <v>12.4</v>
      </c>
      <c r="N23" s="16" t="n">
        <f aca="false">+M23+O23</f>
        <v>12.3895</v>
      </c>
      <c r="O23" s="16" t="n">
        <f aca="false">RANDBETWEEN(-105,115)/10000</f>
        <v>-0.0105</v>
      </c>
      <c r="P23" s="16" t="n">
        <f aca="false">+Chạy!O12</f>
        <v>1.69</v>
      </c>
      <c r="Q23" s="16" t="n">
        <f aca="false">P23+R23</f>
        <v>1.713</v>
      </c>
      <c r="R23" s="16" t="n">
        <f aca="false">RANDBETWEEN(-30,90)/1000</f>
        <v>0.023</v>
      </c>
      <c r="S23" s="17"/>
      <c r="T23" s="0" t="n">
        <v>12.5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466.84</v>
      </c>
      <c r="D24" s="16" t="n">
        <f aca="false">+Chạy!F21</f>
        <v>-12.4</v>
      </c>
      <c r="E24" s="16" t="n">
        <f aca="false">+D24+F24</f>
        <v>-12.3912</v>
      </c>
      <c r="F24" s="16" t="n">
        <f aca="false">RANDBETWEEN(-105,115)/10000</f>
        <v>0.0088</v>
      </c>
      <c r="G24" s="16" t="n">
        <f aca="false">+Chạy!G21</f>
        <v>1.68</v>
      </c>
      <c r="H24" s="16" t="n">
        <f aca="false">G24+I24</f>
        <v>1.718</v>
      </c>
      <c r="I24" s="16" t="n">
        <f aca="false">RANDBETWEEN(-30,90)/1000</f>
        <v>0.038</v>
      </c>
      <c r="J24" s="16" t="n">
        <f aca="false">+Chạy!K21</f>
        <v>1.8</v>
      </c>
      <c r="K24" s="16" t="n">
        <f aca="false">J24+L24</f>
        <v>1.788</v>
      </c>
      <c r="L24" s="16" t="n">
        <f aca="false">RANDBETWEEN(-30,90)/1000</f>
        <v>-0.012</v>
      </c>
      <c r="M24" s="16" t="n">
        <f aca="false">+Chạy!N21</f>
        <v>12.4</v>
      </c>
      <c r="N24" s="16" t="n">
        <f aca="false">+M24+O24</f>
        <v>12.4075</v>
      </c>
      <c r="O24" s="16" t="n">
        <f aca="false">RANDBETWEEN(-105,115)/10000</f>
        <v>0.0075</v>
      </c>
      <c r="P24" s="16" t="n">
        <f aca="false">+Chạy!O21</f>
        <v>1.68</v>
      </c>
      <c r="Q24" s="16" t="n">
        <f aca="false">P24+R24</f>
        <v>1.664</v>
      </c>
      <c r="R24" s="16" t="n">
        <f aca="false">RANDBETWEEN(-30,90)/1000</f>
        <v>-0.016</v>
      </c>
      <c r="S24" s="17"/>
      <c r="T24" s="0" t="n">
        <v>7.5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474.34</v>
      </c>
      <c r="D25" s="16" t="n">
        <f aca="false">+Chạy!F30</f>
        <v>-12.4</v>
      </c>
      <c r="E25" s="16" t="n">
        <f aca="false">+D25+F25</f>
        <v>-12.4005</v>
      </c>
      <c r="F25" s="16" t="n">
        <f aca="false">RANDBETWEEN(-105,115)/10000</f>
        <v>-0.0005</v>
      </c>
      <c r="G25" s="16" t="n">
        <f aca="false">+Chạy!G30</f>
        <v>1.68</v>
      </c>
      <c r="H25" s="16" t="n">
        <f aca="false">G25+I25</f>
        <v>1.754</v>
      </c>
      <c r="I25" s="16" t="n">
        <f aca="false">RANDBETWEEN(-30,90)/1000</f>
        <v>0.074</v>
      </c>
      <c r="J25" s="16" t="n">
        <f aca="false">+Chạy!K30</f>
        <v>1.8</v>
      </c>
      <c r="K25" s="16" t="n">
        <f aca="false">J25+L25</f>
        <v>1.878</v>
      </c>
      <c r="L25" s="16" t="n">
        <f aca="false">RANDBETWEEN(-30,90)/1000</f>
        <v>0.078</v>
      </c>
      <c r="M25" s="16" t="n">
        <f aca="false">+Chạy!N30</f>
        <v>12.4</v>
      </c>
      <c r="N25" s="16" t="n">
        <f aca="false">+M25+O25</f>
        <v>12.406</v>
      </c>
      <c r="O25" s="16" t="n">
        <f aca="false">RANDBETWEEN(-105,115)/10000</f>
        <v>0.006</v>
      </c>
      <c r="P25" s="16" t="n">
        <f aca="false">+Chạy!O30</f>
        <v>1.68</v>
      </c>
      <c r="Q25" s="16" t="n">
        <f aca="false">P25+R25</f>
        <v>1.652</v>
      </c>
      <c r="R25" s="16" t="n">
        <f aca="false">RANDBETWEEN(-30,90)/1000</f>
        <v>-0.028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494.34</v>
      </c>
      <c r="D26" s="16" t="n">
        <f aca="false">+Chạy!F39</f>
        <v>-12.4</v>
      </c>
      <c r="E26" s="16" t="n">
        <f aca="false">+D26+F26</f>
        <v>-12.4081</v>
      </c>
      <c r="F26" s="16" t="n">
        <f aca="false">RANDBETWEEN(-105,115)/10000</f>
        <v>-0.0081</v>
      </c>
      <c r="G26" s="16" t="n">
        <f aca="false">+Chạy!G39</f>
        <v>1.67</v>
      </c>
      <c r="H26" s="16" t="n">
        <f aca="false">G26+I26</f>
        <v>1.647</v>
      </c>
      <c r="I26" s="16" t="n">
        <f aca="false">RANDBETWEEN(-30,90)/1000</f>
        <v>-0.023</v>
      </c>
      <c r="J26" s="16" t="n">
        <f aca="false">+Chạy!K39</f>
        <v>1.79</v>
      </c>
      <c r="K26" s="16" t="n">
        <f aca="false">J26+L26</f>
        <v>1.853</v>
      </c>
      <c r="L26" s="16" t="n">
        <f aca="false">RANDBETWEEN(-30,90)/1000</f>
        <v>0.063</v>
      </c>
      <c r="M26" s="16" t="n">
        <f aca="false">+Chạy!N39</f>
        <v>12.4</v>
      </c>
      <c r="N26" s="16" t="n">
        <f aca="false">+M26+O26</f>
        <v>12.3931</v>
      </c>
      <c r="O26" s="16" t="n">
        <f aca="false">RANDBETWEEN(-105,115)/10000</f>
        <v>-0.0069</v>
      </c>
      <c r="P26" s="16" t="n">
        <f aca="false">+Chạy!O39</f>
        <v>1.67</v>
      </c>
      <c r="Q26" s="16" t="n">
        <f aca="false">P26+R26</f>
        <v>1.738</v>
      </c>
      <c r="R26" s="16" t="n">
        <f aca="false">RANDBETWEEN(-30,90)/1000</f>
        <v>0.068</v>
      </c>
      <c r="S26" s="17"/>
      <c r="T26" s="0" t="n">
        <v>17.14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511.48</v>
      </c>
      <c r="D27" s="16" t="n">
        <f aca="false">+Chạy!F48</f>
        <v>-12.4</v>
      </c>
      <c r="E27" s="16" t="n">
        <f aca="false">+D27+F27</f>
        <v>-12.4049</v>
      </c>
      <c r="F27" s="16" t="n">
        <f aca="false">RANDBETWEEN(-105,115)/10000</f>
        <v>-0.0049</v>
      </c>
      <c r="G27" s="16" t="n">
        <f aca="false">+Chạy!G48</f>
        <v>1.66</v>
      </c>
      <c r="H27" s="16" t="n">
        <f aca="false">G27+I27</f>
        <v>1.684</v>
      </c>
      <c r="I27" s="16" t="n">
        <f aca="false">RANDBETWEEN(-30,90)/1000</f>
        <v>0.024</v>
      </c>
      <c r="J27" s="16" t="n">
        <f aca="false">+Chạy!K48</f>
        <v>1.78</v>
      </c>
      <c r="K27" s="16" t="n">
        <f aca="false">J27+L27</f>
        <v>1.756</v>
      </c>
      <c r="L27" s="16" t="n">
        <f aca="false">RANDBETWEEN(-30,90)/1000</f>
        <v>-0.024</v>
      </c>
      <c r="M27" s="16" t="n">
        <f aca="false">+Chạy!N48</f>
        <v>12.4</v>
      </c>
      <c r="N27" s="16" t="n">
        <f aca="false">+M27+O27</f>
        <v>12.401</v>
      </c>
      <c r="O27" s="16" t="n">
        <f aca="false">RANDBETWEEN(-105,115)/10000</f>
        <v>0.001</v>
      </c>
      <c r="P27" s="16" t="n">
        <f aca="false">+Chạy!O48</f>
        <v>1.66</v>
      </c>
      <c r="Q27" s="16" t="n">
        <f aca="false">P27+R27</f>
        <v>1.717</v>
      </c>
      <c r="R27" s="16" t="n">
        <f aca="false">RANDBETWEEN(-30,90)/1000</f>
        <v>0.057</v>
      </c>
      <c r="S27" s="17"/>
      <c r="T27" s="0" t="n">
        <v>3.12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514.6</v>
      </c>
      <c r="D28" s="16" t="n">
        <f aca="false">+Chạy!F57</f>
        <v>-12.4</v>
      </c>
      <c r="E28" s="16" t="n">
        <f aca="false">+D28+F28</f>
        <v>-12.3893</v>
      </c>
      <c r="F28" s="16" t="n">
        <f aca="false">RANDBETWEEN(-105,115)/10000</f>
        <v>0.0107</v>
      </c>
      <c r="G28" s="16" t="n">
        <f aca="false">+Chạy!G57</f>
        <v>1.66</v>
      </c>
      <c r="H28" s="16" t="n">
        <f aca="false">G28+I28</f>
        <v>1.719</v>
      </c>
      <c r="I28" s="16" t="n">
        <f aca="false">RANDBETWEEN(-30,90)/1000</f>
        <v>0.059</v>
      </c>
      <c r="J28" s="16" t="n">
        <f aca="false">+Chạy!K57</f>
        <v>1.78</v>
      </c>
      <c r="K28" s="16" t="n">
        <f aca="false">J28+L28</f>
        <v>1.758</v>
      </c>
      <c r="L28" s="16" t="n">
        <f aca="false">RANDBETWEEN(-30,90)/1000</f>
        <v>-0.022</v>
      </c>
      <c r="M28" s="16" t="n">
        <f aca="false">+Chạy!N57</f>
        <v>12.4</v>
      </c>
      <c r="N28" s="16" t="n">
        <f aca="false">+M28+O28</f>
        <v>12.4079</v>
      </c>
      <c r="O28" s="16" t="n">
        <f aca="false">RANDBETWEEN(-105,115)/10000</f>
        <v>0.0079</v>
      </c>
      <c r="P28" s="16" t="n">
        <f aca="false">+Chạy!O57</f>
        <v>1.66</v>
      </c>
      <c r="Q28" s="16" t="n">
        <f aca="false">P28+R28</f>
        <v>1.722</v>
      </c>
      <c r="R28" s="16" t="n">
        <f aca="false">RANDBETWEEN(-30,90)/1000</f>
        <v>0.062</v>
      </c>
      <c r="S28" s="17"/>
      <c r="T28" s="0" t="n">
        <v>10.48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525.08</v>
      </c>
      <c r="D29" s="16" t="n">
        <f aca="false">+Chạy!F66</f>
        <v>-12.4</v>
      </c>
      <c r="E29" s="16" t="n">
        <f aca="false">+D29+F29</f>
        <v>-12.3974</v>
      </c>
      <c r="F29" s="16" t="n">
        <f aca="false">RANDBETWEEN(-105,115)/10000</f>
        <v>0.0026</v>
      </c>
      <c r="G29" s="16" t="n">
        <f aca="false">+Chạy!G66</f>
        <v>1.65</v>
      </c>
      <c r="H29" s="16" t="n">
        <f aca="false">G29+I29</f>
        <v>1.679</v>
      </c>
      <c r="I29" s="16" t="n">
        <f aca="false">RANDBETWEEN(-30,90)/1000</f>
        <v>0.029</v>
      </c>
      <c r="J29" s="16" t="n">
        <f aca="false">+Chạy!K66</f>
        <v>1.77</v>
      </c>
      <c r="K29" s="16" t="n">
        <f aca="false">J29+L29</f>
        <v>1.828</v>
      </c>
      <c r="L29" s="16" t="n">
        <f aca="false">RANDBETWEEN(-30,90)/1000</f>
        <v>0.058</v>
      </c>
      <c r="M29" s="16" t="n">
        <f aca="false">+Chạy!N66</f>
        <v>12.4</v>
      </c>
      <c r="N29" s="16" t="n">
        <f aca="false">+M29+O29</f>
        <v>12.4096</v>
      </c>
      <c r="O29" s="16" t="n">
        <f aca="false">RANDBETWEEN(-105,115)/10000</f>
        <v>0.0096</v>
      </c>
      <c r="P29" s="16" t="n">
        <f aca="false">+Chạy!O66</f>
        <v>1.65</v>
      </c>
      <c r="Q29" s="16" t="n">
        <f aca="false">P29+R29</f>
        <v>1.698</v>
      </c>
      <c r="R29" s="16" t="n">
        <f aca="false">RANDBETWEEN(-30,90)/1000</f>
        <v>0.048</v>
      </c>
      <c r="S29" s="17"/>
      <c r="T29" s="0" t="n">
        <v>13.6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538.68</v>
      </c>
      <c r="D30" s="16" t="n">
        <f aca="false">+Chạy!F75</f>
        <v>-12.4</v>
      </c>
      <c r="E30" s="16" t="n">
        <f aca="false">+D30+F30</f>
        <v>-12.4037</v>
      </c>
      <c r="F30" s="16" t="n">
        <f aca="false">RANDBETWEEN(-105,115)/10000</f>
        <v>-0.0037</v>
      </c>
      <c r="G30" s="16" t="n">
        <f aca="false">+Chạy!G75</f>
        <v>1.65</v>
      </c>
      <c r="H30" s="16" t="n">
        <f aca="false">G30+I30</f>
        <v>1.727</v>
      </c>
      <c r="I30" s="16" t="n">
        <f aca="false">RANDBETWEEN(-30,90)/1000</f>
        <v>0.077</v>
      </c>
      <c r="J30" s="16" t="n">
        <f aca="false">+Chạy!K75</f>
        <v>1.76</v>
      </c>
      <c r="K30" s="16" t="n">
        <f aca="false">J30+L30</f>
        <v>1.804</v>
      </c>
      <c r="L30" s="16" t="n">
        <f aca="false">RANDBETWEEN(-30,90)/1000</f>
        <v>0.044</v>
      </c>
      <c r="M30" s="16" t="n">
        <f aca="false">+Chạy!N75</f>
        <v>12.4</v>
      </c>
      <c r="N30" s="16" t="n">
        <f aca="false">+M30+O30</f>
        <v>12.3896</v>
      </c>
      <c r="O30" s="16" t="n">
        <f aca="false">RANDBETWEEN(-105,115)/10000</f>
        <v>-0.0104</v>
      </c>
      <c r="P30" s="16" t="n">
        <f aca="false">+Chạy!O75</f>
        <v>1.65</v>
      </c>
      <c r="Q30" s="16" t="n">
        <f aca="false">P30+R30</f>
        <v>1.712</v>
      </c>
      <c r="R30" s="16" t="n">
        <f aca="false">RANDBETWEEN(-30,90)/1000</f>
        <v>0.062</v>
      </c>
      <c r="S30" s="17"/>
      <c r="T30" s="0" t="n">
        <v>15.4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554.08</v>
      </c>
      <c r="D31" s="16" t="n">
        <f aca="false">+Chạy!F84</f>
        <v>-12.4</v>
      </c>
      <c r="E31" s="16" t="n">
        <f aca="false">+D31+F31</f>
        <v>-12.4046</v>
      </c>
      <c r="F31" s="16" t="n">
        <f aca="false">RANDBETWEEN(-105,115)/10000</f>
        <v>-0.0046</v>
      </c>
      <c r="G31" s="16" t="n">
        <f aca="false">+Chạy!G84</f>
        <v>1.64</v>
      </c>
      <c r="H31" s="16" t="n">
        <f aca="false">G31+I31</f>
        <v>1.649</v>
      </c>
      <c r="I31" s="16" t="n">
        <f aca="false">RANDBETWEEN(-30,90)/1000</f>
        <v>0.009</v>
      </c>
      <c r="J31" s="16" t="n">
        <f aca="false">+Chạy!K84</f>
        <v>1.76</v>
      </c>
      <c r="K31" s="16" t="n">
        <f aca="false">J31+L31</f>
        <v>1.73</v>
      </c>
      <c r="L31" s="16" t="n">
        <f aca="false">RANDBETWEEN(-30,90)/1000</f>
        <v>-0.03</v>
      </c>
      <c r="M31" s="16" t="n">
        <f aca="false">+Chạy!N84</f>
        <v>12.4</v>
      </c>
      <c r="N31" s="16" t="n">
        <f aca="false">+M31+O31</f>
        <v>12.3984</v>
      </c>
      <c r="O31" s="16" t="n">
        <f aca="false">RANDBETWEEN(-105,115)/10000</f>
        <v>-0.0016</v>
      </c>
      <c r="P31" s="16" t="n">
        <f aca="false">+Chạy!O84</f>
        <v>1.64</v>
      </c>
      <c r="Q31" s="16" t="n">
        <f aca="false">P31+R31</f>
        <v>1.717</v>
      </c>
      <c r="R31" s="16" t="n">
        <f aca="false">RANDBETWEEN(-30,90)/1000</f>
        <v>0.077</v>
      </c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Lê Quốc Huy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15.NĐXD4/CVXD ngày 23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15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8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24</v>
      </c>
      <c r="C11" s="51" t="n">
        <f aca="false">'8.KTHH L8'!C22</f>
        <v>441.84</v>
      </c>
      <c r="D11" s="13" t="n">
        <f aca="false">'8.KTHH L8'!T22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7.58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94.75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25</v>
      </c>
      <c r="C12" s="51" t="n">
        <f aca="false">'8.KTHH L8'!C23</f>
        <v>454.34</v>
      </c>
      <c r="D12" s="13" t="n">
        <f aca="false">'8.KTHH L8'!T23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94.75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26</v>
      </c>
      <c r="C13" s="51" t="n">
        <f aca="false">'8.KTHH L8'!C24</f>
        <v>466.84</v>
      </c>
      <c r="D13" s="13" t="n">
        <f aca="false">'8.KTHH L8'!T24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7.58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56.85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27</v>
      </c>
      <c r="C14" s="51" t="n">
        <f aca="false">'8.KTHH L8'!C25</f>
        <v>474.34</v>
      </c>
      <c r="D14" s="13" t="n">
        <f aca="false">'8.KTHH L8'!T25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7.58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151.6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28</v>
      </c>
      <c r="C15" s="51" t="n">
        <f aca="false">'8.KTHH L8'!C26</f>
        <v>494.34</v>
      </c>
      <c r="D15" s="13" t="n">
        <f aca="false">'8.KTHH L8'!T26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7.58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129.9212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29</v>
      </c>
      <c r="C16" s="51" t="n">
        <f aca="false">'8.KTHH L8'!C27</f>
        <v>511.48</v>
      </c>
      <c r="D16" s="13" t="n">
        <f aca="false">'8.KTHH L8'!T27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7.58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23.6496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30</v>
      </c>
      <c r="C17" s="51" t="n">
        <f aca="false">'8.KTHH L8'!C28</f>
        <v>514.6</v>
      </c>
      <c r="D17" s="13" t="n">
        <f aca="false">'8.KTHH L8'!T28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7.58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79.386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D</v>
      </c>
      <c r="C18" s="51" t="n">
        <f aca="false">'8.KTHH L8'!C29</f>
        <v>525.08</v>
      </c>
      <c r="D18" s="13" t="n">
        <f aca="false">'8.KTHH L8'!T29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Chạy!E66</f>
        <v>7.57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103.02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31</v>
      </c>
      <c r="C19" s="51" t="n">
        <f aca="false">'8.KTHH L8'!C30</f>
        <v>538.68</v>
      </c>
      <c r="D19" s="13" t="n">
        <f aca="false">'8.KTHH L8'!T30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Chạy!E75</f>
        <v>7.58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116.655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'8.KTHH L8'!B31</f>
        <v>32</v>
      </c>
      <c r="C20" s="51" t="n">
        <f aca="false">'8.KTHH L8'!C31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Chạy!E84</f>
        <v>7.57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850.5818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16.NĐXD4/CVXD ngày 23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16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33</v>
      </c>
      <c r="C7" s="7"/>
      <c r="D7" s="7"/>
      <c r="F7" s="7"/>
      <c r="G7" s="7" t="str">
        <f>VLOOKUP(AZ2,'[1]Tuyến XD4'!$A$2:$B$60,2,0)</f>
        <v xml:space="preserve">Đắp đất nền đường lớp 9 đoạn từ Km0+441,84 - Km0+554,08,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36</v>
      </c>
      <c r="B20" s="9" t="s">
        <v>37</v>
      </c>
      <c r="C20" s="9" t="s">
        <v>38</v>
      </c>
      <c r="D20" s="10" t="s">
        <v>39</v>
      </c>
      <c r="E20" s="10"/>
      <c r="F20" s="10"/>
      <c r="G20" s="10"/>
      <c r="H20" s="10"/>
      <c r="I20" s="10"/>
      <c r="J20" s="10" t="s">
        <v>40</v>
      </c>
      <c r="K20" s="10"/>
      <c r="L20" s="10"/>
      <c r="M20" s="10" t="s">
        <v>41</v>
      </c>
      <c r="N20" s="10"/>
      <c r="O20" s="10"/>
      <c r="P20" s="10"/>
      <c r="Q20" s="10"/>
      <c r="R20" s="10"/>
      <c r="S20" s="9" t="s">
        <v>42</v>
      </c>
    </row>
    <row r="21" customFormat="false" ht="51.75" hidden="false" customHeight="true" outlineLevel="0" collapsed="false">
      <c r="A21" s="116"/>
      <c r="B21" s="116"/>
      <c r="C21" s="116"/>
      <c r="D21" s="11" t="s">
        <v>43</v>
      </c>
      <c r="E21" s="11" t="s">
        <v>44</v>
      </c>
      <c r="F21" s="11" t="s">
        <v>45</v>
      </c>
      <c r="G21" s="11" t="s">
        <v>46</v>
      </c>
      <c r="H21" s="11" t="s">
        <v>47</v>
      </c>
      <c r="I21" s="11" t="s">
        <v>48</v>
      </c>
      <c r="J21" s="11" t="s">
        <v>46</v>
      </c>
      <c r="K21" s="11" t="s">
        <v>47</v>
      </c>
      <c r="L21" s="11" t="s">
        <v>48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  <c r="R21" s="11" t="s">
        <v>48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441.84</v>
      </c>
      <c r="D22" s="16" t="n">
        <f aca="false">+Chạy!F2</f>
        <v>-11.95</v>
      </c>
      <c r="E22" s="16" t="n">
        <f aca="false">+D22+F22</f>
        <v>-11.953</v>
      </c>
      <c r="F22" s="16" t="n">
        <f aca="false">RANDBETWEEN(-105,115)/10000</f>
        <v>-0.003</v>
      </c>
      <c r="G22" s="16" t="n">
        <f aca="false">+Chạy!G2</f>
        <v>2</v>
      </c>
      <c r="H22" s="16" t="n">
        <f aca="false">G22+I22</f>
        <v>2.064</v>
      </c>
      <c r="I22" s="16" t="n">
        <f aca="false">RANDBETWEEN(-30,90)/1000</f>
        <v>0.064</v>
      </c>
      <c r="J22" s="16" t="n">
        <f aca="false">+Chạy!K2</f>
        <v>2.11</v>
      </c>
      <c r="K22" s="16" t="n">
        <f aca="false">J22+L22</f>
        <v>2.085</v>
      </c>
      <c r="L22" s="16" t="n">
        <f aca="false">RANDBETWEEN(-30,90)/1000</f>
        <v>-0.025</v>
      </c>
      <c r="M22" s="16" t="n">
        <f aca="false">+Chạy!N2</f>
        <v>11.95</v>
      </c>
      <c r="N22" s="16" t="n">
        <f aca="false">+M22+O22</f>
        <v>11.9532</v>
      </c>
      <c r="O22" s="16" t="n">
        <f aca="false">RANDBETWEEN(-105,115)/10000</f>
        <v>0.0032</v>
      </c>
      <c r="P22" s="16" t="n">
        <f aca="false">+Chạy!O2</f>
        <v>2</v>
      </c>
      <c r="Q22" s="16" t="n">
        <f aca="false">P22+R22</f>
        <v>2.056</v>
      </c>
      <c r="R22" s="16" t="n">
        <f aca="false">RANDBETWEEN(-30,90)/1000</f>
        <v>0.056</v>
      </c>
      <c r="S22" s="17"/>
      <c r="T22" s="0" t="n">
        <v>12.5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454.34</v>
      </c>
      <c r="D23" s="16" t="n">
        <f aca="false">+Chạy!F11</f>
        <v>-11.95</v>
      </c>
      <c r="E23" s="16" t="n">
        <f aca="false">+D23+F23</f>
        <v>-11.9603</v>
      </c>
      <c r="F23" s="16" t="n">
        <f aca="false">RANDBETWEEN(-105,115)/10000</f>
        <v>-0.0103</v>
      </c>
      <c r="G23" s="16" t="n">
        <f aca="false">+Chạy!G11</f>
        <v>1.99</v>
      </c>
      <c r="H23" s="16" t="n">
        <f aca="false">G23+I23</f>
        <v>2.056</v>
      </c>
      <c r="I23" s="16" t="n">
        <f aca="false">RANDBETWEEN(-30,90)/1000</f>
        <v>0.066</v>
      </c>
      <c r="J23" s="16" t="n">
        <f aca="false">+Chạy!K11</f>
        <v>2.11</v>
      </c>
      <c r="K23" s="16" t="n">
        <f aca="false">J23+L23</f>
        <v>2.098</v>
      </c>
      <c r="L23" s="16" t="n">
        <f aca="false">RANDBETWEEN(-30,90)/1000</f>
        <v>-0.012</v>
      </c>
      <c r="M23" s="16" t="n">
        <f aca="false">+Chạy!N11</f>
        <v>11.95</v>
      </c>
      <c r="N23" s="16" t="n">
        <f aca="false">+M23+O23</f>
        <v>11.9484</v>
      </c>
      <c r="O23" s="16" t="n">
        <f aca="false">RANDBETWEEN(-105,115)/10000</f>
        <v>-0.0016</v>
      </c>
      <c r="P23" s="16" t="n">
        <f aca="false">+Chạy!O11</f>
        <v>1.99</v>
      </c>
      <c r="Q23" s="16" t="n">
        <f aca="false">P23+R23</f>
        <v>2.025</v>
      </c>
      <c r="R23" s="16" t="n">
        <f aca="false">RANDBETWEEN(-30,90)/1000</f>
        <v>0.035</v>
      </c>
      <c r="S23" s="17"/>
      <c r="T23" s="0" t="n">
        <v>12.5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466.84</v>
      </c>
      <c r="D24" s="16" t="n">
        <f aca="false">+Chạy!F20</f>
        <v>-11.95</v>
      </c>
      <c r="E24" s="16" t="n">
        <f aca="false">+D24+F24</f>
        <v>-11.9412</v>
      </c>
      <c r="F24" s="16" t="n">
        <f aca="false">RANDBETWEEN(-105,115)/10000</f>
        <v>0.0088</v>
      </c>
      <c r="G24" s="16" t="n">
        <f aca="false">+Chạy!G20</f>
        <v>1.98</v>
      </c>
      <c r="H24" s="16" t="n">
        <f aca="false">G24+I24</f>
        <v>2.013</v>
      </c>
      <c r="I24" s="16" t="n">
        <f aca="false">RANDBETWEEN(-30,90)/1000</f>
        <v>0.033</v>
      </c>
      <c r="J24" s="16" t="n">
        <f aca="false">+Chạy!K20</f>
        <v>2.1</v>
      </c>
      <c r="K24" s="16" t="n">
        <f aca="false">J24+L24</f>
        <v>2.081</v>
      </c>
      <c r="L24" s="16" t="n">
        <f aca="false">RANDBETWEEN(-30,90)/1000</f>
        <v>-0.019</v>
      </c>
      <c r="M24" s="16" t="n">
        <f aca="false">+Chạy!N20</f>
        <v>11.95</v>
      </c>
      <c r="N24" s="16" t="n">
        <f aca="false">+M24+O24</f>
        <v>11.9574</v>
      </c>
      <c r="O24" s="16" t="n">
        <f aca="false">RANDBETWEEN(-105,115)/10000</f>
        <v>0.0074</v>
      </c>
      <c r="P24" s="16" t="n">
        <f aca="false">+Chạy!O20</f>
        <v>1.98</v>
      </c>
      <c r="Q24" s="16" t="n">
        <f aca="false">P24+R24</f>
        <v>1.974</v>
      </c>
      <c r="R24" s="16" t="n">
        <f aca="false">RANDBETWEEN(-30,90)/1000</f>
        <v>-0.006</v>
      </c>
      <c r="S24" s="17"/>
      <c r="T24" s="0" t="n">
        <v>7.5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474.34</v>
      </c>
      <c r="D25" s="16" t="n">
        <f aca="false">+Chạy!F29</f>
        <v>-11.95</v>
      </c>
      <c r="E25" s="16" t="n">
        <f aca="false">+D25+F25</f>
        <v>-11.9468</v>
      </c>
      <c r="F25" s="16" t="n">
        <f aca="false">RANDBETWEEN(-105,115)/10000</f>
        <v>0.0032</v>
      </c>
      <c r="G25" s="16" t="n">
        <f aca="false">+Chạy!G29</f>
        <v>1.98</v>
      </c>
      <c r="H25" s="16" t="n">
        <f aca="false">G25+I25</f>
        <v>2.005</v>
      </c>
      <c r="I25" s="16" t="n">
        <f aca="false">RANDBETWEEN(-30,90)/1000</f>
        <v>0.025</v>
      </c>
      <c r="J25" s="16" t="n">
        <f aca="false">+Chạy!K29</f>
        <v>2.1</v>
      </c>
      <c r="K25" s="16" t="n">
        <f aca="false">J25+L25</f>
        <v>2.155</v>
      </c>
      <c r="L25" s="16" t="n">
        <f aca="false">RANDBETWEEN(-30,90)/1000</f>
        <v>0.055</v>
      </c>
      <c r="M25" s="16" t="n">
        <f aca="false">+Chạy!N29</f>
        <v>11.95</v>
      </c>
      <c r="N25" s="16" t="n">
        <f aca="false">+M25+O25</f>
        <v>11.9444</v>
      </c>
      <c r="O25" s="16" t="n">
        <f aca="false">RANDBETWEEN(-105,115)/10000</f>
        <v>-0.0056</v>
      </c>
      <c r="P25" s="16" t="n">
        <f aca="false">+Chạy!O29</f>
        <v>1.98</v>
      </c>
      <c r="Q25" s="16" t="n">
        <f aca="false">P25+R25</f>
        <v>2.063</v>
      </c>
      <c r="R25" s="16" t="n">
        <f aca="false">RANDBETWEEN(-30,90)/1000</f>
        <v>0.083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494.34</v>
      </c>
      <c r="D26" s="16" t="n">
        <f aca="false">+Chạy!F38</f>
        <v>-11.95</v>
      </c>
      <c r="E26" s="16" t="n">
        <f aca="false">+D26+F26</f>
        <v>-11.9393</v>
      </c>
      <c r="F26" s="16" t="n">
        <f aca="false">RANDBETWEEN(-105,115)/10000</f>
        <v>0.0107</v>
      </c>
      <c r="G26" s="16" t="n">
        <f aca="false">+Chạy!G38</f>
        <v>1.97</v>
      </c>
      <c r="H26" s="16" t="n">
        <f aca="false">G26+I26</f>
        <v>1.963</v>
      </c>
      <c r="I26" s="16" t="n">
        <f aca="false">RANDBETWEEN(-30,90)/1000</f>
        <v>-0.007</v>
      </c>
      <c r="J26" s="16" t="n">
        <f aca="false">+Chạy!K38</f>
        <v>2.09</v>
      </c>
      <c r="K26" s="16" t="n">
        <f aca="false">J26+L26</f>
        <v>2.08</v>
      </c>
      <c r="L26" s="16" t="n">
        <f aca="false">RANDBETWEEN(-30,90)/1000</f>
        <v>-0.01</v>
      </c>
      <c r="M26" s="16" t="n">
        <f aca="false">+Chạy!N38</f>
        <v>11.95</v>
      </c>
      <c r="N26" s="16" t="n">
        <f aca="false">+M26+O26</f>
        <v>11.9425</v>
      </c>
      <c r="O26" s="16" t="n">
        <f aca="false">RANDBETWEEN(-105,115)/10000</f>
        <v>-0.0075</v>
      </c>
      <c r="P26" s="16" t="n">
        <f aca="false">+Chạy!O38</f>
        <v>1.97</v>
      </c>
      <c r="Q26" s="16" t="n">
        <f aca="false">P26+R26</f>
        <v>2.006</v>
      </c>
      <c r="R26" s="16" t="n">
        <f aca="false">RANDBETWEEN(-30,90)/1000</f>
        <v>0.036</v>
      </c>
      <c r="S26" s="17"/>
      <c r="T26" s="0" t="n">
        <v>17.14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511.48</v>
      </c>
      <c r="D27" s="16" t="n">
        <f aca="false">+Chạy!F47</f>
        <v>-11.95</v>
      </c>
      <c r="E27" s="16" t="n">
        <f aca="false">+D27+F27</f>
        <v>-11.9593</v>
      </c>
      <c r="F27" s="16" t="n">
        <f aca="false">RANDBETWEEN(-105,115)/10000</f>
        <v>-0.0093</v>
      </c>
      <c r="G27" s="16" t="n">
        <f aca="false">+Chạy!G47</f>
        <v>1.96</v>
      </c>
      <c r="H27" s="16" t="n">
        <f aca="false">G27+I27</f>
        <v>1.953</v>
      </c>
      <c r="I27" s="16" t="n">
        <f aca="false">RANDBETWEEN(-30,90)/1000</f>
        <v>-0.007</v>
      </c>
      <c r="J27" s="16" t="n">
        <f aca="false">+Chạy!K47</f>
        <v>2.08</v>
      </c>
      <c r="K27" s="16" t="n">
        <f aca="false">J27+L27</f>
        <v>2.101</v>
      </c>
      <c r="L27" s="16" t="n">
        <f aca="false">RANDBETWEEN(-30,90)/1000</f>
        <v>0.021</v>
      </c>
      <c r="M27" s="16" t="n">
        <f aca="false">+Chạy!N47</f>
        <v>11.95</v>
      </c>
      <c r="N27" s="16" t="n">
        <f aca="false">+M27+O27</f>
        <v>11.9429</v>
      </c>
      <c r="O27" s="16" t="n">
        <f aca="false">RANDBETWEEN(-105,115)/10000</f>
        <v>-0.0071</v>
      </c>
      <c r="P27" s="16" t="n">
        <f aca="false">+Chạy!O47</f>
        <v>1.96</v>
      </c>
      <c r="Q27" s="16" t="n">
        <f aca="false">P27+R27</f>
        <v>1.982</v>
      </c>
      <c r="R27" s="16" t="n">
        <f aca="false">RANDBETWEEN(-30,90)/1000</f>
        <v>0.022</v>
      </c>
      <c r="S27" s="17"/>
      <c r="T27" s="0" t="n">
        <v>3.12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514.6</v>
      </c>
      <c r="D28" s="16" t="n">
        <f aca="false">+Chạy!F56</f>
        <v>-11.95</v>
      </c>
      <c r="E28" s="16" t="n">
        <f aca="false">+D28+F28</f>
        <v>-11.9469</v>
      </c>
      <c r="F28" s="16" t="n">
        <f aca="false">RANDBETWEEN(-105,115)/10000</f>
        <v>0.0031</v>
      </c>
      <c r="G28" s="16" t="n">
        <f aca="false">+Chạy!G56</f>
        <v>1.96</v>
      </c>
      <c r="H28" s="16" t="n">
        <f aca="false">G28+I28</f>
        <v>2.001</v>
      </c>
      <c r="I28" s="16" t="n">
        <f aca="false">RANDBETWEEN(-30,90)/1000</f>
        <v>0.041</v>
      </c>
      <c r="J28" s="16" t="n">
        <f aca="false">+Chạy!K56</f>
        <v>2.08</v>
      </c>
      <c r="K28" s="16" t="n">
        <f aca="false">J28+L28</f>
        <v>2.118</v>
      </c>
      <c r="L28" s="16" t="n">
        <f aca="false">RANDBETWEEN(-30,90)/1000</f>
        <v>0.038</v>
      </c>
      <c r="M28" s="16" t="n">
        <f aca="false">+Chạy!N56</f>
        <v>11.95</v>
      </c>
      <c r="N28" s="16" t="n">
        <f aca="false">+M28+O28</f>
        <v>11.961</v>
      </c>
      <c r="O28" s="16" t="n">
        <f aca="false">RANDBETWEEN(-105,115)/10000</f>
        <v>0.011</v>
      </c>
      <c r="P28" s="16" t="n">
        <f aca="false">+Chạy!O56</f>
        <v>1.96</v>
      </c>
      <c r="Q28" s="16" t="n">
        <f aca="false">P28+R28</f>
        <v>2.042</v>
      </c>
      <c r="R28" s="16" t="n">
        <f aca="false">RANDBETWEEN(-30,90)/1000</f>
        <v>0.082</v>
      </c>
      <c r="S28" s="17"/>
      <c r="T28" s="0" t="n">
        <v>10.48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525.08</v>
      </c>
      <c r="D29" s="16" t="n">
        <f aca="false">+Chạy!F65</f>
        <v>-11.95</v>
      </c>
      <c r="E29" s="16" t="n">
        <f aca="false">+D29+F29</f>
        <v>-11.9431</v>
      </c>
      <c r="F29" s="16" t="n">
        <f aca="false">RANDBETWEEN(-105,115)/10000</f>
        <v>0.0069</v>
      </c>
      <c r="G29" s="16" t="n">
        <f aca="false">+Chạy!G65</f>
        <v>1.95</v>
      </c>
      <c r="H29" s="16" t="n">
        <f aca="false">G29+I29</f>
        <v>1.954</v>
      </c>
      <c r="I29" s="16" t="n">
        <f aca="false">RANDBETWEEN(-30,90)/1000</f>
        <v>0.004</v>
      </c>
      <c r="J29" s="16" t="n">
        <f aca="false">+Chạy!K65</f>
        <v>2.07</v>
      </c>
      <c r="K29" s="16" t="n">
        <f aca="false">J29+L29</f>
        <v>2.13</v>
      </c>
      <c r="L29" s="16" t="n">
        <f aca="false">RANDBETWEEN(-30,90)/1000</f>
        <v>0.06</v>
      </c>
      <c r="M29" s="16" t="n">
        <f aca="false">+Chạy!N65</f>
        <v>11.95</v>
      </c>
      <c r="N29" s="16" t="n">
        <f aca="false">+M29+O29</f>
        <v>11.9519</v>
      </c>
      <c r="O29" s="16" t="n">
        <f aca="false">RANDBETWEEN(-105,115)/10000</f>
        <v>0.0019</v>
      </c>
      <c r="P29" s="16" t="n">
        <f aca="false">+Chạy!O65</f>
        <v>1.95</v>
      </c>
      <c r="Q29" s="16" t="n">
        <f aca="false">P29+R29</f>
        <v>1.935</v>
      </c>
      <c r="R29" s="16" t="n">
        <f aca="false">RANDBETWEEN(-30,90)/1000</f>
        <v>-0.015</v>
      </c>
      <c r="S29" s="17"/>
      <c r="T29" s="0" t="n">
        <v>13.6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538.68</v>
      </c>
      <c r="D30" s="16" t="n">
        <f aca="false">+Chạy!F74</f>
        <v>-11.95</v>
      </c>
      <c r="E30" s="16" t="n">
        <f aca="false">+D30+F30</f>
        <v>-11.9457</v>
      </c>
      <c r="F30" s="16" t="n">
        <f aca="false">RANDBETWEEN(-105,115)/10000</f>
        <v>0.0043</v>
      </c>
      <c r="G30" s="16" t="n">
        <f aca="false">+Chạy!G74</f>
        <v>1.95</v>
      </c>
      <c r="H30" s="16" t="n">
        <f aca="false">G30+I30</f>
        <v>2.028</v>
      </c>
      <c r="I30" s="16" t="n">
        <f aca="false">RANDBETWEEN(-30,90)/1000</f>
        <v>0.078</v>
      </c>
      <c r="J30" s="16" t="n">
        <f aca="false">+Chạy!K74</f>
        <v>2.06</v>
      </c>
      <c r="K30" s="16" t="n">
        <f aca="false">J30+L30</f>
        <v>2.139</v>
      </c>
      <c r="L30" s="16" t="n">
        <f aca="false">RANDBETWEEN(-30,90)/1000</f>
        <v>0.079</v>
      </c>
      <c r="M30" s="16" t="n">
        <f aca="false">+Chạy!N74</f>
        <v>11.95</v>
      </c>
      <c r="N30" s="16" t="n">
        <f aca="false">+M30+O30</f>
        <v>11.9604</v>
      </c>
      <c r="O30" s="16" t="n">
        <f aca="false">RANDBETWEEN(-105,115)/10000</f>
        <v>0.0104</v>
      </c>
      <c r="P30" s="16" t="n">
        <f aca="false">+Chạy!O74</f>
        <v>1.95</v>
      </c>
      <c r="Q30" s="16" t="n">
        <f aca="false">P30+R30</f>
        <v>1.988</v>
      </c>
      <c r="R30" s="16" t="n">
        <f aca="false">RANDBETWEEN(-30,90)/1000</f>
        <v>0.038</v>
      </c>
      <c r="S30" s="17"/>
      <c r="T30" s="0" t="n">
        <v>15.4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554.08</v>
      </c>
      <c r="D31" s="16" t="n">
        <f aca="false">+Chạy!F83</f>
        <v>-11.95</v>
      </c>
      <c r="E31" s="16" t="n">
        <f aca="false">+D31+F31</f>
        <v>-11.9558</v>
      </c>
      <c r="F31" s="16" t="n">
        <f aca="false">RANDBETWEEN(-105,115)/10000</f>
        <v>-0.0058</v>
      </c>
      <c r="G31" s="16" t="n">
        <f aca="false">+Chạy!G83</f>
        <v>1.94</v>
      </c>
      <c r="H31" s="16" t="n">
        <f aca="false">G31+I31</f>
        <v>1.976</v>
      </c>
      <c r="I31" s="16" t="n">
        <f aca="false">RANDBETWEEN(-30,90)/1000</f>
        <v>0.036</v>
      </c>
      <c r="J31" s="16" t="n">
        <f aca="false">+Chạy!K83</f>
        <v>2.06</v>
      </c>
      <c r="K31" s="16" t="n">
        <f aca="false">J31+L31</f>
        <v>2.14</v>
      </c>
      <c r="L31" s="16" t="n">
        <f aca="false">RANDBETWEEN(-30,90)/1000</f>
        <v>0.08</v>
      </c>
      <c r="M31" s="16" t="n">
        <f aca="false">+Chạy!N83</f>
        <v>11.95</v>
      </c>
      <c r="N31" s="16" t="n">
        <f aca="false">+M31+O31</f>
        <v>11.9407</v>
      </c>
      <c r="O31" s="16" t="n">
        <f aca="false">RANDBETWEEN(-105,115)/10000</f>
        <v>-0.0093</v>
      </c>
      <c r="P31" s="16" t="n">
        <f aca="false">+Chạy!O83</f>
        <v>1.94</v>
      </c>
      <c r="Q31" s="16" t="n">
        <f aca="false">P31+R31</f>
        <v>1.937</v>
      </c>
      <c r="R31" s="16" t="n">
        <f aca="false">RANDBETWEEN(-30,90)/1000</f>
        <v>-0.003</v>
      </c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49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50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51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Lê Quốc Huy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16.NĐXD4/CVXD ngày 23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16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33</v>
      </c>
      <c r="B7" s="34"/>
      <c r="D7" s="35" t="str">
        <f>VLOOKUP(AZ2,'[1]Tuyến XD4'!$A$2:$B$60,2,0)</f>
        <v xml:space="preserve">Đắp đất nền đường lớp 9 đoạn từ Km0+441,84 - Km0+554,08,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37</v>
      </c>
      <c r="C9" s="37" t="s">
        <v>38</v>
      </c>
      <c r="D9" s="38" t="s">
        <v>54</v>
      </c>
      <c r="E9" s="39"/>
      <c r="F9" s="39"/>
      <c r="G9" s="38"/>
      <c r="H9" s="39"/>
      <c r="I9" s="39"/>
      <c r="J9" s="39"/>
      <c r="K9" s="39"/>
      <c r="L9" s="39"/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42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56</v>
      </c>
      <c r="O10" s="40" t="s">
        <v>57</v>
      </c>
      <c r="P10" s="40" t="s">
        <v>56</v>
      </c>
      <c r="Q10" s="40" t="s">
        <v>56</v>
      </c>
      <c r="R10" s="40"/>
      <c r="S10" s="40"/>
      <c r="T10" s="40"/>
      <c r="U10" s="40" t="s">
        <v>58</v>
      </c>
      <c r="V10" s="40" t="s">
        <v>58</v>
      </c>
      <c r="W10" s="40" t="s">
        <v>59</v>
      </c>
      <c r="X10" s="40" t="s">
        <v>58</v>
      </c>
      <c r="Y10" s="40" t="s">
        <v>58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24</v>
      </c>
      <c r="C11" s="51" t="n">
        <f aca="false">'9.KTHH L9'!C22</f>
        <v>441.84</v>
      </c>
      <c r="D11" s="13" t="n">
        <f aca="false">'9.KTHH L9'!T22</f>
        <v>12.5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91.375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25</v>
      </c>
      <c r="C12" s="51" t="n">
        <f aca="false">'9.KTHH L9'!C23</f>
        <v>454.34</v>
      </c>
      <c r="D12" s="13" t="n">
        <f aca="false">'9.KTHH L9'!T23</f>
        <v>12.5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91.375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26</v>
      </c>
      <c r="C13" s="51" t="n">
        <f aca="false">'9.KTHH L9'!C24</f>
        <v>466.84</v>
      </c>
      <c r="D13" s="13" t="n">
        <f aca="false">'9.KTHH L9'!T24</f>
        <v>7.5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54.825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27</v>
      </c>
      <c r="C14" s="51" t="n">
        <f aca="false">'9.KTHH L9'!C25</f>
        <v>474.34</v>
      </c>
      <c r="D14" s="13" t="n">
        <f aca="false">'9.KTHH L9'!T25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146.2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28</v>
      </c>
      <c r="C15" s="51" t="n">
        <f aca="false">'9.KTHH L9'!C26</f>
        <v>494.34</v>
      </c>
      <c r="D15" s="13" t="n">
        <f aca="false">'9.KTHH L9'!T26</f>
        <v>17.14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7.31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125.2934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29</v>
      </c>
      <c r="C16" s="51" t="n">
        <f aca="false">'9.KTHH L9'!C27</f>
        <v>511.48</v>
      </c>
      <c r="D16" s="13" t="n">
        <f aca="false">'9.KTHH L9'!T27</f>
        <v>3.12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7.31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22.8072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'9.KTHH L9'!B28</f>
        <v>30</v>
      </c>
      <c r="C17" s="51" t="n">
        <f aca="false">'9.KTHH L9'!C28</f>
        <v>514.6</v>
      </c>
      <c r="D17" s="13" t="n">
        <f aca="false">'9.KTHH L9'!T28</f>
        <v>10.48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7.31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76.6088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'9.KTHH L9'!B29</f>
        <v>D</v>
      </c>
      <c r="C18" s="51" t="n">
        <f aca="false">'9.KTHH L9'!C29</f>
        <v>525.08</v>
      </c>
      <c r="D18" s="13" t="n">
        <f aca="false">'9.KTHH L9'!T29</f>
        <v>13.6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7.31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99.416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'9.KTHH L9'!B30</f>
        <v>31</v>
      </c>
      <c r="C19" s="51" t="n">
        <f aca="false">'9.KTHH L9'!C30</f>
        <v>538.68</v>
      </c>
      <c r="D19" s="13" t="n">
        <f aca="false">'9.KTHH L9'!T30</f>
        <v>15.4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Chạy!E74</f>
        <v>7.31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112.574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'9.KTHH L9'!B31</f>
        <v>32</v>
      </c>
      <c r="C20" s="51" t="n">
        <f aca="false">'9.KTHH L9'!C31</f>
        <v>554.08</v>
      </c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Chạy!E83</f>
        <v>7.31</v>
      </c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60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SUM(W11:W20)</f>
        <v>820.4744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49</v>
      </c>
      <c r="B53" s="19"/>
      <c r="C53" s="19"/>
      <c r="D53" s="77" t="s">
        <v>61</v>
      </c>
      <c r="E53" s="19" t="s">
        <v>50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51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52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2026-10-13T10:11:44Z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