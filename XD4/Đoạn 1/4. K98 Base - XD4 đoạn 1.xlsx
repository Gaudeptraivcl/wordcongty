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<sst xmlns="http://schemas.openxmlformats.org/spreadsheetml/2006/main" count="296" uniqueCount="52">
  <si>
    <t xml:space="preserve">PHỤ LỤC KIỂM TRA CAO ĐỘ, KÍCH THƯỚC HÌNH HỌC</t>
  </si>
  <si>
    <t xml:space="preserve">Kèm theo BBNT số: 17.NĐXD4/CVXD ngày 24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</si>
  <si>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</si>
  <si>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</si>
  <si>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</si>
  <si>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XD4</t>
  </si>
  <si>
    <t xml:space="preserve">- Đối tượng nghiệm thu:</t>
  </si>
  <si>
    <t xml:space="preserve">Đắp đất nền đường lớp 1, độ chặt K&gt;=0,98 đoạn từ Km0+441,84 - Km0+554,08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</si>
  <si>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</si>
  <si>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</si>
  <si>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</si>
  <si>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</si>
  <si>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</si>
  <si>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</si>
  <si>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</si>
  <si>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</si>
  <si>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</si>
  <si>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</si>
  <si>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</si>
  <si>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</si>
  <si>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</si>
  <si>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</si>
  <si>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</si>
  <si>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</si>
  <si>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</si>
  <si>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</si>
  <si>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</si>
  <si>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</si>
  <si>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</si>
  <si>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</si>
  <si>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D</t>
  </si>
  <si>
    <t xml:space="preserve">31</t>
  </si>
  <si>
    <t xml:space="preserve">32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</si>
  <si>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</si>
  <si>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</si>
  <si>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</si>
  <si>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</si>
  <si>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</si>
  <si>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</si>
  <si>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</si>
  <si>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</si>
  <si>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</si>
  <si>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</si>
  <si>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</si>
  <si>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</si>
  <si>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19.NĐXD4/CVXD ngày 25 tháng 08 năm 2026</t>
  </si>
  <si>
    <t xml:space="preserve">Đắp đất nền đường lớp 2, độ chặt K&gt;=0,98 đoạn từ Km0+441,84 - Km0+554,08</t>
  </si>
  <si>
    <t xml:space="preserve">Kèm theo BBNT số: 21.NĐXD4/CVXD ngày 26 tháng 08 năm 2026</t>
  </si>
  <si>
    <t xml:space="preserve">Đắp cấp phối đá dăm loại 2 đoạn từ Km0+441,84 - Km0+554,08</t>
  </si>
  <si>
    <t xml:space="preserve">Kèm theo BBNT số: 24.NĐXD4/CVXD ngày 27 tháng 08 năm 2026</t>
  </si>
  <si>
    <t xml:space="preserve">Đắp cấp phối đá dăm loại 1 đoạn từ Km0+441,84 - Km0+554,08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</si>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</sst>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Km0+441,84 -:- Km0+554,08</v>
          </cell>
          <cell r="D3" t="str">
            <v xml:space="preserve">ngày 15 tháng 08 năm 2026</v>
          </cell>
          <cell r="G3" t="str">
            <v xml:space="preserve">01.NĐXD4/CVXD </v>
          </cell>
        </row>
        <row r="4">
          <cell r="A4">
            <v>2</v>
          </cell>
          <cell r="B4" t="str">
            <v xml:space="preserve">Đào đất xử lý nền đường đoạn từ Km0+441,84 - Km0+554,08</v>
          </cell>
          <cell r="D4" t="str">
            <v xml:space="preserve">ngày 16 tháng 08 năm 2026</v>
          </cell>
          <cell r="G4" t="str">
            <v xml:space="preserve">02.NĐXD4/CVXD </v>
          </cell>
        </row>
        <row r="5">
          <cell r="A5">
            <v>3</v>
          </cell>
          <cell r="B5" t="str">
            <v xml:space="preserve">Rải vải địa kỹ thuật đoạn từ Km0+441,84 - Km0+554,08</v>
          </cell>
          <cell r="D5" t="str">
            <v xml:space="preserve">ngày 17 tháng 08 năm 2026</v>
          </cell>
          <cell r="G5" t="str">
            <v xml:space="preserve">03.NĐXD4/CVXD </v>
          </cell>
        </row>
        <row r="6">
          <cell r="A6">
            <v>4</v>
          </cell>
          <cell r="B6" t="str">
            <v xml:space="preserve">Đắp cát nền đường lớp 1 đoạn từ Km0+441,84 - Km0+554,08, độ chặt K&gt;=0,95</v>
          </cell>
          <cell r="D6" t="str">
            <v xml:space="preserve">ngày 17 tháng 08 năm 2026</v>
          </cell>
          <cell r="G6" t="str">
            <v xml:space="preserve">04.NĐXD4/CVXD </v>
          </cell>
        </row>
        <row r="7">
          <cell r="A7">
            <v>5</v>
          </cell>
          <cell r="B7" t="str">
            <v xml:space="preserve">Đắp cát nền đường lớp 2 đoạn từ Km0+441,84 - Km0+554,08, độ chặt K&gt;=0,95</v>
          </cell>
          <cell r="D7" t="str">
            <v xml:space="preserve">ngày 18 tháng 08 năm 2026</v>
          </cell>
          <cell r="G7" t="str">
            <v xml:space="preserve">05.NĐXD4/CVXD </v>
          </cell>
        </row>
        <row r="8">
          <cell r="A8">
            <v>6</v>
          </cell>
          <cell r="B8" t="str">
            <v xml:space="preserve">Đắp cát nền đường lớp 3 đoạn từ Km0+441,84 - Km0+554,08, độ chặt K&gt;=0,95</v>
          </cell>
          <cell r="D8" t="str">
            <v xml:space="preserve">ngày 18 tháng 08 năm 2026</v>
          </cell>
          <cell r="G8" t="str">
            <v xml:space="preserve">06.NĐXD4/CVXD </v>
          </cell>
        </row>
        <row r="9">
          <cell r="A9">
            <v>7</v>
          </cell>
          <cell r="B9" t="str">
            <v xml:space="preserve">Đắp cát nền đường lớp 4 đoạn từ Km0+441,84 - Km0+554,08, độ chặt K&gt;=0,95</v>
          </cell>
          <cell r="D9" t="str">
            <v xml:space="preserve">ngày 19 tháng 08 năm 2026</v>
          </cell>
          <cell r="G9" t="str">
            <v xml:space="preserve">07.NĐXD4/CVXD </v>
          </cell>
        </row>
        <row r="10">
          <cell r="A10">
            <v>8</v>
          </cell>
          <cell r="B10" t="str">
            <v xml:space="preserve">Đắp đất nền đường lớp 1 đoạn từ Km0+441,84 - Km0+554,08, độ chặt K&gt;=0,95</v>
          </cell>
          <cell r="D10" t="str">
            <v xml:space="preserve">ngày 19 tháng 08 năm 2026</v>
          </cell>
          <cell r="G10" t="str">
            <v xml:space="preserve">08.NĐXD4/CVXD </v>
          </cell>
        </row>
        <row r="11">
          <cell r="A11">
            <v>9</v>
          </cell>
          <cell r="B11" t="str">
            <v xml:space="preserve">Đắp đất nền đường lớp 2 đoạn từ Km0+441,84 - Km0+554,08, độ chặt K&gt;=0,95</v>
          </cell>
          <cell r="D11" t="str">
            <v xml:space="preserve">ngày 20 tháng 08 năm 2026</v>
          </cell>
          <cell r="G11" t="str">
            <v xml:space="preserve">09.NĐXD4/CVXD </v>
          </cell>
        </row>
        <row r="12">
          <cell r="A12">
            <v>10</v>
          </cell>
          <cell r="B12" t="str">
            <v xml:space="preserve">Đắp đất nền đường lớp 3 đoạn từ Km0+441,84 - Km0+554,08, độ chặt K&gt;=0,95</v>
          </cell>
          <cell r="D12" t="str">
            <v xml:space="preserve">ngày 20 tháng 08 năm 2026</v>
          </cell>
          <cell r="G12" t="str">
            <v xml:space="preserve">10.NĐXD4/CVXD </v>
          </cell>
        </row>
        <row r="13">
          <cell r="A13">
            <v>11</v>
          </cell>
          <cell r="B13" t="str">
            <v xml:space="preserve">Đắp đất nền đường lớp 4 đoạn từ Km0+441,84 - Km0+554,08, độ chặt K&gt;=0,95</v>
          </cell>
          <cell r="D13" t="str">
            <v xml:space="preserve">ngày 21 tháng 08 năm 2026</v>
          </cell>
          <cell r="G13" t="str">
            <v xml:space="preserve">11.NĐXD4/CVXD </v>
          </cell>
        </row>
        <row r="14">
          <cell r="A14">
            <v>12</v>
          </cell>
          <cell r="B14" t="str">
            <v xml:space="preserve">Đắp đất nền đường lớp 5 đoạn từ Km0+441,84 - Km0+554,08, độ chặt K&gt;=0,95</v>
          </cell>
          <cell r="D14" t="str">
            <v xml:space="preserve">ngày 21 tháng 08 năm 2026</v>
          </cell>
          <cell r="G14" t="str">
            <v xml:space="preserve">12.NĐXD4/CVXD </v>
          </cell>
        </row>
        <row r="15">
          <cell r="A15">
            <v>13</v>
          </cell>
          <cell r="B15" t="str">
            <v xml:space="preserve">Đắp đất nền đường lớp 6 đoạn từ Km0+441,84 - Km0+554,08, độ chặt K&gt;=0,95</v>
          </cell>
          <cell r="D15" t="str">
            <v xml:space="preserve">ngày 22 tháng 08 năm 2026</v>
          </cell>
          <cell r="G15" t="str">
            <v xml:space="preserve">13.NĐXD4/CVXD </v>
          </cell>
        </row>
        <row r="16">
          <cell r="A16">
            <v>14</v>
          </cell>
          <cell r="B16" t="str">
            <v xml:space="preserve">Đắp đất nền đường lớp 7 đoạn từ Km0+441,84 - Km0+554,08, độ chặt K&gt;=0,95</v>
          </cell>
          <cell r="D16" t="str">
            <v xml:space="preserve">ngày 22 tháng 08 năm 2026</v>
          </cell>
          <cell r="G16" t="str">
            <v xml:space="preserve">14.NĐXD4/CVXD </v>
          </cell>
        </row>
        <row r="17">
          <cell r="A17">
            <v>15</v>
          </cell>
          <cell r="B17" t="str">
            <v xml:space="preserve">Đắp đất nền đường lớp 8 đoạn từ Km0+441,84 - Km0+554,08, độ chặt K&gt;=0,95</v>
          </cell>
          <cell r="D17" t="str">
            <v xml:space="preserve">ngày 23 tháng 08 năm 2026</v>
          </cell>
          <cell r="G17" t="str">
            <v xml:space="preserve">15.NĐXD4/CVXD </v>
          </cell>
        </row>
        <row r="18">
          <cell r="A18">
            <v>16</v>
          </cell>
          <cell r="B18" t="str">
            <v xml:space="preserve">Đắp đất nền đường lớp 9 đoạn từ Km0+441,84 - Km0+554,08, độ chặt K&gt;=0,95</v>
          </cell>
          <cell r="D18" t="str">
            <v xml:space="preserve">ngày 23 tháng 08 năm 2026</v>
          </cell>
          <cell r="G18" t="str">
            <v xml:space="preserve">16.NĐXD4/CVXD </v>
          </cell>
        </row>
        <row r="19">
          <cell r="A19">
            <v>17</v>
          </cell>
          <cell r="B19" t="str">
            <v xml:space="preserve">Đắp đất nền đường lớp 1, độ chặt K&gt;=0,98 đoạn từ Km0+441,84 - Km0+554,08</v>
          </cell>
          <cell r="D19" t="str">
            <v xml:space="preserve">ngày 24 tháng 08 năm 2026</v>
          </cell>
          <cell r="G19" t="str">
            <v xml:space="preserve">17.NĐXD4/CVXD </v>
          </cell>
        </row>
        <row r="20">
          <cell r="A20">
            <v>18</v>
          </cell>
          <cell r="B20" t="str">
            <v xml:space="preserve">Đắp đất lề đường lớp 1, độ chặt K&gt;=0,95 đoạn từ Km0+441,84 - Km0+554,08</v>
          </cell>
          <cell r="D20" t="str">
            <v xml:space="preserve">ngày 24 tháng 08 năm 2026</v>
          </cell>
          <cell r="G20" t="str">
            <v xml:space="preserve">18.NĐXD4/CVXD </v>
          </cell>
        </row>
        <row r="21">
          <cell r="A21">
            <v>19</v>
          </cell>
          <cell r="B21" t="str">
            <v xml:space="preserve">Đắp đất nền đường lớp 2, độ chặt K&gt;=0,98 đoạn từ Km0+441,84 - Km0+554,08</v>
          </cell>
          <cell r="D21" t="str">
            <v xml:space="preserve">ngày 25 tháng 08 năm 2026</v>
          </cell>
          <cell r="G21" t="str">
            <v xml:space="preserve">19.NĐXD4/CVXD </v>
          </cell>
        </row>
        <row r="22">
          <cell r="A22">
            <v>20</v>
          </cell>
          <cell r="B22" t="str">
            <v xml:space="preserve">Đắp đất lề đường lớp 2, độ chặt K&gt;=0,95 đoạn từ Km0+441,84 - Km0+554,08</v>
          </cell>
          <cell r="D22" t="str">
            <v xml:space="preserve">ngày 25 tháng 08 năm 2026</v>
          </cell>
          <cell r="G22" t="str">
            <v xml:space="preserve">20.NĐXD4/CVXD </v>
          </cell>
        </row>
        <row r="23">
          <cell r="A23">
            <v>21</v>
          </cell>
          <cell r="B23" t="str">
            <v xml:space="preserve">Đắp cấp phối đá dăm loại 2 đoạn từ Km0+441,84 - Km0+554,08</v>
          </cell>
          <cell r="D23" t="str">
            <v xml:space="preserve">ngày 26 tháng 08 năm 2026</v>
          </cell>
          <cell r="G23" t="str">
            <v xml:space="preserve">21.NĐXD4/CVXD </v>
          </cell>
        </row>
        <row r="24">
          <cell r="A24">
            <v>22</v>
          </cell>
          <cell r="B24" t="str">
            <v xml:space="preserve">Đắp đất lề đường lớp 3, độ chặt K&gt;=0,95 đoạn từ Km0+441,84 - Km0+554,08</v>
          </cell>
          <cell r="D24" t="str">
            <v xml:space="preserve">ngày 26 tháng 08 năm 2026</v>
          </cell>
          <cell r="G24" t="str">
            <v xml:space="preserve">22.NĐXD4/CVXD </v>
          </cell>
        </row>
        <row r="25">
          <cell r="A25">
            <v>23</v>
          </cell>
          <cell r="B25" t="str">
            <v xml:space="preserve">Đắp đất lề đường lớp 4, độ chặt K&gt;=0,95 đoạn từ Km0+441,84 - Km0+554,08</v>
          </cell>
          <cell r="D25" t="str">
            <v xml:space="preserve">ngày 27 tháng 08 năm 2026</v>
          </cell>
          <cell r="G25" t="str">
            <v xml:space="preserve">23.NĐXD4/CVXD </v>
          </cell>
        </row>
        <row r="26">
          <cell r="A26">
            <v>24</v>
          </cell>
          <cell r="B26" t="str">
            <v xml:space="preserve">Đắp cấp phối đá dăm loại 1 đoạn từ Km0+441,84 - Km0+554,08</v>
          </cell>
          <cell r="D26" t="str">
            <v xml:space="preserve">ngày 27 tháng 08 năm 2026</v>
          </cell>
          <cell r="G26" t="str">
            <v xml:space="preserve">24.NĐXD4/CVXD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25.NĐXD4/CVXD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26.NĐXD4/CVXD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27.NĐXD4/CVXD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17.NĐXD4/CVXD ngày 24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17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đất nền đường lớp 1, độ chặt K&gt;=0,98 đoạn từ Km0+441,84 - Km0+554,08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441.84</v>
      </c>
      <c r="D23" s="16" t="n">
        <v>-5.25</v>
      </c>
      <c r="E23" s="16" t="n">
        <f aca="false">+D23+F23</f>
        <v>-5.2566</v>
      </c>
      <c r="F23" s="16" t="n">
        <f aca="false">RANDBETWEEN(-105,115)/10000</f>
        <v>-0.0066</v>
      </c>
      <c r="G23" s="16" t="n">
        <f aca="false">J23-4.95*2%-0.3*6%</f>
        <v>2.247</v>
      </c>
      <c r="H23" s="16" t="n">
        <f aca="false">G23+I23</f>
        <v>2.294</v>
      </c>
      <c r="I23" s="16" t="n">
        <f aca="false">RANDBETWEEN(-20,70)/1000</f>
        <v>0.047</v>
      </c>
      <c r="J23" s="16" t="n">
        <f aca="false">W23+0.25</f>
        <v>2.364</v>
      </c>
      <c r="K23" s="16" t="n">
        <f aca="false">J23+L23</f>
        <v>2.421</v>
      </c>
      <c r="L23" s="16" t="n">
        <f aca="false">RANDBETWEEN(-20,70)/1000</f>
        <v>0.057</v>
      </c>
      <c r="M23" s="16" t="n">
        <v>5.25</v>
      </c>
      <c r="N23" s="16" t="n">
        <f aca="false">+M23+O23</f>
        <v>5.2462</v>
      </c>
      <c r="O23" s="16" t="n">
        <f aca="false">RANDBETWEEN(-105,115)/10000</f>
        <v>-0.0038</v>
      </c>
      <c r="P23" s="16" t="n">
        <f aca="false">G23</f>
        <v>2.247</v>
      </c>
      <c r="Q23" s="16" t="n">
        <f aca="false">P23+R23</f>
        <v>2.281</v>
      </c>
      <c r="R23" s="16" t="n">
        <f aca="false">RANDBETWEEN(-20,70)/1000</f>
        <v>0.034</v>
      </c>
      <c r="S23" s="17"/>
      <c r="T23" s="18" t="n">
        <v>12.5</v>
      </c>
      <c r="V23" s="19"/>
      <c r="W23" s="20" t="n">
        <v>2.114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454.34</v>
      </c>
      <c r="D24" s="16" t="n">
        <v>-5.25</v>
      </c>
      <c r="E24" s="16" t="n">
        <f aca="false">+D24+F24</f>
        <v>-5.242</v>
      </c>
      <c r="F24" s="16" t="n">
        <f aca="false">RANDBETWEEN(-105,115)/10000</f>
        <v>0.008</v>
      </c>
      <c r="G24" s="16" t="n">
        <f aca="false">J24-4.95*2%-0.3*6%</f>
        <v>2.24</v>
      </c>
      <c r="H24" s="16" t="n">
        <f aca="false">G24+I24</f>
        <v>2.281</v>
      </c>
      <c r="I24" s="16" t="n">
        <f aca="false">RANDBETWEEN(-20,70)/1000</f>
        <v>0.041</v>
      </c>
      <c r="J24" s="16" t="n">
        <f aca="false">W24+0.25</f>
        <v>2.357</v>
      </c>
      <c r="K24" s="16" t="n">
        <f aca="false">J24+L24</f>
        <v>2.349</v>
      </c>
      <c r="L24" s="16" t="n">
        <f aca="false">RANDBETWEEN(-20,70)/1000</f>
        <v>-0.008</v>
      </c>
      <c r="M24" s="16" t="n">
        <v>5.25</v>
      </c>
      <c r="N24" s="16" t="n">
        <f aca="false">+M24+O24</f>
        <v>5.25</v>
      </c>
      <c r="O24" s="16" t="n">
        <f aca="false">RANDBETWEEN(-105,115)/10000</f>
        <v>0</v>
      </c>
      <c r="P24" s="16" t="n">
        <f aca="false">G24</f>
        <v>2.24</v>
      </c>
      <c r="Q24" s="16" t="n">
        <f aca="false">P24+R24</f>
        <v>2.249</v>
      </c>
      <c r="R24" s="16" t="n">
        <f aca="false">RANDBETWEEN(-20,70)/1000</f>
        <v>0.009</v>
      </c>
      <c r="S24" s="17"/>
      <c r="T24" s="18" t="n">
        <v>12.5</v>
      </c>
      <c r="V24" s="19"/>
      <c r="W24" s="20" t="n">
        <v>2.107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466.84</v>
      </c>
      <c r="D25" s="16" t="n">
        <v>-5.25</v>
      </c>
      <c r="E25" s="16" t="n">
        <f aca="false">+D25+F25</f>
        <v>-5.2481</v>
      </c>
      <c r="F25" s="16" t="n">
        <f aca="false">RANDBETWEEN(-105,115)/10000</f>
        <v>0.0019</v>
      </c>
      <c r="G25" s="16" t="n">
        <f aca="false">J25-4.95*2%-0.3*6%</f>
        <v>2.234</v>
      </c>
      <c r="H25" s="16" t="n">
        <f aca="false">G25+I25</f>
        <v>2.257</v>
      </c>
      <c r="I25" s="16" t="n">
        <f aca="false">RANDBETWEEN(-20,70)/1000</f>
        <v>0.023</v>
      </c>
      <c r="J25" s="16" t="n">
        <f aca="false">W25+0.25</f>
        <v>2.351</v>
      </c>
      <c r="K25" s="16" t="n">
        <f aca="false">J25+L25</f>
        <v>2.405</v>
      </c>
      <c r="L25" s="16" t="n">
        <f aca="false">RANDBETWEEN(-20,70)/1000</f>
        <v>0.054</v>
      </c>
      <c r="M25" s="16" t="n">
        <v>5.25</v>
      </c>
      <c r="N25" s="16" t="n">
        <f aca="false">+M25+O25</f>
        <v>5.2457</v>
      </c>
      <c r="O25" s="16" t="n">
        <f aca="false">RANDBETWEEN(-105,115)/10000</f>
        <v>-0.0043</v>
      </c>
      <c r="P25" s="16" t="n">
        <f aca="false">G25</f>
        <v>2.234</v>
      </c>
      <c r="Q25" s="16" t="n">
        <f aca="false">P25+R25</f>
        <v>2.266</v>
      </c>
      <c r="R25" s="16" t="n">
        <f aca="false">RANDBETWEEN(-20,70)/1000</f>
        <v>0.032</v>
      </c>
      <c r="S25" s="17"/>
      <c r="T25" s="18" t="n">
        <v>7.5</v>
      </c>
      <c r="V25" s="19"/>
      <c r="W25" s="20" t="n">
        <v>2.101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474.34</v>
      </c>
      <c r="D26" s="16" t="n">
        <v>-5.25</v>
      </c>
      <c r="E26" s="16" t="n">
        <f aca="false">+D26+F26</f>
        <v>-5.2499</v>
      </c>
      <c r="F26" s="16" t="n">
        <f aca="false">RANDBETWEEN(-105,115)/10000</f>
        <v>0.0001</v>
      </c>
      <c r="G26" s="16" t="n">
        <f aca="false">J26-4.95*2%-0.3*6%</f>
        <v>2.23</v>
      </c>
      <c r="H26" s="16" t="n">
        <f aca="false">G26+I26</f>
        <v>2.298</v>
      </c>
      <c r="I26" s="16" t="n">
        <f aca="false">RANDBETWEEN(-20,70)/1000</f>
        <v>0.068</v>
      </c>
      <c r="J26" s="16" t="n">
        <f aca="false">W26+0.25</f>
        <v>2.347</v>
      </c>
      <c r="K26" s="16" t="n">
        <f aca="false">J26+L26</f>
        <v>2.34</v>
      </c>
      <c r="L26" s="16" t="n">
        <f aca="false">RANDBETWEEN(-20,70)/1000</f>
        <v>-0.007</v>
      </c>
      <c r="M26" s="16" t="n">
        <v>5.25</v>
      </c>
      <c r="N26" s="16" t="n">
        <f aca="false">+M26+O26</f>
        <v>5.2531</v>
      </c>
      <c r="O26" s="16" t="n">
        <f aca="false">RANDBETWEEN(-105,115)/10000</f>
        <v>0.0031</v>
      </c>
      <c r="P26" s="16" t="n">
        <f aca="false">G26</f>
        <v>2.23</v>
      </c>
      <c r="Q26" s="16" t="n">
        <f aca="false">P26+R26</f>
        <v>2.292</v>
      </c>
      <c r="R26" s="16" t="n">
        <f aca="false">RANDBETWEEN(-20,70)/1000</f>
        <v>0.062</v>
      </c>
      <c r="S26" s="17"/>
      <c r="T26" s="18" t="n">
        <v>20</v>
      </c>
      <c r="V26" s="19"/>
      <c r="W26" s="20" t="n">
        <v>2.097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494.34</v>
      </c>
      <c r="D27" s="16" t="n">
        <v>-5.25</v>
      </c>
      <c r="E27" s="16" t="n">
        <f aca="false">+D27+F27</f>
        <v>-5.2426</v>
      </c>
      <c r="F27" s="16" t="n">
        <f aca="false">RANDBETWEEN(-105,115)/10000</f>
        <v>0.0074</v>
      </c>
      <c r="G27" s="16" t="n">
        <f aca="false">J27-4.95*2%-0.3*6%</f>
        <v>2.219</v>
      </c>
      <c r="H27" s="16" t="n">
        <f aca="false">G27+I27</f>
        <v>2.23</v>
      </c>
      <c r="I27" s="16" t="n">
        <f aca="false">RANDBETWEEN(-20,70)/1000</f>
        <v>0.011</v>
      </c>
      <c r="J27" s="16" t="n">
        <f aca="false">W27+0.25</f>
        <v>2.336</v>
      </c>
      <c r="K27" s="16" t="n">
        <f aca="false">J27+L27</f>
        <v>2.324</v>
      </c>
      <c r="L27" s="16" t="n">
        <f aca="false">RANDBETWEEN(-20,70)/1000</f>
        <v>-0.012</v>
      </c>
      <c r="M27" s="16" t="n">
        <v>5.25</v>
      </c>
      <c r="N27" s="16" t="n">
        <f aca="false">+M27+O27</f>
        <v>5.2423</v>
      </c>
      <c r="O27" s="16" t="n">
        <f aca="false">RANDBETWEEN(-105,115)/10000</f>
        <v>-0.0077</v>
      </c>
      <c r="P27" s="16" t="n">
        <f aca="false">G27</f>
        <v>2.219</v>
      </c>
      <c r="Q27" s="16" t="n">
        <f aca="false">P27+R27</f>
        <v>2.252</v>
      </c>
      <c r="R27" s="16" t="n">
        <f aca="false">RANDBETWEEN(-20,70)/1000</f>
        <v>0.033</v>
      </c>
      <c r="S27" s="17"/>
      <c r="T27" s="18" t="n">
        <v>17.14</v>
      </c>
      <c r="V27" s="19"/>
      <c r="W27" s="20" t="n">
        <v>2.086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511.48</v>
      </c>
      <c r="D28" s="16" t="n">
        <v>-5.25</v>
      </c>
      <c r="E28" s="16" t="n">
        <f aca="false">+D28+F28</f>
        <v>-5.2395</v>
      </c>
      <c r="F28" s="16" t="n">
        <f aca="false">RANDBETWEEN(-105,115)/10000</f>
        <v>0.0105</v>
      </c>
      <c r="G28" s="16" t="n">
        <f aca="false">J28-4.95*2%-0.3*6%</f>
        <v>2.21</v>
      </c>
      <c r="H28" s="16" t="n">
        <f aca="false">G28+I28</f>
        <v>2.253</v>
      </c>
      <c r="I28" s="16" t="n">
        <f aca="false">RANDBETWEEN(-20,70)/1000</f>
        <v>0.043</v>
      </c>
      <c r="J28" s="16" t="n">
        <f aca="false">W28+0.25</f>
        <v>2.327</v>
      </c>
      <c r="K28" s="16" t="n">
        <f aca="false">J28+L28</f>
        <v>2.34</v>
      </c>
      <c r="L28" s="16" t="n">
        <f aca="false">RANDBETWEEN(-20,70)/1000</f>
        <v>0.013</v>
      </c>
      <c r="M28" s="16" t="n">
        <v>5.25</v>
      </c>
      <c r="N28" s="16" t="n">
        <f aca="false">+M28+O28</f>
        <v>5.2534</v>
      </c>
      <c r="O28" s="16" t="n">
        <f aca="false">RANDBETWEEN(-105,115)/10000</f>
        <v>0.0034</v>
      </c>
      <c r="P28" s="16" t="n">
        <f aca="false">G28</f>
        <v>2.21</v>
      </c>
      <c r="Q28" s="16" t="n">
        <f aca="false">P28+R28</f>
        <v>2.202</v>
      </c>
      <c r="R28" s="16" t="n">
        <f aca="false">RANDBETWEEN(-20,70)/1000</f>
        <v>-0.008</v>
      </c>
      <c r="S28" s="17"/>
      <c r="T28" s="18" t="n">
        <v>3.12</v>
      </c>
      <c r="V28" s="19"/>
      <c r="W28" s="20" t="n">
        <v>2.077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514.6</v>
      </c>
      <c r="D29" s="16" t="n">
        <v>-5.25</v>
      </c>
      <c r="E29" s="16" t="n">
        <f aca="false">+D29+F29</f>
        <v>-5.2403</v>
      </c>
      <c r="F29" s="16" t="n">
        <f aca="false">RANDBETWEEN(-105,115)/10000</f>
        <v>0.0097</v>
      </c>
      <c r="G29" s="16" t="n">
        <f aca="false">J29-4.95*2%-0.3*6%</f>
        <v>2.208</v>
      </c>
      <c r="H29" s="16" t="n">
        <f aca="false">G29+I29</f>
        <v>2.216</v>
      </c>
      <c r="I29" s="16" t="n">
        <f aca="false">RANDBETWEEN(-20,70)/1000</f>
        <v>0.008</v>
      </c>
      <c r="J29" s="16" t="n">
        <f aca="false">W29+0.25</f>
        <v>2.325</v>
      </c>
      <c r="K29" s="16" t="n">
        <f aca="false">J29+L29</f>
        <v>2.371</v>
      </c>
      <c r="L29" s="16" t="n">
        <f aca="false">RANDBETWEEN(-20,70)/1000</f>
        <v>0.046</v>
      </c>
      <c r="M29" s="16" t="n">
        <v>5.25</v>
      </c>
      <c r="N29" s="16" t="n">
        <f aca="false">+M29+O29</f>
        <v>5.2559</v>
      </c>
      <c r="O29" s="16" t="n">
        <f aca="false">RANDBETWEEN(-105,115)/10000</f>
        <v>0.0059</v>
      </c>
      <c r="P29" s="16" t="n">
        <f aca="false">G29</f>
        <v>2.208</v>
      </c>
      <c r="Q29" s="16" t="n">
        <f aca="false">P29+R29</f>
        <v>2.213</v>
      </c>
      <c r="R29" s="16" t="n">
        <f aca="false">RANDBETWEEN(-20,70)/1000</f>
        <v>0.005</v>
      </c>
      <c r="S29" s="17"/>
      <c r="T29" s="18" t="n">
        <v>10.48</v>
      </c>
      <c r="V29" s="19"/>
      <c r="W29" s="20" t="n">
        <v>2.075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525.08</v>
      </c>
      <c r="D30" s="16" t="n">
        <v>-5.25</v>
      </c>
      <c r="E30" s="16" t="n">
        <f aca="false">+D30+F30</f>
        <v>-5.2479</v>
      </c>
      <c r="F30" s="16" t="n">
        <f aca="false">RANDBETWEEN(-105,115)/10000</f>
        <v>0.0021</v>
      </c>
      <c r="G30" s="16" t="n">
        <f aca="false">J30-4.95*2%-0.3*6%</f>
        <v>2.203</v>
      </c>
      <c r="H30" s="16" t="n">
        <f aca="false">G30+I30</f>
        <v>2.2</v>
      </c>
      <c r="I30" s="16" t="n">
        <f aca="false">RANDBETWEEN(-20,70)/1000</f>
        <v>-0.003</v>
      </c>
      <c r="J30" s="16" t="n">
        <f aca="false">W30+0.25</f>
        <v>2.32</v>
      </c>
      <c r="K30" s="16" t="n">
        <f aca="false">J30+L30</f>
        <v>2.341</v>
      </c>
      <c r="L30" s="16" t="n">
        <f aca="false">RANDBETWEEN(-20,70)/1000</f>
        <v>0.021</v>
      </c>
      <c r="M30" s="16" t="n">
        <v>5.25</v>
      </c>
      <c r="N30" s="16" t="n">
        <f aca="false">+M30+O30</f>
        <v>5.2451</v>
      </c>
      <c r="O30" s="16" t="n">
        <f aca="false">RANDBETWEEN(-105,115)/10000</f>
        <v>-0.0049</v>
      </c>
      <c r="P30" s="16" t="n">
        <f aca="false">G30</f>
        <v>2.203</v>
      </c>
      <c r="Q30" s="16" t="n">
        <f aca="false">P30+R30</f>
        <v>2.269</v>
      </c>
      <c r="R30" s="16" t="n">
        <f aca="false">RANDBETWEEN(-20,70)/1000</f>
        <v>0.066</v>
      </c>
      <c r="S30" s="17"/>
      <c r="T30" s="18" t="n">
        <v>13.6</v>
      </c>
      <c r="V30" s="19"/>
      <c r="W30" s="20" t="n">
        <v>2.07</v>
      </c>
    </row>
    <row r="31" s="10" customFormat="true" ht="18" hidden="false" customHeight="true" outlineLevel="0" collapsed="false">
      <c r="A31" s="13" t="n">
        <v>9</v>
      </c>
      <c r="B31" s="14" t="s">
        <v>31</v>
      </c>
      <c r="C31" s="15" t="n">
        <f aca="false">+C30+T30</f>
        <v>538.68</v>
      </c>
      <c r="D31" s="16" t="n">
        <v>-5.25</v>
      </c>
      <c r="E31" s="16" t="n">
        <f aca="false">+D31+F31</f>
        <v>-5.257</v>
      </c>
      <c r="F31" s="16" t="n">
        <f aca="false">RANDBETWEEN(-105,115)/10000</f>
        <v>-0.007</v>
      </c>
      <c r="G31" s="16" t="n">
        <f aca="false">J31-4.95*2%-0.3*6%</f>
        <v>2.196</v>
      </c>
      <c r="H31" s="16" t="n">
        <f aca="false">G31+I31</f>
        <v>2.24</v>
      </c>
      <c r="I31" s="16" t="n">
        <f aca="false">RANDBETWEEN(-20,70)/1000</f>
        <v>0.044</v>
      </c>
      <c r="J31" s="16" t="n">
        <f aca="false">W31+0.25</f>
        <v>2.313</v>
      </c>
      <c r="K31" s="16" t="n">
        <f aca="false">J31+L31</f>
        <v>2.319</v>
      </c>
      <c r="L31" s="16" t="n">
        <f aca="false">RANDBETWEEN(-20,70)/1000</f>
        <v>0.006</v>
      </c>
      <c r="M31" s="16" t="n">
        <v>5.25</v>
      </c>
      <c r="N31" s="16" t="n">
        <f aca="false">+M31+O31</f>
        <v>5.2479</v>
      </c>
      <c r="O31" s="16" t="n">
        <f aca="false">RANDBETWEEN(-105,115)/10000</f>
        <v>-0.0021</v>
      </c>
      <c r="P31" s="16" t="n">
        <f aca="false">G31</f>
        <v>2.196</v>
      </c>
      <c r="Q31" s="16" t="n">
        <f aca="false">P31+R31</f>
        <v>2.204</v>
      </c>
      <c r="R31" s="16" t="n">
        <f aca="false">RANDBETWEEN(-20,70)/1000</f>
        <v>0.008</v>
      </c>
      <c r="S31" s="17"/>
      <c r="T31" s="18" t="n">
        <v>15.4</v>
      </c>
      <c r="V31" s="19"/>
      <c r="W31" s="20" t="n">
        <v>2.063</v>
      </c>
    </row>
    <row r="32" s="10" customFormat="true" ht="18" hidden="false" customHeight="true" outlineLevel="0" collapsed="false">
      <c r="A32" s="13" t="n">
        <v>10</v>
      </c>
      <c r="B32" s="14" t="s">
        <v>32</v>
      </c>
      <c r="C32" s="15" t="n">
        <f aca="false">+C31+T31</f>
        <v>554.08</v>
      </c>
      <c r="D32" s="16" t="n">
        <v>-5.25</v>
      </c>
      <c r="E32" s="16" t="n">
        <f aca="false">+D32+F32</f>
        <v>-5.2428</v>
      </c>
      <c r="F32" s="16" t="n">
        <f aca="false">RANDBETWEEN(-105,115)/10000</f>
        <v>0.0072</v>
      </c>
      <c r="G32" s="16" t="n">
        <f aca="false">J32-4.95*2%-0.3*6%</f>
        <v>2.188</v>
      </c>
      <c r="H32" s="16" t="n">
        <f aca="false">G32+I32</f>
        <v>2.171</v>
      </c>
      <c r="I32" s="16" t="n">
        <f aca="false">RANDBETWEEN(-20,70)/1000</f>
        <v>-0.017</v>
      </c>
      <c r="J32" s="16" t="n">
        <f aca="false">W32+0.25</f>
        <v>2.305</v>
      </c>
      <c r="K32" s="16" t="n">
        <f aca="false">J32+L32</f>
        <v>2.352</v>
      </c>
      <c r="L32" s="16" t="n">
        <f aca="false">RANDBETWEEN(-20,70)/1000</f>
        <v>0.047</v>
      </c>
      <c r="M32" s="16" t="n">
        <v>5.25</v>
      </c>
      <c r="N32" s="16" t="n">
        <f aca="false">+M32+O32</f>
        <v>5.2555</v>
      </c>
      <c r="O32" s="16" t="n">
        <f aca="false">RANDBETWEEN(-105,115)/10000</f>
        <v>0.0055</v>
      </c>
      <c r="P32" s="16" t="n">
        <f aca="false">G32</f>
        <v>2.188</v>
      </c>
      <c r="Q32" s="16" t="n">
        <f aca="false">P32+R32</f>
        <v>2.185</v>
      </c>
      <c r="R32" s="16" t="n">
        <f aca="false">RANDBETWEEN(-20,70)/1000</f>
        <v>-0.003</v>
      </c>
      <c r="S32" s="17"/>
      <c r="T32" s="18"/>
      <c r="V32" s="19"/>
      <c r="W32" s="20" t="n">
        <v>2.055</v>
      </c>
    </row>
    <row r="33" s="10" customFormat="true" ht="18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  <c r="W33" s="20"/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33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34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35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36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17.NĐXD4/CVXD ngày 24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17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đất nền đường lớp 1, độ chặt K&gt;=0,98 đoạn từ Km0+441,84 - Km0+554,08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38</v>
      </c>
      <c r="B9" s="36" t="s">
        <v>10</v>
      </c>
      <c r="C9" s="36" t="s">
        <v>11</v>
      </c>
      <c r="D9" s="37" t="s">
        <v>39</v>
      </c>
      <c r="E9" s="38"/>
      <c r="F9" s="38"/>
      <c r="G9" s="37"/>
      <c r="H9" s="38"/>
      <c r="I9" s="38"/>
      <c r="J9" s="38"/>
      <c r="K9" s="38"/>
      <c r="L9" s="38"/>
      <c r="M9" s="39" t="s">
        <v>40</v>
      </c>
      <c r="N9" s="40"/>
      <c r="O9" s="41" t="s">
        <v>41</v>
      </c>
      <c r="P9" s="42"/>
      <c r="Q9" s="42"/>
      <c r="R9" s="42"/>
      <c r="S9" s="42"/>
      <c r="T9" s="42"/>
      <c r="U9" s="42"/>
      <c r="V9" s="42"/>
      <c r="W9" s="41" t="s">
        <v>42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41</v>
      </c>
      <c r="O10" s="41"/>
      <c r="P10" s="41" t="s">
        <v>41</v>
      </c>
      <c r="Q10" s="41" t="s">
        <v>41</v>
      </c>
      <c r="R10" s="41"/>
      <c r="S10" s="41"/>
      <c r="T10" s="41"/>
      <c r="U10" s="41" t="s">
        <v>42</v>
      </c>
      <c r="V10" s="41" t="s">
        <v>42</v>
      </c>
      <c r="W10" s="41"/>
      <c r="X10" s="41" t="s">
        <v>42</v>
      </c>
      <c r="Y10" s="41" t="s">
        <v>42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24</v>
      </c>
      <c r="C11" s="15" t="n">
        <f aca="false">'KTHH Lớp 1'!C23</f>
        <v>441.84</v>
      </c>
      <c r="D11" s="13" t="n">
        <f aca="false">'KTHH Lớp 1'!T23</f>
        <v>12.5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32.8125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25</v>
      </c>
      <c r="C12" s="15" t="n">
        <f aca="false">'KTHH Lớp 1'!C24</f>
        <v>454.34</v>
      </c>
      <c r="D12" s="13" t="n">
        <f aca="false">'KTHH Lớp 1'!T24</f>
        <v>12.5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32.8125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26</v>
      </c>
      <c r="C13" s="15" t="n">
        <f aca="false">'KTHH Lớp 1'!C25</f>
        <v>466.84</v>
      </c>
      <c r="D13" s="13" t="n">
        <f aca="false">'KTHH Lớp 1'!T25</f>
        <v>7.5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19.6875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27</v>
      </c>
      <c r="C14" s="15" t="n">
        <f aca="false">'KTHH Lớp 1'!C26</f>
        <v>474.34</v>
      </c>
      <c r="D14" s="13" t="n">
        <f aca="false">'KTHH Lớp 1'!T26</f>
        <v>20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52.5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28</v>
      </c>
      <c r="C15" s="15" t="n">
        <f aca="false">'KTHH Lớp 1'!C27</f>
        <v>494.34</v>
      </c>
      <c r="D15" s="13" t="n">
        <f aca="false">'KTHH Lớp 1'!T27</f>
        <v>17.14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44.9925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29</v>
      </c>
      <c r="C16" s="15" t="n">
        <f aca="false">'KTHH Lớp 1'!C28</f>
        <v>511.48</v>
      </c>
      <c r="D16" s="13" t="n">
        <f aca="false">'KTHH Lớp 1'!T28</f>
        <v>3.12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8.19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30</v>
      </c>
      <c r="C17" s="15" t="n">
        <f aca="false">'KTHH Lớp 1'!C29</f>
        <v>514.6</v>
      </c>
      <c r="D17" s="13" t="n">
        <f aca="false">'KTHH Lớp 1'!T29</f>
        <v>10.48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27.51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D</v>
      </c>
      <c r="C18" s="15" t="n">
        <f aca="false">'KTHH Lớp 1'!C30</f>
        <v>525.08</v>
      </c>
      <c r="D18" s="13" t="n">
        <f aca="false">'KTHH Lớp 1'!T30</f>
        <v>13.6</v>
      </c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 t="n">
        <f aca="false">(O18+O19)*D18/2</f>
        <v>35.7</v>
      </c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false" customHeight="true" outlineLevel="0" collapsed="false">
      <c r="A19" s="13" t="n">
        <v>9</v>
      </c>
      <c r="B19" s="13" t="str">
        <f aca="false">'KTHH Lớp 1'!B31</f>
        <v>31</v>
      </c>
      <c r="C19" s="15" t="n">
        <f aca="false">'KTHH Lớp 1'!C31</f>
        <v>538.68</v>
      </c>
      <c r="D19" s="13" t="n">
        <f aca="false">'KTHH Lớp 1'!T31</f>
        <v>15.4</v>
      </c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 t="n">
        <f aca="false">10.5*0.25</f>
        <v>2.625</v>
      </c>
      <c r="P19" s="52"/>
      <c r="Q19" s="52"/>
      <c r="R19" s="54"/>
      <c r="S19" s="54"/>
      <c r="T19" s="54"/>
      <c r="U19" s="54"/>
      <c r="V19" s="54"/>
      <c r="W19" s="54" t="n">
        <f aca="false">(O19+O20)*D19/2</f>
        <v>40.425</v>
      </c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false" customHeight="true" outlineLevel="0" collapsed="false">
      <c r="A20" s="13" t="n">
        <v>10</v>
      </c>
      <c r="B20" s="13" t="str">
        <f aca="false">'KTHH Lớp 1'!B32</f>
        <v>32</v>
      </c>
      <c r="C20" s="15" t="n">
        <f aca="false">'KTHH Lớp 1'!C32</f>
        <v>554.08</v>
      </c>
      <c r="D20" s="13"/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 t="n">
        <f aca="false">10.5*0.25</f>
        <v>2.625</v>
      </c>
      <c r="P20" s="52"/>
      <c r="Q20" s="52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true" customHeight="true" outlineLevel="0" collapsed="false">
      <c r="A21" s="13"/>
      <c r="B21" s="13"/>
      <c r="C21" s="15"/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/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43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SUM(W11:W20)</f>
        <v>294.63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33</v>
      </c>
      <c r="B51" s="21"/>
      <c r="C51" s="21"/>
      <c r="D51" s="75" t="s">
        <v>44</v>
      </c>
      <c r="E51" s="21" t="s">
        <v>34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35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36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19.NĐXD4/CVXD ngày 25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19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đất nền đường lớp 2, độ chặt K&gt;=0,98 đoạn từ Km0+441,84 - Km0+554,08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441.84</v>
      </c>
      <c r="D23" s="16" t="n">
        <v>-5.25</v>
      </c>
      <c r="E23" s="16" t="n">
        <f aca="false">+D23+F23</f>
        <v>-5.2602</v>
      </c>
      <c r="F23" s="16" t="n">
        <f aca="false">RANDBETWEEN(-105,115)/10000</f>
        <v>-0.0102</v>
      </c>
      <c r="G23" s="16" t="n">
        <f aca="false">W23+0.25</f>
        <v>2.497</v>
      </c>
      <c r="H23" s="16" t="n">
        <f aca="false">G23+I23</f>
        <v>2.5</v>
      </c>
      <c r="I23" s="16" t="n">
        <f aca="false">RANDBETWEEN(-20,70)/1000</f>
        <v>0.003</v>
      </c>
      <c r="J23" s="16" t="n">
        <f aca="false">X23+0.25</f>
        <v>2.614</v>
      </c>
      <c r="K23" s="16" t="n">
        <f aca="false">J23+L23</f>
        <v>2.604</v>
      </c>
      <c r="L23" s="16" t="n">
        <f aca="false">RANDBETWEEN(-20,70)/1000</f>
        <v>-0.01</v>
      </c>
      <c r="M23" s="16" t="n">
        <v>5.25</v>
      </c>
      <c r="N23" s="16" t="n">
        <f aca="false">+M23+O23</f>
        <v>5.2556</v>
      </c>
      <c r="O23" s="16" t="n">
        <f aca="false">RANDBETWEEN(-105,115)/10000</f>
        <v>0.0056</v>
      </c>
      <c r="P23" s="16" t="n">
        <f aca="false">Y23+0.25</f>
        <v>2.497</v>
      </c>
      <c r="Q23" s="16" t="n">
        <f aca="false">P23+R23</f>
        <v>2.506</v>
      </c>
      <c r="R23" s="16" t="n">
        <f aca="false">RANDBETWEEN(-20,70)/1000</f>
        <v>0.009</v>
      </c>
      <c r="S23" s="17"/>
      <c r="T23" s="18" t="n">
        <v>12.5</v>
      </c>
      <c r="V23" s="19"/>
      <c r="W23" s="19" t="n">
        <f aca="false">'KTHH Lớp 1'!G23</f>
        <v>2.247</v>
      </c>
      <c r="X23" s="19" t="n">
        <f aca="false">'KTHH Lớp 1'!J23</f>
        <v>2.364</v>
      </c>
      <c r="Y23" s="19" t="n">
        <f aca="false">'KTHH Lớp 1'!P23</f>
        <v>2.247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454.34</v>
      </c>
      <c r="D24" s="16" t="n">
        <v>-5.25</v>
      </c>
      <c r="E24" s="16" t="n">
        <f aca="false">+D24+F24</f>
        <v>-5.2502</v>
      </c>
      <c r="F24" s="16" t="n">
        <f aca="false">RANDBETWEEN(-105,115)/10000</f>
        <v>-0.0002</v>
      </c>
      <c r="G24" s="16" t="n">
        <f aca="false">W24+0.25</f>
        <v>2.49</v>
      </c>
      <c r="H24" s="16" t="n">
        <f aca="false">G24+I24</f>
        <v>2.479</v>
      </c>
      <c r="I24" s="16" t="n">
        <f aca="false">RANDBETWEEN(-20,70)/1000</f>
        <v>-0.011</v>
      </c>
      <c r="J24" s="16" t="n">
        <f aca="false">X24+0.25</f>
        <v>2.607</v>
      </c>
      <c r="K24" s="16" t="n">
        <f aca="false">J24+L24</f>
        <v>2.637</v>
      </c>
      <c r="L24" s="16" t="n">
        <f aca="false">RANDBETWEEN(-20,70)/1000</f>
        <v>0.03</v>
      </c>
      <c r="M24" s="16" t="n">
        <v>5.25</v>
      </c>
      <c r="N24" s="16" t="n">
        <f aca="false">+M24+O24</f>
        <v>5.2615</v>
      </c>
      <c r="O24" s="16" t="n">
        <f aca="false">RANDBETWEEN(-105,115)/10000</f>
        <v>0.0115</v>
      </c>
      <c r="P24" s="16" t="n">
        <f aca="false">Y24+0.25</f>
        <v>2.49</v>
      </c>
      <c r="Q24" s="16" t="n">
        <f aca="false">P24+R24</f>
        <v>2.496</v>
      </c>
      <c r="R24" s="16" t="n">
        <f aca="false">RANDBETWEEN(-20,70)/1000</f>
        <v>0.006</v>
      </c>
      <c r="S24" s="17"/>
      <c r="T24" s="18" t="n">
        <v>12.5</v>
      </c>
      <c r="V24" s="19"/>
      <c r="W24" s="19" t="n">
        <f aca="false">'KTHH Lớp 1'!G24</f>
        <v>2.24</v>
      </c>
      <c r="X24" s="19" t="n">
        <f aca="false">'KTHH Lớp 1'!J24</f>
        <v>2.357</v>
      </c>
      <c r="Y24" s="19" t="n">
        <f aca="false">'KTHH Lớp 1'!P24</f>
        <v>2.24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466.84</v>
      </c>
      <c r="D25" s="16" t="n">
        <v>-5.25</v>
      </c>
      <c r="E25" s="16" t="n">
        <f aca="false">+D25+F25</f>
        <v>-5.2563</v>
      </c>
      <c r="F25" s="16" t="n">
        <f aca="false">RANDBETWEEN(-105,115)/10000</f>
        <v>-0.0063</v>
      </c>
      <c r="G25" s="16" t="n">
        <f aca="false">W25+0.25</f>
        <v>2.484</v>
      </c>
      <c r="H25" s="16" t="n">
        <f aca="false">G25+I25</f>
        <v>2.548</v>
      </c>
      <c r="I25" s="16" t="n">
        <f aca="false">RANDBETWEEN(-20,70)/1000</f>
        <v>0.064</v>
      </c>
      <c r="J25" s="16" t="n">
        <f aca="false">X25+0.25</f>
        <v>2.601</v>
      </c>
      <c r="K25" s="16" t="n">
        <f aca="false">J25+L25</f>
        <v>2.648</v>
      </c>
      <c r="L25" s="16" t="n">
        <f aca="false">RANDBETWEEN(-20,70)/1000</f>
        <v>0.047</v>
      </c>
      <c r="M25" s="16" t="n">
        <v>5.25</v>
      </c>
      <c r="N25" s="16" t="n">
        <f aca="false">+M25+O25</f>
        <v>5.2537</v>
      </c>
      <c r="O25" s="16" t="n">
        <f aca="false">RANDBETWEEN(-105,115)/10000</f>
        <v>0.0037</v>
      </c>
      <c r="P25" s="16" t="n">
        <f aca="false">Y25+0.25</f>
        <v>2.484</v>
      </c>
      <c r="Q25" s="16" t="n">
        <f aca="false">P25+R25</f>
        <v>2.55</v>
      </c>
      <c r="R25" s="16" t="n">
        <f aca="false">RANDBETWEEN(-20,70)/1000</f>
        <v>0.066</v>
      </c>
      <c r="S25" s="17"/>
      <c r="T25" s="18" t="n">
        <v>7.5</v>
      </c>
      <c r="V25" s="19"/>
      <c r="W25" s="19" t="n">
        <f aca="false">'KTHH Lớp 1'!G25</f>
        <v>2.234</v>
      </c>
      <c r="X25" s="19" t="n">
        <f aca="false">'KTHH Lớp 1'!J25</f>
        <v>2.351</v>
      </c>
      <c r="Y25" s="19" t="n">
        <f aca="false">'KTHH Lớp 1'!P25</f>
        <v>2.234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474.34</v>
      </c>
      <c r="D26" s="16" t="n">
        <v>-5.25</v>
      </c>
      <c r="E26" s="16" t="n">
        <f aca="false">+D26+F26</f>
        <v>-5.243</v>
      </c>
      <c r="F26" s="16" t="n">
        <f aca="false">RANDBETWEEN(-105,115)/10000</f>
        <v>0.007</v>
      </c>
      <c r="G26" s="16" t="n">
        <f aca="false">W26+0.25</f>
        <v>2.48</v>
      </c>
      <c r="H26" s="16" t="n">
        <f aca="false">G26+I26</f>
        <v>2.538</v>
      </c>
      <c r="I26" s="16" t="n">
        <f aca="false">RANDBETWEEN(-20,70)/1000</f>
        <v>0.058</v>
      </c>
      <c r="J26" s="16" t="n">
        <f aca="false">X26+0.25</f>
        <v>2.597</v>
      </c>
      <c r="K26" s="16" t="n">
        <f aca="false">J26+L26</f>
        <v>2.661</v>
      </c>
      <c r="L26" s="16" t="n">
        <f aca="false">RANDBETWEEN(-20,70)/1000</f>
        <v>0.064</v>
      </c>
      <c r="M26" s="16" t="n">
        <v>5.25</v>
      </c>
      <c r="N26" s="16" t="n">
        <f aca="false">+M26+O26</f>
        <v>5.2458</v>
      </c>
      <c r="O26" s="16" t="n">
        <f aca="false">RANDBETWEEN(-105,115)/10000</f>
        <v>-0.0042</v>
      </c>
      <c r="P26" s="16" t="n">
        <f aca="false">Y26+0.25</f>
        <v>2.48</v>
      </c>
      <c r="Q26" s="16" t="n">
        <f aca="false">P26+R26</f>
        <v>2.507</v>
      </c>
      <c r="R26" s="16" t="n">
        <f aca="false">RANDBETWEEN(-20,70)/1000</f>
        <v>0.027</v>
      </c>
      <c r="S26" s="17"/>
      <c r="T26" s="18" t="n">
        <v>20</v>
      </c>
      <c r="V26" s="19"/>
      <c r="W26" s="19" t="n">
        <f aca="false">'KTHH Lớp 1'!G26</f>
        <v>2.23</v>
      </c>
      <c r="X26" s="19" t="n">
        <f aca="false">'KTHH Lớp 1'!J26</f>
        <v>2.347</v>
      </c>
      <c r="Y26" s="19" t="n">
        <f aca="false">'KTHH Lớp 1'!P26</f>
        <v>2.23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494.34</v>
      </c>
      <c r="D27" s="16" t="n">
        <v>-5.25</v>
      </c>
      <c r="E27" s="16" t="n">
        <f aca="false">+D27+F27</f>
        <v>-5.2507</v>
      </c>
      <c r="F27" s="16" t="n">
        <f aca="false">RANDBETWEEN(-105,115)/10000</f>
        <v>-0.0007</v>
      </c>
      <c r="G27" s="16" t="n">
        <f aca="false">W27+0.25</f>
        <v>2.469</v>
      </c>
      <c r="H27" s="16" t="n">
        <f aca="false">G27+I27</f>
        <v>2.482</v>
      </c>
      <c r="I27" s="16" t="n">
        <f aca="false">RANDBETWEEN(-20,70)/1000</f>
        <v>0.013</v>
      </c>
      <c r="J27" s="16" t="n">
        <f aca="false">X27+0.25</f>
        <v>2.586</v>
      </c>
      <c r="K27" s="16" t="n">
        <f aca="false">J27+L27</f>
        <v>2.591</v>
      </c>
      <c r="L27" s="16" t="n">
        <f aca="false">RANDBETWEEN(-20,70)/1000</f>
        <v>0.005</v>
      </c>
      <c r="M27" s="16" t="n">
        <v>5.25</v>
      </c>
      <c r="N27" s="16" t="n">
        <f aca="false">+M27+O27</f>
        <v>5.2408</v>
      </c>
      <c r="O27" s="16" t="n">
        <f aca="false">RANDBETWEEN(-105,115)/10000</f>
        <v>-0.0092</v>
      </c>
      <c r="P27" s="16" t="n">
        <f aca="false">Y27+0.25</f>
        <v>2.469</v>
      </c>
      <c r="Q27" s="16" t="n">
        <f aca="false">P27+R27</f>
        <v>2.455</v>
      </c>
      <c r="R27" s="16" t="n">
        <f aca="false">RANDBETWEEN(-20,70)/1000</f>
        <v>-0.014</v>
      </c>
      <c r="S27" s="17"/>
      <c r="T27" s="18" t="n">
        <v>17.14</v>
      </c>
      <c r="V27" s="19"/>
      <c r="W27" s="19" t="n">
        <f aca="false">'KTHH Lớp 1'!G27</f>
        <v>2.219</v>
      </c>
      <c r="X27" s="19" t="n">
        <f aca="false">'KTHH Lớp 1'!J27</f>
        <v>2.336</v>
      </c>
      <c r="Y27" s="19" t="n">
        <f aca="false">'KTHH Lớp 1'!P27</f>
        <v>2.219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511.48</v>
      </c>
      <c r="D28" s="16" t="n">
        <v>-5.25</v>
      </c>
      <c r="E28" s="16" t="n">
        <f aca="false">+D28+F28</f>
        <v>-5.246</v>
      </c>
      <c r="F28" s="16" t="n">
        <f aca="false">RANDBETWEEN(-105,115)/10000</f>
        <v>0.004</v>
      </c>
      <c r="G28" s="16" t="n">
        <f aca="false">W28+0.25</f>
        <v>2.46</v>
      </c>
      <c r="H28" s="16" t="n">
        <f aca="false">G28+I28</f>
        <v>2.448</v>
      </c>
      <c r="I28" s="16" t="n">
        <f aca="false">RANDBETWEEN(-20,70)/1000</f>
        <v>-0.012</v>
      </c>
      <c r="J28" s="16" t="n">
        <f aca="false">X28+0.25</f>
        <v>2.577</v>
      </c>
      <c r="K28" s="16" t="n">
        <f aca="false">J28+L28</f>
        <v>2.627</v>
      </c>
      <c r="L28" s="16" t="n">
        <f aca="false">RANDBETWEEN(-20,70)/1000</f>
        <v>0.05</v>
      </c>
      <c r="M28" s="16" t="n">
        <v>5.25</v>
      </c>
      <c r="N28" s="16" t="n">
        <f aca="false">+M28+O28</f>
        <v>5.2457</v>
      </c>
      <c r="O28" s="16" t="n">
        <f aca="false">RANDBETWEEN(-105,115)/10000</f>
        <v>-0.0043</v>
      </c>
      <c r="P28" s="16" t="n">
        <f aca="false">Y28+0.25</f>
        <v>2.46</v>
      </c>
      <c r="Q28" s="16" t="n">
        <f aca="false">P28+R28</f>
        <v>2.447</v>
      </c>
      <c r="R28" s="16" t="n">
        <f aca="false">RANDBETWEEN(-20,70)/1000</f>
        <v>-0.013</v>
      </c>
      <c r="S28" s="17"/>
      <c r="T28" s="18" t="n">
        <v>3.12</v>
      </c>
      <c r="V28" s="19"/>
      <c r="W28" s="19" t="n">
        <f aca="false">'KTHH Lớp 1'!G28</f>
        <v>2.21</v>
      </c>
      <c r="X28" s="19" t="n">
        <f aca="false">'KTHH Lớp 1'!J28</f>
        <v>2.327</v>
      </c>
      <c r="Y28" s="19" t="n">
        <f aca="false">'KTHH Lớp 1'!P28</f>
        <v>2.21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514.6</v>
      </c>
      <c r="D29" s="16" t="n">
        <v>-5.25</v>
      </c>
      <c r="E29" s="16" t="n">
        <f aca="false">+D29+F29</f>
        <v>-5.2464</v>
      </c>
      <c r="F29" s="16" t="n">
        <f aca="false">RANDBETWEEN(-105,115)/10000</f>
        <v>0.0036</v>
      </c>
      <c r="G29" s="16" t="n">
        <f aca="false">W29+0.25</f>
        <v>2.458</v>
      </c>
      <c r="H29" s="16" t="n">
        <f aca="false">G29+I29</f>
        <v>2.497</v>
      </c>
      <c r="I29" s="16" t="n">
        <f aca="false">RANDBETWEEN(-20,70)/1000</f>
        <v>0.039</v>
      </c>
      <c r="J29" s="16" t="n">
        <f aca="false">X29+0.25</f>
        <v>2.575</v>
      </c>
      <c r="K29" s="16" t="n">
        <f aca="false">J29+L29</f>
        <v>2.624</v>
      </c>
      <c r="L29" s="16" t="n">
        <f aca="false">RANDBETWEEN(-20,70)/1000</f>
        <v>0.049</v>
      </c>
      <c r="M29" s="16" t="n">
        <v>5.25</v>
      </c>
      <c r="N29" s="16" t="n">
        <f aca="false">+M29+O29</f>
        <v>5.2462</v>
      </c>
      <c r="O29" s="16" t="n">
        <f aca="false">RANDBETWEEN(-105,115)/10000</f>
        <v>-0.0038</v>
      </c>
      <c r="P29" s="16" t="n">
        <f aca="false">Y29+0.25</f>
        <v>2.458</v>
      </c>
      <c r="Q29" s="16" t="n">
        <f aca="false">P29+R29</f>
        <v>2.516</v>
      </c>
      <c r="R29" s="16" t="n">
        <f aca="false">RANDBETWEEN(-20,70)/1000</f>
        <v>0.058</v>
      </c>
      <c r="S29" s="17"/>
      <c r="T29" s="18" t="n">
        <v>10.48</v>
      </c>
      <c r="V29" s="19"/>
      <c r="W29" s="19" t="n">
        <f aca="false">'KTHH Lớp 1'!G29</f>
        <v>2.208</v>
      </c>
      <c r="X29" s="19" t="n">
        <f aca="false">'KTHH Lớp 1'!J29</f>
        <v>2.325</v>
      </c>
      <c r="Y29" s="19" t="n">
        <f aca="false">'KTHH Lớp 1'!P29</f>
        <v>2.208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525.08</v>
      </c>
      <c r="D30" s="16" t="n">
        <v>-5.25</v>
      </c>
      <c r="E30" s="16" t="n">
        <f aca="false">+D30+F30</f>
        <v>-5.2554</v>
      </c>
      <c r="F30" s="16" t="n">
        <f aca="false">RANDBETWEEN(-105,115)/10000</f>
        <v>-0.0054</v>
      </c>
      <c r="G30" s="16" t="n">
        <f aca="false">W30+0.25</f>
        <v>2.453</v>
      </c>
      <c r="H30" s="16" t="n">
        <f aca="false">G30+I30</f>
        <v>2.5</v>
      </c>
      <c r="I30" s="16" t="n">
        <f aca="false">RANDBETWEEN(-20,70)/1000</f>
        <v>0.047</v>
      </c>
      <c r="J30" s="16" t="n">
        <f aca="false">X30+0.25</f>
        <v>2.57</v>
      </c>
      <c r="K30" s="16" t="n">
        <f aca="false">J30+L30</f>
        <v>2.589</v>
      </c>
      <c r="L30" s="16" t="n">
        <f aca="false">RANDBETWEEN(-20,70)/1000</f>
        <v>0.019</v>
      </c>
      <c r="M30" s="16" t="n">
        <v>5.25</v>
      </c>
      <c r="N30" s="16" t="n">
        <f aca="false">+M30+O30</f>
        <v>5.2473</v>
      </c>
      <c r="O30" s="16" t="n">
        <f aca="false">RANDBETWEEN(-105,115)/10000</f>
        <v>-0.0027</v>
      </c>
      <c r="P30" s="16" t="n">
        <f aca="false">Y30+0.25</f>
        <v>2.453</v>
      </c>
      <c r="Q30" s="16" t="n">
        <f aca="false">P30+R30</f>
        <v>2.509</v>
      </c>
      <c r="R30" s="16" t="n">
        <f aca="false">RANDBETWEEN(-20,70)/1000</f>
        <v>0.056</v>
      </c>
      <c r="S30" s="17"/>
      <c r="T30" s="18" t="n">
        <v>13.6</v>
      </c>
      <c r="V30" s="19"/>
      <c r="W30" s="19" t="n">
        <f aca="false">'KTHH Lớp 1'!G30</f>
        <v>2.203</v>
      </c>
      <c r="X30" s="19" t="n">
        <f aca="false">'KTHH Lớp 1'!J30</f>
        <v>2.32</v>
      </c>
      <c r="Y30" s="19" t="n">
        <f aca="false">'KTHH Lớp 1'!P30</f>
        <v>2.203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538.68</v>
      </c>
      <c r="D31" s="16" t="n">
        <v>-5.25</v>
      </c>
      <c r="E31" s="16" t="n">
        <f aca="false">+D31+F31</f>
        <v>-5.2573</v>
      </c>
      <c r="F31" s="16" t="n">
        <f aca="false">RANDBETWEEN(-105,115)/10000</f>
        <v>-0.0073</v>
      </c>
      <c r="G31" s="16" t="n">
        <f aca="false">W31+0.25</f>
        <v>2.446</v>
      </c>
      <c r="H31" s="16" t="n">
        <f aca="false">G31+I31</f>
        <v>2.503</v>
      </c>
      <c r="I31" s="16" t="n">
        <f aca="false">RANDBETWEEN(-20,70)/1000</f>
        <v>0.057</v>
      </c>
      <c r="J31" s="16" t="n">
        <f aca="false">X31+0.25</f>
        <v>2.563</v>
      </c>
      <c r="K31" s="16" t="n">
        <f aca="false">J31+L31</f>
        <v>2.608</v>
      </c>
      <c r="L31" s="16" t="n">
        <f aca="false">RANDBETWEEN(-20,70)/1000</f>
        <v>0.045</v>
      </c>
      <c r="M31" s="16" t="n">
        <v>5.25</v>
      </c>
      <c r="N31" s="16" t="n">
        <f aca="false">+M31+O31</f>
        <v>5.261</v>
      </c>
      <c r="O31" s="16" t="n">
        <f aca="false">RANDBETWEEN(-105,115)/10000</f>
        <v>0.011</v>
      </c>
      <c r="P31" s="16" t="n">
        <f aca="false">Y31+0.25</f>
        <v>2.446</v>
      </c>
      <c r="Q31" s="16" t="n">
        <f aca="false">P31+R31</f>
        <v>2.501</v>
      </c>
      <c r="R31" s="16" t="n">
        <f aca="false">RANDBETWEEN(-20,70)/1000</f>
        <v>0.055</v>
      </c>
      <c r="S31" s="17"/>
      <c r="T31" s="18" t="n">
        <v>15.4</v>
      </c>
      <c r="V31" s="19"/>
      <c r="W31" s="19" t="n">
        <f aca="false">'KTHH Lớp 1'!G31</f>
        <v>2.196</v>
      </c>
      <c r="X31" s="19" t="n">
        <f aca="false">'KTHH Lớp 1'!J31</f>
        <v>2.313</v>
      </c>
      <c r="Y31" s="19" t="n">
        <f aca="false">'KTHH Lớp 1'!P31</f>
        <v>2.196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554.08</v>
      </c>
      <c r="D32" s="16" t="n">
        <v>-5.25</v>
      </c>
      <c r="E32" s="16" t="n">
        <f aca="false">+D32+F32</f>
        <v>-5.2594</v>
      </c>
      <c r="F32" s="16" t="n">
        <f aca="false">RANDBETWEEN(-105,115)/10000</f>
        <v>-0.0094</v>
      </c>
      <c r="G32" s="16" t="n">
        <f aca="false">W32+0.25</f>
        <v>2.438</v>
      </c>
      <c r="H32" s="16" t="n">
        <f aca="false">G32+I32</f>
        <v>2.47</v>
      </c>
      <c r="I32" s="16" t="n">
        <f aca="false">RANDBETWEEN(-20,70)/1000</f>
        <v>0.032</v>
      </c>
      <c r="J32" s="16" t="n">
        <f aca="false">X32+0.25</f>
        <v>2.555</v>
      </c>
      <c r="K32" s="16" t="n">
        <f aca="false">J32+L32</f>
        <v>2.604</v>
      </c>
      <c r="L32" s="16" t="n">
        <f aca="false">RANDBETWEEN(-20,70)/1000</f>
        <v>0.049</v>
      </c>
      <c r="M32" s="16" t="n">
        <v>5.25</v>
      </c>
      <c r="N32" s="16" t="n">
        <f aca="false">+M32+O32</f>
        <v>5.2609</v>
      </c>
      <c r="O32" s="16" t="n">
        <f aca="false">RANDBETWEEN(-105,115)/10000</f>
        <v>0.0109</v>
      </c>
      <c r="P32" s="16" t="n">
        <f aca="false">Y32+0.25</f>
        <v>2.438</v>
      </c>
      <c r="Q32" s="16" t="n">
        <f aca="false">P32+R32</f>
        <v>2.425</v>
      </c>
      <c r="R32" s="16" t="n">
        <f aca="false">RANDBETWEEN(-20,70)/1000</f>
        <v>-0.013</v>
      </c>
      <c r="S32" s="17"/>
      <c r="T32" s="18"/>
      <c r="V32" s="19"/>
      <c r="W32" s="19" t="n">
        <f aca="false">'KTHH Lớp 1'!G32</f>
        <v>2.188</v>
      </c>
      <c r="X32" s="19" t="n">
        <f aca="false">'KTHH Lớp 1'!J32</f>
        <v>2.305</v>
      </c>
      <c r="Y32" s="19" t="n">
        <f aca="false">'KTHH Lớp 1'!P32</f>
        <v>2.188</v>
      </c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33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34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35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36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19.NĐXD4/CVXD ngày 25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19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đất nền đường lớp 2, độ chặt K&gt;=0,98 đoạn từ Km0+441,84 - Km0+554,08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38</v>
      </c>
      <c r="B9" s="83" t="s">
        <v>10</v>
      </c>
      <c r="C9" s="83" t="s">
        <v>11</v>
      </c>
      <c r="D9" s="84" t="s">
        <v>39</v>
      </c>
      <c r="E9" s="85"/>
      <c r="F9" s="85"/>
      <c r="G9" s="84"/>
      <c r="H9" s="85"/>
      <c r="I9" s="85"/>
      <c r="J9" s="85"/>
      <c r="K9" s="85"/>
      <c r="L9" s="85"/>
      <c r="M9" s="86" t="s">
        <v>40</v>
      </c>
      <c r="N9" s="87"/>
      <c r="O9" s="88" t="s">
        <v>41</v>
      </c>
      <c r="P9" s="89"/>
      <c r="Q9" s="89"/>
      <c r="R9" s="89"/>
      <c r="S9" s="89"/>
      <c r="T9" s="89"/>
      <c r="U9" s="89"/>
      <c r="V9" s="89"/>
      <c r="W9" s="88" t="s">
        <v>42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41</v>
      </c>
      <c r="O10" s="88"/>
      <c r="P10" s="88" t="s">
        <v>41</v>
      </c>
      <c r="Q10" s="88" t="s">
        <v>41</v>
      </c>
      <c r="R10" s="88"/>
      <c r="S10" s="88"/>
      <c r="T10" s="88"/>
      <c r="U10" s="88" t="s">
        <v>42</v>
      </c>
      <c r="V10" s="88" t="s">
        <v>42</v>
      </c>
      <c r="W10" s="88"/>
      <c r="X10" s="88" t="s">
        <v>42</v>
      </c>
      <c r="Y10" s="88" t="s">
        <v>42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24</v>
      </c>
      <c r="C11" s="94" t="n">
        <f aca="false">'KTHH Lớp 2'!C23</f>
        <v>441.84</v>
      </c>
      <c r="D11" s="93" t="n">
        <f aca="false">'KTHH Lớp 2'!T23</f>
        <v>12.5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32.8125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25</v>
      </c>
      <c r="C12" s="94" t="n">
        <f aca="false">'KTHH Lớp 2'!C24</f>
        <v>454.34</v>
      </c>
      <c r="D12" s="93" t="n">
        <f aca="false">'KTHH Lớp 2'!T24</f>
        <v>12.5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32.8125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26</v>
      </c>
      <c r="C13" s="94" t="n">
        <f aca="false">'KTHH Lớp 2'!C25</f>
        <v>466.84</v>
      </c>
      <c r="D13" s="93" t="n">
        <f aca="false">'KTHH Lớp 2'!T25</f>
        <v>7.5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19.6875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27</v>
      </c>
      <c r="C14" s="94" t="n">
        <f aca="false">'KTHH Lớp 2'!C26</f>
        <v>474.34</v>
      </c>
      <c r="D14" s="93" t="n">
        <f aca="false">'KTHH Lớp 2'!T26</f>
        <v>20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52.5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28</v>
      </c>
      <c r="C15" s="94" t="n">
        <f aca="false">'KTHH Lớp 2'!C27</f>
        <v>494.34</v>
      </c>
      <c r="D15" s="93" t="n">
        <f aca="false">'KTHH Lớp 2'!T27</f>
        <v>17.14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44.9925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29</v>
      </c>
      <c r="C16" s="94" t="n">
        <f aca="false">'KTHH Lớp 2'!C28</f>
        <v>511.48</v>
      </c>
      <c r="D16" s="93" t="n">
        <f aca="false">'KTHH Lớp 2'!T28</f>
        <v>3.12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8.19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30</v>
      </c>
      <c r="C17" s="94" t="n">
        <f aca="false">'KTHH Lớp 2'!C29</f>
        <v>514.6</v>
      </c>
      <c r="D17" s="93" t="n">
        <f aca="false">'KTHH Lớp 2'!T29</f>
        <v>10.48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27.51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D</v>
      </c>
      <c r="C18" s="94" t="n">
        <f aca="false">'KTHH Lớp 2'!C30</f>
        <v>525.08</v>
      </c>
      <c r="D18" s="93" t="n">
        <f aca="false">'KTHH Lớp 2'!T30</f>
        <v>13.6</v>
      </c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 t="n">
        <f aca="false">(O18+O19)*D18/2</f>
        <v>35.7</v>
      </c>
      <c r="X18" s="56"/>
      <c r="Y18" s="56"/>
      <c r="Z18" s="56"/>
      <c r="AA18" s="56"/>
      <c r="AB18" s="100"/>
      <c r="AC18" s="56"/>
      <c r="AE18" s="73"/>
    </row>
    <row r="19" s="50" customFormat="true" ht="15" hidden="false" customHeight="true" outlineLevel="0" collapsed="false">
      <c r="A19" s="93" t="n">
        <v>9</v>
      </c>
      <c r="B19" s="93" t="str">
        <f aca="false">'KTHH Lớp 2'!B31</f>
        <v>31</v>
      </c>
      <c r="C19" s="94" t="n">
        <f aca="false">'KTHH Lớp 2'!C31</f>
        <v>538.68</v>
      </c>
      <c r="D19" s="93" t="n">
        <f aca="false">'KTHH Lớp 2'!T31</f>
        <v>15.4</v>
      </c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 t="n">
        <f aca="false">10.5*0.25</f>
        <v>2.625</v>
      </c>
      <c r="P19" s="96"/>
      <c r="Q19" s="96"/>
      <c r="R19" s="56"/>
      <c r="S19" s="56"/>
      <c r="T19" s="56"/>
      <c r="U19" s="56"/>
      <c r="V19" s="56"/>
      <c r="W19" s="56" t="n">
        <f aca="false">(O19+O20)*D19/2</f>
        <v>40.425</v>
      </c>
      <c r="X19" s="56"/>
      <c r="Y19" s="56"/>
      <c r="Z19" s="56"/>
      <c r="AA19" s="56"/>
      <c r="AB19" s="100"/>
      <c r="AC19" s="56"/>
      <c r="AE19" s="73"/>
    </row>
    <row r="20" s="50" customFormat="true" ht="15" hidden="false" customHeight="true" outlineLevel="0" collapsed="false">
      <c r="A20" s="93" t="n">
        <v>10</v>
      </c>
      <c r="B20" s="93" t="str">
        <f aca="false">'KTHH Lớp 2'!B32</f>
        <v>32</v>
      </c>
      <c r="C20" s="94" t="n">
        <f aca="false">'KTHH Lớp 2'!C32</f>
        <v>554.08</v>
      </c>
      <c r="D20" s="93"/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 t="n">
        <f aca="false">10.5*0.25</f>
        <v>2.625</v>
      </c>
      <c r="P20" s="96"/>
      <c r="Q20" s="9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100"/>
      <c r="AC20" s="56"/>
      <c r="AE20" s="73"/>
    </row>
    <row r="21" s="50" customFormat="true" ht="15" hidden="true" customHeight="true" outlineLevel="0" collapsed="false">
      <c r="A21" s="93"/>
      <c r="B21" s="93"/>
      <c r="C21" s="94"/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/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43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SUM(W11:W20)</f>
        <v>294.63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33</v>
      </c>
      <c r="B51" s="111"/>
      <c r="C51" s="111"/>
      <c r="D51" s="112" t="s">
        <v>44</v>
      </c>
      <c r="E51" s="111" t="s">
        <v>34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35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36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21.NĐXD4/CVXD ngày 26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21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cấp phối đá dăm loại 2 đoạn từ Km0+441,84 - Km0+554,08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441.84</v>
      </c>
      <c r="D23" s="16" t="n">
        <v>-5.25</v>
      </c>
      <c r="E23" s="16" t="n">
        <f aca="false">+D23+F23</f>
        <v>-5.2509</v>
      </c>
      <c r="F23" s="16" t="n">
        <f aca="false">RANDBETWEEN(-105,115)/10000</f>
        <v>-0.0009</v>
      </c>
      <c r="G23" s="16" t="n">
        <f aca="false">W23+0.18</f>
        <v>2.677</v>
      </c>
      <c r="H23" s="16" t="n">
        <f aca="false">G23+I23</f>
        <v>2.729</v>
      </c>
      <c r="I23" s="16" t="n">
        <f aca="false">RANDBETWEEN(-20,70)/1000</f>
        <v>0.052</v>
      </c>
      <c r="J23" s="16" t="n">
        <f aca="false">X23+0.18</f>
        <v>2.794</v>
      </c>
      <c r="K23" s="16" t="n">
        <f aca="false">J23+L23</f>
        <v>2.797</v>
      </c>
      <c r="L23" s="16" t="n">
        <f aca="false">RANDBETWEEN(-20,70)/1000</f>
        <v>0.003</v>
      </c>
      <c r="M23" s="16" t="n">
        <v>5.25</v>
      </c>
      <c r="N23" s="16" t="n">
        <f aca="false">+M23+O23</f>
        <v>5.2471</v>
      </c>
      <c r="O23" s="16" t="n">
        <f aca="false">RANDBETWEEN(-105,115)/10000</f>
        <v>-0.0029</v>
      </c>
      <c r="P23" s="16" t="n">
        <f aca="false">Y23+0.18</f>
        <v>2.677</v>
      </c>
      <c r="Q23" s="16" t="n">
        <f aca="false">P23+R23</f>
        <v>2.663</v>
      </c>
      <c r="R23" s="16" t="n">
        <f aca="false">RANDBETWEEN(-20,70)/1000</f>
        <v>-0.014</v>
      </c>
      <c r="S23" s="17"/>
      <c r="T23" s="18" t="n">
        <v>12.5</v>
      </c>
      <c r="V23" s="19"/>
      <c r="W23" s="19" t="n">
        <f aca="false">'KTHH Lớp 2'!G23</f>
        <v>2.497</v>
      </c>
      <c r="X23" s="19" t="n">
        <f aca="false">'KTHH Lớp 2'!J23</f>
        <v>2.614</v>
      </c>
      <c r="Y23" s="19" t="n">
        <f aca="false">'KTHH Lớp 2'!P23</f>
        <v>2.497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454.34</v>
      </c>
      <c r="D24" s="16" t="n">
        <v>-5.25</v>
      </c>
      <c r="E24" s="16" t="n">
        <f aca="false">+D24+F24</f>
        <v>-5.2469</v>
      </c>
      <c r="F24" s="16" t="n">
        <f aca="false">RANDBETWEEN(-105,115)/10000</f>
        <v>0.0031</v>
      </c>
      <c r="G24" s="16" t="n">
        <f aca="false">W24+0.18</f>
        <v>2.67</v>
      </c>
      <c r="H24" s="16" t="n">
        <f aca="false">G24+I24</f>
        <v>2.71</v>
      </c>
      <c r="I24" s="16" t="n">
        <f aca="false">RANDBETWEEN(-20,70)/1000</f>
        <v>0.04</v>
      </c>
      <c r="J24" s="16" t="n">
        <f aca="false">X24+0.18</f>
        <v>2.787</v>
      </c>
      <c r="K24" s="16" t="n">
        <f aca="false">J24+L24</f>
        <v>2.808</v>
      </c>
      <c r="L24" s="16" t="n">
        <f aca="false">RANDBETWEEN(-20,70)/1000</f>
        <v>0.021</v>
      </c>
      <c r="M24" s="16" t="n">
        <v>5.25</v>
      </c>
      <c r="N24" s="16" t="n">
        <f aca="false">+M24+O24</f>
        <v>5.2501</v>
      </c>
      <c r="O24" s="16" t="n">
        <f aca="false">RANDBETWEEN(-105,115)/10000</f>
        <v>0.0001</v>
      </c>
      <c r="P24" s="16" t="n">
        <f aca="false">Y24+0.18</f>
        <v>2.67</v>
      </c>
      <c r="Q24" s="16" t="n">
        <f aca="false">P24+R24</f>
        <v>2.668</v>
      </c>
      <c r="R24" s="16" t="n">
        <f aca="false">RANDBETWEEN(-20,70)/1000</f>
        <v>-0.002</v>
      </c>
      <c r="S24" s="17"/>
      <c r="T24" s="18" t="n">
        <v>12.5</v>
      </c>
      <c r="V24" s="19"/>
      <c r="W24" s="19" t="n">
        <f aca="false">'KTHH Lớp 2'!G24</f>
        <v>2.49</v>
      </c>
      <c r="X24" s="19" t="n">
        <f aca="false">'KTHH Lớp 2'!J24</f>
        <v>2.607</v>
      </c>
      <c r="Y24" s="19" t="n">
        <f aca="false">'KTHH Lớp 2'!P24</f>
        <v>2.49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466.84</v>
      </c>
      <c r="D25" s="16" t="n">
        <v>-5.25</v>
      </c>
      <c r="E25" s="16" t="n">
        <f aca="false">+D25+F25</f>
        <v>-5.2475</v>
      </c>
      <c r="F25" s="16" t="n">
        <f aca="false">RANDBETWEEN(-105,115)/10000</f>
        <v>0.0025</v>
      </c>
      <c r="G25" s="16" t="n">
        <f aca="false">W25+0.18</f>
        <v>2.664</v>
      </c>
      <c r="H25" s="16" t="n">
        <f aca="false">G25+I25</f>
        <v>2.65</v>
      </c>
      <c r="I25" s="16" t="n">
        <f aca="false">RANDBETWEEN(-20,70)/1000</f>
        <v>-0.014</v>
      </c>
      <c r="J25" s="16" t="n">
        <f aca="false">X25+0.18</f>
        <v>2.781</v>
      </c>
      <c r="K25" s="16" t="n">
        <f aca="false">J25+L25</f>
        <v>2.836</v>
      </c>
      <c r="L25" s="16" t="n">
        <f aca="false">RANDBETWEEN(-20,70)/1000</f>
        <v>0.055</v>
      </c>
      <c r="M25" s="16" t="n">
        <v>5.25</v>
      </c>
      <c r="N25" s="16" t="n">
        <f aca="false">+M25+O25</f>
        <v>5.2437</v>
      </c>
      <c r="O25" s="16" t="n">
        <f aca="false">RANDBETWEEN(-105,115)/10000</f>
        <v>-0.0063</v>
      </c>
      <c r="P25" s="16" t="n">
        <f aca="false">Y25+0.18</f>
        <v>2.664</v>
      </c>
      <c r="Q25" s="16" t="n">
        <f aca="false">P25+R25</f>
        <v>2.671</v>
      </c>
      <c r="R25" s="16" t="n">
        <f aca="false">RANDBETWEEN(-20,70)/1000</f>
        <v>0.007</v>
      </c>
      <c r="S25" s="17"/>
      <c r="T25" s="18" t="n">
        <v>7.5</v>
      </c>
      <c r="V25" s="19"/>
      <c r="W25" s="19" t="n">
        <f aca="false">'KTHH Lớp 2'!G25</f>
        <v>2.484</v>
      </c>
      <c r="X25" s="19" t="n">
        <f aca="false">'KTHH Lớp 2'!J25</f>
        <v>2.601</v>
      </c>
      <c r="Y25" s="19" t="n">
        <f aca="false">'KTHH Lớp 2'!P25</f>
        <v>2.484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474.34</v>
      </c>
      <c r="D26" s="16" t="n">
        <v>-5.25</v>
      </c>
      <c r="E26" s="16" t="n">
        <f aca="false">+D26+F26</f>
        <v>-5.2424</v>
      </c>
      <c r="F26" s="16" t="n">
        <f aca="false">RANDBETWEEN(-105,115)/10000</f>
        <v>0.0076</v>
      </c>
      <c r="G26" s="16" t="n">
        <f aca="false">W26+0.18</f>
        <v>2.66</v>
      </c>
      <c r="H26" s="16" t="n">
        <f aca="false">G26+I26</f>
        <v>2.722</v>
      </c>
      <c r="I26" s="16" t="n">
        <f aca="false">RANDBETWEEN(-20,70)/1000</f>
        <v>0.062</v>
      </c>
      <c r="J26" s="16" t="n">
        <f aca="false">X26+0.18</f>
        <v>2.777</v>
      </c>
      <c r="K26" s="16" t="n">
        <f aca="false">J26+L26</f>
        <v>2.825</v>
      </c>
      <c r="L26" s="16" t="n">
        <f aca="false">RANDBETWEEN(-20,70)/1000</f>
        <v>0.048</v>
      </c>
      <c r="M26" s="16" t="n">
        <v>5.25</v>
      </c>
      <c r="N26" s="16" t="n">
        <f aca="false">+M26+O26</f>
        <v>5.2457</v>
      </c>
      <c r="O26" s="16" t="n">
        <f aca="false">RANDBETWEEN(-105,115)/10000</f>
        <v>-0.0043</v>
      </c>
      <c r="P26" s="16" t="n">
        <f aca="false">Y26+0.18</f>
        <v>2.66</v>
      </c>
      <c r="Q26" s="16" t="n">
        <f aca="false">P26+R26</f>
        <v>2.642</v>
      </c>
      <c r="R26" s="16" t="n">
        <f aca="false">RANDBETWEEN(-20,70)/1000</f>
        <v>-0.018</v>
      </c>
      <c r="S26" s="17"/>
      <c r="T26" s="18" t="n">
        <v>20</v>
      </c>
      <c r="V26" s="19"/>
      <c r="W26" s="19" t="n">
        <f aca="false">'KTHH Lớp 2'!G26</f>
        <v>2.48</v>
      </c>
      <c r="X26" s="19" t="n">
        <f aca="false">'KTHH Lớp 2'!J26</f>
        <v>2.597</v>
      </c>
      <c r="Y26" s="19" t="n">
        <f aca="false">'KTHH Lớp 2'!P26</f>
        <v>2.48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494.34</v>
      </c>
      <c r="D27" s="16" t="n">
        <v>-5.25</v>
      </c>
      <c r="E27" s="16" t="n">
        <f aca="false">+D27+F27</f>
        <v>-5.2513</v>
      </c>
      <c r="F27" s="16" t="n">
        <f aca="false">RANDBETWEEN(-105,115)/10000</f>
        <v>-0.0013</v>
      </c>
      <c r="G27" s="16" t="n">
        <f aca="false">W27+0.18</f>
        <v>2.649</v>
      </c>
      <c r="H27" s="16" t="n">
        <f aca="false">G27+I27</f>
        <v>2.645</v>
      </c>
      <c r="I27" s="16" t="n">
        <f aca="false">RANDBETWEEN(-20,70)/1000</f>
        <v>-0.004</v>
      </c>
      <c r="J27" s="16" t="n">
        <f aca="false">X27+0.18</f>
        <v>2.766</v>
      </c>
      <c r="K27" s="16" t="n">
        <f aca="false">J27+L27</f>
        <v>2.83</v>
      </c>
      <c r="L27" s="16" t="n">
        <f aca="false">RANDBETWEEN(-20,70)/1000</f>
        <v>0.064</v>
      </c>
      <c r="M27" s="16" t="n">
        <v>5.25</v>
      </c>
      <c r="N27" s="16" t="n">
        <f aca="false">+M27+O27</f>
        <v>5.2482</v>
      </c>
      <c r="O27" s="16" t="n">
        <f aca="false">RANDBETWEEN(-105,115)/10000</f>
        <v>-0.0018</v>
      </c>
      <c r="P27" s="16" t="n">
        <f aca="false">Y27+0.18</f>
        <v>2.649</v>
      </c>
      <c r="Q27" s="16" t="n">
        <f aca="false">P27+R27</f>
        <v>2.638</v>
      </c>
      <c r="R27" s="16" t="n">
        <f aca="false">RANDBETWEEN(-20,70)/1000</f>
        <v>-0.011</v>
      </c>
      <c r="S27" s="17"/>
      <c r="T27" s="18" t="n">
        <v>17.14</v>
      </c>
      <c r="V27" s="19"/>
      <c r="W27" s="19" t="n">
        <f aca="false">'KTHH Lớp 2'!G27</f>
        <v>2.469</v>
      </c>
      <c r="X27" s="19" t="n">
        <f aca="false">'KTHH Lớp 2'!J27</f>
        <v>2.586</v>
      </c>
      <c r="Y27" s="19" t="n">
        <f aca="false">'KTHH Lớp 2'!P27</f>
        <v>2.469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511.48</v>
      </c>
      <c r="D28" s="16" t="n">
        <v>-5.25</v>
      </c>
      <c r="E28" s="16" t="n">
        <f aca="false">+D28+F28</f>
        <v>-5.2498</v>
      </c>
      <c r="F28" s="16" t="n">
        <f aca="false">RANDBETWEEN(-105,115)/10000</f>
        <v>0.0002</v>
      </c>
      <c r="G28" s="16" t="n">
        <f aca="false">W28+0.18</f>
        <v>2.64</v>
      </c>
      <c r="H28" s="16" t="n">
        <f aca="false">G28+I28</f>
        <v>2.661</v>
      </c>
      <c r="I28" s="16" t="n">
        <f aca="false">RANDBETWEEN(-20,70)/1000</f>
        <v>0.021</v>
      </c>
      <c r="J28" s="16" t="n">
        <f aca="false">X28+0.18</f>
        <v>2.757</v>
      </c>
      <c r="K28" s="16" t="n">
        <f aca="false">J28+L28</f>
        <v>2.75</v>
      </c>
      <c r="L28" s="16" t="n">
        <f aca="false">RANDBETWEEN(-20,70)/1000</f>
        <v>-0.007</v>
      </c>
      <c r="M28" s="16" t="n">
        <v>5.25</v>
      </c>
      <c r="N28" s="16" t="n">
        <f aca="false">+M28+O28</f>
        <v>5.2428</v>
      </c>
      <c r="O28" s="16" t="n">
        <f aca="false">RANDBETWEEN(-105,115)/10000</f>
        <v>-0.0072</v>
      </c>
      <c r="P28" s="16" t="n">
        <f aca="false">Y28+0.18</f>
        <v>2.64</v>
      </c>
      <c r="Q28" s="16" t="n">
        <f aca="false">P28+R28</f>
        <v>2.692</v>
      </c>
      <c r="R28" s="16" t="n">
        <f aca="false">RANDBETWEEN(-20,70)/1000</f>
        <v>0.052</v>
      </c>
      <c r="S28" s="17"/>
      <c r="T28" s="18" t="n">
        <v>3.12</v>
      </c>
      <c r="V28" s="19"/>
      <c r="W28" s="19" t="n">
        <f aca="false">'KTHH Lớp 2'!G28</f>
        <v>2.46</v>
      </c>
      <c r="X28" s="19" t="n">
        <f aca="false">'KTHH Lớp 2'!J28</f>
        <v>2.577</v>
      </c>
      <c r="Y28" s="19" t="n">
        <f aca="false">'KTHH Lớp 2'!P28</f>
        <v>2.46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514.6</v>
      </c>
      <c r="D29" s="16" t="n">
        <v>-5.25</v>
      </c>
      <c r="E29" s="16" t="n">
        <f aca="false">+D29+F29</f>
        <v>-5.2594</v>
      </c>
      <c r="F29" s="16" t="n">
        <f aca="false">RANDBETWEEN(-105,115)/10000</f>
        <v>-0.0094</v>
      </c>
      <c r="G29" s="16" t="n">
        <f aca="false">W29+0.18</f>
        <v>2.638</v>
      </c>
      <c r="H29" s="16" t="n">
        <f aca="false">G29+I29</f>
        <v>2.62</v>
      </c>
      <c r="I29" s="16" t="n">
        <f aca="false">RANDBETWEEN(-20,70)/1000</f>
        <v>-0.018</v>
      </c>
      <c r="J29" s="16" t="n">
        <f aca="false">X29+0.18</f>
        <v>2.755</v>
      </c>
      <c r="K29" s="16" t="n">
        <f aca="false">J29+L29</f>
        <v>2.782</v>
      </c>
      <c r="L29" s="16" t="n">
        <f aca="false">RANDBETWEEN(-20,70)/1000</f>
        <v>0.027</v>
      </c>
      <c r="M29" s="16" t="n">
        <v>5.25</v>
      </c>
      <c r="N29" s="16" t="n">
        <f aca="false">+M29+O29</f>
        <v>5.2545</v>
      </c>
      <c r="O29" s="16" t="n">
        <f aca="false">RANDBETWEEN(-105,115)/10000</f>
        <v>0.0045</v>
      </c>
      <c r="P29" s="16" t="n">
        <f aca="false">Y29+0.18</f>
        <v>2.638</v>
      </c>
      <c r="Q29" s="16" t="n">
        <f aca="false">P29+R29</f>
        <v>2.681</v>
      </c>
      <c r="R29" s="16" t="n">
        <f aca="false">RANDBETWEEN(-20,70)/1000</f>
        <v>0.043</v>
      </c>
      <c r="S29" s="17"/>
      <c r="T29" s="18" t="n">
        <v>10.48</v>
      </c>
      <c r="V29" s="19"/>
      <c r="W29" s="19" t="n">
        <f aca="false">'KTHH Lớp 2'!G29</f>
        <v>2.458</v>
      </c>
      <c r="X29" s="19" t="n">
        <f aca="false">'KTHH Lớp 2'!J29</f>
        <v>2.575</v>
      </c>
      <c r="Y29" s="19" t="n">
        <f aca="false">'KTHH Lớp 2'!P29</f>
        <v>2.458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525.08</v>
      </c>
      <c r="D30" s="16" t="n">
        <v>-5.25</v>
      </c>
      <c r="E30" s="16" t="n">
        <f aca="false">+D30+F30</f>
        <v>-5.2599</v>
      </c>
      <c r="F30" s="16" t="n">
        <f aca="false">RANDBETWEEN(-105,115)/10000</f>
        <v>-0.0099</v>
      </c>
      <c r="G30" s="16" t="n">
        <f aca="false">W30+0.18</f>
        <v>2.633</v>
      </c>
      <c r="H30" s="16" t="n">
        <f aca="false">G30+I30</f>
        <v>2.684</v>
      </c>
      <c r="I30" s="16" t="n">
        <f aca="false">RANDBETWEEN(-20,70)/1000</f>
        <v>0.051</v>
      </c>
      <c r="J30" s="16" t="n">
        <f aca="false">X30+0.18</f>
        <v>2.75</v>
      </c>
      <c r="K30" s="16" t="n">
        <f aca="false">J30+L30</f>
        <v>2.75</v>
      </c>
      <c r="L30" s="16" t="n">
        <f aca="false">RANDBETWEEN(-20,70)/1000</f>
        <v>0</v>
      </c>
      <c r="M30" s="16" t="n">
        <v>5.25</v>
      </c>
      <c r="N30" s="16" t="n">
        <f aca="false">+M30+O30</f>
        <v>5.2505</v>
      </c>
      <c r="O30" s="16" t="n">
        <f aca="false">RANDBETWEEN(-105,115)/10000</f>
        <v>0.0005</v>
      </c>
      <c r="P30" s="16" t="n">
        <f aca="false">Y30+0.18</f>
        <v>2.633</v>
      </c>
      <c r="Q30" s="16" t="n">
        <f aca="false">P30+R30</f>
        <v>2.688</v>
      </c>
      <c r="R30" s="16" t="n">
        <f aca="false">RANDBETWEEN(-20,70)/1000</f>
        <v>0.055</v>
      </c>
      <c r="S30" s="17"/>
      <c r="T30" s="18" t="n">
        <v>13.6</v>
      </c>
      <c r="V30" s="19"/>
      <c r="W30" s="19" t="n">
        <f aca="false">'KTHH Lớp 2'!G30</f>
        <v>2.453</v>
      </c>
      <c r="X30" s="19" t="n">
        <f aca="false">'KTHH Lớp 2'!J30</f>
        <v>2.57</v>
      </c>
      <c r="Y30" s="19" t="n">
        <f aca="false">'KTHH Lớp 2'!P30</f>
        <v>2.453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538.68</v>
      </c>
      <c r="D31" s="16" t="n">
        <v>-5.25</v>
      </c>
      <c r="E31" s="16" t="n">
        <f aca="false">+D31+F31</f>
        <v>-5.2456</v>
      </c>
      <c r="F31" s="16" t="n">
        <f aca="false">RANDBETWEEN(-105,115)/10000</f>
        <v>0.0044</v>
      </c>
      <c r="G31" s="16" t="n">
        <f aca="false">W31+0.18</f>
        <v>2.626</v>
      </c>
      <c r="H31" s="16" t="n">
        <f aca="false">G31+I31</f>
        <v>2.656</v>
      </c>
      <c r="I31" s="16" t="n">
        <f aca="false">RANDBETWEEN(-20,70)/1000</f>
        <v>0.03</v>
      </c>
      <c r="J31" s="16" t="n">
        <f aca="false">X31+0.18</f>
        <v>2.743</v>
      </c>
      <c r="K31" s="16" t="n">
        <f aca="false">J31+L31</f>
        <v>2.8</v>
      </c>
      <c r="L31" s="16" t="n">
        <f aca="false">RANDBETWEEN(-20,70)/1000</f>
        <v>0.057</v>
      </c>
      <c r="M31" s="16" t="n">
        <v>5.25</v>
      </c>
      <c r="N31" s="16" t="n">
        <f aca="false">+M31+O31</f>
        <v>5.2402</v>
      </c>
      <c r="O31" s="16" t="n">
        <f aca="false">RANDBETWEEN(-105,115)/10000</f>
        <v>-0.0098</v>
      </c>
      <c r="P31" s="16" t="n">
        <f aca="false">Y31+0.18</f>
        <v>2.626</v>
      </c>
      <c r="Q31" s="16" t="n">
        <f aca="false">P31+R31</f>
        <v>2.623</v>
      </c>
      <c r="R31" s="16" t="n">
        <f aca="false">RANDBETWEEN(-20,70)/1000</f>
        <v>-0.003</v>
      </c>
      <c r="S31" s="17"/>
      <c r="T31" s="18" t="n">
        <v>15.4</v>
      </c>
      <c r="V31" s="19"/>
      <c r="W31" s="19" t="n">
        <f aca="false">'KTHH Lớp 2'!G31</f>
        <v>2.446</v>
      </c>
      <c r="X31" s="19" t="n">
        <f aca="false">'KTHH Lớp 2'!J31</f>
        <v>2.563</v>
      </c>
      <c r="Y31" s="19" t="n">
        <f aca="false">'KTHH Lớp 2'!P31</f>
        <v>2.446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554.08</v>
      </c>
      <c r="D32" s="16" t="n">
        <v>-5.25</v>
      </c>
      <c r="E32" s="16" t="n">
        <f aca="false">+D32+F32</f>
        <v>-5.2411</v>
      </c>
      <c r="F32" s="16" t="n">
        <f aca="false">RANDBETWEEN(-105,115)/10000</f>
        <v>0.0089</v>
      </c>
      <c r="G32" s="16" t="n">
        <f aca="false">W32+0.18</f>
        <v>2.618</v>
      </c>
      <c r="H32" s="16" t="n">
        <f aca="false">G32+I32</f>
        <v>2.678</v>
      </c>
      <c r="I32" s="16" t="n">
        <f aca="false">RANDBETWEEN(-20,70)/1000</f>
        <v>0.06</v>
      </c>
      <c r="J32" s="16" t="n">
        <f aca="false">X32+0.18</f>
        <v>2.735</v>
      </c>
      <c r="K32" s="16" t="n">
        <f aca="false">J32+L32</f>
        <v>2.791</v>
      </c>
      <c r="L32" s="16" t="n">
        <f aca="false">RANDBETWEEN(-20,70)/1000</f>
        <v>0.056</v>
      </c>
      <c r="M32" s="16" t="n">
        <v>5.25</v>
      </c>
      <c r="N32" s="16" t="n">
        <f aca="false">+M32+O32</f>
        <v>5.2464</v>
      </c>
      <c r="O32" s="16" t="n">
        <f aca="false">RANDBETWEEN(-105,115)/10000</f>
        <v>-0.0036</v>
      </c>
      <c r="P32" s="16" t="n">
        <f aca="false">Y32+0.18</f>
        <v>2.618</v>
      </c>
      <c r="Q32" s="16" t="n">
        <f aca="false">P32+R32</f>
        <v>2.679</v>
      </c>
      <c r="R32" s="16" t="n">
        <f aca="false">RANDBETWEEN(-20,70)/1000</f>
        <v>0.061</v>
      </c>
      <c r="S32" s="17"/>
      <c r="T32" s="18"/>
      <c r="V32" s="19"/>
      <c r="W32" s="19" t="n">
        <f aca="false">'KTHH Lớp 2'!G32</f>
        <v>2.438</v>
      </c>
      <c r="X32" s="19" t="n">
        <f aca="false">'KTHH Lớp 2'!J32</f>
        <v>2.555</v>
      </c>
      <c r="Y32" s="19" t="n">
        <f aca="false">'KTHH Lớp 2'!P32</f>
        <v>2.438</v>
      </c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33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34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35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36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21.NĐXD4/CVXD ngày 26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21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cấp phối đá dăm loại 2 đoạn từ Km0+441,84 - Km0+554,08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38</v>
      </c>
      <c r="B9" s="117" t="s">
        <v>10</v>
      </c>
      <c r="C9" s="117" t="s">
        <v>11</v>
      </c>
      <c r="D9" s="118" t="s">
        <v>39</v>
      </c>
      <c r="E9" s="119"/>
      <c r="F9" s="119"/>
      <c r="G9" s="118"/>
      <c r="H9" s="119"/>
      <c r="I9" s="119"/>
      <c r="J9" s="119"/>
      <c r="K9" s="119"/>
      <c r="L9" s="119"/>
      <c r="M9" s="120" t="s">
        <v>40</v>
      </c>
      <c r="N9" s="121"/>
      <c r="O9" s="122" t="s">
        <v>41</v>
      </c>
      <c r="P9" s="123"/>
      <c r="Q9" s="123"/>
      <c r="R9" s="123"/>
      <c r="S9" s="123"/>
      <c r="T9" s="123"/>
      <c r="U9" s="123"/>
      <c r="V9" s="123"/>
      <c r="W9" s="122" t="s">
        <v>42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41</v>
      </c>
      <c r="O10" s="122"/>
      <c r="P10" s="122" t="s">
        <v>41</v>
      </c>
      <c r="Q10" s="122" t="s">
        <v>41</v>
      </c>
      <c r="R10" s="122"/>
      <c r="S10" s="122"/>
      <c r="T10" s="122"/>
      <c r="U10" s="122" t="s">
        <v>42</v>
      </c>
      <c r="V10" s="122" t="s">
        <v>42</v>
      </c>
      <c r="W10" s="122"/>
      <c r="X10" s="122" t="s">
        <v>42</v>
      </c>
      <c r="Y10" s="122" t="s">
        <v>42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24</v>
      </c>
      <c r="C11" s="133" t="n">
        <f aca="false">'Base A'!C23</f>
        <v>441.84</v>
      </c>
      <c r="D11" s="132" t="n">
        <f aca="false">'Base A'!T23</f>
        <v>12.5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23.625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25</v>
      </c>
      <c r="C12" s="133" t="n">
        <f aca="false">'Base A'!C24</f>
        <v>454.34</v>
      </c>
      <c r="D12" s="132" t="n">
        <f aca="false">'Base A'!T24</f>
        <v>12.5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23.625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26</v>
      </c>
      <c r="C13" s="133" t="n">
        <f aca="false">'Base A'!C25</f>
        <v>466.84</v>
      </c>
      <c r="D13" s="132" t="n">
        <f aca="false">'Base A'!T25</f>
        <v>7.5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14.175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27</v>
      </c>
      <c r="C14" s="133" t="n">
        <f aca="false">'Base A'!C26</f>
        <v>474.34</v>
      </c>
      <c r="D14" s="132" t="n">
        <f aca="false">'Base A'!T26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37.8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28</v>
      </c>
      <c r="C15" s="133" t="n">
        <f aca="false">'Base A'!C27</f>
        <v>494.34</v>
      </c>
      <c r="D15" s="132" t="n">
        <f aca="false">'Base A'!T27</f>
        <v>17.14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32.3946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29</v>
      </c>
      <c r="C16" s="133" t="n">
        <f aca="false">'Base A'!C28</f>
        <v>511.48</v>
      </c>
      <c r="D16" s="132" t="n">
        <f aca="false">'Base A'!T28</f>
        <v>3.12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5.8968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30</v>
      </c>
      <c r="C17" s="133" t="n">
        <f aca="false">'Base A'!C29</f>
        <v>514.6</v>
      </c>
      <c r="D17" s="132" t="n">
        <f aca="false">'Base A'!T29</f>
        <v>10.48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19.8072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D</v>
      </c>
      <c r="C18" s="133" t="n">
        <f aca="false">'Base A'!C30</f>
        <v>525.08</v>
      </c>
      <c r="D18" s="132" t="n">
        <f aca="false">'Base A'!T30</f>
        <v>13.6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25.704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A'!B31</f>
        <v>31</v>
      </c>
      <c r="C19" s="133" t="n">
        <f aca="false">'Base A'!C31</f>
        <v>538.68</v>
      </c>
      <c r="D19" s="132" t="n">
        <f aca="false">'Base A'!T31</f>
        <v>15.4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10.5*0.18</f>
        <v>1.89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29.106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A'!B32</f>
        <v>32</v>
      </c>
      <c r="C20" s="133" t="n">
        <f aca="false">'Base A'!C32</f>
        <v>554.08</v>
      </c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10.5*0.18</f>
        <v>1.89</v>
      </c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43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SUM(W11:W20)</f>
        <v>212.1336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33</v>
      </c>
      <c r="B51" s="153"/>
      <c r="C51" s="153"/>
      <c r="D51" s="154" t="s">
        <v>44</v>
      </c>
      <c r="E51" s="153" t="s">
        <v>34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35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36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24.NĐXD4/CVXD ngày 27 tháng 08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24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cấp phối đá dăm loại 1 đoạn từ Km0+441,84 - Km0+554,08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441.84</v>
      </c>
      <c r="D23" s="16" t="n">
        <v>-5.25</v>
      </c>
      <c r="E23" s="16" t="n">
        <f aca="false">+D23+F23</f>
        <v>-5.2471</v>
      </c>
      <c r="F23" s="16" t="n">
        <f aca="false">RANDBETWEEN(-105,115)/10000</f>
        <v>0.0029</v>
      </c>
      <c r="G23" s="16" t="n">
        <f aca="false">W23+0.15</f>
        <v>2.827</v>
      </c>
      <c r="H23" s="16" t="n">
        <f aca="false">G23+I23</f>
        <v>2.848</v>
      </c>
      <c r="I23" s="16" t="n">
        <f aca="false">RANDBETWEEN(-20,70)/1000</f>
        <v>0.021</v>
      </c>
      <c r="J23" s="16" t="n">
        <f aca="false">X23+0.15</f>
        <v>2.944</v>
      </c>
      <c r="K23" s="16" t="n">
        <f aca="false">J23+L23</f>
        <v>2.991</v>
      </c>
      <c r="L23" s="16" t="n">
        <f aca="false">RANDBETWEEN(-20,70)/1000</f>
        <v>0.047</v>
      </c>
      <c r="M23" s="16" t="n">
        <v>5.25</v>
      </c>
      <c r="N23" s="16" t="n">
        <f aca="false">+M23+O23</f>
        <v>5.2554</v>
      </c>
      <c r="O23" s="16" t="n">
        <f aca="false">RANDBETWEEN(-105,115)/10000</f>
        <v>0.0054</v>
      </c>
      <c r="P23" s="16" t="n">
        <f aca="false">Y23+0.15</f>
        <v>2.827</v>
      </c>
      <c r="Q23" s="16" t="n">
        <f aca="false">P23+R23</f>
        <v>2.835</v>
      </c>
      <c r="R23" s="16" t="n">
        <f aca="false">RANDBETWEEN(-20,70)/1000</f>
        <v>0.008</v>
      </c>
      <c r="S23" s="17"/>
      <c r="T23" s="18" t="n">
        <v>12.5</v>
      </c>
      <c r="V23" s="19"/>
      <c r="W23" s="19" t="n">
        <f aca="false">'Base A'!G23</f>
        <v>2.677</v>
      </c>
      <c r="X23" s="19" t="n">
        <f aca="false">'Base A'!J23</f>
        <v>2.794</v>
      </c>
      <c r="Y23" s="19" t="n">
        <f aca="false">'Base A'!P23</f>
        <v>2.677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454.34</v>
      </c>
      <c r="D24" s="16" t="n">
        <v>-5.25</v>
      </c>
      <c r="E24" s="16" t="n">
        <f aca="false">+D24+F24</f>
        <v>-5.2552</v>
      </c>
      <c r="F24" s="16" t="n">
        <f aca="false">RANDBETWEEN(-105,115)/10000</f>
        <v>-0.0052</v>
      </c>
      <c r="G24" s="16" t="n">
        <f aca="false">W24+0.15</f>
        <v>2.82</v>
      </c>
      <c r="H24" s="16" t="n">
        <f aca="false">G24+I24</f>
        <v>2.825</v>
      </c>
      <c r="I24" s="16" t="n">
        <f aca="false">RANDBETWEEN(-20,70)/1000</f>
        <v>0.005</v>
      </c>
      <c r="J24" s="16" t="n">
        <f aca="false">X24+0.15</f>
        <v>2.937</v>
      </c>
      <c r="K24" s="16" t="n">
        <f aca="false">J24+L24</f>
        <v>3.005</v>
      </c>
      <c r="L24" s="16" t="n">
        <f aca="false">RANDBETWEEN(-20,70)/1000</f>
        <v>0.068</v>
      </c>
      <c r="M24" s="16" t="n">
        <v>5.25</v>
      </c>
      <c r="N24" s="16" t="n">
        <f aca="false">+M24+O24</f>
        <v>5.25</v>
      </c>
      <c r="O24" s="16" t="n">
        <f aca="false">RANDBETWEEN(-105,115)/10000</f>
        <v>0</v>
      </c>
      <c r="P24" s="16" t="n">
        <f aca="false">Y24+0.15</f>
        <v>2.82</v>
      </c>
      <c r="Q24" s="16" t="n">
        <f aca="false">P24+R24</f>
        <v>2.886</v>
      </c>
      <c r="R24" s="16" t="n">
        <f aca="false">RANDBETWEEN(-20,70)/1000</f>
        <v>0.066</v>
      </c>
      <c r="S24" s="17"/>
      <c r="T24" s="18" t="n">
        <v>12.5</v>
      </c>
      <c r="V24" s="19"/>
      <c r="W24" s="19" t="n">
        <f aca="false">'Base A'!G24</f>
        <v>2.67</v>
      </c>
      <c r="X24" s="19" t="n">
        <f aca="false">'Base A'!J24</f>
        <v>2.787</v>
      </c>
      <c r="Y24" s="19" t="n">
        <f aca="false">'Base A'!P24</f>
        <v>2.67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466.84</v>
      </c>
      <c r="D25" s="16" t="n">
        <v>-5.25</v>
      </c>
      <c r="E25" s="16" t="n">
        <f aca="false">+D25+F25</f>
        <v>-5.2521</v>
      </c>
      <c r="F25" s="16" t="n">
        <f aca="false">RANDBETWEEN(-105,115)/10000</f>
        <v>-0.0021</v>
      </c>
      <c r="G25" s="16" t="n">
        <f aca="false">W25+0.15</f>
        <v>2.814</v>
      </c>
      <c r="H25" s="16" t="n">
        <f aca="false">G25+I25</f>
        <v>2.794</v>
      </c>
      <c r="I25" s="16" t="n">
        <f aca="false">RANDBETWEEN(-20,70)/1000</f>
        <v>-0.02</v>
      </c>
      <c r="J25" s="16" t="n">
        <f aca="false">X25+0.15</f>
        <v>2.931</v>
      </c>
      <c r="K25" s="16" t="n">
        <f aca="false">J25+L25</f>
        <v>2.97</v>
      </c>
      <c r="L25" s="16" t="n">
        <f aca="false">RANDBETWEEN(-20,70)/1000</f>
        <v>0.039</v>
      </c>
      <c r="M25" s="16" t="n">
        <v>5.25</v>
      </c>
      <c r="N25" s="16" t="n">
        <f aca="false">+M25+O25</f>
        <v>5.2464</v>
      </c>
      <c r="O25" s="16" t="n">
        <f aca="false">RANDBETWEEN(-105,115)/10000</f>
        <v>-0.0036</v>
      </c>
      <c r="P25" s="16" t="n">
        <f aca="false">Y25+0.15</f>
        <v>2.814</v>
      </c>
      <c r="Q25" s="16" t="n">
        <f aca="false">P25+R25</f>
        <v>2.854</v>
      </c>
      <c r="R25" s="16" t="n">
        <f aca="false">RANDBETWEEN(-20,70)/1000</f>
        <v>0.04</v>
      </c>
      <c r="S25" s="17"/>
      <c r="T25" s="18" t="n">
        <v>7.5</v>
      </c>
      <c r="V25" s="19"/>
      <c r="W25" s="19" t="n">
        <f aca="false">'Base A'!G25</f>
        <v>2.664</v>
      </c>
      <c r="X25" s="19" t="n">
        <f aca="false">'Base A'!J25</f>
        <v>2.781</v>
      </c>
      <c r="Y25" s="19" t="n">
        <f aca="false">'Base A'!P25</f>
        <v>2.664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474.34</v>
      </c>
      <c r="D26" s="16" t="n">
        <v>-5.25</v>
      </c>
      <c r="E26" s="16" t="n">
        <f aca="false">+D26+F26</f>
        <v>-5.2396</v>
      </c>
      <c r="F26" s="16" t="n">
        <f aca="false">RANDBETWEEN(-105,115)/10000</f>
        <v>0.0104</v>
      </c>
      <c r="G26" s="16" t="n">
        <f aca="false">W26+0.15</f>
        <v>2.81</v>
      </c>
      <c r="H26" s="16" t="n">
        <f aca="false">G26+I26</f>
        <v>2.839</v>
      </c>
      <c r="I26" s="16" t="n">
        <f aca="false">RANDBETWEEN(-20,70)/1000</f>
        <v>0.029</v>
      </c>
      <c r="J26" s="16" t="n">
        <f aca="false">X26+0.15</f>
        <v>2.927</v>
      </c>
      <c r="K26" s="16" t="n">
        <f aca="false">J26+L26</f>
        <v>2.964</v>
      </c>
      <c r="L26" s="16" t="n">
        <f aca="false">RANDBETWEEN(-20,70)/1000</f>
        <v>0.037</v>
      </c>
      <c r="M26" s="16" t="n">
        <v>5.25</v>
      </c>
      <c r="N26" s="16" t="n">
        <f aca="false">+M26+O26</f>
        <v>5.2512</v>
      </c>
      <c r="O26" s="16" t="n">
        <f aca="false">RANDBETWEEN(-105,115)/10000</f>
        <v>0.0012</v>
      </c>
      <c r="P26" s="16" t="n">
        <f aca="false">Y26+0.15</f>
        <v>2.81</v>
      </c>
      <c r="Q26" s="16" t="n">
        <f aca="false">P26+R26</f>
        <v>2.812</v>
      </c>
      <c r="R26" s="16" t="n">
        <f aca="false">RANDBETWEEN(-20,70)/1000</f>
        <v>0.002</v>
      </c>
      <c r="S26" s="17"/>
      <c r="T26" s="18" t="n">
        <v>20</v>
      </c>
      <c r="V26" s="19"/>
      <c r="W26" s="19" t="n">
        <f aca="false">'Base A'!G26</f>
        <v>2.66</v>
      </c>
      <c r="X26" s="19" t="n">
        <f aca="false">'Base A'!J26</f>
        <v>2.777</v>
      </c>
      <c r="Y26" s="19" t="n">
        <f aca="false">'Base A'!P26</f>
        <v>2.66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494.34</v>
      </c>
      <c r="D27" s="16" t="n">
        <v>-5.25</v>
      </c>
      <c r="E27" s="16" t="n">
        <f aca="false">+D27+F27</f>
        <v>-5.25</v>
      </c>
      <c r="F27" s="16" t="n">
        <f aca="false">RANDBETWEEN(-105,115)/10000</f>
        <v>0</v>
      </c>
      <c r="G27" s="16" t="n">
        <f aca="false">W27+0.15</f>
        <v>2.799</v>
      </c>
      <c r="H27" s="16" t="n">
        <f aca="false">G27+I27</f>
        <v>2.834</v>
      </c>
      <c r="I27" s="16" t="n">
        <f aca="false">RANDBETWEEN(-20,70)/1000</f>
        <v>0.035</v>
      </c>
      <c r="J27" s="16" t="n">
        <f aca="false">X27+0.15</f>
        <v>2.916</v>
      </c>
      <c r="K27" s="16" t="n">
        <f aca="false">J27+L27</f>
        <v>2.971</v>
      </c>
      <c r="L27" s="16" t="n">
        <f aca="false">RANDBETWEEN(-20,70)/1000</f>
        <v>0.055</v>
      </c>
      <c r="M27" s="16" t="n">
        <v>5.25</v>
      </c>
      <c r="N27" s="16" t="n">
        <f aca="false">+M27+O27</f>
        <v>5.2464</v>
      </c>
      <c r="O27" s="16" t="n">
        <f aca="false">RANDBETWEEN(-105,115)/10000</f>
        <v>-0.0036</v>
      </c>
      <c r="P27" s="16" t="n">
        <f aca="false">Y27+0.15</f>
        <v>2.799</v>
      </c>
      <c r="Q27" s="16" t="n">
        <f aca="false">P27+R27</f>
        <v>2.806</v>
      </c>
      <c r="R27" s="16" t="n">
        <f aca="false">RANDBETWEEN(-20,70)/1000</f>
        <v>0.007</v>
      </c>
      <c r="S27" s="17"/>
      <c r="T27" s="18" t="n">
        <v>17.14</v>
      </c>
      <c r="V27" s="19"/>
      <c r="W27" s="19" t="n">
        <f aca="false">'Base A'!G27</f>
        <v>2.649</v>
      </c>
      <c r="X27" s="19" t="n">
        <f aca="false">'Base A'!J27</f>
        <v>2.766</v>
      </c>
      <c r="Y27" s="19" t="n">
        <f aca="false">'Base A'!P27</f>
        <v>2.649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511.48</v>
      </c>
      <c r="D28" s="16" t="n">
        <v>-5.25</v>
      </c>
      <c r="E28" s="16" t="n">
        <f aca="false">+D28+F28</f>
        <v>-5.2407</v>
      </c>
      <c r="F28" s="16" t="n">
        <f aca="false">RANDBETWEEN(-105,115)/10000</f>
        <v>0.0093</v>
      </c>
      <c r="G28" s="16" t="n">
        <f aca="false">W28+0.15</f>
        <v>2.79</v>
      </c>
      <c r="H28" s="16" t="n">
        <f aca="false">G28+I28</f>
        <v>2.82</v>
      </c>
      <c r="I28" s="16" t="n">
        <f aca="false">RANDBETWEEN(-20,70)/1000</f>
        <v>0.03</v>
      </c>
      <c r="J28" s="16" t="n">
        <f aca="false">X28+0.15</f>
        <v>2.907</v>
      </c>
      <c r="K28" s="16" t="n">
        <f aca="false">J28+L28</f>
        <v>2.968</v>
      </c>
      <c r="L28" s="16" t="n">
        <f aca="false">RANDBETWEEN(-20,70)/1000</f>
        <v>0.061</v>
      </c>
      <c r="M28" s="16" t="n">
        <v>5.25</v>
      </c>
      <c r="N28" s="16" t="n">
        <f aca="false">+M28+O28</f>
        <v>5.2582</v>
      </c>
      <c r="O28" s="16" t="n">
        <f aca="false">RANDBETWEEN(-105,115)/10000</f>
        <v>0.0082</v>
      </c>
      <c r="P28" s="16" t="n">
        <f aca="false">Y28+0.15</f>
        <v>2.79</v>
      </c>
      <c r="Q28" s="16" t="n">
        <f aca="false">P28+R28</f>
        <v>2.845</v>
      </c>
      <c r="R28" s="16" t="n">
        <f aca="false">RANDBETWEEN(-20,70)/1000</f>
        <v>0.055</v>
      </c>
      <c r="S28" s="17"/>
      <c r="T28" s="18" t="n">
        <v>3.12</v>
      </c>
      <c r="V28" s="19"/>
      <c r="W28" s="19" t="n">
        <f aca="false">'Base A'!G28</f>
        <v>2.64</v>
      </c>
      <c r="X28" s="19" t="n">
        <f aca="false">'Base A'!J28</f>
        <v>2.757</v>
      </c>
      <c r="Y28" s="19" t="n">
        <f aca="false">'Base A'!P28</f>
        <v>2.64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514.6</v>
      </c>
      <c r="D29" s="16" t="n">
        <v>-5.25</v>
      </c>
      <c r="E29" s="16" t="n">
        <f aca="false">+D29+F29</f>
        <v>-5.2404</v>
      </c>
      <c r="F29" s="16" t="n">
        <f aca="false">RANDBETWEEN(-105,115)/10000</f>
        <v>0.0096</v>
      </c>
      <c r="G29" s="16" t="n">
        <f aca="false">W29+0.15</f>
        <v>2.788</v>
      </c>
      <c r="H29" s="16" t="n">
        <f aca="false">G29+I29</f>
        <v>2.855</v>
      </c>
      <c r="I29" s="16" t="n">
        <f aca="false">RANDBETWEEN(-20,70)/1000</f>
        <v>0.067</v>
      </c>
      <c r="J29" s="16" t="n">
        <f aca="false">X29+0.15</f>
        <v>2.905</v>
      </c>
      <c r="K29" s="16" t="n">
        <f aca="false">J29+L29</f>
        <v>2.945</v>
      </c>
      <c r="L29" s="16" t="n">
        <f aca="false">RANDBETWEEN(-20,70)/1000</f>
        <v>0.04</v>
      </c>
      <c r="M29" s="16" t="n">
        <v>5.25</v>
      </c>
      <c r="N29" s="16" t="n">
        <f aca="false">+M29+O29</f>
        <v>5.2532</v>
      </c>
      <c r="O29" s="16" t="n">
        <f aca="false">RANDBETWEEN(-105,115)/10000</f>
        <v>0.0032</v>
      </c>
      <c r="P29" s="16" t="n">
        <f aca="false">Y29+0.15</f>
        <v>2.788</v>
      </c>
      <c r="Q29" s="16" t="n">
        <f aca="false">P29+R29</f>
        <v>2.834</v>
      </c>
      <c r="R29" s="16" t="n">
        <f aca="false">RANDBETWEEN(-20,70)/1000</f>
        <v>0.046</v>
      </c>
      <c r="S29" s="17"/>
      <c r="T29" s="18" t="n">
        <v>10.48</v>
      </c>
      <c r="V29" s="19"/>
      <c r="W29" s="19" t="n">
        <f aca="false">'Base A'!G29</f>
        <v>2.638</v>
      </c>
      <c r="X29" s="19" t="n">
        <f aca="false">'Base A'!J29</f>
        <v>2.755</v>
      </c>
      <c r="Y29" s="19" t="n">
        <f aca="false">'Base A'!P29</f>
        <v>2.638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525.08</v>
      </c>
      <c r="D30" s="16" t="n">
        <v>-5.25</v>
      </c>
      <c r="E30" s="16" t="n">
        <f aca="false">+D30+F30</f>
        <v>-5.2461</v>
      </c>
      <c r="F30" s="16" t="n">
        <f aca="false">RANDBETWEEN(-105,115)/10000</f>
        <v>0.0039</v>
      </c>
      <c r="G30" s="16" t="n">
        <f aca="false">W30+0.15</f>
        <v>2.783</v>
      </c>
      <c r="H30" s="16" t="n">
        <f aca="false">G30+I30</f>
        <v>2.811</v>
      </c>
      <c r="I30" s="16" t="n">
        <f aca="false">RANDBETWEEN(-20,70)/1000</f>
        <v>0.028</v>
      </c>
      <c r="J30" s="16" t="n">
        <f aca="false">X30+0.15</f>
        <v>2.9</v>
      </c>
      <c r="K30" s="16" t="n">
        <f aca="false">J30+L30</f>
        <v>2.952</v>
      </c>
      <c r="L30" s="16" t="n">
        <f aca="false">RANDBETWEEN(-20,70)/1000</f>
        <v>0.052</v>
      </c>
      <c r="M30" s="16" t="n">
        <v>5.25</v>
      </c>
      <c r="N30" s="16" t="n">
        <f aca="false">+M30+O30</f>
        <v>5.2541</v>
      </c>
      <c r="O30" s="16" t="n">
        <f aca="false">RANDBETWEEN(-105,115)/10000</f>
        <v>0.0041</v>
      </c>
      <c r="P30" s="16" t="n">
        <f aca="false">Y30+0.15</f>
        <v>2.783</v>
      </c>
      <c r="Q30" s="16" t="n">
        <f aca="false">P30+R30</f>
        <v>2.78</v>
      </c>
      <c r="R30" s="16" t="n">
        <f aca="false">RANDBETWEEN(-20,70)/1000</f>
        <v>-0.003</v>
      </c>
      <c r="S30" s="17"/>
      <c r="T30" s="18" t="n">
        <v>13.6</v>
      </c>
      <c r="V30" s="19"/>
      <c r="W30" s="19" t="n">
        <f aca="false">'Base A'!G30</f>
        <v>2.633</v>
      </c>
      <c r="X30" s="19" t="n">
        <f aca="false">'Base A'!J30</f>
        <v>2.75</v>
      </c>
      <c r="Y30" s="19" t="n">
        <f aca="false">'Base A'!P30</f>
        <v>2.633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538.68</v>
      </c>
      <c r="D31" s="16" t="n">
        <v>-5.25</v>
      </c>
      <c r="E31" s="16" t="n">
        <f aca="false">+D31+F31</f>
        <v>-5.2604</v>
      </c>
      <c r="F31" s="16" t="n">
        <f aca="false">RANDBETWEEN(-105,115)/10000</f>
        <v>-0.0104</v>
      </c>
      <c r="G31" s="16" t="n">
        <f aca="false">W31+0.15</f>
        <v>2.776</v>
      </c>
      <c r="H31" s="16" t="n">
        <f aca="false">G31+I31</f>
        <v>2.786</v>
      </c>
      <c r="I31" s="16" t="n">
        <f aca="false">RANDBETWEEN(-20,70)/1000</f>
        <v>0.01</v>
      </c>
      <c r="J31" s="16" t="n">
        <f aca="false">X31+0.15</f>
        <v>2.893</v>
      </c>
      <c r="K31" s="16" t="n">
        <f aca="false">J31+L31</f>
        <v>2.908</v>
      </c>
      <c r="L31" s="16" t="n">
        <f aca="false">RANDBETWEEN(-20,70)/1000</f>
        <v>0.015</v>
      </c>
      <c r="M31" s="16" t="n">
        <v>5.25</v>
      </c>
      <c r="N31" s="16" t="n">
        <f aca="false">+M31+O31</f>
        <v>5.2404</v>
      </c>
      <c r="O31" s="16" t="n">
        <f aca="false">RANDBETWEEN(-105,115)/10000</f>
        <v>-0.0096</v>
      </c>
      <c r="P31" s="16" t="n">
        <f aca="false">Y31+0.15</f>
        <v>2.776</v>
      </c>
      <c r="Q31" s="16" t="n">
        <f aca="false">P31+R31</f>
        <v>2.789</v>
      </c>
      <c r="R31" s="16" t="n">
        <f aca="false">RANDBETWEEN(-20,70)/1000</f>
        <v>0.013</v>
      </c>
      <c r="S31" s="17"/>
      <c r="T31" s="18" t="n">
        <v>15.4</v>
      </c>
      <c r="V31" s="19"/>
      <c r="W31" s="19" t="n">
        <f aca="false">'Base A'!G31</f>
        <v>2.626</v>
      </c>
      <c r="X31" s="19" t="n">
        <f aca="false">'Base A'!J31</f>
        <v>2.743</v>
      </c>
      <c r="Y31" s="19" t="n">
        <f aca="false">'Base A'!P31</f>
        <v>2.626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554.08</v>
      </c>
      <c r="D32" s="16" t="n">
        <v>-5.25</v>
      </c>
      <c r="E32" s="16" t="n">
        <f aca="false">+D32+F32</f>
        <v>-5.2478</v>
      </c>
      <c r="F32" s="16" t="n">
        <f aca="false">RANDBETWEEN(-105,115)/10000</f>
        <v>0.0022</v>
      </c>
      <c r="G32" s="16" t="n">
        <f aca="false">W32+0.15</f>
        <v>2.768</v>
      </c>
      <c r="H32" s="16" t="n">
        <f aca="false">G32+I32</f>
        <v>2.837</v>
      </c>
      <c r="I32" s="16" t="n">
        <f aca="false">RANDBETWEEN(-20,70)/1000</f>
        <v>0.069</v>
      </c>
      <c r="J32" s="16" t="n">
        <f aca="false">X32+0.15</f>
        <v>2.885</v>
      </c>
      <c r="K32" s="16" t="n">
        <f aca="false">J32+L32</f>
        <v>2.9</v>
      </c>
      <c r="L32" s="16" t="n">
        <f aca="false">RANDBETWEEN(-20,70)/1000</f>
        <v>0.015</v>
      </c>
      <c r="M32" s="16" t="n">
        <v>5.25</v>
      </c>
      <c r="N32" s="16" t="n">
        <f aca="false">+M32+O32</f>
        <v>5.2416</v>
      </c>
      <c r="O32" s="16" t="n">
        <f aca="false">RANDBETWEEN(-105,115)/10000</f>
        <v>-0.0084</v>
      </c>
      <c r="P32" s="16" t="n">
        <f aca="false">Y32+0.15</f>
        <v>2.768</v>
      </c>
      <c r="Q32" s="16" t="n">
        <f aca="false">P32+R32</f>
        <v>2.768</v>
      </c>
      <c r="R32" s="16" t="n">
        <f aca="false">RANDBETWEEN(-20,70)/1000</f>
        <v>0</v>
      </c>
      <c r="S32" s="17"/>
      <c r="T32" s="18"/>
      <c r="V32" s="19"/>
      <c r="W32" s="19" t="n">
        <f aca="false">'Base A'!G32</f>
        <v>2.618</v>
      </c>
      <c r="X32" s="19" t="n">
        <f aca="false">'Base A'!J32</f>
        <v>2.735</v>
      </c>
      <c r="Y32" s="19" t="n">
        <f aca="false">'Base A'!P32</f>
        <v>2.618</v>
      </c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33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34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35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51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24.NĐXD4/CVXD ngày 27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24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cấp phối đá dăm loại 1 đoạn từ Km0+441,84 - Km0+554,08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38</v>
      </c>
      <c r="B9" s="117" t="s">
        <v>10</v>
      </c>
      <c r="C9" s="117" t="s">
        <v>11</v>
      </c>
      <c r="D9" s="118" t="s">
        <v>39</v>
      </c>
      <c r="E9" s="119"/>
      <c r="F9" s="119"/>
      <c r="G9" s="118"/>
      <c r="H9" s="119"/>
      <c r="I9" s="119"/>
      <c r="J9" s="119"/>
      <c r="K9" s="119"/>
      <c r="L9" s="119"/>
      <c r="M9" s="120" t="s">
        <v>40</v>
      </c>
      <c r="N9" s="121"/>
      <c r="O9" s="122" t="s">
        <v>41</v>
      </c>
      <c r="P9" s="123"/>
      <c r="Q9" s="123"/>
      <c r="R9" s="123"/>
      <c r="S9" s="123"/>
      <c r="T9" s="123"/>
      <c r="U9" s="123"/>
      <c r="V9" s="123"/>
      <c r="W9" s="122" t="s">
        <v>42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41</v>
      </c>
      <c r="O10" s="122"/>
      <c r="P10" s="122" t="s">
        <v>41</v>
      </c>
      <c r="Q10" s="122" t="s">
        <v>41</v>
      </c>
      <c r="R10" s="122"/>
      <c r="S10" s="122"/>
      <c r="T10" s="122"/>
      <c r="U10" s="122" t="s">
        <v>42</v>
      </c>
      <c r="V10" s="122" t="s">
        <v>42</v>
      </c>
      <c r="W10" s="122"/>
      <c r="X10" s="122" t="s">
        <v>42</v>
      </c>
      <c r="Y10" s="122" t="s">
        <v>42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24</v>
      </c>
      <c r="C11" s="133" t="n">
        <f aca="false">'Base B'!C23</f>
        <v>441.84</v>
      </c>
      <c r="D11" s="132" t="n">
        <f aca="false">'Base B'!T23</f>
        <v>12.5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19.6875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25</v>
      </c>
      <c r="C12" s="133" t="n">
        <f aca="false">'Base B'!C24</f>
        <v>454.34</v>
      </c>
      <c r="D12" s="132" t="n">
        <f aca="false">'Base B'!T24</f>
        <v>12.5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19.6875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26</v>
      </c>
      <c r="C13" s="133" t="n">
        <f aca="false">'Base B'!C25</f>
        <v>466.84</v>
      </c>
      <c r="D13" s="132" t="n">
        <f aca="false">'Base B'!T25</f>
        <v>7.5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11.8125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27</v>
      </c>
      <c r="C14" s="133" t="n">
        <f aca="false">'Base B'!C26</f>
        <v>474.34</v>
      </c>
      <c r="D14" s="132" t="n">
        <f aca="false">'Base B'!T26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31.5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28</v>
      </c>
      <c r="C15" s="133" t="n">
        <f aca="false">'Base B'!C27</f>
        <v>494.34</v>
      </c>
      <c r="D15" s="132" t="n">
        <f aca="false">'Base B'!T27</f>
        <v>17.14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26.9955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29</v>
      </c>
      <c r="C16" s="133" t="n">
        <f aca="false">'Base B'!C28</f>
        <v>511.48</v>
      </c>
      <c r="D16" s="132" t="n">
        <f aca="false">'Base B'!T28</f>
        <v>3.12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4.914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30</v>
      </c>
      <c r="C17" s="133" t="n">
        <f aca="false">'Base B'!C29</f>
        <v>514.6</v>
      </c>
      <c r="D17" s="132" t="n">
        <f aca="false">'Base B'!T29</f>
        <v>10.48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16.506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D</v>
      </c>
      <c r="C18" s="133" t="n">
        <f aca="false">'Base B'!C30</f>
        <v>525.08</v>
      </c>
      <c r="D18" s="132" t="n">
        <f aca="false">'Base B'!T30</f>
        <v>13.6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21.42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B'!B31</f>
        <v>31</v>
      </c>
      <c r="C19" s="133" t="n">
        <f aca="false">'Base B'!C31</f>
        <v>538.68</v>
      </c>
      <c r="D19" s="132" t="n">
        <f aca="false">'Base B'!T31</f>
        <v>15.4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10.5*0.15</f>
        <v>1.575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24.255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B'!B32</f>
        <v>32</v>
      </c>
      <c r="C20" s="133" t="n">
        <f aca="false">'Base B'!C32</f>
        <v>554.08</v>
      </c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10.5*0.15</f>
        <v>1.575</v>
      </c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43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SUM(W11:W20)</f>
        <v>176.778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33</v>
      </c>
      <c r="B51" s="153"/>
      <c r="C51" s="153"/>
      <c r="D51" s="154" t="s">
        <v>44</v>
      </c>
      <c r="E51" s="153" t="s">
        <v>34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35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2026-10-13T10:11:45Z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