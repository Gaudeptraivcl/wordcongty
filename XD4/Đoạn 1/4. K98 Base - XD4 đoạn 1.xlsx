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THH Lớp 1" sheetId="1" state="visible" r:id="rId3"/>
    <sheet name="KL lớp 1" sheetId="2" state="visible" r:id="rId4"/>
    <sheet name="KTHH Lớp 2" sheetId="3" state="visible" r:id="rId5"/>
    <sheet name="KL lớp 2" sheetId="4" state="visible" r:id="rId6"/>
    <sheet name="Base A" sheetId="5" state="visible" r:id="rId7"/>
    <sheet name="KL Basa A" sheetId="6" state="visible" r:id="rId8"/>
    <sheet name="Base B" sheetId="7" state="visible" r:id="rId9"/>
    <sheet name="KL Basa B" sheetId="8" state="visible" r:id="rId10"/>
  </sheets>
  <externalReferences>
    <externalReference r:id="rIdExt1"/>
  </externalReferences>
  <definedNames>
    <definedName function="false" hidden="false" localSheetId="4" name="_xlnm.Print_Area" vbProcedure="false">'Base A'!$A$1:$S$69</definedName>
    <definedName function="false" hidden="false" localSheetId="4" name="_xlnm.Print_Titles" vbProcedure="false">'Base A'!$21:$22</definedName>
    <definedName function="false" hidden="false" localSheetId="6" name="_xlnm.Print_Area" vbProcedure="false">'Base B'!$A$1:$S$69</definedName>
    <definedName function="false" hidden="false" localSheetId="6" name="_xlnm.Print_Titles" vbProcedure="false">'Base B'!$21:$22</definedName>
    <definedName function="false" hidden="false" localSheetId="5" name="_xlnm.Print_Area" vbProcedure="false">'KL Basa A'!$A$1:$AB$58</definedName>
    <definedName function="false" hidden="false" localSheetId="7" name="_xlnm.Print_Area" vbProcedure="false">'KL Basa B'!$A$1:$AB$58</definedName>
    <definedName function="false" hidden="false" localSheetId="1" name="_xlnm.Print_Area" vbProcedure="false">'KL lớp 1'!$A$1:$AB$58</definedName>
    <definedName function="false" hidden="false" localSheetId="3" name="_xlnm.Print_Area" vbProcedure="false">'KL lớp 2'!$A$1:$AB$58</definedName>
    <definedName function="false" hidden="false" localSheetId="0" name="_xlnm.Print_Area" vbProcedure="false">'KTHH Lớp 1'!$A$1:$S$69</definedName>
    <definedName function="false" hidden="false" localSheetId="0" name="_xlnm.Print_Titles" vbProcedure="false">'KTHH Lớp 1'!$21:$22</definedName>
    <definedName function="false" hidden="false" localSheetId="2" name="_xlnm.Print_Area" vbProcedure="false">'KTHH Lớp 2'!$A$1:$S$69</definedName>
    <definedName function="false" hidden="false" localSheetId="2" name="_xlnm.Print_Titles" vbProcedure="false">'KTHH Lớp 2'!$21:$22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<sst xmlns="http://schemas.openxmlformats.org/spreadsheetml/2006/main" count="296" uniqueCount="52">
  <si>
    <t xml:space="preserve">PHỤ LỤC KIỂM TRA CAO ĐỘ, KÍCH THƯỚC HÌNH HỌC</t>
  </si>
  <si>
    <t xml:space="preserve">Kèm theo BBNT số: 17.NĐXD4/CVXD ngày 24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</si>
  <si>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</si>
  <si>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</si>
  <si>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</si>
  <si>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Móng đường tuyến XD4</t>
  </si>
  <si>
    <t xml:space="preserve">- Đối tượng nghiệm thu:</t>
  </si>
  <si>
    <t xml:space="preserve">Đắp đất nền đường lớp 1, độ chặt K&gt;=0,98 đoạn từ Km0+441,84 - Km0+554,08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</si>
  <si>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</si>
  <si>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</si>
  <si>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</si>
  <si>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</si>
  <si>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</si>
  <si>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</si>
  <si>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</si>
  <si>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</si>
  <si>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CĐ đỉnh K95 tại tim (từ CAD)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</si>
  <si>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</si>
  <si>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</si>
  <si>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</si>
  <si>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</si>
  <si>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</si>
  <si>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</si>
  <si>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</si>
  <si>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</si>
  <si>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</si>
  <si>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</si>
  <si>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</si>
  <si>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</si>
  <si>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</si>
  <si>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D</t>
  </si>
  <si>
    <t xml:space="preserve">31</t>
  </si>
  <si>
    <t xml:space="preserve">32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</si>
  <si>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</si>
  <si>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</si>
  <si>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</si>
  <si>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</si>
  <si>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</si>
  <si>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STT</t>
  </si>
  <si>
    <t xml:space="preserve">K/c lẻ</t>
  </si>
  <si>
    <t xml:space="preserve">Đào xử lý nền đường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</si>
  <si>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</si>
  <si>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</si>
  <si>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</si>
  <si>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</si>
  <si>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19.NĐXD4/CVXD ngày 25 tháng 08 năm 2026</t>
  </si>
  <si>
    <t xml:space="preserve">Đắp đất nền đường lớp 2, độ chặt K&gt;=0,98 đoạn từ Km0+441,84 - Km0+554,08</t>
  </si>
  <si>
    <t xml:space="preserve">Kèm theo BBNT số: 21.NĐXD4/CVXD ngày 26 tháng 08 năm 2026</t>
  </si>
  <si>
    <t xml:space="preserve">Đắp cấp phối đá dăm loại 2 đoạn từ Km0+441,84 - Km0+554,08</t>
  </si>
  <si>
    <t xml:space="preserve">Kèm theo BBNT số: 24.NĐXD4/CVXD ngày 27 tháng 08 năm 2026</t>
  </si>
  <si>
    <t xml:space="preserve">Đắp cấp phối đá dăm loại 1 đoạn từ Km0+441,84 - Km0+554,08</t>
  </si>
  <si>
    <t xml:space="preserve">Lê Minh Hải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</si>
</sst>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  <numFmt numFmtId="174" formatCode="_(* #,##0_);_(* \(#,##0\);_(* \-??_);_(@_)"/>
    <numFmt numFmtId="175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1"/>
      <name val=".vntime"/>
      <family val="2"/>
      <charset val="1"/>
    </font>
    <font>
      <b val="true"/>
      <sz val="12"/>
      <name val=".VnTime"/>
      <family val="2"/>
      <charset val="1"/>
    </font>
    <font>
      <sz val="13"/>
      <name val="Arial"/>
      <family val="2"/>
      <charset val="1"/>
    </font>
    <font>
      <b val="true"/>
      <sz val="13"/>
      <name val=".vntime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228600</xdr:colOff>
      <xdr:row>7</xdr:row>
      <xdr:rowOff>228600</xdr:rowOff>
    </xdr:from>
    <xdr:to>
      <xdr:col>18</xdr:col>
      <xdr:colOff>130680</xdr:colOff>
      <xdr:row>19</xdr:row>
      <xdr:rowOff>56880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701640" y="1914480"/>
          <a:ext cx="9355320" cy="2161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530640</xdr:colOff>
      <xdr:row>7</xdr:row>
      <xdr:rowOff>204120</xdr:rowOff>
    </xdr:from>
    <xdr:to>
      <xdr:col>17</xdr:col>
      <xdr:colOff>108360</xdr:colOff>
      <xdr:row>18</xdr:row>
      <xdr:rowOff>59760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003680" y="1890000"/>
          <a:ext cx="8205480" cy="199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612360</xdr:colOff>
      <xdr:row>7</xdr:row>
      <xdr:rowOff>149760</xdr:rowOff>
    </xdr:from>
    <xdr:to>
      <xdr:col>17</xdr:col>
      <xdr:colOff>494640</xdr:colOff>
      <xdr:row>18</xdr:row>
      <xdr:rowOff>108720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1085400" y="1835640"/>
          <a:ext cx="8510040" cy="210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585000</xdr:colOff>
      <xdr:row>7</xdr:row>
      <xdr:rowOff>136080</xdr:rowOff>
    </xdr:from>
    <xdr:to>
      <xdr:col>18</xdr:col>
      <xdr:colOff>103320</xdr:colOff>
      <xdr:row>17</xdr:row>
      <xdr:rowOff>135720</xdr:rowOff>
    </xdr:to>
    <xdr:pic>
      <xdr:nvPicPr>
        <xdr:cNvPr id="3" name="Picture 3" descr=""/>
        <xdr:cNvPicPr/>
      </xdr:nvPicPr>
      <xdr:blipFill>
        <a:blip r:embed="rId1"/>
        <a:stretch/>
      </xdr:blipFill>
      <xdr:spPr>
        <a:xfrm>
          <a:off x="1058040" y="1821960"/>
          <a:ext cx="8971560" cy="19522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Km0+441,84 -:- Km0+554,08</v>
          </cell>
          <cell r="D3" t="str">
            <v xml:space="preserve">ngày 15 tháng 08 năm 2026</v>
          </cell>
          <cell r="G3" t="str">
            <v xml:space="preserve">01.NĐXD4/CVXD </v>
          </cell>
        </row>
        <row r="4">
          <cell r="A4">
            <v>2</v>
          </cell>
          <cell r="B4" t="str">
            <v xml:space="preserve">Đào đất xử lý nền đường đoạn từ Km0+441,84 - Km0+554,08</v>
          </cell>
          <cell r="D4" t="str">
            <v xml:space="preserve">ngày 16 tháng 08 năm 2026</v>
          </cell>
          <cell r="G4" t="str">
            <v xml:space="preserve">02.NĐXD4/CVXD </v>
          </cell>
        </row>
        <row r="5">
          <cell r="A5">
            <v>3</v>
          </cell>
          <cell r="B5" t="str">
            <v xml:space="preserve">Rải vải địa kỹ thuật đoạn từ Km0+441,84 - Km0+554,08</v>
          </cell>
          <cell r="D5" t="str">
            <v xml:space="preserve">ngày 17 tháng 08 năm 2026</v>
          </cell>
          <cell r="G5" t="str">
            <v xml:space="preserve">03.NĐXD4/CVXD </v>
          </cell>
        </row>
        <row r="6">
          <cell r="A6">
            <v>4</v>
          </cell>
          <cell r="B6" t="str">
            <v xml:space="preserve">Đắp cát nền đường lớp 1 đoạn từ Km0+441,84 - Km0+554,08, độ chặt K&gt;=0,95</v>
          </cell>
          <cell r="D6" t="str">
            <v xml:space="preserve">ngày 17 tháng 08 năm 2026</v>
          </cell>
          <cell r="G6" t="str">
            <v xml:space="preserve">04.NĐXD4/CVXD </v>
          </cell>
        </row>
        <row r="7">
          <cell r="A7">
            <v>5</v>
          </cell>
          <cell r="B7" t="str">
            <v xml:space="preserve">Đắp cát nền đường lớp 2 đoạn từ Km0+441,84 - Km0+554,08, độ chặt K&gt;=0,95</v>
          </cell>
          <cell r="D7" t="str">
            <v xml:space="preserve">ngày 18 tháng 08 năm 2026</v>
          </cell>
          <cell r="G7" t="str">
            <v xml:space="preserve">05.NĐXD4/CVXD </v>
          </cell>
        </row>
        <row r="8">
          <cell r="A8">
            <v>6</v>
          </cell>
          <cell r="B8" t="str">
            <v xml:space="preserve">Đắp cát nền đường lớp 3 đoạn từ Km0+441,84 - Km0+554,08, độ chặt K&gt;=0,95</v>
          </cell>
          <cell r="D8" t="str">
            <v xml:space="preserve">ngày 18 tháng 08 năm 2026</v>
          </cell>
          <cell r="G8" t="str">
            <v xml:space="preserve">06.NĐXD4/CVXD </v>
          </cell>
        </row>
        <row r="9">
          <cell r="A9">
            <v>7</v>
          </cell>
          <cell r="B9" t="str">
            <v xml:space="preserve">Đắp cát nền đường lớp 4 đoạn từ Km0+441,84 - Km0+554,08, độ chặt K&gt;=0,95</v>
          </cell>
          <cell r="D9" t="str">
            <v xml:space="preserve">ngày 19 tháng 08 năm 2026</v>
          </cell>
          <cell r="G9" t="str">
            <v xml:space="preserve">07.NĐXD4/CVXD </v>
          </cell>
        </row>
        <row r="10">
          <cell r="A10">
            <v>8</v>
          </cell>
          <cell r="B10" t="str">
            <v xml:space="preserve">Đắp đất nền đường lớp 1 đoạn từ Km0+441,84 - Km0+554,08, độ chặt K&gt;=0,95</v>
          </cell>
          <cell r="D10" t="str">
            <v xml:space="preserve">ngày 19 tháng 08 năm 2026</v>
          </cell>
          <cell r="G10" t="str">
            <v xml:space="preserve">08.NĐXD4/CVXD </v>
          </cell>
        </row>
        <row r="11">
          <cell r="A11">
            <v>9</v>
          </cell>
          <cell r="B11" t="str">
            <v xml:space="preserve">Đắp đất nền đường lớp 2 đoạn từ Km0+441,84 - Km0+554,08, độ chặt K&gt;=0,95</v>
          </cell>
          <cell r="D11" t="str">
            <v xml:space="preserve">ngày 20 tháng 08 năm 2026</v>
          </cell>
          <cell r="G11" t="str">
            <v xml:space="preserve">09.NĐXD4/CVXD </v>
          </cell>
        </row>
        <row r="12">
          <cell r="A12">
            <v>10</v>
          </cell>
          <cell r="B12" t="str">
            <v xml:space="preserve">Đắp đất nền đường lớp 3 đoạn từ Km0+441,84 - Km0+554,08, độ chặt K&gt;=0,95</v>
          </cell>
          <cell r="D12" t="str">
            <v xml:space="preserve">ngày 20 tháng 08 năm 2026</v>
          </cell>
          <cell r="G12" t="str">
            <v xml:space="preserve">10.NĐXD4/CVXD </v>
          </cell>
        </row>
        <row r="13">
          <cell r="A13">
            <v>11</v>
          </cell>
          <cell r="B13" t="str">
            <v xml:space="preserve">Đắp đất nền đường lớp 4 đoạn từ Km0+441,84 - Km0+554,08, độ chặt K&gt;=0,95</v>
          </cell>
          <cell r="D13" t="str">
            <v xml:space="preserve">ngày 21 tháng 08 năm 2026</v>
          </cell>
          <cell r="G13" t="str">
            <v xml:space="preserve">11.NĐXD4/CVXD </v>
          </cell>
        </row>
        <row r="14">
          <cell r="A14">
            <v>12</v>
          </cell>
          <cell r="B14" t="str">
            <v xml:space="preserve">Đắp đất nền đường lớp 5 đoạn từ Km0+441,84 - Km0+554,08, độ chặt K&gt;=0,95</v>
          </cell>
          <cell r="D14" t="str">
            <v xml:space="preserve">ngày 21 tháng 08 năm 2026</v>
          </cell>
          <cell r="G14" t="str">
            <v xml:space="preserve">12.NĐXD4/CVXD </v>
          </cell>
        </row>
        <row r="15">
          <cell r="A15">
            <v>13</v>
          </cell>
          <cell r="B15" t="str">
            <v xml:space="preserve">Đắp đất nền đường lớp 6 đoạn từ Km0+441,84 - Km0+554,08, độ chặt K&gt;=0,95</v>
          </cell>
          <cell r="D15" t="str">
            <v xml:space="preserve">ngày 22 tháng 08 năm 2026</v>
          </cell>
          <cell r="G15" t="str">
            <v xml:space="preserve">13.NĐXD4/CVXD </v>
          </cell>
        </row>
        <row r="16">
          <cell r="A16">
            <v>14</v>
          </cell>
          <cell r="B16" t="str">
            <v xml:space="preserve">Đắp đất nền đường lớp 7 đoạn từ Km0+441,84 - Km0+554,08, độ chặt K&gt;=0,95</v>
          </cell>
          <cell r="D16" t="str">
            <v xml:space="preserve">ngày 22 tháng 08 năm 2026</v>
          </cell>
          <cell r="G16" t="str">
            <v xml:space="preserve">14.NĐXD4/CVXD </v>
          </cell>
        </row>
        <row r="17">
          <cell r="A17">
            <v>15</v>
          </cell>
          <cell r="B17" t="str">
            <v xml:space="preserve">Đắp đất nền đường lớp 8 đoạn từ Km0+441,84 - Km0+554,08, độ chặt K&gt;=0,95</v>
          </cell>
          <cell r="D17" t="str">
            <v xml:space="preserve">ngày 23 tháng 08 năm 2026</v>
          </cell>
          <cell r="G17" t="str">
            <v xml:space="preserve">15.NĐXD4/CVXD </v>
          </cell>
        </row>
        <row r="18">
          <cell r="A18">
            <v>16</v>
          </cell>
          <cell r="B18" t="str">
            <v xml:space="preserve">Đắp đất nền đường lớp 9 đoạn từ Km0+441,84 - Km0+554,08, độ chặt K&gt;=0,95</v>
          </cell>
          <cell r="D18" t="str">
            <v xml:space="preserve">ngày 23 tháng 08 năm 2026</v>
          </cell>
          <cell r="G18" t="str">
            <v xml:space="preserve">16.NĐXD4/CVXD </v>
          </cell>
        </row>
        <row r="19">
          <cell r="A19">
            <v>17</v>
          </cell>
          <cell r="B19" t="str">
            <v xml:space="preserve">Đắp đất nền đường lớp 1, độ chặt K&gt;=0,98 đoạn từ Km0+441,84 - Km0+554,08</v>
          </cell>
          <cell r="D19" t="str">
            <v xml:space="preserve">ngày 24 tháng 08 năm 2026</v>
          </cell>
          <cell r="G19" t="str">
            <v xml:space="preserve">17.NĐXD4/CVXD </v>
          </cell>
        </row>
        <row r="20">
          <cell r="A20">
            <v>18</v>
          </cell>
          <cell r="B20" t="str">
            <v xml:space="preserve">Đắp đất lề đường lớp 1, độ chặt K&gt;=0,95 đoạn từ Km0+441,84 - Km0+554,08</v>
          </cell>
          <cell r="D20" t="str">
            <v xml:space="preserve">ngày 24 tháng 08 năm 2026</v>
          </cell>
          <cell r="G20" t="str">
            <v xml:space="preserve">18.NĐXD4/CVXD </v>
          </cell>
        </row>
        <row r="21">
          <cell r="A21">
            <v>19</v>
          </cell>
          <cell r="B21" t="str">
            <v xml:space="preserve">Đắp đất nền đường lớp 2, độ chặt K&gt;=0,98 đoạn từ Km0+441,84 - Km0+554,08</v>
          </cell>
          <cell r="D21" t="str">
            <v xml:space="preserve">ngày 25 tháng 08 năm 2026</v>
          </cell>
          <cell r="G21" t="str">
            <v xml:space="preserve">19.NĐXD4/CVXD </v>
          </cell>
        </row>
        <row r="22">
          <cell r="A22">
            <v>20</v>
          </cell>
          <cell r="B22" t="str">
            <v xml:space="preserve">Đắp đất lề đường lớp 2, độ chặt K&gt;=0,95 đoạn từ Km0+441,84 - Km0+554,08</v>
          </cell>
          <cell r="D22" t="str">
            <v xml:space="preserve">ngày 25 tháng 08 năm 2026</v>
          </cell>
          <cell r="G22" t="str">
            <v xml:space="preserve">20.NĐXD4/CVXD </v>
          </cell>
        </row>
        <row r="23">
          <cell r="A23">
            <v>21</v>
          </cell>
          <cell r="B23" t="str">
            <v xml:space="preserve">Đắp cấp phối đá dăm loại 2 đoạn từ Km0+441,84 - Km0+554,08</v>
          </cell>
          <cell r="D23" t="str">
            <v xml:space="preserve">ngày 26 tháng 08 năm 2026</v>
          </cell>
          <cell r="G23" t="str">
            <v xml:space="preserve">21.NĐXD4/CVXD </v>
          </cell>
        </row>
        <row r="24">
          <cell r="A24">
            <v>22</v>
          </cell>
          <cell r="B24" t="str">
            <v xml:space="preserve">Đắp đất lề đường lớp 3, độ chặt K&gt;=0,95 đoạn từ Km0+441,84 - Km0+554,08</v>
          </cell>
          <cell r="D24" t="str">
            <v xml:space="preserve">ngày 26 tháng 08 năm 2026</v>
          </cell>
          <cell r="G24" t="str">
            <v xml:space="preserve">22.NĐXD4/CVXD </v>
          </cell>
        </row>
        <row r="25">
          <cell r="A25">
            <v>23</v>
          </cell>
          <cell r="B25" t="str">
            <v xml:space="preserve">Đắp đất lề đường lớp 4, độ chặt K&gt;=0,95 đoạn từ Km0+441,84 - Km0+554,08</v>
          </cell>
          <cell r="D25" t="str">
            <v xml:space="preserve">ngày 27 tháng 08 năm 2026</v>
          </cell>
          <cell r="G25" t="str">
            <v xml:space="preserve">23.NĐXD4/CVXD </v>
          </cell>
        </row>
        <row r="26">
          <cell r="A26">
            <v>24</v>
          </cell>
          <cell r="B26" t="str">
            <v xml:space="preserve">Đắp cấp phối đá dăm loại 1 đoạn từ Km0+441,84 - Km0+554,08</v>
          </cell>
          <cell r="D26" t="str">
            <v xml:space="preserve">ngày 27 tháng 08 năm 2026</v>
          </cell>
          <cell r="G26" t="str">
            <v xml:space="preserve">24.NĐXD4/CVXD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29 tháng 08 năm 2026</v>
          </cell>
          <cell r="G27" t="str">
            <v xml:space="preserve">25.NĐXD4/CVXD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31 tháng 08 năm 2026</v>
          </cell>
          <cell r="G28" t="str">
            <v xml:space="preserve">26.NĐXD4/CVXD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03 tháng 09 năm 2026</v>
          </cell>
          <cell r="G29" t="str">
            <v xml:space="preserve">27.NĐXD4/CVXD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05 tháng 09 năm 2026</v>
          </cell>
          <cell r="G30" t="str">
            <v xml:space="preserve">28.NĐXD4/CVXD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I73" activeCellId="0" sqref="I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17.NĐXD4/CVXD ngày 24 tháng 08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17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đất nền đường lớp 1, độ chặt K&gt;=0,98 đoạn từ Km0+441,84 - Km0+554,08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  <c r="W21" s="10" t="s">
        <v>16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14" t="s">
        <v>23</v>
      </c>
      <c r="C23" s="15" t="n">
        <v>441.84</v>
      </c>
      <c r="D23" s="16" t="n">
        <v>-5.25</v>
      </c>
      <c r="E23" s="16" t="n">
        <f aca="false">+D23+F23</f>
        <v>-5.2566</v>
      </c>
      <c r="F23" s="16" t="n">
        <f aca="false">RANDBETWEEN(-105,115)/10000</f>
        <v>-0.0066</v>
      </c>
      <c r="G23" s="16" t="n">
        <f aca="false">J23-4.95*2%-0.3*6%</f>
        <v>2.247</v>
      </c>
      <c r="H23" s="16" t="n">
        <f aca="false">G23+I23</f>
        <v>2.294</v>
      </c>
      <c r="I23" s="16" t="n">
        <f aca="false">RANDBETWEEN(-20,70)/1000</f>
        <v>0.047</v>
      </c>
      <c r="J23" s="16" t="n">
        <f aca="false">W23+0.25</f>
        <v>2.364</v>
      </c>
      <c r="K23" s="16" t="n">
        <f aca="false">J23+L23</f>
        <v>2.421</v>
      </c>
      <c r="L23" s="16" t="n">
        <f aca="false">RANDBETWEEN(-20,70)/1000</f>
        <v>0.057</v>
      </c>
      <c r="M23" s="16" t="n">
        <v>5.25</v>
      </c>
      <c r="N23" s="16" t="n">
        <f aca="false">+M23+O23</f>
        <v>5.2462</v>
      </c>
      <c r="O23" s="16" t="n">
        <f aca="false">RANDBETWEEN(-105,115)/10000</f>
        <v>-0.0038</v>
      </c>
      <c r="P23" s="16" t="n">
        <f aca="false">G23</f>
        <v>2.247</v>
      </c>
      <c r="Q23" s="16" t="n">
        <f aca="false">P23+R23</f>
        <v>2.281</v>
      </c>
      <c r="R23" s="16" t="n">
        <f aca="false">RANDBETWEEN(-20,70)/1000</f>
        <v>0.034</v>
      </c>
      <c r="S23" s="17"/>
      <c r="T23" s="18" t="n">
        <v>12.5</v>
      </c>
      <c r="V23" s="19"/>
      <c r="W23" s="20" t="n">
        <v>2.114</v>
      </c>
    </row>
    <row r="24" s="10" customFormat="true" ht="18" hidden="false" customHeight="true" outlineLevel="0" collapsed="false">
      <c r="A24" s="13" t="n">
        <v>2</v>
      </c>
      <c r="B24" s="14" t="s">
        <v>24</v>
      </c>
      <c r="C24" s="15" t="n">
        <f aca="false">+C23+T23</f>
        <v>454.34</v>
      </c>
      <c r="D24" s="16" t="n">
        <v>-5.25</v>
      </c>
      <c r="E24" s="16" t="n">
        <f aca="false">+D24+F24</f>
        <v>-5.242</v>
      </c>
      <c r="F24" s="16" t="n">
        <f aca="false">RANDBETWEEN(-105,115)/10000</f>
        <v>0.008</v>
      </c>
      <c r="G24" s="16" t="n">
        <f aca="false">J24-4.95*2%-0.3*6%</f>
        <v>2.24</v>
      </c>
      <c r="H24" s="16" t="n">
        <f aca="false">G24+I24</f>
        <v>2.281</v>
      </c>
      <c r="I24" s="16" t="n">
        <f aca="false">RANDBETWEEN(-20,70)/1000</f>
        <v>0.041</v>
      </c>
      <c r="J24" s="16" t="n">
        <f aca="false">W24+0.25</f>
        <v>2.357</v>
      </c>
      <c r="K24" s="16" t="n">
        <f aca="false">J24+L24</f>
        <v>2.349</v>
      </c>
      <c r="L24" s="16" t="n">
        <f aca="false">RANDBETWEEN(-20,70)/1000</f>
        <v>-0.008</v>
      </c>
      <c r="M24" s="16" t="n">
        <v>5.25</v>
      </c>
      <c r="N24" s="16" t="n">
        <f aca="false">+M24+O24</f>
        <v>5.25</v>
      </c>
      <c r="O24" s="16" t="n">
        <f aca="false">RANDBETWEEN(-105,115)/10000</f>
        <v>0</v>
      </c>
      <c r="P24" s="16" t="n">
        <f aca="false">G24</f>
        <v>2.24</v>
      </c>
      <c r="Q24" s="16" t="n">
        <f aca="false">P24+R24</f>
        <v>2.249</v>
      </c>
      <c r="R24" s="16" t="n">
        <f aca="false">RANDBETWEEN(-20,70)/1000</f>
        <v>0.009</v>
      </c>
      <c r="S24" s="17"/>
      <c r="T24" s="18" t="n">
        <v>12.5</v>
      </c>
      <c r="V24" s="19"/>
      <c r="W24" s="20" t="n">
        <v>2.107</v>
      </c>
    </row>
    <row r="25" s="10" customFormat="true" ht="18" hidden="false" customHeight="true" outlineLevel="0" collapsed="false">
      <c r="A25" s="13" t="n">
        <v>3</v>
      </c>
      <c r="B25" s="14" t="s">
        <v>25</v>
      </c>
      <c r="C25" s="15" t="n">
        <f aca="false">+C24+T24</f>
        <v>466.84</v>
      </c>
      <c r="D25" s="16" t="n">
        <v>-5.25</v>
      </c>
      <c r="E25" s="16" t="n">
        <f aca="false">+D25+F25</f>
        <v>-5.2481</v>
      </c>
      <c r="F25" s="16" t="n">
        <f aca="false">RANDBETWEEN(-105,115)/10000</f>
        <v>0.0019</v>
      </c>
      <c r="G25" s="16" t="n">
        <f aca="false">J25-4.95*2%-0.3*6%</f>
        <v>2.234</v>
      </c>
      <c r="H25" s="16" t="n">
        <f aca="false">G25+I25</f>
        <v>2.257</v>
      </c>
      <c r="I25" s="16" t="n">
        <f aca="false">RANDBETWEEN(-20,70)/1000</f>
        <v>0.023</v>
      </c>
      <c r="J25" s="16" t="n">
        <f aca="false">W25+0.25</f>
        <v>2.351</v>
      </c>
      <c r="K25" s="16" t="n">
        <f aca="false">J25+L25</f>
        <v>2.405</v>
      </c>
      <c r="L25" s="16" t="n">
        <f aca="false">RANDBETWEEN(-20,70)/1000</f>
        <v>0.054</v>
      </c>
      <c r="M25" s="16" t="n">
        <v>5.25</v>
      </c>
      <c r="N25" s="16" t="n">
        <f aca="false">+M25+O25</f>
        <v>5.2457</v>
      </c>
      <c r="O25" s="16" t="n">
        <f aca="false">RANDBETWEEN(-105,115)/10000</f>
        <v>-0.0043</v>
      </c>
      <c r="P25" s="16" t="n">
        <f aca="false">G25</f>
        <v>2.234</v>
      </c>
      <c r="Q25" s="16" t="n">
        <f aca="false">P25+R25</f>
        <v>2.266</v>
      </c>
      <c r="R25" s="16" t="n">
        <f aca="false">RANDBETWEEN(-20,70)/1000</f>
        <v>0.032</v>
      </c>
      <c r="S25" s="17"/>
      <c r="T25" s="18" t="n">
        <v>7.5</v>
      </c>
      <c r="V25" s="19"/>
      <c r="W25" s="20" t="n">
        <v>2.101</v>
      </c>
    </row>
    <row r="26" s="10" customFormat="true" ht="18" hidden="false" customHeight="true" outlineLevel="0" collapsed="false">
      <c r="A26" s="13" t="n">
        <v>4</v>
      </c>
      <c r="B26" s="14" t="s">
        <v>26</v>
      </c>
      <c r="C26" s="15" t="n">
        <f aca="false">+C25+T25</f>
        <v>474.34</v>
      </c>
      <c r="D26" s="16" t="n">
        <v>-5.25</v>
      </c>
      <c r="E26" s="16" t="n">
        <f aca="false">+D26+F26</f>
        <v>-5.2499</v>
      </c>
      <c r="F26" s="16" t="n">
        <f aca="false">RANDBETWEEN(-105,115)/10000</f>
        <v>0.0001</v>
      </c>
      <c r="G26" s="16" t="n">
        <f aca="false">J26-4.95*2%-0.3*6%</f>
        <v>2.23</v>
      </c>
      <c r="H26" s="16" t="n">
        <f aca="false">G26+I26</f>
        <v>2.298</v>
      </c>
      <c r="I26" s="16" t="n">
        <f aca="false">RANDBETWEEN(-20,70)/1000</f>
        <v>0.068</v>
      </c>
      <c r="J26" s="16" t="n">
        <f aca="false">W26+0.25</f>
        <v>2.347</v>
      </c>
      <c r="K26" s="16" t="n">
        <f aca="false">J26+L26</f>
        <v>2.34</v>
      </c>
      <c r="L26" s="16" t="n">
        <f aca="false">RANDBETWEEN(-20,70)/1000</f>
        <v>-0.007</v>
      </c>
      <c r="M26" s="16" t="n">
        <v>5.25</v>
      </c>
      <c r="N26" s="16" t="n">
        <f aca="false">+M26+O26</f>
        <v>5.2531</v>
      </c>
      <c r="O26" s="16" t="n">
        <f aca="false">RANDBETWEEN(-105,115)/10000</f>
        <v>0.0031</v>
      </c>
      <c r="P26" s="16" t="n">
        <f aca="false">G26</f>
        <v>2.23</v>
      </c>
      <c r="Q26" s="16" t="n">
        <f aca="false">P26+R26</f>
        <v>2.292</v>
      </c>
      <c r="R26" s="16" t="n">
        <f aca="false">RANDBETWEEN(-20,70)/1000</f>
        <v>0.062</v>
      </c>
      <c r="S26" s="17"/>
      <c r="T26" s="18" t="n">
        <v>20</v>
      </c>
      <c r="V26" s="19"/>
      <c r="W26" s="20" t="n">
        <v>2.097</v>
      </c>
    </row>
    <row r="27" s="10" customFormat="true" ht="18" hidden="false" customHeight="true" outlineLevel="0" collapsed="false">
      <c r="A27" s="13" t="n">
        <v>5</v>
      </c>
      <c r="B27" s="14" t="s">
        <v>27</v>
      </c>
      <c r="C27" s="15" t="n">
        <f aca="false">+C26+T26</f>
        <v>494.34</v>
      </c>
      <c r="D27" s="16" t="n">
        <v>-5.25</v>
      </c>
      <c r="E27" s="16" t="n">
        <f aca="false">+D27+F27</f>
        <v>-5.2426</v>
      </c>
      <c r="F27" s="16" t="n">
        <f aca="false">RANDBETWEEN(-105,115)/10000</f>
        <v>0.0074</v>
      </c>
      <c r="G27" s="16" t="n">
        <f aca="false">J27-4.95*2%-0.3*6%</f>
        <v>2.219</v>
      </c>
      <c r="H27" s="16" t="n">
        <f aca="false">G27+I27</f>
        <v>2.23</v>
      </c>
      <c r="I27" s="16" t="n">
        <f aca="false">RANDBETWEEN(-20,70)/1000</f>
        <v>0.011</v>
      </c>
      <c r="J27" s="16" t="n">
        <f aca="false">W27+0.25</f>
        <v>2.336</v>
      </c>
      <c r="K27" s="16" t="n">
        <f aca="false">J27+L27</f>
        <v>2.324</v>
      </c>
      <c r="L27" s="16" t="n">
        <f aca="false">RANDBETWEEN(-20,70)/1000</f>
        <v>-0.012</v>
      </c>
      <c r="M27" s="16" t="n">
        <v>5.25</v>
      </c>
      <c r="N27" s="16" t="n">
        <f aca="false">+M27+O27</f>
        <v>5.2423</v>
      </c>
      <c r="O27" s="16" t="n">
        <f aca="false">RANDBETWEEN(-105,115)/10000</f>
        <v>-0.0077</v>
      </c>
      <c r="P27" s="16" t="n">
        <f aca="false">G27</f>
        <v>2.219</v>
      </c>
      <c r="Q27" s="16" t="n">
        <f aca="false">P27+R27</f>
        <v>2.252</v>
      </c>
      <c r="R27" s="16" t="n">
        <f aca="false">RANDBETWEEN(-20,70)/1000</f>
        <v>0.033</v>
      </c>
      <c r="S27" s="17"/>
      <c r="T27" s="18" t="n">
        <v>17.14</v>
      </c>
      <c r="V27" s="19"/>
      <c r="W27" s="20" t="n">
        <v>2.086</v>
      </c>
    </row>
    <row r="28" s="10" customFormat="true" ht="18" hidden="false" customHeight="true" outlineLevel="0" collapsed="false">
      <c r="A28" s="13" t="n">
        <v>6</v>
      </c>
      <c r="B28" s="14" t="s">
        <v>28</v>
      </c>
      <c r="C28" s="15" t="n">
        <f aca="false">+C27+T27</f>
        <v>511.48</v>
      </c>
      <c r="D28" s="16" t="n">
        <v>-5.25</v>
      </c>
      <c r="E28" s="16" t="n">
        <f aca="false">+D28+F28</f>
        <v>-5.2395</v>
      </c>
      <c r="F28" s="16" t="n">
        <f aca="false">RANDBETWEEN(-105,115)/10000</f>
        <v>0.0105</v>
      </c>
      <c r="G28" s="16" t="n">
        <f aca="false">J28-4.95*2%-0.3*6%</f>
        <v>2.21</v>
      </c>
      <c r="H28" s="16" t="n">
        <f aca="false">G28+I28</f>
        <v>2.253</v>
      </c>
      <c r="I28" s="16" t="n">
        <f aca="false">RANDBETWEEN(-20,70)/1000</f>
        <v>0.043</v>
      </c>
      <c r="J28" s="16" t="n">
        <f aca="false">W28+0.25</f>
        <v>2.327</v>
      </c>
      <c r="K28" s="16" t="n">
        <f aca="false">J28+L28</f>
        <v>2.34</v>
      </c>
      <c r="L28" s="16" t="n">
        <f aca="false">RANDBETWEEN(-20,70)/1000</f>
        <v>0.013</v>
      </c>
      <c r="M28" s="16" t="n">
        <v>5.25</v>
      </c>
      <c r="N28" s="16" t="n">
        <f aca="false">+M28+O28</f>
        <v>5.2534</v>
      </c>
      <c r="O28" s="16" t="n">
        <f aca="false">RANDBETWEEN(-105,115)/10000</f>
        <v>0.0034</v>
      </c>
      <c r="P28" s="16" t="n">
        <f aca="false">G28</f>
        <v>2.21</v>
      </c>
      <c r="Q28" s="16" t="n">
        <f aca="false">P28+R28</f>
        <v>2.202</v>
      </c>
      <c r="R28" s="16" t="n">
        <f aca="false">RANDBETWEEN(-20,70)/1000</f>
        <v>-0.008</v>
      </c>
      <c r="S28" s="17"/>
      <c r="T28" s="18" t="n">
        <v>3.12</v>
      </c>
      <c r="V28" s="19"/>
      <c r="W28" s="20" t="n">
        <v>2.077</v>
      </c>
    </row>
    <row r="29" s="10" customFormat="true" ht="18" hidden="false" customHeight="true" outlineLevel="0" collapsed="false">
      <c r="A29" s="13" t="n">
        <v>7</v>
      </c>
      <c r="B29" s="14" t="s">
        <v>29</v>
      </c>
      <c r="C29" s="15" t="n">
        <f aca="false">+C28+T28</f>
        <v>514.6</v>
      </c>
      <c r="D29" s="16" t="n">
        <v>-5.25</v>
      </c>
      <c r="E29" s="16" t="n">
        <f aca="false">+D29+F29</f>
        <v>-5.2403</v>
      </c>
      <c r="F29" s="16" t="n">
        <f aca="false">RANDBETWEEN(-105,115)/10000</f>
        <v>0.0097</v>
      </c>
      <c r="G29" s="16" t="n">
        <f aca="false">J29-4.95*2%-0.3*6%</f>
        <v>2.208</v>
      </c>
      <c r="H29" s="16" t="n">
        <f aca="false">G29+I29</f>
        <v>2.216</v>
      </c>
      <c r="I29" s="16" t="n">
        <f aca="false">RANDBETWEEN(-20,70)/1000</f>
        <v>0.008</v>
      </c>
      <c r="J29" s="16" t="n">
        <f aca="false">W29+0.25</f>
        <v>2.325</v>
      </c>
      <c r="K29" s="16" t="n">
        <f aca="false">J29+L29</f>
        <v>2.371</v>
      </c>
      <c r="L29" s="16" t="n">
        <f aca="false">RANDBETWEEN(-20,70)/1000</f>
        <v>0.046</v>
      </c>
      <c r="M29" s="16" t="n">
        <v>5.25</v>
      </c>
      <c r="N29" s="16" t="n">
        <f aca="false">+M29+O29</f>
        <v>5.2559</v>
      </c>
      <c r="O29" s="16" t="n">
        <f aca="false">RANDBETWEEN(-105,115)/10000</f>
        <v>0.0059</v>
      </c>
      <c r="P29" s="16" t="n">
        <f aca="false">G29</f>
        <v>2.208</v>
      </c>
      <c r="Q29" s="16" t="n">
        <f aca="false">P29+R29</f>
        <v>2.213</v>
      </c>
      <c r="R29" s="16" t="n">
        <f aca="false">RANDBETWEEN(-20,70)/1000</f>
        <v>0.005</v>
      </c>
      <c r="S29" s="17"/>
      <c r="T29" s="18" t="n">
        <v>10.48</v>
      </c>
      <c r="V29" s="19"/>
      <c r="W29" s="20" t="n">
        <v>2.075</v>
      </c>
    </row>
    <row r="30" s="10" customFormat="true" ht="18" hidden="false" customHeight="true" outlineLevel="0" collapsed="false">
      <c r="A30" s="13" t="n">
        <v>8</v>
      </c>
      <c r="B30" s="14" t="s">
        <v>30</v>
      </c>
      <c r="C30" s="15" t="n">
        <f aca="false">+C29+T29</f>
        <v>525.08</v>
      </c>
      <c r="D30" s="16" t="n">
        <v>-5.25</v>
      </c>
      <c r="E30" s="16" t="n">
        <f aca="false">+D30+F30</f>
        <v>-5.2479</v>
      </c>
      <c r="F30" s="16" t="n">
        <f aca="false">RANDBETWEEN(-105,115)/10000</f>
        <v>0.0021</v>
      </c>
      <c r="G30" s="16" t="n">
        <f aca="false">J30-4.95*2%-0.3*6%</f>
        <v>2.203</v>
      </c>
      <c r="H30" s="16" t="n">
        <f aca="false">G30+I30</f>
        <v>2.2</v>
      </c>
      <c r="I30" s="16" t="n">
        <f aca="false">RANDBETWEEN(-20,70)/1000</f>
        <v>-0.003</v>
      </c>
      <c r="J30" s="16" t="n">
        <f aca="false">W30+0.25</f>
        <v>2.32</v>
      </c>
      <c r="K30" s="16" t="n">
        <f aca="false">J30+L30</f>
        <v>2.341</v>
      </c>
      <c r="L30" s="16" t="n">
        <f aca="false">RANDBETWEEN(-20,70)/1000</f>
        <v>0.021</v>
      </c>
      <c r="M30" s="16" t="n">
        <v>5.25</v>
      </c>
      <c r="N30" s="16" t="n">
        <f aca="false">+M30+O30</f>
        <v>5.2451</v>
      </c>
      <c r="O30" s="16" t="n">
        <f aca="false">RANDBETWEEN(-105,115)/10000</f>
        <v>-0.0049</v>
      </c>
      <c r="P30" s="16" t="n">
        <f aca="false">G30</f>
        <v>2.203</v>
      </c>
      <c r="Q30" s="16" t="n">
        <f aca="false">P30+R30</f>
        <v>2.269</v>
      </c>
      <c r="R30" s="16" t="n">
        <f aca="false">RANDBETWEEN(-20,70)/1000</f>
        <v>0.066</v>
      </c>
      <c r="S30" s="17"/>
      <c r="T30" s="18" t="n">
        <v>13.6</v>
      </c>
      <c r="V30" s="19"/>
      <c r="W30" s="20" t="n">
        <v>2.07</v>
      </c>
    </row>
    <row r="31" s="10" customFormat="true" ht="18" hidden="false" customHeight="true" outlineLevel="0" collapsed="false">
      <c r="A31" s="13" t="n">
        <v>9</v>
      </c>
      <c r="B31" s="14" t="s">
        <v>31</v>
      </c>
      <c r="C31" s="15" t="n">
        <f aca="false">+C30+T30</f>
        <v>538.68</v>
      </c>
      <c r="D31" s="16" t="n">
        <v>-5.25</v>
      </c>
      <c r="E31" s="16" t="n">
        <f aca="false">+D31+F31</f>
        <v>-5.257</v>
      </c>
      <c r="F31" s="16" t="n">
        <f aca="false">RANDBETWEEN(-105,115)/10000</f>
        <v>-0.007</v>
      </c>
      <c r="G31" s="16" t="n">
        <f aca="false">J31-4.95*2%-0.3*6%</f>
        <v>2.196</v>
      </c>
      <c r="H31" s="16" t="n">
        <f aca="false">G31+I31</f>
        <v>2.24</v>
      </c>
      <c r="I31" s="16" t="n">
        <f aca="false">RANDBETWEEN(-20,70)/1000</f>
        <v>0.044</v>
      </c>
      <c r="J31" s="16" t="n">
        <f aca="false">W31+0.25</f>
        <v>2.313</v>
      </c>
      <c r="K31" s="16" t="n">
        <f aca="false">J31+L31</f>
        <v>2.319</v>
      </c>
      <c r="L31" s="16" t="n">
        <f aca="false">RANDBETWEEN(-20,70)/1000</f>
        <v>0.006</v>
      </c>
      <c r="M31" s="16" t="n">
        <v>5.25</v>
      </c>
      <c r="N31" s="16" t="n">
        <f aca="false">+M31+O31</f>
        <v>5.2479</v>
      </c>
      <c r="O31" s="16" t="n">
        <f aca="false">RANDBETWEEN(-105,115)/10000</f>
        <v>-0.0021</v>
      </c>
      <c r="P31" s="16" t="n">
        <f aca="false">G31</f>
        <v>2.196</v>
      </c>
      <c r="Q31" s="16" t="n">
        <f aca="false">P31+R31</f>
        <v>2.204</v>
      </c>
      <c r="R31" s="16" t="n">
        <f aca="false">RANDBETWEEN(-20,70)/1000</f>
        <v>0.008</v>
      </c>
      <c r="S31" s="17"/>
      <c r="T31" s="18" t="n">
        <v>15.4</v>
      </c>
      <c r="V31" s="19"/>
      <c r="W31" s="20" t="n">
        <v>2.063</v>
      </c>
    </row>
    <row r="32" s="10" customFormat="true" ht="18" hidden="false" customHeight="true" outlineLevel="0" collapsed="false">
      <c r="A32" s="13" t="n">
        <v>10</v>
      </c>
      <c r="B32" s="14" t="s">
        <v>32</v>
      </c>
      <c r="C32" s="15" t="n">
        <f aca="false">+C31+T31</f>
        <v>554.08</v>
      </c>
      <c r="D32" s="16" t="n">
        <v>-5.25</v>
      </c>
      <c r="E32" s="16" t="n">
        <f aca="false">+D32+F32</f>
        <v>-5.2428</v>
      </c>
      <c r="F32" s="16" t="n">
        <f aca="false">RANDBETWEEN(-105,115)/10000</f>
        <v>0.0072</v>
      </c>
      <c r="G32" s="16" t="n">
        <f aca="false">J32-4.95*2%-0.3*6%</f>
        <v>2.188</v>
      </c>
      <c r="H32" s="16" t="n">
        <f aca="false">G32+I32</f>
        <v>2.171</v>
      </c>
      <c r="I32" s="16" t="n">
        <f aca="false">RANDBETWEEN(-20,70)/1000</f>
        <v>-0.017</v>
      </c>
      <c r="J32" s="16" t="n">
        <f aca="false">W32+0.25</f>
        <v>2.305</v>
      </c>
      <c r="K32" s="16" t="n">
        <f aca="false">J32+L32</f>
        <v>2.352</v>
      </c>
      <c r="L32" s="16" t="n">
        <f aca="false">RANDBETWEEN(-20,70)/1000</f>
        <v>0.047</v>
      </c>
      <c r="M32" s="16" t="n">
        <v>5.25</v>
      </c>
      <c r="N32" s="16" t="n">
        <f aca="false">+M32+O32</f>
        <v>5.2555</v>
      </c>
      <c r="O32" s="16" t="n">
        <f aca="false">RANDBETWEEN(-105,115)/10000</f>
        <v>0.0055</v>
      </c>
      <c r="P32" s="16" t="n">
        <f aca="false">G32</f>
        <v>2.188</v>
      </c>
      <c r="Q32" s="16" t="n">
        <f aca="false">P32+R32</f>
        <v>2.185</v>
      </c>
      <c r="R32" s="16" t="n">
        <f aca="false">RANDBETWEEN(-20,70)/1000</f>
        <v>-0.003</v>
      </c>
      <c r="S32" s="17"/>
      <c r="T32" s="18"/>
      <c r="V32" s="19"/>
      <c r="W32" s="20" t="n">
        <v>2.055</v>
      </c>
    </row>
    <row r="33" s="10" customFormat="true" ht="18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  <c r="W33" s="20"/>
    </row>
    <row r="34" s="10" customFormat="true" ht="18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  <c r="W34" s="20"/>
    </row>
    <row r="35" s="10" customFormat="true" ht="18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  <c r="W35" s="20"/>
    </row>
    <row r="36" s="10" customFormat="true" ht="18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  <c r="W36" s="20"/>
    </row>
    <row r="37" s="10" customFormat="true" ht="18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  <c r="W37" s="20"/>
    </row>
    <row r="38" s="10" customFormat="true" ht="18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  <c r="W38" s="20"/>
    </row>
    <row r="39" s="10" customFormat="true" ht="18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  <c r="W39" s="20"/>
    </row>
    <row r="40" s="10" customFormat="true" ht="18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  <c r="W40" s="20"/>
    </row>
    <row r="41" s="10" customFormat="true" ht="18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  <c r="W41" s="20"/>
    </row>
    <row r="42" s="10" customFormat="true" ht="18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  <c r="W42" s="20"/>
    </row>
    <row r="43" s="10" customFormat="true" ht="18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  <c r="W43" s="20"/>
    </row>
    <row r="44" s="10" customFormat="true" ht="18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  <c r="W44" s="20"/>
    </row>
    <row r="45" s="10" customFormat="true" ht="18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  <c r="W45" s="20"/>
    </row>
    <row r="46" s="10" customFormat="true" ht="18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  <c r="W46" s="20"/>
    </row>
    <row r="47" s="10" customFormat="true" ht="18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  <c r="W47" s="20"/>
    </row>
    <row r="48" s="10" customFormat="true" ht="18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  <c r="W48" s="20"/>
    </row>
    <row r="49" s="10" customFormat="true" ht="18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  <c r="W49" s="20"/>
    </row>
    <row r="50" s="10" customFormat="true" ht="18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  <c r="W50" s="20"/>
    </row>
    <row r="51" s="10" customFormat="true" ht="18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  <c r="W51" s="20"/>
    </row>
    <row r="52" s="10" customFormat="true" ht="18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  <c r="W52" s="20"/>
    </row>
    <row r="53" s="10" customFormat="true" ht="18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  <c r="W53" s="20"/>
    </row>
    <row r="54" s="10" customFormat="true" ht="18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  <c r="W54" s="20"/>
    </row>
    <row r="55" s="10" customFormat="true" ht="18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  <c r="W55" s="20"/>
    </row>
    <row r="56" s="10" customFormat="true" ht="18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  <c r="W56" s="20"/>
    </row>
    <row r="57" s="10" customFormat="true" ht="18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  <c r="W57" s="20"/>
    </row>
    <row r="58" s="10" customFormat="true" ht="18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  <c r="W58" s="20"/>
    </row>
    <row r="59" s="10" customFormat="true" ht="18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  <c r="W59" s="20"/>
    </row>
    <row r="60" s="10" customFormat="true" ht="18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  <c r="W60" s="20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33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34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35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36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1" colorId="64" zoomScale="70" zoomScaleNormal="70" zoomScalePageLayoutView="100" workbookViewId="0">
      <selection pane="topLeft" activeCell="AH55" activeCellId="0" sqref="AH55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17.NĐXD4/CVXD ngày 24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17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đất nền đường lớp 1, độ chặt K&gt;=0,98 đoạn từ Km0+441,84 - Km0+554,08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36" t="s">
        <v>38</v>
      </c>
      <c r="B9" s="36" t="s">
        <v>10</v>
      </c>
      <c r="C9" s="36" t="s">
        <v>11</v>
      </c>
      <c r="D9" s="37" t="s">
        <v>39</v>
      </c>
      <c r="E9" s="38"/>
      <c r="F9" s="38"/>
      <c r="G9" s="37"/>
      <c r="H9" s="38"/>
      <c r="I9" s="38"/>
      <c r="J9" s="38"/>
      <c r="K9" s="38"/>
      <c r="L9" s="38"/>
      <c r="M9" s="39" t="s">
        <v>40</v>
      </c>
      <c r="N9" s="40"/>
      <c r="O9" s="41" t="s">
        <v>41</v>
      </c>
      <c r="P9" s="42"/>
      <c r="Q9" s="42"/>
      <c r="R9" s="42"/>
      <c r="S9" s="42"/>
      <c r="T9" s="42"/>
      <c r="U9" s="42"/>
      <c r="V9" s="42"/>
      <c r="W9" s="41" t="s">
        <v>42</v>
      </c>
      <c r="X9" s="40"/>
      <c r="Y9" s="43"/>
      <c r="Z9" s="44"/>
      <c r="AA9" s="44"/>
      <c r="AB9" s="37" t="s">
        <v>15</v>
      </c>
      <c r="AC9" s="45"/>
    </row>
    <row r="10" s="50" customFormat="true" ht="22.5" hidden="false" customHeight="true" outlineLevel="0" collapsed="false">
      <c r="A10" s="36"/>
      <c r="B10" s="36"/>
      <c r="C10" s="36"/>
      <c r="D10" s="36"/>
      <c r="E10" s="41"/>
      <c r="F10" s="41"/>
      <c r="G10" s="41"/>
      <c r="H10" s="41"/>
      <c r="I10" s="41"/>
      <c r="J10" s="41"/>
      <c r="K10" s="41"/>
      <c r="L10" s="41"/>
      <c r="M10" s="41"/>
      <c r="N10" s="41" t="s">
        <v>41</v>
      </c>
      <c r="O10" s="41"/>
      <c r="P10" s="41" t="s">
        <v>41</v>
      </c>
      <c r="Q10" s="41" t="s">
        <v>41</v>
      </c>
      <c r="R10" s="41"/>
      <c r="S10" s="41"/>
      <c r="T10" s="41"/>
      <c r="U10" s="41" t="s">
        <v>42</v>
      </c>
      <c r="V10" s="41" t="s">
        <v>42</v>
      </c>
      <c r="W10" s="41"/>
      <c r="X10" s="41" t="s">
        <v>42</v>
      </c>
      <c r="Y10" s="41" t="s">
        <v>42</v>
      </c>
      <c r="Z10" s="47"/>
      <c r="AA10" s="47"/>
      <c r="AB10" s="37"/>
      <c r="AC10" s="48"/>
      <c r="AD10" s="49"/>
      <c r="AE10" s="49"/>
    </row>
    <row r="11" s="50" customFormat="true" ht="15" hidden="false" customHeight="true" outlineLevel="0" collapsed="false">
      <c r="A11" s="13" t="n">
        <v>1</v>
      </c>
      <c r="B11" s="13" t="str">
        <f aca="false">'KTHH Lớp 1'!B23</f>
        <v>24</v>
      </c>
      <c r="C11" s="15" t="n">
        <f aca="false">'KTHH Lớp 1'!C23</f>
        <v>441.84</v>
      </c>
      <c r="D11" s="13" t="n">
        <f aca="false">'KTHH Lớp 1'!T23</f>
        <v>12.5</v>
      </c>
      <c r="E11" s="51"/>
      <c r="F11" s="51"/>
      <c r="G11" s="51"/>
      <c r="H11" s="51"/>
      <c r="I11" s="51"/>
      <c r="J11" s="51"/>
      <c r="K11" s="52"/>
      <c r="L11" s="16"/>
      <c r="M11" s="17"/>
      <c r="N11" s="53"/>
      <c r="O11" s="52" t="n">
        <f aca="false">10.5*0.25</f>
        <v>2.625</v>
      </c>
      <c r="P11" s="52"/>
      <c r="Q11" s="52"/>
      <c r="R11" s="54"/>
      <c r="S11" s="54"/>
      <c r="T11" s="54"/>
      <c r="U11" s="54"/>
      <c r="V11" s="54"/>
      <c r="W11" s="54" t="n">
        <f aca="false">(O11+O12)*D11/2</f>
        <v>32.8125</v>
      </c>
      <c r="X11" s="54"/>
      <c r="Y11" s="54"/>
      <c r="Z11" s="54"/>
      <c r="AA11" s="54"/>
      <c r="AB11" s="55"/>
      <c r="AC11" s="56"/>
      <c r="AE11" s="57"/>
      <c r="AF11" s="57"/>
    </row>
    <row r="12" s="50" customFormat="true" ht="15" hidden="false" customHeight="true" outlineLevel="0" collapsed="false">
      <c r="A12" s="13" t="n">
        <v>2</v>
      </c>
      <c r="B12" s="13" t="str">
        <f aca="false">'KTHH Lớp 1'!B24</f>
        <v>25</v>
      </c>
      <c r="C12" s="15" t="n">
        <f aca="false">'KTHH Lớp 1'!C24</f>
        <v>454.34</v>
      </c>
      <c r="D12" s="13" t="n">
        <f aca="false">'KTHH Lớp 1'!T24</f>
        <v>12.5</v>
      </c>
      <c r="E12" s="51"/>
      <c r="F12" s="51"/>
      <c r="G12" s="51"/>
      <c r="H12" s="51"/>
      <c r="I12" s="51"/>
      <c r="J12" s="51"/>
      <c r="K12" s="52"/>
      <c r="L12" s="16"/>
      <c r="M12" s="17"/>
      <c r="N12" s="53"/>
      <c r="O12" s="52" t="n">
        <f aca="false">10.5*0.25</f>
        <v>2.625</v>
      </c>
      <c r="P12" s="52"/>
      <c r="Q12" s="52"/>
      <c r="R12" s="54"/>
      <c r="S12" s="54"/>
      <c r="T12" s="54"/>
      <c r="U12" s="54"/>
      <c r="V12" s="54"/>
      <c r="W12" s="54" t="n">
        <f aca="false">(O12+O13)*D12/2</f>
        <v>32.8125</v>
      </c>
      <c r="X12" s="54"/>
      <c r="Y12" s="54"/>
      <c r="Z12" s="54"/>
      <c r="AA12" s="54"/>
      <c r="AB12" s="55"/>
      <c r="AC12" s="56"/>
      <c r="AE12" s="57"/>
      <c r="AF12" s="57"/>
    </row>
    <row r="13" s="50" customFormat="true" ht="15" hidden="false" customHeight="true" outlineLevel="0" collapsed="false">
      <c r="A13" s="13" t="n">
        <v>3</v>
      </c>
      <c r="B13" s="13" t="str">
        <f aca="false">'KTHH Lớp 1'!B25</f>
        <v>26</v>
      </c>
      <c r="C13" s="15" t="n">
        <f aca="false">'KTHH Lớp 1'!C25</f>
        <v>466.84</v>
      </c>
      <c r="D13" s="13" t="n">
        <f aca="false">'KTHH Lớp 1'!T25</f>
        <v>7.5</v>
      </c>
      <c r="E13" s="51"/>
      <c r="F13" s="51"/>
      <c r="G13" s="51"/>
      <c r="H13" s="51"/>
      <c r="I13" s="51"/>
      <c r="J13" s="51"/>
      <c r="K13" s="52"/>
      <c r="L13" s="16"/>
      <c r="M13" s="17"/>
      <c r="N13" s="53"/>
      <c r="O13" s="52" t="n">
        <f aca="false">10.5*0.25</f>
        <v>2.625</v>
      </c>
      <c r="P13" s="52"/>
      <c r="Q13" s="52"/>
      <c r="R13" s="54"/>
      <c r="S13" s="54"/>
      <c r="T13" s="54"/>
      <c r="U13" s="54"/>
      <c r="V13" s="54"/>
      <c r="W13" s="54" t="n">
        <f aca="false">(O13+O14)*D13/2</f>
        <v>19.6875</v>
      </c>
      <c r="X13" s="54"/>
      <c r="Y13" s="54"/>
      <c r="Z13" s="54"/>
      <c r="AA13" s="54"/>
      <c r="AB13" s="55"/>
      <c r="AC13" s="56"/>
      <c r="AE13" s="57"/>
      <c r="AF13" s="57"/>
    </row>
    <row r="14" s="50" customFormat="true" ht="15" hidden="false" customHeight="true" outlineLevel="0" collapsed="false">
      <c r="A14" s="13" t="n">
        <v>4</v>
      </c>
      <c r="B14" s="13" t="str">
        <f aca="false">'KTHH Lớp 1'!B26</f>
        <v>27</v>
      </c>
      <c r="C14" s="15" t="n">
        <f aca="false">'KTHH Lớp 1'!C26</f>
        <v>474.34</v>
      </c>
      <c r="D14" s="13" t="n">
        <f aca="false">'KTHH Lớp 1'!T26</f>
        <v>20</v>
      </c>
      <c r="E14" s="51"/>
      <c r="F14" s="51"/>
      <c r="G14" s="51"/>
      <c r="H14" s="51"/>
      <c r="I14" s="51"/>
      <c r="J14" s="51"/>
      <c r="K14" s="52"/>
      <c r="L14" s="16"/>
      <c r="M14" s="17"/>
      <c r="N14" s="53"/>
      <c r="O14" s="52" t="n">
        <f aca="false">10.5*0.25</f>
        <v>2.625</v>
      </c>
      <c r="P14" s="52"/>
      <c r="Q14" s="52"/>
      <c r="R14" s="54"/>
      <c r="S14" s="54"/>
      <c r="T14" s="54"/>
      <c r="U14" s="54"/>
      <c r="V14" s="54"/>
      <c r="W14" s="54" t="n">
        <f aca="false">(O14+O15)*D14/2</f>
        <v>52.5</v>
      </c>
      <c r="X14" s="54"/>
      <c r="Y14" s="54"/>
      <c r="Z14" s="54"/>
      <c r="AA14" s="54"/>
      <c r="AB14" s="55"/>
      <c r="AC14" s="56"/>
      <c r="AE14" s="57"/>
      <c r="AF14" s="57"/>
    </row>
    <row r="15" s="50" customFormat="true" ht="15" hidden="false" customHeight="true" outlineLevel="0" collapsed="false">
      <c r="A15" s="13" t="n">
        <v>5</v>
      </c>
      <c r="B15" s="13" t="str">
        <f aca="false">'KTHH Lớp 1'!B27</f>
        <v>28</v>
      </c>
      <c r="C15" s="15" t="n">
        <f aca="false">'KTHH Lớp 1'!C27</f>
        <v>494.34</v>
      </c>
      <c r="D15" s="13" t="n">
        <f aca="false">'KTHH Lớp 1'!T27</f>
        <v>17.14</v>
      </c>
      <c r="E15" s="51"/>
      <c r="F15" s="51"/>
      <c r="G15" s="51"/>
      <c r="H15" s="51"/>
      <c r="I15" s="51"/>
      <c r="J15" s="51"/>
      <c r="K15" s="52"/>
      <c r="L15" s="16"/>
      <c r="M15" s="17"/>
      <c r="N15" s="53"/>
      <c r="O15" s="52" t="n">
        <f aca="false">10.5*0.25</f>
        <v>2.625</v>
      </c>
      <c r="P15" s="52"/>
      <c r="Q15" s="52"/>
      <c r="R15" s="54"/>
      <c r="S15" s="54"/>
      <c r="T15" s="54"/>
      <c r="U15" s="54"/>
      <c r="V15" s="54"/>
      <c r="W15" s="54" t="n">
        <f aca="false">(O15+O16)*D15/2</f>
        <v>44.9925</v>
      </c>
      <c r="X15" s="54"/>
      <c r="Y15" s="54"/>
      <c r="Z15" s="54"/>
      <c r="AA15" s="54"/>
      <c r="AB15" s="55"/>
      <c r="AC15" s="56"/>
      <c r="AE15" s="57"/>
      <c r="AF15" s="57"/>
    </row>
    <row r="16" s="50" customFormat="true" ht="15" hidden="false" customHeight="true" outlineLevel="0" collapsed="false">
      <c r="A16" s="13" t="n">
        <v>6</v>
      </c>
      <c r="B16" s="13" t="str">
        <f aca="false">'KTHH Lớp 1'!B28</f>
        <v>29</v>
      </c>
      <c r="C16" s="15" t="n">
        <f aca="false">'KTHH Lớp 1'!C28</f>
        <v>511.48</v>
      </c>
      <c r="D16" s="13" t="n">
        <f aca="false">'KTHH Lớp 1'!T28</f>
        <v>3.12</v>
      </c>
      <c r="E16" s="51"/>
      <c r="F16" s="51"/>
      <c r="G16" s="51"/>
      <c r="H16" s="51"/>
      <c r="I16" s="51"/>
      <c r="J16" s="51"/>
      <c r="K16" s="52"/>
      <c r="L16" s="16"/>
      <c r="M16" s="17"/>
      <c r="N16" s="53"/>
      <c r="O16" s="52" t="n">
        <f aca="false">10.5*0.25</f>
        <v>2.625</v>
      </c>
      <c r="P16" s="52"/>
      <c r="Q16" s="52"/>
      <c r="R16" s="54"/>
      <c r="S16" s="54"/>
      <c r="T16" s="54"/>
      <c r="U16" s="54"/>
      <c r="V16" s="54"/>
      <c r="W16" s="54" t="n">
        <f aca="false">(O16+O17)*D16/2</f>
        <v>8.19</v>
      </c>
      <c r="X16" s="54"/>
      <c r="Y16" s="54"/>
      <c r="Z16" s="54"/>
      <c r="AA16" s="54"/>
      <c r="AB16" s="55"/>
      <c r="AC16" s="56"/>
      <c r="AE16" s="57"/>
      <c r="AF16" s="57"/>
    </row>
    <row r="17" s="50" customFormat="true" ht="15" hidden="false" customHeight="true" outlineLevel="0" collapsed="false">
      <c r="A17" s="13" t="n">
        <v>7</v>
      </c>
      <c r="B17" s="13" t="str">
        <f aca="false">'KTHH Lớp 1'!B29</f>
        <v>30</v>
      </c>
      <c r="C17" s="15" t="n">
        <f aca="false">'KTHH Lớp 1'!C29</f>
        <v>514.6</v>
      </c>
      <c r="D17" s="13" t="n">
        <f aca="false">'KTHH Lớp 1'!T29</f>
        <v>10.48</v>
      </c>
      <c r="E17" s="51"/>
      <c r="F17" s="51"/>
      <c r="G17" s="51"/>
      <c r="H17" s="51"/>
      <c r="I17" s="51"/>
      <c r="J17" s="51"/>
      <c r="K17" s="52"/>
      <c r="L17" s="16"/>
      <c r="M17" s="17"/>
      <c r="N17" s="53"/>
      <c r="O17" s="52" t="n">
        <f aca="false">10.5*0.25</f>
        <v>2.625</v>
      </c>
      <c r="P17" s="52"/>
      <c r="Q17" s="52"/>
      <c r="R17" s="54"/>
      <c r="S17" s="54"/>
      <c r="T17" s="54"/>
      <c r="U17" s="54"/>
      <c r="V17" s="54"/>
      <c r="W17" s="54" t="n">
        <f aca="false">(O17+O18)*D17/2</f>
        <v>27.51</v>
      </c>
      <c r="X17" s="54"/>
      <c r="Y17" s="54"/>
      <c r="Z17" s="54"/>
      <c r="AA17" s="54"/>
      <c r="AB17" s="55"/>
      <c r="AC17" s="56"/>
      <c r="AE17" s="57"/>
      <c r="AF17" s="57"/>
    </row>
    <row r="18" s="50" customFormat="true" ht="15" hidden="false" customHeight="true" outlineLevel="0" collapsed="false">
      <c r="A18" s="13" t="n">
        <v>8</v>
      </c>
      <c r="B18" s="13" t="str">
        <f aca="false">'KTHH Lớp 1'!B30</f>
        <v>D</v>
      </c>
      <c r="C18" s="15" t="n">
        <f aca="false">'KTHH Lớp 1'!C30</f>
        <v>525.08</v>
      </c>
      <c r="D18" s="13" t="n">
        <f aca="false">'KTHH Lớp 1'!T30</f>
        <v>13.6</v>
      </c>
      <c r="E18" s="51"/>
      <c r="F18" s="51"/>
      <c r="G18" s="51"/>
      <c r="H18" s="51"/>
      <c r="I18" s="51"/>
      <c r="J18" s="51"/>
      <c r="K18" s="52"/>
      <c r="L18" s="16"/>
      <c r="M18" s="17"/>
      <c r="N18" s="53"/>
      <c r="O18" s="52" t="n">
        <f aca="false">10.5*0.25</f>
        <v>2.625</v>
      </c>
      <c r="P18" s="52"/>
      <c r="Q18" s="52"/>
      <c r="R18" s="54"/>
      <c r="S18" s="54"/>
      <c r="T18" s="54"/>
      <c r="U18" s="54"/>
      <c r="V18" s="54"/>
      <c r="W18" s="54" t="n">
        <f aca="false">(O18+O19)*D18/2</f>
        <v>35.7</v>
      </c>
      <c r="X18" s="54"/>
      <c r="Y18" s="54"/>
      <c r="Z18" s="54"/>
      <c r="AA18" s="54"/>
      <c r="AB18" s="55"/>
      <c r="AC18" s="56"/>
      <c r="AE18" s="57"/>
      <c r="AF18" s="57"/>
    </row>
    <row r="19" s="50" customFormat="true" ht="15" hidden="false" customHeight="true" outlineLevel="0" collapsed="false">
      <c r="A19" s="13" t="n">
        <v>9</v>
      </c>
      <c r="B19" s="13" t="str">
        <f aca="false">'KTHH Lớp 1'!B31</f>
        <v>31</v>
      </c>
      <c r="C19" s="15" t="n">
        <f aca="false">'KTHH Lớp 1'!C31</f>
        <v>538.68</v>
      </c>
      <c r="D19" s="13" t="n">
        <f aca="false">'KTHH Lớp 1'!T31</f>
        <v>15.4</v>
      </c>
      <c r="E19" s="51"/>
      <c r="F19" s="51"/>
      <c r="G19" s="51"/>
      <c r="H19" s="51"/>
      <c r="I19" s="51"/>
      <c r="J19" s="51"/>
      <c r="K19" s="52"/>
      <c r="L19" s="16"/>
      <c r="M19" s="17"/>
      <c r="N19" s="53"/>
      <c r="O19" s="52" t="n">
        <f aca="false">10.5*0.25</f>
        <v>2.625</v>
      </c>
      <c r="P19" s="52"/>
      <c r="Q19" s="52"/>
      <c r="R19" s="54"/>
      <c r="S19" s="54"/>
      <c r="T19" s="54"/>
      <c r="U19" s="54"/>
      <c r="V19" s="54"/>
      <c r="W19" s="54" t="n">
        <f aca="false">(O19+O20)*D19/2</f>
        <v>40.425</v>
      </c>
      <c r="X19" s="54"/>
      <c r="Y19" s="54"/>
      <c r="Z19" s="54"/>
      <c r="AA19" s="54"/>
      <c r="AB19" s="55"/>
      <c r="AC19" s="56"/>
      <c r="AE19" s="57"/>
      <c r="AF19" s="57"/>
    </row>
    <row r="20" s="50" customFormat="true" ht="15" hidden="false" customHeight="true" outlineLevel="0" collapsed="false">
      <c r="A20" s="13" t="n">
        <v>10</v>
      </c>
      <c r="B20" s="13" t="str">
        <f aca="false">'KTHH Lớp 1'!B32</f>
        <v>32</v>
      </c>
      <c r="C20" s="15" t="n">
        <f aca="false">'KTHH Lớp 1'!C32</f>
        <v>554.08</v>
      </c>
      <c r="D20" s="13"/>
      <c r="E20" s="51"/>
      <c r="F20" s="51"/>
      <c r="G20" s="51"/>
      <c r="H20" s="51"/>
      <c r="I20" s="51"/>
      <c r="J20" s="51"/>
      <c r="K20" s="52"/>
      <c r="L20" s="16"/>
      <c r="M20" s="17"/>
      <c r="N20" s="53"/>
      <c r="O20" s="52" t="n">
        <f aca="false">10.5*0.25</f>
        <v>2.625</v>
      </c>
      <c r="P20" s="52"/>
      <c r="Q20" s="52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5"/>
      <c r="AC20" s="56"/>
      <c r="AE20" s="57"/>
      <c r="AF20" s="57"/>
    </row>
    <row r="21" s="50" customFormat="true" ht="15" hidden="true" customHeight="true" outlineLevel="0" collapsed="false">
      <c r="A21" s="13"/>
      <c r="B21" s="13"/>
      <c r="C21" s="15"/>
      <c r="D21" s="13"/>
      <c r="E21" s="51"/>
      <c r="F21" s="51"/>
      <c r="G21" s="51"/>
      <c r="H21" s="51"/>
      <c r="I21" s="51"/>
      <c r="J21" s="51"/>
      <c r="K21" s="52"/>
      <c r="L21" s="16"/>
      <c r="M21" s="17"/>
      <c r="N21" s="53"/>
      <c r="O21" s="52"/>
      <c r="P21" s="52"/>
      <c r="Q21" s="52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5"/>
      <c r="AC21" s="56"/>
      <c r="AE21" s="57"/>
      <c r="AF21" s="57"/>
    </row>
    <row r="22" s="50" customFormat="true" ht="15" hidden="true" customHeight="true" outlineLevel="0" collapsed="false">
      <c r="A22" s="13"/>
      <c r="B22" s="13"/>
      <c r="C22" s="15"/>
      <c r="D22" s="13"/>
      <c r="E22" s="51"/>
      <c r="F22" s="51"/>
      <c r="G22" s="51"/>
      <c r="H22" s="51"/>
      <c r="I22" s="51"/>
      <c r="J22" s="51"/>
      <c r="K22" s="52"/>
      <c r="L22" s="16"/>
      <c r="M22" s="17"/>
      <c r="N22" s="53"/>
      <c r="O22" s="52"/>
      <c r="P22" s="52"/>
      <c r="Q22" s="52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5"/>
      <c r="AC22" s="56"/>
      <c r="AE22" s="57"/>
      <c r="AF22" s="57"/>
    </row>
    <row r="23" s="50" customFormat="true" ht="15" hidden="true" customHeight="true" outlineLevel="0" collapsed="false">
      <c r="A23" s="13"/>
      <c r="B23" s="13"/>
      <c r="C23" s="15"/>
      <c r="D23" s="13"/>
      <c r="E23" s="51"/>
      <c r="F23" s="51"/>
      <c r="G23" s="51"/>
      <c r="H23" s="51"/>
      <c r="I23" s="51"/>
      <c r="J23" s="51"/>
      <c r="K23" s="52"/>
      <c r="L23" s="16"/>
      <c r="M23" s="17"/>
      <c r="N23" s="53"/>
      <c r="O23" s="52"/>
      <c r="P23" s="52"/>
      <c r="Q23" s="52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5"/>
      <c r="AC23" s="56"/>
      <c r="AE23" s="57"/>
      <c r="AF23" s="57"/>
    </row>
    <row r="24" s="50" customFormat="true" ht="15" hidden="true" customHeight="true" outlineLevel="0" collapsed="false">
      <c r="A24" s="13"/>
      <c r="B24" s="13"/>
      <c r="C24" s="15"/>
      <c r="D24" s="13"/>
      <c r="E24" s="51"/>
      <c r="F24" s="51"/>
      <c r="G24" s="51"/>
      <c r="H24" s="51"/>
      <c r="I24" s="51"/>
      <c r="J24" s="51"/>
      <c r="K24" s="52"/>
      <c r="L24" s="16"/>
      <c r="M24" s="17"/>
      <c r="N24" s="53"/>
      <c r="O24" s="52"/>
      <c r="P24" s="52"/>
      <c r="Q24" s="52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5"/>
      <c r="AC24" s="56"/>
      <c r="AE24" s="57"/>
      <c r="AF24" s="57"/>
    </row>
    <row r="25" s="50" customFormat="true" ht="15" hidden="true" customHeight="true" outlineLevel="0" collapsed="false">
      <c r="A25" s="13"/>
      <c r="B25" s="13"/>
      <c r="C25" s="15"/>
      <c r="D25" s="13"/>
      <c r="E25" s="51"/>
      <c r="F25" s="51"/>
      <c r="G25" s="51"/>
      <c r="H25" s="51"/>
      <c r="I25" s="51"/>
      <c r="J25" s="51"/>
      <c r="K25" s="52"/>
      <c r="L25" s="16"/>
      <c r="M25" s="17"/>
      <c r="N25" s="53"/>
      <c r="O25" s="52"/>
      <c r="P25" s="52"/>
      <c r="Q25" s="52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5"/>
      <c r="AC25" s="56"/>
      <c r="AE25" s="57"/>
      <c r="AF25" s="57"/>
    </row>
    <row r="26" s="50" customFormat="true" ht="15" hidden="true" customHeight="true" outlineLevel="0" collapsed="false">
      <c r="A26" s="13"/>
      <c r="B26" s="13"/>
      <c r="C26" s="15"/>
      <c r="D26" s="13"/>
      <c r="E26" s="51"/>
      <c r="F26" s="51"/>
      <c r="G26" s="51"/>
      <c r="H26" s="51"/>
      <c r="I26" s="51"/>
      <c r="J26" s="51"/>
      <c r="K26" s="52"/>
      <c r="L26" s="16"/>
      <c r="M26" s="17"/>
      <c r="N26" s="53"/>
      <c r="O26" s="52"/>
      <c r="P26" s="52"/>
      <c r="Q26" s="52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5"/>
      <c r="AC26" s="56"/>
      <c r="AE26" s="57"/>
      <c r="AF26" s="57"/>
    </row>
    <row r="27" s="50" customFormat="true" ht="15" hidden="true" customHeight="true" outlineLevel="0" collapsed="false">
      <c r="A27" s="13"/>
      <c r="B27" s="13"/>
      <c r="C27" s="15"/>
      <c r="D27" s="13"/>
      <c r="E27" s="51"/>
      <c r="F27" s="51"/>
      <c r="G27" s="51"/>
      <c r="H27" s="51"/>
      <c r="I27" s="51"/>
      <c r="J27" s="51"/>
      <c r="K27" s="52"/>
      <c r="L27" s="16"/>
      <c r="M27" s="17"/>
      <c r="N27" s="53"/>
      <c r="O27" s="52"/>
      <c r="P27" s="52"/>
      <c r="Q27" s="52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5"/>
      <c r="AC27" s="56"/>
      <c r="AE27" s="57"/>
      <c r="AF27" s="57"/>
    </row>
    <row r="28" s="50" customFormat="true" ht="15" hidden="true" customHeight="true" outlineLevel="0" collapsed="false">
      <c r="A28" s="13"/>
      <c r="B28" s="13"/>
      <c r="C28" s="15"/>
      <c r="D28" s="13"/>
      <c r="E28" s="51"/>
      <c r="F28" s="51"/>
      <c r="G28" s="51"/>
      <c r="H28" s="51"/>
      <c r="I28" s="51"/>
      <c r="J28" s="51"/>
      <c r="K28" s="52"/>
      <c r="L28" s="16"/>
      <c r="M28" s="17"/>
      <c r="N28" s="53"/>
      <c r="O28" s="52"/>
      <c r="P28" s="52"/>
      <c r="Q28" s="52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56"/>
      <c r="AE28" s="57"/>
      <c r="AF28" s="57"/>
    </row>
    <row r="29" s="50" customFormat="true" ht="15" hidden="true" customHeight="true" outlineLevel="0" collapsed="false">
      <c r="A29" s="13"/>
      <c r="B29" s="13"/>
      <c r="C29" s="15"/>
      <c r="D29" s="13"/>
      <c r="E29" s="51"/>
      <c r="F29" s="51"/>
      <c r="G29" s="51"/>
      <c r="H29" s="51"/>
      <c r="I29" s="51"/>
      <c r="J29" s="51"/>
      <c r="K29" s="52"/>
      <c r="L29" s="16"/>
      <c r="M29" s="17"/>
      <c r="N29" s="53"/>
      <c r="O29" s="52"/>
      <c r="P29" s="52"/>
      <c r="Q29" s="52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5"/>
      <c r="AC29" s="56"/>
      <c r="AE29" s="57"/>
      <c r="AF29" s="57"/>
    </row>
    <row r="30" s="50" customFormat="true" ht="15" hidden="true" customHeight="true" outlineLevel="0" collapsed="false">
      <c r="A30" s="13"/>
      <c r="B30" s="13"/>
      <c r="C30" s="15"/>
      <c r="D30" s="13"/>
      <c r="E30" s="51"/>
      <c r="F30" s="51"/>
      <c r="G30" s="51"/>
      <c r="H30" s="51"/>
      <c r="I30" s="51"/>
      <c r="J30" s="51"/>
      <c r="K30" s="52"/>
      <c r="L30" s="16"/>
      <c r="M30" s="17"/>
      <c r="N30" s="53"/>
      <c r="O30" s="52"/>
      <c r="P30" s="52"/>
      <c r="Q30" s="52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6"/>
      <c r="AE30" s="57"/>
      <c r="AF30" s="57"/>
    </row>
    <row r="31" s="50" customFormat="true" ht="15" hidden="true" customHeight="true" outlineLevel="0" collapsed="false">
      <c r="A31" s="13"/>
      <c r="B31" s="13"/>
      <c r="C31" s="15"/>
      <c r="D31" s="13"/>
      <c r="E31" s="51"/>
      <c r="F31" s="51"/>
      <c r="G31" s="51"/>
      <c r="H31" s="51"/>
      <c r="I31" s="51"/>
      <c r="J31" s="51"/>
      <c r="K31" s="52"/>
      <c r="L31" s="16"/>
      <c r="M31" s="17"/>
      <c r="N31" s="53"/>
      <c r="O31" s="52"/>
      <c r="P31" s="52"/>
      <c r="Q31" s="52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5"/>
      <c r="AC31" s="56"/>
      <c r="AE31" s="57"/>
      <c r="AF31" s="57"/>
    </row>
    <row r="32" s="50" customFormat="true" ht="15" hidden="true" customHeight="true" outlineLevel="0" collapsed="false">
      <c r="A32" s="13"/>
      <c r="B32" s="13"/>
      <c r="C32" s="15"/>
      <c r="D32" s="13"/>
      <c r="E32" s="51"/>
      <c r="F32" s="51"/>
      <c r="G32" s="51"/>
      <c r="H32" s="51"/>
      <c r="I32" s="51"/>
      <c r="J32" s="51"/>
      <c r="K32" s="52"/>
      <c r="L32" s="16"/>
      <c r="M32" s="17"/>
      <c r="N32" s="53"/>
      <c r="O32" s="52"/>
      <c r="P32" s="52"/>
      <c r="Q32" s="52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5"/>
      <c r="AC32" s="56"/>
      <c r="AE32" s="57"/>
      <c r="AF32" s="57"/>
    </row>
    <row r="33" s="50" customFormat="true" ht="15" hidden="true" customHeight="true" outlineLevel="0" collapsed="false">
      <c r="A33" s="13"/>
      <c r="B33" s="13"/>
      <c r="C33" s="15"/>
      <c r="D33" s="13"/>
      <c r="E33" s="51"/>
      <c r="F33" s="51"/>
      <c r="G33" s="51"/>
      <c r="H33" s="51"/>
      <c r="I33" s="51"/>
      <c r="J33" s="51"/>
      <c r="K33" s="52"/>
      <c r="L33" s="16"/>
      <c r="M33" s="17"/>
      <c r="N33" s="53"/>
      <c r="O33" s="52"/>
      <c r="P33" s="52"/>
      <c r="Q33" s="52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5"/>
      <c r="AC33" s="56"/>
      <c r="AE33" s="57"/>
      <c r="AF33" s="57"/>
    </row>
    <row r="34" s="50" customFormat="true" ht="15" hidden="true" customHeight="true" outlineLevel="0" collapsed="false">
      <c r="A34" s="13"/>
      <c r="B34" s="13"/>
      <c r="C34" s="15"/>
      <c r="D34" s="13"/>
      <c r="E34" s="51"/>
      <c r="F34" s="51"/>
      <c r="G34" s="51"/>
      <c r="H34" s="51"/>
      <c r="I34" s="51"/>
      <c r="J34" s="51"/>
      <c r="K34" s="52"/>
      <c r="L34" s="16"/>
      <c r="M34" s="17"/>
      <c r="N34" s="53"/>
      <c r="O34" s="52"/>
      <c r="P34" s="52"/>
      <c r="Q34" s="52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5"/>
      <c r="AC34" s="56"/>
      <c r="AE34" s="57"/>
      <c r="AF34" s="57"/>
    </row>
    <row r="35" s="50" customFormat="true" ht="15" hidden="true" customHeight="true" outlineLevel="0" collapsed="false">
      <c r="A35" s="13"/>
      <c r="B35" s="13"/>
      <c r="C35" s="15"/>
      <c r="D35" s="13"/>
      <c r="E35" s="51"/>
      <c r="F35" s="51"/>
      <c r="G35" s="51"/>
      <c r="H35" s="51"/>
      <c r="I35" s="51"/>
      <c r="J35" s="51"/>
      <c r="K35" s="52"/>
      <c r="L35" s="16"/>
      <c r="M35" s="17"/>
      <c r="N35" s="53"/>
      <c r="O35" s="52"/>
      <c r="P35" s="52"/>
      <c r="Q35" s="52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5"/>
      <c r="AC35" s="56"/>
      <c r="AE35" s="57"/>
      <c r="AF35" s="57"/>
    </row>
    <row r="36" s="50" customFormat="true" ht="15" hidden="true" customHeight="true" outlineLevel="0" collapsed="false">
      <c r="A36" s="13"/>
      <c r="B36" s="13"/>
      <c r="C36" s="15"/>
      <c r="D36" s="13"/>
      <c r="E36" s="51"/>
      <c r="F36" s="51"/>
      <c r="G36" s="51"/>
      <c r="H36" s="51"/>
      <c r="I36" s="51"/>
      <c r="J36" s="51"/>
      <c r="K36" s="52"/>
      <c r="L36" s="16"/>
      <c r="M36" s="17"/>
      <c r="N36" s="53"/>
      <c r="O36" s="52"/>
      <c r="P36" s="52"/>
      <c r="Q36" s="52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5"/>
      <c r="AC36" s="56"/>
      <c r="AE36" s="57"/>
      <c r="AF36" s="57"/>
    </row>
    <row r="37" s="50" customFormat="true" ht="15" hidden="true" customHeight="true" outlineLevel="0" collapsed="false">
      <c r="A37" s="13"/>
      <c r="B37" s="13"/>
      <c r="C37" s="15"/>
      <c r="D37" s="13"/>
      <c r="E37" s="51"/>
      <c r="F37" s="51"/>
      <c r="G37" s="51"/>
      <c r="H37" s="51"/>
      <c r="I37" s="51"/>
      <c r="J37" s="51"/>
      <c r="K37" s="52"/>
      <c r="L37" s="16"/>
      <c r="M37" s="17"/>
      <c r="N37" s="53"/>
      <c r="O37" s="52"/>
      <c r="P37" s="52"/>
      <c r="Q37" s="52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5"/>
      <c r="AC37" s="56"/>
      <c r="AE37" s="57"/>
      <c r="AF37" s="57"/>
    </row>
    <row r="38" s="50" customFormat="true" ht="15" hidden="true" customHeight="true" outlineLevel="0" collapsed="false">
      <c r="A38" s="13"/>
      <c r="B38" s="13"/>
      <c r="C38" s="15"/>
      <c r="D38" s="13"/>
      <c r="E38" s="51"/>
      <c r="F38" s="51"/>
      <c r="G38" s="51"/>
      <c r="H38" s="51"/>
      <c r="I38" s="51"/>
      <c r="J38" s="51"/>
      <c r="K38" s="52"/>
      <c r="L38" s="16"/>
      <c r="M38" s="17"/>
      <c r="N38" s="53"/>
      <c r="O38" s="52"/>
      <c r="P38" s="52"/>
      <c r="Q38" s="52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5"/>
      <c r="AC38" s="56"/>
      <c r="AE38" s="57"/>
      <c r="AF38" s="57"/>
    </row>
    <row r="39" s="50" customFormat="true" ht="15" hidden="true" customHeight="true" outlineLevel="0" collapsed="false">
      <c r="A39" s="13"/>
      <c r="B39" s="13"/>
      <c r="C39" s="15"/>
      <c r="D39" s="13"/>
      <c r="E39" s="51"/>
      <c r="F39" s="51"/>
      <c r="G39" s="51"/>
      <c r="H39" s="51"/>
      <c r="I39" s="51"/>
      <c r="J39" s="51"/>
      <c r="K39" s="52"/>
      <c r="L39" s="16"/>
      <c r="M39" s="17"/>
      <c r="N39" s="53"/>
      <c r="O39" s="52"/>
      <c r="P39" s="52"/>
      <c r="Q39" s="52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5"/>
      <c r="AC39" s="56"/>
      <c r="AE39" s="57"/>
      <c r="AF39" s="57"/>
    </row>
    <row r="40" s="50" customFormat="true" ht="15" hidden="true" customHeight="true" outlineLevel="0" collapsed="false">
      <c r="A40" s="13"/>
      <c r="B40" s="13"/>
      <c r="C40" s="15"/>
      <c r="D40" s="13"/>
      <c r="E40" s="51"/>
      <c r="F40" s="51"/>
      <c r="G40" s="51"/>
      <c r="H40" s="51"/>
      <c r="I40" s="51"/>
      <c r="J40" s="51"/>
      <c r="K40" s="52"/>
      <c r="L40" s="16"/>
      <c r="M40" s="17"/>
      <c r="N40" s="53"/>
      <c r="O40" s="52"/>
      <c r="P40" s="52"/>
      <c r="Q40" s="52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5"/>
      <c r="AC40" s="56"/>
      <c r="AE40" s="57"/>
      <c r="AF40" s="57"/>
    </row>
    <row r="41" s="50" customFormat="true" ht="15" hidden="true" customHeight="true" outlineLevel="0" collapsed="false">
      <c r="A41" s="13"/>
      <c r="B41" s="13"/>
      <c r="C41" s="15"/>
      <c r="D41" s="13"/>
      <c r="E41" s="51"/>
      <c r="F41" s="51"/>
      <c r="G41" s="51"/>
      <c r="H41" s="51"/>
      <c r="I41" s="51"/>
      <c r="J41" s="51"/>
      <c r="K41" s="52"/>
      <c r="L41" s="16"/>
      <c r="M41" s="17"/>
      <c r="N41" s="53"/>
      <c r="O41" s="52"/>
      <c r="P41" s="52"/>
      <c r="Q41" s="52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5"/>
      <c r="AC41" s="56"/>
      <c r="AE41" s="57"/>
      <c r="AF41" s="57"/>
    </row>
    <row r="42" s="50" customFormat="true" ht="15" hidden="true" customHeight="true" outlineLevel="0" collapsed="false">
      <c r="A42" s="13"/>
      <c r="B42" s="13"/>
      <c r="C42" s="15"/>
      <c r="D42" s="13"/>
      <c r="E42" s="51"/>
      <c r="F42" s="51"/>
      <c r="G42" s="51"/>
      <c r="H42" s="51"/>
      <c r="I42" s="51"/>
      <c r="J42" s="51"/>
      <c r="K42" s="52"/>
      <c r="L42" s="16"/>
      <c r="M42" s="17"/>
      <c r="N42" s="53"/>
      <c r="O42" s="52"/>
      <c r="P42" s="52"/>
      <c r="Q42" s="52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5"/>
      <c r="AC42" s="56"/>
      <c r="AE42" s="57"/>
      <c r="AF42" s="57"/>
    </row>
    <row r="43" s="50" customFormat="true" ht="15" hidden="true" customHeight="true" outlineLevel="0" collapsed="false">
      <c r="A43" s="13"/>
      <c r="B43" s="13"/>
      <c r="C43" s="15"/>
      <c r="D43" s="13"/>
      <c r="E43" s="51"/>
      <c r="F43" s="51"/>
      <c r="G43" s="51"/>
      <c r="H43" s="51"/>
      <c r="I43" s="51"/>
      <c r="J43" s="51"/>
      <c r="K43" s="52"/>
      <c r="L43" s="16"/>
      <c r="M43" s="17"/>
      <c r="N43" s="53"/>
      <c r="O43" s="52"/>
      <c r="P43" s="52"/>
      <c r="Q43" s="52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5"/>
      <c r="AC43" s="56"/>
      <c r="AE43" s="57"/>
      <c r="AF43" s="57"/>
    </row>
    <row r="44" s="50" customFormat="true" ht="15" hidden="true" customHeight="true" outlineLevel="0" collapsed="false">
      <c r="A44" s="13"/>
      <c r="B44" s="13"/>
      <c r="C44" s="15"/>
      <c r="D44" s="13"/>
      <c r="E44" s="51"/>
      <c r="F44" s="51"/>
      <c r="G44" s="51"/>
      <c r="H44" s="51"/>
      <c r="I44" s="51"/>
      <c r="J44" s="51"/>
      <c r="K44" s="52"/>
      <c r="L44" s="16"/>
      <c r="M44" s="17"/>
      <c r="N44" s="53"/>
      <c r="O44" s="52"/>
      <c r="P44" s="52"/>
      <c r="Q44" s="52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5"/>
      <c r="AC44" s="56"/>
      <c r="AE44" s="57"/>
      <c r="AF44" s="57"/>
    </row>
    <row r="45" s="50" customFormat="true" ht="15" hidden="true" customHeight="true" outlineLevel="0" collapsed="false">
      <c r="A45" s="13"/>
      <c r="B45" s="13"/>
      <c r="C45" s="15"/>
      <c r="D45" s="13"/>
      <c r="E45" s="51"/>
      <c r="F45" s="51"/>
      <c r="G45" s="51"/>
      <c r="H45" s="51"/>
      <c r="I45" s="51"/>
      <c r="J45" s="51"/>
      <c r="K45" s="52"/>
      <c r="L45" s="16"/>
      <c r="M45" s="17"/>
      <c r="N45" s="53"/>
      <c r="O45" s="52"/>
      <c r="P45" s="52"/>
      <c r="Q45" s="52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5"/>
      <c r="AC45" s="56"/>
      <c r="AE45" s="57"/>
      <c r="AF45" s="57"/>
    </row>
    <row r="46" s="50" customFormat="true" ht="15" hidden="true" customHeight="true" outlineLevel="0" collapsed="false">
      <c r="A46" s="13"/>
      <c r="B46" s="13"/>
      <c r="C46" s="15"/>
      <c r="D46" s="13"/>
      <c r="E46" s="51"/>
      <c r="F46" s="51"/>
      <c r="G46" s="51"/>
      <c r="H46" s="51"/>
      <c r="I46" s="51"/>
      <c r="J46" s="51"/>
      <c r="K46" s="52"/>
      <c r="L46" s="16"/>
      <c r="M46" s="17"/>
      <c r="N46" s="53"/>
      <c r="O46" s="52"/>
      <c r="P46" s="52"/>
      <c r="Q46" s="52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5"/>
      <c r="AC46" s="56"/>
      <c r="AE46" s="57"/>
      <c r="AF46" s="57"/>
    </row>
    <row r="47" s="50" customFormat="true" ht="15" hidden="true" customHeight="true" outlineLevel="0" collapsed="false">
      <c r="A47" s="13"/>
      <c r="B47" s="13"/>
      <c r="C47" s="15"/>
      <c r="D47" s="13"/>
      <c r="E47" s="51"/>
      <c r="F47" s="51"/>
      <c r="G47" s="51"/>
      <c r="H47" s="51"/>
      <c r="I47" s="51"/>
      <c r="J47" s="51"/>
      <c r="K47" s="52"/>
      <c r="L47" s="16"/>
      <c r="M47" s="17"/>
      <c r="N47" s="53"/>
      <c r="O47" s="52"/>
      <c r="P47" s="52"/>
      <c r="Q47" s="52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6"/>
      <c r="AE47" s="57"/>
      <c r="AF47" s="57"/>
    </row>
    <row r="48" s="50" customFormat="true" ht="15" hidden="true" customHeight="true" outlineLevel="0" collapsed="false">
      <c r="A48" s="13"/>
      <c r="B48" s="13"/>
      <c r="C48" s="15"/>
      <c r="D48" s="13"/>
      <c r="E48" s="51"/>
      <c r="F48" s="51"/>
      <c r="G48" s="51"/>
      <c r="H48" s="51"/>
      <c r="I48" s="51"/>
      <c r="J48" s="51"/>
      <c r="K48" s="52"/>
      <c r="L48" s="16"/>
      <c r="M48" s="17"/>
      <c r="N48" s="53"/>
      <c r="O48" s="52"/>
      <c r="P48" s="52"/>
      <c r="Q48" s="52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5"/>
      <c r="AC48" s="56"/>
      <c r="AE48" s="57"/>
      <c r="AF48" s="57"/>
    </row>
    <row r="49" s="31" customFormat="true" ht="16.5" hidden="false" customHeight="true" outlineLevel="0" collapsed="false">
      <c r="A49" s="58" t="s">
        <v>43</v>
      </c>
      <c r="B49" s="58"/>
      <c r="C49" s="58"/>
      <c r="D49" s="58"/>
      <c r="E49" s="59"/>
      <c r="F49" s="59"/>
      <c r="G49" s="59"/>
      <c r="H49" s="59"/>
      <c r="I49" s="59"/>
      <c r="J49" s="59"/>
      <c r="K49" s="59"/>
      <c r="L49" s="59"/>
      <c r="M49" s="60"/>
      <c r="N49" s="60"/>
      <c r="O49" s="60"/>
      <c r="P49" s="60"/>
      <c r="Q49" s="60"/>
      <c r="R49" s="61" t="n">
        <f aca="false">SUM(R11:R34)</f>
        <v>0</v>
      </c>
      <c r="S49" s="61" t="n">
        <f aca="false">SUM(S11:S34)</f>
        <v>0</v>
      </c>
      <c r="T49" s="61"/>
      <c r="U49" s="62" t="n">
        <f aca="false">SUM(U11:U34)</f>
        <v>0</v>
      </c>
      <c r="V49" s="62" t="n">
        <f aca="false">SUM(V11:V34)</f>
        <v>0</v>
      </c>
      <c r="W49" s="63" t="n">
        <f aca="false">SUM(W11:W20)</f>
        <v>294.63</v>
      </c>
      <c r="X49" s="62" t="n">
        <f aca="false">SUM(X11:X34)</f>
        <v>0</v>
      </c>
      <c r="Y49" s="62" t="n">
        <f aca="false">SUM(Y11:Y34)</f>
        <v>0</v>
      </c>
      <c r="Z49" s="62" t="n">
        <f aca="false">SUM(Z11:Z34)</f>
        <v>0</v>
      </c>
      <c r="AA49" s="62" t="n">
        <f aca="false">SUM(AA11:AA34)</f>
        <v>0</v>
      </c>
      <c r="AB49" s="62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66"/>
      <c r="B50" s="66"/>
      <c r="C50" s="66"/>
      <c r="D50" s="66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8"/>
      <c r="S50" s="68"/>
      <c r="T50" s="68"/>
      <c r="U50" s="69"/>
      <c r="V50" s="69"/>
      <c r="W50" s="69"/>
      <c r="X50" s="69"/>
      <c r="Y50" s="69"/>
      <c r="Z50" s="69"/>
      <c r="AA50" s="69"/>
      <c r="AB50" s="69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21" t="s">
        <v>33</v>
      </c>
      <c r="B51" s="21"/>
      <c r="C51" s="21"/>
      <c r="D51" s="75" t="s">
        <v>44</v>
      </c>
      <c r="E51" s="21" t="s">
        <v>34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76"/>
      <c r="B52" s="76"/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67"/>
      <c r="Y52" s="67"/>
      <c r="Z52" s="67"/>
      <c r="AA52" s="67"/>
      <c r="AB52" s="67"/>
      <c r="AI52" s="50"/>
      <c r="AJ52" s="50"/>
      <c r="AK52" s="50"/>
      <c r="AL52" s="50"/>
    </row>
    <row r="53" s="70" customFormat="true" ht="15.75" hidden="false" customHeight="true" outlineLevel="0" collapsed="false">
      <c r="A53" s="76"/>
      <c r="B53" s="76"/>
      <c r="C53" s="78"/>
      <c r="D53" s="7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67"/>
      <c r="Y53" s="67"/>
      <c r="Z53" s="67"/>
      <c r="AA53" s="67"/>
      <c r="AB53" s="67"/>
      <c r="AF53" s="79"/>
    </row>
    <row r="54" s="70" customFormat="true" ht="15" hidden="false" customHeight="true" outlineLevel="0" collapsed="false">
      <c r="A54" s="76"/>
      <c r="B54" s="76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67"/>
      <c r="Y54" s="67"/>
      <c r="Z54" s="67"/>
      <c r="AA54" s="67"/>
      <c r="AB54" s="67"/>
    </row>
    <row r="55" s="70" customFormat="true" ht="15" hidden="false" customHeight="true" outlineLevel="0" collapsed="false">
      <c r="A55" s="76"/>
      <c r="B55" s="76"/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67"/>
      <c r="Y55" s="67"/>
      <c r="Z55" s="67"/>
      <c r="AA55" s="67"/>
      <c r="AB55" s="67"/>
    </row>
    <row r="56" s="70" customFormat="true" ht="15" hidden="false" customHeight="true" outlineLevel="0" collapsed="false">
      <c r="A56" s="76"/>
      <c r="B56" s="76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67"/>
      <c r="Y56" s="67"/>
      <c r="Z56" s="67"/>
      <c r="AA56" s="67"/>
      <c r="AB56" s="67"/>
    </row>
    <row r="57" s="70" customFormat="true" ht="15" hidden="false" customHeight="true" outlineLevel="0" collapsed="false">
      <c r="A57" s="21" t="s">
        <v>35</v>
      </c>
      <c r="B57" s="21"/>
      <c r="C57" s="21"/>
      <c r="D57" s="22"/>
      <c r="E57" s="22"/>
      <c r="F57" s="22"/>
      <c r="G57" s="22"/>
      <c r="H57" s="22"/>
      <c r="I57" s="22"/>
      <c r="J57" s="22"/>
      <c r="K57" s="22"/>
      <c r="L57" s="22"/>
      <c r="M57" s="21" t="s">
        <v>36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customFormat="false" ht="15" hidden="false" customHeight="tru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290277777777778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34" colorId="64" zoomScale="70" zoomScaleNormal="70" zoomScalePageLayoutView="100" workbookViewId="0">
      <selection pane="topLeft" activeCell="T3" activeCellId="0" sqref="T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19.NĐXD4/CVXD ngày 25 tháng 08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19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đất nền đường lớp 2, độ chặt K&gt;=0,98 đoạn từ Km0+441,84 - Km0+554,08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441.84</v>
      </c>
      <c r="D23" s="16" t="n">
        <v>-5.25</v>
      </c>
      <c r="E23" s="16" t="n">
        <f aca="false">+D23+F23</f>
        <v>-5.2602</v>
      </c>
      <c r="F23" s="16" t="n">
        <f aca="false">RANDBETWEEN(-105,115)/10000</f>
        <v>-0.0102</v>
      </c>
      <c r="G23" s="16" t="n">
        <f aca="false">W23+0.25</f>
        <v>2.497</v>
      </c>
      <c r="H23" s="16" t="n">
        <f aca="false">G23+I23</f>
        <v>2.5</v>
      </c>
      <c r="I23" s="16" t="n">
        <f aca="false">RANDBETWEEN(-20,70)/1000</f>
        <v>0.003</v>
      </c>
      <c r="J23" s="16" t="n">
        <f aca="false">X23+0.25</f>
        <v>2.614</v>
      </c>
      <c r="K23" s="16" t="n">
        <f aca="false">J23+L23</f>
        <v>2.604</v>
      </c>
      <c r="L23" s="16" t="n">
        <f aca="false">RANDBETWEEN(-20,70)/1000</f>
        <v>-0.01</v>
      </c>
      <c r="M23" s="16" t="n">
        <v>5.25</v>
      </c>
      <c r="N23" s="16" t="n">
        <f aca="false">+M23+O23</f>
        <v>5.2556</v>
      </c>
      <c r="O23" s="16" t="n">
        <f aca="false">RANDBETWEEN(-105,115)/10000</f>
        <v>0.0056</v>
      </c>
      <c r="P23" s="16" t="n">
        <f aca="false">Y23+0.25</f>
        <v>2.497</v>
      </c>
      <c r="Q23" s="16" t="n">
        <f aca="false">P23+R23</f>
        <v>2.506</v>
      </c>
      <c r="R23" s="16" t="n">
        <f aca="false">RANDBETWEEN(-20,70)/1000</f>
        <v>0.009</v>
      </c>
      <c r="S23" s="17"/>
      <c r="T23" s="18" t="n">
        <v>12.5</v>
      </c>
      <c r="V23" s="19"/>
      <c r="W23" s="19" t="n">
        <f aca="false">'KTHH Lớp 1'!G23</f>
        <v>2.247</v>
      </c>
      <c r="X23" s="19" t="n">
        <f aca="false">'KTHH Lớp 1'!J23</f>
        <v>2.364</v>
      </c>
      <c r="Y23" s="19" t="n">
        <f aca="false">'KTHH Lớp 1'!P23</f>
        <v>2.247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454.34</v>
      </c>
      <c r="D24" s="16" t="n">
        <v>-5.25</v>
      </c>
      <c r="E24" s="16" t="n">
        <f aca="false">+D24+F24</f>
        <v>-5.2502</v>
      </c>
      <c r="F24" s="16" t="n">
        <f aca="false">RANDBETWEEN(-105,115)/10000</f>
        <v>-0.0002</v>
      </c>
      <c r="G24" s="16" t="n">
        <f aca="false">W24+0.25</f>
        <v>2.49</v>
      </c>
      <c r="H24" s="16" t="n">
        <f aca="false">G24+I24</f>
        <v>2.479</v>
      </c>
      <c r="I24" s="16" t="n">
        <f aca="false">RANDBETWEEN(-20,70)/1000</f>
        <v>-0.011</v>
      </c>
      <c r="J24" s="16" t="n">
        <f aca="false">X24+0.25</f>
        <v>2.607</v>
      </c>
      <c r="K24" s="16" t="n">
        <f aca="false">J24+L24</f>
        <v>2.637</v>
      </c>
      <c r="L24" s="16" t="n">
        <f aca="false">RANDBETWEEN(-20,70)/1000</f>
        <v>0.03</v>
      </c>
      <c r="M24" s="16" t="n">
        <v>5.25</v>
      </c>
      <c r="N24" s="16" t="n">
        <f aca="false">+M24+O24</f>
        <v>5.2615</v>
      </c>
      <c r="O24" s="16" t="n">
        <f aca="false">RANDBETWEEN(-105,115)/10000</f>
        <v>0.0115</v>
      </c>
      <c r="P24" s="16" t="n">
        <f aca="false">Y24+0.25</f>
        <v>2.49</v>
      </c>
      <c r="Q24" s="16" t="n">
        <f aca="false">P24+R24</f>
        <v>2.496</v>
      </c>
      <c r="R24" s="16" t="n">
        <f aca="false">RANDBETWEEN(-20,70)/1000</f>
        <v>0.006</v>
      </c>
      <c r="S24" s="17"/>
      <c r="T24" s="18" t="n">
        <v>12.5</v>
      </c>
      <c r="V24" s="19"/>
      <c r="W24" s="19" t="n">
        <f aca="false">'KTHH Lớp 1'!G24</f>
        <v>2.24</v>
      </c>
      <c r="X24" s="19" t="n">
        <f aca="false">'KTHH Lớp 1'!J24</f>
        <v>2.357</v>
      </c>
      <c r="Y24" s="19" t="n">
        <f aca="false">'KTHH Lớp 1'!P24</f>
        <v>2.24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466.84</v>
      </c>
      <c r="D25" s="16" t="n">
        <v>-5.25</v>
      </c>
      <c r="E25" s="16" t="n">
        <f aca="false">+D25+F25</f>
        <v>-5.2563</v>
      </c>
      <c r="F25" s="16" t="n">
        <f aca="false">RANDBETWEEN(-105,115)/10000</f>
        <v>-0.0063</v>
      </c>
      <c r="G25" s="16" t="n">
        <f aca="false">W25+0.25</f>
        <v>2.484</v>
      </c>
      <c r="H25" s="16" t="n">
        <f aca="false">G25+I25</f>
        <v>2.548</v>
      </c>
      <c r="I25" s="16" t="n">
        <f aca="false">RANDBETWEEN(-20,70)/1000</f>
        <v>0.064</v>
      </c>
      <c r="J25" s="16" t="n">
        <f aca="false">X25+0.25</f>
        <v>2.601</v>
      </c>
      <c r="K25" s="16" t="n">
        <f aca="false">J25+L25</f>
        <v>2.648</v>
      </c>
      <c r="L25" s="16" t="n">
        <f aca="false">RANDBETWEEN(-20,70)/1000</f>
        <v>0.047</v>
      </c>
      <c r="M25" s="16" t="n">
        <v>5.25</v>
      </c>
      <c r="N25" s="16" t="n">
        <f aca="false">+M25+O25</f>
        <v>5.2537</v>
      </c>
      <c r="O25" s="16" t="n">
        <f aca="false">RANDBETWEEN(-105,115)/10000</f>
        <v>0.0037</v>
      </c>
      <c r="P25" s="16" t="n">
        <f aca="false">Y25+0.25</f>
        <v>2.484</v>
      </c>
      <c r="Q25" s="16" t="n">
        <f aca="false">P25+R25</f>
        <v>2.55</v>
      </c>
      <c r="R25" s="16" t="n">
        <f aca="false">RANDBETWEEN(-20,70)/1000</f>
        <v>0.066</v>
      </c>
      <c r="S25" s="17"/>
      <c r="T25" s="18" t="n">
        <v>7.5</v>
      </c>
      <c r="V25" s="19"/>
      <c r="W25" s="19" t="n">
        <f aca="false">'KTHH Lớp 1'!G25</f>
        <v>2.234</v>
      </c>
      <c r="X25" s="19" t="n">
        <f aca="false">'KTHH Lớp 1'!J25</f>
        <v>2.351</v>
      </c>
      <c r="Y25" s="19" t="n">
        <f aca="false">'KTHH Lớp 1'!P25</f>
        <v>2.234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474.34</v>
      </c>
      <c r="D26" s="16" t="n">
        <v>-5.25</v>
      </c>
      <c r="E26" s="16" t="n">
        <f aca="false">+D26+F26</f>
        <v>-5.243</v>
      </c>
      <c r="F26" s="16" t="n">
        <f aca="false">RANDBETWEEN(-105,115)/10000</f>
        <v>0.007</v>
      </c>
      <c r="G26" s="16" t="n">
        <f aca="false">W26+0.25</f>
        <v>2.48</v>
      </c>
      <c r="H26" s="16" t="n">
        <f aca="false">G26+I26</f>
        <v>2.538</v>
      </c>
      <c r="I26" s="16" t="n">
        <f aca="false">RANDBETWEEN(-20,70)/1000</f>
        <v>0.058</v>
      </c>
      <c r="J26" s="16" t="n">
        <f aca="false">X26+0.25</f>
        <v>2.597</v>
      </c>
      <c r="K26" s="16" t="n">
        <f aca="false">J26+L26</f>
        <v>2.661</v>
      </c>
      <c r="L26" s="16" t="n">
        <f aca="false">RANDBETWEEN(-20,70)/1000</f>
        <v>0.064</v>
      </c>
      <c r="M26" s="16" t="n">
        <v>5.25</v>
      </c>
      <c r="N26" s="16" t="n">
        <f aca="false">+M26+O26</f>
        <v>5.2458</v>
      </c>
      <c r="O26" s="16" t="n">
        <f aca="false">RANDBETWEEN(-105,115)/10000</f>
        <v>-0.0042</v>
      </c>
      <c r="P26" s="16" t="n">
        <f aca="false">Y26+0.25</f>
        <v>2.48</v>
      </c>
      <c r="Q26" s="16" t="n">
        <f aca="false">P26+R26</f>
        <v>2.507</v>
      </c>
      <c r="R26" s="16" t="n">
        <f aca="false">RANDBETWEEN(-20,70)/1000</f>
        <v>0.027</v>
      </c>
      <c r="S26" s="17"/>
      <c r="T26" s="18" t="n">
        <v>20</v>
      </c>
      <c r="V26" s="19"/>
      <c r="W26" s="19" t="n">
        <f aca="false">'KTHH Lớp 1'!G26</f>
        <v>2.23</v>
      </c>
      <c r="X26" s="19" t="n">
        <f aca="false">'KTHH Lớp 1'!J26</f>
        <v>2.347</v>
      </c>
      <c r="Y26" s="19" t="n">
        <f aca="false">'KTHH Lớp 1'!P26</f>
        <v>2.23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494.34</v>
      </c>
      <c r="D27" s="16" t="n">
        <v>-5.25</v>
      </c>
      <c r="E27" s="16" t="n">
        <f aca="false">+D27+F27</f>
        <v>-5.2507</v>
      </c>
      <c r="F27" s="16" t="n">
        <f aca="false">RANDBETWEEN(-105,115)/10000</f>
        <v>-0.0007</v>
      </c>
      <c r="G27" s="16" t="n">
        <f aca="false">W27+0.25</f>
        <v>2.469</v>
      </c>
      <c r="H27" s="16" t="n">
        <f aca="false">G27+I27</f>
        <v>2.482</v>
      </c>
      <c r="I27" s="16" t="n">
        <f aca="false">RANDBETWEEN(-20,70)/1000</f>
        <v>0.013</v>
      </c>
      <c r="J27" s="16" t="n">
        <f aca="false">X27+0.25</f>
        <v>2.586</v>
      </c>
      <c r="K27" s="16" t="n">
        <f aca="false">J27+L27</f>
        <v>2.591</v>
      </c>
      <c r="L27" s="16" t="n">
        <f aca="false">RANDBETWEEN(-20,70)/1000</f>
        <v>0.005</v>
      </c>
      <c r="M27" s="16" t="n">
        <v>5.25</v>
      </c>
      <c r="N27" s="16" t="n">
        <f aca="false">+M27+O27</f>
        <v>5.2408</v>
      </c>
      <c r="O27" s="16" t="n">
        <f aca="false">RANDBETWEEN(-105,115)/10000</f>
        <v>-0.0092</v>
      </c>
      <c r="P27" s="16" t="n">
        <f aca="false">Y27+0.25</f>
        <v>2.469</v>
      </c>
      <c r="Q27" s="16" t="n">
        <f aca="false">P27+R27</f>
        <v>2.455</v>
      </c>
      <c r="R27" s="16" t="n">
        <f aca="false">RANDBETWEEN(-20,70)/1000</f>
        <v>-0.014</v>
      </c>
      <c r="S27" s="17"/>
      <c r="T27" s="18" t="n">
        <v>17.14</v>
      </c>
      <c r="V27" s="19"/>
      <c r="W27" s="19" t="n">
        <f aca="false">'KTHH Lớp 1'!G27</f>
        <v>2.219</v>
      </c>
      <c r="X27" s="19" t="n">
        <f aca="false">'KTHH Lớp 1'!J27</f>
        <v>2.336</v>
      </c>
      <c r="Y27" s="19" t="n">
        <f aca="false">'KTHH Lớp 1'!P27</f>
        <v>2.219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511.48</v>
      </c>
      <c r="D28" s="16" t="n">
        <v>-5.25</v>
      </c>
      <c r="E28" s="16" t="n">
        <f aca="false">+D28+F28</f>
        <v>-5.246</v>
      </c>
      <c r="F28" s="16" t="n">
        <f aca="false">RANDBETWEEN(-105,115)/10000</f>
        <v>0.004</v>
      </c>
      <c r="G28" s="16" t="n">
        <f aca="false">W28+0.25</f>
        <v>2.46</v>
      </c>
      <c r="H28" s="16" t="n">
        <f aca="false">G28+I28</f>
        <v>2.448</v>
      </c>
      <c r="I28" s="16" t="n">
        <f aca="false">RANDBETWEEN(-20,70)/1000</f>
        <v>-0.012</v>
      </c>
      <c r="J28" s="16" t="n">
        <f aca="false">X28+0.25</f>
        <v>2.577</v>
      </c>
      <c r="K28" s="16" t="n">
        <f aca="false">J28+L28</f>
        <v>2.627</v>
      </c>
      <c r="L28" s="16" t="n">
        <f aca="false">RANDBETWEEN(-20,70)/1000</f>
        <v>0.05</v>
      </c>
      <c r="M28" s="16" t="n">
        <v>5.25</v>
      </c>
      <c r="N28" s="16" t="n">
        <f aca="false">+M28+O28</f>
        <v>5.2457</v>
      </c>
      <c r="O28" s="16" t="n">
        <f aca="false">RANDBETWEEN(-105,115)/10000</f>
        <v>-0.0043</v>
      </c>
      <c r="P28" s="16" t="n">
        <f aca="false">Y28+0.25</f>
        <v>2.46</v>
      </c>
      <c r="Q28" s="16" t="n">
        <f aca="false">P28+R28</f>
        <v>2.447</v>
      </c>
      <c r="R28" s="16" t="n">
        <f aca="false">RANDBETWEEN(-20,70)/1000</f>
        <v>-0.013</v>
      </c>
      <c r="S28" s="17"/>
      <c r="T28" s="18" t="n">
        <v>3.12</v>
      </c>
      <c r="V28" s="19"/>
      <c r="W28" s="19" t="n">
        <f aca="false">'KTHH Lớp 1'!G28</f>
        <v>2.21</v>
      </c>
      <c r="X28" s="19" t="n">
        <f aca="false">'KTHH Lớp 1'!J28</f>
        <v>2.327</v>
      </c>
      <c r="Y28" s="19" t="n">
        <f aca="false">'KTHH Lớp 1'!P28</f>
        <v>2.21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514.6</v>
      </c>
      <c r="D29" s="16" t="n">
        <v>-5.25</v>
      </c>
      <c r="E29" s="16" t="n">
        <f aca="false">+D29+F29</f>
        <v>-5.2464</v>
      </c>
      <c r="F29" s="16" t="n">
        <f aca="false">RANDBETWEEN(-105,115)/10000</f>
        <v>0.0036</v>
      </c>
      <c r="G29" s="16" t="n">
        <f aca="false">W29+0.25</f>
        <v>2.458</v>
      </c>
      <c r="H29" s="16" t="n">
        <f aca="false">G29+I29</f>
        <v>2.497</v>
      </c>
      <c r="I29" s="16" t="n">
        <f aca="false">RANDBETWEEN(-20,70)/1000</f>
        <v>0.039</v>
      </c>
      <c r="J29" s="16" t="n">
        <f aca="false">X29+0.25</f>
        <v>2.575</v>
      </c>
      <c r="K29" s="16" t="n">
        <f aca="false">J29+L29</f>
        <v>2.624</v>
      </c>
      <c r="L29" s="16" t="n">
        <f aca="false">RANDBETWEEN(-20,70)/1000</f>
        <v>0.049</v>
      </c>
      <c r="M29" s="16" t="n">
        <v>5.25</v>
      </c>
      <c r="N29" s="16" t="n">
        <f aca="false">+M29+O29</f>
        <v>5.2462</v>
      </c>
      <c r="O29" s="16" t="n">
        <f aca="false">RANDBETWEEN(-105,115)/10000</f>
        <v>-0.0038</v>
      </c>
      <c r="P29" s="16" t="n">
        <f aca="false">Y29+0.25</f>
        <v>2.458</v>
      </c>
      <c r="Q29" s="16" t="n">
        <f aca="false">P29+R29</f>
        <v>2.516</v>
      </c>
      <c r="R29" s="16" t="n">
        <f aca="false">RANDBETWEEN(-20,70)/1000</f>
        <v>0.058</v>
      </c>
      <c r="S29" s="17"/>
      <c r="T29" s="18" t="n">
        <v>10.48</v>
      </c>
      <c r="V29" s="19"/>
      <c r="W29" s="19" t="n">
        <f aca="false">'KTHH Lớp 1'!G29</f>
        <v>2.208</v>
      </c>
      <c r="X29" s="19" t="n">
        <f aca="false">'KTHH Lớp 1'!J29</f>
        <v>2.325</v>
      </c>
      <c r="Y29" s="19" t="n">
        <f aca="false">'KTHH Lớp 1'!P29</f>
        <v>2.208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525.08</v>
      </c>
      <c r="D30" s="16" t="n">
        <v>-5.25</v>
      </c>
      <c r="E30" s="16" t="n">
        <f aca="false">+D30+F30</f>
        <v>-5.2554</v>
      </c>
      <c r="F30" s="16" t="n">
        <f aca="false">RANDBETWEEN(-105,115)/10000</f>
        <v>-0.0054</v>
      </c>
      <c r="G30" s="16" t="n">
        <f aca="false">W30+0.25</f>
        <v>2.453</v>
      </c>
      <c r="H30" s="16" t="n">
        <f aca="false">G30+I30</f>
        <v>2.5</v>
      </c>
      <c r="I30" s="16" t="n">
        <f aca="false">RANDBETWEEN(-20,70)/1000</f>
        <v>0.047</v>
      </c>
      <c r="J30" s="16" t="n">
        <f aca="false">X30+0.25</f>
        <v>2.57</v>
      </c>
      <c r="K30" s="16" t="n">
        <f aca="false">J30+L30</f>
        <v>2.589</v>
      </c>
      <c r="L30" s="16" t="n">
        <f aca="false">RANDBETWEEN(-20,70)/1000</f>
        <v>0.019</v>
      </c>
      <c r="M30" s="16" t="n">
        <v>5.25</v>
      </c>
      <c r="N30" s="16" t="n">
        <f aca="false">+M30+O30</f>
        <v>5.2473</v>
      </c>
      <c r="O30" s="16" t="n">
        <f aca="false">RANDBETWEEN(-105,115)/10000</f>
        <v>-0.0027</v>
      </c>
      <c r="P30" s="16" t="n">
        <f aca="false">Y30+0.25</f>
        <v>2.453</v>
      </c>
      <c r="Q30" s="16" t="n">
        <f aca="false">P30+R30</f>
        <v>2.509</v>
      </c>
      <c r="R30" s="16" t="n">
        <f aca="false">RANDBETWEEN(-20,70)/1000</f>
        <v>0.056</v>
      </c>
      <c r="S30" s="17"/>
      <c r="T30" s="18" t="n">
        <v>13.6</v>
      </c>
      <c r="V30" s="19"/>
      <c r="W30" s="19" t="n">
        <f aca="false">'KTHH Lớp 1'!G30</f>
        <v>2.203</v>
      </c>
      <c r="X30" s="19" t="n">
        <f aca="false">'KTHH Lớp 1'!J30</f>
        <v>2.32</v>
      </c>
      <c r="Y30" s="19" t="n">
        <f aca="false">'KTHH Lớp 1'!P30</f>
        <v>2.203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538.68</v>
      </c>
      <c r="D31" s="16" t="n">
        <v>-5.25</v>
      </c>
      <c r="E31" s="16" t="n">
        <f aca="false">+D31+F31</f>
        <v>-5.2573</v>
      </c>
      <c r="F31" s="16" t="n">
        <f aca="false">RANDBETWEEN(-105,115)/10000</f>
        <v>-0.0073</v>
      </c>
      <c r="G31" s="16" t="n">
        <f aca="false">W31+0.25</f>
        <v>2.446</v>
      </c>
      <c r="H31" s="16" t="n">
        <f aca="false">G31+I31</f>
        <v>2.503</v>
      </c>
      <c r="I31" s="16" t="n">
        <f aca="false">RANDBETWEEN(-20,70)/1000</f>
        <v>0.057</v>
      </c>
      <c r="J31" s="16" t="n">
        <f aca="false">X31+0.25</f>
        <v>2.563</v>
      </c>
      <c r="K31" s="16" t="n">
        <f aca="false">J31+L31</f>
        <v>2.608</v>
      </c>
      <c r="L31" s="16" t="n">
        <f aca="false">RANDBETWEEN(-20,70)/1000</f>
        <v>0.045</v>
      </c>
      <c r="M31" s="16" t="n">
        <v>5.25</v>
      </c>
      <c r="N31" s="16" t="n">
        <f aca="false">+M31+O31</f>
        <v>5.261</v>
      </c>
      <c r="O31" s="16" t="n">
        <f aca="false">RANDBETWEEN(-105,115)/10000</f>
        <v>0.011</v>
      </c>
      <c r="P31" s="16" t="n">
        <f aca="false">Y31+0.25</f>
        <v>2.446</v>
      </c>
      <c r="Q31" s="16" t="n">
        <f aca="false">P31+R31</f>
        <v>2.501</v>
      </c>
      <c r="R31" s="16" t="n">
        <f aca="false">RANDBETWEEN(-20,70)/1000</f>
        <v>0.055</v>
      </c>
      <c r="S31" s="17"/>
      <c r="T31" s="18" t="n">
        <v>15.4</v>
      </c>
      <c r="V31" s="19"/>
      <c r="W31" s="19" t="n">
        <f aca="false">'KTHH Lớp 1'!G31</f>
        <v>2.196</v>
      </c>
      <c r="X31" s="19" t="n">
        <f aca="false">'KTHH Lớp 1'!J31</f>
        <v>2.313</v>
      </c>
      <c r="Y31" s="19" t="n">
        <f aca="false">'KTHH Lớp 1'!P31</f>
        <v>2.196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554.08</v>
      </c>
      <c r="D32" s="16" t="n">
        <v>-5.25</v>
      </c>
      <c r="E32" s="16" t="n">
        <f aca="false">+D32+F32</f>
        <v>-5.2594</v>
      </c>
      <c r="F32" s="16" t="n">
        <f aca="false">RANDBETWEEN(-105,115)/10000</f>
        <v>-0.0094</v>
      </c>
      <c r="G32" s="16" t="n">
        <f aca="false">W32+0.25</f>
        <v>2.438</v>
      </c>
      <c r="H32" s="16" t="n">
        <f aca="false">G32+I32</f>
        <v>2.47</v>
      </c>
      <c r="I32" s="16" t="n">
        <f aca="false">RANDBETWEEN(-20,70)/1000</f>
        <v>0.032</v>
      </c>
      <c r="J32" s="16" t="n">
        <f aca="false">X32+0.25</f>
        <v>2.555</v>
      </c>
      <c r="K32" s="16" t="n">
        <f aca="false">J32+L32</f>
        <v>2.604</v>
      </c>
      <c r="L32" s="16" t="n">
        <f aca="false">RANDBETWEEN(-20,70)/1000</f>
        <v>0.049</v>
      </c>
      <c r="M32" s="16" t="n">
        <v>5.25</v>
      </c>
      <c r="N32" s="16" t="n">
        <f aca="false">+M32+O32</f>
        <v>5.2609</v>
      </c>
      <c r="O32" s="16" t="n">
        <f aca="false">RANDBETWEEN(-105,115)/10000</f>
        <v>0.0109</v>
      </c>
      <c r="P32" s="16" t="n">
        <f aca="false">Y32+0.25</f>
        <v>2.438</v>
      </c>
      <c r="Q32" s="16" t="n">
        <f aca="false">P32+R32</f>
        <v>2.425</v>
      </c>
      <c r="R32" s="16" t="n">
        <f aca="false">RANDBETWEEN(-20,70)/1000</f>
        <v>-0.013</v>
      </c>
      <c r="S32" s="17"/>
      <c r="T32" s="18"/>
      <c r="V32" s="19"/>
      <c r="W32" s="19" t="n">
        <f aca="false">'KTHH Lớp 1'!G32</f>
        <v>2.188</v>
      </c>
      <c r="X32" s="19" t="n">
        <f aca="false">'KTHH Lớp 1'!J32</f>
        <v>2.305</v>
      </c>
      <c r="Y32" s="19" t="n">
        <f aca="false">'KTHH Lớp 1'!P32</f>
        <v>2.188</v>
      </c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33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34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35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36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AK50" activeCellId="0" sqref="AK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19.NĐXD4/CVXD ngày 25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19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đất nền đường lớp 2, độ chặt K&gt;=0,98 đoạn từ Km0+441,84 - Km0+554,08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83" t="s">
        <v>38</v>
      </c>
      <c r="B9" s="83" t="s">
        <v>10</v>
      </c>
      <c r="C9" s="83" t="s">
        <v>11</v>
      </c>
      <c r="D9" s="84" t="s">
        <v>39</v>
      </c>
      <c r="E9" s="85"/>
      <c r="F9" s="85"/>
      <c r="G9" s="84"/>
      <c r="H9" s="85"/>
      <c r="I9" s="85"/>
      <c r="J9" s="85"/>
      <c r="K9" s="85"/>
      <c r="L9" s="85"/>
      <c r="M9" s="86" t="s">
        <v>40</v>
      </c>
      <c r="N9" s="87"/>
      <c r="O9" s="88" t="s">
        <v>41</v>
      </c>
      <c r="P9" s="89"/>
      <c r="Q9" s="89"/>
      <c r="R9" s="89"/>
      <c r="S9" s="89"/>
      <c r="T9" s="89"/>
      <c r="U9" s="89"/>
      <c r="V9" s="89"/>
      <c r="W9" s="88" t="s">
        <v>42</v>
      </c>
      <c r="X9" s="87"/>
      <c r="Y9" s="90"/>
      <c r="Z9" s="91"/>
      <c r="AA9" s="91"/>
      <c r="AB9" s="84" t="s">
        <v>15</v>
      </c>
      <c r="AC9" s="45"/>
    </row>
    <row r="10" s="50" customFormat="true" ht="22.5" hidden="false" customHeight="true" outlineLevel="0" collapsed="false">
      <c r="A10" s="83"/>
      <c r="B10" s="83"/>
      <c r="C10" s="83"/>
      <c r="D10" s="83"/>
      <c r="E10" s="88"/>
      <c r="F10" s="88"/>
      <c r="G10" s="88"/>
      <c r="H10" s="88"/>
      <c r="I10" s="88"/>
      <c r="J10" s="88"/>
      <c r="K10" s="88"/>
      <c r="L10" s="88"/>
      <c r="M10" s="88"/>
      <c r="N10" s="88" t="s">
        <v>41</v>
      </c>
      <c r="O10" s="88"/>
      <c r="P10" s="88" t="s">
        <v>41</v>
      </c>
      <c r="Q10" s="88" t="s">
        <v>41</v>
      </c>
      <c r="R10" s="88"/>
      <c r="S10" s="88"/>
      <c r="T10" s="88"/>
      <c r="U10" s="88" t="s">
        <v>42</v>
      </c>
      <c r="V10" s="88" t="s">
        <v>42</v>
      </c>
      <c r="W10" s="88"/>
      <c r="X10" s="88" t="s">
        <v>42</v>
      </c>
      <c r="Y10" s="88" t="s">
        <v>42</v>
      </c>
      <c r="Z10" s="92"/>
      <c r="AA10" s="92"/>
      <c r="AB10" s="84"/>
      <c r="AC10" s="48"/>
      <c r="AD10" s="49"/>
      <c r="AE10" s="49"/>
    </row>
    <row r="11" s="50" customFormat="true" ht="15" hidden="false" customHeight="true" outlineLevel="0" collapsed="false">
      <c r="A11" s="93" t="n">
        <v>1</v>
      </c>
      <c r="B11" s="93" t="str">
        <f aca="false">'KTHH Lớp 2'!B23</f>
        <v>24</v>
      </c>
      <c r="C11" s="94" t="n">
        <f aca="false">'KTHH Lớp 2'!C23</f>
        <v>441.84</v>
      </c>
      <c r="D11" s="93" t="n">
        <f aca="false">'KTHH Lớp 2'!T23</f>
        <v>12.5</v>
      </c>
      <c r="E11" s="95"/>
      <c r="F11" s="95"/>
      <c r="G11" s="95"/>
      <c r="H11" s="95"/>
      <c r="I11" s="95"/>
      <c r="J11" s="95"/>
      <c r="K11" s="96"/>
      <c r="L11" s="97"/>
      <c r="M11" s="98"/>
      <c r="N11" s="99"/>
      <c r="O11" s="96" t="n">
        <f aca="false">10.5*0.25</f>
        <v>2.625</v>
      </c>
      <c r="P11" s="96"/>
      <c r="Q11" s="96"/>
      <c r="R11" s="56"/>
      <c r="S11" s="56"/>
      <c r="T11" s="56"/>
      <c r="U11" s="56"/>
      <c r="V11" s="56"/>
      <c r="W11" s="56" t="n">
        <f aca="false">(O11+O12)*D11/2</f>
        <v>32.8125</v>
      </c>
      <c r="X11" s="56"/>
      <c r="Y11" s="56"/>
      <c r="Z11" s="56"/>
      <c r="AA11" s="56"/>
      <c r="AB11" s="100"/>
      <c r="AC11" s="56"/>
      <c r="AE11" s="73"/>
    </row>
    <row r="12" s="50" customFormat="true" ht="15" hidden="false" customHeight="true" outlineLevel="0" collapsed="false">
      <c r="A12" s="93" t="n">
        <v>2</v>
      </c>
      <c r="B12" s="93" t="str">
        <f aca="false">'KTHH Lớp 2'!B24</f>
        <v>25</v>
      </c>
      <c r="C12" s="94" t="n">
        <f aca="false">'KTHH Lớp 2'!C24</f>
        <v>454.34</v>
      </c>
      <c r="D12" s="93" t="n">
        <f aca="false">'KTHH Lớp 2'!T24</f>
        <v>12.5</v>
      </c>
      <c r="E12" s="95"/>
      <c r="F12" s="95"/>
      <c r="G12" s="95"/>
      <c r="H12" s="95"/>
      <c r="I12" s="95"/>
      <c r="J12" s="95"/>
      <c r="K12" s="96"/>
      <c r="L12" s="97"/>
      <c r="M12" s="98"/>
      <c r="N12" s="99"/>
      <c r="O12" s="96" t="n">
        <f aca="false">10.5*0.25</f>
        <v>2.625</v>
      </c>
      <c r="P12" s="96"/>
      <c r="Q12" s="96"/>
      <c r="R12" s="56"/>
      <c r="S12" s="56"/>
      <c r="T12" s="56"/>
      <c r="U12" s="56"/>
      <c r="V12" s="56"/>
      <c r="W12" s="56" t="n">
        <f aca="false">(O12+O13)*D12/2</f>
        <v>32.8125</v>
      </c>
      <c r="X12" s="56"/>
      <c r="Y12" s="56"/>
      <c r="Z12" s="56"/>
      <c r="AA12" s="56"/>
      <c r="AB12" s="100"/>
      <c r="AC12" s="56"/>
      <c r="AE12" s="73"/>
    </row>
    <row r="13" s="50" customFormat="true" ht="15" hidden="false" customHeight="true" outlineLevel="0" collapsed="false">
      <c r="A13" s="93" t="n">
        <v>3</v>
      </c>
      <c r="B13" s="93" t="str">
        <f aca="false">'KTHH Lớp 2'!B25</f>
        <v>26</v>
      </c>
      <c r="C13" s="94" t="n">
        <f aca="false">'KTHH Lớp 2'!C25</f>
        <v>466.84</v>
      </c>
      <c r="D13" s="93" t="n">
        <f aca="false">'KTHH Lớp 2'!T25</f>
        <v>7.5</v>
      </c>
      <c r="E13" s="95"/>
      <c r="F13" s="95"/>
      <c r="G13" s="95"/>
      <c r="H13" s="95"/>
      <c r="I13" s="95"/>
      <c r="J13" s="95"/>
      <c r="K13" s="96"/>
      <c r="L13" s="97"/>
      <c r="M13" s="98"/>
      <c r="N13" s="99"/>
      <c r="O13" s="96" t="n">
        <f aca="false">10.5*0.25</f>
        <v>2.625</v>
      </c>
      <c r="P13" s="96"/>
      <c r="Q13" s="96"/>
      <c r="R13" s="56"/>
      <c r="S13" s="56"/>
      <c r="T13" s="56"/>
      <c r="U13" s="56"/>
      <c r="V13" s="56"/>
      <c r="W13" s="56" t="n">
        <f aca="false">(O13+O14)*D13/2</f>
        <v>19.6875</v>
      </c>
      <c r="X13" s="56"/>
      <c r="Y13" s="56"/>
      <c r="Z13" s="56"/>
      <c r="AA13" s="56"/>
      <c r="AB13" s="100"/>
      <c r="AC13" s="56"/>
      <c r="AE13" s="73"/>
    </row>
    <row r="14" s="50" customFormat="true" ht="15" hidden="false" customHeight="true" outlineLevel="0" collapsed="false">
      <c r="A14" s="93" t="n">
        <v>4</v>
      </c>
      <c r="B14" s="93" t="str">
        <f aca="false">'KTHH Lớp 2'!B26</f>
        <v>27</v>
      </c>
      <c r="C14" s="94" t="n">
        <f aca="false">'KTHH Lớp 2'!C26</f>
        <v>474.34</v>
      </c>
      <c r="D14" s="93" t="n">
        <f aca="false">'KTHH Lớp 2'!T26</f>
        <v>20</v>
      </c>
      <c r="E14" s="95"/>
      <c r="F14" s="95"/>
      <c r="G14" s="95"/>
      <c r="H14" s="95"/>
      <c r="I14" s="95"/>
      <c r="J14" s="95"/>
      <c r="K14" s="96"/>
      <c r="L14" s="97"/>
      <c r="M14" s="98"/>
      <c r="N14" s="99"/>
      <c r="O14" s="96" t="n">
        <f aca="false">10.5*0.25</f>
        <v>2.625</v>
      </c>
      <c r="P14" s="96"/>
      <c r="Q14" s="96"/>
      <c r="R14" s="56"/>
      <c r="S14" s="56"/>
      <c r="T14" s="56"/>
      <c r="U14" s="56"/>
      <c r="V14" s="56"/>
      <c r="W14" s="56" t="n">
        <f aca="false">(O14+O15)*D14/2</f>
        <v>52.5</v>
      </c>
      <c r="X14" s="56"/>
      <c r="Y14" s="56"/>
      <c r="Z14" s="56"/>
      <c r="AA14" s="56"/>
      <c r="AB14" s="100"/>
      <c r="AC14" s="56"/>
      <c r="AE14" s="73"/>
    </row>
    <row r="15" s="50" customFormat="true" ht="15" hidden="false" customHeight="true" outlineLevel="0" collapsed="false">
      <c r="A15" s="93" t="n">
        <v>5</v>
      </c>
      <c r="B15" s="93" t="str">
        <f aca="false">'KTHH Lớp 2'!B27</f>
        <v>28</v>
      </c>
      <c r="C15" s="94" t="n">
        <f aca="false">'KTHH Lớp 2'!C27</f>
        <v>494.34</v>
      </c>
      <c r="D15" s="93" t="n">
        <f aca="false">'KTHH Lớp 2'!T27</f>
        <v>17.14</v>
      </c>
      <c r="E15" s="95"/>
      <c r="F15" s="95"/>
      <c r="G15" s="95"/>
      <c r="H15" s="95"/>
      <c r="I15" s="95"/>
      <c r="J15" s="95"/>
      <c r="K15" s="96"/>
      <c r="L15" s="97"/>
      <c r="M15" s="98"/>
      <c r="N15" s="99"/>
      <c r="O15" s="96" t="n">
        <f aca="false">10.5*0.25</f>
        <v>2.625</v>
      </c>
      <c r="P15" s="96"/>
      <c r="Q15" s="96"/>
      <c r="R15" s="56"/>
      <c r="S15" s="56"/>
      <c r="T15" s="56"/>
      <c r="U15" s="56"/>
      <c r="V15" s="56"/>
      <c r="W15" s="56" t="n">
        <f aca="false">(O15+O16)*D15/2</f>
        <v>44.9925</v>
      </c>
      <c r="X15" s="56"/>
      <c r="Y15" s="56"/>
      <c r="Z15" s="56"/>
      <c r="AA15" s="56"/>
      <c r="AB15" s="100"/>
      <c r="AC15" s="56"/>
      <c r="AE15" s="73"/>
    </row>
    <row r="16" s="50" customFormat="true" ht="15" hidden="false" customHeight="true" outlineLevel="0" collapsed="false">
      <c r="A16" s="93" t="n">
        <v>6</v>
      </c>
      <c r="B16" s="93" t="str">
        <f aca="false">'KTHH Lớp 2'!B28</f>
        <v>29</v>
      </c>
      <c r="C16" s="94" t="n">
        <f aca="false">'KTHH Lớp 2'!C28</f>
        <v>511.48</v>
      </c>
      <c r="D16" s="93" t="n">
        <f aca="false">'KTHH Lớp 2'!T28</f>
        <v>3.12</v>
      </c>
      <c r="E16" s="95"/>
      <c r="F16" s="95"/>
      <c r="G16" s="95"/>
      <c r="H16" s="95"/>
      <c r="I16" s="95"/>
      <c r="J16" s="95"/>
      <c r="K16" s="96"/>
      <c r="L16" s="97"/>
      <c r="M16" s="98"/>
      <c r="N16" s="99"/>
      <c r="O16" s="96" t="n">
        <f aca="false">10.5*0.25</f>
        <v>2.625</v>
      </c>
      <c r="P16" s="96"/>
      <c r="Q16" s="96"/>
      <c r="R16" s="56"/>
      <c r="S16" s="56"/>
      <c r="T16" s="56"/>
      <c r="U16" s="56"/>
      <c r="V16" s="56"/>
      <c r="W16" s="56" t="n">
        <f aca="false">(O16+O17)*D16/2</f>
        <v>8.19</v>
      </c>
      <c r="X16" s="56"/>
      <c r="Y16" s="56"/>
      <c r="Z16" s="56"/>
      <c r="AA16" s="56"/>
      <c r="AB16" s="100"/>
      <c r="AC16" s="56"/>
      <c r="AE16" s="73"/>
    </row>
    <row r="17" s="50" customFormat="true" ht="15" hidden="false" customHeight="true" outlineLevel="0" collapsed="false">
      <c r="A17" s="93" t="n">
        <v>7</v>
      </c>
      <c r="B17" s="93" t="str">
        <f aca="false">'KTHH Lớp 2'!B29</f>
        <v>30</v>
      </c>
      <c r="C17" s="94" t="n">
        <f aca="false">'KTHH Lớp 2'!C29</f>
        <v>514.6</v>
      </c>
      <c r="D17" s="93" t="n">
        <f aca="false">'KTHH Lớp 2'!T29</f>
        <v>10.48</v>
      </c>
      <c r="E17" s="95"/>
      <c r="F17" s="95"/>
      <c r="G17" s="95"/>
      <c r="H17" s="95"/>
      <c r="I17" s="95"/>
      <c r="J17" s="95"/>
      <c r="K17" s="96"/>
      <c r="L17" s="97"/>
      <c r="M17" s="98"/>
      <c r="N17" s="99"/>
      <c r="O17" s="96" t="n">
        <f aca="false">10.5*0.25</f>
        <v>2.625</v>
      </c>
      <c r="P17" s="96"/>
      <c r="Q17" s="96"/>
      <c r="R17" s="56"/>
      <c r="S17" s="56"/>
      <c r="T17" s="56"/>
      <c r="U17" s="56"/>
      <c r="V17" s="56"/>
      <c r="W17" s="56" t="n">
        <f aca="false">(O17+O18)*D17/2</f>
        <v>27.51</v>
      </c>
      <c r="X17" s="56"/>
      <c r="Y17" s="56"/>
      <c r="Z17" s="56"/>
      <c r="AA17" s="56"/>
      <c r="AB17" s="100"/>
      <c r="AC17" s="56"/>
      <c r="AE17" s="73"/>
    </row>
    <row r="18" s="50" customFormat="true" ht="15" hidden="false" customHeight="true" outlineLevel="0" collapsed="false">
      <c r="A18" s="93" t="n">
        <v>8</v>
      </c>
      <c r="B18" s="93" t="str">
        <f aca="false">'KTHH Lớp 2'!B30</f>
        <v>D</v>
      </c>
      <c r="C18" s="94" t="n">
        <f aca="false">'KTHH Lớp 2'!C30</f>
        <v>525.08</v>
      </c>
      <c r="D18" s="93" t="n">
        <f aca="false">'KTHH Lớp 2'!T30</f>
        <v>13.6</v>
      </c>
      <c r="E18" s="95"/>
      <c r="F18" s="95"/>
      <c r="G18" s="95"/>
      <c r="H18" s="95"/>
      <c r="I18" s="95"/>
      <c r="J18" s="95"/>
      <c r="K18" s="96"/>
      <c r="L18" s="97"/>
      <c r="M18" s="98"/>
      <c r="N18" s="99"/>
      <c r="O18" s="96" t="n">
        <f aca="false">10.5*0.25</f>
        <v>2.625</v>
      </c>
      <c r="P18" s="96"/>
      <c r="Q18" s="96"/>
      <c r="R18" s="56"/>
      <c r="S18" s="56"/>
      <c r="T18" s="56"/>
      <c r="U18" s="56"/>
      <c r="V18" s="56"/>
      <c r="W18" s="56" t="n">
        <f aca="false">(O18+O19)*D18/2</f>
        <v>35.7</v>
      </c>
      <c r="X18" s="56"/>
      <c r="Y18" s="56"/>
      <c r="Z18" s="56"/>
      <c r="AA18" s="56"/>
      <c r="AB18" s="100"/>
      <c r="AC18" s="56"/>
      <c r="AE18" s="73"/>
    </row>
    <row r="19" s="50" customFormat="true" ht="15" hidden="false" customHeight="true" outlineLevel="0" collapsed="false">
      <c r="A19" s="93" t="n">
        <v>9</v>
      </c>
      <c r="B19" s="93" t="str">
        <f aca="false">'KTHH Lớp 2'!B31</f>
        <v>31</v>
      </c>
      <c r="C19" s="94" t="n">
        <f aca="false">'KTHH Lớp 2'!C31</f>
        <v>538.68</v>
      </c>
      <c r="D19" s="93" t="n">
        <f aca="false">'KTHH Lớp 2'!T31</f>
        <v>15.4</v>
      </c>
      <c r="E19" s="95"/>
      <c r="F19" s="95"/>
      <c r="G19" s="95"/>
      <c r="H19" s="95"/>
      <c r="I19" s="95"/>
      <c r="J19" s="95"/>
      <c r="K19" s="96"/>
      <c r="L19" s="97"/>
      <c r="M19" s="98"/>
      <c r="N19" s="99"/>
      <c r="O19" s="96" t="n">
        <f aca="false">10.5*0.25</f>
        <v>2.625</v>
      </c>
      <c r="P19" s="96"/>
      <c r="Q19" s="96"/>
      <c r="R19" s="56"/>
      <c r="S19" s="56"/>
      <c r="T19" s="56"/>
      <c r="U19" s="56"/>
      <c r="V19" s="56"/>
      <c r="W19" s="56" t="n">
        <f aca="false">(O19+O20)*D19/2</f>
        <v>40.425</v>
      </c>
      <c r="X19" s="56"/>
      <c r="Y19" s="56"/>
      <c r="Z19" s="56"/>
      <c r="AA19" s="56"/>
      <c r="AB19" s="100"/>
      <c r="AC19" s="56"/>
      <c r="AE19" s="73"/>
    </row>
    <row r="20" s="50" customFormat="true" ht="15" hidden="false" customHeight="true" outlineLevel="0" collapsed="false">
      <c r="A20" s="93" t="n">
        <v>10</v>
      </c>
      <c r="B20" s="93" t="str">
        <f aca="false">'KTHH Lớp 2'!B32</f>
        <v>32</v>
      </c>
      <c r="C20" s="94" t="n">
        <f aca="false">'KTHH Lớp 2'!C32</f>
        <v>554.08</v>
      </c>
      <c r="D20" s="93"/>
      <c r="E20" s="95"/>
      <c r="F20" s="95"/>
      <c r="G20" s="95"/>
      <c r="H20" s="95"/>
      <c r="I20" s="95"/>
      <c r="J20" s="95"/>
      <c r="K20" s="96"/>
      <c r="L20" s="97"/>
      <c r="M20" s="98"/>
      <c r="N20" s="99"/>
      <c r="O20" s="96" t="n">
        <f aca="false">10.5*0.25</f>
        <v>2.625</v>
      </c>
      <c r="P20" s="96"/>
      <c r="Q20" s="9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100"/>
      <c r="AC20" s="56"/>
      <c r="AE20" s="73"/>
    </row>
    <row r="21" s="50" customFormat="true" ht="15" hidden="true" customHeight="true" outlineLevel="0" collapsed="false">
      <c r="A21" s="93"/>
      <c r="B21" s="93"/>
      <c r="C21" s="94"/>
      <c r="D21" s="93"/>
      <c r="E21" s="95"/>
      <c r="F21" s="95"/>
      <c r="G21" s="95"/>
      <c r="H21" s="95"/>
      <c r="I21" s="95"/>
      <c r="J21" s="95"/>
      <c r="K21" s="96"/>
      <c r="L21" s="97"/>
      <c r="M21" s="98"/>
      <c r="N21" s="99"/>
      <c r="O21" s="96"/>
      <c r="P21" s="96"/>
      <c r="Q21" s="9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100"/>
      <c r="AC21" s="56"/>
      <c r="AE21" s="73"/>
    </row>
    <row r="22" s="50" customFormat="true" ht="15" hidden="true" customHeight="true" outlineLevel="0" collapsed="false">
      <c r="A22" s="93"/>
      <c r="B22" s="93"/>
      <c r="C22" s="94"/>
      <c r="D22" s="93"/>
      <c r="E22" s="95"/>
      <c r="F22" s="95"/>
      <c r="G22" s="95"/>
      <c r="H22" s="95"/>
      <c r="I22" s="95"/>
      <c r="J22" s="95"/>
      <c r="K22" s="96"/>
      <c r="L22" s="97"/>
      <c r="M22" s="98"/>
      <c r="N22" s="99"/>
      <c r="O22" s="96"/>
      <c r="P22" s="96"/>
      <c r="Q22" s="9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100"/>
      <c r="AC22" s="56"/>
      <c r="AE22" s="73"/>
    </row>
    <row r="23" s="50" customFormat="true" ht="15" hidden="true" customHeight="true" outlineLevel="0" collapsed="false">
      <c r="A23" s="93"/>
      <c r="B23" s="93"/>
      <c r="C23" s="94"/>
      <c r="D23" s="93"/>
      <c r="E23" s="95"/>
      <c r="F23" s="95"/>
      <c r="G23" s="95"/>
      <c r="H23" s="95"/>
      <c r="I23" s="95"/>
      <c r="J23" s="95"/>
      <c r="K23" s="96"/>
      <c r="L23" s="97"/>
      <c r="M23" s="98"/>
      <c r="N23" s="99"/>
      <c r="O23" s="96"/>
      <c r="P23" s="96"/>
      <c r="Q23" s="9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100"/>
      <c r="AC23" s="56"/>
      <c r="AE23" s="73"/>
    </row>
    <row r="24" s="50" customFormat="true" ht="15" hidden="true" customHeight="true" outlineLevel="0" collapsed="false">
      <c r="A24" s="93"/>
      <c r="B24" s="93"/>
      <c r="C24" s="94"/>
      <c r="D24" s="93"/>
      <c r="E24" s="95"/>
      <c r="F24" s="95"/>
      <c r="G24" s="95"/>
      <c r="H24" s="95"/>
      <c r="I24" s="95"/>
      <c r="J24" s="95"/>
      <c r="K24" s="96"/>
      <c r="L24" s="97"/>
      <c r="M24" s="98"/>
      <c r="N24" s="99"/>
      <c r="O24" s="96"/>
      <c r="P24" s="96"/>
      <c r="Q24" s="9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100"/>
      <c r="AC24" s="56"/>
      <c r="AE24" s="73"/>
    </row>
    <row r="25" s="50" customFormat="true" ht="15" hidden="true" customHeight="true" outlineLevel="0" collapsed="false">
      <c r="A25" s="93"/>
      <c r="B25" s="93"/>
      <c r="C25" s="94"/>
      <c r="D25" s="93"/>
      <c r="E25" s="95"/>
      <c r="F25" s="95"/>
      <c r="G25" s="95"/>
      <c r="H25" s="95"/>
      <c r="I25" s="95"/>
      <c r="J25" s="95"/>
      <c r="K25" s="96"/>
      <c r="L25" s="97"/>
      <c r="M25" s="98"/>
      <c r="N25" s="99"/>
      <c r="O25" s="96"/>
      <c r="P25" s="96"/>
      <c r="Q25" s="9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100"/>
      <c r="AC25" s="56"/>
      <c r="AE25" s="73"/>
    </row>
    <row r="26" s="50" customFormat="true" ht="15" hidden="true" customHeight="true" outlineLevel="0" collapsed="false">
      <c r="A26" s="93"/>
      <c r="B26" s="93"/>
      <c r="C26" s="94"/>
      <c r="D26" s="93"/>
      <c r="E26" s="95"/>
      <c r="F26" s="95"/>
      <c r="G26" s="95"/>
      <c r="H26" s="95"/>
      <c r="I26" s="95"/>
      <c r="J26" s="95"/>
      <c r="K26" s="96"/>
      <c r="L26" s="97"/>
      <c r="M26" s="98"/>
      <c r="N26" s="99"/>
      <c r="O26" s="96"/>
      <c r="P26" s="96"/>
      <c r="Q26" s="9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100"/>
      <c r="AC26" s="56"/>
      <c r="AE26" s="73"/>
    </row>
    <row r="27" s="50" customFormat="true" ht="15" hidden="true" customHeight="true" outlineLevel="0" collapsed="false">
      <c r="A27" s="93"/>
      <c r="B27" s="93"/>
      <c r="C27" s="94"/>
      <c r="D27" s="93"/>
      <c r="E27" s="95"/>
      <c r="F27" s="95"/>
      <c r="G27" s="95"/>
      <c r="H27" s="95"/>
      <c r="I27" s="95"/>
      <c r="J27" s="95"/>
      <c r="K27" s="96"/>
      <c r="L27" s="97"/>
      <c r="M27" s="98"/>
      <c r="N27" s="99"/>
      <c r="O27" s="96"/>
      <c r="P27" s="96"/>
      <c r="Q27" s="9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100"/>
      <c r="AC27" s="56"/>
      <c r="AE27" s="73"/>
    </row>
    <row r="28" s="50" customFormat="true" ht="15" hidden="true" customHeight="true" outlineLevel="0" collapsed="false">
      <c r="A28" s="93"/>
      <c r="B28" s="93"/>
      <c r="C28" s="94"/>
      <c r="D28" s="93"/>
      <c r="E28" s="95"/>
      <c r="F28" s="95"/>
      <c r="G28" s="95"/>
      <c r="H28" s="95"/>
      <c r="I28" s="95"/>
      <c r="J28" s="95"/>
      <c r="K28" s="96"/>
      <c r="L28" s="97"/>
      <c r="M28" s="98"/>
      <c r="N28" s="99"/>
      <c r="O28" s="96"/>
      <c r="P28" s="96"/>
      <c r="Q28" s="9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100"/>
      <c r="AC28" s="56"/>
      <c r="AE28" s="73"/>
    </row>
    <row r="29" s="50" customFormat="true" ht="15" hidden="true" customHeight="true" outlineLevel="0" collapsed="false">
      <c r="A29" s="93"/>
      <c r="B29" s="93"/>
      <c r="C29" s="94"/>
      <c r="D29" s="93"/>
      <c r="E29" s="95"/>
      <c r="F29" s="95"/>
      <c r="G29" s="95"/>
      <c r="H29" s="95"/>
      <c r="I29" s="95"/>
      <c r="J29" s="95"/>
      <c r="K29" s="96"/>
      <c r="L29" s="97"/>
      <c r="M29" s="98"/>
      <c r="N29" s="99"/>
      <c r="O29" s="96"/>
      <c r="P29" s="96"/>
      <c r="Q29" s="9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100"/>
      <c r="AC29" s="56"/>
      <c r="AE29" s="73"/>
    </row>
    <row r="30" s="50" customFormat="true" ht="15" hidden="true" customHeight="true" outlineLevel="0" collapsed="false">
      <c r="A30" s="93"/>
      <c r="B30" s="93"/>
      <c r="C30" s="94"/>
      <c r="D30" s="93"/>
      <c r="E30" s="95"/>
      <c r="F30" s="95"/>
      <c r="G30" s="95"/>
      <c r="H30" s="95"/>
      <c r="I30" s="95"/>
      <c r="J30" s="95"/>
      <c r="K30" s="96"/>
      <c r="L30" s="97"/>
      <c r="M30" s="98"/>
      <c r="N30" s="99"/>
      <c r="O30" s="96"/>
      <c r="P30" s="96"/>
      <c r="Q30" s="9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100"/>
      <c r="AC30" s="56"/>
      <c r="AE30" s="73"/>
    </row>
    <row r="31" s="50" customFormat="true" ht="15" hidden="true" customHeight="true" outlineLevel="0" collapsed="false">
      <c r="A31" s="93"/>
      <c r="B31" s="93"/>
      <c r="C31" s="94"/>
      <c r="D31" s="93"/>
      <c r="E31" s="95"/>
      <c r="F31" s="95"/>
      <c r="G31" s="95"/>
      <c r="H31" s="95"/>
      <c r="I31" s="95"/>
      <c r="J31" s="95"/>
      <c r="K31" s="96"/>
      <c r="L31" s="97"/>
      <c r="M31" s="98"/>
      <c r="N31" s="99"/>
      <c r="O31" s="96"/>
      <c r="P31" s="96"/>
      <c r="Q31" s="9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100"/>
      <c r="AC31" s="56"/>
      <c r="AE31" s="73"/>
    </row>
    <row r="32" s="50" customFormat="true" ht="15" hidden="true" customHeight="true" outlineLevel="0" collapsed="false">
      <c r="A32" s="93"/>
      <c r="B32" s="93"/>
      <c r="C32" s="94"/>
      <c r="D32" s="93"/>
      <c r="E32" s="95"/>
      <c r="F32" s="95"/>
      <c r="G32" s="95"/>
      <c r="H32" s="95"/>
      <c r="I32" s="95"/>
      <c r="J32" s="95"/>
      <c r="K32" s="96"/>
      <c r="L32" s="97"/>
      <c r="M32" s="98"/>
      <c r="N32" s="99"/>
      <c r="O32" s="96"/>
      <c r="P32" s="96"/>
      <c r="Q32" s="9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100"/>
      <c r="AC32" s="56"/>
      <c r="AE32" s="73"/>
    </row>
    <row r="33" s="50" customFormat="true" ht="15" hidden="true" customHeight="true" outlineLevel="0" collapsed="false">
      <c r="A33" s="93"/>
      <c r="B33" s="93"/>
      <c r="C33" s="94"/>
      <c r="D33" s="93"/>
      <c r="E33" s="95"/>
      <c r="F33" s="95"/>
      <c r="G33" s="95"/>
      <c r="H33" s="95"/>
      <c r="I33" s="95"/>
      <c r="J33" s="95"/>
      <c r="K33" s="96"/>
      <c r="L33" s="97"/>
      <c r="M33" s="98"/>
      <c r="N33" s="99"/>
      <c r="O33" s="96"/>
      <c r="P33" s="96"/>
      <c r="Q33" s="9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100"/>
      <c r="AC33" s="56"/>
      <c r="AE33" s="73"/>
    </row>
    <row r="34" s="50" customFormat="true" ht="15" hidden="true" customHeight="true" outlineLevel="0" collapsed="false">
      <c r="A34" s="93"/>
      <c r="B34" s="93"/>
      <c r="C34" s="94"/>
      <c r="D34" s="93"/>
      <c r="E34" s="95"/>
      <c r="F34" s="95"/>
      <c r="G34" s="95"/>
      <c r="H34" s="95"/>
      <c r="I34" s="95"/>
      <c r="J34" s="95"/>
      <c r="K34" s="96"/>
      <c r="L34" s="97"/>
      <c r="M34" s="98"/>
      <c r="N34" s="99"/>
      <c r="O34" s="96"/>
      <c r="P34" s="96"/>
      <c r="Q34" s="9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100"/>
      <c r="AC34" s="56"/>
      <c r="AE34" s="73"/>
    </row>
    <row r="35" s="50" customFormat="true" ht="15" hidden="true" customHeight="true" outlineLevel="0" collapsed="false">
      <c r="A35" s="93"/>
      <c r="B35" s="93"/>
      <c r="C35" s="94"/>
      <c r="D35" s="93"/>
      <c r="E35" s="95"/>
      <c r="F35" s="95"/>
      <c r="G35" s="95"/>
      <c r="H35" s="95"/>
      <c r="I35" s="95"/>
      <c r="J35" s="95"/>
      <c r="K35" s="96"/>
      <c r="L35" s="97"/>
      <c r="M35" s="98"/>
      <c r="N35" s="99"/>
      <c r="O35" s="96"/>
      <c r="P35" s="96"/>
      <c r="Q35" s="9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100"/>
      <c r="AC35" s="56"/>
      <c r="AE35" s="73"/>
    </row>
    <row r="36" s="50" customFormat="true" ht="15" hidden="true" customHeight="true" outlineLevel="0" collapsed="false">
      <c r="A36" s="93"/>
      <c r="B36" s="93"/>
      <c r="C36" s="94"/>
      <c r="D36" s="93"/>
      <c r="E36" s="95"/>
      <c r="F36" s="95"/>
      <c r="G36" s="95"/>
      <c r="H36" s="95"/>
      <c r="I36" s="95"/>
      <c r="J36" s="95"/>
      <c r="K36" s="96"/>
      <c r="L36" s="97"/>
      <c r="M36" s="98"/>
      <c r="N36" s="99"/>
      <c r="O36" s="96"/>
      <c r="P36" s="96"/>
      <c r="Q36" s="9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100"/>
      <c r="AC36" s="56"/>
      <c r="AE36" s="73"/>
    </row>
    <row r="37" s="50" customFormat="true" ht="15" hidden="true" customHeight="true" outlineLevel="0" collapsed="false">
      <c r="A37" s="93"/>
      <c r="B37" s="93"/>
      <c r="C37" s="94"/>
      <c r="D37" s="93"/>
      <c r="E37" s="95"/>
      <c r="F37" s="95"/>
      <c r="G37" s="95"/>
      <c r="H37" s="95"/>
      <c r="I37" s="95"/>
      <c r="J37" s="95"/>
      <c r="K37" s="96"/>
      <c r="L37" s="97"/>
      <c r="M37" s="98"/>
      <c r="N37" s="99"/>
      <c r="O37" s="96"/>
      <c r="P37" s="96"/>
      <c r="Q37" s="9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100"/>
      <c r="AC37" s="56"/>
      <c r="AE37" s="73"/>
    </row>
    <row r="38" s="50" customFormat="true" ht="15" hidden="true" customHeight="true" outlineLevel="0" collapsed="false">
      <c r="A38" s="93"/>
      <c r="B38" s="93"/>
      <c r="C38" s="94"/>
      <c r="D38" s="93"/>
      <c r="E38" s="95"/>
      <c r="F38" s="95"/>
      <c r="G38" s="95"/>
      <c r="H38" s="95"/>
      <c r="I38" s="95"/>
      <c r="J38" s="95"/>
      <c r="K38" s="96"/>
      <c r="L38" s="97"/>
      <c r="M38" s="98"/>
      <c r="N38" s="99"/>
      <c r="O38" s="96"/>
      <c r="P38" s="96"/>
      <c r="Q38" s="9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100"/>
      <c r="AC38" s="56"/>
      <c r="AE38" s="73"/>
    </row>
    <row r="39" s="50" customFormat="true" ht="15" hidden="true" customHeight="true" outlineLevel="0" collapsed="false">
      <c r="A39" s="93"/>
      <c r="B39" s="93"/>
      <c r="C39" s="94"/>
      <c r="D39" s="93"/>
      <c r="E39" s="95"/>
      <c r="F39" s="95"/>
      <c r="G39" s="95"/>
      <c r="H39" s="95"/>
      <c r="I39" s="95"/>
      <c r="J39" s="95"/>
      <c r="K39" s="96"/>
      <c r="L39" s="97"/>
      <c r="M39" s="98"/>
      <c r="N39" s="99"/>
      <c r="O39" s="96"/>
      <c r="P39" s="96"/>
      <c r="Q39" s="9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100"/>
      <c r="AC39" s="56"/>
      <c r="AE39" s="73"/>
    </row>
    <row r="40" s="50" customFormat="true" ht="15" hidden="true" customHeight="true" outlineLevel="0" collapsed="false">
      <c r="A40" s="93"/>
      <c r="B40" s="93"/>
      <c r="C40" s="94"/>
      <c r="D40" s="93"/>
      <c r="E40" s="95"/>
      <c r="F40" s="95"/>
      <c r="G40" s="95"/>
      <c r="H40" s="95"/>
      <c r="I40" s="95"/>
      <c r="J40" s="95"/>
      <c r="K40" s="96"/>
      <c r="L40" s="97"/>
      <c r="M40" s="98"/>
      <c r="N40" s="99"/>
      <c r="O40" s="96"/>
      <c r="P40" s="96"/>
      <c r="Q40" s="9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100"/>
      <c r="AC40" s="56"/>
      <c r="AE40" s="73"/>
    </row>
    <row r="41" s="50" customFormat="true" ht="15" hidden="true" customHeight="true" outlineLevel="0" collapsed="false">
      <c r="A41" s="93"/>
      <c r="B41" s="93"/>
      <c r="C41" s="94"/>
      <c r="D41" s="93"/>
      <c r="E41" s="95"/>
      <c r="F41" s="95"/>
      <c r="G41" s="95"/>
      <c r="H41" s="95"/>
      <c r="I41" s="95"/>
      <c r="J41" s="95"/>
      <c r="K41" s="96"/>
      <c r="L41" s="97"/>
      <c r="M41" s="98"/>
      <c r="N41" s="99"/>
      <c r="O41" s="96"/>
      <c r="P41" s="96"/>
      <c r="Q41" s="9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100"/>
      <c r="AC41" s="56"/>
      <c r="AE41" s="73"/>
    </row>
    <row r="42" s="50" customFormat="true" ht="15" hidden="true" customHeight="true" outlineLevel="0" collapsed="false">
      <c r="A42" s="93"/>
      <c r="B42" s="93"/>
      <c r="C42" s="94"/>
      <c r="D42" s="93"/>
      <c r="E42" s="95"/>
      <c r="F42" s="95"/>
      <c r="G42" s="95"/>
      <c r="H42" s="95"/>
      <c r="I42" s="95"/>
      <c r="J42" s="95"/>
      <c r="K42" s="96"/>
      <c r="L42" s="97"/>
      <c r="M42" s="98"/>
      <c r="N42" s="99"/>
      <c r="O42" s="96"/>
      <c r="P42" s="96"/>
      <c r="Q42" s="9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100"/>
      <c r="AC42" s="56"/>
      <c r="AE42" s="73"/>
    </row>
    <row r="43" s="50" customFormat="true" ht="15" hidden="true" customHeight="true" outlineLevel="0" collapsed="false">
      <c r="A43" s="93"/>
      <c r="B43" s="93"/>
      <c r="C43" s="94"/>
      <c r="D43" s="93"/>
      <c r="E43" s="95"/>
      <c r="F43" s="95"/>
      <c r="G43" s="95"/>
      <c r="H43" s="95"/>
      <c r="I43" s="95"/>
      <c r="J43" s="95"/>
      <c r="K43" s="96"/>
      <c r="L43" s="97"/>
      <c r="M43" s="98"/>
      <c r="N43" s="99"/>
      <c r="O43" s="96"/>
      <c r="P43" s="96"/>
      <c r="Q43" s="9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100"/>
      <c r="AC43" s="56"/>
      <c r="AE43" s="73"/>
    </row>
    <row r="44" s="50" customFormat="true" ht="15" hidden="true" customHeight="true" outlineLevel="0" collapsed="false">
      <c r="A44" s="93"/>
      <c r="B44" s="93"/>
      <c r="C44" s="94"/>
      <c r="D44" s="93"/>
      <c r="E44" s="95"/>
      <c r="F44" s="95"/>
      <c r="G44" s="95"/>
      <c r="H44" s="95"/>
      <c r="I44" s="95"/>
      <c r="J44" s="95"/>
      <c r="K44" s="96"/>
      <c r="L44" s="97"/>
      <c r="M44" s="98"/>
      <c r="N44" s="99"/>
      <c r="O44" s="96"/>
      <c r="P44" s="96"/>
      <c r="Q44" s="9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100"/>
      <c r="AC44" s="56"/>
      <c r="AE44" s="73"/>
    </row>
    <row r="45" s="50" customFormat="true" ht="15" hidden="true" customHeight="true" outlineLevel="0" collapsed="false">
      <c r="A45" s="93"/>
      <c r="B45" s="93"/>
      <c r="C45" s="94"/>
      <c r="D45" s="93"/>
      <c r="E45" s="95"/>
      <c r="F45" s="95"/>
      <c r="G45" s="95"/>
      <c r="H45" s="95"/>
      <c r="I45" s="95"/>
      <c r="J45" s="95"/>
      <c r="K45" s="96"/>
      <c r="L45" s="97"/>
      <c r="M45" s="98"/>
      <c r="N45" s="99"/>
      <c r="O45" s="96"/>
      <c r="P45" s="96"/>
      <c r="Q45" s="9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100"/>
      <c r="AC45" s="56"/>
      <c r="AE45" s="73"/>
    </row>
    <row r="46" s="50" customFormat="true" ht="15" hidden="true" customHeight="true" outlineLevel="0" collapsed="false">
      <c r="A46" s="93"/>
      <c r="B46" s="93"/>
      <c r="C46" s="94"/>
      <c r="D46" s="93"/>
      <c r="E46" s="95"/>
      <c r="F46" s="95"/>
      <c r="G46" s="95"/>
      <c r="H46" s="95"/>
      <c r="I46" s="95"/>
      <c r="J46" s="95"/>
      <c r="K46" s="96"/>
      <c r="L46" s="97"/>
      <c r="M46" s="98"/>
      <c r="N46" s="99"/>
      <c r="O46" s="96"/>
      <c r="P46" s="96"/>
      <c r="Q46" s="9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100"/>
      <c r="AC46" s="56"/>
      <c r="AE46" s="73"/>
    </row>
    <row r="47" s="50" customFormat="true" ht="15" hidden="true" customHeight="true" outlineLevel="0" collapsed="false">
      <c r="A47" s="93"/>
      <c r="B47" s="93"/>
      <c r="C47" s="94"/>
      <c r="D47" s="93"/>
      <c r="E47" s="95"/>
      <c r="F47" s="95"/>
      <c r="G47" s="95"/>
      <c r="H47" s="95"/>
      <c r="I47" s="95"/>
      <c r="J47" s="95"/>
      <c r="K47" s="96"/>
      <c r="L47" s="97"/>
      <c r="M47" s="98"/>
      <c r="N47" s="99"/>
      <c r="O47" s="96"/>
      <c r="P47" s="96"/>
      <c r="Q47" s="9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100"/>
      <c r="AC47" s="56"/>
      <c r="AE47" s="73"/>
    </row>
    <row r="48" s="50" customFormat="true" ht="15" hidden="true" customHeight="true" outlineLevel="0" collapsed="false">
      <c r="A48" s="93"/>
      <c r="B48" s="93"/>
      <c r="C48" s="94"/>
      <c r="D48" s="93"/>
      <c r="E48" s="95"/>
      <c r="F48" s="95"/>
      <c r="G48" s="95"/>
      <c r="H48" s="95"/>
      <c r="I48" s="95"/>
      <c r="J48" s="95"/>
      <c r="K48" s="96"/>
      <c r="L48" s="97"/>
      <c r="M48" s="98"/>
      <c r="N48" s="99"/>
      <c r="O48" s="96"/>
      <c r="P48" s="96"/>
      <c r="Q48" s="9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100"/>
      <c r="AC48" s="56"/>
      <c r="AE48" s="73"/>
    </row>
    <row r="49" s="31" customFormat="true" ht="16.5" hidden="false" customHeight="true" outlineLevel="0" collapsed="false">
      <c r="A49" s="101" t="s">
        <v>43</v>
      </c>
      <c r="B49" s="101"/>
      <c r="C49" s="101"/>
      <c r="D49" s="101"/>
      <c r="E49" s="102"/>
      <c r="F49" s="102"/>
      <c r="G49" s="102"/>
      <c r="H49" s="102"/>
      <c r="I49" s="102"/>
      <c r="J49" s="102"/>
      <c r="K49" s="102"/>
      <c r="L49" s="102"/>
      <c r="M49" s="103"/>
      <c r="N49" s="103"/>
      <c r="O49" s="104"/>
      <c r="P49" s="104"/>
      <c r="Q49" s="104"/>
      <c r="R49" s="105" t="n">
        <f aca="false">SUM(R11:R34)</f>
        <v>0</v>
      </c>
      <c r="S49" s="105" t="n">
        <f aca="false">SUM(S11:S34)</f>
        <v>0</v>
      </c>
      <c r="T49" s="105"/>
      <c r="U49" s="106" t="n">
        <f aca="false">SUM(U11:U34)</f>
        <v>0</v>
      </c>
      <c r="V49" s="106" t="n">
        <f aca="false">SUM(V11:V34)</f>
        <v>0</v>
      </c>
      <c r="W49" s="107" t="n">
        <f aca="false">SUM(W11:W20)</f>
        <v>294.63</v>
      </c>
      <c r="X49" s="106" t="n">
        <f aca="false">SUM(X11:X34)</f>
        <v>0</v>
      </c>
      <c r="Y49" s="106" t="n">
        <f aca="false">SUM(Y11:Y34)</f>
        <v>0</v>
      </c>
      <c r="Z49" s="106" t="n">
        <f aca="false">SUM(Z11:Z34)</f>
        <v>0</v>
      </c>
      <c r="AA49" s="106" t="n">
        <f aca="false">SUM(AA11:AA34)</f>
        <v>0</v>
      </c>
      <c r="AB49" s="106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111" t="s">
        <v>33</v>
      </c>
      <c r="B51" s="111"/>
      <c r="C51" s="111"/>
      <c r="D51" s="112" t="s">
        <v>44</v>
      </c>
      <c r="E51" s="111" t="s">
        <v>34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50"/>
      <c r="AJ52" s="50"/>
      <c r="AK52" s="50"/>
      <c r="AL52" s="50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6.5" hidden="false" customHeight="true" outlineLevel="0" collapsed="false">
      <c r="A57" s="111" t="s">
        <v>35</v>
      </c>
      <c r="B57" s="111"/>
      <c r="C57" s="111"/>
      <c r="D57" s="116"/>
      <c r="E57" s="116"/>
      <c r="F57" s="116"/>
      <c r="G57" s="116"/>
      <c r="H57" s="116"/>
      <c r="I57" s="116"/>
      <c r="J57" s="116"/>
      <c r="K57" s="116"/>
      <c r="L57" s="116"/>
      <c r="M57" s="111" t="s">
        <v>36</v>
      </c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23" activeCellId="0" sqref="G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21.NĐXD4/CVXD ngày 26 tháng 08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21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cấp phối đá dăm loại 2 đoạn từ Km0+441,84 - Km0+554,08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441.84</v>
      </c>
      <c r="D23" s="16" t="n">
        <v>-5.25</v>
      </c>
      <c r="E23" s="16" t="n">
        <f aca="false">+D23+F23</f>
        <v>-5.2509</v>
      </c>
      <c r="F23" s="16" t="n">
        <f aca="false">RANDBETWEEN(-105,115)/10000</f>
        <v>-0.0009</v>
      </c>
      <c r="G23" s="16" t="n">
        <f aca="false">W23+0.18</f>
        <v>2.677</v>
      </c>
      <c r="H23" s="16" t="n">
        <f aca="false">G23+I23</f>
        <v>2.729</v>
      </c>
      <c r="I23" s="16" t="n">
        <f aca="false">RANDBETWEEN(-20,70)/1000</f>
        <v>0.052</v>
      </c>
      <c r="J23" s="16" t="n">
        <f aca="false">X23+0.18</f>
        <v>2.794</v>
      </c>
      <c r="K23" s="16" t="n">
        <f aca="false">J23+L23</f>
        <v>2.797</v>
      </c>
      <c r="L23" s="16" t="n">
        <f aca="false">RANDBETWEEN(-20,70)/1000</f>
        <v>0.003</v>
      </c>
      <c r="M23" s="16" t="n">
        <v>5.25</v>
      </c>
      <c r="N23" s="16" t="n">
        <f aca="false">+M23+O23</f>
        <v>5.2471</v>
      </c>
      <c r="O23" s="16" t="n">
        <f aca="false">RANDBETWEEN(-105,115)/10000</f>
        <v>-0.0029</v>
      </c>
      <c r="P23" s="16" t="n">
        <f aca="false">Y23+0.18</f>
        <v>2.677</v>
      </c>
      <c r="Q23" s="16" t="n">
        <f aca="false">P23+R23</f>
        <v>2.663</v>
      </c>
      <c r="R23" s="16" t="n">
        <f aca="false">RANDBETWEEN(-20,70)/1000</f>
        <v>-0.014</v>
      </c>
      <c r="S23" s="17"/>
      <c r="T23" s="18" t="n">
        <v>12.5</v>
      </c>
      <c r="V23" s="19"/>
      <c r="W23" s="19" t="n">
        <f aca="false">'KTHH Lớp 2'!G23</f>
        <v>2.497</v>
      </c>
      <c r="X23" s="19" t="n">
        <f aca="false">'KTHH Lớp 2'!J23</f>
        <v>2.614</v>
      </c>
      <c r="Y23" s="19" t="n">
        <f aca="false">'KTHH Lớp 2'!P23</f>
        <v>2.497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454.34</v>
      </c>
      <c r="D24" s="16" t="n">
        <v>-5.25</v>
      </c>
      <c r="E24" s="16" t="n">
        <f aca="false">+D24+F24</f>
        <v>-5.2469</v>
      </c>
      <c r="F24" s="16" t="n">
        <f aca="false">RANDBETWEEN(-105,115)/10000</f>
        <v>0.0031</v>
      </c>
      <c r="G24" s="16" t="n">
        <f aca="false">W24+0.18</f>
        <v>2.67</v>
      </c>
      <c r="H24" s="16" t="n">
        <f aca="false">G24+I24</f>
        <v>2.71</v>
      </c>
      <c r="I24" s="16" t="n">
        <f aca="false">RANDBETWEEN(-20,70)/1000</f>
        <v>0.04</v>
      </c>
      <c r="J24" s="16" t="n">
        <f aca="false">X24+0.18</f>
        <v>2.787</v>
      </c>
      <c r="K24" s="16" t="n">
        <f aca="false">J24+L24</f>
        <v>2.808</v>
      </c>
      <c r="L24" s="16" t="n">
        <f aca="false">RANDBETWEEN(-20,70)/1000</f>
        <v>0.021</v>
      </c>
      <c r="M24" s="16" t="n">
        <v>5.25</v>
      </c>
      <c r="N24" s="16" t="n">
        <f aca="false">+M24+O24</f>
        <v>5.2501</v>
      </c>
      <c r="O24" s="16" t="n">
        <f aca="false">RANDBETWEEN(-105,115)/10000</f>
        <v>0.0001</v>
      </c>
      <c r="P24" s="16" t="n">
        <f aca="false">Y24+0.18</f>
        <v>2.67</v>
      </c>
      <c r="Q24" s="16" t="n">
        <f aca="false">P24+R24</f>
        <v>2.668</v>
      </c>
      <c r="R24" s="16" t="n">
        <f aca="false">RANDBETWEEN(-20,70)/1000</f>
        <v>-0.002</v>
      </c>
      <c r="S24" s="17"/>
      <c r="T24" s="18" t="n">
        <v>12.5</v>
      </c>
      <c r="V24" s="19"/>
      <c r="W24" s="19" t="n">
        <f aca="false">'KTHH Lớp 2'!G24</f>
        <v>2.49</v>
      </c>
      <c r="X24" s="19" t="n">
        <f aca="false">'KTHH Lớp 2'!J24</f>
        <v>2.607</v>
      </c>
      <c r="Y24" s="19" t="n">
        <f aca="false">'KTHH Lớp 2'!P24</f>
        <v>2.49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466.84</v>
      </c>
      <c r="D25" s="16" t="n">
        <v>-5.25</v>
      </c>
      <c r="E25" s="16" t="n">
        <f aca="false">+D25+F25</f>
        <v>-5.2475</v>
      </c>
      <c r="F25" s="16" t="n">
        <f aca="false">RANDBETWEEN(-105,115)/10000</f>
        <v>0.0025</v>
      </c>
      <c r="G25" s="16" t="n">
        <f aca="false">W25+0.18</f>
        <v>2.664</v>
      </c>
      <c r="H25" s="16" t="n">
        <f aca="false">G25+I25</f>
        <v>2.65</v>
      </c>
      <c r="I25" s="16" t="n">
        <f aca="false">RANDBETWEEN(-20,70)/1000</f>
        <v>-0.014</v>
      </c>
      <c r="J25" s="16" t="n">
        <f aca="false">X25+0.18</f>
        <v>2.781</v>
      </c>
      <c r="K25" s="16" t="n">
        <f aca="false">J25+L25</f>
        <v>2.836</v>
      </c>
      <c r="L25" s="16" t="n">
        <f aca="false">RANDBETWEEN(-20,70)/1000</f>
        <v>0.055</v>
      </c>
      <c r="M25" s="16" t="n">
        <v>5.25</v>
      </c>
      <c r="N25" s="16" t="n">
        <f aca="false">+M25+O25</f>
        <v>5.2437</v>
      </c>
      <c r="O25" s="16" t="n">
        <f aca="false">RANDBETWEEN(-105,115)/10000</f>
        <v>-0.0063</v>
      </c>
      <c r="P25" s="16" t="n">
        <f aca="false">Y25+0.18</f>
        <v>2.664</v>
      </c>
      <c r="Q25" s="16" t="n">
        <f aca="false">P25+R25</f>
        <v>2.671</v>
      </c>
      <c r="R25" s="16" t="n">
        <f aca="false">RANDBETWEEN(-20,70)/1000</f>
        <v>0.007</v>
      </c>
      <c r="S25" s="17"/>
      <c r="T25" s="18" t="n">
        <v>7.5</v>
      </c>
      <c r="V25" s="19"/>
      <c r="W25" s="19" t="n">
        <f aca="false">'KTHH Lớp 2'!G25</f>
        <v>2.484</v>
      </c>
      <c r="X25" s="19" t="n">
        <f aca="false">'KTHH Lớp 2'!J25</f>
        <v>2.601</v>
      </c>
      <c r="Y25" s="19" t="n">
        <f aca="false">'KTHH Lớp 2'!P25</f>
        <v>2.484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474.34</v>
      </c>
      <c r="D26" s="16" t="n">
        <v>-5.25</v>
      </c>
      <c r="E26" s="16" t="n">
        <f aca="false">+D26+F26</f>
        <v>-5.2424</v>
      </c>
      <c r="F26" s="16" t="n">
        <f aca="false">RANDBETWEEN(-105,115)/10000</f>
        <v>0.0076</v>
      </c>
      <c r="G26" s="16" t="n">
        <f aca="false">W26+0.18</f>
        <v>2.66</v>
      </c>
      <c r="H26" s="16" t="n">
        <f aca="false">G26+I26</f>
        <v>2.722</v>
      </c>
      <c r="I26" s="16" t="n">
        <f aca="false">RANDBETWEEN(-20,70)/1000</f>
        <v>0.062</v>
      </c>
      <c r="J26" s="16" t="n">
        <f aca="false">X26+0.18</f>
        <v>2.777</v>
      </c>
      <c r="K26" s="16" t="n">
        <f aca="false">J26+L26</f>
        <v>2.825</v>
      </c>
      <c r="L26" s="16" t="n">
        <f aca="false">RANDBETWEEN(-20,70)/1000</f>
        <v>0.048</v>
      </c>
      <c r="M26" s="16" t="n">
        <v>5.25</v>
      </c>
      <c r="N26" s="16" t="n">
        <f aca="false">+M26+O26</f>
        <v>5.2457</v>
      </c>
      <c r="O26" s="16" t="n">
        <f aca="false">RANDBETWEEN(-105,115)/10000</f>
        <v>-0.0043</v>
      </c>
      <c r="P26" s="16" t="n">
        <f aca="false">Y26+0.18</f>
        <v>2.66</v>
      </c>
      <c r="Q26" s="16" t="n">
        <f aca="false">P26+R26</f>
        <v>2.642</v>
      </c>
      <c r="R26" s="16" t="n">
        <f aca="false">RANDBETWEEN(-20,70)/1000</f>
        <v>-0.018</v>
      </c>
      <c r="S26" s="17"/>
      <c r="T26" s="18" t="n">
        <v>20</v>
      </c>
      <c r="V26" s="19"/>
      <c r="W26" s="19" t="n">
        <f aca="false">'KTHH Lớp 2'!G26</f>
        <v>2.48</v>
      </c>
      <c r="X26" s="19" t="n">
        <f aca="false">'KTHH Lớp 2'!J26</f>
        <v>2.597</v>
      </c>
      <c r="Y26" s="19" t="n">
        <f aca="false">'KTHH Lớp 2'!P26</f>
        <v>2.48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494.34</v>
      </c>
      <c r="D27" s="16" t="n">
        <v>-5.25</v>
      </c>
      <c r="E27" s="16" t="n">
        <f aca="false">+D27+F27</f>
        <v>-5.2513</v>
      </c>
      <c r="F27" s="16" t="n">
        <f aca="false">RANDBETWEEN(-105,115)/10000</f>
        <v>-0.0013</v>
      </c>
      <c r="G27" s="16" t="n">
        <f aca="false">W27+0.18</f>
        <v>2.649</v>
      </c>
      <c r="H27" s="16" t="n">
        <f aca="false">G27+I27</f>
        <v>2.645</v>
      </c>
      <c r="I27" s="16" t="n">
        <f aca="false">RANDBETWEEN(-20,70)/1000</f>
        <v>-0.004</v>
      </c>
      <c r="J27" s="16" t="n">
        <f aca="false">X27+0.18</f>
        <v>2.766</v>
      </c>
      <c r="K27" s="16" t="n">
        <f aca="false">J27+L27</f>
        <v>2.83</v>
      </c>
      <c r="L27" s="16" t="n">
        <f aca="false">RANDBETWEEN(-20,70)/1000</f>
        <v>0.064</v>
      </c>
      <c r="M27" s="16" t="n">
        <v>5.25</v>
      </c>
      <c r="N27" s="16" t="n">
        <f aca="false">+M27+O27</f>
        <v>5.2482</v>
      </c>
      <c r="O27" s="16" t="n">
        <f aca="false">RANDBETWEEN(-105,115)/10000</f>
        <v>-0.0018</v>
      </c>
      <c r="P27" s="16" t="n">
        <f aca="false">Y27+0.18</f>
        <v>2.649</v>
      </c>
      <c r="Q27" s="16" t="n">
        <f aca="false">P27+R27</f>
        <v>2.638</v>
      </c>
      <c r="R27" s="16" t="n">
        <f aca="false">RANDBETWEEN(-20,70)/1000</f>
        <v>-0.011</v>
      </c>
      <c r="S27" s="17"/>
      <c r="T27" s="18" t="n">
        <v>17.14</v>
      </c>
      <c r="V27" s="19"/>
      <c r="W27" s="19" t="n">
        <f aca="false">'KTHH Lớp 2'!G27</f>
        <v>2.469</v>
      </c>
      <c r="X27" s="19" t="n">
        <f aca="false">'KTHH Lớp 2'!J27</f>
        <v>2.586</v>
      </c>
      <c r="Y27" s="19" t="n">
        <f aca="false">'KTHH Lớp 2'!P27</f>
        <v>2.469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511.48</v>
      </c>
      <c r="D28" s="16" t="n">
        <v>-5.25</v>
      </c>
      <c r="E28" s="16" t="n">
        <f aca="false">+D28+F28</f>
        <v>-5.2498</v>
      </c>
      <c r="F28" s="16" t="n">
        <f aca="false">RANDBETWEEN(-105,115)/10000</f>
        <v>0.0002</v>
      </c>
      <c r="G28" s="16" t="n">
        <f aca="false">W28+0.18</f>
        <v>2.64</v>
      </c>
      <c r="H28" s="16" t="n">
        <f aca="false">G28+I28</f>
        <v>2.661</v>
      </c>
      <c r="I28" s="16" t="n">
        <f aca="false">RANDBETWEEN(-20,70)/1000</f>
        <v>0.021</v>
      </c>
      <c r="J28" s="16" t="n">
        <f aca="false">X28+0.18</f>
        <v>2.757</v>
      </c>
      <c r="K28" s="16" t="n">
        <f aca="false">J28+L28</f>
        <v>2.75</v>
      </c>
      <c r="L28" s="16" t="n">
        <f aca="false">RANDBETWEEN(-20,70)/1000</f>
        <v>-0.007</v>
      </c>
      <c r="M28" s="16" t="n">
        <v>5.25</v>
      </c>
      <c r="N28" s="16" t="n">
        <f aca="false">+M28+O28</f>
        <v>5.2428</v>
      </c>
      <c r="O28" s="16" t="n">
        <f aca="false">RANDBETWEEN(-105,115)/10000</f>
        <v>-0.0072</v>
      </c>
      <c r="P28" s="16" t="n">
        <f aca="false">Y28+0.18</f>
        <v>2.64</v>
      </c>
      <c r="Q28" s="16" t="n">
        <f aca="false">P28+R28</f>
        <v>2.692</v>
      </c>
      <c r="R28" s="16" t="n">
        <f aca="false">RANDBETWEEN(-20,70)/1000</f>
        <v>0.052</v>
      </c>
      <c r="S28" s="17"/>
      <c r="T28" s="18" t="n">
        <v>3.12</v>
      </c>
      <c r="V28" s="19"/>
      <c r="W28" s="19" t="n">
        <f aca="false">'KTHH Lớp 2'!G28</f>
        <v>2.46</v>
      </c>
      <c r="X28" s="19" t="n">
        <f aca="false">'KTHH Lớp 2'!J28</f>
        <v>2.577</v>
      </c>
      <c r="Y28" s="19" t="n">
        <f aca="false">'KTHH Lớp 2'!P28</f>
        <v>2.46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514.6</v>
      </c>
      <c r="D29" s="16" t="n">
        <v>-5.25</v>
      </c>
      <c r="E29" s="16" t="n">
        <f aca="false">+D29+F29</f>
        <v>-5.2594</v>
      </c>
      <c r="F29" s="16" t="n">
        <f aca="false">RANDBETWEEN(-105,115)/10000</f>
        <v>-0.0094</v>
      </c>
      <c r="G29" s="16" t="n">
        <f aca="false">W29+0.18</f>
        <v>2.638</v>
      </c>
      <c r="H29" s="16" t="n">
        <f aca="false">G29+I29</f>
        <v>2.62</v>
      </c>
      <c r="I29" s="16" t="n">
        <f aca="false">RANDBETWEEN(-20,70)/1000</f>
        <v>-0.018</v>
      </c>
      <c r="J29" s="16" t="n">
        <f aca="false">X29+0.18</f>
        <v>2.755</v>
      </c>
      <c r="K29" s="16" t="n">
        <f aca="false">J29+L29</f>
        <v>2.782</v>
      </c>
      <c r="L29" s="16" t="n">
        <f aca="false">RANDBETWEEN(-20,70)/1000</f>
        <v>0.027</v>
      </c>
      <c r="M29" s="16" t="n">
        <v>5.25</v>
      </c>
      <c r="N29" s="16" t="n">
        <f aca="false">+M29+O29</f>
        <v>5.2545</v>
      </c>
      <c r="O29" s="16" t="n">
        <f aca="false">RANDBETWEEN(-105,115)/10000</f>
        <v>0.0045</v>
      </c>
      <c r="P29" s="16" t="n">
        <f aca="false">Y29+0.18</f>
        <v>2.638</v>
      </c>
      <c r="Q29" s="16" t="n">
        <f aca="false">P29+R29</f>
        <v>2.681</v>
      </c>
      <c r="R29" s="16" t="n">
        <f aca="false">RANDBETWEEN(-20,70)/1000</f>
        <v>0.043</v>
      </c>
      <c r="S29" s="17"/>
      <c r="T29" s="18" t="n">
        <v>10.48</v>
      </c>
      <c r="V29" s="19"/>
      <c r="W29" s="19" t="n">
        <f aca="false">'KTHH Lớp 2'!G29</f>
        <v>2.458</v>
      </c>
      <c r="X29" s="19" t="n">
        <f aca="false">'KTHH Lớp 2'!J29</f>
        <v>2.575</v>
      </c>
      <c r="Y29" s="19" t="n">
        <f aca="false">'KTHH Lớp 2'!P29</f>
        <v>2.458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525.08</v>
      </c>
      <c r="D30" s="16" t="n">
        <v>-5.25</v>
      </c>
      <c r="E30" s="16" t="n">
        <f aca="false">+D30+F30</f>
        <v>-5.2599</v>
      </c>
      <c r="F30" s="16" t="n">
        <f aca="false">RANDBETWEEN(-105,115)/10000</f>
        <v>-0.0099</v>
      </c>
      <c r="G30" s="16" t="n">
        <f aca="false">W30+0.18</f>
        <v>2.633</v>
      </c>
      <c r="H30" s="16" t="n">
        <f aca="false">G30+I30</f>
        <v>2.684</v>
      </c>
      <c r="I30" s="16" t="n">
        <f aca="false">RANDBETWEEN(-20,70)/1000</f>
        <v>0.051</v>
      </c>
      <c r="J30" s="16" t="n">
        <f aca="false">X30+0.18</f>
        <v>2.75</v>
      </c>
      <c r="K30" s="16" t="n">
        <f aca="false">J30+L30</f>
        <v>2.75</v>
      </c>
      <c r="L30" s="16" t="n">
        <f aca="false">RANDBETWEEN(-20,70)/1000</f>
        <v>0</v>
      </c>
      <c r="M30" s="16" t="n">
        <v>5.25</v>
      </c>
      <c r="N30" s="16" t="n">
        <f aca="false">+M30+O30</f>
        <v>5.2505</v>
      </c>
      <c r="O30" s="16" t="n">
        <f aca="false">RANDBETWEEN(-105,115)/10000</f>
        <v>0.0005</v>
      </c>
      <c r="P30" s="16" t="n">
        <f aca="false">Y30+0.18</f>
        <v>2.633</v>
      </c>
      <c r="Q30" s="16" t="n">
        <f aca="false">P30+R30</f>
        <v>2.688</v>
      </c>
      <c r="R30" s="16" t="n">
        <f aca="false">RANDBETWEEN(-20,70)/1000</f>
        <v>0.055</v>
      </c>
      <c r="S30" s="17"/>
      <c r="T30" s="18" t="n">
        <v>13.6</v>
      </c>
      <c r="V30" s="19"/>
      <c r="W30" s="19" t="n">
        <f aca="false">'KTHH Lớp 2'!G30</f>
        <v>2.453</v>
      </c>
      <c r="X30" s="19" t="n">
        <f aca="false">'KTHH Lớp 2'!J30</f>
        <v>2.57</v>
      </c>
      <c r="Y30" s="19" t="n">
        <f aca="false">'KTHH Lớp 2'!P30</f>
        <v>2.453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538.68</v>
      </c>
      <c r="D31" s="16" t="n">
        <v>-5.25</v>
      </c>
      <c r="E31" s="16" t="n">
        <f aca="false">+D31+F31</f>
        <v>-5.2456</v>
      </c>
      <c r="F31" s="16" t="n">
        <f aca="false">RANDBETWEEN(-105,115)/10000</f>
        <v>0.0044</v>
      </c>
      <c r="G31" s="16" t="n">
        <f aca="false">W31+0.18</f>
        <v>2.626</v>
      </c>
      <c r="H31" s="16" t="n">
        <f aca="false">G31+I31</f>
        <v>2.656</v>
      </c>
      <c r="I31" s="16" t="n">
        <f aca="false">RANDBETWEEN(-20,70)/1000</f>
        <v>0.03</v>
      </c>
      <c r="J31" s="16" t="n">
        <f aca="false">X31+0.18</f>
        <v>2.743</v>
      </c>
      <c r="K31" s="16" t="n">
        <f aca="false">J31+L31</f>
        <v>2.8</v>
      </c>
      <c r="L31" s="16" t="n">
        <f aca="false">RANDBETWEEN(-20,70)/1000</f>
        <v>0.057</v>
      </c>
      <c r="M31" s="16" t="n">
        <v>5.25</v>
      </c>
      <c r="N31" s="16" t="n">
        <f aca="false">+M31+O31</f>
        <v>5.2402</v>
      </c>
      <c r="O31" s="16" t="n">
        <f aca="false">RANDBETWEEN(-105,115)/10000</f>
        <v>-0.0098</v>
      </c>
      <c r="P31" s="16" t="n">
        <f aca="false">Y31+0.18</f>
        <v>2.626</v>
      </c>
      <c r="Q31" s="16" t="n">
        <f aca="false">P31+R31</f>
        <v>2.623</v>
      </c>
      <c r="R31" s="16" t="n">
        <f aca="false">RANDBETWEEN(-20,70)/1000</f>
        <v>-0.003</v>
      </c>
      <c r="S31" s="17"/>
      <c r="T31" s="18" t="n">
        <v>15.4</v>
      </c>
      <c r="V31" s="19"/>
      <c r="W31" s="19" t="n">
        <f aca="false">'KTHH Lớp 2'!G31</f>
        <v>2.446</v>
      </c>
      <c r="X31" s="19" t="n">
        <f aca="false">'KTHH Lớp 2'!J31</f>
        <v>2.563</v>
      </c>
      <c r="Y31" s="19" t="n">
        <f aca="false">'KTHH Lớp 2'!P31</f>
        <v>2.446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554.08</v>
      </c>
      <c r="D32" s="16" t="n">
        <v>-5.25</v>
      </c>
      <c r="E32" s="16" t="n">
        <f aca="false">+D32+F32</f>
        <v>-5.2411</v>
      </c>
      <c r="F32" s="16" t="n">
        <f aca="false">RANDBETWEEN(-105,115)/10000</f>
        <v>0.0089</v>
      </c>
      <c r="G32" s="16" t="n">
        <f aca="false">W32+0.18</f>
        <v>2.618</v>
      </c>
      <c r="H32" s="16" t="n">
        <f aca="false">G32+I32</f>
        <v>2.678</v>
      </c>
      <c r="I32" s="16" t="n">
        <f aca="false">RANDBETWEEN(-20,70)/1000</f>
        <v>0.06</v>
      </c>
      <c r="J32" s="16" t="n">
        <f aca="false">X32+0.18</f>
        <v>2.735</v>
      </c>
      <c r="K32" s="16" t="n">
        <f aca="false">J32+L32</f>
        <v>2.791</v>
      </c>
      <c r="L32" s="16" t="n">
        <f aca="false">RANDBETWEEN(-20,70)/1000</f>
        <v>0.056</v>
      </c>
      <c r="M32" s="16" t="n">
        <v>5.25</v>
      </c>
      <c r="N32" s="16" t="n">
        <f aca="false">+M32+O32</f>
        <v>5.2464</v>
      </c>
      <c r="O32" s="16" t="n">
        <f aca="false">RANDBETWEEN(-105,115)/10000</f>
        <v>-0.0036</v>
      </c>
      <c r="P32" s="16" t="n">
        <f aca="false">Y32+0.18</f>
        <v>2.618</v>
      </c>
      <c r="Q32" s="16" t="n">
        <f aca="false">P32+R32</f>
        <v>2.679</v>
      </c>
      <c r="R32" s="16" t="n">
        <f aca="false">RANDBETWEEN(-20,70)/1000</f>
        <v>0.061</v>
      </c>
      <c r="S32" s="17"/>
      <c r="T32" s="18"/>
      <c r="V32" s="19"/>
      <c r="W32" s="19" t="n">
        <f aca="false">'KTHH Lớp 2'!G32</f>
        <v>2.438</v>
      </c>
      <c r="X32" s="19" t="n">
        <f aca="false">'KTHH Lớp 2'!J32</f>
        <v>2.555</v>
      </c>
      <c r="Y32" s="19" t="n">
        <f aca="false">'KTHH Lớp 2'!P32</f>
        <v>2.438</v>
      </c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33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34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35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36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O11" activeCellId="0" sqref="O1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21.NĐXD4/CVXD ngày 26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21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cấp phối đá dăm loại 2 đoạn từ Km0+441,84 - Km0+554,08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38</v>
      </c>
      <c r="B9" s="117" t="s">
        <v>10</v>
      </c>
      <c r="C9" s="117" t="s">
        <v>11</v>
      </c>
      <c r="D9" s="118" t="s">
        <v>39</v>
      </c>
      <c r="E9" s="119"/>
      <c r="F9" s="119"/>
      <c r="G9" s="118"/>
      <c r="H9" s="119"/>
      <c r="I9" s="119"/>
      <c r="J9" s="119"/>
      <c r="K9" s="119"/>
      <c r="L9" s="119"/>
      <c r="M9" s="120" t="s">
        <v>40</v>
      </c>
      <c r="N9" s="121"/>
      <c r="O9" s="122" t="s">
        <v>41</v>
      </c>
      <c r="P9" s="123"/>
      <c r="Q9" s="123"/>
      <c r="R9" s="123"/>
      <c r="S9" s="123"/>
      <c r="T9" s="123"/>
      <c r="U9" s="123"/>
      <c r="V9" s="123"/>
      <c r="W9" s="122" t="s">
        <v>42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41</v>
      </c>
      <c r="O10" s="122"/>
      <c r="P10" s="122" t="s">
        <v>41</v>
      </c>
      <c r="Q10" s="122" t="s">
        <v>41</v>
      </c>
      <c r="R10" s="122"/>
      <c r="S10" s="122"/>
      <c r="T10" s="122"/>
      <c r="U10" s="122" t="s">
        <v>42</v>
      </c>
      <c r="V10" s="122" t="s">
        <v>42</v>
      </c>
      <c r="W10" s="122"/>
      <c r="X10" s="122" t="s">
        <v>42</v>
      </c>
      <c r="Y10" s="122" t="s">
        <v>42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A'!B23</f>
        <v>24</v>
      </c>
      <c r="C11" s="133" t="n">
        <f aca="false">'Base A'!C23</f>
        <v>441.84</v>
      </c>
      <c r="D11" s="132" t="n">
        <f aca="false">'Base A'!T23</f>
        <v>12.5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10.5*0.18</f>
        <v>1.89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23.625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A'!B24</f>
        <v>25</v>
      </c>
      <c r="C12" s="133" t="n">
        <f aca="false">'Base A'!C24</f>
        <v>454.34</v>
      </c>
      <c r="D12" s="132" t="n">
        <f aca="false">'Base A'!T24</f>
        <v>12.5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10.5*0.18</f>
        <v>1.89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23.625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A'!B25</f>
        <v>26</v>
      </c>
      <c r="C13" s="133" t="n">
        <f aca="false">'Base A'!C25</f>
        <v>466.84</v>
      </c>
      <c r="D13" s="132" t="n">
        <f aca="false">'Base A'!T25</f>
        <v>7.5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10.5*0.18</f>
        <v>1.89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14.175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A'!B26</f>
        <v>27</v>
      </c>
      <c r="C14" s="133" t="n">
        <f aca="false">'Base A'!C26</f>
        <v>474.34</v>
      </c>
      <c r="D14" s="132" t="n">
        <f aca="false">'Base A'!T26</f>
        <v>20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10.5*0.18</f>
        <v>1.89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37.8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A'!B27</f>
        <v>28</v>
      </c>
      <c r="C15" s="133" t="n">
        <f aca="false">'Base A'!C27</f>
        <v>494.34</v>
      </c>
      <c r="D15" s="132" t="n">
        <f aca="false">'Base A'!T27</f>
        <v>17.14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10.5*0.18</f>
        <v>1.89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32.3946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A'!B28</f>
        <v>29</v>
      </c>
      <c r="C16" s="133" t="n">
        <f aca="false">'Base A'!C28</f>
        <v>511.48</v>
      </c>
      <c r="D16" s="132" t="n">
        <f aca="false">'Base A'!T28</f>
        <v>3.12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10.5*0.18</f>
        <v>1.89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5.8968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A'!B29</f>
        <v>30</v>
      </c>
      <c r="C17" s="133" t="n">
        <f aca="false">'Base A'!C29</f>
        <v>514.6</v>
      </c>
      <c r="D17" s="132" t="n">
        <f aca="false">'Base A'!T29</f>
        <v>10.48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10.5*0.18</f>
        <v>1.89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19.8072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A'!B30</f>
        <v>D</v>
      </c>
      <c r="C18" s="133" t="n">
        <f aca="false">'Base A'!C30</f>
        <v>525.08</v>
      </c>
      <c r="D18" s="132" t="n">
        <f aca="false">'Base A'!T30</f>
        <v>13.6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10.5*0.18</f>
        <v>1.89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25.704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A'!B31</f>
        <v>31</v>
      </c>
      <c r="C19" s="133" t="n">
        <f aca="false">'Base A'!C31</f>
        <v>538.68</v>
      </c>
      <c r="D19" s="132" t="n">
        <f aca="false">'Base A'!T31</f>
        <v>15.4</v>
      </c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10.5*0.18</f>
        <v>1.89</v>
      </c>
      <c r="P19" s="135"/>
      <c r="Q19" s="135"/>
      <c r="R19" s="139"/>
      <c r="S19" s="139"/>
      <c r="T19" s="139"/>
      <c r="U19" s="139"/>
      <c r="V19" s="139"/>
      <c r="W19" s="139" t="n">
        <f aca="false">(O19+O20)*D19/2</f>
        <v>29.106</v>
      </c>
      <c r="X19" s="139"/>
      <c r="Y19" s="139"/>
      <c r="Z19" s="139"/>
      <c r="AA19" s="139"/>
      <c r="AB19" s="140"/>
      <c r="AC19" s="139"/>
      <c r="AE19" s="141"/>
    </row>
    <row r="20" s="131" customFormat="true" ht="15" hidden="false" customHeight="true" outlineLevel="0" collapsed="false">
      <c r="A20" s="132" t="n">
        <v>10</v>
      </c>
      <c r="B20" s="132" t="str">
        <f aca="false">'Base A'!B32</f>
        <v>32</v>
      </c>
      <c r="C20" s="133" t="n">
        <f aca="false">'Base A'!C32</f>
        <v>554.08</v>
      </c>
      <c r="D20" s="132"/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 t="n">
        <f aca="false">10.5*0.18</f>
        <v>1.89</v>
      </c>
      <c r="P20" s="135"/>
      <c r="Q20" s="135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40"/>
      <c r="AC20" s="139"/>
      <c r="AE20" s="141"/>
    </row>
    <row r="21" s="131" customFormat="true" ht="15" hidden="true" customHeight="true" outlineLevel="0" collapsed="false">
      <c r="A21" s="132"/>
      <c r="B21" s="132"/>
      <c r="C21" s="133"/>
      <c r="D21" s="132"/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/>
      <c r="P21" s="135"/>
      <c r="Q21" s="135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  <c r="AC21" s="139"/>
      <c r="AE21" s="141"/>
    </row>
    <row r="22" s="131" customFormat="true" ht="15" hidden="true" customHeight="true" outlineLevel="0" collapsed="false">
      <c r="A22" s="132"/>
      <c r="B22" s="132"/>
      <c r="C22" s="133"/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/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43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SUM(W11:W20)</f>
        <v>212.1336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33</v>
      </c>
      <c r="B51" s="153"/>
      <c r="C51" s="153"/>
      <c r="D51" s="154" t="s">
        <v>44</v>
      </c>
      <c r="E51" s="153" t="s">
        <v>34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35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">
        <v>36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K32" activeCellId="0" sqref="K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24.NĐXD4/CVXD ngày 27 tháng 08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24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cấp phối đá dăm loại 1 đoạn từ Km0+441,84 - Km0+554,08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441.84</v>
      </c>
      <c r="D23" s="16" t="n">
        <v>-5.25</v>
      </c>
      <c r="E23" s="16" t="n">
        <f aca="false">+D23+F23</f>
        <v>-5.2471</v>
      </c>
      <c r="F23" s="16" t="n">
        <f aca="false">RANDBETWEEN(-105,115)/10000</f>
        <v>0.0029</v>
      </c>
      <c r="G23" s="16" t="n">
        <f aca="false">W23+0.15</f>
        <v>2.827</v>
      </c>
      <c r="H23" s="16" t="n">
        <f aca="false">G23+I23</f>
        <v>2.848</v>
      </c>
      <c r="I23" s="16" t="n">
        <f aca="false">RANDBETWEEN(-20,70)/1000</f>
        <v>0.021</v>
      </c>
      <c r="J23" s="16" t="n">
        <f aca="false">X23+0.15</f>
        <v>2.944</v>
      </c>
      <c r="K23" s="16" t="n">
        <f aca="false">J23+L23</f>
        <v>2.991</v>
      </c>
      <c r="L23" s="16" t="n">
        <f aca="false">RANDBETWEEN(-20,70)/1000</f>
        <v>0.047</v>
      </c>
      <c r="M23" s="16" t="n">
        <v>5.25</v>
      </c>
      <c r="N23" s="16" t="n">
        <f aca="false">+M23+O23</f>
        <v>5.2554</v>
      </c>
      <c r="O23" s="16" t="n">
        <f aca="false">RANDBETWEEN(-105,115)/10000</f>
        <v>0.0054</v>
      </c>
      <c r="P23" s="16" t="n">
        <f aca="false">Y23+0.15</f>
        <v>2.827</v>
      </c>
      <c r="Q23" s="16" t="n">
        <f aca="false">P23+R23</f>
        <v>2.835</v>
      </c>
      <c r="R23" s="16" t="n">
        <f aca="false">RANDBETWEEN(-20,70)/1000</f>
        <v>0.008</v>
      </c>
      <c r="S23" s="17"/>
      <c r="T23" s="18" t="n">
        <v>12.5</v>
      </c>
      <c r="V23" s="19"/>
      <c r="W23" s="19" t="n">
        <f aca="false">'Base A'!G23</f>
        <v>2.677</v>
      </c>
      <c r="X23" s="19" t="n">
        <f aca="false">'Base A'!J23</f>
        <v>2.794</v>
      </c>
      <c r="Y23" s="19" t="n">
        <f aca="false">'Base A'!P23</f>
        <v>2.677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454.34</v>
      </c>
      <c r="D24" s="16" t="n">
        <v>-5.25</v>
      </c>
      <c r="E24" s="16" t="n">
        <f aca="false">+D24+F24</f>
        <v>-5.2552</v>
      </c>
      <c r="F24" s="16" t="n">
        <f aca="false">RANDBETWEEN(-105,115)/10000</f>
        <v>-0.0052</v>
      </c>
      <c r="G24" s="16" t="n">
        <f aca="false">W24+0.15</f>
        <v>2.82</v>
      </c>
      <c r="H24" s="16" t="n">
        <f aca="false">G24+I24</f>
        <v>2.825</v>
      </c>
      <c r="I24" s="16" t="n">
        <f aca="false">RANDBETWEEN(-20,70)/1000</f>
        <v>0.005</v>
      </c>
      <c r="J24" s="16" t="n">
        <f aca="false">X24+0.15</f>
        <v>2.937</v>
      </c>
      <c r="K24" s="16" t="n">
        <f aca="false">J24+L24</f>
        <v>3.005</v>
      </c>
      <c r="L24" s="16" t="n">
        <f aca="false">RANDBETWEEN(-20,70)/1000</f>
        <v>0.068</v>
      </c>
      <c r="M24" s="16" t="n">
        <v>5.25</v>
      </c>
      <c r="N24" s="16" t="n">
        <f aca="false">+M24+O24</f>
        <v>5.25</v>
      </c>
      <c r="O24" s="16" t="n">
        <f aca="false">RANDBETWEEN(-105,115)/10000</f>
        <v>0</v>
      </c>
      <c r="P24" s="16" t="n">
        <f aca="false">Y24+0.15</f>
        <v>2.82</v>
      </c>
      <c r="Q24" s="16" t="n">
        <f aca="false">P24+R24</f>
        <v>2.886</v>
      </c>
      <c r="R24" s="16" t="n">
        <f aca="false">RANDBETWEEN(-20,70)/1000</f>
        <v>0.066</v>
      </c>
      <c r="S24" s="17"/>
      <c r="T24" s="18" t="n">
        <v>12.5</v>
      </c>
      <c r="V24" s="19"/>
      <c r="W24" s="19" t="n">
        <f aca="false">'Base A'!G24</f>
        <v>2.67</v>
      </c>
      <c r="X24" s="19" t="n">
        <f aca="false">'Base A'!J24</f>
        <v>2.787</v>
      </c>
      <c r="Y24" s="19" t="n">
        <f aca="false">'Base A'!P24</f>
        <v>2.67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466.84</v>
      </c>
      <c r="D25" s="16" t="n">
        <v>-5.25</v>
      </c>
      <c r="E25" s="16" t="n">
        <f aca="false">+D25+F25</f>
        <v>-5.2521</v>
      </c>
      <c r="F25" s="16" t="n">
        <f aca="false">RANDBETWEEN(-105,115)/10000</f>
        <v>-0.0021</v>
      </c>
      <c r="G25" s="16" t="n">
        <f aca="false">W25+0.15</f>
        <v>2.814</v>
      </c>
      <c r="H25" s="16" t="n">
        <f aca="false">G25+I25</f>
        <v>2.794</v>
      </c>
      <c r="I25" s="16" t="n">
        <f aca="false">RANDBETWEEN(-20,70)/1000</f>
        <v>-0.02</v>
      </c>
      <c r="J25" s="16" t="n">
        <f aca="false">X25+0.15</f>
        <v>2.931</v>
      </c>
      <c r="K25" s="16" t="n">
        <f aca="false">J25+L25</f>
        <v>2.97</v>
      </c>
      <c r="L25" s="16" t="n">
        <f aca="false">RANDBETWEEN(-20,70)/1000</f>
        <v>0.039</v>
      </c>
      <c r="M25" s="16" t="n">
        <v>5.25</v>
      </c>
      <c r="N25" s="16" t="n">
        <f aca="false">+M25+O25</f>
        <v>5.2464</v>
      </c>
      <c r="O25" s="16" t="n">
        <f aca="false">RANDBETWEEN(-105,115)/10000</f>
        <v>-0.0036</v>
      </c>
      <c r="P25" s="16" t="n">
        <f aca="false">Y25+0.15</f>
        <v>2.814</v>
      </c>
      <c r="Q25" s="16" t="n">
        <f aca="false">P25+R25</f>
        <v>2.854</v>
      </c>
      <c r="R25" s="16" t="n">
        <f aca="false">RANDBETWEEN(-20,70)/1000</f>
        <v>0.04</v>
      </c>
      <c r="S25" s="17"/>
      <c r="T25" s="18" t="n">
        <v>7.5</v>
      </c>
      <c r="V25" s="19"/>
      <c r="W25" s="19" t="n">
        <f aca="false">'Base A'!G25</f>
        <v>2.664</v>
      </c>
      <c r="X25" s="19" t="n">
        <f aca="false">'Base A'!J25</f>
        <v>2.781</v>
      </c>
      <c r="Y25" s="19" t="n">
        <f aca="false">'Base A'!P25</f>
        <v>2.664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474.34</v>
      </c>
      <c r="D26" s="16" t="n">
        <v>-5.25</v>
      </c>
      <c r="E26" s="16" t="n">
        <f aca="false">+D26+F26</f>
        <v>-5.2396</v>
      </c>
      <c r="F26" s="16" t="n">
        <f aca="false">RANDBETWEEN(-105,115)/10000</f>
        <v>0.0104</v>
      </c>
      <c r="G26" s="16" t="n">
        <f aca="false">W26+0.15</f>
        <v>2.81</v>
      </c>
      <c r="H26" s="16" t="n">
        <f aca="false">G26+I26</f>
        <v>2.839</v>
      </c>
      <c r="I26" s="16" t="n">
        <f aca="false">RANDBETWEEN(-20,70)/1000</f>
        <v>0.029</v>
      </c>
      <c r="J26" s="16" t="n">
        <f aca="false">X26+0.15</f>
        <v>2.927</v>
      </c>
      <c r="K26" s="16" t="n">
        <f aca="false">J26+L26</f>
        <v>2.964</v>
      </c>
      <c r="L26" s="16" t="n">
        <f aca="false">RANDBETWEEN(-20,70)/1000</f>
        <v>0.037</v>
      </c>
      <c r="M26" s="16" t="n">
        <v>5.25</v>
      </c>
      <c r="N26" s="16" t="n">
        <f aca="false">+M26+O26</f>
        <v>5.2512</v>
      </c>
      <c r="O26" s="16" t="n">
        <f aca="false">RANDBETWEEN(-105,115)/10000</f>
        <v>0.0012</v>
      </c>
      <c r="P26" s="16" t="n">
        <f aca="false">Y26+0.15</f>
        <v>2.81</v>
      </c>
      <c r="Q26" s="16" t="n">
        <f aca="false">P26+R26</f>
        <v>2.812</v>
      </c>
      <c r="R26" s="16" t="n">
        <f aca="false">RANDBETWEEN(-20,70)/1000</f>
        <v>0.002</v>
      </c>
      <c r="S26" s="17"/>
      <c r="T26" s="18" t="n">
        <v>20</v>
      </c>
      <c r="V26" s="19"/>
      <c r="W26" s="19" t="n">
        <f aca="false">'Base A'!G26</f>
        <v>2.66</v>
      </c>
      <c r="X26" s="19" t="n">
        <f aca="false">'Base A'!J26</f>
        <v>2.777</v>
      </c>
      <c r="Y26" s="19" t="n">
        <f aca="false">'Base A'!P26</f>
        <v>2.66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494.34</v>
      </c>
      <c r="D27" s="16" t="n">
        <v>-5.25</v>
      </c>
      <c r="E27" s="16" t="n">
        <f aca="false">+D27+F27</f>
        <v>-5.25</v>
      </c>
      <c r="F27" s="16" t="n">
        <f aca="false">RANDBETWEEN(-105,115)/10000</f>
        <v>0</v>
      </c>
      <c r="G27" s="16" t="n">
        <f aca="false">W27+0.15</f>
        <v>2.799</v>
      </c>
      <c r="H27" s="16" t="n">
        <f aca="false">G27+I27</f>
        <v>2.834</v>
      </c>
      <c r="I27" s="16" t="n">
        <f aca="false">RANDBETWEEN(-20,70)/1000</f>
        <v>0.035</v>
      </c>
      <c r="J27" s="16" t="n">
        <f aca="false">X27+0.15</f>
        <v>2.916</v>
      </c>
      <c r="K27" s="16" t="n">
        <f aca="false">J27+L27</f>
        <v>2.971</v>
      </c>
      <c r="L27" s="16" t="n">
        <f aca="false">RANDBETWEEN(-20,70)/1000</f>
        <v>0.055</v>
      </c>
      <c r="M27" s="16" t="n">
        <v>5.25</v>
      </c>
      <c r="N27" s="16" t="n">
        <f aca="false">+M27+O27</f>
        <v>5.2464</v>
      </c>
      <c r="O27" s="16" t="n">
        <f aca="false">RANDBETWEEN(-105,115)/10000</f>
        <v>-0.0036</v>
      </c>
      <c r="P27" s="16" t="n">
        <f aca="false">Y27+0.15</f>
        <v>2.799</v>
      </c>
      <c r="Q27" s="16" t="n">
        <f aca="false">P27+R27</f>
        <v>2.806</v>
      </c>
      <c r="R27" s="16" t="n">
        <f aca="false">RANDBETWEEN(-20,70)/1000</f>
        <v>0.007</v>
      </c>
      <c r="S27" s="17"/>
      <c r="T27" s="18" t="n">
        <v>17.14</v>
      </c>
      <c r="V27" s="19"/>
      <c r="W27" s="19" t="n">
        <f aca="false">'Base A'!G27</f>
        <v>2.649</v>
      </c>
      <c r="X27" s="19" t="n">
        <f aca="false">'Base A'!J27</f>
        <v>2.766</v>
      </c>
      <c r="Y27" s="19" t="n">
        <f aca="false">'Base A'!P27</f>
        <v>2.649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511.48</v>
      </c>
      <c r="D28" s="16" t="n">
        <v>-5.25</v>
      </c>
      <c r="E28" s="16" t="n">
        <f aca="false">+D28+F28</f>
        <v>-5.2407</v>
      </c>
      <c r="F28" s="16" t="n">
        <f aca="false">RANDBETWEEN(-105,115)/10000</f>
        <v>0.0093</v>
      </c>
      <c r="G28" s="16" t="n">
        <f aca="false">W28+0.15</f>
        <v>2.79</v>
      </c>
      <c r="H28" s="16" t="n">
        <f aca="false">G28+I28</f>
        <v>2.82</v>
      </c>
      <c r="I28" s="16" t="n">
        <f aca="false">RANDBETWEEN(-20,70)/1000</f>
        <v>0.03</v>
      </c>
      <c r="J28" s="16" t="n">
        <f aca="false">X28+0.15</f>
        <v>2.907</v>
      </c>
      <c r="K28" s="16" t="n">
        <f aca="false">J28+L28</f>
        <v>2.968</v>
      </c>
      <c r="L28" s="16" t="n">
        <f aca="false">RANDBETWEEN(-20,70)/1000</f>
        <v>0.061</v>
      </c>
      <c r="M28" s="16" t="n">
        <v>5.25</v>
      </c>
      <c r="N28" s="16" t="n">
        <f aca="false">+M28+O28</f>
        <v>5.2582</v>
      </c>
      <c r="O28" s="16" t="n">
        <f aca="false">RANDBETWEEN(-105,115)/10000</f>
        <v>0.0082</v>
      </c>
      <c r="P28" s="16" t="n">
        <f aca="false">Y28+0.15</f>
        <v>2.79</v>
      </c>
      <c r="Q28" s="16" t="n">
        <f aca="false">P28+R28</f>
        <v>2.845</v>
      </c>
      <c r="R28" s="16" t="n">
        <f aca="false">RANDBETWEEN(-20,70)/1000</f>
        <v>0.055</v>
      </c>
      <c r="S28" s="17"/>
      <c r="T28" s="18" t="n">
        <v>3.12</v>
      </c>
      <c r="V28" s="19"/>
      <c r="W28" s="19" t="n">
        <f aca="false">'Base A'!G28</f>
        <v>2.64</v>
      </c>
      <c r="X28" s="19" t="n">
        <f aca="false">'Base A'!J28</f>
        <v>2.757</v>
      </c>
      <c r="Y28" s="19" t="n">
        <f aca="false">'Base A'!P28</f>
        <v>2.64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514.6</v>
      </c>
      <c r="D29" s="16" t="n">
        <v>-5.25</v>
      </c>
      <c r="E29" s="16" t="n">
        <f aca="false">+D29+F29</f>
        <v>-5.2404</v>
      </c>
      <c r="F29" s="16" t="n">
        <f aca="false">RANDBETWEEN(-105,115)/10000</f>
        <v>0.0096</v>
      </c>
      <c r="G29" s="16" t="n">
        <f aca="false">W29+0.15</f>
        <v>2.788</v>
      </c>
      <c r="H29" s="16" t="n">
        <f aca="false">G29+I29</f>
        <v>2.855</v>
      </c>
      <c r="I29" s="16" t="n">
        <f aca="false">RANDBETWEEN(-20,70)/1000</f>
        <v>0.067</v>
      </c>
      <c r="J29" s="16" t="n">
        <f aca="false">X29+0.15</f>
        <v>2.905</v>
      </c>
      <c r="K29" s="16" t="n">
        <f aca="false">J29+L29</f>
        <v>2.945</v>
      </c>
      <c r="L29" s="16" t="n">
        <f aca="false">RANDBETWEEN(-20,70)/1000</f>
        <v>0.04</v>
      </c>
      <c r="M29" s="16" t="n">
        <v>5.25</v>
      </c>
      <c r="N29" s="16" t="n">
        <f aca="false">+M29+O29</f>
        <v>5.2532</v>
      </c>
      <c r="O29" s="16" t="n">
        <f aca="false">RANDBETWEEN(-105,115)/10000</f>
        <v>0.0032</v>
      </c>
      <c r="P29" s="16" t="n">
        <f aca="false">Y29+0.15</f>
        <v>2.788</v>
      </c>
      <c r="Q29" s="16" t="n">
        <f aca="false">P29+R29</f>
        <v>2.834</v>
      </c>
      <c r="R29" s="16" t="n">
        <f aca="false">RANDBETWEEN(-20,70)/1000</f>
        <v>0.046</v>
      </c>
      <c r="S29" s="17"/>
      <c r="T29" s="18" t="n">
        <v>10.48</v>
      </c>
      <c r="V29" s="19"/>
      <c r="W29" s="19" t="n">
        <f aca="false">'Base A'!G29</f>
        <v>2.638</v>
      </c>
      <c r="X29" s="19" t="n">
        <f aca="false">'Base A'!J29</f>
        <v>2.755</v>
      </c>
      <c r="Y29" s="19" t="n">
        <f aca="false">'Base A'!P29</f>
        <v>2.638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525.08</v>
      </c>
      <c r="D30" s="16" t="n">
        <v>-5.25</v>
      </c>
      <c r="E30" s="16" t="n">
        <f aca="false">+D30+F30</f>
        <v>-5.2461</v>
      </c>
      <c r="F30" s="16" t="n">
        <f aca="false">RANDBETWEEN(-105,115)/10000</f>
        <v>0.0039</v>
      </c>
      <c r="G30" s="16" t="n">
        <f aca="false">W30+0.15</f>
        <v>2.783</v>
      </c>
      <c r="H30" s="16" t="n">
        <f aca="false">G30+I30</f>
        <v>2.811</v>
      </c>
      <c r="I30" s="16" t="n">
        <f aca="false">RANDBETWEEN(-20,70)/1000</f>
        <v>0.028</v>
      </c>
      <c r="J30" s="16" t="n">
        <f aca="false">X30+0.15</f>
        <v>2.9</v>
      </c>
      <c r="K30" s="16" t="n">
        <f aca="false">J30+L30</f>
        <v>2.952</v>
      </c>
      <c r="L30" s="16" t="n">
        <f aca="false">RANDBETWEEN(-20,70)/1000</f>
        <v>0.052</v>
      </c>
      <c r="M30" s="16" t="n">
        <v>5.25</v>
      </c>
      <c r="N30" s="16" t="n">
        <f aca="false">+M30+O30</f>
        <v>5.2541</v>
      </c>
      <c r="O30" s="16" t="n">
        <f aca="false">RANDBETWEEN(-105,115)/10000</f>
        <v>0.0041</v>
      </c>
      <c r="P30" s="16" t="n">
        <f aca="false">Y30+0.15</f>
        <v>2.783</v>
      </c>
      <c r="Q30" s="16" t="n">
        <f aca="false">P30+R30</f>
        <v>2.78</v>
      </c>
      <c r="R30" s="16" t="n">
        <f aca="false">RANDBETWEEN(-20,70)/1000</f>
        <v>-0.003</v>
      </c>
      <c r="S30" s="17"/>
      <c r="T30" s="18" t="n">
        <v>13.6</v>
      </c>
      <c r="V30" s="19"/>
      <c r="W30" s="19" t="n">
        <f aca="false">'Base A'!G30</f>
        <v>2.633</v>
      </c>
      <c r="X30" s="19" t="n">
        <f aca="false">'Base A'!J30</f>
        <v>2.75</v>
      </c>
      <c r="Y30" s="19" t="n">
        <f aca="false">'Base A'!P30</f>
        <v>2.633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538.68</v>
      </c>
      <c r="D31" s="16" t="n">
        <v>-5.25</v>
      </c>
      <c r="E31" s="16" t="n">
        <f aca="false">+D31+F31</f>
        <v>-5.2604</v>
      </c>
      <c r="F31" s="16" t="n">
        <f aca="false">RANDBETWEEN(-105,115)/10000</f>
        <v>-0.0104</v>
      </c>
      <c r="G31" s="16" t="n">
        <f aca="false">W31+0.15</f>
        <v>2.776</v>
      </c>
      <c r="H31" s="16" t="n">
        <f aca="false">G31+I31</f>
        <v>2.786</v>
      </c>
      <c r="I31" s="16" t="n">
        <f aca="false">RANDBETWEEN(-20,70)/1000</f>
        <v>0.01</v>
      </c>
      <c r="J31" s="16" t="n">
        <f aca="false">X31+0.15</f>
        <v>2.893</v>
      </c>
      <c r="K31" s="16" t="n">
        <f aca="false">J31+L31</f>
        <v>2.908</v>
      </c>
      <c r="L31" s="16" t="n">
        <f aca="false">RANDBETWEEN(-20,70)/1000</f>
        <v>0.015</v>
      </c>
      <c r="M31" s="16" t="n">
        <v>5.25</v>
      </c>
      <c r="N31" s="16" t="n">
        <f aca="false">+M31+O31</f>
        <v>5.2404</v>
      </c>
      <c r="O31" s="16" t="n">
        <f aca="false">RANDBETWEEN(-105,115)/10000</f>
        <v>-0.0096</v>
      </c>
      <c r="P31" s="16" t="n">
        <f aca="false">Y31+0.15</f>
        <v>2.776</v>
      </c>
      <c r="Q31" s="16" t="n">
        <f aca="false">P31+R31</f>
        <v>2.789</v>
      </c>
      <c r="R31" s="16" t="n">
        <f aca="false">RANDBETWEEN(-20,70)/1000</f>
        <v>0.013</v>
      </c>
      <c r="S31" s="17"/>
      <c r="T31" s="18" t="n">
        <v>15.4</v>
      </c>
      <c r="V31" s="19"/>
      <c r="W31" s="19" t="n">
        <f aca="false">'Base A'!G31</f>
        <v>2.626</v>
      </c>
      <c r="X31" s="19" t="n">
        <f aca="false">'Base A'!J31</f>
        <v>2.743</v>
      </c>
      <c r="Y31" s="19" t="n">
        <f aca="false">'Base A'!P31</f>
        <v>2.626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554.08</v>
      </c>
      <c r="D32" s="16" t="n">
        <v>-5.25</v>
      </c>
      <c r="E32" s="16" t="n">
        <f aca="false">+D32+F32</f>
        <v>-5.2478</v>
      </c>
      <c r="F32" s="16" t="n">
        <f aca="false">RANDBETWEEN(-105,115)/10000</f>
        <v>0.0022</v>
      </c>
      <c r="G32" s="16" t="n">
        <f aca="false">W32+0.15</f>
        <v>2.768</v>
      </c>
      <c r="H32" s="16" t="n">
        <f aca="false">G32+I32</f>
        <v>2.837</v>
      </c>
      <c r="I32" s="16" t="n">
        <f aca="false">RANDBETWEEN(-20,70)/1000</f>
        <v>0.069</v>
      </c>
      <c r="J32" s="16" t="n">
        <f aca="false">X32+0.15</f>
        <v>2.885</v>
      </c>
      <c r="K32" s="16" t="n">
        <f aca="false">J32+L32</f>
        <v>2.9</v>
      </c>
      <c r="L32" s="16" t="n">
        <f aca="false">RANDBETWEEN(-20,70)/1000</f>
        <v>0.015</v>
      </c>
      <c r="M32" s="16" t="n">
        <v>5.25</v>
      </c>
      <c r="N32" s="16" t="n">
        <f aca="false">+M32+O32</f>
        <v>5.2416</v>
      </c>
      <c r="O32" s="16" t="n">
        <f aca="false">RANDBETWEEN(-105,115)/10000</f>
        <v>-0.0084</v>
      </c>
      <c r="P32" s="16" t="n">
        <f aca="false">Y32+0.15</f>
        <v>2.768</v>
      </c>
      <c r="Q32" s="16" t="n">
        <f aca="false">P32+R32</f>
        <v>2.768</v>
      </c>
      <c r="R32" s="16" t="n">
        <f aca="false">RANDBETWEEN(-20,70)/1000</f>
        <v>0</v>
      </c>
      <c r="S32" s="17"/>
      <c r="T32" s="18"/>
      <c r="V32" s="19"/>
      <c r="W32" s="19" t="n">
        <f aca="false">'Base A'!G32</f>
        <v>2.618</v>
      </c>
      <c r="X32" s="19" t="n">
        <f aca="false">'Base A'!J32</f>
        <v>2.735</v>
      </c>
      <c r="Y32" s="19" t="n">
        <f aca="false">'Base A'!P32</f>
        <v>2.618</v>
      </c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33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34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35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51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100" workbookViewId="0">
      <selection pane="topLeft" activeCell="O27" activeCellId="0" sqref="O2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8.71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24.NĐXD4/CVXD ngày 27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24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cấp phối đá dăm loại 1 đoạn từ Km0+441,84 - Km0+554,08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38</v>
      </c>
      <c r="B9" s="117" t="s">
        <v>10</v>
      </c>
      <c r="C9" s="117" t="s">
        <v>11</v>
      </c>
      <c r="D9" s="118" t="s">
        <v>39</v>
      </c>
      <c r="E9" s="119"/>
      <c r="F9" s="119"/>
      <c r="G9" s="118"/>
      <c r="H9" s="119"/>
      <c r="I9" s="119"/>
      <c r="J9" s="119"/>
      <c r="K9" s="119"/>
      <c r="L9" s="119"/>
      <c r="M9" s="120" t="s">
        <v>40</v>
      </c>
      <c r="N9" s="121"/>
      <c r="O9" s="122" t="s">
        <v>41</v>
      </c>
      <c r="P9" s="123"/>
      <c r="Q9" s="123"/>
      <c r="R9" s="123"/>
      <c r="S9" s="123"/>
      <c r="T9" s="123"/>
      <c r="U9" s="123"/>
      <c r="V9" s="123"/>
      <c r="W9" s="122" t="s">
        <v>42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41</v>
      </c>
      <c r="O10" s="122"/>
      <c r="P10" s="122" t="s">
        <v>41</v>
      </c>
      <c r="Q10" s="122" t="s">
        <v>41</v>
      </c>
      <c r="R10" s="122"/>
      <c r="S10" s="122"/>
      <c r="T10" s="122"/>
      <c r="U10" s="122" t="s">
        <v>42</v>
      </c>
      <c r="V10" s="122" t="s">
        <v>42</v>
      </c>
      <c r="W10" s="122"/>
      <c r="X10" s="122" t="s">
        <v>42</v>
      </c>
      <c r="Y10" s="122" t="s">
        <v>42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B'!B23</f>
        <v>24</v>
      </c>
      <c r="C11" s="133" t="n">
        <f aca="false">'Base B'!C23</f>
        <v>441.84</v>
      </c>
      <c r="D11" s="132" t="n">
        <f aca="false">'Base B'!T23</f>
        <v>12.5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10.5*0.15</f>
        <v>1.575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19.6875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B'!B24</f>
        <v>25</v>
      </c>
      <c r="C12" s="133" t="n">
        <f aca="false">'Base B'!C24</f>
        <v>454.34</v>
      </c>
      <c r="D12" s="132" t="n">
        <f aca="false">'Base B'!T24</f>
        <v>12.5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10.5*0.15</f>
        <v>1.575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19.6875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B'!B25</f>
        <v>26</v>
      </c>
      <c r="C13" s="133" t="n">
        <f aca="false">'Base B'!C25</f>
        <v>466.84</v>
      </c>
      <c r="D13" s="132" t="n">
        <f aca="false">'Base B'!T25</f>
        <v>7.5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10.5*0.15</f>
        <v>1.575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11.8125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B'!B26</f>
        <v>27</v>
      </c>
      <c r="C14" s="133" t="n">
        <f aca="false">'Base B'!C26</f>
        <v>474.34</v>
      </c>
      <c r="D14" s="132" t="n">
        <f aca="false">'Base B'!T26</f>
        <v>20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10.5*0.15</f>
        <v>1.575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31.5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B'!B27</f>
        <v>28</v>
      </c>
      <c r="C15" s="133" t="n">
        <f aca="false">'Base B'!C27</f>
        <v>494.34</v>
      </c>
      <c r="D15" s="132" t="n">
        <f aca="false">'Base B'!T27</f>
        <v>17.14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10.5*0.15</f>
        <v>1.575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26.9955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B'!B28</f>
        <v>29</v>
      </c>
      <c r="C16" s="133" t="n">
        <f aca="false">'Base B'!C28</f>
        <v>511.48</v>
      </c>
      <c r="D16" s="132" t="n">
        <f aca="false">'Base B'!T28</f>
        <v>3.12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10.5*0.15</f>
        <v>1.575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4.914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B'!B29</f>
        <v>30</v>
      </c>
      <c r="C17" s="133" t="n">
        <f aca="false">'Base B'!C29</f>
        <v>514.6</v>
      </c>
      <c r="D17" s="132" t="n">
        <f aca="false">'Base B'!T29</f>
        <v>10.48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10.5*0.15</f>
        <v>1.575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16.506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B'!B30</f>
        <v>D</v>
      </c>
      <c r="C18" s="133" t="n">
        <f aca="false">'Base B'!C30</f>
        <v>525.08</v>
      </c>
      <c r="D18" s="132" t="n">
        <f aca="false">'Base B'!T30</f>
        <v>13.6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10.5*0.15</f>
        <v>1.575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21.42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B'!B31</f>
        <v>31</v>
      </c>
      <c r="C19" s="133" t="n">
        <f aca="false">'Base B'!C31</f>
        <v>538.68</v>
      </c>
      <c r="D19" s="132" t="n">
        <f aca="false">'Base B'!T31</f>
        <v>15.4</v>
      </c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10.5*0.15</f>
        <v>1.575</v>
      </c>
      <c r="P19" s="135"/>
      <c r="Q19" s="135"/>
      <c r="R19" s="139"/>
      <c r="S19" s="139"/>
      <c r="T19" s="139"/>
      <c r="U19" s="139"/>
      <c r="V19" s="139"/>
      <c r="W19" s="139" t="n">
        <f aca="false">(O19+O20)*D19/2</f>
        <v>24.255</v>
      </c>
      <c r="X19" s="139"/>
      <c r="Y19" s="139"/>
      <c r="Z19" s="139"/>
      <c r="AA19" s="139"/>
      <c r="AB19" s="140"/>
      <c r="AC19" s="139"/>
      <c r="AE19" s="141"/>
    </row>
    <row r="20" s="131" customFormat="true" ht="15" hidden="false" customHeight="true" outlineLevel="0" collapsed="false">
      <c r="A20" s="132" t="n">
        <v>10</v>
      </c>
      <c r="B20" s="132" t="str">
        <f aca="false">'Base B'!B32</f>
        <v>32</v>
      </c>
      <c r="C20" s="133" t="n">
        <f aca="false">'Base B'!C32</f>
        <v>554.08</v>
      </c>
      <c r="D20" s="132"/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 t="n">
        <f aca="false">10.5*0.15</f>
        <v>1.575</v>
      </c>
      <c r="P20" s="135"/>
      <c r="Q20" s="135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40"/>
      <c r="AC20" s="139"/>
      <c r="AE20" s="141"/>
    </row>
    <row r="21" s="131" customFormat="true" ht="15" hidden="true" customHeight="true" outlineLevel="0" collapsed="false">
      <c r="A21" s="132"/>
      <c r="B21" s="132"/>
      <c r="C21" s="133"/>
      <c r="D21" s="132"/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/>
      <c r="P21" s="135"/>
      <c r="Q21" s="135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  <c r="AC21" s="139"/>
      <c r="AE21" s="141"/>
    </row>
    <row r="22" s="131" customFormat="true" ht="15" hidden="true" customHeight="true" outlineLevel="0" collapsed="false">
      <c r="A22" s="132"/>
      <c r="B22" s="132"/>
      <c r="C22" s="133"/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/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43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SUM(W11:W20)</f>
        <v>176.778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33</v>
      </c>
      <c r="B51" s="153"/>
      <c r="C51" s="153"/>
      <c r="D51" s="154" t="s">
        <v>44</v>
      </c>
      <c r="E51" s="153" t="s">
        <v>34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35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tr">
        <f aca="false">'Base B'!O67</f>
        <v>Lê Minh Hải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95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2024-11-23T01:27:50Z</dcterms:created>
  <dc:creator>Microsoft Cop.</dc:creator>
  <dc:description/>
  <dc:language>en-US</dc:language>
  <cp:lastModifiedBy>Microsoft Cop.</cp:lastModifiedBy>
  <cp:lastPrinted>2025-10-21T07:16:07Z</cp:lastPrinted>
  <dcterms:modified xsi:type="dcterms:W3CDTF">2026-10-13T10:11:45Z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