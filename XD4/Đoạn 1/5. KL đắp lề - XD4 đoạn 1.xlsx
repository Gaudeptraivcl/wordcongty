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externalReferences>
    <externalReference r:id="rIdExt1"/>
  </externalReference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<sst xmlns="http://schemas.openxmlformats.org/spreadsheetml/2006/main" count="772" uniqueCount="65">
  <si>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</si>
  <si>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</si>
  <si>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</si>
  <si>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</si>
  <si>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</si>
  <si>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</si>
  <si>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</si>
  <si>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</si>
  <si>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</si>
  <si>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</si>
  <si>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</si>
  <si>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</si>
  <si>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</si>
  <si>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</si>
  <si>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</si>
  <si>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</si>
  <si>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</si>
  <si>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24</t>
  </si>
  <si>
    <t xml:space="preserve">-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</si>
  <si>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</si>
  <si>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</si>
  <si>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</si>
  <si>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</si>
  <si>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</si>
  <si>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</si>
  <si>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D</t>
  </si>
  <si>
    <t xml:space="preserve">31</t>
  </si>
  <si>
    <t xml:space="preserve">32</t>
  </si>
  <si>
    <t xml:space="preserve">PHỤ LỤC KIỂM TRA CAO ĐỘ, KÍCH THƯỚC HÌNH HỌC</t>
  </si>
  <si>
    <t xml:space="preserve">Kèm theo BBNT số: 18.NĐXD4/CVXD ngày 24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</si>
  <si>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</si>
  <si>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</si>
  <si>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</si>
  <si>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</si>
  <si>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</si>
  <si>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Đắp đất lề đường lớp 1, độ chặt K&gt;=0,95 đoạn từ Km0+441,84 - Km0+554,08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</si>
  <si>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</si>
  <si>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</si>
  <si>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</si>
  <si>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</si>
  <si>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</si>
  <si>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</si>
  <si>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</si>
  <si>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</si>
  <si>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</si>
  <si>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</si>
  <si>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</si>
  <si>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</si>
  <si>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</si>
  <si>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</si>
  <si>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</si>
  <si>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</si>
  <si>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</si>
  <si>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</si>
  <si>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</si>
  <si>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</si>
  <si>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</si>
  <si>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</si>
  <si>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20.NĐXD4/CVXD ngày 25 tháng 08 năm 2026</t>
  </si>
  <si>
    <t xml:space="preserve">Đắp đất lề đường lớp 2, độ chặt K&gt;=0,95 đoạn từ Km0+441,84 - Km0+554,08</t>
  </si>
  <si>
    <t xml:space="preserve">Kèm theo BBNT số: 22.NĐXD4/CVXD ngày 26 tháng 08 năm 2026</t>
  </si>
  <si>
    <t xml:space="preserve">Đắp đất lề đường lớp 3, độ chặt K&gt;=0,95 đoạn từ Km0+441,84 - Km0+554,08</t>
  </si>
  <si>
    <t xml:space="preserve">Kèm theo BBNT số: 23.NĐXD4/CVXD ngày 27 tháng 08 năm 2026</t>
  </si>
  <si>
    <t xml:space="preserve">Đắp đất lề đường lớp 4, độ chặt K&gt;=0,95 đoạn từ Km0+441,84 - Km0+554,08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</si>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</sst>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Km0+441,84 -:- Km0+554,08</v>
          </cell>
          <cell r="D3" t="str">
            <v xml:space="preserve">ngày 15 tháng 08 năm 2026</v>
          </cell>
          <cell r="G3" t="str">
            <v xml:space="preserve">01.NĐXD4/CVXD </v>
          </cell>
        </row>
        <row r="4">
          <cell r="A4">
            <v>2</v>
          </cell>
          <cell r="B4" t="str">
            <v xml:space="preserve">Đào đất xử lý nền đường đoạn từ Km0+441,84 - Km0+554,08</v>
          </cell>
          <cell r="D4" t="str">
            <v xml:space="preserve">ngày 16 tháng 08 năm 2026</v>
          </cell>
          <cell r="G4" t="str">
            <v xml:space="preserve">02.NĐXD4/CVXD </v>
          </cell>
        </row>
        <row r="5">
          <cell r="A5">
            <v>3</v>
          </cell>
          <cell r="B5" t="str">
            <v xml:space="preserve">Rải vải địa kỹ thuật đoạn từ Km0+441,84 - Km0+554,08</v>
          </cell>
          <cell r="D5" t="str">
            <v xml:space="preserve">ngày 17 tháng 08 năm 2026</v>
          </cell>
          <cell r="G5" t="str">
            <v xml:space="preserve">03.NĐXD4/CVXD </v>
          </cell>
        </row>
        <row r="6">
          <cell r="A6">
            <v>4</v>
          </cell>
          <cell r="B6" t="str">
            <v xml:space="preserve">Đắp cát nền đường lớp 1 đoạn từ Km0+441,84 - Km0+554,08, độ chặt K&gt;=0,95</v>
          </cell>
          <cell r="D6" t="str">
            <v xml:space="preserve">ngày 17 tháng 08 năm 2026</v>
          </cell>
          <cell r="G6" t="str">
            <v xml:space="preserve">04.NĐXD4/CVXD </v>
          </cell>
        </row>
        <row r="7">
          <cell r="A7">
            <v>5</v>
          </cell>
          <cell r="B7" t="str">
            <v xml:space="preserve">Đắp cát nền đường lớp 2 đoạn từ Km0+441,84 - Km0+554,08, độ chặt K&gt;=0,95</v>
          </cell>
          <cell r="D7" t="str">
            <v xml:space="preserve">ngày 18 tháng 08 năm 2026</v>
          </cell>
          <cell r="G7" t="str">
            <v xml:space="preserve">05.NĐXD4/CVXD </v>
          </cell>
        </row>
        <row r="8">
          <cell r="A8">
            <v>6</v>
          </cell>
          <cell r="B8" t="str">
            <v xml:space="preserve">Đắp cát nền đường lớp 3 đoạn từ Km0+441,84 - Km0+554,08, độ chặt K&gt;=0,95</v>
          </cell>
          <cell r="D8" t="str">
            <v xml:space="preserve">ngày 18 tháng 08 năm 2026</v>
          </cell>
          <cell r="G8" t="str">
            <v xml:space="preserve">06.NĐXD4/CVXD </v>
          </cell>
        </row>
        <row r="9">
          <cell r="A9">
            <v>7</v>
          </cell>
          <cell r="B9" t="str">
            <v xml:space="preserve">Đắp cát nền đường lớp 4 đoạn từ Km0+441,84 - Km0+554,08, độ chặt K&gt;=0,95</v>
          </cell>
          <cell r="D9" t="str">
            <v xml:space="preserve">ngày 19 tháng 08 năm 2026</v>
          </cell>
          <cell r="G9" t="str">
            <v xml:space="preserve">07.NĐXD4/CVXD </v>
          </cell>
        </row>
        <row r="10">
          <cell r="A10">
            <v>8</v>
          </cell>
          <cell r="B10" t="str">
            <v xml:space="preserve">Đắp đất nền đường lớp 1 đoạn từ Km0+441,84 - Km0+554,08, độ chặt K&gt;=0,95</v>
          </cell>
          <cell r="D10" t="str">
            <v xml:space="preserve">ngày 19 tháng 08 năm 2026</v>
          </cell>
          <cell r="G10" t="str">
            <v xml:space="preserve">08.NĐXD4/CVXD </v>
          </cell>
        </row>
        <row r="11">
          <cell r="A11">
            <v>9</v>
          </cell>
          <cell r="B11" t="str">
            <v xml:space="preserve">Đắp đất nền đường lớp 2 đoạn từ Km0+441,84 - Km0+554,08, độ chặt K&gt;=0,95</v>
          </cell>
          <cell r="D11" t="str">
            <v xml:space="preserve">ngày 20 tháng 08 năm 2026</v>
          </cell>
          <cell r="G11" t="str">
            <v xml:space="preserve">09.NĐXD4/CVXD </v>
          </cell>
        </row>
        <row r="12">
          <cell r="A12">
            <v>10</v>
          </cell>
          <cell r="B12" t="str">
            <v xml:space="preserve">Đắp đất nền đường lớp 3 đoạn từ Km0+441,84 - Km0+554,08, độ chặt K&gt;=0,95</v>
          </cell>
          <cell r="D12" t="str">
            <v xml:space="preserve">ngày 20 tháng 08 năm 2026</v>
          </cell>
          <cell r="G12" t="str">
            <v xml:space="preserve">10.NĐXD4/CVXD </v>
          </cell>
        </row>
        <row r="13">
          <cell r="A13">
            <v>11</v>
          </cell>
          <cell r="B13" t="str">
            <v xml:space="preserve">Đắp đất nền đường lớp 4 đoạn từ Km0+441,84 - Km0+554,08, độ chặt K&gt;=0,95</v>
          </cell>
          <cell r="D13" t="str">
            <v xml:space="preserve">ngày 21 tháng 08 năm 2026</v>
          </cell>
          <cell r="G13" t="str">
            <v xml:space="preserve">11.NĐXD4/CVXD </v>
          </cell>
        </row>
        <row r="14">
          <cell r="A14">
            <v>12</v>
          </cell>
          <cell r="B14" t="str">
            <v xml:space="preserve">Đắp đất nền đường lớp 5 đoạn từ Km0+441,84 - Km0+554,08, độ chặt K&gt;=0,95</v>
          </cell>
          <cell r="D14" t="str">
            <v xml:space="preserve">ngày 21 tháng 08 năm 2026</v>
          </cell>
          <cell r="G14" t="str">
            <v xml:space="preserve">12.NĐXD4/CVXD </v>
          </cell>
        </row>
        <row r="15">
          <cell r="A15">
            <v>13</v>
          </cell>
          <cell r="B15" t="str">
            <v xml:space="preserve">Đắp đất nền đường lớp 6 đoạn từ Km0+441,84 - Km0+554,08, độ chặt K&gt;=0,95</v>
          </cell>
          <cell r="D15" t="str">
            <v xml:space="preserve">ngày 22 tháng 08 năm 2026</v>
          </cell>
          <cell r="G15" t="str">
            <v xml:space="preserve">13.NĐXD4/CVXD </v>
          </cell>
        </row>
        <row r="16">
          <cell r="A16">
            <v>14</v>
          </cell>
          <cell r="B16" t="str">
            <v xml:space="preserve">Đắp đất nền đường lớp 7 đoạn từ Km0+441,84 - Km0+554,08, độ chặt K&gt;=0,95</v>
          </cell>
          <cell r="D16" t="str">
            <v xml:space="preserve">ngày 22 tháng 08 năm 2026</v>
          </cell>
          <cell r="G16" t="str">
            <v xml:space="preserve">14.NĐXD4/CVXD </v>
          </cell>
        </row>
        <row r="17">
          <cell r="A17">
            <v>15</v>
          </cell>
          <cell r="B17" t="str">
            <v xml:space="preserve">Đắp đất nền đường lớp 8 đoạn từ Km0+441,84 - Km0+554,08, độ chặt K&gt;=0,95</v>
          </cell>
          <cell r="D17" t="str">
            <v xml:space="preserve">ngày 23 tháng 08 năm 2026</v>
          </cell>
          <cell r="G17" t="str">
            <v xml:space="preserve">15.NĐXD4/CVXD </v>
          </cell>
        </row>
        <row r="18">
          <cell r="A18">
            <v>16</v>
          </cell>
          <cell r="B18" t="str">
            <v xml:space="preserve">Đắp đất nền đường lớp 9 đoạn từ Km0+441,84 - Km0+554,08, độ chặt K&gt;=0,95</v>
          </cell>
          <cell r="D18" t="str">
            <v xml:space="preserve">ngày 23 tháng 08 năm 2026</v>
          </cell>
          <cell r="G18" t="str">
            <v xml:space="preserve">16.NĐXD4/CVXD </v>
          </cell>
        </row>
        <row r="19">
          <cell r="A19">
            <v>17</v>
          </cell>
          <cell r="B19" t="str">
            <v xml:space="preserve">Đắp đất nền đường lớp 1, độ chặt K&gt;=0,98 đoạn từ Km0+441,84 - Km0+554,08</v>
          </cell>
          <cell r="D19" t="str">
            <v xml:space="preserve">ngày 24 tháng 08 năm 2026</v>
          </cell>
          <cell r="G19" t="str">
            <v xml:space="preserve">17.NĐXD4/CVXD </v>
          </cell>
        </row>
        <row r="20">
          <cell r="A20">
            <v>18</v>
          </cell>
          <cell r="B20" t="str">
            <v xml:space="preserve">Đắp đất lề đường lớp 1, độ chặt K&gt;=0,95 đoạn từ Km0+441,84 - Km0+554,08</v>
          </cell>
          <cell r="D20" t="str">
            <v xml:space="preserve">ngày 24 tháng 08 năm 2026</v>
          </cell>
          <cell r="G20" t="str">
            <v xml:space="preserve">18.NĐXD4/CVXD </v>
          </cell>
        </row>
        <row r="21">
          <cell r="A21">
            <v>19</v>
          </cell>
          <cell r="B21" t="str">
            <v xml:space="preserve">Đắp đất nền đường lớp 2, độ chặt K&gt;=0,98 đoạn từ Km0+441,84 - Km0+554,08</v>
          </cell>
          <cell r="D21" t="str">
            <v xml:space="preserve">ngày 25 tháng 08 năm 2026</v>
          </cell>
          <cell r="G21" t="str">
            <v xml:space="preserve">19.NĐXD4/CVXD </v>
          </cell>
        </row>
        <row r="22">
          <cell r="A22">
            <v>20</v>
          </cell>
          <cell r="B22" t="str">
            <v xml:space="preserve">Đắp đất lề đường lớp 2, độ chặt K&gt;=0,95 đoạn từ Km0+441,84 - Km0+554,08</v>
          </cell>
          <cell r="D22" t="str">
            <v xml:space="preserve">ngày 25 tháng 08 năm 2026</v>
          </cell>
          <cell r="G22" t="str">
            <v xml:space="preserve">20.NĐXD4/CVXD </v>
          </cell>
        </row>
        <row r="23">
          <cell r="A23">
            <v>21</v>
          </cell>
          <cell r="B23" t="str">
            <v xml:space="preserve">Đắp cấp phối đá dăm loại 2 đoạn từ Km0+441,84 - Km0+554,08</v>
          </cell>
          <cell r="D23" t="str">
            <v xml:space="preserve">ngày 26 tháng 08 năm 2026</v>
          </cell>
          <cell r="G23" t="str">
            <v xml:space="preserve">21.NĐXD4/CVXD </v>
          </cell>
        </row>
        <row r="24">
          <cell r="A24">
            <v>22</v>
          </cell>
          <cell r="B24" t="str">
            <v xml:space="preserve">Đắp đất lề đường lớp 3, độ chặt K&gt;=0,95 đoạn từ Km0+441,84 - Km0+554,08</v>
          </cell>
          <cell r="D24" t="str">
            <v xml:space="preserve">ngày 26 tháng 08 năm 2026</v>
          </cell>
          <cell r="G24" t="str">
            <v xml:space="preserve">22.NĐXD4/CVXD </v>
          </cell>
        </row>
        <row r="25">
          <cell r="A25">
            <v>23</v>
          </cell>
          <cell r="B25" t="str">
            <v xml:space="preserve">Đắp đất lề đường lớp 4, độ chặt K&gt;=0,95 đoạn từ Km0+441,84 - Km0+554,08</v>
          </cell>
          <cell r="D25" t="str">
            <v xml:space="preserve">ngày 27 tháng 08 năm 2026</v>
          </cell>
          <cell r="G25" t="str">
            <v xml:space="preserve">23.NĐXD4/CVXD </v>
          </cell>
        </row>
        <row r="26">
          <cell r="A26">
            <v>24</v>
          </cell>
          <cell r="B26" t="str">
            <v xml:space="preserve">Đắp cấp phối đá dăm loại 1 đoạn từ Km0+441,84 - Km0+554,08</v>
          </cell>
          <cell r="D26" t="str">
            <v xml:space="preserve">ngày 27 tháng 08 năm 2026</v>
          </cell>
          <cell r="G26" t="str">
            <v xml:space="preserve">24.NĐXD4/CVXD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29 tháng 08 năm 2026</v>
          </cell>
          <cell r="G27" t="str">
            <v xml:space="preserve">25.NĐXD4/CVXD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31 tháng 08 năm 2026</v>
          </cell>
          <cell r="G28" t="str">
            <v xml:space="preserve">26.NĐXD4/CVXD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03 tháng 09 năm 2026</v>
          </cell>
          <cell r="G29" t="str">
            <v xml:space="preserve">27.NĐXD4/CVXD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05 tháng 09 năm 2026</v>
          </cell>
          <cell r="G30" t="str">
            <v xml:space="preserve">28.NĐXD4/CVXD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441.84</v>
      </c>
      <c r="D2" s="0" t="n">
        <v>4</v>
      </c>
      <c r="E2" s="0" t="n">
        <v>1.56</v>
      </c>
      <c r="F2" s="0" t="n">
        <v>-10.12</v>
      </c>
      <c r="G2" s="2" t="n">
        <v>3.02</v>
      </c>
      <c r="H2" s="0" t="n">
        <v>-5.51</v>
      </c>
      <c r="I2" s="2" t="n">
        <v>2.74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2.68</v>
      </c>
      <c r="H3" s="0" t="n">
        <v>-5.25</v>
      </c>
      <c r="I3" s="2" t="n">
        <v>2.68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2.5</v>
      </c>
      <c r="H4" s="0" t="n">
        <v>-5.25</v>
      </c>
      <c r="I4" s="2" t="n">
        <v>2.5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2.25</v>
      </c>
      <c r="H5" s="0" t="n">
        <v>-5.25</v>
      </c>
      <c r="I5" s="2" t="n">
        <v>2.25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441.84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2.93</v>
      </c>
      <c r="N6" s="0" t="n">
        <v>10.12</v>
      </c>
      <c r="O6" s="2" t="n">
        <v>2.92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2.68</v>
      </c>
      <c r="N7" s="0" t="n">
        <v>10.93</v>
      </c>
      <c r="O7" s="2" t="n">
        <v>2.68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2.5</v>
      </c>
      <c r="N8" s="0" t="n">
        <v>11.2</v>
      </c>
      <c r="O8" s="2" t="n">
        <v>2.5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2.25</v>
      </c>
      <c r="N9" s="0" t="n">
        <v>11.58</v>
      </c>
      <c r="O9" s="2" t="n">
        <v>2.25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454.34</v>
      </c>
      <c r="D10" s="0" t="n">
        <v>4</v>
      </c>
      <c r="E10" s="0" t="n">
        <v>1.56</v>
      </c>
      <c r="F10" s="0" t="n">
        <v>-10.12</v>
      </c>
      <c r="G10" s="2" t="n">
        <v>3.01</v>
      </c>
      <c r="H10" s="0" t="n">
        <v>-5.51</v>
      </c>
      <c r="I10" s="2" t="n">
        <v>2.73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2.67</v>
      </c>
      <c r="H11" s="0" t="n">
        <v>-5.25</v>
      </c>
      <c r="I11" s="2" t="n">
        <v>2.67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2.49</v>
      </c>
      <c r="H12" s="0" t="n">
        <v>-5.25</v>
      </c>
      <c r="I12" s="2" t="n">
        <v>2.49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2.24</v>
      </c>
      <c r="H13" s="0" t="n">
        <v>-5.25</v>
      </c>
      <c r="I13" s="2" t="n">
        <v>2.24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454.34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2.92</v>
      </c>
      <c r="N14" s="0" t="n">
        <v>10.12</v>
      </c>
      <c r="O14" s="2" t="n">
        <v>2.91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2.67</v>
      </c>
      <c r="N15" s="0" t="n">
        <v>10.93</v>
      </c>
      <c r="O15" s="2" t="n">
        <v>2.67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2.49</v>
      </c>
      <c r="N16" s="0" t="n">
        <v>11.2</v>
      </c>
      <c r="O16" s="2" t="n">
        <v>2.49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2.24</v>
      </c>
      <c r="N17" s="0" t="n">
        <v>11.58</v>
      </c>
      <c r="O17" s="2" t="n">
        <v>2.24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466.84</v>
      </c>
      <c r="D18" s="0" t="n">
        <v>4</v>
      </c>
      <c r="E18" s="0" t="n">
        <v>1.56</v>
      </c>
      <c r="F18" s="0" t="n">
        <v>-10.12</v>
      </c>
      <c r="G18" s="2" t="n">
        <v>3.01</v>
      </c>
      <c r="H18" s="0" t="n">
        <v>-5.51</v>
      </c>
      <c r="I18" s="2" t="n">
        <v>2.72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2.66</v>
      </c>
      <c r="H19" s="0" t="n">
        <v>-5.25</v>
      </c>
      <c r="I19" s="2" t="n">
        <v>2.66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2.48</v>
      </c>
      <c r="H20" s="0" t="n">
        <v>-5.25</v>
      </c>
      <c r="I20" s="2" t="n">
        <v>2.48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2.23</v>
      </c>
      <c r="H21" s="0" t="n">
        <v>-5.25</v>
      </c>
      <c r="I21" s="2" t="n">
        <v>2.23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466.84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2.91</v>
      </c>
      <c r="N22" s="0" t="n">
        <v>10.12</v>
      </c>
      <c r="O22" s="2" t="n">
        <v>2.91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2.66</v>
      </c>
      <c r="N23" s="0" t="n">
        <v>10.93</v>
      </c>
      <c r="O23" s="2" t="n">
        <v>2.66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5.25</v>
      </c>
      <c r="M24" s="2" t="n">
        <v>2.48</v>
      </c>
      <c r="N24" s="0" t="n">
        <v>11.2</v>
      </c>
      <c r="O24" s="2" t="n">
        <v>2.48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5.25</v>
      </c>
      <c r="M25" s="2" t="n">
        <v>2.23</v>
      </c>
      <c r="N25" s="0" t="n">
        <v>11.58</v>
      </c>
      <c r="O25" s="2" t="n">
        <v>2.23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474.34</v>
      </c>
      <c r="D26" s="0" t="n">
        <v>4</v>
      </c>
      <c r="E26" s="0" t="n">
        <v>1.56</v>
      </c>
      <c r="F26" s="0" t="n">
        <v>-10.12</v>
      </c>
      <c r="G26" s="2" t="n">
        <v>3</v>
      </c>
      <c r="H26" s="0" t="n">
        <v>-5.51</v>
      </c>
      <c r="I26" s="2" t="n">
        <v>2.72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2.66</v>
      </c>
      <c r="H27" s="0" t="n">
        <v>-5.25</v>
      </c>
      <c r="I27" s="2" t="n">
        <v>2.66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2.48</v>
      </c>
      <c r="H28" s="0" t="n">
        <v>-5.25</v>
      </c>
      <c r="I28" s="2" t="n">
        <v>2.48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2.23</v>
      </c>
      <c r="H29" s="0" t="n">
        <v>-5.25</v>
      </c>
      <c r="I29" s="2" t="n">
        <v>2.23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474.34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2.91</v>
      </c>
      <c r="N30" s="0" t="n">
        <v>10.12</v>
      </c>
      <c r="O30" s="2" t="n">
        <v>2.9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2.66</v>
      </c>
      <c r="N31" s="0" t="n">
        <v>10.93</v>
      </c>
      <c r="O31" s="2" t="n">
        <v>2.66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2.48</v>
      </c>
      <c r="N32" s="0" t="n">
        <v>11.2</v>
      </c>
      <c r="O32" s="2" t="n">
        <v>2.48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2.23</v>
      </c>
      <c r="N33" s="0" t="n">
        <v>11.58</v>
      </c>
      <c r="O33" s="2" t="n">
        <v>2.23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494.34</v>
      </c>
      <c r="D34" s="0" t="n">
        <v>4</v>
      </c>
      <c r="E34" s="0" t="n">
        <v>1.56</v>
      </c>
      <c r="F34" s="0" t="n">
        <v>-10.12</v>
      </c>
      <c r="G34" s="2" t="n">
        <v>2.99</v>
      </c>
      <c r="H34" s="0" t="n">
        <v>-5.51</v>
      </c>
      <c r="I34" s="2" t="n">
        <v>2.71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2.65</v>
      </c>
      <c r="H35" s="0" t="n">
        <v>-5.25</v>
      </c>
      <c r="I35" s="2" t="n">
        <v>2.65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2.47</v>
      </c>
      <c r="H36" s="0" t="n">
        <v>-5.25</v>
      </c>
      <c r="I36" s="2" t="n">
        <v>2.47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2.22</v>
      </c>
      <c r="H37" s="0" t="n">
        <v>-5.25</v>
      </c>
      <c r="I37" s="2" t="n">
        <v>2.22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494.34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2.9</v>
      </c>
      <c r="N38" s="0" t="n">
        <v>10.12</v>
      </c>
      <c r="O38" s="2" t="n">
        <v>2.89</v>
      </c>
      <c r="P38" s="0" t="n">
        <v>5.77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2.65</v>
      </c>
      <c r="N39" s="0" t="n">
        <v>10.93</v>
      </c>
      <c r="O39" s="2" t="n">
        <v>2.65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2.47</v>
      </c>
      <c r="N40" s="0" t="n">
        <v>11.2</v>
      </c>
      <c r="O40" s="2" t="n">
        <v>2.47</v>
      </c>
    </row>
    <row r="41" customFormat="false" ht="15" hidden="false" customHeight="false" outlineLevel="0" collapsed="false">
      <c r="D41" s="0" t="n">
        <v>1</v>
      </c>
      <c r="E41" s="0" t="n">
        <v>1.63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2.22</v>
      </c>
      <c r="N41" s="0" t="n">
        <v>11.58</v>
      </c>
      <c r="O41" s="2" t="n">
        <v>2.22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511.48</v>
      </c>
      <c r="D42" s="0" t="n">
        <v>4</v>
      </c>
      <c r="E42" s="0" t="n">
        <v>1.56</v>
      </c>
      <c r="F42" s="0" t="n">
        <v>-10.12</v>
      </c>
      <c r="G42" s="2" t="n">
        <v>2.98</v>
      </c>
      <c r="H42" s="0" t="n">
        <v>-5.51</v>
      </c>
      <c r="I42" s="2" t="n">
        <v>2.7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5.77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2.64</v>
      </c>
      <c r="H43" s="0" t="n">
        <v>-5.25</v>
      </c>
      <c r="I43" s="2" t="n">
        <v>2.64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2.46</v>
      </c>
      <c r="H44" s="0" t="n">
        <v>-5.25</v>
      </c>
      <c r="I44" s="2" t="n">
        <v>2.46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1.63</v>
      </c>
      <c r="F45" s="0" t="n">
        <v>-11.58</v>
      </c>
      <c r="G45" s="2" t="n">
        <v>2.21</v>
      </c>
      <c r="H45" s="0" t="n">
        <v>-5.25</v>
      </c>
      <c r="I45" s="2" t="n">
        <v>2.21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511.48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2.89</v>
      </c>
      <c r="N46" s="0" t="n">
        <v>10.12</v>
      </c>
      <c r="O46" s="2" t="n">
        <v>2.88</v>
      </c>
      <c r="P46" s="0" t="n">
        <v>5.77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1.05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2.64</v>
      </c>
      <c r="N47" s="0" t="n">
        <v>10.93</v>
      </c>
      <c r="O47" s="2" t="n">
        <v>2.64</v>
      </c>
    </row>
    <row r="48" customFormat="false" ht="15" hidden="false" customHeight="false" outlineLevel="0" collapsed="false">
      <c r="D48" s="0" t="n">
        <v>2</v>
      </c>
      <c r="E48" s="0" t="n">
        <v>1.53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2.46</v>
      </c>
      <c r="N48" s="0" t="n">
        <v>11.2</v>
      </c>
      <c r="O48" s="2" t="n">
        <v>2.46</v>
      </c>
    </row>
    <row r="49" customFormat="false" ht="15" hidden="false" customHeight="false" outlineLevel="0" collapsed="false">
      <c r="D49" s="0" t="n">
        <v>1</v>
      </c>
      <c r="E49" s="0" t="n">
        <v>1.63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2.21</v>
      </c>
      <c r="N49" s="0" t="n">
        <v>11.58</v>
      </c>
      <c r="O49" s="2" t="n">
        <v>2.21</v>
      </c>
    </row>
    <row r="50" customFormat="false" ht="15" hidden="false" customHeight="false" outlineLevel="0" collapsed="false">
      <c r="A50" s="1" t="n">
        <v>7</v>
      </c>
      <c r="B50" s="2" t="s">
        <v>24</v>
      </c>
      <c r="C50" s="0" t="n">
        <v>514.6</v>
      </c>
      <c r="D50" s="0" t="n">
        <v>4</v>
      </c>
      <c r="E50" s="0" t="n">
        <v>1.56</v>
      </c>
      <c r="F50" s="0" t="n">
        <v>-10.12</v>
      </c>
      <c r="G50" s="2" t="n">
        <v>2.98</v>
      </c>
      <c r="H50" s="0" t="n">
        <v>-5.51</v>
      </c>
      <c r="I50" s="2" t="n">
        <v>2.7</v>
      </c>
      <c r="J50" s="1" t="s">
        <v>18</v>
      </c>
      <c r="K50" s="1" t="s">
        <v>18</v>
      </c>
      <c r="L50" s="1" t="s">
        <v>18</v>
      </c>
      <c r="M50" s="2" t="s">
        <v>18</v>
      </c>
      <c r="N50" s="1" t="s">
        <v>18</v>
      </c>
      <c r="O50" s="2" t="s">
        <v>18</v>
      </c>
      <c r="P50" s="0" t="n">
        <v>5.77</v>
      </c>
      <c r="Q50" s="0" t="n">
        <v>0</v>
      </c>
    </row>
    <row r="51" customFormat="false" ht="15" hidden="false" customHeight="false" outlineLevel="0" collapsed="false">
      <c r="D51" s="0" t="n">
        <v>3</v>
      </c>
      <c r="E51" s="0" t="n">
        <v>1.05</v>
      </c>
      <c r="F51" s="0" t="n">
        <v>-10.93</v>
      </c>
      <c r="G51" s="2" t="n">
        <v>2.64</v>
      </c>
      <c r="H51" s="0" t="n">
        <v>-5.25</v>
      </c>
      <c r="I51" s="2" t="n">
        <v>2.64</v>
      </c>
      <c r="J51" s="1" t="s">
        <v>18</v>
      </c>
      <c r="K51" s="1" t="s">
        <v>18</v>
      </c>
      <c r="L51" s="1" t="s">
        <v>18</v>
      </c>
      <c r="M51" s="2" t="s">
        <v>18</v>
      </c>
      <c r="N51" s="1" t="s">
        <v>18</v>
      </c>
      <c r="O51" s="2" t="s">
        <v>18</v>
      </c>
    </row>
    <row r="52" customFormat="false" ht="15" hidden="false" customHeight="false" outlineLevel="0" collapsed="false">
      <c r="D52" s="0" t="n">
        <v>2</v>
      </c>
      <c r="E52" s="0" t="n">
        <v>1.53</v>
      </c>
      <c r="F52" s="0" t="n">
        <v>-11.2</v>
      </c>
      <c r="G52" s="2" t="n">
        <v>2.46</v>
      </c>
      <c r="H52" s="0" t="n">
        <v>-5.25</v>
      </c>
      <c r="I52" s="2" t="n">
        <v>2.46</v>
      </c>
      <c r="J52" s="1" t="s">
        <v>18</v>
      </c>
      <c r="K52" s="1" t="s">
        <v>18</v>
      </c>
      <c r="L52" s="1" t="s">
        <v>18</v>
      </c>
      <c r="M52" s="2" t="s">
        <v>18</v>
      </c>
      <c r="N52" s="1" t="s">
        <v>18</v>
      </c>
      <c r="O52" s="2" t="s">
        <v>18</v>
      </c>
    </row>
    <row r="53" customFormat="false" ht="15" hidden="false" customHeight="false" outlineLevel="0" collapsed="false">
      <c r="D53" s="0" t="n">
        <v>1</v>
      </c>
      <c r="E53" s="0" t="n">
        <v>1.63</v>
      </c>
      <c r="F53" s="0" t="n">
        <v>-11.58</v>
      </c>
      <c r="G53" s="2" t="n">
        <v>2.21</v>
      </c>
      <c r="H53" s="0" t="n">
        <v>-5.25</v>
      </c>
      <c r="I53" s="2" t="n">
        <v>2.21</v>
      </c>
      <c r="J53" s="1" t="s">
        <v>18</v>
      </c>
      <c r="K53" s="1" t="s">
        <v>18</v>
      </c>
      <c r="L53" s="1" t="s">
        <v>18</v>
      </c>
      <c r="M53" s="2" t="s">
        <v>18</v>
      </c>
      <c r="N53" s="1" t="s">
        <v>18</v>
      </c>
      <c r="O53" s="2" t="s">
        <v>18</v>
      </c>
    </row>
    <row r="54" customFormat="false" ht="15" hidden="false" customHeight="false" outlineLevel="0" collapsed="false">
      <c r="A54" s="1" t="n">
        <v>7</v>
      </c>
      <c r="B54" s="2" t="s">
        <v>24</v>
      </c>
      <c r="C54" s="0" t="n">
        <v>514.6</v>
      </c>
      <c r="D54" s="0" t="n">
        <v>4</v>
      </c>
      <c r="E54" s="0" t="n">
        <v>1.56</v>
      </c>
      <c r="F54" s="1" t="s">
        <v>18</v>
      </c>
      <c r="G54" s="2" t="s">
        <v>18</v>
      </c>
      <c r="H54" s="1" t="s">
        <v>18</v>
      </c>
      <c r="I54" s="2" t="s">
        <v>18</v>
      </c>
      <c r="J54" s="1" t="s">
        <v>18</v>
      </c>
      <c r="K54" s="1" t="s">
        <v>18</v>
      </c>
      <c r="L54" s="0" t="n">
        <v>5.51</v>
      </c>
      <c r="M54" s="2" t="n">
        <v>2.89</v>
      </c>
      <c r="N54" s="0" t="n">
        <v>10.12</v>
      </c>
      <c r="O54" s="2" t="n">
        <v>2.88</v>
      </c>
      <c r="P54" s="0" t="n">
        <v>5.77</v>
      </c>
      <c r="Q54" s="0" t="n">
        <v>0</v>
      </c>
    </row>
    <row r="55" customFormat="false" ht="15" hidden="false" customHeight="false" outlineLevel="0" collapsed="false">
      <c r="D55" s="0" t="n">
        <v>3</v>
      </c>
      <c r="E55" s="0" t="n">
        <v>1.05</v>
      </c>
      <c r="F55" s="1" t="s">
        <v>18</v>
      </c>
      <c r="G55" s="2" t="s">
        <v>18</v>
      </c>
      <c r="H55" s="1" t="s">
        <v>18</v>
      </c>
      <c r="I55" s="2" t="s">
        <v>18</v>
      </c>
      <c r="J55" s="1" t="s">
        <v>18</v>
      </c>
      <c r="K55" s="1" t="s">
        <v>18</v>
      </c>
      <c r="L55" s="0" t="n">
        <v>5.25</v>
      </c>
      <c r="M55" s="2" t="n">
        <v>2.64</v>
      </c>
      <c r="N55" s="0" t="n">
        <v>10.93</v>
      </c>
      <c r="O55" s="2" t="n">
        <v>2.64</v>
      </c>
    </row>
    <row r="56" customFormat="false" ht="15" hidden="false" customHeight="false" outlineLevel="0" collapsed="false">
      <c r="D56" s="0" t="n">
        <v>2</v>
      </c>
      <c r="E56" s="0" t="n">
        <v>1.53</v>
      </c>
      <c r="F56" s="1" t="s">
        <v>18</v>
      </c>
      <c r="G56" s="2" t="s">
        <v>18</v>
      </c>
      <c r="H56" s="1" t="s">
        <v>18</v>
      </c>
      <c r="I56" s="2" t="s">
        <v>18</v>
      </c>
      <c r="J56" s="1" t="s">
        <v>18</v>
      </c>
      <c r="K56" s="1" t="s">
        <v>18</v>
      </c>
      <c r="L56" s="0" t="n">
        <v>5.25</v>
      </c>
      <c r="M56" s="2" t="n">
        <v>2.46</v>
      </c>
      <c r="N56" s="0" t="n">
        <v>11.2</v>
      </c>
      <c r="O56" s="2" t="n">
        <v>2.46</v>
      </c>
    </row>
    <row r="57" customFormat="false" ht="15" hidden="false" customHeight="false" outlineLevel="0" collapsed="false">
      <c r="D57" s="0" t="n">
        <v>1</v>
      </c>
      <c r="E57" s="0" t="n">
        <v>1.63</v>
      </c>
      <c r="F57" s="1" t="s">
        <v>18</v>
      </c>
      <c r="G57" s="2" t="s">
        <v>18</v>
      </c>
      <c r="H57" s="1" t="s">
        <v>18</v>
      </c>
      <c r="I57" s="2" t="s">
        <v>18</v>
      </c>
      <c r="J57" s="1" t="s">
        <v>18</v>
      </c>
      <c r="K57" s="1" t="s">
        <v>18</v>
      </c>
      <c r="L57" s="0" t="n">
        <v>5.25</v>
      </c>
      <c r="M57" s="2" t="n">
        <v>2.21</v>
      </c>
      <c r="N57" s="0" t="n">
        <v>11.58</v>
      </c>
      <c r="O57" s="2" t="n">
        <v>2.21</v>
      </c>
    </row>
    <row r="58" customFormat="false" ht="15" hidden="false" customHeight="false" outlineLevel="0" collapsed="false">
      <c r="A58" s="1" t="n">
        <v>8</v>
      </c>
      <c r="B58" s="2" t="s">
        <v>25</v>
      </c>
      <c r="C58" s="0" t="n">
        <v>525.08</v>
      </c>
      <c r="D58" s="0" t="n">
        <v>4</v>
      </c>
      <c r="E58" s="0" t="n">
        <v>1.56</v>
      </c>
      <c r="F58" s="0" t="n">
        <v>-10.12</v>
      </c>
      <c r="G58" s="2" t="n">
        <v>2.97</v>
      </c>
      <c r="H58" s="0" t="n">
        <v>-5.51</v>
      </c>
      <c r="I58" s="2" t="n">
        <v>2.69</v>
      </c>
      <c r="J58" s="1" t="s">
        <v>18</v>
      </c>
      <c r="K58" s="1" t="s">
        <v>18</v>
      </c>
      <c r="L58" s="1" t="s">
        <v>18</v>
      </c>
      <c r="M58" s="2" t="s">
        <v>18</v>
      </c>
      <c r="N58" s="1" t="s">
        <v>18</v>
      </c>
      <c r="O58" s="2" t="s">
        <v>18</v>
      </c>
      <c r="P58" s="0" t="n">
        <v>5.77</v>
      </c>
      <c r="Q58" s="0" t="n">
        <v>0</v>
      </c>
    </row>
    <row r="59" customFormat="false" ht="15" hidden="false" customHeight="false" outlineLevel="0" collapsed="false">
      <c r="D59" s="0" t="n">
        <v>3</v>
      </c>
      <c r="E59" s="0" t="n">
        <v>1.05</v>
      </c>
      <c r="F59" s="0" t="n">
        <v>-10.93</v>
      </c>
      <c r="G59" s="2" t="n">
        <v>2.63</v>
      </c>
      <c r="H59" s="0" t="n">
        <v>-5.25</v>
      </c>
      <c r="I59" s="2" t="n">
        <v>2.63</v>
      </c>
      <c r="J59" s="1" t="s">
        <v>18</v>
      </c>
      <c r="K59" s="1" t="s">
        <v>18</v>
      </c>
      <c r="L59" s="1" t="s">
        <v>18</v>
      </c>
      <c r="M59" s="2" t="s">
        <v>18</v>
      </c>
      <c r="N59" s="1" t="s">
        <v>18</v>
      </c>
      <c r="O59" s="2" t="s">
        <v>18</v>
      </c>
    </row>
    <row r="60" customFormat="false" ht="15" hidden="false" customHeight="false" outlineLevel="0" collapsed="false">
      <c r="D60" s="0" t="n">
        <v>2</v>
      </c>
      <c r="E60" s="0" t="n">
        <v>1.53</v>
      </c>
      <c r="F60" s="0" t="n">
        <v>-11.2</v>
      </c>
      <c r="G60" s="2" t="n">
        <v>2.45</v>
      </c>
      <c r="H60" s="0" t="n">
        <v>-5.25</v>
      </c>
      <c r="I60" s="2" t="n">
        <v>2.45</v>
      </c>
      <c r="J60" s="1" t="s">
        <v>18</v>
      </c>
      <c r="K60" s="1" t="s">
        <v>18</v>
      </c>
      <c r="L60" s="1" t="s">
        <v>18</v>
      </c>
      <c r="M60" s="2" t="s">
        <v>18</v>
      </c>
      <c r="N60" s="1" t="s">
        <v>18</v>
      </c>
      <c r="O60" s="2" t="s">
        <v>18</v>
      </c>
    </row>
    <row r="61" customFormat="false" ht="15" hidden="false" customHeight="false" outlineLevel="0" collapsed="false">
      <c r="D61" s="0" t="n">
        <v>1</v>
      </c>
      <c r="E61" s="0" t="n">
        <v>1.63</v>
      </c>
      <c r="F61" s="0" t="n">
        <v>-11.58</v>
      </c>
      <c r="G61" s="2" t="n">
        <v>2.2</v>
      </c>
      <c r="H61" s="0" t="n">
        <v>-5.25</v>
      </c>
      <c r="I61" s="2" t="n">
        <v>2.2</v>
      </c>
      <c r="J61" s="1" t="s">
        <v>18</v>
      </c>
      <c r="K61" s="1" t="s">
        <v>18</v>
      </c>
      <c r="L61" s="1" t="s">
        <v>18</v>
      </c>
      <c r="M61" s="2" t="s">
        <v>18</v>
      </c>
      <c r="N61" s="1" t="s">
        <v>18</v>
      </c>
      <c r="O61" s="2" t="s">
        <v>18</v>
      </c>
    </row>
    <row r="62" customFormat="false" ht="15" hidden="false" customHeight="false" outlineLevel="0" collapsed="false">
      <c r="A62" s="1" t="n">
        <v>8</v>
      </c>
      <c r="B62" s="2" t="s">
        <v>25</v>
      </c>
      <c r="C62" s="0" t="n">
        <v>525.08</v>
      </c>
      <c r="D62" s="0" t="n">
        <v>4</v>
      </c>
      <c r="E62" s="0" t="n">
        <v>1.56</v>
      </c>
      <c r="F62" s="1" t="s">
        <v>18</v>
      </c>
      <c r="G62" s="2" t="s">
        <v>18</v>
      </c>
      <c r="H62" s="1" t="s">
        <v>18</v>
      </c>
      <c r="I62" s="2" t="s">
        <v>18</v>
      </c>
      <c r="J62" s="1" t="s">
        <v>18</v>
      </c>
      <c r="K62" s="1" t="s">
        <v>18</v>
      </c>
      <c r="L62" s="0" t="n">
        <v>5.51</v>
      </c>
      <c r="M62" s="2" t="n">
        <v>2.88</v>
      </c>
      <c r="N62" s="0" t="n">
        <v>10.12</v>
      </c>
      <c r="O62" s="2" t="n">
        <v>2.88</v>
      </c>
      <c r="P62" s="0" t="n">
        <v>5.77</v>
      </c>
      <c r="Q62" s="0" t="n">
        <v>0</v>
      </c>
    </row>
    <row r="63" customFormat="false" ht="15" hidden="false" customHeight="false" outlineLevel="0" collapsed="false">
      <c r="D63" s="0" t="n">
        <v>3</v>
      </c>
      <c r="E63" s="0" t="n">
        <v>1.05</v>
      </c>
      <c r="F63" s="1" t="s">
        <v>18</v>
      </c>
      <c r="G63" s="2" t="s">
        <v>18</v>
      </c>
      <c r="H63" s="1" t="s">
        <v>18</v>
      </c>
      <c r="I63" s="2" t="s">
        <v>18</v>
      </c>
      <c r="J63" s="1" t="s">
        <v>18</v>
      </c>
      <c r="K63" s="1" t="s">
        <v>18</v>
      </c>
      <c r="L63" s="0" t="n">
        <v>5.25</v>
      </c>
      <c r="M63" s="2" t="n">
        <v>2.63</v>
      </c>
      <c r="N63" s="0" t="n">
        <v>10.93</v>
      </c>
      <c r="O63" s="2" t="n">
        <v>2.63</v>
      </c>
    </row>
    <row r="64" customFormat="false" ht="15" hidden="false" customHeight="false" outlineLevel="0" collapsed="false">
      <c r="D64" s="0" t="n">
        <v>2</v>
      </c>
      <c r="E64" s="0" t="n">
        <v>1.53</v>
      </c>
      <c r="F64" s="1" t="s">
        <v>18</v>
      </c>
      <c r="G64" s="2" t="s">
        <v>18</v>
      </c>
      <c r="H64" s="1" t="s">
        <v>18</v>
      </c>
      <c r="I64" s="2" t="s">
        <v>18</v>
      </c>
      <c r="J64" s="1" t="s">
        <v>18</v>
      </c>
      <c r="K64" s="1" t="s">
        <v>18</v>
      </c>
      <c r="L64" s="0" t="n">
        <v>5.25</v>
      </c>
      <c r="M64" s="2" t="n">
        <v>2.45</v>
      </c>
      <c r="N64" s="0" t="n">
        <v>11.2</v>
      </c>
      <c r="O64" s="2" t="n">
        <v>2.45</v>
      </c>
    </row>
    <row r="65" customFormat="false" ht="15" hidden="false" customHeight="false" outlineLevel="0" collapsed="false">
      <c r="D65" s="0" t="n">
        <v>1</v>
      </c>
      <c r="E65" s="0" t="n">
        <v>1.63</v>
      </c>
      <c r="F65" s="1" t="s">
        <v>18</v>
      </c>
      <c r="G65" s="2" t="s">
        <v>18</v>
      </c>
      <c r="H65" s="1" t="s">
        <v>18</v>
      </c>
      <c r="I65" s="2" t="s">
        <v>18</v>
      </c>
      <c r="J65" s="1" t="s">
        <v>18</v>
      </c>
      <c r="K65" s="1" t="s">
        <v>18</v>
      </c>
      <c r="L65" s="0" t="n">
        <v>5.25</v>
      </c>
      <c r="M65" s="2" t="n">
        <v>2.2</v>
      </c>
      <c r="N65" s="0" t="n">
        <v>11.58</v>
      </c>
      <c r="O65" s="2" t="n">
        <v>2.2</v>
      </c>
    </row>
    <row r="66" customFormat="false" ht="15" hidden="false" customHeight="false" outlineLevel="0" collapsed="false">
      <c r="A66" s="1" t="n">
        <v>9</v>
      </c>
      <c r="B66" s="2" t="s">
        <v>26</v>
      </c>
      <c r="C66" s="0" t="n">
        <v>538.68</v>
      </c>
      <c r="D66" s="0" t="n">
        <v>4</v>
      </c>
      <c r="E66" s="0" t="n">
        <v>1.56</v>
      </c>
      <c r="F66" s="0" t="n">
        <v>-10.12</v>
      </c>
      <c r="G66" s="2" t="n">
        <v>2.97</v>
      </c>
      <c r="H66" s="0" t="n">
        <v>-5.51</v>
      </c>
      <c r="I66" s="2" t="n">
        <v>2.69</v>
      </c>
      <c r="J66" s="1" t="s">
        <v>18</v>
      </c>
      <c r="K66" s="1" t="s">
        <v>18</v>
      </c>
      <c r="L66" s="1" t="s">
        <v>18</v>
      </c>
      <c r="M66" s="2" t="s">
        <v>18</v>
      </c>
      <c r="N66" s="1" t="s">
        <v>18</v>
      </c>
      <c r="O66" s="2" t="s">
        <v>18</v>
      </c>
      <c r="P66" s="0" t="n">
        <v>5.77</v>
      </c>
      <c r="Q66" s="0" t="n">
        <v>0</v>
      </c>
    </row>
    <row r="67" customFormat="false" ht="15" hidden="false" customHeight="false" outlineLevel="0" collapsed="false">
      <c r="D67" s="0" t="n">
        <v>3</v>
      </c>
      <c r="E67" s="0" t="n">
        <v>1.05</v>
      </c>
      <c r="F67" s="0" t="n">
        <v>-10.93</v>
      </c>
      <c r="G67" s="2" t="n">
        <v>2.63</v>
      </c>
      <c r="H67" s="0" t="n">
        <v>-5.25</v>
      </c>
      <c r="I67" s="2" t="n">
        <v>2.63</v>
      </c>
      <c r="J67" s="1" t="s">
        <v>18</v>
      </c>
      <c r="K67" s="1" t="s">
        <v>18</v>
      </c>
      <c r="L67" s="1" t="s">
        <v>18</v>
      </c>
      <c r="M67" s="2" t="s">
        <v>18</v>
      </c>
      <c r="N67" s="1" t="s">
        <v>18</v>
      </c>
      <c r="O67" s="2" t="s">
        <v>18</v>
      </c>
    </row>
    <row r="68" customFormat="false" ht="15" hidden="false" customHeight="false" outlineLevel="0" collapsed="false">
      <c r="D68" s="0" t="n">
        <v>2</v>
      </c>
      <c r="E68" s="0" t="n">
        <v>1.53</v>
      </c>
      <c r="F68" s="0" t="n">
        <v>-11.2</v>
      </c>
      <c r="G68" s="2" t="n">
        <v>2.45</v>
      </c>
      <c r="H68" s="0" t="n">
        <v>-5.25</v>
      </c>
      <c r="I68" s="2" t="n">
        <v>2.45</v>
      </c>
      <c r="J68" s="1" t="s">
        <v>18</v>
      </c>
      <c r="K68" s="1" t="s">
        <v>18</v>
      </c>
      <c r="L68" s="1" t="s">
        <v>18</v>
      </c>
      <c r="M68" s="2" t="s">
        <v>18</v>
      </c>
      <c r="N68" s="1" t="s">
        <v>18</v>
      </c>
      <c r="O68" s="2" t="s">
        <v>18</v>
      </c>
    </row>
    <row r="69" customFormat="false" ht="15" hidden="false" customHeight="false" outlineLevel="0" collapsed="false">
      <c r="D69" s="0" t="n">
        <v>1</v>
      </c>
      <c r="E69" s="0" t="n">
        <v>1.63</v>
      </c>
      <c r="F69" s="0" t="n">
        <v>-11.58</v>
      </c>
      <c r="G69" s="2" t="n">
        <v>2.2</v>
      </c>
      <c r="H69" s="0" t="n">
        <v>-5.25</v>
      </c>
      <c r="I69" s="2" t="n">
        <v>2.2</v>
      </c>
      <c r="J69" s="1" t="s">
        <v>18</v>
      </c>
      <c r="K69" s="1" t="s">
        <v>18</v>
      </c>
      <c r="L69" s="1" t="s">
        <v>18</v>
      </c>
      <c r="M69" s="2" t="s">
        <v>18</v>
      </c>
      <c r="N69" s="1" t="s">
        <v>18</v>
      </c>
      <c r="O69" s="2" t="s">
        <v>18</v>
      </c>
    </row>
    <row r="70" customFormat="false" ht="15" hidden="false" customHeight="false" outlineLevel="0" collapsed="false">
      <c r="A70" s="1" t="n">
        <v>9</v>
      </c>
      <c r="B70" s="2" t="s">
        <v>26</v>
      </c>
      <c r="C70" s="0" t="n">
        <v>538.68</v>
      </c>
      <c r="D70" s="0" t="n">
        <v>4</v>
      </c>
      <c r="E70" s="0" t="n">
        <v>1.56</v>
      </c>
      <c r="F70" s="1" t="s">
        <v>18</v>
      </c>
      <c r="G70" s="2" t="s">
        <v>18</v>
      </c>
      <c r="H70" s="1" t="s">
        <v>18</v>
      </c>
      <c r="I70" s="2" t="s">
        <v>18</v>
      </c>
      <c r="J70" s="1" t="s">
        <v>18</v>
      </c>
      <c r="K70" s="1" t="s">
        <v>18</v>
      </c>
      <c r="L70" s="0" t="n">
        <v>5.51</v>
      </c>
      <c r="M70" s="2" t="n">
        <v>2.88</v>
      </c>
      <c r="N70" s="0" t="n">
        <v>10.12</v>
      </c>
      <c r="O70" s="2" t="n">
        <v>2.87</v>
      </c>
      <c r="P70" s="0" t="n">
        <v>5.77</v>
      </c>
      <c r="Q70" s="0" t="n">
        <v>0</v>
      </c>
    </row>
    <row r="71" customFormat="false" ht="15" hidden="false" customHeight="false" outlineLevel="0" collapsed="false">
      <c r="D71" s="0" t="n">
        <v>3</v>
      </c>
      <c r="E71" s="0" t="n">
        <v>1.05</v>
      </c>
      <c r="F71" s="1" t="s">
        <v>18</v>
      </c>
      <c r="G71" s="2" t="s">
        <v>18</v>
      </c>
      <c r="H71" s="1" t="s">
        <v>18</v>
      </c>
      <c r="I71" s="2" t="s">
        <v>18</v>
      </c>
      <c r="J71" s="1" t="s">
        <v>18</v>
      </c>
      <c r="K71" s="1" t="s">
        <v>18</v>
      </c>
      <c r="L71" s="0" t="n">
        <v>5.25</v>
      </c>
      <c r="M71" s="2" t="n">
        <v>2.63</v>
      </c>
      <c r="N71" s="0" t="n">
        <v>10.93</v>
      </c>
      <c r="O71" s="2" t="n">
        <v>2.63</v>
      </c>
    </row>
    <row r="72" customFormat="false" ht="15" hidden="false" customHeight="false" outlineLevel="0" collapsed="false">
      <c r="D72" s="0" t="n">
        <v>2</v>
      </c>
      <c r="E72" s="0" t="n">
        <v>1.53</v>
      </c>
      <c r="F72" s="1" t="s">
        <v>18</v>
      </c>
      <c r="G72" s="2" t="s">
        <v>18</v>
      </c>
      <c r="H72" s="1" t="s">
        <v>18</v>
      </c>
      <c r="I72" s="2" t="s">
        <v>18</v>
      </c>
      <c r="J72" s="1" t="s">
        <v>18</v>
      </c>
      <c r="K72" s="1" t="s">
        <v>18</v>
      </c>
      <c r="L72" s="0" t="n">
        <v>5.25</v>
      </c>
      <c r="M72" s="2" t="n">
        <v>2.45</v>
      </c>
      <c r="N72" s="0" t="n">
        <v>11.2</v>
      </c>
      <c r="O72" s="2" t="n">
        <v>2.45</v>
      </c>
    </row>
    <row r="73" customFormat="false" ht="15" hidden="false" customHeight="false" outlineLevel="0" collapsed="false">
      <c r="D73" s="0" t="n">
        <v>1</v>
      </c>
      <c r="E73" s="0" t="n">
        <v>1.63</v>
      </c>
      <c r="F73" s="1" t="s">
        <v>18</v>
      </c>
      <c r="G73" s="2" t="s">
        <v>18</v>
      </c>
      <c r="H73" s="1" t="s">
        <v>18</v>
      </c>
      <c r="I73" s="2" t="s">
        <v>18</v>
      </c>
      <c r="J73" s="1" t="s">
        <v>18</v>
      </c>
      <c r="K73" s="1" t="s">
        <v>18</v>
      </c>
      <c r="L73" s="0" t="n">
        <v>5.25</v>
      </c>
      <c r="M73" s="2" t="n">
        <v>2.2</v>
      </c>
      <c r="N73" s="0" t="n">
        <v>11.58</v>
      </c>
      <c r="O73" s="2" t="n">
        <v>2.2</v>
      </c>
    </row>
    <row r="74" customFormat="false" ht="15" hidden="false" customHeight="false" outlineLevel="0" collapsed="false">
      <c r="A74" s="1" t="n">
        <v>10</v>
      </c>
      <c r="B74" s="2" t="s">
        <v>27</v>
      </c>
      <c r="C74" s="0" t="n">
        <v>554.08</v>
      </c>
      <c r="D74" s="0" t="n">
        <v>4</v>
      </c>
      <c r="E74" s="0" t="n">
        <v>1.56</v>
      </c>
      <c r="F74" s="0" t="n">
        <v>-10.12</v>
      </c>
      <c r="G74" s="2" t="n">
        <v>2.96</v>
      </c>
      <c r="H74" s="0" t="n">
        <v>-5.51</v>
      </c>
      <c r="I74" s="2" t="n">
        <v>2.68</v>
      </c>
      <c r="J74" s="1" t="s">
        <v>18</v>
      </c>
      <c r="K74" s="1" t="s">
        <v>18</v>
      </c>
      <c r="L74" s="1" t="s">
        <v>18</v>
      </c>
      <c r="M74" s="2" t="s">
        <v>18</v>
      </c>
      <c r="N74" s="1" t="s">
        <v>18</v>
      </c>
      <c r="O74" s="2" t="s">
        <v>18</v>
      </c>
      <c r="P74" s="0" t="n">
        <v>5.77</v>
      </c>
      <c r="Q74" s="0" t="n">
        <v>0</v>
      </c>
    </row>
    <row r="75" customFormat="false" ht="15" hidden="false" customHeight="false" outlineLevel="0" collapsed="false">
      <c r="D75" s="0" t="n">
        <v>3</v>
      </c>
      <c r="E75" s="0" t="n">
        <v>1.05</v>
      </c>
      <c r="F75" s="0" t="n">
        <v>-10.93</v>
      </c>
      <c r="G75" s="2" t="n">
        <v>2.62</v>
      </c>
      <c r="H75" s="0" t="n">
        <v>-5.25</v>
      </c>
      <c r="I75" s="2" t="n">
        <v>2.62</v>
      </c>
      <c r="J75" s="1" t="s">
        <v>18</v>
      </c>
      <c r="K75" s="1" t="s">
        <v>18</v>
      </c>
      <c r="L75" s="1" t="s">
        <v>18</v>
      </c>
      <c r="M75" s="2" t="s">
        <v>18</v>
      </c>
      <c r="N75" s="1" t="s">
        <v>18</v>
      </c>
      <c r="O75" s="2" t="s">
        <v>18</v>
      </c>
    </row>
    <row r="76" customFormat="false" ht="15" hidden="false" customHeight="false" outlineLevel="0" collapsed="false">
      <c r="D76" s="0" t="n">
        <v>2</v>
      </c>
      <c r="E76" s="0" t="n">
        <v>1.53</v>
      </c>
      <c r="F76" s="0" t="n">
        <v>-11.2</v>
      </c>
      <c r="G76" s="2" t="n">
        <v>2.44</v>
      </c>
      <c r="H76" s="0" t="n">
        <v>-5.25</v>
      </c>
      <c r="I76" s="2" t="n">
        <v>2.44</v>
      </c>
      <c r="J76" s="1" t="s">
        <v>18</v>
      </c>
      <c r="K76" s="1" t="s">
        <v>18</v>
      </c>
      <c r="L76" s="1" t="s">
        <v>18</v>
      </c>
      <c r="M76" s="2" t="s">
        <v>18</v>
      </c>
      <c r="N76" s="1" t="s">
        <v>18</v>
      </c>
      <c r="O76" s="2" t="s">
        <v>18</v>
      </c>
    </row>
    <row r="77" customFormat="false" ht="15" hidden="false" customHeight="false" outlineLevel="0" collapsed="false">
      <c r="D77" s="0" t="n">
        <v>1</v>
      </c>
      <c r="E77" s="0" t="n">
        <v>1.63</v>
      </c>
      <c r="F77" s="0" t="n">
        <v>-11.58</v>
      </c>
      <c r="G77" s="2" t="n">
        <v>2.19</v>
      </c>
      <c r="H77" s="0" t="n">
        <v>-5.25</v>
      </c>
      <c r="I77" s="2" t="n">
        <v>2.19</v>
      </c>
      <c r="J77" s="1" t="s">
        <v>18</v>
      </c>
      <c r="K77" s="1" t="s">
        <v>18</v>
      </c>
      <c r="L77" s="1" t="s">
        <v>18</v>
      </c>
      <c r="M77" s="2" t="s">
        <v>18</v>
      </c>
      <c r="N77" s="1" t="s">
        <v>18</v>
      </c>
      <c r="O77" s="2" t="s">
        <v>18</v>
      </c>
    </row>
    <row r="78" customFormat="false" ht="15" hidden="false" customHeight="false" outlineLevel="0" collapsed="false">
      <c r="A78" s="1" t="n">
        <v>10</v>
      </c>
      <c r="B78" s="2" t="s">
        <v>27</v>
      </c>
      <c r="C78" s="0" t="n">
        <v>554.08</v>
      </c>
      <c r="D78" s="0" t="n">
        <v>4</v>
      </c>
      <c r="E78" s="0" t="n">
        <v>1.56</v>
      </c>
      <c r="F78" s="1" t="s">
        <v>18</v>
      </c>
      <c r="G78" s="2" t="s">
        <v>18</v>
      </c>
      <c r="H78" s="1" t="s">
        <v>18</v>
      </c>
      <c r="I78" s="2" t="s">
        <v>18</v>
      </c>
      <c r="J78" s="1" t="s">
        <v>18</v>
      </c>
      <c r="K78" s="1" t="s">
        <v>18</v>
      </c>
      <c r="L78" s="0" t="n">
        <v>5.51</v>
      </c>
      <c r="M78" s="2" t="n">
        <v>2.87</v>
      </c>
      <c r="N78" s="0" t="n">
        <v>10.12</v>
      </c>
      <c r="O78" s="2" t="n">
        <v>2.86</v>
      </c>
      <c r="P78" s="0" t="n">
        <v>5.77</v>
      </c>
      <c r="Q78" s="0" t="n">
        <v>0</v>
      </c>
    </row>
    <row r="79" customFormat="false" ht="15" hidden="false" customHeight="false" outlineLevel="0" collapsed="false">
      <c r="D79" s="0" t="n">
        <v>3</v>
      </c>
      <c r="E79" s="0" t="n">
        <v>1.05</v>
      </c>
      <c r="F79" s="1" t="s">
        <v>18</v>
      </c>
      <c r="G79" s="2" t="s">
        <v>18</v>
      </c>
      <c r="H79" s="1" t="s">
        <v>18</v>
      </c>
      <c r="I79" s="2" t="s">
        <v>18</v>
      </c>
      <c r="J79" s="1" t="s">
        <v>18</v>
      </c>
      <c r="K79" s="1" t="s">
        <v>18</v>
      </c>
      <c r="L79" s="0" t="n">
        <v>5.25</v>
      </c>
      <c r="M79" s="2" t="n">
        <v>2.62</v>
      </c>
      <c r="N79" s="0" t="n">
        <v>10.93</v>
      </c>
      <c r="O79" s="2" t="n">
        <v>2.62</v>
      </c>
    </row>
    <row r="80" customFormat="false" ht="15" hidden="false" customHeight="false" outlineLevel="0" collapsed="false">
      <c r="D80" s="0" t="n">
        <v>2</v>
      </c>
      <c r="E80" s="0" t="n">
        <v>1.53</v>
      </c>
      <c r="F80" s="1" t="s">
        <v>18</v>
      </c>
      <c r="G80" s="2" t="s">
        <v>18</v>
      </c>
      <c r="H80" s="1" t="s">
        <v>18</v>
      </c>
      <c r="I80" s="2" t="s">
        <v>18</v>
      </c>
      <c r="J80" s="1" t="s">
        <v>18</v>
      </c>
      <c r="K80" s="1" t="s">
        <v>18</v>
      </c>
      <c r="L80" s="0" t="n">
        <v>5.25</v>
      </c>
      <c r="M80" s="2" t="n">
        <v>2.44</v>
      </c>
      <c r="N80" s="0" t="n">
        <v>11.2</v>
      </c>
      <c r="O80" s="2" t="n">
        <v>2.44</v>
      </c>
    </row>
    <row r="81" customFormat="false" ht="15" hidden="false" customHeight="false" outlineLevel="0" collapsed="false">
      <c r="D81" s="0" t="n">
        <v>1</v>
      </c>
      <c r="E81" s="0" t="n">
        <v>1.63</v>
      </c>
      <c r="F81" s="1" t="s">
        <v>18</v>
      </c>
      <c r="G81" s="2" t="s">
        <v>18</v>
      </c>
      <c r="H81" s="1" t="s">
        <v>18</v>
      </c>
      <c r="I81" s="2" t="s">
        <v>18</v>
      </c>
      <c r="J81" s="1" t="s">
        <v>18</v>
      </c>
      <c r="K81" s="1" t="s">
        <v>18</v>
      </c>
      <c r="L81" s="0" t="n">
        <v>5.25</v>
      </c>
      <c r="M81" s="2" t="n">
        <v>2.19</v>
      </c>
      <c r="N81" s="0" t="n">
        <v>11.58</v>
      </c>
      <c r="O81" s="2" t="n">
        <v>2.19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18.NĐXD4/CVXD ngày 24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18</v>
      </c>
    </row>
    <row r="3" customFormat="false" ht="18.75" hidden="false" customHeight="true" outlineLevel="0" collapsed="false">
      <c r="A3" s="6" t="s">
        <v>30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31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32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33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34</v>
      </c>
      <c r="B7" s="7"/>
      <c r="C7" s="6"/>
      <c r="D7" s="6" t="str">
        <f>VLOOKUP(AZ2,'[1]Tuyến XD4'!$A$2:$B$60,2,0)</f>
        <v xml:space="preserve">Đắp đất lề đường lớp 1, độ chặt K&gt;=0,95 đoạn từ Km0+441,84 - Km0+554,08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36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37</v>
      </c>
      <c r="B19" s="10" t="s">
        <v>38</v>
      </c>
      <c r="C19" s="10" t="s">
        <v>39</v>
      </c>
      <c r="D19" s="11" t="s">
        <v>40</v>
      </c>
      <c r="E19" s="11"/>
      <c r="F19" s="11"/>
      <c r="G19" s="11" t="s">
        <v>41</v>
      </c>
      <c r="H19" s="11"/>
      <c r="I19" s="11"/>
      <c r="J19" s="11" t="s">
        <v>42</v>
      </c>
      <c r="K19" s="11"/>
      <c r="L19" s="11"/>
      <c r="M19" s="11" t="s">
        <v>43</v>
      </c>
      <c r="N19" s="11"/>
      <c r="O19" s="11"/>
      <c r="P19" s="10" t="s">
        <v>44</v>
      </c>
    </row>
    <row r="20" customFormat="false" ht="30" hidden="false" customHeight="true" outlineLevel="0" collapsed="false">
      <c r="A20" s="10"/>
      <c r="B20" s="10"/>
      <c r="C20" s="10"/>
      <c r="D20" s="11" t="s">
        <v>45</v>
      </c>
      <c r="E20" s="11" t="s">
        <v>46</v>
      </c>
      <c r="F20" s="11" t="s">
        <v>47</v>
      </c>
      <c r="G20" s="11" t="s">
        <v>45</v>
      </c>
      <c r="H20" s="11" t="s">
        <v>46</v>
      </c>
      <c r="I20" s="11" t="s">
        <v>47</v>
      </c>
      <c r="J20" s="11" t="s">
        <v>45</v>
      </c>
      <c r="K20" s="11" t="s">
        <v>46</v>
      </c>
      <c r="L20" s="11" t="s">
        <v>47</v>
      </c>
      <c r="M20" s="11" t="s">
        <v>45</v>
      </c>
      <c r="N20" s="11" t="s">
        <v>46</v>
      </c>
      <c r="O20" s="11" t="s">
        <v>47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441.84</v>
      </c>
      <c r="D21" s="16" t="n">
        <f aca="false">Chạy!G5</f>
        <v>2.25</v>
      </c>
      <c r="E21" s="16" t="n">
        <f aca="false">D21+F21</f>
        <v>2.337</v>
      </c>
      <c r="F21" s="16" t="n">
        <f aca="false">RANDBETWEEN(-30,100)/1000</f>
        <v>0.087</v>
      </c>
      <c r="G21" s="16" t="n">
        <f aca="false">Chạy!I5</f>
        <v>2.25</v>
      </c>
      <c r="H21" s="16" t="n">
        <f aca="false">G21+I21</f>
        <v>2.242</v>
      </c>
      <c r="I21" s="16" t="n">
        <f aca="false">RANDBETWEEN(-30,100)/1000</f>
        <v>-0.008</v>
      </c>
      <c r="J21" s="16" t="n">
        <f aca="false">Chạy!M9</f>
        <v>2.25</v>
      </c>
      <c r="K21" s="16" t="n">
        <f aca="false">J21+L21</f>
        <v>2.304</v>
      </c>
      <c r="L21" s="16" t="n">
        <f aca="false">RANDBETWEEN(-30,100)/1000</f>
        <v>0.054</v>
      </c>
      <c r="M21" s="16" t="n">
        <f aca="false">Chạy!O9</f>
        <v>2.25</v>
      </c>
      <c r="N21" s="16" t="n">
        <f aca="false">M21+O21</f>
        <v>2.235</v>
      </c>
      <c r="O21" s="16" t="n">
        <f aca="false">RANDBETWEEN(-30,100)/1000</f>
        <v>-0.015</v>
      </c>
      <c r="P21" s="17"/>
      <c r="Q21" s="18" t="n">
        <v>12.5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454.34</v>
      </c>
      <c r="D22" s="16" t="n">
        <f aca="false">Chạy!G13</f>
        <v>2.24</v>
      </c>
      <c r="E22" s="16" t="n">
        <f aca="false">D22+F22</f>
        <v>2.323</v>
      </c>
      <c r="F22" s="16" t="n">
        <f aca="false">RANDBETWEEN(-30,100)/1000</f>
        <v>0.083</v>
      </c>
      <c r="G22" s="16" t="n">
        <f aca="false">Chạy!I13</f>
        <v>2.24</v>
      </c>
      <c r="H22" s="16" t="n">
        <f aca="false">G22+I22</f>
        <v>2.284</v>
      </c>
      <c r="I22" s="16" t="n">
        <f aca="false">RANDBETWEEN(-30,100)/1000</f>
        <v>0.044</v>
      </c>
      <c r="J22" s="16" t="n">
        <f aca="false">Chạy!M17</f>
        <v>2.24</v>
      </c>
      <c r="K22" s="16" t="n">
        <f aca="false">J22+L22</f>
        <v>2.331</v>
      </c>
      <c r="L22" s="16" t="n">
        <f aca="false">RANDBETWEEN(-30,100)/1000</f>
        <v>0.091</v>
      </c>
      <c r="M22" s="16" t="n">
        <f aca="false">Chạy!O17</f>
        <v>2.24</v>
      </c>
      <c r="N22" s="16" t="n">
        <f aca="false">M22+O22</f>
        <v>2.252</v>
      </c>
      <c r="O22" s="16" t="n">
        <f aca="false">RANDBETWEEN(-30,100)/1000</f>
        <v>0.012</v>
      </c>
      <c r="P22" s="17"/>
      <c r="Q22" s="18" t="n">
        <v>12.5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466.84</v>
      </c>
      <c r="D23" s="16" t="n">
        <f aca="false">Chạy!G21</f>
        <v>2.23</v>
      </c>
      <c r="E23" s="16" t="n">
        <f aca="false">D23+F23</f>
        <v>2.282</v>
      </c>
      <c r="F23" s="16" t="n">
        <f aca="false">RANDBETWEEN(-30,100)/1000</f>
        <v>0.052</v>
      </c>
      <c r="G23" s="16" t="n">
        <f aca="false">Chạy!I21</f>
        <v>2.23</v>
      </c>
      <c r="H23" s="16" t="n">
        <f aca="false">G23+I23</f>
        <v>2.208</v>
      </c>
      <c r="I23" s="16" t="n">
        <f aca="false">RANDBETWEEN(-30,100)/1000</f>
        <v>-0.022</v>
      </c>
      <c r="J23" s="16" t="n">
        <f aca="false">Chạy!M25</f>
        <v>2.23</v>
      </c>
      <c r="K23" s="16" t="n">
        <f aca="false">J23+L23</f>
        <v>2.254</v>
      </c>
      <c r="L23" s="16" t="n">
        <f aca="false">RANDBETWEEN(-30,100)/1000</f>
        <v>0.024</v>
      </c>
      <c r="M23" s="16" t="n">
        <f aca="false">Chạy!O25</f>
        <v>2.23</v>
      </c>
      <c r="N23" s="16" t="n">
        <f aca="false">M23+O23</f>
        <v>2.232</v>
      </c>
      <c r="O23" s="16" t="n">
        <f aca="false">RANDBETWEEN(-30,100)/1000</f>
        <v>0.002</v>
      </c>
      <c r="P23" s="17"/>
      <c r="Q23" s="18" t="n">
        <v>7.5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474.34</v>
      </c>
      <c r="D24" s="16" t="n">
        <f aca="false">Chạy!G29</f>
        <v>2.23</v>
      </c>
      <c r="E24" s="16" t="n">
        <f aca="false">D24+F24</f>
        <v>2.263</v>
      </c>
      <c r="F24" s="16" t="n">
        <f aca="false">RANDBETWEEN(-30,100)/1000</f>
        <v>0.033</v>
      </c>
      <c r="G24" s="16" t="n">
        <f aca="false">Chạy!I29</f>
        <v>2.23</v>
      </c>
      <c r="H24" s="16" t="n">
        <f aca="false">G24+I24</f>
        <v>2.216</v>
      </c>
      <c r="I24" s="16" t="n">
        <f aca="false">RANDBETWEEN(-30,100)/1000</f>
        <v>-0.014</v>
      </c>
      <c r="J24" s="16" t="n">
        <f aca="false">Chạy!M33</f>
        <v>2.23</v>
      </c>
      <c r="K24" s="16" t="n">
        <f aca="false">J24+L24</f>
        <v>2.293</v>
      </c>
      <c r="L24" s="16" t="n">
        <f aca="false">RANDBETWEEN(-30,100)/1000</f>
        <v>0.063</v>
      </c>
      <c r="M24" s="16" t="n">
        <f aca="false">Chạy!O33</f>
        <v>2.23</v>
      </c>
      <c r="N24" s="16" t="n">
        <f aca="false">M24+O24</f>
        <v>2.323</v>
      </c>
      <c r="O24" s="16" t="n">
        <f aca="false">RANDBETWEEN(-30,100)/1000</f>
        <v>0.093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494.34</v>
      </c>
      <c r="D25" s="16" t="n">
        <f aca="false">Chạy!G37</f>
        <v>2.22</v>
      </c>
      <c r="E25" s="16" t="n">
        <f aca="false">D25+F25</f>
        <v>2.249</v>
      </c>
      <c r="F25" s="16" t="n">
        <f aca="false">RANDBETWEEN(-30,100)/1000</f>
        <v>0.029</v>
      </c>
      <c r="G25" s="16" t="n">
        <f aca="false">Chạy!I37</f>
        <v>2.22</v>
      </c>
      <c r="H25" s="16" t="n">
        <f aca="false">G25+I25</f>
        <v>2.317</v>
      </c>
      <c r="I25" s="16" t="n">
        <f aca="false">RANDBETWEEN(-30,100)/1000</f>
        <v>0.097</v>
      </c>
      <c r="J25" s="16" t="n">
        <f aca="false">Chạy!M41</f>
        <v>2.22</v>
      </c>
      <c r="K25" s="16" t="n">
        <f aca="false">J25+L25</f>
        <v>2.218</v>
      </c>
      <c r="L25" s="16" t="n">
        <f aca="false">RANDBETWEEN(-30,100)/1000</f>
        <v>-0.002</v>
      </c>
      <c r="M25" s="16" t="n">
        <f aca="false">Chạy!O41</f>
        <v>2.22</v>
      </c>
      <c r="N25" s="16" t="n">
        <f aca="false">M25+O25</f>
        <v>2.222</v>
      </c>
      <c r="O25" s="16" t="n">
        <f aca="false">RANDBETWEEN(-30,100)/1000</f>
        <v>0.002</v>
      </c>
      <c r="P25" s="17"/>
      <c r="Q25" s="18" t="n">
        <v>17.14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511.48</v>
      </c>
      <c r="D26" s="16" t="n">
        <f aca="false">Chạy!G45</f>
        <v>2.21</v>
      </c>
      <c r="E26" s="16" t="n">
        <f aca="false">D26+F26</f>
        <v>2.252</v>
      </c>
      <c r="F26" s="16" t="n">
        <f aca="false">RANDBETWEEN(-30,100)/1000</f>
        <v>0.042</v>
      </c>
      <c r="G26" s="16" t="n">
        <f aca="false">Chạy!I45</f>
        <v>2.21</v>
      </c>
      <c r="H26" s="16" t="n">
        <f aca="false">G26+I26</f>
        <v>2.203</v>
      </c>
      <c r="I26" s="16" t="n">
        <f aca="false">RANDBETWEEN(-30,100)/1000</f>
        <v>-0.007</v>
      </c>
      <c r="J26" s="16" t="n">
        <f aca="false">Chạy!M49</f>
        <v>2.21</v>
      </c>
      <c r="K26" s="16" t="n">
        <f aca="false">J26+L26</f>
        <v>2.285</v>
      </c>
      <c r="L26" s="16" t="n">
        <f aca="false">RANDBETWEEN(-30,100)/1000</f>
        <v>0.075</v>
      </c>
      <c r="M26" s="16" t="n">
        <f aca="false">Chạy!O49</f>
        <v>2.21</v>
      </c>
      <c r="N26" s="16" t="n">
        <f aca="false">M26+O26</f>
        <v>2.188</v>
      </c>
      <c r="O26" s="16" t="n">
        <f aca="false">RANDBETWEEN(-30,100)/1000</f>
        <v>-0.022</v>
      </c>
      <c r="P26" s="17"/>
      <c r="Q26" s="18" t="n">
        <v>3.12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514.6</v>
      </c>
      <c r="D27" s="16" t="n">
        <f aca="false">Chạy!G53</f>
        <v>2.21</v>
      </c>
      <c r="E27" s="16" t="n">
        <f aca="false">D27+F27</f>
        <v>2.183</v>
      </c>
      <c r="F27" s="16" t="n">
        <f aca="false">RANDBETWEEN(-30,100)/1000</f>
        <v>-0.027</v>
      </c>
      <c r="G27" s="16" t="n">
        <f aca="false">Chạy!I53</f>
        <v>2.21</v>
      </c>
      <c r="H27" s="16" t="n">
        <f aca="false">G27+I27</f>
        <v>2.196</v>
      </c>
      <c r="I27" s="16" t="n">
        <f aca="false">RANDBETWEEN(-30,100)/1000</f>
        <v>-0.014</v>
      </c>
      <c r="J27" s="16" t="n">
        <f aca="false">Chạy!M57</f>
        <v>2.21</v>
      </c>
      <c r="K27" s="16" t="n">
        <f aca="false">J27+L27</f>
        <v>2.25</v>
      </c>
      <c r="L27" s="16" t="n">
        <f aca="false">RANDBETWEEN(-30,100)/1000</f>
        <v>0.04</v>
      </c>
      <c r="M27" s="16" t="n">
        <f aca="false">Chạy!O57</f>
        <v>2.21</v>
      </c>
      <c r="N27" s="16" t="n">
        <f aca="false">M27+O27</f>
        <v>2.245</v>
      </c>
      <c r="O27" s="16" t="n">
        <f aca="false">RANDBETWEEN(-30,100)/1000</f>
        <v>0.035</v>
      </c>
      <c r="P27" s="17"/>
      <c r="Q27" s="18" t="n">
        <v>10.48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525.08</v>
      </c>
      <c r="D28" s="16" t="n">
        <f aca="false">Chạy!G61</f>
        <v>2.2</v>
      </c>
      <c r="E28" s="16" t="n">
        <f aca="false">D28+F28</f>
        <v>2.216</v>
      </c>
      <c r="F28" s="16" t="n">
        <f aca="false">RANDBETWEEN(-30,100)/1000</f>
        <v>0.016</v>
      </c>
      <c r="G28" s="16" t="n">
        <f aca="false">Chạy!I61</f>
        <v>2.2</v>
      </c>
      <c r="H28" s="16" t="n">
        <f aca="false">G28+I28</f>
        <v>2.244</v>
      </c>
      <c r="I28" s="16" t="n">
        <f aca="false">RANDBETWEEN(-30,100)/1000</f>
        <v>0.044</v>
      </c>
      <c r="J28" s="16" t="n">
        <f aca="false">Chạy!M65</f>
        <v>2.2</v>
      </c>
      <c r="K28" s="16" t="n">
        <f aca="false">J28+L28</f>
        <v>2.255</v>
      </c>
      <c r="L28" s="16" t="n">
        <f aca="false">RANDBETWEEN(-30,100)/1000</f>
        <v>0.055</v>
      </c>
      <c r="M28" s="16" t="n">
        <f aca="false">Chạy!O65</f>
        <v>2.2</v>
      </c>
      <c r="N28" s="16" t="n">
        <f aca="false">M28+O28</f>
        <v>2.27</v>
      </c>
      <c r="O28" s="16" t="n">
        <f aca="false">RANDBETWEEN(-30,100)/1000</f>
        <v>0.07</v>
      </c>
      <c r="P28" s="17"/>
      <c r="Q28" s="18" t="n">
        <v>13.6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538.68</v>
      </c>
      <c r="D29" s="16" t="n">
        <f aca="false">Chạy!G69</f>
        <v>2.2</v>
      </c>
      <c r="E29" s="16" t="n">
        <f aca="false">D29+F29</f>
        <v>2.282</v>
      </c>
      <c r="F29" s="16" t="n">
        <f aca="false">RANDBETWEEN(-30,100)/1000</f>
        <v>0.082</v>
      </c>
      <c r="G29" s="16" t="n">
        <f aca="false">Chạy!I69</f>
        <v>2.2</v>
      </c>
      <c r="H29" s="16" t="n">
        <f aca="false">G29+I29</f>
        <v>2.295</v>
      </c>
      <c r="I29" s="16" t="n">
        <f aca="false">RANDBETWEEN(-30,100)/1000</f>
        <v>0.095</v>
      </c>
      <c r="J29" s="16" t="n">
        <f aca="false">Chạy!M73</f>
        <v>2.2</v>
      </c>
      <c r="K29" s="16" t="n">
        <f aca="false">J29+L29</f>
        <v>2.234</v>
      </c>
      <c r="L29" s="16" t="n">
        <f aca="false">RANDBETWEEN(-30,100)/1000</f>
        <v>0.034</v>
      </c>
      <c r="M29" s="16" t="n">
        <f aca="false">Chạy!O73</f>
        <v>2.2</v>
      </c>
      <c r="N29" s="16" t="n">
        <f aca="false">M29+O29</f>
        <v>2.196</v>
      </c>
      <c r="O29" s="16" t="n">
        <f aca="false">RANDBETWEEN(-30,100)/1000</f>
        <v>-0.004</v>
      </c>
      <c r="P29" s="17"/>
      <c r="Q29" s="18" t="n">
        <v>15.4</v>
      </c>
    </row>
    <row r="30" customFormat="false" ht="15" hidden="false" customHeight="false" outlineLevel="0" collapsed="false">
      <c r="A30" s="13" t="n">
        <v>10</v>
      </c>
      <c r="B30" s="14" t="s">
        <v>27</v>
      </c>
      <c r="C30" s="15" t="n">
        <f aca="false">C29+Q29</f>
        <v>554.08</v>
      </c>
      <c r="D30" s="16" t="n">
        <f aca="false">Chạy!G77</f>
        <v>2.19</v>
      </c>
      <c r="E30" s="16" t="n">
        <f aca="false">D30+F30</f>
        <v>2.266</v>
      </c>
      <c r="F30" s="16" t="n">
        <f aca="false">RANDBETWEEN(-30,100)/1000</f>
        <v>0.076</v>
      </c>
      <c r="G30" s="16" t="n">
        <f aca="false">Chạy!I77</f>
        <v>2.19</v>
      </c>
      <c r="H30" s="16" t="n">
        <f aca="false">G30+I30</f>
        <v>2.176</v>
      </c>
      <c r="I30" s="16" t="n">
        <f aca="false">RANDBETWEEN(-30,100)/1000</f>
        <v>-0.014</v>
      </c>
      <c r="J30" s="16" t="n">
        <f aca="false">Chạy!M81</f>
        <v>2.19</v>
      </c>
      <c r="K30" s="16" t="n">
        <f aca="false">J30+L30</f>
        <v>2.245</v>
      </c>
      <c r="L30" s="16" t="n">
        <f aca="false">RANDBETWEEN(-30,100)/1000</f>
        <v>0.055</v>
      </c>
      <c r="M30" s="16" t="n">
        <f aca="false">Chạy!O81</f>
        <v>2.19</v>
      </c>
      <c r="N30" s="16" t="n">
        <f aca="false">M30+O30</f>
        <v>2.201</v>
      </c>
      <c r="O30" s="16" t="n">
        <f aca="false">RANDBETWEEN(-30,100)/1000</f>
        <v>0.011</v>
      </c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48</v>
      </c>
      <c r="D60" s="19"/>
      <c r="E60" s="19"/>
      <c r="F60" s="19"/>
      <c r="G60" s="20"/>
      <c r="H60" s="20"/>
      <c r="I60" s="20"/>
      <c r="K60" s="19" t="s">
        <v>49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50</v>
      </c>
      <c r="D65" s="19"/>
      <c r="E65" s="19"/>
      <c r="F65" s="19"/>
      <c r="G65" s="20"/>
      <c r="H65" s="20"/>
      <c r="I65" s="20"/>
      <c r="J65" s="21"/>
      <c r="K65" s="19" t="s">
        <v>51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18.NĐXD4/CVXD ngày 24 tháng 08 năm 2026</v>
      </c>
      <c r="B2" s="27"/>
      <c r="C2" s="27"/>
      <c r="D2" s="27"/>
      <c r="E2" s="27"/>
      <c r="F2" s="27"/>
      <c r="G2" s="27"/>
      <c r="AZ2">
        <v>18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34</v>
      </c>
      <c r="B7" s="32"/>
      <c r="C7" s="33"/>
      <c r="D7" s="34" t="str">
        <f>VLOOKUP(AZ2,'[1]Tuyến XD4'!$A$2:$B$60,2,0)</f>
        <v xml:space="preserve">Đắp đất lề đường lớp 1, độ chặt K&gt;=0,95 đoạn từ Km0+441,84 - Km0+554,08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38</v>
      </c>
      <c r="C9" s="36" t="s">
        <v>39</v>
      </c>
      <c r="D9" s="37" t="s">
        <v>53</v>
      </c>
      <c r="E9" s="38"/>
      <c r="F9" s="38"/>
      <c r="G9" s="37" t="s">
        <v>44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54</v>
      </c>
      <c r="F10" s="38" t="s">
        <v>55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24</v>
      </c>
      <c r="C11" s="15" t="n">
        <f aca="false">'1. KTHH L1'!C21</f>
        <v>441.84</v>
      </c>
      <c r="D11" s="13" t="n">
        <f aca="false">'1. KTHH L1'!Q21</f>
        <v>12.5</v>
      </c>
      <c r="E11" s="42" t="n">
        <f aca="false">Chạy!E5+Chạy!E9</f>
        <v>3.26</v>
      </c>
      <c r="F11" s="43" t="n">
        <f aca="false">(E11+E12)*D11/2</f>
        <v>40.75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25</v>
      </c>
      <c r="C12" s="15" t="n">
        <f aca="false">'1. KTHH L1'!C22</f>
        <v>454.34</v>
      </c>
      <c r="D12" s="13" t="n">
        <f aca="false">'1. KTHH L1'!Q22</f>
        <v>12.5</v>
      </c>
      <c r="E12" s="42" t="n">
        <f aca="false">Chạy!E13+Chạy!E17</f>
        <v>3.26</v>
      </c>
      <c r="F12" s="43" t="n">
        <f aca="false">(E12+E13)*D12/2</f>
        <v>40.75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26</v>
      </c>
      <c r="C13" s="15" t="n">
        <f aca="false">'1. KTHH L1'!C23</f>
        <v>466.84</v>
      </c>
      <c r="D13" s="13" t="n">
        <f aca="false">'1. KTHH L1'!Q23</f>
        <v>7.5</v>
      </c>
      <c r="E13" s="42" t="n">
        <f aca="false">Chạy!E21+Chạy!E25</f>
        <v>3.26</v>
      </c>
      <c r="F13" s="43" t="n">
        <f aca="false">(E13+E14)*D13/2</f>
        <v>24.45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27</v>
      </c>
      <c r="C14" s="15" t="n">
        <f aca="false">'1. KTHH L1'!C24</f>
        <v>474.34</v>
      </c>
      <c r="D14" s="13" t="n">
        <f aca="false">'1. KTHH L1'!Q24</f>
        <v>20</v>
      </c>
      <c r="E14" s="42" t="n">
        <f aca="false">Chạy!E29+Chạy!E33</f>
        <v>3.26</v>
      </c>
      <c r="F14" s="43" t="n">
        <f aca="false">(E14+E15)*D14/2</f>
        <v>65.2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28</v>
      </c>
      <c r="C15" s="15" t="n">
        <f aca="false">'1. KTHH L1'!C25</f>
        <v>494.34</v>
      </c>
      <c r="D15" s="13" t="n">
        <f aca="false">'1. KTHH L1'!Q25</f>
        <v>17.14</v>
      </c>
      <c r="E15" s="42" t="n">
        <f aca="false">Chạy!E37+Chạy!E41</f>
        <v>3.26</v>
      </c>
      <c r="F15" s="43" t="n">
        <f aca="false">(E15+E16)*D15/2</f>
        <v>55.8764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29</v>
      </c>
      <c r="C16" s="15" t="n">
        <f aca="false">'1. KTHH L1'!C26</f>
        <v>511.48</v>
      </c>
      <c r="D16" s="13" t="n">
        <f aca="false">'1. KTHH L1'!Q26</f>
        <v>3.12</v>
      </c>
      <c r="E16" s="42" t="n">
        <f aca="false">Chạy!E45+Chạy!E49</f>
        <v>3.26</v>
      </c>
      <c r="F16" s="43" t="n">
        <f aca="false">(E16+E17)*D16/2</f>
        <v>10.1712</v>
      </c>
      <c r="G16" s="44"/>
      <c r="I16" s="45"/>
      <c r="J16" s="45"/>
    </row>
    <row r="17" s="41" customFormat="true" ht="15" hidden="false" customHeight="true" outlineLevel="0" collapsed="false">
      <c r="A17" s="13" t="n">
        <v>7</v>
      </c>
      <c r="B17" s="14" t="str">
        <f aca="false">'1. KTHH L1'!B27</f>
        <v>30</v>
      </c>
      <c r="C17" s="15" t="n">
        <f aca="false">'1. KTHH L1'!C27</f>
        <v>514.6</v>
      </c>
      <c r="D17" s="13" t="n">
        <f aca="false">'1. KTHH L1'!Q27</f>
        <v>10.48</v>
      </c>
      <c r="E17" s="42" t="n">
        <f aca="false">Chạy!E53+Chạy!E57</f>
        <v>3.26</v>
      </c>
      <c r="F17" s="43" t="n">
        <f aca="false">(E17+E18)*D17/2</f>
        <v>34.1648</v>
      </c>
      <c r="G17" s="44"/>
      <c r="I17" s="45"/>
      <c r="J17" s="45"/>
    </row>
    <row r="18" s="41" customFormat="true" ht="15" hidden="false" customHeight="true" outlineLevel="0" collapsed="false">
      <c r="A18" s="13" t="n">
        <v>8</v>
      </c>
      <c r="B18" s="14" t="str">
        <f aca="false">'1. KTHH L1'!B28</f>
        <v>D</v>
      </c>
      <c r="C18" s="15" t="n">
        <f aca="false">'1. KTHH L1'!C28</f>
        <v>525.08</v>
      </c>
      <c r="D18" s="13" t="n">
        <f aca="false">'1. KTHH L1'!Q28</f>
        <v>13.6</v>
      </c>
      <c r="E18" s="42" t="n">
        <f aca="false">Chạy!E61+Chạy!E65</f>
        <v>3.26</v>
      </c>
      <c r="F18" s="43" t="n">
        <f aca="false">(E18+E19)*D18/2</f>
        <v>44.336</v>
      </c>
      <c r="G18" s="44"/>
      <c r="I18" s="45"/>
      <c r="J18" s="45"/>
    </row>
    <row r="19" s="41" customFormat="true" ht="15" hidden="false" customHeight="true" outlineLevel="0" collapsed="false">
      <c r="A19" s="13" t="n">
        <v>9</v>
      </c>
      <c r="B19" s="14" t="str">
        <f aca="false">'1. KTHH L1'!B29</f>
        <v>31</v>
      </c>
      <c r="C19" s="15" t="n">
        <f aca="false">'1. KTHH L1'!C29</f>
        <v>538.68</v>
      </c>
      <c r="D19" s="13" t="n">
        <f aca="false">'1. KTHH L1'!Q29</f>
        <v>15.4</v>
      </c>
      <c r="E19" s="42" t="n">
        <f aca="false">Chạy!E69+Chạy!E73</f>
        <v>3.26</v>
      </c>
      <c r="F19" s="43" t="n">
        <f aca="false">(E19+E20)*D19/2</f>
        <v>50.204</v>
      </c>
      <c r="G19" s="44"/>
      <c r="I19" s="45"/>
      <c r="J19" s="45"/>
    </row>
    <row r="20" s="41" customFormat="true" ht="15" hidden="false" customHeight="true" outlineLevel="0" collapsed="false">
      <c r="A20" s="13" t="n">
        <v>10</v>
      </c>
      <c r="B20" s="14" t="str">
        <f aca="false">'1. KTHH L1'!B30</f>
        <v>32</v>
      </c>
      <c r="C20" s="15" t="n">
        <f aca="false">'1. KTHH L1'!C30</f>
        <v>554.08</v>
      </c>
      <c r="D20" s="13"/>
      <c r="E20" s="42" t="n">
        <f aca="false">Chạy!E77+Chạy!E81</f>
        <v>3.26</v>
      </c>
      <c r="F20" s="43"/>
      <c r="G20" s="44"/>
      <c r="I20" s="45"/>
      <c r="J20" s="45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I21" s="45"/>
      <c r="J21" s="45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56</v>
      </c>
      <c r="B49" s="46"/>
      <c r="C49" s="46"/>
      <c r="D49" s="46"/>
      <c r="E49" s="47"/>
      <c r="F49" s="48" t="n">
        <f aca="false">SUM(F11:F20)</f>
        <v>365.9024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48</v>
      </c>
      <c r="B51" s="19"/>
      <c r="C51" s="19"/>
      <c r="D51" s="57" t="s">
        <v>57</v>
      </c>
      <c r="E51" s="19" t="s">
        <v>49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50</v>
      </c>
      <c r="B57" s="19"/>
      <c r="C57" s="19"/>
      <c r="D57" s="21"/>
      <c r="E57" s="19" t="s">
        <v>51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20.NĐXD4/CVXD ngày 25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20</v>
      </c>
    </row>
    <row r="3" customFormat="false" ht="18.75" hidden="false" customHeight="true" outlineLevel="0" collapsed="false">
      <c r="A3" s="6" t="s">
        <v>30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31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32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33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34</v>
      </c>
      <c r="B7" s="7"/>
      <c r="C7" s="6"/>
      <c r="D7" s="6" t="str">
        <f>VLOOKUP(AZ2,'[1]Tuyến XD4'!$A$2:$B$60,2,0)</f>
        <v xml:space="preserve">Đắp đất lề đường lớp 2, độ chặt K&gt;=0,95 đoạn từ Km0+441,84 - Km0+554,08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36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37</v>
      </c>
      <c r="B19" s="10" t="s">
        <v>38</v>
      </c>
      <c r="C19" s="10" t="s">
        <v>39</v>
      </c>
      <c r="D19" s="11" t="s">
        <v>40</v>
      </c>
      <c r="E19" s="11"/>
      <c r="F19" s="11"/>
      <c r="G19" s="11" t="s">
        <v>41</v>
      </c>
      <c r="H19" s="11"/>
      <c r="I19" s="11"/>
      <c r="J19" s="11" t="s">
        <v>42</v>
      </c>
      <c r="K19" s="11"/>
      <c r="L19" s="11"/>
      <c r="M19" s="11" t="s">
        <v>43</v>
      </c>
      <c r="N19" s="11"/>
      <c r="O19" s="11"/>
      <c r="P19" s="10" t="s">
        <v>44</v>
      </c>
    </row>
    <row r="20" customFormat="false" ht="33" hidden="false" customHeight="true" outlineLevel="0" collapsed="false">
      <c r="A20" s="10"/>
      <c r="B20" s="10"/>
      <c r="C20" s="10"/>
      <c r="D20" s="11" t="s">
        <v>45</v>
      </c>
      <c r="E20" s="11" t="s">
        <v>46</v>
      </c>
      <c r="F20" s="11" t="s">
        <v>47</v>
      </c>
      <c r="G20" s="11" t="s">
        <v>45</v>
      </c>
      <c r="H20" s="11" t="s">
        <v>46</v>
      </c>
      <c r="I20" s="11" t="s">
        <v>47</v>
      </c>
      <c r="J20" s="11" t="s">
        <v>45</v>
      </c>
      <c r="K20" s="11" t="s">
        <v>46</v>
      </c>
      <c r="L20" s="11" t="s">
        <v>47</v>
      </c>
      <c r="M20" s="11" t="s">
        <v>45</v>
      </c>
      <c r="N20" s="11" t="s">
        <v>46</v>
      </c>
      <c r="O20" s="11" t="s">
        <v>47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441.84</v>
      </c>
      <c r="D21" s="16" t="n">
        <f aca="false">Chạy!G4</f>
        <v>2.5</v>
      </c>
      <c r="E21" s="16" t="n">
        <f aca="false">D21+F21</f>
        <v>2.51</v>
      </c>
      <c r="F21" s="16" t="n">
        <f aca="false">RANDBETWEEN(-30,100)/1000</f>
        <v>0.01</v>
      </c>
      <c r="G21" s="16" t="n">
        <f aca="false">Chạy!I4</f>
        <v>2.5</v>
      </c>
      <c r="H21" s="16" t="n">
        <f aca="false">G21+I21</f>
        <v>2.517</v>
      </c>
      <c r="I21" s="16" t="n">
        <f aca="false">RANDBETWEEN(-30,100)/1000</f>
        <v>0.017</v>
      </c>
      <c r="J21" s="16" t="n">
        <f aca="false">Chạy!M8</f>
        <v>2.5</v>
      </c>
      <c r="K21" s="16" t="n">
        <f aca="false">J21+L21</f>
        <v>2.522</v>
      </c>
      <c r="L21" s="16" t="n">
        <f aca="false">RANDBETWEEN(-30,100)/1000</f>
        <v>0.022</v>
      </c>
      <c r="M21" s="16" t="n">
        <f aca="false">Chạy!O8</f>
        <v>2.5</v>
      </c>
      <c r="N21" s="16" t="n">
        <f aca="false">M21+O21</f>
        <v>2.551</v>
      </c>
      <c r="O21" s="16" t="n">
        <f aca="false">RANDBETWEEN(-30,100)/1000</f>
        <v>0.051</v>
      </c>
      <c r="P21" s="17"/>
      <c r="Q21" s="18" t="n">
        <v>12.5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454.34</v>
      </c>
      <c r="D22" s="16" t="n">
        <f aca="false">Chạy!G12</f>
        <v>2.49</v>
      </c>
      <c r="E22" s="16" t="n">
        <f aca="false">D22+F22</f>
        <v>2.574</v>
      </c>
      <c r="F22" s="16" t="n">
        <f aca="false">RANDBETWEEN(-30,100)/1000</f>
        <v>0.084</v>
      </c>
      <c r="G22" s="16" t="n">
        <f aca="false">Chạy!I12</f>
        <v>2.49</v>
      </c>
      <c r="H22" s="16" t="n">
        <f aca="false">G22+I22</f>
        <v>2.557</v>
      </c>
      <c r="I22" s="16" t="n">
        <f aca="false">RANDBETWEEN(-30,100)/1000</f>
        <v>0.067</v>
      </c>
      <c r="J22" s="16" t="n">
        <f aca="false">Chạy!M16</f>
        <v>2.49</v>
      </c>
      <c r="K22" s="16" t="n">
        <f aca="false">J22+L22</f>
        <v>2.545</v>
      </c>
      <c r="L22" s="16" t="n">
        <f aca="false">RANDBETWEEN(-30,100)/1000</f>
        <v>0.055</v>
      </c>
      <c r="M22" s="16" t="n">
        <f aca="false">Chạy!O16</f>
        <v>2.49</v>
      </c>
      <c r="N22" s="16" t="n">
        <f aca="false">M22+O22</f>
        <v>2.519</v>
      </c>
      <c r="O22" s="16" t="n">
        <f aca="false">RANDBETWEEN(-30,100)/1000</f>
        <v>0.029</v>
      </c>
      <c r="P22" s="17"/>
      <c r="Q22" s="18" t="n">
        <v>12.5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466.84</v>
      </c>
      <c r="D23" s="16" t="n">
        <f aca="false">Chạy!G20</f>
        <v>2.48</v>
      </c>
      <c r="E23" s="16" t="n">
        <f aca="false">D23+F23</f>
        <v>2.535</v>
      </c>
      <c r="F23" s="16" t="n">
        <f aca="false">RANDBETWEEN(-30,100)/1000</f>
        <v>0.055</v>
      </c>
      <c r="G23" s="16" t="n">
        <f aca="false">Chạy!I20</f>
        <v>2.48</v>
      </c>
      <c r="H23" s="16" t="n">
        <f aca="false">G23+I23</f>
        <v>2.572</v>
      </c>
      <c r="I23" s="16" t="n">
        <f aca="false">RANDBETWEEN(-30,100)/1000</f>
        <v>0.092</v>
      </c>
      <c r="J23" s="16" t="n">
        <f aca="false">Chạy!M24</f>
        <v>2.48</v>
      </c>
      <c r="K23" s="16" t="n">
        <f aca="false">J23+L23</f>
        <v>2.534</v>
      </c>
      <c r="L23" s="16" t="n">
        <f aca="false">RANDBETWEEN(-30,100)/1000</f>
        <v>0.054</v>
      </c>
      <c r="M23" s="16" t="n">
        <f aca="false">Chạy!O24</f>
        <v>2.48</v>
      </c>
      <c r="N23" s="16" t="n">
        <f aca="false">M23+O23</f>
        <v>2.533</v>
      </c>
      <c r="O23" s="16" t="n">
        <f aca="false">RANDBETWEEN(-30,100)/1000</f>
        <v>0.053</v>
      </c>
      <c r="P23" s="17"/>
      <c r="Q23" s="18" t="n">
        <v>7.5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474.34</v>
      </c>
      <c r="D24" s="16" t="n">
        <f aca="false">Chạy!G28</f>
        <v>2.48</v>
      </c>
      <c r="E24" s="16" t="n">
        <f aca="false">D24+F24</f>
        <v>2.467</v>
      </c>
      <c r="F24" s="16" t="n">
        <f aca="false">RANDBETWEEN(-30,100)/1000</f>
        <v>-0.013</v>
      </c>
      <c r="G24" s="16" t="n">
        <f aca="false">Chạy!I28</f>
        <v>2.48</v>
      </c>
      <c r="H24" s="16" t="n">
        <f aca="false">G24+I24</f>
        <v>2.564</v>
      </c>
      <c r="I24" s="16" t="n">
        <f aca="false">RANDBETWEEN(-30,100)/1000</f>
        <v>0.084</v>
      </c>
      <c r="J24" s="16" t="n">
        <f aca="false">Chạy!M32</f>
        <v>2.48</v>
      </c>
      <c r="K24" s="16" t="n">
        <f aca="false">J24+L24</f>
        <v>2.551</v>
      </c>
      <c r="L24" s="16" t="n">
        <f aca="false">RANDBETWEEN(-30,100)/1000</f>
        <v>0.071</v>
      </c>
      <c r="M24" s="16" t="n">
        <f aca="false">Chạy!O32</f>
        <v>2.48</v>
      </c>
      <c r="N24" s="16" t="n">
        <f aca="false">M24+O24</f>
        <v>2.46</v>
      </c>
      <c r="O24" s="16" t="n">
        <f aca="false">RANDBETWEEN(-30,100)/1000</f>
        <v>-0.02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494.34</v>
      </c>
      <c r="D25" s="16" t="n">
        <f aca="false">Chạy!G36</f>
        <v>2.47</v>
      </c>
      <c r="E25" s="16" t="n">
        <f aca="false">D25+F25</f>
        <v>2.445</v>
      </c>
      <c r="F25" s="16" t="n">
        <f aca="false">RANDBETWEEN(-30,100)/1000</f>
        <v>-0.025</v>
      </c>
      <c r="G25" s="16" t="n">
        <f aca="false">Chạy!I36</f>
        <v>2.47</v>
      </c>
      <c r="H25" s="16" t="n">
        <f aca="false">G25+I25</f>
        <v>2.569</v>
      </c>
      <c r="I25" s="16" t="n">
        <f aca="false">RANDBETWEEN(-30,100)/1000</f>
        <v>0.099</v>
      </c>
      <c r="J25" s="16" t="n">
        <f aca="false">Chạy!M40</f>
        <v>2.47</v>
      </c>
      <c r="K25" s="16" t="n">
        <f aca="false">J25+L25</f>
        <v>2.478</v>
      </c>
      <c r="L25" s="16" t="n">
        <f aca="false">RANDBETWEEN(-30,100)/1000</f>
        <v>0.008</v>
      </c>
      <c r="M25" s="16" t="n">
        <f aca="false">Chạy!O40</f>
        <v>2.47</v>
      </c>
      <c r="N25" s="16" t="n">
        <f aca="false">M25+O25</f>
        <v>2.529</v>
      </c>
      <c r="O25" s="16" t="n">
        <f aca="false">RANDBETWEEN(-30,100)/1000</f>
        <v>0.059</v>
      </c>
      <c r="P25" s="17"/>
      <c r="Q25" s="18" t="n">
        <v>17.14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511.48</v>
      </c>
      <c r="D26" s="16" t="n">
        <f aca="false">Chạy!G44</f>
        <v>2.46</v>
      </c>
      <c r="E26" s="16" t="n">
        <f aca="false">D26+F26</f>
        <v>2.536</v>
      </c>
      <c r="F26" s="16" t="n">
        <f aca="false">RANDBETWEEN(-30,100)/1000</f>
        <v>0.076</v>
      </c>
      <c r="G26" s="16" t="n">
        <f aca="false">Chạy!I44</f>
        <v>2.46</v>
      </c>
      <c r="H26" s="16" t="n">
        <f aca="false">G26+I26</f>
        <v>2.434</v>
      </c>
      <c r="I26" s="16" t="n">
        <f aca="false">RANDBETWEEN(-30,100)/1000</f>
        <v>-0.026</v>
      </c>
      <c r="J26" s="16" t="n">
        <f aca="false">Chạy!M48</f>
        <v>2.46</v>
      </c>
      <c r="K26" s="16" t="n">
        <f aca="false">J26+L26</f>
        <v>2.434</v>
      </c>
      <c r="L26" s="16" t="n">
        <f aca="false">RANDBETWEEN(-30,100)/1000</f>
        <v>-0.026</v>
      </c>
      <c r="M26" s="16" t="n">
        <f aca="false">Chạy!O48</f>
        <v>2.46</v>
      </c>
      <c r="N26" s="16" t="n">
        <f aca="false">M26+O26</f>
        <v>2.45</v>
      </c>
      <c r="O26" s="16" t="n">
        <f aca="false">RANDBETWEEN(-30,100)/1000</f>
        <v>-0.01</v>
      </c>
      <c r="P26" s="17"/>
      <c r="Q26" s="18" t="n">
        <v>3.12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514.6</v>
      </c>
      <c r="D27" s="16" t="n">
        <f aca="false">Chạy!G52</f>
        <v>2.46</v>
      </c>
      <c r="E27" s="16" t="n">
        <f aca="false">D27+F27</f>
        <v>2.52</v>
      </c>
      <c r="F27" s="16" t="n">
        <f aca="false">RANDBETWEEN(-30,100)/1000</f>
        <v>0.06</v>
      </c>
      <c r="G27" s="16" t="n">
        <f aca="false">Chạy!I52</f>
        <v>2.46</v>
      </c>
      <c r="H27" s="16" t="n">
        <f aca="false">G27+I27</f>
        <v>2.43</v>
      </c>
      <c r="I27" s="16" t="n">
        <f aca="false">RANDBETWEEN(-30,100)/1000</f>
        <v>-0.03</v>
      </c>
      <c r="J27" s="16" t="n">
        <f aca="false">Chạy!M56</f>
        <v>2.46</v>
      </c>
      <c r="K27" s="16" t="n">
        <f aca="false">J27+L27</f>
        <v>2.55</v>
      </c>
      <c r="L27" s="16" t="n">
        <f aca="false">RANDBETWEEN(-30,100)/1000</f>
        <v>0.09</v>
      </c>
      <c r="M27" s="16" t="n">
        <f aca="false">Chạy!O56</f>
        <v>2.46</v>
      </c>
      <c r="N27" s="16" t="n">
        <f aca="false">M27+O27</f>
        <v>2.537</v>
      </c>
      <c r="O27" s="16" t="n">
        <f aca="false">RANDBETWEEN(-30,100)/1000</f>
        <v>0.077</v>
      </c>
      <c r="P27" s="17"/>
      <c r="Q27" s="18" t="n">
        <v>10.48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525.08</v>
      </c>
      <c r="D28" s="16" t="n">
        <f aca="false">Chạy!G60</f>
        <v>2.45</v>
      </c>
      <c r="E28" s="16" t="n">
        <f aca="false">D28+F28</f>
        <v>2.46</v>
      </c>
      <c r="F28" s="16" t="n">
        <f aca="false">RANDBETWEEN(-30,100)/1000</f>
        <v>0.01</v>
      </c>
      <c r="G28" s="16" t="n">
        <f aca="false">Chạy!I60</f>
        <v>2.45</v>
      </c>
      <c r="H28" s="16" t="n">
        <f aca="false">G28+I28</f>
        <v>2.468</v>
      </c>
      <c r="I28" s="16" t="n">
        <f aca="false">RANDBETWEEN(-30,100)/1000</f>
        <v>0.018</v>
      </c>
      <c r="J28" s="16" t="n">
        <f aca="false">Chạy!M64</f>
        <v>2.45</v>
      </c>
      <c r="K28" s="16" t="n">
        <f aca="false">J28+L28</f>
        <v>2.457</v>
      </c>
      <c r="L28" s="16" t="n">
        <f aca="false">RANDBETWEEN(-30,100)/1000</f>
        <v>0.007</v>
      </c>
      <c r="M28" s="16" t="n">
        <f aca="false">Chạy!O64</f>
        <v>2.45</v>
      </c>
      <c r="N28" s="16" t="n">
        <f aca="false">M28+O28</f>
        <v>2.43</v>
      </c>
      <c r="O28" s="16" t="n">
        <f aca="false">RANDBETWEEN(-30,100)/1000</f>
        <v>-0.02</v>
      </c>
      <c r="P28" s="17"/>
      <c r="Q28" s="18" t="n">
        <v>13.6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538.68</v>
      </c>
      <c r="D29" s="16" t="n">
        <f aca="false">Chạy!G68</f>
        <v>2.45</v>
      </c>
      <c r="E29" s="16" t="n">
        <f aca="false">D29+F29</f>
        <v>2.42</v>
      </c>
      <c r="F29" s="16" t="n">
        <f aca="false">RANDBETWEEN(-30,100)/1000</f>
        <v>-0.03</v>
      </c>
      <c r="G29" s="16" t="n">
        <f aca="false">Chạy!I68</f>
        <v>2.45</v>
      </c>
      <c r="H29" s="16" t="n">
        <f aca="false">G29+I29</f>
        <v>2.421</v>
      </c>
      <c r="I29" s="16" t="n">
        <f aca="false">RANDBETWEEN(-30,100)/1000</f>
        <v>-0.029</v>
      </c>
      <c r="J29" s="16" t="n">
        <f aca="false">Chạy!M72</f>
        <v>2.45</v>
      </c>
      <c r="K29" s="16" t="n">
        <f aca="false">J29+L29</f>
        <v>2.535</v>
      </c>
      <c r="L29" s="16" t="n">
        <f aca="false">RANDBETWEEN(-30,100)/1000</f>
        <v>0.085</v>
      </c>
      <c r="M29" s="16" t="n">
        <f aca="false">Chạy!O72</f>
        <v>2.45</v>
      </c>
      <c r="N29" s="16" t="n">
        <f aca="false">M29+O29</f>
        <v>2.491</v>
      </c>
      <c r="O29" s="16" t="n">
        <f aca="false">RANDBETWEEN(-30,100)/1000</f>
        <v>0.041</v>
      </c>
      <c r="P29" s="17"/>
      <c r="Q29" s="18" t="n">
        <v>15.4</v>
      </c>
    </row>
    <row r="30" customFormat="false" ht="15" hidden="false" customHeight="false" outlineLevel="0" collapsed="false">
      <c r="A30" s="13" t="n">
        <v>10</v>
      </c>
      <c r="B30" s="14" t="s">
        <v>27</v>
      </c>
      <c r="C30" s="15" t="n">
        <f aca="false">C29+Q29</f>
        <v>554.08</v>
      </c>
      <c r="D30" s="16" t="n">
        <f aca="false">Chạy!G76</f>
        <v>2.44</v>
      </c>
      <c r="E30" s="16" t="n">
        <f aca="false">D30+F30</f>
        <v>2.495</v>
      </c>
      <c r="F30" s="16" t="n">
        <f aca="false">RANDBETWEEN(-30,100)/1000</f>
        <v>0.055</v>
      </c>
      <c r="G30" s="16" t="n">
        <f aca="false">Chạy!I76</f>
        <v>2.44</v>
      </c>
      <c r="H30" s="16" t="n">
        <f aca="false">G30+I30</f>
        <v>2.426</v>
      </c>
      <c r="I30" s="16" t="n">
        <f aca="false">RANDBETWEEN(-30,100)/1000</f>
        <v>-0.014</v>
      </c>
      <c r="J30" s="16" t="n">
        <f aca="false">Chạy!M80</f>
        <v>2.44</v>
      </c>
      <c r="K30" s="16" t="n">
        <f aca="false">J30+L30</f>
        <v>2.508</v>
      </c>
      <c r="L30" s="16" t="n">
        <f aca="false">RANDBETWEEN(-30,100)/1000</f>
        <v>0.068</v>
      </c>
      <c r="M30" s="16" t="n">
        <f aca="false">Chạy!O80</f>
        <v>2.44</v>
      </c>
      <c r="N30" s="16" t="n">
        <f aca="false">M30+O30</f>
        <v>2.517</v>
      </c>
      <c r="O30" s="16" t="n">
        <f aca="false">RANDBETWEEN(-30,100)/1000</f>
        <v>0.077</v>
      </c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48</v>
      </c>
      <c r="D60" s="19"/>
      <c r="E60" s="19"/>
      <c r="F60" s="19"/>
      <c r="G60" s="20"/>
      <c r="H60" s="20"/>
      <c r="I60" s="20"/>
      <c r="K60" s="19" t="s">
        <v>49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50</v>
      </c>
      <c r="D65" s="19"/>
      <c r="E65" s="19"/>
      <c r="F65" s="19"/>
      <c r="G65" s="20"/>
      <c r="H65" s="20"/>
      <c r="I65" s="20"/>
      <c r="J65" s="21"/>
      <c r="K65" s="19" t="s">
        <v>51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20.NĐXD4/CVXD ngày 25 tháng 08 năm 2026</v>
      </c>
      <c r="B2" s="27"/>
      <c r="C2" s="27"/>
      <c r="D2" s="27"/>
      <c r="E2" s="27"/>
      <c r="F2" s="27"/>
      <c r="G2" s="27"/>
      <c r="AZ2">
        <v>20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34</v>
      </c>
      <c r="B7" s="32"/>
      <c r="C7" s="33"/>
      <c r="D7" s="34" t="str">
        <f>VLOOKUP(AZ2,'[1]Tuyến XD4'!$A$2:$B$60,2,0)</f>
        <v xml:space="preserve">Đắp đất lề đường lớp 2, độ chặt K&gt;=0,95 đoạn từ Km0+441,84 - Km0+554,08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38</v>
      </c>
      <c r="C9" s="36" t="s">
        <v>39</v>
      </c>
      <c r="D9" s="37" t="s">
        <v>53</v>
      </c>
      <c r="E9" s="38"/>
      <c r="F9" s="38"/>
      <c r="G9" s="37" t="s">
        <v>44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54</v>
      </c>
      <c r="F10" s="38" t="s">
        <v>55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24</v>
      </c>
      <c r="C11" s="15" t="n">
        <f aca="false">'1. KTHH L2'!C21</f>
        <v>441.84</v>
      </c>
      <c r="D11" s="13" t="n">
        <f aca="false">'1. KTHH L2'!Q21</f>
        <v>12.5</v>
      </c>
      <c r="E11" s="42" t="n">
        <f aca="false">Chạy!E4+Chạy!E8</f>
        <v>3.06</v>
      </c>
      <c r="F11" s="43" t="n">
        <f aca="false">(E11+E12)*D11/2</f>
        <v>38.25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25</v>
      </c>
      <c r="C12" s="15" t="n">
        <f aca="false">'1. KTHH L2'!C22</f>
        <v>454.34</v>
      </c>
      <c r="D12" s="13" t="n">
        <f aca="false">'1. KTHH L2'!Q22</f>
        <v>12.5</v>
      </c>
      <c r="E12" s="42" t="n">
        <f aca="false">Chạy!E12+Chạy!E16</f>
        <v>3.06</v>
      </c>
      <c r="F12" s="43" t="n">
        <f aca="false">(E12+E13)*D12/2</f>
        <v>38.25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26</v>
      </c>
      <c r="C13" s="15" t="n">
        <f aca="false">'1. KTHH L2'!C23</f>
        <v>466.84</v>
      </c>
      <c r="D13" s="13" t="n">
        <f aca="false">'1. KTHH L2'!Q23</f>
        <v>7.5</v>
      </c>
      <c r="E13" s="42" t="n">
        <f aca="false">Chạy!E20+Chạy!E24</f>
        <v>3.06</v>
      </c>
      <c r="F13" s="43" t="n">
        <f aca="false">(E13+E14)*D13/2</f>
        <v>22.95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27</v>
      </c>
      <c r="C14" s="15" t="n">
        <f aca="false">'1. KTHH L2'!C24</f>
        <v>474.34</v>
      </c>
      <c r="D14" s="13" t="n">
        <f aca="false">'1. KTHH L2'!Q24</f>
        <v>20</v>
      </c>
      <c r="E14" s="42" t="n">
        <f aca="false">Chạy!E28+Chạy!E32</f>
        <v>3.06</v>
      </c>
      <c r="F14" s="43" t="n">
        <f aca="false">(E14+E15)*D14/2</f>
        <v>61.2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28</v>
      </c>
      <c r="C15" s="15" t="n">
        <f aca="false">'1. KTHH L2'!C25</f>
        <v>494.34</v>
      </c>
      <c r="D15" s="13" t="n">
        <f aca="false">'1. KTHH L2'!Q25</f>
        <v>17.14</v>
      </c>
      <c r="E15" s="42" t="n">
        <f aca="false">Chạy!E36+Chạy!E40</f>
        <v>3.06</v>
      </c>
      <c r="F15" s="43" t="n">
        <f aca="false">(E15+E16)*D15/2</f>
        <v>52.4484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29</v>
      </c>
      <c r="C16" s="15" t="n">
        <f aca="false">'1. KTHH L2'!C26</f>
        <v>511.48</v>
      </c>
      <c r="D16" s="13" t="n">
        <f aca="false">'1. KTHH L2'!Q26</f>
        <v>3.12</v>
      </c>
      <c r="E16" s="42" t="n">
        <f aca="false">Chạy!E44+Chạy!E48</f>
        <v>3.06</v>
      </c>
      <c r="F16" s="43" t="n">
        <f aca="false">(E16+E17)*D16/2</f>
        <v>9.5472</v>
      </c>
      <c r="G16" s="44"/>
      <c r="H16" s="40"/>
      <c r="I16" s="40"/>
    </row>
    <row r="17" s="41" customFormat="true" ht="15" hidden="false" customHeight="true" outlineLevel="0" collapsed="false">
      <c r="A17" s="13" t="n">
        <v>7</v>
      </c>
      <c r="B17" s="14" t="str">
        <f aca="false">'1. KTHH L2'!B27</f>
        <v>30</v>
      </c>
      <c r="C17" s="15" t="n">
        <f aca="false">'1. KTHH L2'!C27</f>
        <v>514.6</v>
      </c>
      <c r="D17" s="13" t="n">
        <f aca="false">'1. KTHH L2'!Q27</f>
        <v>10.48</v>
      </c>
      <c r="E17" s="42" t="n">
        <f aca="false">Chạy!E52+Chạy!E56</f>
        <v>3.06</v>
      </c>
      <c r="F17" s="43" t="n">
        <f aca="false">(E17+E18)*D17/2</f>
        <v>32.0688</v>
      </c>
      <c r="G17" s="44"/>
      <c r="H17" s="40"/>
      <c r="I17" s="40"/>
    </row>
    <row r="18" s="41" customFormat="true" ht="15" hidden="false" customHeight="true" outlineLevel="0" collapsed="false">
      <c r="A18" s="13" t="n">
        <v>8</v>
      </c>
      <c r="B18" s="14" t="str">
        <f aca="false">'1. KTHH L2'!B28</f>
        <v>D</v>
      </c>
      <c r="C18" s="15" t="n">
        <f aca="false">'1. KTHH L2'!C28</f>
        <v>525.08</v>
      </c>
      <c r="D18" s="13" t="n">
        <f aca="false">'1. KTHH L2'!Q28</f>
        <v>13.6</v>
      </c>
      <c r="E18" s="42" t="n">
        <f aca="false">Chạy!E60+Chạy!E64</f>
        <v>3.06</v>
      </c>
      <c r="F18" s="43" t="n">
        <f aca="false">(E18+E19)*D18/2</f>
        <v>41.616</v>
      </c>
      <c r="G18" s="44"/>
      <c r="H18" s="40"/>
      <c r="I18" s="40"/>
    </row>
    <row r="19" s="41" customFormat="true" ht="15" hidden="false" customHeight="true" outlineLevel="0" collapsed="false">
      <c r="A19" s="13" t="n">
        <v>9</v>
      </c>
      <c r="B19" s="14" t="str">
        <f aca="false">'1. KTHH L2'!B29</f>
        <v>31</v>
      </c>
      <c r="C19" s="15" t="n">
        <f aca="false">'1. KTHH L2'!C29</f>
        <v>538.68</v>
      </c>
      <c r="D19" s="13" t="n">
        <f aca="false">'1. KTHH L2'!Q29</f>
        <v>15.4</v>
      </c>
      <c r="E19" s="42" t="n">
        <f aca="false">Chạy!E68+Chạy!E72</f>
        <v>3.06</v>
      </c>
      <c r="F19" s="43" t="n">
        <f aca="false">(E19+E20)*D19/2</f>
        <v>47.124</v>
      </c>
      <c r="G19" s="44"/>
      <c r="H19" s="40"/>
      <c r="I19" s="40"/>
    </row>
    <row r="20" s="41" customFormat="true" ht="15" hidden="false" customHeight="true" outlineLevel="0" collapsed="false">
      <c r="A20" s="13" t="n">
        <v>10</v>
      </c>
      <c r="B20" s="14" t="str">
        <f aca="false">'1. KTHH L2'!B30</f>
        <v>32</v>
      </c>
      <c r="C20" s="15" t="n">
        <f aca="false">'1. KTHH L2'!C30</f>
        <v>554.08</v>
      </c>
      <c r="D20" s="13"/>
      <c r="E20" s="42" t="n">
        <f aca="false">Chạy!E76+Chạy!E80</f>
        <v>3.06</v>
      </c>
      <c r="F20" s="43"/>
      <c r="G20" s="44"/>
      <c r="H20" s="40"/>
      <c r="I20" s="40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40"/>
      <c r="I21" s="40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56</v>
      </c>
      <c r="B49" s="46"/>
      <c r="C49" s="46"/>
      <c r="D49" s="46"/>
      <c r="E49" s="66"/>
      <c r="F49" s="67" t="n">
        <f aca="false">SUM(F11:F20)</f>
        <v>343.4544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48</v>
      </c>
      <c r="B51" s="19"/>
      <c r="C51" s="19"/>
      <c r="D51" s="57" t="s">
        <v>57</v>
      </c>
      <c r="E51" s="19" t="s">
        <v>49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50</v>
      </c>
      <c r="B57" s="19"/>
      <c r="C57" s="19"/>
      <c r="D57" s="21"/>
      <c r="E57" s="19" t="s">
        <v>51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22.NĐXD4/CVXD ngày 26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22</v>
      </c>
    </row>
    <row r="3" customFormat="false" ht="15" hidden="false" customHeight="false" outlineLevel="0" collapsed="false">
      <c r="A3" s="22" t="s">
        <v>30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31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32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33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34</v>
      </c>
      <c r="C7" s="22"/>
      <c r="D7" s="22" t="str">
        <f>VLOOKUP(AZ2,'[1]Tuyến XD4'!$A$2:$B$60,2,0)</f>
        <v xml:space="preserve">Đắp đất lề đường lớp 3, độ chặt K&gt;=0,95 đoạn từ Km0+441,84 - Km0+554,08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36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37</v>
      </c>
      <c r="B19" s="10" t="s">
        <v>38</v>
      </c>
      <c r="C19" s="10" t="s">
        <v>39</v>
      </c>
      <c r="D19" s="11" t="s">
        <v>40</v>
      </c>
      <c r="E19" s="11"/>
      <c r="F19" s="11"/>
      <c r="G19" s="11" t="s">
        <v>41</v>
      </c>
      <c r="H19" s="11"/>
      <c r="I19" s="11"/>
      <c r="J19" s="11" t="s">
        <v>42</v>
      </c>
      <c r="K19" s="11"/>
      <c r="L19" s="11"/>
      <c r="M19" s="11" t="s">
        <v>43</v>
      </c>
      <c r="N19" s="11"/>
      <c r="O19" s="11"/>
      <c r="P19" s="10" t="s">
        <v>44</v>
      </c>
    </row>
    <row r="20" customFormat="false" ht="30" hidden="false" customHeight="true" outlineLevel="0" collapsed="false">
      <c r="A20" s="10"/>
      <c r="B20" s="10"/>
      <c r="C20" s="10"/>
      <c r="D20" s="11" t="s">
        <v>45</v>
      </c>
      <c r="E20" s="11" t="s">
        <v>46</v>
      </c>
      <c r="F20" s="11" t="s">
        <v>47</v>
      </c>
      <c r="G20" s="11" t="s">
        <v>45</v>
      </c>
      <c r="H20" s="11" t="s">
        <v>46</v>
      </c>
      <c r="I20" s="11" t="s">
        <v>47</v>
      </c>
      <c r="J20" s="11" t="s">
        <v>45</v>
      </c>
      <c r="K20" s="11" t="s">
        <v>46</v>
      </c>
      <c r="L20" s="11" t="s">
        <v>47</v>
      </c>
      <c r="M20" s="11" t="s">
        <v>45</v>
      </c>
      <c r="N20" s="11" t="s">
        <v>46</v>
      </c>
      <c r="O20" s="11" t="s">
        <v>47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441.84</v>
      </c>
      <c r="D21" s="16" t="n">
        <f aca="false">Chạy!G3</f>
        <v>2.68</v>
      </c>
      <c r="E21" s="16" t="n">
        <f aca="false">D21+F21</f>
        <v>2.677</v>
      </c>
      <c r="F21" s="16" t="n">
        <f aca="false">RANDBETWEEN(-30,100)/1000</f>
        <v>-0.003</v>
      </c>
      <c r="G21" s="16" t="n">
        <f aca="false">Chạy!I3</f>
        <v>2.68</v>
      </c>
      <c r="H21" s="16" t="n">
        <f aca="false">G21+I21</f>
        <v>2.717</v>
      </c>
      <c r="I21" s="16" t="n">
        <f aca="false">RANDBETWEEN(-30,100)/1000</f>
        <v>0.037</v>
      </c>
      <c r="J21" s="16" t="n">
        <f aca="false">Chạy!M7</f>
        <v>2.68</v>
      </c>
      <c r="K21" s="16" t="n">
        <f aca="false">J21+L21</f>
        <v>2.78</v>
      </c>
      <c r="L21" s="16" t="n">
        <f aca="false">RANDBETWEEN(-30,100)/1000</f>
        <v>0.1</v>
      </c>
      <c r="M21" s="16" t="n">
        <f aca="false">Chạy!O7</f>
        <v>2.68</v>
      </c>
      <c r="N21" s="16" t="n">
        <f aca="false">M21+O21</f>
        <v>2.715</v>
      </c>
      <c r="O21" s="16" t="n">
        <f aca="false">RANDBETWEEN(-30,100)/1000</f>
        <v>0.035</v>
      </c>
      <c r="P21" s="17"/>
      <c r="Q21" s="18" t="n">
        <v>12.5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454.34</v>
      </c>
      <c r="D22" s="16" t="n">
        <f aca="false">Chạy!G11</f>
        <v>2.67</v>
      </c>
      <c r="E22" s="16" t="n">
        <f aca="false">D22+F22</f>
        <v>2.661</v>
      </c>
      <c r="F22" s="16" t="n">
        <f aca="false">RANDBETWEEN(-30,100)/1000</f>
        <v>-0.009</v>
      </c>
      <c r="G22" s="16" t="n">
        <f aca="false">Chạy!I11</f>
        <v>2.67</v>
      </c>
      <c r="H22" s="16" t="n">
        <f aca="false">G22+I22</f>
        <v>2.673</v>
      </c>
      <c r="I22" s="16" t="n">
        <f aca="false">RANDBETWEEN(-30,100)/1000</f>
        <v>0.003</v>
      </c>
      <c r="J22" s="16" t="n">
        <f aca="false">Chạy!M15</f>
        <v>2.67</v>
      </c>
      <c r="K22" s="16" t="n">
        <f aca="false">J22+L22</f>
        <v>2.685</v>
      </c>
      <c r="L22" s="16" t="n">
        <f aca="false">RANDBETWEEN(-30,100)/1000</f>
        <v>0.015</v>
      </c>
      <c r="M22" s="16" t="n">
        <f aca="false">Chạy!O15</f>
        <v>2.67</v>
      </c>
      <c r="N22" s="16" t="n">
        <f aca="false">M22+O22</f>
        <v>2.675</v>
      </c>
      <c r="O22" s="16" t="n">
        <f aca="false">RANDBETWEEN(-30,100)/1000</f>
        <v>0.005</v>
      </c>
      <c r="P22" s="17"/>
      <c r="Q22" s="18" t="n">
        <v>12.5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466.84</v>
      </c>
      <c r="D23" s="16" t="n">
        <f aca="false">Chạy!G19</f>
        <v>2.66</v>
      </c>
      <c r="E23" s="16" t="n">
        <f aca="false">D23+F23</f>
        <v>2.722</v>
      </c>
      <c r="F23" s="16" t="n">
        <f aca="false">RANDBETWEEN(-30,100)/1000</f>
        <v>0.062</v>
      </c>
      <c r="G23" s="16" t="n">
        <f aca="false">Chạy!I19</f>
        <v>2.66</v>
      </c>
      <c r="H23" s="16" t="n">
        <f aca="false">G23+I23</f>
        <v>2.651</v>
      </c>
      <c r="I23" s="16" t="n">
        <f aca="false">RANDBETWEEN(-30,100)/1000</f>
        <v>-0.009</v>
      </c>
      <c r="J23" s="16" t="n">
        <f aca="false">Chạy!M23</f>
        <v>2.66</v>
      </c>
      <c r="K23" s="16" t="n">
        <f aca="false">J23+L23</f>
        <v>2.678</v>
      </c>
      <c r="L23" s="16" t="n">
        <f aca="false">RANDBETWEEN(-30,100)/1000</f>
        <v>0.018</v>
      </c>
      <c r="M23" s="16" t="n">
        <f aca="false">Chạy!O23</f>
        <v>2.66</v>
      </c>
      <c r="N23" s="16" t="n">
        <f aca="false">M23+O23</f>
        <v>2.686</v>
      </c>
      <c r="O23" s="16" t="n">
        <f aca="false">RANDBETWEEN(-30,100)/1000</f>
        <v>0.026</v>
      </c>
      <c r="P23" s="17"/>
      <c r="Q23" s="18" t="n">
        <v>7.5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474.34</v>
      </c>
      <c r="D24" s="16" t="n">
        <f aca="false">Chạy!G27</f>
        <v>2.66</v>
      </c>
      <c r="E24" s="16" t="n">
        <f aca="false">D24+F24</f>
        <v>2.715</v>
      </c>
      <c r="F24" s="16" t="n">
        <f aca="false">RANDBETWEEN(-30,100)/1000</f>
        <v>0.055</v>
      </c>
      <c r="G24" s="16" t="n">
        <f aca="false">Chạy!I27</f>
        <v>2.66</v>
      </c>
      <c r="H24" s="16" t="n">
        <f aca="false">G24+I24</f>
        <v>2.666</v>
      </c>
      <c r="I24" s="16" t="n">
        <f aca="false">RANDBETWEEN(-30,100)/1000</f>
        <v>0.006</v>
      </c>
      <c r="J24" s="16" t="n">
        <f aca="false">Chạy!M31</f>
        <v>2.66</v>
      </c>
      <c r="K24" s="16" t="n">
        <f aca="false">J24+L24</f>
        <v>2.665</v>
      </c>
      <c r="L24" s="16" t="n">
        <f aca="false">RANDBETWEEN(-30,100)/1000</f>
        <v>0.005</v>
      </c>
      <c r="M24" s="16" t="n">
        <f aca="false">Chạy!O31</f>
        <v>2.66</v>
      </c>
      <c r="N24" s="16" t="n">
        <f aca="false">M24+O24</f>
        <v>2.735</v>
      </c>
      <c r="O24" s="16" t="n">
        <f aca="false">RANDBETWEEN(-30,100)/1000</f>
        <v>0.075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494.34</v>
      </c>
      <c r="D25" s="16" t="n">
        <f aca="false">Chạy!G35</f>
        <v>2.65</v>
      </c>
      <c r="E25" s="16" t="n">
        <f aca="false">D25+F25</f>
        <v>2.648</v>
      </c>
      <c r="F25" s="16" t="n">
        <f aca="false">RANDBETWEEN(-30,100)/1000</f>
        <v>-0.002</v>
      </c>
      <c r="G25" s="16" t="n">
        <f aca="false">Chạy!I35</f>
        <v>2.65</v>
      </c>
      <c r="H25" s="16" t="n">
        <f aca="false">G25+I25</f>
        <v>2.715</v>
      </c>
      <c r="I25" s="16" t="n">
        <f aca="false">RANDBETWEEN(-30,100)/1000</f>
        <v>0.065</v>
      </c>
      <c r="J25" s="16" t="n">
        <f aca="false">Chạy!M39</f>
        <v>2.65</v>
      </c>
      <c r="K25" s="16" t="n">
        <f aca="false">J25+L25</f>
        <v>2.644</v>
      </c>
      <c r="L25" s="16" t="n">
        <f aca="false">RANDBETWEEN(-30,100)/1000</f>
        <v>-0.006</v>
      </c>
      <c r="M25" s="16" t="n">
        <f aca="false">Chạy!O39</f>
        <v>2.65</v>
      </c>
      <c r="N25" s="16" t="n">
        <f aca="false">M25+O25</f>
        <v>2.682</v>
      </c>
      <c r="O25" s="16" t="n">
        <f aca="false">RANDBETWEEN(-30,100)/1000</f>
        <v>0.032</v>
      </c>
      <c r="P25" s="17"/>
      <c r="Q25" s="18" t="n">
        <v>17.14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511.48</v>
      </c>
      <c r="D26" s="16" t="n">
        <f aca="false">Chạy!G43</f>
        <v>2.64</v>
      </c>
      <c r="E26" s="16" t="n">
        <f aca="false">D26+F26</f>
        <v>2.651</v>
      </c>
      <c r="F26" s="16" t="n">
        <f aca="false">RANDBETWEEN(-30,100)/1000</f>
        <v>0.011</v>
      </c>
      <c r="G26" s="16" t="n">
        <f aca="false">Chạy!I43</f>
        <v>2.64</v>
      </c>
      <c r="H26" s="16" t="n">
        <f aca="false">G26+I26</f>
        <v>2.686</v>
      </c>
      <c r="I26" s="16" t="n">
        <f aca="false">RANDBETWEEN(-30,100)/1000</f>
        <v>0.046</v>
      </c>
      <c r="J26" s="16" t="n">
        <f aca="false">Chạy!M47</f>
        <v>2.64</v>
      </c>
      <c r="K26" s="16" t="n">
        <f aca="false">J26+L26</f>
        <v>2.705</v>
      </c>
      <c r="L26" s="16" t="n">
        <f aca="false">RANDBETWEEN(-30,100)/1000</f>
        <v>0.065</v>
      </c>
      <c r="M26" s="16" t="n">
        <f aca="false">Chạy!O47</f>
        <v>2.64</v>
      </c>
      <c r="N26" s="16" t="n">
        <f aca="false">M26+O26</f>
        <v>2.688</v>
      </c>
      <c r="O26" s="16" t="n">
        <f aca="false">RANDBETWEEN(-30,100)/1000</f>
        <v>0.048</v>
      </c>
      <c r="P26" s="17"/>
      <c r="Q26" s="18" t="n">
        <v>3.12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514.6</v>
      </c>
      <c r="D27" s="16" t="n">
        <f aca="false">Chạy!G51</f>
        <v>2.64</v>
      </c>
      <c r="E27" s="16" t="n">
        <f aca="false">D27+F27</f>
        <v>2.623</v>
      </c>
      <c r="F27" s="16" t="n">
        <f aca="false">RANDBETWEEN(-30,100)/1000</f>
        <v>-0.017</v>
      </c>
      <c r="G27" s="16" t="n">
        <f aca="false">Chạy!I51</f>
        <v>2.64</v>
      </c>
      <c r="H27" s="16" t="n">
        <f aca="false">G27+I27</f>
        <v>2.719</v>
      </c>
      <c r="I27" s="16" t="n">
        <f aca="false">RANDBETWEEN(-30,100)/1000</f>
        <v>0.079</v>
      </c>
      <c r="J27" s="16" t="n">
        <f aca="false">Chạy!M55</f>
        <v>2.64</v>
      </c>
      <c r="K27" s="16" t="n">
        <f aca="false">J27+L27</f>
        <v>2.625</v>
      </c>
      <c r="L27" s="16" t="n">
        <f aca="false">RANDBETWEEN(-30,100)/1000</f>
        <v>-0.015</v>
      </c>
      <c r="M27" s="16" t="n">
        <f aca="false">Chạy!O55</f>
        <v>2.64</v>
      </c>
      <c r="N27" s="16" t="n">
        <f aca="false">M27+O27</f>
        <v>2.64</v>
      </c>
      <c r="O27" s="16" t="n">
        <f aca="false">RANDBETWEEN(-30,100)/1000</f>
        <v>0</v>
      </c>
      <c r="P27" s="17"/>
      <c r="Q27" s="18" t="n">
        <v>10.48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525.08</v>
      </c>
      <c r="D28" s="16" t="n">
        <f aca="false">Chạy!G59</f>
        <v>2.63</v>
      </c>
      <c r="E28" s="16" t="n">
        <f aca="false">D28+F28</f>
        <v>2.656</v>
      </c>
      <c r="F28" s="16" t="n">
        <f aca="false">RANDBETWEEN(-30,100)/1000</f>
        <v>0.026</v>
      </c>
      <c r="G28" s="16" t="n">
        <f aca="false">Chạy!I59</f>
        <v>2.63</v>
      </c>
      <c r="H28" s="16" t="n">
        <f aca="false">G28+I28</f>
        <v>2.601</v>
      </c>
      <c r="I28" s="16" t="n">
        <f aca="false">RANDBETWEEN(-30,100)/1000</f>
        <v>-0.029</v>
      </c>
      <c r="J28" s="16" t="n">
        <f aca="false">Chạy!M63</f>
        <v>2.63</v>
      </c>
      <c r="K28" s="16" t="n">
        <f aca="false">J28+L28</f>
        <v>2.673</v>
      </c>
      <c r="L28" s="16" t="n">
        <f aca="false">RANDBETWEEN(-30,100)/1000</f>
        <v>0.043</v>
      </c>
      <c r="M28" s="16" t="n">
        <f aca="false">Chạy!O63</f>
        <v>2.63</v>
      </c>
      <c r="N28" s="16" t="n">
        <f aca="false">M28+O28</f>
        <v>2.611</v>
      </c>
      <c r="O28" s="16" t="n">
        <f aca="false">RANDBETWEEN(-30,100)/1000</f>
        <v>-0.019</v>
      </c>
      <c r="P28" s="17"/>
      <c r="Q28" s="18" t="n">
        <v>13.6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538.68</v>
      </c>
      <c r="D29" s="16" t="n">
        <f aca="false">Chạy!G67</f>
        <v>2.63</v>
      </c>
      <c r="E29" s="16" t="n">
        <f aca="false">D29+F29</f>
        <v>2.725</v>
      </c>
      <c r="F29" s="16" t="n">
        <f aca="false">RANDBETWEEN(-30,100)/1000</f>
        <v>0.095</v>
      </c>
      <c r="G29" s="16" t="n">
        <f aca="false">Chạy!I67</f>
        <v>2.63</v>
      </c>
      <c r="H29" s="16" t="n">
        <f aca="false">G29+I29</f>
        <v>2.666</v>
      </c>
      <c r="I29" s="16" t="n">
        <f aca="false">RANDBETWEEN(-30,100)/1000</f>
        <v>0.036</v>
      </c>
      <c r="J29" s="16" t="n">
        <f aca="false">Chạy!M71</f>
        <v>2.63</v>
      </c>
      <c r="K29" s="16" t="n">
        <f aca="false">J29+L29</f>
        <v>2.621</v>
      </c>
      <c r="L29" s="16" t="n">
        <f aca="false">RANDBETWEEN(-30,100)/1000</f>
        <v>-0.009</v>
      </c>
      <c r="M29" s="16" t="n">
        <f aca="false">Chạy!O71</f>
        <v>2.63</v>
      </c>
      <c r="N29" s="16" t="n">
        <f aca="false">M29+O29</f>
        <v>2.683</v>
      </c>
      <c r="O29" s="16" t="n">
        <f aca="false">RANDBETWEEN(-30,100)/1000</f>
        <v>0.053</v>
      </c>
      <c r="P29" s="17"/>
      <c r="Q29" s="18" t="n">
        <v>15.4</v>
      </c>
    </row>
    <row r="30" customFormat="false" ht="15" hidden="false" customHeight="false" outlineLevel="0" collapsed="false">
      <c r="A30" s="13" t="n">
        <v>10</v>
      </c>
      <c r="B30" s="14" t="s">
        <v>27</v>
      </c>
      <c r="C30" s="15" t="n">
        <f aca="false">C29+Q29</f>
        <v>554.08</v>
      </c>
      <c r="D30" s="16" t="n">
        <f aca="false">Chạy!G75</f>
        <v>2.62</v>
      </c>
      <c r="E30" s="16" t="n">
        <f aca="false">D30+F30</f>
        <v>2.698</v>
      </c>
      <c r="F30" s="16" t="n">
        <f aca="false">RANDBETWEEN(-30,100)/1000</f>
        <v>0.078</v>
      </c>
      <c r="G30" s="16" t="n">
        <f aca="false">Chạy!I75</f>
        <v>2.62</v>
      </c>
      <c r="H30" s="16" t="n">
        <f aca="false">G30+I30</f>
        <v>2.703</v>
      </c>
      <c r="I30" s="16" t="n">
        <f aca="false">RANDBETWEEN(-30,100)/1000</f>
        <v>0.083</v>
      </c>
      <c r="J30" s="16" t="n">
        <f aca="false">Chạy!M79</f>
        <v>2.62</v>
      </c>
      <c r="K30" s="16" t="n">
        <f aca="false">J30+L30</f>
        <v>2.604</v>
      </c>
      <c r="L30" s="16" t="n">
        <f aca="false">RANDBETWEEN(-30,100)/1000</f>
        <v>-0.016</v>
      </c>
      <c r="M30" s="16" t="n">
        <f aca="false">Chạy!O79</f>
        <v>2.62</v>
      </c>
      <c r="N30" s="16" t="n">
        <f aca="false">M30+O30</f>
        <v>2.685</v>
      </c>
      <c r="O30" s="16" t="n">
        <f aca="false">RANDBETWEEN(-30,100)/1000</f>
        <v>0.065</v>
      </c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48</v>
      </c>
      <c r="D60" s="19"/>
      <c r="E60" s="19"/>
      <c r="F60" s="19"/>
      <c r="G60" s="20"/>
      <c r="H60" s="20"/>
      <c r="I60" s="20"/>
      <c r="K60" s="19" t="s">
        <v>49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50</v>
      </c>
      <c r="D65" s="19"/>
      <c r="E65" s="19"/>
      <c r="F65" s="19"/>
      <c r="G65" s="20"/>
      <c r="H65" s="20"/>
      <c r="I65" s="20"/>
      <c r="J65" s="21"/>
      <c r="K65" s="19" t="s">
        <v>51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22.NĐXD4/CVXD ngày 26 tháng 08 năm 2026</v>
      </c>
      <c r="B2" s="27"/>
      <c r="C2" s="27"/>
      <c r="D2" s="27"/>
      <c r="E2" s="27"/>
      <c r="F2" s="27"/>
      <c r="G2" s="27"/>
      <c r="AZ2">
        <v>22</v>
      </c>
    </row>
    <row r="3" s="5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34</v>
      </c>
      <c r="B7" s="32"/>
      <c r="C7" s="33"/>
      <c r="D7" s="34" t="str">
        <f>VLOOKUP(AZ2,'[1]Tuyến XD4'!$A$2:$B$60,2,0)</f>
        <v xml:space="preserve">Đắp đất lề đường lớp 3, độ chặt K&gt;=0,95 đoạn từ Km0+441,84 - Km0+554,08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38</v>
      </c>
      <c r="C9" s="36" t="s">
        <v>39</v>
      </c>
      <c r="D9" s="37" t="s">
        <v>53</v>
      </c>
      <c r="E9" s="38"/>
      <c r="F9" s="38"/>
      <c r="G9" s="37" t="s">
        <v>44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54</v>
      </c>
      <c r="F10" s="38" t="s">
        <v>55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24</v>
      </c>
      <c r="C11" s="15" t="n">
        <f aca="false">'1. KTHH L3'!C21</f>
        <v>441.84</v>
      </c>
      <c r="D11" s="13" t="n">
        <f aca="false">'1. KTHH L3'!Q21</f>
        <v>12.5</v>
      </c>
      <c r="E11" s="42" t="n">
        <f aca="false">Chạy!E3+Chạy!E7</f>
        <v>2.1</v>
      </c>
      <c r="F11" s="43" t="n">
        <f aca="false">(E11+E12)*D11/2</f>
        <v>26.25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25</v>
      </c>
      <c r="C12" s="15" t="n">
        <f aca="false">'1. KTHH L3'!C22</f>
        <v>454.34</v>
      </c>
      <c r="D12" s="13" t="n">
        <f aca="false">'1. KTHH L3'!Q22</f>
        <v>12.5</v>
      </c>
      <c r="E12" s="42" t="n">
        <f aca="false">Chạy!E11+Chạy!E15</f>
        <v>2.1</v>
      </c>
      <c r="F12" s="43" t="n">
        <f aca="false">(E12+E13)*D12/2</f>
        <v>26.25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26</v>
      </c>
      <c r="C13" s="15" t="n">
        <f aca="false">'1. KTHH L3'!C23</f>
        <v>466.84</v>
      </c>
      <c r="D13" s="13" t="n">
        <f aca="false">'1. KTHH L3'!Q23</f>
        <v>7.5</v>
      </c>
      <c r="E13" s="42" t="n">
        <f aca="false">Chạy!E19+Chạy!E23</f>
        <v>2.1</v>
      </c>
      <c r="F13" s="43" t="n">
        <f aca="false">(E13+E14)*D13/2</f>
        <v>15.75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27</v>
      </c>
      <c r="C14" s="15" t="n">
        <f aca="false">'1. KTHH L3'!C24</f>
        <v>474.34</v>
      </c>
      <c r="D14" s="13" t="n">
        <f aca="false">'1. KTHH L3'!Q24</f>
        <v>20</v>
      </c>
      <c r="E14" s="42" t="n">
        <f aca="false">Chạy!E27+Chạy!E31</f>
        <v>2.1</v>
      </c>
      <c r="F14" s="43" t="n">
        <f aca="false">(E14+E15)*D14/2</f>
        <v>42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28</v>
      </c>
      <c r="C15" s="15" t="n">
        <f aca="false">'1. KTHH L3'!C25</f>
        <v>494.34</v>
      </c>
      <c r="D15" s="13" t="n">
        <f aca="false">'1. KTHH L3'!Q25</f>
        <v>17.14</v>
      </c>
      <c r="E15" s="42" t="n">
        <f aca="false">Chạy!E35+Chạy!E39</f>
        <v>2.1</v>
      </c>
      <c r="F15" s="43" t="n">
        <f aca="false">(E15+E16)*D15/2</f>
        <v>35.994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29</v>
      </c>
      <c r="C16" s="15" t="n">
        <f aca="false">'1. KTHH L3'!C26</f>
        <v>511.48</v>
      </c>
      <c r="D16" s="13" t="n">
        <f aca="false">'1. KTHH L3'!Q26</f>
        <v>3.12</v>
      </c>
      <c r="E16" s="42" t="n">
        <f aca="false">Chạy!E43+Chạy!E47</f>
        <v>2.1</v>
      </c>
      <c r="F16" s="43" t="n">
        <f aca="false">(E16+E17)*D16/2</f>
        <v>6.552</v>
      </c>
      <c r="G16" s="44"/>
      <c r="H16" s="39"/>
      <c r="I16" s="39"/>
      <c r="K16" s="39"/>
      <c r="L16" s="65"/>
    </row>
    <row r="17" s="41" customFormat="true" ht="22.5" hidden="false" customHeight="true" outlineLevel="0" collapsed="false">
      <c r="A17" s="13" t="n">
        <v>7</v>
      </c>
      <c r="B17" s="14" t="str">
        <f aca="false">'1. KTHH L3'!B27</f>
        <v>30</v>
      </c>
      <c r="C17" s="15" t="n">
        <f aca="false">'1. KTHH L3'!C27</f>
        <v>514.6</v>
      </c>
      <c r="D17" s="13" t="n">
        <f aca="false">'1. KTHH L3'!Q27</f>
        <v>10.48</v>
      </c>
      <c r="E17" s="42" t="n">
        <f aca="false">Chạy!E51+Chạy!E55</f>
        <v>2.1</v>
      </c>
      <c r="F17" s="43" t="n">
        <f aca="false">(E17+E18)*D17/2</f>
        <v>22.008</v>
      </c>
      <c r="G17" s="44"/>
      <c r="H17" s="39"/>
      <c r="I17" s="39"/>
      <c r="K17" s="39"/>
      <c r="L17" s="65"/>
    </row>
    <row r="18" s="41" customFormat="true" ht="22.5" hidden="false" customHeight="true" outlineLevel="0" collapsed="false">
      <c r="A18" s="13" t="n">
        <v>8</v>
      </c>
      <c r="B18" s="14" t="str">
        <f aca="false">'1. KTHH L3'!B28</f>
        <v>D</v>
      </c>
      <c r="C18" s="15" t="n">
        <f aca="false">'1. KTHH L3'!C28</f>
        <v>525.08</v>
      </c>
      <c r="D18" s="13" t="n">
        <f aca="false">'1. KTHH L3'!Q28</f>
        <v>13.6</v>
      </c>
      <c r="E18" s="42" t="n">
        <f aca="false">Chạy!E59+Chạy!E63</f>
        <v>2.1</v>
      </c>
      <c r="F18" s="43" t="n">
        <f aca="false">(E18+E19)*D18/2</f>
        <v>28.56</v>
      </c>
      <c r="G18" s="44"/>
      <c r="H18" s="39"/>
      <c r="I18" s="39"/>
      <c r="K18" s="39"/>
      <c r="L18" s="65"/>
    </row>
    <row r="19" s="41" customFormat="true" ht="22.5" hidden="false" customHeight="true" outlineLevel="0" collapsed="false">
      <c r="A19" s="13" t="n">
        <v>9</v>
      </c>
      <c r="B19" s="14" t="str">
        <f aca="false">'1. KTHH L3'!B29</f>
        <v>31</v>
      </c>
      <c r="C19" s="15" t="n">
        <f aca="false">'1. KTHH L3'!C29</f>
        <v>538.68</v>
      </c>
      <c r="D19" s="13" t="n">
        <f aca="false">'1. KTHH L3'!Q29</f>
        <v>15.4</v>
      </c>
      <c r="E19" s="42" t="n">
        <f aca="false">Chạy!E67+Chạy!E71</f>
        <v>2.1</v>
      </c>
      <c r="F19" s="43" t="n">
        <f aca="false">(E19+E20)*D19/2</f>
        <v>32.34</v>
      </c>
      <c r="G19" s="44"/>
      <c r="H19" s="39"/>
      <c r="I19" s="39"/>
      <c r="K19" s="39"/>
      <c r="L19" s="65"/>
    </row>
    <row r="20" s="41" customFormat="true" ht="22.5" hidden="false" customHeight="true" outlineLevel="0" collapsed="false">
      <c r="A20" s="13" t="n">
        <v>10</v>
      </c>
      <c r="B20" s="14" t="str">
        <f aca="false">'1. KTHH L3'!B30</f>
        <v>32</v>
      </c>
      <c r="C20" s="15" t="n">
        <f aca="false">'1. KTHH L3'!C30</f>
        <v>554.08</v>
      </c>
      <c r="D20" s="13"/>
      <c r="E20" s="42" t="n">
        <f aca="false">Chạy!E75+Chạy!E79</f>
        <v>2.1</v>
      </c>
      <c r="F20" s="43"/>
      <c r="G20" s="44"/>
      <c r="H20" s="39"/>
      <c r="I20" s="39"/>
      <c r="K20" s="39"/>
      <c r="L20" s="65"/>
    </row>
    <row r="21" s="41" customFormat="true" ht="22.5" hidden="true" customHeight="true" outlineLevel="0" collapsed="false">
      <c r="A21" s="13"/>
      <c r="B21" s="14"/>
      <c r="C21" s="15"/>
      <c r="D21" s="13"/>
      <c r="E21" s="42"/>
      <c r="F21" s="43"/>
      <c r="G21" s="44"/>
      <c r="H21" s="39"/>
      <c r="I21" s="39"/>
      <c r="K21" s="39"/>
      <c r="L21" s="65"/>
    </row>
    <row r="22" s="41" customFormat="true" ht="22.5" hidden="true" customHeight="true" outlineLevel="0" collapsed="false">
      <c r="A22" s="13"/>
      <c r="B22" s="14"/>
      <c r="C22" s="15"/>
      <c r="D22" s="13"/>
      <c r="E22" s="42"/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56</v>
      </c>
      <c r="B49" s="36"/>
      <c r="C49" s="36"/>
      <c r="D49" s="36"/>
      <c r="E49" s="47"/>
      <c r="F49" s="48" t="n">
        <f aca="false">SUM(F11:F20)</f>
        <v>235.704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48</v>
      </c>
      <c r="B51" s="19"/>
      <c r="C51" s="19"/>
      <c r="D51" s="57" t="s">
        <v>57</v>
      </c>
      <c r="E51" s="19" t="s">
        <v>49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50</v>
      </c>
      <c r="B57" s="19"/>
      <c r="C57" s="19"/>
      <c r="D57" s="21"/>
      <c r="E57" s="19" t="s">
        <v>51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tr">
        <f>"Kèm theo BBNT số: "&amp;VLOOKUP(AZ2,'[1]Tuyến XD4'!$A$2:$G$60,7,0)&amp;VLOOKUP(AZ2,'[1]Tuyến XD4'!$A$2:$G$60,4,0)</f>
        <v xml:space="preserve">Kèm theo BBNT số: 23.NĐXD4/CVXD ngày 27 tháng 08 năm 2026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AZ2">
        <v>23</v>
      </c>
    </row>
    <row r="3" customFormat="false" ht="15" hidden="false" customHeight="false" outlineLevel="0" collapsed="false">
      <c r="A3" s="22" t="s">
        <v>30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31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32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33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34</v>
      </c>
      <c r="C7" s="22"/>
      <c r="D7" s="22" t="str">
        <f>VLOOKUP(AZ2,'[1]Tuyến XD4'!$A$2:$B$60,2,0)</f>
        <v xml:space="preserve">Đắp đất lề đường lớp 4, độ chặt K&gt;=0,95 đoạn từ Km0+441,84 - Km0+554,08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36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37</v>
      </c>
      <c r="B18" s="10" t="s">
        <v>38</v>
      </c>
      <c r="C18" s="10" t="s">
        <v>39</v>
      </c>
      <c r="D18" s="11" t="s">
        <v>40</v>
      </c>
      <c r="E18" s="11"/>
      <c r="F18" s="11"/>
      <c r="G18" s="11" t="s">
        <v>41</v>
      </c>
      <c r="H18" s="11"/>
      <c r="I18" s="11"/>
      <c r="J18" s="11" t="s">
        <v>42</v>
      </c>
      <c r="K18" s="11"/>
      <c r="L18" s="11"/>
      <c r="M18" s="11" t="s">
        <v>43</v>
      </c>
      <c r="N18" s="11"/>
      <c r="O18" s="11"/>
      <c r="P18" s="10" t="s">
        <v>44</v>
      </c>
    </row>
    <row r="19" customFormat="false" ht="30" hidden="false" customHeight="true" outlineLevel="0" collapsed="false">
      <c r="A19" s="10"/>
      <c r="B19" s="10"/>
      <c r="C19" s="10"/>
      <c r="D19" s="11" t="s">
        <v>45</v>
      </c>
      <c r="E19" s="11" t="s">
        <v>46</v>
      </c>
      <c r="F19" s="11" t="s">
        <v>47</v>
      </c>
      <c r="G19" s="11" t="s">
        <v>45</v>
      </c>
      <c r="H19" s="11" t="s">
        <v>46</v>
      </c>
      <c r="I19" s="11" t="s">
        <v>47</v>
      </c>
      <c r="J19" s="11" t="s">
        <v>45</v>
      </c>
      <c r="K19" s="11" t="s">
        <v>46</v>
      </c>
      <c r="L19" s="11" t="s">
        <v>47</v>
      </c>
      <c r="M19" s="11" t="s">
        <v>45</v>
      </c>
      <c r="N19" s="11" t="s">
        <v>46</v>
      </c>
      <c r="O19" s="11" t="s">
        <v>47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441.84</v>
      </c>
      <c r="D20" s="16" t="n">
        <f aca="false">Chạy!G2</f>
        <v>3.02</v>
      </c>
      <c r="E20" s="16" t="n">
        <f aca="false">D20+F20</f>
        <v>3.03</v>
      </c>
      <c r="F20" s="16" t="n">
        <f aca="false">RANDBETWEEN(-30,100)/1000</f>
        <v>0.01</v>
      </c>
      <c r="G20" s="16" t="n">
        <f aca="false">Chạy!I2</f>
        <v>2.74</v>
      </c>
      <c r="H20" s="16" t="n">
        <f aca="false">G20+I20</f>
        <v>2.715</v>
      </c>
      <c r="I20" s="16" t="n">
        <f aca="false">RANDBETWEEN(-30,100)/1000</f>
        <v>-0.025</v>
      </c>
      <c r="J20" s="16" t="n">
        <f aca="false">Chạy!M6</f>
        <v>2.93</v>
      </c>
      <c r="K20" s="16" t="n">
        <f aca="false">J20+L20</f>
        <v>2.924</v>
      </c>
      <c r="L20" s="16" t="n">
        <f aca="false">RANDBETWEEN(-30,100)/1000</f>
        <v>-0.006</v>
      </c>
      <c r="M20" s="16" t="n">
        <f aca="false">Chạy!O6</f>
        <v>2.92</v>
      </c>
      <c r="N20" s="16" t="n">
        <f aca="false">M20+O20</f>
        <v>2.911</v>
      </c>
      <c r="O20" s="16" t="n">
        <f aca="false">RANDBETWEEN(-30,100)/1000</f>
        <v>-0.009</v>
      </c>
      <c r="P20" s="17"/>
      <c r="Q20" s="18" t="n">
        <v>12.5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454.34</v>
      </c>
      <c r="D21" s="16" t="n">
        <f aca="false">Chạy!G10</f>
        <v>3.01</v>
      </c>
      <c r="E21" s="16" t="n">
        <f aca="false">D21+F21</f>
        <v>3.025</v>
      </c>
      <c r="F21" s="16" t="n">
        <f aca="false">RANDBETWEEN(-30,100)/1000</f>
        <v>0.015</v>
      </c>
      <c r="G21" s="16" t="n">
        <f aca="false">Chạy!I10</f>
        <v>2.73</v>
      </c>
      <c r="H21" s="16" t="n">
        <f aca="false">G21+I21</f>
        <v>2.783</v>
      </c>
      <c r="I21" s="16" t="n">
        <f aca="false">RANDBETWEEN(-30,100)/1000</f>
        <v>0.053</v>
      </c>
      <c r="J21" s="16" t="n">
        <f aca="false">Chạy!M14</f>
        <v>2.92</v>
      </c>
      <c r="K21" s="16" t="n">
        <f aca="false">J21+L21</f>
        <v>2.963</v>
      </c>
      <c r="L21" s="16" t="n">
        <f aca="false">RANDBETWEEN(-30,100)/1000</f>
        <v>0.043</v>
      </c>
      <c r="M21" s="16" t="n">
        <f aca="false">Chạy!O14</f>
        <v>2.91</v>
      </c>
      <c r="N21" s="16" t="n">
        <f aca="false">M21+O21</f>
        <v>2.95</v>
      </c>
      <c r="O21" s="16" t="n">
        <f aca="false">RANDBETWEEN(-30,100)/1000</f>
        <v>0.04</v>
      </c>
      <c r="P21" s="17"/>
      <c r="Q21" s="18" t="n">
        <v>12.5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466.84</v>
      </c>
      <c r="D22" s="16" t="n">
        <f aca="false">Chạy!G18</f>
        <v>3.01</v>
      </c>
      <c r="E22" s="16" t="n">
        <f aca="false">D22+F22</f>
        <v>3.086</v>
      </c>
      <c r="F22" s="16" t="n">
        <f aca="false">RANDBETWEEN(-30,100)/1000</f>
        <v>0.076</v>
      </c>
      <c r="G22" s="16" t="n">
        <f aca="false">Chạy!I18</f>
        <v>2.72</v>
      </c>
      <c r="H22" s="16" t="n">
        <f aca="false">G22+I22</f>
        <v>2.786</v>
      </c>
      <c r="I22" s="16" t="n">
        <f aca="false">RANDBETWEEN(-30,100)/1000</f>
        <v>0.066</v>
      </c>
      <c r="J22" s="16" t="n">
        <f aca="false">Chạy!M22</f>
        <v>2.91</v>
      </c>
      <c r="K22" s="16" t="n">
        <f aca="false">J22+L22</f>
        <v>2.899</v>
      </c>
      <c r="L22" s="16" t="n">
        <f aca="false">RANDBETWEEN(-30,100)/1000</f>
        <v>-0.011</v>
      </c>
      <c r="M22" s="16" t="n">
        <f aca="false">Chạy!O22</f>
        <v>2.91</v>
      </c>
      <c r="N22" s="16" t="n">
        <f aca="false">M22+O22</f>
        <v>2.901</v>
      </c>
      <c r="O22" s="16" t="n">
        <f aca="false">RANDBETWEEN(-30,100)/1000</f>
        <v>-0.009</v>
      </c>
      <c r="P22" s="17"/>
      <c r="Q22" s="18" t="n">
        <v>7.5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474.34</v>
      </c>
      <c r="D23" s="16" t="n">
        <f aca="false">Chạy!G26</f>
        <v>3</v>
      </c>
      <c r="E23" s="16" t="n">
        <f aca="false">D23+F23</f>
        <v>3.033</v>
      </c>
      <c r="F23" s="16" t="n">
        <f aca="false">RANDBETWEEN(-30,100)/1000</f>
        <v>0.033</v>
      </c>
      <c r="G23" s="16" t="n">
        <f aca="false">Chạy!I26</f>
        <v>2.72</v>
      </c>
      <c r="H23" s="16" t="n">
        <f aca="false">G23+I23</f>
        <v>2.738</v>
      </c>
      <c r="I23" s="16" t="n">
        <f aca="false">RANDBETWEEN(-30,100)/1000</f>
        <v>0.018</v>
      </c>
      <c r="J23" s="16" t="n">
        <f aca="false">Chạy!M30</f>
        <v>2.91</v>
      </c>
      <c r="K23" s="16" t="n">
        <f aca="false">J23+L23</f>
        <v>2.929</v>
      </c>
      <c r="L23" s="16" t="n">
        <f aca="false">RANDBETWEEN(-30,100)/1000</f>
        <v>0.019</v>
      </c>
      <c r="M23" s="16" t="n">
        <f aca="false">Chạy!O30</f>
        <v>2.9</v>
      </c>
      <c r="N23" s="16" t="n">
        <f aca="false">M23+O23</f>
        <v>2.901</v>
      </c>
      <c r="O23" s="16" t="n">
        <f aca="false">RANDBETWEEN(-30,100)/1000</f>
        <v>0.001</v>
      </c>
      <c r="P23" s="17"/>
      <c r="Q23" s="18" t="n">
        <v>20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494.34</v>
      </c>
      <c r="D24" s="16" t="n">
        <f aca="false">Chạy!G34</f>
        <v>2.99</v>
      </c>
      <c r="E24" s="16" t="n">
        <f aca="false">D24+F24</f>
        <v>2.977</v>
      </c>
      <c r="F24" s="16" t="n">
        <f aca="false">RANDBETWEEN(-30,100)/1000</f>
        <v>-0.013</v>
      </c>
      <c r="G24" s="16" t="n">
        <f aca="false">Chạy!I34</f>
        <v>2.71</v>
      </c>
      <c r="H24" s="16" t="n">
        <f aca="false">G24+I24</f>
        <v>2.681</v>
      </c>
      <c r="I24" s="16" t="n">
        <f aca="false">RANDBETWEEN(-30,100)/1000</f>
        <v>-0.029</v>
      </c>
      <c r="J24" s="16" t="n">
        <f aca="false">Chạy!M38</f>
        <v>2.9</v>
      </c>
      <c r="K24" s="16" t="n">
        <f aca="false">J24+L24</f>
        <v>2.992</v>
      </c>
      <c r="L24" s="16" t="n">
        <f aca="false">RANDBETWEEN(-30,100)/1000</f>
        <v>0.092</v>
      </c>
      <c r="M24" s="16" t="n">
        <f aca="false">Chạy!O38</f>
        <v>2.89</v>
      </c>
      <c r="N24" s="16" t="n">
        <f aca="false">M24+O24</f>
        <v>2.87</v>
      </c>
      <c r="O24" s="16" t="n">
        <f aca="false">RANDBETWEEN(-30,100)/1000</f>
        <v>-0.02</v>
      </c>
      <c r="P24" s="17"/>
      <c r="Q24" s="18" t="n">
        <v>17.14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511.48</v>
      </c>
      <c r="D25" s="16" t="n">
        <f aca="false">Chạy!G42</f>
        <v>2.98</v>
      </c>
      <c r="E25" s="16" t="n">
        <f aca="false">D25+F25</f>
        <v>3.047</v>
      </c>
      <c r="F25" s="16" t="n">
        <f aca="false">RANDBETWEEN(-30,100)/1000</f>
        <v>0.067</v>
      </c>
      <c r="G25" s="16" t="n">
        <f aca="false">Chạy!I42</f>
        <v>2.7</v>
      </c>
      <c r="H25" s="16" t="n">
        <f aca="false">G25+I25</f>
        <v>2.708</v>
      </c>
      <c r="I25" s="16" t="n">
        <f aca="false">RANDBETWEEN(-30,100)/1000</f>
        <v>0.008</v>
      </c>
      <c r="J25" s="16" t="n">
        <f aca="false">Chạy!M46</f>
        <v>2.89</v>
      </c>
      <c r="K25" s="16" t="n">
        <f aca="false">J25+L25</f>
        <v>2.941</v>
      </c>
      <c r="L25" s="16" t="n">
        <f aca="false">RANDBETWEEN(-30,100)/1000</f>
        <v>0.051</v>
      </c>
      <c r="M25" s="16" t="n">
        <f aca="false">Chạy!O46</f>
        <v>2.88</v>
      </c>
      <c r="N25" s="16" t="n">
        <f aca="false">M25+O25</f>
        <v>2.915</v>
      </c>
      <c r="O25" s="16" t="n">
        <f aca="false">RANDBETWEEN(-30,100)/1000</f>
        <v>0.035</v>
      </c>
      <c r="P25" s="17"/>
      <c r="Q25" s="18" t="n">
        <v>3.12</v>
      </c>
    </row>
    <row r="26" customFormat="false" ht="15" hidden="false" customHeight="false" outlineLevel="0" collapsed="false">
      <c r="A26" s="13" t="n">
        <v>7</v>
      </c>
      <c r="B26" s="14" t="s">
        <v>24</v>
      </c>
      <c r="C26" s="15" t="n">
        <f aca="false">C25+Q25</f>
        <v>514.6</v>
      </c>
      <c r="D26" s="16" t="n">
        <f aca="false">Chạy!G50</f>
        <v>2.98</v>
      </c>
      <c r="E26" s="16" t="n">
        <f aca="false">D26+F26</f>
        <v>3.073</v>
      </c>
      <c r="F26" s="16" t="n">
        <f aca="false">RANDBETWEEN(-30,100)/1000</f>
        <v>0.093</v>
      </c>
      <c r="G26" s="16" t="n">
        <f aca="false">Chạy!I50</f>
        <v>2.7</v>
      </c>
      <c r="H26" s="16" t="n">
        <f aca="false">G26+I26</f>
        <v>2.795</v>
      </c>
      <c r="I26" s="16" t="n">
        <f aca="false">RANDBETWEEN(-30,100)/1000</f>
        <v>0.095</v>
      </c>
      <c r="J26" s="16" t="n">
        <f aca="false">Chạy!M54</f>
        <v>2.89</v>
      </c>
      <c r="K26" s="16" t="n">
        <f aca="false">J26+L26</f>
        <v>2.952</v>
      </c>
      <c r="L26" s="16" t="n">
        <f aca="false">RANDBETWEEN(-30,100)/1000</f>
        <v>0.062</v>
      </c>
      <c r="M26" s="16" t="n">
        <f aca="false">Chạy!O54</f>
        <v>2.88</v>
      </c>
      <c r="N26" s="16" t="n">
        <f aca="false">M26+O26</f>
        <v>2.883</v>
      </c>
      <c r="O26" s="16" t="n">
        <f aca="false">RANDBETWEEN(-30,100)/1000</f>
        <v>0.003</v>
      </c>
      <c r="P26" s="17"/>
      <c r="Q26" s="18" t="n">
        <v>10.48</v>
      </c>
    </row>
    <row r="27" customFormat="false" ht="15" hidden="false" customHeight="false" outlineLevel="0" collapsed="false">
      <c r="A27" s="13" t="n">
        <v>8</v>
      </c>
      <c r="B27" s="14" t="s">
        <v>25</v>
      </c>
      <c r="C27" s="15" t="n">
        <f aca="false">C26+Q26</f>
        <v>525.08</v>
      </c>
      <c r="D27" s="16" t="n">
        <f aca="false">Chạy!G58</f>
        <v>2.97</v>
      </c>
      <c r="E27" s="16" t="n">
        <f aca="false">D27+F27</f>
        <v>3.024</v>
      </c>
      <c r="F27" s="16" t="n">
        <f aca="false">RANDBETWEEN(-30,100)/1000</f>
        <v>0.054</v>
      </c>
      <c r="G27" s="16" t="n">
        <f aca="false">Chạy!I58</f>
        <v>2.69</v>
      </c>
      <c r="H27" s="16" t="n">
        <f aca="false">G27+I27</f>
        <v>2.762</v>
      </c>
      <c r="I27" s="16" t="n">
        <f aca="false">RANDBETWEEN(-30,100)/1000</f>
        <v>0.072</v>
      </c>
      <c r="J27" s="16" t="n">
        <f aca="false">Chạy!M62</f>
        <v>2.88</v>
      </c>
      <c r="K27" s="16" t="n">
        <f aca="false">J27+L27</f>
        <v>2.946</v>
      </c>
      <c r="L27" s="16" t="n">
        <f aca="false">RANDBETWEEN(-30,100)/1000</f>
        <v>0.066</v>
      </c>
      <c r="M27" s="16" t="n">
        <f aca="false">Chạy!O62</f>
        <v>2.88</v>
      </c>
      <c r="N27" s="16" t="n">
        <f aca="false">M27+O27</f>
        <v>2.908</v>
      </c>
      <c r="O27" s="16" t="n">
        <f aca="false">RANDBETWEEN(-30,100)/1000</f>
        <v>0.028</v>
      </c>
      <c r="P27" s="17"/>
      <c r="Q27" s="18" t="n">
        <v>13.6</v>
      </c>
    </row>
    <row r="28" customFormat="false" ht="15" hidden="false" customHeight="false" outlineLevel="0" collapsed="false">
      <c r="A28" s="13" t="n">
        <v>9</v>
      </c>
      <c r="B28" s="14" t="s">
        <v>26</v>
      </c>
      <c r="C28" s="15" t="n">
        <f aca="false">C27+Q27</f>
        <v>538.68</v>
      </c>
      <c r="D28" s="16" t="n">
        <f aca="false">Chạy!G66</f>
        <v>2.97</v>
      </c>
      <c r="E28" s="16" t="n">
        <f aca="false">D28+F28</f>
        <v>2.962</v>
      </c>
      <c r="F28" s="16" t="n">
        <f aca="false">RANDBETWEEN(-30,100)/1000</f>
        <v>-0.008</v>
      </c>
      <c r="G28" s="16" t="n">
        <f aca="false">Chạy!I66</f>
        <v>2.69</v>
      </c>
      <c r="H28" s="16" t="n">
        <f aca="false">G28+I28</f>
        <v>2.756</v>
      </c>
      <c r="I28" s="16" t="n">
        <f aca="false">RANDBETWEEN(-30,100)/1000</f>
        <v>0.066</v>
      </c>
      <c r="J28" s="16" t="n">
        <f aca="false">Chạy!M70</f>
        <v>2.88</v>
      </c>
      <c r="K28" s="16" t="n">
        <f aca="false">J28+L28</f>
        <v>2.934</v>
      </c>
      <c r="L28" s="16" t="n">
        <f aca="false">RANDBETWEEN(-30,100)/1000</f>
        <v>0.054</v>
      </c>
      <c r="M28" s="16" t="n">
        <f aca="false">Chạy!O70</f>
        <v>2.87</v>
      </c>
      <c r="N28" s="16" t="n">
        <f aca="false">M28+O28</f>
        <v>2.91</v>
      </c>
      <c r="O28" s="16" t="n">
        <f aca="false">RANDBETWEEN(-30,100)/1000</f>
        <v>0.04</v>
      </c>
      <c r="P28" s="17"/>
      <c r="Q28" s="18" t="n">
        <v>15.4</v>
      </c>
    </row>
    <row r="29" customFormat="false" ht="15" hidden="false" customHeight="false" outlineLevel="0" collapsed="false">
      <c r="A29" s="13" t="n">
        <v>10</v>
      </c>
      <c r="B29" s="14" t="s">
        <v>27</v>
      </c>
      <c r="C29" s="15" t="n">
        <f aca="false">C28+Q28</f>
        <v>554.08</v>
      </c>
      <c r="D29" s="16" t="n">
        <f aca="false">Chạy!G74</f>
        <v>2.96</v>
      </c>
      <c r="E29" s="16" t="n">
        <f aca="false">D29+F29</f>
        <v>3.025</v>
      </c>
      <c r="F29" s="16" t="n">
        <f aca="false">RANDBETWEEN(-30,100)/1000</f>
        <v>0.065</v>
      </c>
      <c r="G29" s="16" t="n">
        <f aca="false">Chạy!I74</f>
        <v>2.68</v>
      </c>
      <c r="H29" s="16" t="n">
        <f aca="false">G29+I29</f>
        <v>2.704</v>
      </c>
      <c r="I29" s="16" t="n">
        <f aca="false">RANDBETWEEN(-30,100)/1000</f>
        <v>0.024</v>
      </c>
      <c r="J29" s="16" t="n">
        <f aca="false">Chạy!M78</f>
        <v>2.87</v>
      </c>
      <c r="K29" s="16" t="n">
        <f aca="false">J29+L29</f>
        <v>2.926</v>
      </c>
      <c r="L29" s="16" t="n">
        <f aca="false">RANDBETWEEN(-30,100)/1000</f>
        <v>0.056</v>
      </c>
      <c r="M29" s="16" t="n">
        <f aca="false">Chạy!O78</f>
        <v>2.86</v>
      </c>
      <c r="N29" s="16" t="n">
        <f aca="false">M29+O29</f>
        <v>2.906</v>
      </c>
      <c r="O29" s="16" t="n">
        <f aca="false">RANDBETWEEN(-30,100)/1000</f>
        <v>0.046</v>
      </c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48</v>
      </c>
      <c r="D59" s="19"/>
      <c r="E59" s="19"/>
      <c r="F59" s="19"/>
      <c r="G59" s="20"/>
      <c r="H59" s="20"/>
      <c r="I59" s="20"/>
      <c r="K59" s="19" t="s">
        <v>49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50</v>
      </c>
      <c r="D64" s="19"/>
      <c r="E64" s="19"/>
      <c r="F64" s="19"/>
      <c r="G64" s="20"/>
      <c r="H64" s="20"/>
      <c r="I64" s="20"/>
      <c r="J64" s="21"/>
      <c r="K64" s="19" t="s">
        <v>64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23.NĐXD4/CVXD ngày 27 tháng 08 năm 2026</v>
      </c>
      <c r="B2" s="27"/>
      <c r="C2" s="27"/>
      <c r="D2" s="27"/>
      <c r="E2" s="27"/>
      <c r="F2" s="27"/>
      <c r="G2" s="27"/>
      <c r="AZ2">
        <v>23</v>
      </c>
    </row>
    <row r="3" s="33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34</v>
      </c>
      <c r="B7" s="32"/>
      <c r="D7" s="34" t="str">
        <f>VLOOKUP(AZ2,'[1]Tuyến XD4'!$A$2:$B$60,2,0)</f>
        <v xml:space="preserve">Đắp đất lề đường lớp 4, độ chặt K&gt;=0,95 đoạn từ Km0+441,84 - Km0+554,08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38</v>
      </c>
      <c r="C9" s="36" t="s">
        <v>39</v>
      </c>
      <c r="D9" s="37" t="s">
        <v>53</v>
      </c>
      <c r="E9" s="38"/>
      <c r="F9" s="38"/>
      <c r="G9" s="37" t="s">
        <v>44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54</v>
      </c>
      <c r="F10" s="38" t="s">
        <v>55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24</v>
      </c>
      <c r="C11" s="15" t="n">
        <f aca="false">'1. KTHH L4'!C20</f>
        <v>441.84</v>
      </c>
      <c r="D11" s="13" t="n">
        <f aca="false">'1. KTHH L4'!Q20</f>
        <v>12.5</v>
      </c>
      <c r="E11" s="42" t="n">
        <f aca="false">Chạy!E2+Chạy!E6</f>
        <v>3.12</v>
      </c>
      <c r="F11" s="43" t="n">
        <f aca="false">(E11+E12)*D11/2</f>
        <v>39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25</v>
      </c>
      <c r="C12" s="15" t="n">
        <f aca="false">'1. KTHH L4'!C21</f>
        <v>454.34</v>
      </c>
      <c r="D12" s="13" t="n">
        <f aca="false">'1. KTHH L4'!Q21</f>
        <v>12.5</v>
      </c>
      <c r="E12" s="42" t="n">
        <f aca="false">Chạy!E10+Chạy!E14</f>
        <v>3.12</v>
      </c>
      <c r="F12" s="43" t="n">
        <f aca="false">(E12+E13)*D12/2</f>
        <v>39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26</v>
      </c>
      <c r="C13" s="15" t="n">
        <f aca="false">'1. KTHH L4'!C22</f>
        <v>466.84</v>
      </c>
      <c r="D13" s="13" t="n">
        <f aca="false">'1. KTHH L4'!Q22</f>
        <v>7.5</v>
      </c>
      <c r="E13" s="42" t="n">
        <f aca="false">Chạy!E18+Chạy!E22</f>
        <v>3.12</v>
      </c>
      <c r="F13" s="43" t="n">
        <f aca="false">(E13+E14)*D13/2</f>
        <v>23.4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27</v>
      </c>
      <c r="C14" s="15" t="n">
        <f aca="false">'1. KTHH L4'!C23</f>
        <v>474.34</v>
      </c>
      <c r="D14" s="13" t="n">
        <f aca="false">'1. KTHH L4'!Q23</f>
        <v>20</v>
      </c>
      <c r="E14" s="42" t="n">
        <f aca="false">Chạy!E26+Chạy!E30</f>
        <v>3.12</v>
      </c>
      <c r="F14" s="43" t="n">
        <f aca="false">(E14+E15)*D14/2</f>
        <v>62.4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28</v>
      </c>
      <c r="C15" s="15" t="n">
        <f aca="false">'1. KTHH L4'!C24</f>
        <v>494.34</v>
      </c>
      <c r="D15" s="13" t="n">
        <f aca="false">'1. KTHH L4'!Q24</f>
        <v>17.14</v>
      </c>
      <c r="E15" s="42" t="n">
        <f aca="false">Chạy!E34+Chạy!E38</f>
        <v>3.12</v>
      </c>
      <c r="F15" s="43" t="n">
        <f aca="false">(E15+E16)*D15/2</f>
        <v>53.4768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29</v>
      </c>
      <c r="C16" s="15" t="n">
        <f aca="false">'1. KTHH L4'!C25</f>
        <v>511.48</v>
      </c>
      <c r="D16" s="13" t="n">
        <f aca="false">'1. KTHH L4'!Q25</f>
        <v>3.12</v>
      </c>
      <c r="E16" s="42" t="n">
        <f aca="false">Chạy!E42+Chạy!E46</f>
        <v>3.12</v>
      </c>
      <c r="F16" s="43" t="n">
        <f aca="false">(E16+E17)*D16/2</f>
        <v>9.7344</v>
      </c>
      <c r="G16" s="44"/>
      <c r="H16" s="54"/>
      <c r="I16" s="69"/>
    </row>
    <row r="17" s="41" customFormat="true" ht="15" hidden="false" customHeight="true" outlineLevel="0" collapsed="false">
      <c r="A17" s="13" t="n">
        <v>7</v>
      </c>
      <c r="B17" s="14" t="str">
        <f aca="false">'1. KTHH L4'!B26</f>
        <v>30</v>
      </c>
      <c r="C17" s="15" t="n">
        <f aca="false">'1. KTHH L4'!C26</f>
        <v>514.6</v>
      </c>
      <c r="D17" s="13" t="n">
        <f aca="false">'1. KTHH L4'!Q26</f>
        <v>10.48</v>
      </c>
      <c r="E17" s="42" t="n">
        <f aca="false">Chạy!E50+Chạy!E54</f>
        <v>3.12</v>
      </c>
      <c r="F17" s="43" t="n">
        <f aca="false">(E17+E18)*D17/2</f>
        <v>32.6976</v>
      </c>
      <c r="G17" s="44"/>
      <c r="H17" s="54"/>
      <c r="I17" s="69"/>
    </row>
    <row r="18" s="41" customFormat="true" ht="15" hidden="false" customHeight="true" outlineLevel="0" collapsed="false">
      <c r="A18" s="13" t="n">
        <v>8</v>
      </c>
      <c r="B18" s="14" t="str">
        <f aca="false">'1. KTHH L4'!B27</f>
        <v>D</v>
      </c>
      <c r="C18" s="15" t="n">
        <f aca="false">'1. KTHH L4'!C27</f>
        <v>525.08</v>
      </c>
      <c r="D18" s="13" t="n">
        <f aca="false">'1. KTHH L4'!Q27</f>
        <v>13.6</v>
      </c>
      <c r="E18" s="42" t="n">
        <f aca="false">Chạy!E58+Chạy!E62</f>
        <v>3.12</v>
      </c>
      <c r="F18" s="43" t="n">
        <f aca="false">(E18+E19)*D18/2</f>
        <v>42.432</v>
      </c>
      <c r="G18" s="44"/>
      <c r="H18" s="54"/>
      <c r="I18" s="69"/>
    </row>
    <row r="19" s="41" customFormat="true" ht="15" hidden="false" customHeight="true" outlineLevel="0" collapsed="false">
      <c r="A19" s="13" t="n">
        <v>9</v>
      </c>
      <c r="B19" s="14" t="str">
        <f aca="false">'1. KTHH L4'!B28</f>
        <v>31</v>
      </c>
      <c r="C19" s="15" t="n">
        <f aca="false">'1. KTHH L4'!C28</f>
        <v>538.68</v>
      </c>
      <c r="D19" s="13" t="n">
        <f aca="false">'1. KTHH L4'!Q28</f>
        <v>15.4</v>
      </c>
      <c r="E19" s="42" t="n">
        <f aca="false">Chạy!E66+Chạy!E70</f>
        <v>3.12</v>
      </c>
      <c r="F19" s="43" t="n">
        <f aca="false">(E19+E20)*D19/2</f>
        <v>48.048</v>
      </c>
      <c r="G19" s="44"/>
      <c r="H19" s="54"/>
      <c r="I19" s="69"/>
    </row>
    <row r="20" s="41" customFormat="true" ht="15" hidden="false" customHeight="true" outlineLevel="0" collapsed="false">
      <c r="A20" s="13" t="n">
        <v>10</v>
      </c>
      <c r="B20" s="14" t="str">
        <f aca="false">'1. KTHH L4'!B29</f>
        <v>32</v>
      </c>
      <c r="C20" s="15" t="n">
        <f aca="false">'1. KTHH L4'!C29</f>
        <v>554.08</v>
      </c>
      <c r="D20" s="13"/>
      <c r="E20" s="42" t="n">
        <f aca="false">Chạy!E74+Chạy!E78</f>
        <v>3.12</v>
      </c>
      <c r="F20" s="43"/>
      <c r="G20" s="44"/>
      <c r="H20" s="54"/>
      <c r="I20" s="69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54"/>
      <c r="I21" s="69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56</v>
      </c>
      <c r="B49" s="36"/>
      <c r="C49" s="36"/>
      <c r="D49" s="36"/>
      <c r="E49" s="47"/>
      <c r="F49" s="48" t="n">
        <f aca="false">SUM(F11:F20)</f>
        <v>350.1888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48</v>
      </c>
      <c r="B51" s="19"/>
      <c r="C51" s="19"/>
      <c r="D51" s="57" t="s">
        <v>57</v>
      </c>
      <c r="E51" s="19" t="s">
        <v>49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50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2026-10-13T10:11:46Z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