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externalReferences>
    <externalReference r:id="rIdExt1"/>
  </externalReference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<sst xmlns="http://schemas.openxmlformats.org/spreadsheetml/2006/main" count="280" uniqueCount="48">
  <si>
    <t xml:space="preserve">PHỤ LỤC KIỂM TRA CAO ĐỘ, KÍCH THƯỚC HÌNH HỌC</t>
  </si>
  <si>
    <t xml:space="preserve">Kèm theo BBNT số: 73.NĐXD4/CVXD ngày 21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</si>
  <si>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</si>
  <si>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</si>
  <si>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</si>
  <si>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XD4</t>
  </si>
  <si>
    <t xml:space="preserve">- Đối tượng nghiệm thu:</t>
  </si>
  <si>
    <t xml:space="preserve">Đắp đất nền đường lớp 1, độ chặt K&gt;=0,98 đoạn từ Km0+672,28 - Km0+746,82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</si>
  <si>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</si>
  <si>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</si>
  <si>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</si>
  <si>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</si>
  <si>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</si>
  <si>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</si>
  <si>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</si>
  <si>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</si>
  <si>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</si>
  <si>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</si>
  <si>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</si>
  <si>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</si>
  <si>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</si>
  <si>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</si>
  <si>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</si>
  <si>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38</t>
  </si>
  <si>
    <t xml:space="preserve">39</t>
  </si>
  <si>
    <t xml:space="preserve">F2</t>
  </si>
  <si>
    <t xml:space="preserve">40</t>
  </si>
  <si>
    <t xml:space="preserve">41</t>
  </si>
  <si>
    <t xml:space="preserve">42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</si>
  <si>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</si>
  <si>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</si>
  <si>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</si>
  <si>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</si>
  <si>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</si>
  <si>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</si>
  <si>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</si>
  <si>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</si>
  <si>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</si>
  <si>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</si>
  <si>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</si>
  <si>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</si>
  <si>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75.NĐXD4/CVXD ngày 22 tháng 09 năm 2026</t>
  </si>
  <si>
    <t xml:space="preserve">Đắp đất nền đường lớp 2, độ chặt K&gt;=0,98 đoạn từ Km0+672,28 - Km0+746,82</t>
  </si>
  <si>
    <t xml:space="preserve">Kèm theo BBNT số: 77.NĐXD4/CVXD ngày 23 tháng 09 năm 2026</t>
  </si>
  <si>
    <t xml:space="preserve">Đắp cấp phối đá dăm loại 2 đoạn từ Km0+672,28 - Km0+746,82</t>
  </si>
  <si>
    <t xml:space="preserve">Kèm theo BBNT số: 80.NĐXD4/CVXD ngày 24 tháng 09 năm 2026</t>
  </si>
  <si>
    <t xml:space="preserve">Đắp cấp phối đá dăm loại 1 đoạn từ Km0+672,28 - Km0+746,82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</si>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</sst>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4%20%C4%91o%E1%BA%A1n%203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4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57</v>
          </cell>
          <cell r="B3" t="str">
            <v xml:space="preserve">Kiểm tra cao độ đường đen đoạn từ Km0+672,28 -:- Km0+746,82</v>
          </cell>
          <cell r="D3" t="str">
            <v xml:space="preserve">ngày 12 tháng 09 năm 2026</v>
          </cell>
          <cell r="G3" t="str">
            <v xml:space="preserve">57.NĐXD4/CVXD </v>
          </cell>
        </row>
        <row r="4">
          <cell r="A4">
            <v>58</v>
          </cell>
          <cell r="B4" t="str">
            <v xml:space="preserve">Đào đất xử lý nền đường đoạn từ Km0+672,28 - Km0+746,82</v>
          </cell>
          <cell r="D4" t="str">
            <v xml:space="preserve">ngày 13 tháng 09 năm 2026</v>
          </cell>
          <cell r="G4" t="str">
            <v xml:space="preserve">58.NĐXD4/CVXD </v>
          </cell>
        </row>
        <row r="5">
          <cell r="A5">
            <v>59</v>
          </cell>
          <cell r="B5" t="str">
            <v xml:space="preserve">Rải vải địa kỹ thuật đoạn từ Km0+672,28 - Km0+746,82</v>
          </cell>
          <cell r="D5" t="str">
            <v xml:space="preserve">ngày 14 tháng 09 năm 2026</v>
          </cell>
          <cell r="G5" t="str">
            <v xml:space="preserve">59.NĐXD4/CVXD </v>
          </cell>
        </row>
        <row r="6">
          <cell r="A6">
            <v>60</v>
          </cell>
          <cell r="B6" t="str">
            <v xml:space="preserve">Đắp cát nền đường lớp 1 đoạn từ Km0+672,28 - Km0+746,82, độ chặt K&gt;=0,95</v>
          </cell>
          <cell r="D6" t="str">
            <v xml:space="preserve">ngày 14 tháng 09 năm 2026</v>
          </cell>
          <cell r="G6" t="str">
            <v xml:space="preserve">60.NĐXD4/CVXD </v>
          </cell>
        </row>
        <row r="7">
          <cell r="A7">
            <v>61</v>
          </cell>
          <cell r="B7" t="str">
            <v xml:space="preserve">Đắp cát nền đường lớp 2 đoạn từ Km0+672,28 - Km0+746,82, độ chặt K&gt;=0,95</v>
          </cell>
          <cell r="D7" t="str">
            <v xml:space="preserve">ngày 15 tháng 09 năm 2026</v>
          </cell>
          <cell r="G7" t="str">
            <v xml:space="preserve">61.NĐXD4/CVXD </v>
          </cell>
        </row>
        <row r="8">
          <cell r="A8">
            <v>62</v>
          </cell>
          <cell r="B8" t="str">
            <v xml:space="preserve">Đắp cát nền đường lớp 3 đoạn từ Km0+672,28 - Km0+746,82, độ chặt K&gt;=0,95</v>
          </cell>
          <cell r="D8" t="str">
            <v xml:space="preserve">ngày 15 tháng 09 năm 2026</v>
          </cell>
          <cell r="G8" t="str">
            <v xml:space="preserve">62.NĐXD4/CVXD </v>
          </cell>
        </row>
        <row r="9">
          <cell r="A9">
            <v>63</v>
          </cell>
          <cell r="B9" t="str">
            <v xml:space="preserve">Đắp cát nền đường lớp 4 đoạn từ Km0+672,28 - Km0+746,82, độ chặt K&gt;=0,95</v>
          </cell>
          <cell r="D9" t="str">
            <v xml:space="preserve">ngày 16 tháng 09 năm 2026</v>
          </cell>
          <cell r="G9" t="str">
            <v xml:space="preserve">63.NĐXD4/CVXD </v>
          </cell>
        </row>
        <row r="10">
          <cell r="A10">
            <v>64</v>
          </cell>
          <cell r="B10" t="str">
            <v xml:space="preserve">Đắp đất nền đường lớp 1 đoạn từ Km0+672,28 - Km0+746,82, độ chặt K&gt;=0,95</v>
          </cell>
          <cell r="D10" t="str">
            <v xml:space="preserve">ngày 16 tháng 09 năm 2026</v>
          </cell>
          <cell r="G10" t="str">
            <v xml:space="preserve">64.NĐXD4/CVXD </v>
          </cell>
        </row>
        <row r="11">
          <cell r="A11">
            <v>65</v>
          </cell>
          <cell r="B11" t="str">
            <v xml:space="preserve">Đắp đất nền đường lớp 2 đoạn từ Km0+672,28 - Km0+746,82, độ chặt K&gt;=0,95</v>
          </cell>
          <cell r="D11" t="str">
            <v xml:space="preserve">ngày 17 tháng 09 năm 2026</v>
          </cell>
          <cell r="G11" t="str">
            <v xml:space="preserve">65.NĐXD4/CVXD </v>
          </cell>
        </row>
        <row r="12">
          <cell r="A12">
            <v>66</v>
          </cell>
          <cell r="B12" t="str">
            <v xml:space="preserve">Đắp đất nền đường lớp 3 đoạn từ Km0+672,28 - Km0+746,82, độ chặt K&gt;=0,95</v>
          </cell>
          <cell r="D12" t="str">
            <v xml:space="preserve">ngày 17 tháng 09 năm 2026</v>
          </cell>
          <cell r="G12" t="str">
            <v xml:space="preserve">66.NĐXD4/CVXD </v>
          </cell>
        </row>
        <row r="13">
          <cell r="A13">
            <v>67</v>
          </cell>
          <cell r="B13" t="str">
            <v xml:space="preserve">Đắp đất nền đường lớp 4 đoạn từ Km0+672,28 - Km0+746,82, độ chặt K&gt;=0,95</v>
          </cell>
          <cell r="D13" t="str">
            <v xml:space="preserve">ngày 18 tháng 09 năm 2026</v>
          </cell>
          <cell r="G13" t="str">
            <v xml:space="preserve">67.NĐXD4/CVXD </v>
          </cell>
        </row>
        <row r="14">
          <cell r="A14">
            <v>68</v>
          </cell>
          <cell r="B14" t="str">
            <v xml:space="preserve">Đắp đất nền đường lớp 5 đoạn từ Km0+672,28 - Km0+746,82, độ chặt K&gt;=0,95</v>
          </cell>
          <cell r="D14" t="str">
            <v xml:space="preserve">ngày 18 tháng 09 năm 2026</v>
          </cell>
          <cell r="G14" t="str">
            <v xml:space="preserve">68.NĐXD4/CVXD </v>
          </cell>
        </row>
        <row r="15">
          <cell r="A15">
            <v>69</v>
          </cell>
          <cell r="B15" t="str">
            <v xml:space="preserve">Đắp đất nền đường lớp 6 đoạn từ Km0+672,28 - Km0+746,82, độ chặt K&gt;=0,95</v>
          </cell>
          <cell r="D15" t="str">
            <v xml:space="preserve">ngày 19 tháng 09 năm 2026</v>
          </cell>
          <cell r="G15" t="str">
            <v xml:space="preserve">69.NĐXD4/CVXD </v>
          </cell>
        </row>
        <row r="16">
          <cell r="A16">
            <v>70</v>
          </cell>
          <cell r="B16" t="str">
            <v xml:space="preserve">Đắp đất nền đường lớp 7 đoạn từ Km0+672,28 - Km0+746,82, độ chặt K&gt;=0,95</v>
          </cell>
          <cell r="D16" t="str">
            <v xml:space="preserve">ngày 19 tháng 09 năm 2026</v>
          </cell>
          <cell r="G16" t="str">
            <v xml:space="preserve">70.NĐXD4/CVXD </v>
          </cell>
        </row>
        <row r="17">
          <cell r="A17">
            <v>71</v>
          </cell>
          <cell r="B17" t="str">
            <v xml:space="preserve">Đắp đất nền đường lớp 8 đoạn từ Km0+672,28 - Km0+746,82, độ chặt K&gt;=0,95</v>
          </cell>
          <cell r="D17" t="str">
            <v xml:space="preserve">ngày 20 tháng 09 năm 2026</v>
          </cell>
          <cell r="G17" t="str">
            <v xml:space="preserve">71.NĐXD4/CVXD </v>
          </cell>
        </row>
        <row r="18">
          <cell r="A18">
            <v>72</v>
          </cell>
          <cell r="B18" t="str">
            <v xml:space="preserve">Đắp đất nền đường lớp 9 đoạn từ Km0+672,28 - Km0+746,82, độ chặt K&gt;=0,95</v>
          </cell>
          <cell r="D18" t="str">
            <v xml:space="preserve">ngày 20 tháng 09 năm 2026</v>
          </cell>
          <cell r="G18" t="str">
            <v xml:space="preserve">72.NĐXD4/CVXD </v>
          </cell>
        </row>
        <row r="19">
          <cell r="A19">
            <v>73</v>
          </cell>
          <cell r="B19" t="str">
            <v xml:space="preserve">Đắp đất nền đường lớp 1, độ chặt K&gt;=0,98 đoạn từ Km0+672,28 - Km0+746,82</v>
          </cell>
          <cell r="D19" t="str">
            <v xml:space="preserve">ngày 21 tháng 09 năm 2026</v>
          </cell>
          <cell r="G19" t="str">
            <v xml:space="preserve">73.NĐXD4/CVXD </v>
          </cell>
        </row>
        <row r="20">
          <cell r="A20">
            <v>74</v>
          </cell>
          <cell r="B20" t="str">
            <v xml:space="preserve">Đắp đất lề đường lớp 1, độ chặt K&gt;=0,95 đoạn từ Km0+672,28 - Km0+746,82</v>
          </cell>
          <cell r="D20" t="str">
            <v xml:space="preserve">ngày 21 tháng 09 năm 2026</v>
          </cell>
          <cell r="G20" t="str">
            <v xml:space="preserve">74.NĐXD4/CVXD </v>
          </cell>
        </row>
        <row r="21">
          <cell r="A21">
            <v>75</v>
          </cell>
          <cell r="B21" t="str">
            <v xml:space="preserve">Đắp đất nền đường lớp 2, độ chặt K&gt;=0,98 đoạn từ Km0+672,28 - Km0+746,82</v>
          </cell>
          <cell r="D21" t="str">
            <v xml:space="preserve">ngày 22 tháng 09 năm 2026</v>
          </cell>
          <cell r="G21" t="str">
            <v xml:space="preserve">75.NĐXD4/CVXD </v>
          </cell>
        </row>
        <row r="22">
          <cell r="A22">
            <v>76</v>
          </cell>
          <cell r="B22" t="str">
            <v xml:space="preserve">Đắp đất lề đường lớp 2, độ chặt K&gt;=0,95 đoạn từ Km0+672,28 - Km0+746,82</v>
          </cell>
          <cell r="D22" t="str">
            <v xml:space="preserve">ngày 22 tháng 09 năm 2026</v>
          </cell>
          <cell r="G22" t="str">
            <v xml:space="preserve">76.NĐXD4/CVXD </v>
          </cell>
        </row>
        <row r="23">
          <cell r="A23">
            <v>77</v>
          </cell>
          <cell r="B23" t="str">
            <v xml:space="preserve">Đắp cấp phối đá dăm loại 2 đoạn từ Km0+672,28 - Km0+746,82</v>
          </cell>
          <cell r="D23" t="str">
            <v xml:space="preserve">ngày 23 tháng 09 năm 2026</v>
          </cell>
          <cell r="G23" t="str">
            <v xml:space="preserve">77.NĐXD4/CVXD </v>
          </cell>
        </row>
        <row r="24">
          <cell r="A24">
            <v>78</v>
          </cell>
          <cell r="B24" t="str">
            <v xml:space="preserve">Đắp đất lề đường lớp 3, độ chặt K&gt;=0,95 đoạn từ Km0+672,28 - Km0+746,82</v>
          </cell>
          <cell r="D24" t="str">
            <v xml:space="preserve">ngày 23 tháng 09 năm 2026</v>
          </cell>
          <cell r="G24" t="str">
            <v xml:space="preserve">78.NĐXD4/CVXD </v>
          </cell>
        </row>
        <row r="25">
          <cell r="A25">
            <v>79</v>
          </cell>
          <cell r="B25" t="str">
            <v xml:space="preserve">Đắp đất lề đường lớp 4, độ chặt K&gt;=0,95 đoạn từ Km0+672,28 - Km0+746,82</v>
          </cell>
          <cell r="D25" t="str">
            <v xml:space="preserve">ngày 24 tháng 09 năm 2026</v>
          </cell>
          <cell r="G25" t="str">
            <v xml:space="preserve">79.NĐXD4/CVXD </v>
          </cell>
        </row>
        <row r="26">
          <cell r="A26">
            <v>80</v>
          </cell>
          <cell r="B26" t="str">
            <v xml:space="preserve">Đắp cấp phối đá dăm loại 1 đoạn từ Km0+672,28 - Km0+746,82</v>
          </cell>
          <cell r="D26" t="str">
            <v xml:space="preserve">ngày 24 tháng 09 năm 2026</v>
          </cell>
          <cell r="G26" t="str">
            <v xml:space="preserve">80.NĐXD4/CVXD </v>
          </cell>
        </row>
        <row r="27">
          <cell r="A27">
            <v>81</v>
          </cell>
          <cell r="B27" t="str">
            <v xml:space="preserve">Vệ sinh, thổi bụi mặt đường </v>
          </cell>
          <cell r="D27" t="str">
            <v xml:space="preserve">ngày 26 tháng 09 năm 2026</v>
          </cell>
          <cell r="G27" t="str">
            <v xml:space="preserve">81.NĐXD4/CVXD </v>
          </cell>
        </row>
        <row r="28">
          <cell r="A28">
            <v>82</v>
          </cell>
          <cell r="B28" t="str">
            <v xml:space="preserve">Tưới lớp thấm bám mặt đường, nhựa MC70, lượng nhựa 1kg/m2</v>
          </cell>
          <cell r="D28" t="str">
            <v xml:space="preserve">ngày 28 tháng 09 năm 2026</v>
          </cell>
          <cell r="G28" t="str">
            <v xml:space="preserve">82.NĐXD4/CVXD </v>
          </cell>
        </row>
        <row r="29">
          <cell r="A29">
            <v>83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01 tháng 10 năm 2026</v>
          </cell>
          <cell r="G29" t="str">
            <v xml:space="preserve">83.NĐXD4/CVXD </v>
          </cell>
        </row>
        <row r="30">
          <cell r="A30">
            <v>84</v>
          </cell>
          <cell r="B30" t="str">
            <v xml:space="preserve">Bê tông nhựa C16 - Chiều dày mặt đường đã lèn ép 6cm</v>
          </cell>
          <cell r="D30" t="str">
            <v xml:space="preserve">ngày 03 tháng 10 năm 2026</v>
          </cell>
          <cell r="G30" t="str">
            <v xml:space="preserve">84.NĐXD4/CVXD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73.NĐXD4/CVXD ngày 21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73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đất nền đường lớp 1, độ chặt K&gt;=0,98 đoạn từ Km0+672,28 - Km0+746,82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672.28</v>
      </c>
      <c r="D23" s="16" t="n">
        <v>-5.25</v>
      </c>
      <c r="E23" s="16" t="n">
        <f aca="false">+D23+F23</f>
        <v>-5.2558</v>
      </c>
      <c r="F23" s="16" t="n">
        <f aca="false">RANDBETWEEN(-105,115)/10000</f>
        <v>-0.0058</v>
      </c>
      <c r="G23" s="16" t="n">
        <f aca="false">J23-4.95*2%-0.3*6%</f>
        <v>2.188</v>
      </c>
      <c r="H23" s="16" t="n">
        <f aca="false">G23+I23</f>
        <v>2.23</v>
      </c>
      <c r="I23" s="16" t="n">
        <f aca="false">RANDBETWEEN(-20,70)/1000</f>
        <v>0.042</v>
      </c>
      <c r="J23" s="16" t="n">
        <f aca="false">W23+0.25</f>
        <v>2.305</v>
      </c>
      <c r="K23" s="16" t="n">
        <f aca="false">J23+L23</f>
        <v>2.292</v>
      </c>
      <c r="L23" s="16" t="n">
        <f aca="false">RANDBETWEEN(-20,70)/1000</f>
        <v>-0.013</v>
      </c>
      <c r="M23" s="16" t="n">
        <v>5.25</v>
      </c>
      <c r="N23" s="16" t="n">
        <f aca="false">+M23+O23</f>
        <v>5.2549</v>
      </c>
      <c r="O23" s="16" t="n">
        <f aca="false">RANDBETWEEN(-105,115)/10000</f>
        <v>0.0049</v>
      </c>
      <c r="P23" s="16" t="n">
        <f aca="false">G23</f>
        <v>2.188</v>
      </c>
      <c r="Q23" s="16" t="n">
        <f aca="false">P23+R23</f>
        <v>2.231</v>
      </c>
      <c r="R23" s="16" t="n">
        <f aca="false">RANDBETWEEN(-20,70)/1000</f>
        <v>0.043</v>
      </c>
      <c r="S23" s="17"/>
      <c r="T23" s="18" t="n">
        <v>17</v>
      </c>
      <c r="V23" s="19"/>
      <c r="W23" s="20" t="n">
        <v>2.055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689.28</v>
      </c>
      <c r="D24" s="16" t="n">
        <v>-5.25</v>
      </c>
      <c r="E24" s="16" t="n">
        <f aca="false">+D24+F24</f>
        <v>-5.2456</v>
      </c>
      <c r="F24" s="16" t="n">
        <f aca="false">RANDBETWEEN(-105,115)/10000</f>
        <v>0.0044</v>
      </c>
      <c r="G24" s="16" t="n">
        <f aca="false">J24-4.95*2%-0.3*6%</f>
        <v>2.191</v>
      </c>
      <c r="H24" s="16" t="n">
        <f aca="false">G24+I24</f>
        <v>2.237</v>
      </c>
      <c r="I24" s="16" t="n">
        <f aca="false">RANDBETWEEN(-20,70)/1000</f>
        <v>0.046</v>
      </c>
      <c r="J24" s="16" t="n">
        <f aca="false">W24+0.25</f>
        <v>2.308</v>
      </c>
      <c r="K24" s="16" t="n">
        <f aca="false">J24+L24</f>
        <v>2.312</v>
      </c>
      <c r="L24" s="16" t="n">
        <f aca="false">RANDBETWEEN(-20,70)/1000</f>
        <v>0.004</v>
      </c>
      <c r="M24" s="16" t="n">
        <v>5.25</v>
      </c>
      <c r="N24" s="16" t="n">
        <f aca="false">+M24+O24</f>
        <v>5.2585</v>
      </c>
      <c r="O24" s="16" t="n">
        <f aca="false">RANDBETWEEN(-105,115)/10000</f>
        <v>0.0085</v>
      </c>
      <c r="P24" s="16" t="n">
        <f aca="false">G24</f>
        <v>2.191</v>
      </c>
      <c r="Q24" s="16" t="n">
        <f aca="false">P24+R24</f>
        <v>2.256</v>
      </c>
      <c r="R24" s="16" t="n">
        <f aca="false">RANDBETWEEN(-20,70)/1000</f>
        <v>0.065</v>
      </c>
      <c r="S24" s="17"/>
      <c r="T24" s="18" t="n">
        <v>11.75</v>
      </c>
      <c r="V24" s="19"/>
      <c r="W24" s="20" t="n">
        <v>2.058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701.03</v>
      </c>
      <c r="D25" s="16" t="n">
        <v>-5.25</v>
      </c>
      <c r="E25" s="16" t="n">
        <f aca="false">+D25+F25</f>
        <v>-5.2431</v>
      </c>
      <c r="F25" s="16" t="n">
        <f aca="false">RANDBETWEEN(-105,115)/10000</f>
        <v>0.0069</v>
      </c>
      <c r="G25" s="16" t="n">
        <f aca="false">J25-4.95*2%-0.3*6%</f>
        <v>2.192</v>
      </c>
      <c r="H25" s="16" t="n">
        <f aca="false">G25+I25</f>
        <v>2.219</v>
      </c>
      <c r="I25" s="16" t="n">
        <f aca="false">RANDBETWEEN(-20,70)/1000</f>
        <v>0.027</v>
      </c>
      <c r="J25" s="16" t="n">
        <f aca="false">W25+0.25</f>
        <v>2.309</v>
      </c>
      <c r="K25" s="16" t="n">
        <f aca="false">J25+L25</f>
        <v>2.309</v>
      </c>
      <c r="L25" s="16" t="n">
        <f aca="false">RANDBETWEEN(-20,70)/1000</f>
        <v>0</v>
      </c>
      <c r="M25" s="16" t="n">
        <v>5.25</v>
      </c>
      <c r="N25" s="16" t="n">
        <f aca="false">+M25+O25</f>
        <v>5.25</v>
      </c>
      <c r="O25" s="16" t="n">
        <f aca="false">RANDBETWEEN(-105,115)/10000</f>
        <v>0</v>
      </c>
      <c r="P25" s="16" t="n">
        <f aca="false">G25</f>
        <v>2.192</v>
      </c>
      <c r="Q25" s="16" t="n">
        <f aca="false">P25+R25</f>
        <v>2.244</v>
      </c>
      <c r="R25" s="16" t="n">
        <f aca="false">RANDBETWEEN(-20,70)/1000</f>
        <v>0.052</v>
      </c>
      <c r="S25" s="17"/>
      <c r="T25" s="18" t="n">
        <v>11.75</v>
      </c>
      <c r="V25" s="19"/>
      <c r="W25" s="20" t="n">
        <v>2.059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712.78</v>
      </c>
      <c r="D26" s="16" t="n">
        <v>-5.25</v>
      </c>
      <c r="E26" s="16" t="n">
        <f aca="false">+D26+F26</f>
        <v>-5.2522</v>
      </c>
      <c r="F26" s="16" t="n">
        <f aca="false">RANDBETWEEN(-105,115)/10000</f>
        <v>-0.0022</v>
      </c>
      <c r="G26" s="16" t="n">
        <f aca="false">J26-4.95*2%-0.3*6%</f>
        <v>2.193</v>
      </c>
      <c r="H26" s="16" t="n">
        <f aca="false">G26+I26</f>
        <v>2.231</v>
      </c>
      <c r="I26" s="16" t="n">
        <f aca="false">RANDBETWEEN(-20,70)/1000</f>
        <v>0.038</v>
      </c>
      <c r="J26" s="16" t="n">
        <f aca="false">W26+0.25</f>
        <v>2.31</v>
      </c>
      <c r="K26" s="16" t="n">
        <f aca="false">J26+L26</f>
        <v>2.337</v>
      </c>
      <c r="L26" s="16" t="n">
        <f aca="false">RANDBETWEEN(-20,70)/1000</f>
        <v>0.027</v>
      </c>
      <c r="M26" s="16" t="n">
        <v>5.25</v>
      </c>
      <c r="N26" s="16" t="n">
        <f aca="false">+M26+O26</f>
        <v>5.2602</v>
      </c>
      <c r="O26" s="16" t="n">
        <f aca="false">RANDBETWEEN(-105,115)/10000</f>
        <v>0.0102</v>
      </c>
      <c r="P26" s="16" t="n">
        <f aca="false">G26</f>
        <v>2.193</v>
      </c>
      <c r="Q26" s="16" t="n">
        <f aca="false">P26+R26</f>
        <v>2.176</v>
      </c>
      <c r="R26" s="16" t="n">
        <f aca="false">RANDBETWEEN(-20,70)/1000</f>
        <v>-0.017</v>
      </c>
      <c r="S26" s="17"/>
      <c r="T26" s="18" t="n">
        <v>17</v>
      </c>
      <c r="V26" s="19"/>
      <c r="W26" s="20" t="n">
        <v>2.06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729.78</v>
      </c>
      <c r="D27" s="16" t="n">
        <v>-5.25</v>
      </c>
      <c r="E27" s="16" t="n">
        <f aca="false">+D27+F27</f>
        <v>-5.2563</v>
      </c>
      <c r="F27" s="16" t="n">
        <f aca="false">RANDBETWEEN(-105,115)/10000</f>
        <v>-0.0063</v>
      </c>
      <c r="G27" s="16" t="n">
        <f aca="false">J27-4.95*2%-0.3*6%</f>
        <v>2.193</v>
      </c>
      <c r="H27" s="16" t="n">
        <f aca="false">G27+I27</f>
        <v>2.18</v>
      </c>
      <c r="I27" s="16" t="n">
        <f aca="false">RANDBETWEEN(-20,70)/1000</f>
        <v>-0.013</v>
      </c>
      <c r="J27" s="16" t="n">
        <f aca="false">W27+0.25</f>
        <v>2.31</v>
      </c>
      <c r="K27" s="16" t="n">
        <f aca="false">J27+L27</f>
        <v>2.298</v>
      </c>
      <c r="L27" s="16" t="n">
        <f aca="false">RANDBETWEEN(-20,70)/1000</f>
        <v>-0.012</v>
      </c>
      <c r="M27" s="16" t="n">
        <v>5.25</v>
      </c>
      <c r="N27" s="16" t="n">
        <f aca="false">+M27+O27</f>
        <v>5.2613</v>
      </c>
      <c r="O27" s="16" t="n">
        <f aca="false">RANDBETWEEN(-105,115)/10000</f>
        <v>0.0113</v>
      </c>
      <c r="P27" s="16" t="n">
        <f aca="false">G27</f>
        <v>2.193</v>
      </c>
      <c r="Q27" s="16" t="n">
        <f aca="false">P27+R27</f>
        <v>2.197</v>
      </c>
      <c r="R27" s="16" t="n">
        <f aca="false">RANDBETWEEN(-20,70)/1000</f>
        <v>0.004</v>
      </c>
      <c r="S27" s="17"/>
      <c r="T27" s="18" t="n">
        <v>17.04</v>
      </c>
      <c r="V27" s="19"/>
      <c r="W27" s="20" t="n">
        <v>2.06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746.82</v>
      </c>
      <c r="D28" s="16" t="n">
        <v>-5.25</v>
      </c>
      <c r="E28" s="16" t="n">
        <f aca="false">+D28+F28</f>
        <v>-5.2443</v>
      </c>
      <c r="F28" s="16" t="n">
        <f aca="false">RANDBETWEEN(-105,115)/10000</f>
        <v>0.0057</v>
      </c>
      <c r="G28" s="16" t="n">
        <f aca="false">J28-4.95*2%-0.3*6%</f>
        <v>2.193</v>
      </c>
      <c r="H28" s="16" t="n">
        <f aca="false">G28+I28</f>
        <v>2.261</v>
      </c>
      <c r="I28" s="16" t="n">
        <f aca="false">RANDBETWEEN(-20,70)/1000</f>
        <v>0.068</v>
      </c>
      <c r="J28" s="16" t="n">
        <f aca="false">W28+0.25</f>
        <v>2.31</v>
      </c>
      <c r="K28" s="16" t="n">
        <f aca="false">J28+L28</f>
        <v>2.341</v>
      </c>
      <c r="L28" s="16" t="n">
        <f aca="false">RANDBETWEEN(-20,70)/1000</f>
        <v>0.031</v>
      </c>
      <c r="M28" s="16" t="n">
        <v>5.25</v>
      </c>
      <c r="N28" s="16" t="n">
        <f aca="false">+M28+O28</f>
        <v>5.2516</v>
      </c>
      <c r="O28" s="16" t="n">
        <f aca="false">RANDBETWEEN(-105,115)/10000</f>
        <v>0.0016</v>
      </c>
      <c r="P28" s="16" t="n">
        <f aca="false">G28</f>
        <v>2.193</v>
      </c>
      <c r="Q28" s="16" t="n">
        <f aca="false">P28+R28</f>
        <v>2.179</v>
      </c>
      <c r="R28" s="16" t="n">
        <f aca="false">RANDBETWEEN(-20,70)/1000</f>
        <v>-0.014</v>
      </c>
      <c r="S28" s="17"/>
      <c r="T28" s="18"/>
      <c r="V28" s="19"/>
      <c r="W28" s="20" t="n">
        <v>2.06</v>
      </c>
    </row>
    <row r="29" s="10" customFormat="true" ht="18" hidden="true" customHeight="true" outlineLevel="0" collapsed="false">
      <c r="A29" s="13"/>
      <c r="B29" s="14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  <c r="W29" s="20"/>
    </row>
    <row r="30" s="10" customFormat="true" ht="18" hidden="true" customHeight="true" outlineLevel="0" collapsed="false">
      <c r="A30" s="13"/>
      <c r="B30" s="14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  <c r="W30" s="20"/>
    </row>
    <row r="31" s="10" customFormat="true" ht="18" hidden="true" customHeight="true" outlineLevel="0" collapsed="false">
      <c r="A31" s="13"/>
      <c r="B31" s="14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  <c r="W31" s="20"/>
    </row>
    <row r="32" s="10" customFormat="true" ht="18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  <c r="W32" s="20"/>
    </row>
    <row r="33" s="10" customFormat="true" ht="18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  <c r="W33" s="20"/>
    </row>
    <row r="34" s="10" customFormat="true" ht="18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  <c r="W34" s="20"/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73.NĐXD4/CVXD ngày 21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73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đất nền đường lớp 1, độ chặt K&gt;=0,98 đoạn từ Km0+672,28 - Km0+746,82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34</v>
      </c>
      <c r="B9" s="36" t="s">
        <v>10</v>
      </c>
      <c r="C9" s="36" t="s">
        <v>11</v>
      </c>
      <c r="D9" s="37" t="s">
        <v>35</v>
      </c>
      <c r="E9" s="38"/>
      <c r="F9" s="38"/>
      <c r="G9" s="37"/>
      <c r="H9" s="38"/>
      <c r="I9" s="38"/>
      <c r="J9" s="38"/>
      <c r="K9" s="38"/>
      <c r="L9" s="38"/>
      <c r="M9" s="39" t="s">
        <v>36</v>
      </c>
      <c r="N9" s="40"/>
      <c r="O9" s="41" t="s">
        <v>37</v>
      </c>
      <c r="P9" s="42"/>
      <c r="Q9" s="42"/>
      <c r="R9" s="42"/>
      <c r="S9" s="42"/>
      <c r="T9" s="42"/>
      <c r="U9" s="42"/>
      <c r="V9" s="42"/>
      <c r="W9" s="41" t="s">
        <v>38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37</v>
      </c>
      <c r="O10" s="41"/>
      <c r="P10" s="41" t="s">
        <v>37</v>
      </c>
      <c r="Q10" s="41" t="s">
        <v>37</v>
      </c>
      <c r="R10" s="41"/>
      <c r="S10" s="41"/>
      <c r="T10" s="41"/>
      <c r="U10" s="41" t="s">
        <v>38</v>
      </c>
      <c r="V10" s="41" t="s">
        <v>38</v>
      </c>
      <c r="W10" s="41"/>
      <c r="X10" s="41" t="s">
        <v>38</v>
      </c>
      <c r="Y10" s="41" t="s">
        <v>38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38</v>
      </c>
      <c r="C11" s="15" t="n">
        <f aca="false">'KTHH Lớp 1'!C23</f>
        <v>672.28</v>
      </c>
      <c r="D11" s="13" t="n">
        <f aca="false">'KTHH Lớp 1'!T23</f>
        <v>17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44.625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39</v>
      </c>
      <c r="C12" s="15" t="n">
        <f aca="false">'KTHH Lớp 1'!C24</f>
        <v>689.28</v>
      </c>
      <c r="D12" s="13" t="n">
        <f aca="false">'KTHH Lớp 1'!T24</f>
        <v>11.75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30.84375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F2</v>
      </c>
      <c r="C13" s="15" t="n">
        <f aca="false">'KTHH Lớp 1'!C25</f>
        <v>701.03</v>
      </c>
      <c r="D13" s="13" t="n">
        <f aca="false">'KTHH Lớp 1'!T25</f>
        <v>11.75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30.84375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40</v>
      </c>
      <c r="C14" s="15" t="n">
        <f aca="false">'KTHH Lớp 1'!C26</f>
        <v>712.78</v>
      </c>
      <c r="D14" s="13" t="n">
        <f aca="false">'KTHH Lớp 1'!T26</f>
        <v>17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44.625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41</v>
      </c>
      <c r="C15" s="15" t="n">
        <f aca="false">'KTHH Lớp 1'!C27</f>
        <v>729.78</v>
      </c>
      <c r="D15" s="13" t="n">
        <f aca="false">'KTHH Lớp 1'!T27</f>
        <v>17.04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44.73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42</v>
      </c>
      <c r="C16" s="15" t="n">
        <f aca="false">'KTHH Lớp 1'!C28</f>
        <v>746.82</v>
      </c>
      <c r="D16" s="13"/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true" customHeight="true" outlineLevel="0" collapsed="false">
      <c r="A17" s="13"/>
      <c r="B17" s="13"/>
      <c r="C17" s="15"/>
      <c r="D17" s="13"/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/>
      <c r="P17" s="52"/>
      <c r="Q17" s="52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true" customHeight="true" outlineLevel="0" collapsed="false">
      <c r="A18" s="13"/>
      <c r="B18" s="13"/>
      <c r="C18" s="15"/>
      <c r="D18" s="13"/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/>
      <c r="P18" s="52"/>
      <c r="Q18" s="52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true" customHeight="true" outlineLevel="0" collapsed="false">
      <c r="A19" s="13"/>
      <c r="B19" s="13"/>
      <c r="C19" s="15"/>
      <c r="D19" s="13"/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/>
      <c r="P19" s="52"/>
      <c r="Q19" s="52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true" customHeight="true" outlineLevel="0" collapsed="false">
      <c r="A20" s="13"/>
      <c r="B20" s="13"/>
      <c r="C20" s="15"/>
      <c r="D20" s="13"/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/>
      <c r="P20" s="52"/>
      <c r="Q20" s="52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true" customHeight="true" outlineLevel="0" collapsed="false">
      <c r="A21" s="13"/>
      <c r="B21" s="13"/>
      <c r="C21" s="15"/>
      <c r="D21" s="13"/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/>
      <c r="P21" s="52"/>
      <c r="Q21" s="52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true" customHeight="true" outlineLevel="0" collapsed="false">
      <c r="A22" s="13"/>
      <c r="B22" s="13"/>
      <c r="C22" s="15"/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/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39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SUM(W11:W16)</f>
        <v>195.6675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29</v>
      </c>
      <c r="B51" s="21"/>
      <c r="C51" s="21"/>
      <c r="D51" s="75" t="s">
        <v>40</v>
      </c>
      <c r="E51" s="21" t="s">
        <v>30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31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32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75.NĐXD4/CVXD ngày 22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75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đất nền đường lớp 2, độ chặt K&gt;=0,98 đoạn từ Km0+672,28 - Km0+746,82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672.28</v>
      </c>
      <c r="D23" s="16" t="n">
        <v>-5.25</v>
      </c>
      <c r="E23" s="16" t="n">
        <f aca="false">+D23+F23</f>
        <v>-5.2557</v>
      </c>
      <c r="F23" s="16" t="n">
        <f aca="false">RANDBETWEEN(-105,115)/10000</f>
        <v>-0.0057</v>
      </c>
      <c r="G23" s="16" t="n">
        <f aca="false">W23+0.25</f>
        <v>2.438</v>
      </c>
      <c r="H23" s="16" t="n">
        <f aca="false">G23+I23</f>
        <v>2.484</v>
      </c>
      <c r="I23" s="16" t="n">
        <f aca="false">RANDBETWEEN(-20,70)/1000</f>
        <v>0.046</v>
      </c>
      <c r="J23" s="16" t="n">
        <f aca="false">X23+0.25</f>
        <v>2.555</v>
      </c>
      <c r="K23" s="16" t="n">
        <f aca="false">J23+L23</f>
        <v>2.557</v>
      </c>
      <c r="L23" s="16" t="n">
        <f aca="false">RANDBETWEEN(-20,70)/1000</f>
        <v>0.002</v>
      </c>
      <c r="M23" s="16" t="n">
        <v>5.25</v>
      </c>
      <c r="N23" s="16" t="n">
        <f aca="false">+M23+O23</f>
        <v>5.2455</v>
      </c>
      <c r="O23" s="16" t="n">
        <f aca="false">RANDBETWEEN(-105,115)/10000</f>
        <v>-0.0045</v>
      </c>
      <c r="P23" s="16" t="n">
        <f aca="false">Y23+0.25</f>
        <v>2.438</v>
      </c>
      <c r="Q23" s="16" t="n">
        <f aca="false">P23+R23</f>
        <v>2.438</v>
      </c>
      <c r="R23" s="16" t="n">
        <f aca="false">RANDBETWEEN(-20,70)/1000</f>
        <v>0</v>
      </c>
      <c r="S23" s="17"/>
      <c r="T23" s="18" t="n">
        <v>17</v>
      </c>
      <c r="V23" s="19"/>
      <c r="W23" s="19" t="n">
        <f aca="false">'KTHH Lớp 1'!G23</f>
        <v>2.188</v>
      </c>
      <c r="X23" s="19" t="n">
        <f aca="false">'KTHH Lớp 1'!J23</f>
        <v>2.305</v>
      </c>
      <c r="Y23" s="19" t="n">
        <f aca="false">'KTHH Lớp 1'!P23</f>
        <v>2.188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689.28</v>
      </c>
      <c r="D24" s="16" t="n">
        <v>-5.25</v>
      </c>
      <c r="E24" s="16" t="n">
        <f aca="false">+D24+F24</f>
        <v>-5.2602</v>
      </c>
      <c r="F24" s="16" t="n">
        <f aca="false">RANDBETWEEN(-105,115)/10000</f>
        <v>-0.0102</v>
      </c>
      <c r="G24" s="16" t="n">
        <f aca="false">W24+0.25</f>
        <v>2.441</v>
      </c>
      <c r="H24" s="16" t="n">
        <f aca="false">G24+I24</f>
        <v>2.462</v>
      </c>
      <c r="I24" s="16" t="n">
        <f aca="false">RANDBETWEEN(-20,70)/1000</f>
        <v>0.021</v>
      </c>
      <c r="J24" s="16" t="n">
        <f aca="false">X24+0.25</f>
        <v>2.558</v>
      </c>
      <c r="K24" s="16" t="n">
        <f aca="false">J24+L24</f>
        <v>2.62</v>
      </c>
      <c r="L24" s="16" t="n">
        <f aca="false">RANDBETWEEN(-20,70)/1000</f>
        <v>0.062</v>
      </c>
      <c r="M24" s="16" t="n">
        <v>5.25</v>
      </c>
      <c r="N24" s="16" t="n">
        <f aca="false">+M24+O24</f>
        <v>5.2521</v>
      </c>
      <c r="O24" s="16" t="n">
        <f aca="false">RANDBETWEEN(-105,115)/10000</f>
        <v>0.0021</v>
      </c>
      <c r="P24" s="16" t="n">
        <f aca="false">Y24+0.25</f>
        <v>2.441</v>
      </c>
      <c r="Q24" s="16" t="n">
        <f aca="false">P24+R24</f>
        <v>2.484</v>
      </c>
      <c r="R24" s="16" t="n">
        <f aca="false">RANDBETWEEN(-20,70)/1000</f>
        <v>0.043</v>
      </c>
      <c r="S24" s="17"/>
      <c r="T24" s="18" t="n">
        <v>11.75</v>
      </c>
      <c r="V24" s="19"/>
      <c r="W24" s="19" t="n">
        <f aca="false">'KTHH Lớp 1'!G24</f>
        <v>2.191</v>
      </c>
      <c r="X24" s="19" t="n">
        <f aca="false">'KTHH Lớp 1'!J24</f>
        <v>2.308</v>
      </c>
      <c r="Y24" s="19" t="n">
        <f aca="false">'KTHH Lớp 1'!P24</f>
        <v>2.191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701.03</v>
      </c>
      <c r="D25" s="16" t="n">
        <v>-5.25</v>
      </c>
      <c r="E25" s="16" t="n">
        <f aca="false">+D25+F25</f>
        <v>-5.2507</v>
      </c>
      <c r="F25" s="16" t="n">
        <f aca="false">RANDBETWEEN(-105,115)/10000</f>
        <v>-0.0007</v>
      </c>
      <c r="G25" s="16" t="n">
        <f aca="false">W25+0.25</f>
        <v>2.442</v>
      </c>
      <c r="H25" s="16" t="n">
        <f aca="false">G25+I25</f>
        <v>2.509</v>
      </c>
      <c r="I25" s="16" t="n">
        <f aca="false">RANDBETWEEN(-20,70)/1000</f>
        <v>0.067</v>
      </c>
      <c r="J25" s="16" t="n">
        <f aca="false">X25+0.25</f>
        <v>2.559</v>
      </c>
      <c r="K25" s="16" t="n">
        <f aca="false">J25+L25</f>
        <v>2.619</v>
      </c>
      <c r="L25" s="16" t="n">
        <f aca="false">RANDBETWEEN(-20,70)/1000</f>
        <v>0.06</v>
      </c>
      <c r="M25" s="16" t="n">
        <v>5.25</v>
      </c>
      <c r="N25" s="16" t="n">
        <f aca="false">+M25+O25</f>
        <v>5.2495</v>
      </c>
      <c r="O25" s="16" t="n">
        <f aca="false">RANDBETWEEN(-105,115)/10000</f>
        <v>-0.0005</v>
      </c>
      <c r="P25" s="16" t="n">
        <f aca="false">Y25+0.25</f>
        <v>2.442</v>
      </c>
      <c r="Q25" s="16" t="n">
        <f aca="false">P25+R25</f>
        <v>2.483</v>
      </c>
      <c r="R25" s="16" t="n">
        <f aca="false">RANDBETWEEN(-20,70)/1000</f>
        <v>0.041</v>
      </c>
      <c r="S25" s="17"/>
      <c r="T25" s="18" t="n">
        <v>11.75</v>
      </c>
      <c r="V25" s="19"/>
      <c r="W25" s="19" t="n">
        <f aca="false">'KTHH Lớp 1'!G25</f>
        <v>2.192</v>
      </c>
      <c r="X25" s="19" t="n">
        <f aca="false">'KTHH Lớp 1'!J25</f>
        <v>2.309</v>
      </c>
      <c r="Y25" s="19" t="n">
        <f aca="false">'KTHH Lớp 1'!P25</f>
        <v>2.192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712.78</v>
      </c>
      <c r="D26" s="16" t="n">
        <v>-5.25</v>
      </c>
      <c r="E26" s="16" t="n">
        <f aca="false">+D26+F26</f>
        <v>-5.2483</v>
      </c>
      <c r="F26" s="16" t="n">
        <f aca="false">RANDBETWEEN(-105,115)/10000</f>
        <v>0.0017</v>
      </c>
      <c r="G26" s="16" t="n">
        <f aca="false">W26+0.25</f>
        <v>2.443</v>
      </c>
      <c r="H26" s="16" t="n">
        <f aca="false">G26+I26</f>
        <v>2.499</v>
      </c>
      <c r="I26" s="16" t="n">
        <f aca="false">RANDBETWEEN(-20,70)/1000</f>
        <v>0.056</v>
      </c>
      <c r="J26" s="16" t="n">
        <f aca="false">X26+0.25</f>
        <v>2.56</v>
      </c>
      <c r="K26" s="16" t="n">
        <f aca="false">J26+L26</f>
        <v>2.581</v>
      </c>
      <c r="L26" s="16" t="n">
        <f aca="false">RANDBETWEEN(-20,70)/1000</f>
        <v>0.021</v>
      </c>
      <c r="M26" s="16" t="n">
        <v>5.25</v>
      </c>
      <c r="N26" s="16" t="n">
        <f aca="false">+M26+O26</f>
        <v>5.2519</v>
      </c>
      <c r="O26" s="16" t="n">
        <f aca="false">RANDBETWEEN(-105,115)/10000</f>
        <v>0.0019</v>
      </c>
      <c r="P26" s="16" t="n">
        <f aca="false">Y26+0.25</f>
        <v>2.443</v>
      </c>
      <c r="Q26" s="16" t="n">
        <f aca="false">P26+R26</f>
        <v>2.468</v>
      </c>
      <c r="R26" s="16" t="n">
        <f aca="false">RANDBETWEEN(-20,70)/1000</f>
        <v>0.025</v>
      </c>
      <c r="S26" s="17"/>
      <c r="T26" s="18" t="n">
        <v>17</v>
      </c>
      <c r="V26" s="19"/>
      <c r="W26" s="19" t="n">
        <f aca="false">'KTHH Lớp 1'!G26</f>
        <v>2.193</v>
      </c>
      <c r="X26" s="19" t="n">
        <f aca="false">'KTHH Lớp 1'!J26</f>
        <v>2.31</v>
      </c>
      <c r="Y26" s="19" t="n">
        <f aca="false">'KTHH Lớp 1'!P26</f>
        <v>2.193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729.78</v>
      </c>
      <c r="D27" s="16" t="n">
        <v>-5.25</v>
      </c>
      <c r="E27" s="16" t="n">
        <f aca="false">+D27+F27</f>
        <v>-5.2543</v>
      </c>
      <c r="F27" s="16" t="n">
        <f aca="false">RANDBETWEEN(-105,115)/10000</f>
        <v>-0.0043</v>
      </c>
      <c r="G27" s="16" t="n">
        <f aca="false">W27+0.25</f>
        <v>2.443</v>
      </c>
      <c r="H27" s="16" t="n">
        <f aca="false">G27+I27</f>
        <v>2.43</v>
      </c>
      <c r="I27" s="16" t="n">
        <f aca="false">RANDBETWEEN(-20,70)/1000</f>
        <v>-0.013</v>
      </c>
      <c r="J27" s="16" t="n">
        <f aca="false">X27+0.25</f>
        <v>2.56</v>
      </c>
      <c r="K27" s="16" t="n">
        <f aca="false">J27+L27</f>
        <v>2.54</v>
      </c>
      <c r="L27" s="16" t="n">
        <f aca="false">RANDBETWEEN(-20,70)/1000</f>
        <v>-0.02</v>
      </c>
      <c r="M27" s="16" t="n">
        <v>5.25</v>
      </c>
      <c r="N27" s="16" t="n">
        <f aca="false">+M27+O27</f>
        <v>5.2554</v>
      </c>
      <c r="O27" s="16" t="n">
        <f aca="false">RANDBETWEEN(-105,115)/10000</f>
        <v>0.0054</v>
      </c>
      <c r="P27" s="16" t="n">
        <f aca="false">Y27+0.25</f>
        <v>2.443</v>
      </c>
      <c r="Q27" s="16" t="n">
        <f aca="false">P27+R27</f>
        <v>2.471</v>
      </c>
      <c r="R27" s="16" t="n">
        <f aca="false">RANDBETWEEN(-20,70)/1000</f>
        <v>0.028</v>
      </c>
      <c r="S27" s="17"/>
      <c r="T27" s="18" t="n">
        <v>17.04</v>
      </c>
      <c r="V27" s="19"/>
      <c r="W27" s="19" t="n">
        <f aca="false">'KTHH Lớp 1'!G27</f>
        <v>2.193</v>
      </c>
      <c r="X27" s="19" t="n">
        <f aca="false">'KTHH Lớp 1'!J27</f>
        <v>2.31</v>
      </c>
      <c r="Y27" s="19" t="n">
        <f aca="false">'KTHH Lớp 1'!P27</f>
        <v>2.193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746.82</v>
      </c>
      <c r="D28" s="16" t="n">
        <v>-5.25</v>
      </c>
      <c r="E28" s="16" t="n">
        <f aca="false">+D28+F28</f>
        <v>-5.2392</v>
      </c>
      <c r="F28" s="16" t="n">
        <f aca="false">RANDBETWEEN(-105,115)/10000</f>
        <v>0.0108</v>
      </c>
      <c r="G28" s="16" t="n">
        <f aca="false">W28+0.25</f>
        <v>2.443</v>
      </c>
      <c r="H28" s="16" t="n">
        <f aca="false">G28+I28</f>
        <v>2.452</v>
      </c>
      <c r="I28" s="16" t="n">
        <f aca="false">RANDBETWEEN(-20,70)/1000</f>
        <v>0.009</v>
      </c>
      <c r="J28" s="16" t="n">
        <f aca="false">X28+0.25</f>
        <v>2.56</v>
      </c>
      <c r="K28" s="16" t="n">
        <f aca="false">J28+L28</f>
        <v>2.602</v>
      </c>
      <c r="L28" s="16" t="n">
        <f aca="false">RANDBETWEEN(-20,70)/1000</f>
        <v>0.042</v>
      </c>
      <c r="M28" s="16" t="n">
        <v>5.25</v>
      </c>
      <c r="N28" s="16" t="n">
        <f aca="false">+M28+O28</f>
        <v>5.256</v>
      </c>
      <c r="O28" s="16" t="n">
        <f aca="false">RANDBETWEEN(-105,115)/10000</f>
        <v>0.006</v>
      </c>
      <c r="P28" s="16" t="n">
        <f aca="false">Y28+0.25</f>
        <v>2.443</v>
      </c>
      <c r="Q28" s="16" t="n">
        <f aca="false">P28+R28</f>
        <v>2.472</v>
      </c>
      <c r="R28" s="16" t="n">
        <f aca="false">RANDBETWEEN(-20,70)/1000</f>
        <v>0.029</v>
      </c>
      <c r="S28" s="17"/>
      <c r="T28" s="18"/>
      <c r="V28" s="19"/>
      <c r="W28" s="19" t="n">
        <f aca="false">'KTHH Lớp 1'!G28</f>
        <v>2.193</v>
      </c>
      <c r="X28" s="19" t="n">
        <f aca="false">'KTHH Lớp 1'!J28</f>
        <v>2.31</v>
      </c>
      <c r="Y28" s="19" t="n">
        <f aca="false">'KTHH Lớp 1'!P28</f>
        <v>2.193</v>
      </c>
    </row>
    <row r="29" s="10" customFormat="true" ht="18" hidden="true" customHeight="true" outlineLevel="0" collapsed="false">
      <c r="A29" s="13"/>
      <c r="B29" s="82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</row>
    <row r="30" s="10" customFormat="true" ht="18" hidden="true" customHeight="true" outlineLevel="0" collapsed="false">
      <c r="A30" s="13"/>
      <c r="B30" s="82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75.NĐXD4/CVXD ngày 22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75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đất nền đường lớp 2, độ chặt K&gt;=0,98 đoạn từ Km0+672,28 - Km0+746,82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34</v>
      </c>
      <c r="B9" s="83" t="s">
        <v>10</v>
      </c>
      <c r="C9" s="83" t="s">
        <v>11</v>
      </c>
      <c r="D9" s="84" t="s">
        <v>35</v>
      </c>
      <c r="E9" s="85"/>
      <c r="F9" s="85"/>
      <c r="G9" s="84"/>
      <c r="H9" s="85"/>
      <c r="I9" s="85"/>
      <c r="J9" s="85"/>
      <c r="K9" s="85"/>
      <c r="L9" s="85"/>
      <c r="M9" s="86" t="s">
        <v>36</v>
      </c>
      <c r="N9" s="87"/>
      <c r="O9" s="88" t="s">
        <v>37</v>
      </c>
      <c r="P9" s="89"/>
      <c r="Q9" s="89"/>
      <c r="R9" s="89"/>
      <c r="S9" s="89"/>
      <c r="T9" s="89"/>
      <c r="U9" s="89"/>
      <c r="V9" s="89"/>
      <c r="W9" s="88" t="s">
        <v>38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37</v>
      </c>
      <c r="O10" s="88"/>
      <c r="P10" s="88" t="s">
        <v>37</v>
      </c>
      <c r="Q10" s="88" t="s">
        <v>37</v>
      </c>
      <c r="R10" s="88"/>
      <c r="S10" s="88"/>
      <c r="T10" s="88"/>
      <c r="U10" s="88" t="s">
        <v>38</v>
      </c>
      <c r="V10" s="88" t="s">
        <v>38</v>
      </c>
      <c r="W10" s="88"/>
      <c r="X10" s="88" t="s">
        <v>38</v>
      </c>
      <c r="Y10" s="88" t="s">
        <v>38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38</v>
      </c>
      <c r="C11" s="94" t="n">
        <f aca="false">'KTHH Lớp 2'!C23</f>
        <v>672.28</v>
      </c>
      <c r="D11" s="93" t="n">
        <f aca="false">'KTHH Lớp 2'!T23</f>
        <v>17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44.625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39</v>
      </c>
      <c r="C12" s="94" t="n">
        <f aca="false">'KTHH Lớp 2'!C24</f>
        <v>689.28</v>
      </c>
      <c r="D12" s="93" t="n">
        <f aca="false">'KTHH Lớp 2'!T24</f>
        <v>11.75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30.84375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F2</v>
      </c>
      <c r="C13" s="94" t="n">
        <f aca="false">'KTHH Lớp 2'!C25</f>
        <v>701.03</v>
      </c>
      <c r="D13" s="93" t="n">
        <f aca="false">'KTHH Lớp 2'!T25</f>
        <v>11.75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30.84375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40</v>
      </c>
      <c r="C14" s="94" t="n">
        <f aca="false">'KTHH Lớp 2'!C26</f>
        <v>712.78</v>
      </c>
      <c r="D14" s="93" t="n">
        <f aca="false">'KTHH Lớp 2'!T26</f>
        <v>17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44.625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41</v>
      </c>
      <c r="C15" s="94" t="n">
        <f aca="false">'KTHH Lớp 2'!C27</f>
        <v>729.78</v>
      </c>
      <c r="D15" s="93" t="n">
        <f aca="false">'KTHH Lớp 2'!T27</f>
        <v>17.04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44.73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42</v>
      </c>
      <c r="C16" s="94" t="n">
        <f aca="false">'KTHH Lớp 2'!C28</f>
        <v>746.82</v>
      </c>
      <c r="D16" s="93"/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100"/>
      <c r="AC16" s="56"/>
      <c r="AE16" s="73"/>
    </row>
    <row r="17" s="50" customFormat="true" ht="15" hidden="true" customHeight="true" outlineLevel="0" collapsed="false">
      <c r="A17" s="93"/>
      <c r="B17" s="93"/>
      <c r="C17" s="94"/>
      <c r="D17" s="93"/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/>
      <c r="P17" s="96"/>
      <c r="Q17" s="9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100"/>
      <c r="AC17" s="56"/>
      <c r="AE17" s="73"/>
    </row>
    <row r="18" s="50" customFormat="true" ht="15" hidden="true" customHeight="true" outlineLevel="0" collapsed="false">
      <c r="A18" s="93"/>
      <c r="B18" s="93"/>
      <c r="C18" s="94"/>
      <c r="D18" s="93"/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/>
      <c r="P18" s="96"/>
      <c r="Q18" s="9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100"/>
      <c r="AC18" s="56"/>
      <c r="AE18" s="73"/>
    </row>
    <row r="19" s="50" customFormat="true" ht="15" hidden="true" customHeight="true" outlineLevel="0" collapsed="false">
      <c r="A19" s="93"/>
      <c r="B19" s="93"/>
      <c r="C19" s="94"/>
      <c r="D19" s="93"/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/>
      <c r="P19" s="96"/>
      <c r="Q19" s="9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100"/>
      <c r="AC19" s="56"/>
      <c r="AE19" s="73"/>
    </row>
    <row r="20" s="50" customFormat="true" ht="15" hidden="true" customHeight="true" outlineLevel="0" collapsed="false">
      <c r="A20" s="93"/>
      <c r="B20" s="93"/>
      <c r="C20" s="94"/>
      <c r="D20" s="93"/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/>
      <c r="P20" s="96"/>
      <c r="Q20" s="9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100"/>
      <c r="AC20" s="56"/>
      <c r="AE20" s="73"/>
    </row>
    <row r="21" s="50" customFormat="true" ht="15" hidden="true" customHeight="true" outlineLevel="0" collapsed="false">
      <c r="A21" s="93"/>
      <c r="B21" s="93"/>
      <c r="C21" s="94"/>
      <c r="D21" s="93"/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/>
      <c r="P21" s="96"/>
      <c r="Q21" s="9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100"/>
      <c r="AC21" s="56"/>
      <c r="AE21" s="73"/>
    </row>
    <row r="22" s="50" customFormat="true" ht="15" hidden="true" customHeight="true" outlineLevel="0" collapsed="false">
      <c r="A22" s="93"/>
      <c r="B22" s="93"/>
      <c r="C22" s="94"/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/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39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SUM(W11:W16)</f>
        <v>195.6675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29</v>
      </c>
      <c r="B51" s="111"/>
      <c r="C51" s="111"/>
      <c r="D51" s="112" t="s">
        <v>40</v>
      </c>
      <c r="E51" s="111" t="s">
        <v>30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31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32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77.NĐXD4/CVXD ngày 23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77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cấp phối đá dăm loại 2 đoạn từ Km0+672,28 - Km0+746,82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672.28</v>
      </c>
      <c r="D23" s="16" t="n">
        <v>-5.25</v>
      </c>
      <c r="E23" s="16" t="n">
        <f aca="false">+D23+F23</f>
        <v>-5.2505</v>
      </c>
      <c r="F23" s="16" t="n">
        <f aca="false">RANDBETWEEN(-105,115)/10000</f>
        <v>-0.0005</v>
      </c>
      <c r="G23" s="16" t="n">
        <f aca="false">W23+0.18</f>
        <v>2.618</v>
      </c>
      <c r="H23" s="16" t="n">
        <f aca="false">G23+I23</f>
        <v>2.641</v>
      </c>
      <c r="I23" s="16" t="n">
        <f aca="false">RANDBETWEEN(-20,70)/1000</f>
        <v>0.023</v>
      </c>
      <c r="J23" s="16" t="n">
        <f aca="false">X23+0.18</f>
        <v>2.735</v>
      </c>
      <c r="K23" s="16" t="n">
        <f aca="false">J23+L23</f>
        <v>2.737</v>
      </c>
      <c r="L23" s="16" t="n">
        <f aca="false">RANDBETWEEN(-20,70)/1000</f>
        <v>0.002</v>
      </c>
      <c r="M23" s="16" t="n">
        <v>5.25</v>
      </c>
      <c r="N23" s="16" t="n">
        <f aca="false">+M23+O23</f>
        <v>5.2609</v>
      </c>
      <c r="O23" s="16" t="n">
        <f aca="false">RANDBETWEEN(-105,115)/10000</f>
        <v>0.0109</v>
      </c>
      <c r="P23" s="16" t="n">
        <f aca="false">Y23+0.18</f>
        <v>2.618</v>
      </c>
      <c r="Q23" s="16" t="n">
        <f aca="false">P23+R23</f>
        <v>2.647</v>
      </c>
      <c r="R23" s="16" t="n">
        <f aca="false">RANDBETWEEN(-20,70)/1000</f>
        <v>0.029</v>
      </c>
      <c r="S23" s="17"/>
      <c r="T23" s="18" t="n">
        <v>17</v>
      </c>
      <c r="V23" s="19"/>
      <c r="W23" s="19" t="n">
        <f aca="false">'KTHH Lớp 2'!G23</f>
        <v>2.438</v>
      </c>
      <c r="X23" s="19" t="n">
        <f aca="false">'KTHH Lớp 2'!J23</f>
        <v>2.555</v>
      </c>
      <c r="Y23" s="19" t="n">
        <f aca="false">'KTHH Lớp 2'!P23</f>
        <v>2.438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689.28</v>
      </c>
      <c r="D24" s="16" t="n">
        <v>-5.25</v>
      </c>
      <c r="E24" s="16" t="n">
        <f aca="false">+D24+F24</f>
        <v>-5.2515</v>
      </c>
      <c r="F24" s="16" t="n">
        <f aca="false">RANDBETWEEN(-105,115)/10000</f>
        <v>-0.0015</v>
      </c>
      <c r="G24" s="16" t="n">
        <f aca="false">W24+0.18</f>
        <v>2.621</v>
      </c>
      <c r="H24" s="16" t="n">
        <f aca="false">G24+I24</f>
        <v>2.665</v>
      </c>
      <c r="I24" s="16" t="n">
        <f aca="false">RANDBETWEEN(-20,70)/1000</f>
        <v>0.044</v>
      </c>
      <c r="J24" s="16" t="n">
        <f aca="false">X24+0.18</f>
        <v>2.738</v>
      </c>
      <c r="K24" s="16" t="n">
        <f aca="false">J24+L24</f>
        <v>2.748</v>
      </c>
      <c r="L24" s="16" t="n">
        <f aca="false">RANDBETWEEN(-20,70)/1000</f>
        <v>0.01</v>
      </c>
      <c r="M24" s="16" t="n">
        <v>5.25</v>
      </c>
      <c r="N24" s="16" t="n">
        <f aca="false">+M24+O24</f>
        <v>5.2516</v>
      </c>
      <c r="O24" s="16" t="n">
        <f aca="false">RANDBETWEEN(-105,115)/10000</f>
        <v>0.0016</v>
      </c>
      <c r="P24" s="16" t="n">
        <f aca="false">Y24+0.18</f>
        <v>2.621</v>
      </c>
      <c r="Q24" s="16" t="n">
        <f aca="false">P24+R24</f>
        <v>2.624</v>
      </c>
      <c r="R24" s="16" t="n">
        <f aca="false">RANDBETWEEN(-20,70)/1000</f>
        <v>0.003</v>
      </c>
      <c r="S24" s="17"/>
      <c r="T24" s="18" t="n">
        <v>11.75</v>
      </c>
      <c r="V24" s="19"/>
      <c r="W24" s="19" t="n">
        <f aca="false">'KTHH Lớp 2'!G24</f>
        <v>2.441</v>
      </c>
      <c r="X24" s="19" t="n">
        <f aca="false">'KTHH Lớp 2'!J24</f>
        <v>2.558</v>
      </c>
      <c r="Y24" s="19" t="n">
        <f aca="false">'KTHH Lớp 2'!P24</f>
        <v>2.441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701.03</v>
      </c>
      <c r="D25" s="16" t="n">
        <v>-5.25</v>
      </c>
      <c r="E25" s="16" t="n">
        <f aca="false">+D25+F25</f>
        <v>-5.2565</v>
      </c>
      <c r="F25" s="16" t="n">
        <f aca="false">RANDBETWEEN(-105,115)/10000</f>
        <v>-0.0065</v>
      </c>
      <c r="G25" s="16" t="n">
        <f aca="false">W25+0.18</f>
        <v>2.622</v>
      </c>
      <c r="H25" s="16" t="n">
        <f aca="false">G25+I25</f>
        <v>2.611</v>
      </c>
      <c r="I25" s="16" t="n">
        <f aca="false">RANDBETWEEN(-20,70)/1000</f>
        <v>-0.011</v>
      </c>
      <c r="J25" s="16" t="n">
        <f aca="false">X25+0.18</f>
        <v>2.739</v>
      </c>
      <c r="K25" s="16" t="n">
        <f aca="false">J25+L25</f>
        <v>2.787</v>
      </c>
      <c r="L25" s="16" t="n">
        <f aca="false">RANDBETWEEN(-20,70)/1000</f>
        <v>0.048</v>
      </c>
      <c r="M25" s="16" t="n">
        <v>5.25</v>
      </c>
      <c r="N25" s="16" t="n">
        <f aca="false">+M25+O25</f>
        <v>5.2603</v>
      </c>
      <c r="O25" s="16" t="n">
        <f aca="false">RANDBETWEEN(-105,115)/10000</f>
        <v>0.0103</v>
      </c>
      <c r="P25" s="16" t="n">
        <f aca="false">Y25+0.18</f>
        <v>2.622</v>
      </c>
      <c r="Q25" s="16" t="n">
        <f aca="false">P25+R25</f>
        <v>2.612</v>
      </c>
      <c r="R25" s="16" t="n">
        <f aca="false">RANDBETWEEN(-20,70)/1000</f>
        <v>-0.01</v>
      </c>
      <c r="S25" s="17"/>
      <c r="T25" s="18" t="n">
        <v>11.75</v>
      </c>
      <c r="V25" s="19"/>
      <c r="W25" s="19" t="n">
        <f aca="false">'KTHH Lớp 2'!G25</f>
        <v>2.442</v>
      </c>
      <c r="X25" s="19" t="n">
        <f aca="false">'KTHH Lớp 2'!J25</f>
        <v>2.559</v>
      </c>
      <c r="Y25" s="19" t="n">
        <f aca="false">'KTHH Lớp 2'!P25</f>
        <v>2.442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712.78</v>
      </c>
      <c r="D26" s="16" t="n">
        <v>-5.25</v>
      </c>
      <c r="E26" s="16" t="n">
        <f aca="false">+D26+F26</f>
        <v>-5.2551</v>
      </c>
      <c r="F26" s="16" t="n">
        <f aca="false">RANDBETWEEN(-105,115)/10000</f>
        <v>-0.0051</v>
      </c>
      <c r="G26" s="16" t="n">
        <f aca="false">W26+0.18</f>
        <v>2.623</v>
      </c>
      <c r="H26" s="16" t="n">
        <f aca="false">G26+I26</f>
        <v>2.687</v>
      </c>
      <c r="I26" s="16" t="n">
        <f aca="false">RANDBETWEEN(-20,70)/1000</f>
        <v>0.064</v>
      </c>
      <c r="J26" s="16" t="n">
        <f aca="false">X26+0.18</f>
        <v>2.74</v>
      </c>
      <c r="K26" s="16" t="n">
        <f aca="false">J26+L26</f>
        <v>2.786</v>
      </c>
      <c r="L26" s="16" t="n">
        <f aca="false">RANDBETWEEN(-20,70)/1000</f>
        <v>0.046</v>
      </c>
      <c r="M26" s="16" t="n">
        <v>5.25</v>
      </c>
      <c r="N26" s="16" t="n">
        <f aca="false">+M26+O26</f>
        <v>5.2483</v>
      </c>
      <c r="O26" s="16" t="n">
        <f aca="false">RANDBETWEEN(-105,115)/10000</f>
        <v>-0.0017</v>
      </c>
      <c r="P26" s="16" t="n">
        <f aca="false">Y26+0.18</f>
        <v>2.623</v>
      </c>
      <c r="Q26" s="16" t="n">
        <f aca="false">P26+R26</f>
        <v>2.68</v>
      </c>
      <c r="R26" s="16" t="n">
        <f aca="false">RANDBETWEEN(-20,70)/1000</f>
        <v>0.057</v>
      </c>
      <c r="S26" s="17"/>
      <c r="T26" s="18" t="n">
        <v>17</v>
      </c>
      <c r="V26" s="19"/>
      <c r="W26" s="19" t="n">
        <f aca="false">'KTHH Lớp 2'!G26</f>
        <v>2.443</v>
      </c>
      <c r="X26" s="19" t="n">
        <f aca="false">'KTHH Lớp 2'!J26</f>
        <v>2.56</v>
      </c>
      <c r="Y26" s="19" t="n">
        <f aca="false">'KTHH Lớp 2'!P26</f>
        <v>2.443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729.78</v>
      </c>
      <c r="D27" s="16" t="n">
        <v>-5.25</v>
      </c>
      <c r="E27" s="16" t="n">
        <f aca="false">+D27+F27</f>
        <v>-5.2592</v>
      </c>
      <c r="F27" s="16" t="n">
        <f aca="false">RANDBETWEEN(-105,115)/10000</f>
        <v>-0.0092</v>
      </c>
      <c r="G27" s="16" t="n">
        <f aca="false">W27+0.18</f>
        <v>2.623</v>
      </c>
      <c r="H27" s="16" t="n">
        <f aca="false">G27+I27</f>
        <v>2.684</v>
      </c>
      <c r="I27" s="16" t="n">
        <f aca="false">RANDBETWEEN(-20,70)/1000</f>
        <v>0.061</v>
      </c>
      <c r="J27" s="16" t="n">
        <f aca="false">X27+0.18</f>
        <v>2.74</v>
      </c>
      <c r="K27" s="16" t="n">
        <f aca="false">J27+L27</f>
        <v>2.781</v>
      </c>
      <c r="L27" s="16" t="n">
        <f aca="false">RANDBETWEEN(-20,70)/1000</f>
        <v>0.041</v>
      </c>
      <c r="M27" s="16" t="n">
        <v>5.25</v>
      </c>
      <c r="N27" s="16" t="n">
        <f aca="false">+M27+O27</f>
        <v>5.2542</v>
      </c>
      <c r="O27" s="16" t="n">
        <f aca="false">RANDBETWEEN(-105,115)/10000</f>
        <v>0.0042</v>
      </c>
      <c r="P27" s="16" t="n">
        <f aca="false">Y27+0.18</f>
        <v>2.623</v>
      </c>
      <c r="Q27" s="16" t="n">
        <f aca="false">P27+R27</f>
        <v>2.677</v>
      </c>
      <c r="R27" s="16" t="n">
        <f aca="false">RANDBETWEEN(-20,70)/1000</f>
        <v>0.054</v>
      </c>
      <c r="S27" s="17"/>
      <c r="T27" s="18" t="n">
        <v>17.04</v>
      </c>
      <c r="V27" s="19"/>
      <c r="W27" s="19" t="n">
        <f aca="false">'KTHH Lớp 2'!G27</f>
        <v>2.443</v>
      </c>
      <c r="X27" s="19" t="n">
        <f aca="false">'KTHH Lớp 2'!J27</f>
        <v>2.56</v>
      </c>
      <c r="Y27" s="19" t="n">
        <f aca="false">'KTHH Lớp 2'!P27</f>
        <v>2.443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746.82</v>
      </c>
      <c r="D28" s="16" t="n">
        <v>-5.25</v>
      </c>
      <c r="E28" s="16" t="n">
        <f aca="false">+D28+F28</f>
        <v>-5.2539</v>
      </c>
      <c r="F28" s="16" t="n">
        <f aca="false">RANDBETWEEN(-105,115)/10000</f>
        <v>-0.0039</v>
      </c>
      <c r="G28" s="16" t="n">
        <f aca="false">W28+0.18</f>
        <v>2.623</v>
      </c>
      <c r="H28" s="16" t="n">
        <f aca="false">G28+I28</f>
        <v>2.62</v>
      </c>
      <c r="I28" s="16" t="n">
        <f aca="false">RANDBETWEEN(-20,70)/1000</f>
        <v>-0.003</v>
      </c>
      <c r="J28" s="16" t="n">
        <f aca="false">X28+0.18</f>
        <v>2.74</v>
      </c>
      <c r="K28" s="16" t="n">
        <f aca="false">J28+L28</f>
        <v>2.803</v>
      </c>
      <c r="L28" s="16" t="n">
        <f aca="false">RANDBETWEEN(-20,70)/1000</f>
        <v>0.063</v>
      </c>
      <c r="M28" s="16" t="n">
        <v>5.25</v>
      </c>
      <c r="N28" s="16" t="n">
        <f aca="false">+M28+O28</f>
        <v>5.2413</v>
      </c>
      <c r="O28" s="16" t="n">
        <f aca="false">RANDBETWEEN(-105,115)/10000</f>
        <v>-0.0087</v>
      </c>
      <c r="P28" s="16" t="n">
        <f aca="false">Y28+0.18</f>
        <v>2.623</v>
      </c>
      <c r="Q28" s="16" t="n">
        <f aca="false">P28+R28</f>
        <v>2.657</v>
      </c>
      <c r="R28" s="16" t="n">
        <f aca="false">RANDBETWEEN(-20,70)/1000</f>
        <v>0.034</v>
      </c>
      <c r="S28" s="17"/>
      <c r="T28" s="18"/>
      <c r="V28" s="19"/>
      <c r="W28" s="19" t="n">
        <f aca="false">'KTHH Lớp 2'!G28</f>
        <v>2.443</v>
      </c>
      <c r="X28" s="19" t="n">
        <f aca="false">'KTHH Lớp 2'!J28</f>
        <v>2.56</v>
      </c>
      <c r="Y28" s="19" t="n">
        <f aca="false">'KTHH Lớp 2'!P28</f>
        <v>2.443</v>
      </c>
    </row>
    <row r="29" s="10" customFormat="true" ht="18" hidden="true" customHeight="true" outlineLevel="0" collapsed="false">
      <c r="A29" s="13"/>
      <c r="B29" s="82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</row>
    <row r="30" s="10" customFormat="true" ht="18" hidden="true" customHeight="true" outlineLevel="0" collapsed="false">
      <c r="A30" s="13"/>
      <c r="B30" s="82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77.NĐXD4/CVXD ngày 23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77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cấp phối đá dăm loại 2 đoạn từ Km0+672,28 - Km0+746,82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34</v>
      </c>
      <c r="B9" s="117" t="s">
        <v>10</v>
      </c>
      <c r="C9" s="117" t="s">
        <v>11</v>
      </c>
      <c r="D9" s="118" t="s">
        <v>35</v>
      </c>
      <c r="E9" s="119"/>
      <c r="F9" s="119"/>
      <c r="G9" s="118"/>
      <c r="H9" s="119"/>
      <c r="I9" s="119"/>
      <c r="J9" s="119"/>
      <c r="K9" s="119"/>
      <c r="L9" s="119"/>
      <c r="M9" s="120" t="s">
        <v>36</v>
      </c>
      <c r="N9" s="121"/>
      <c r="O9" s="122" t="s">
        <v>37</v>
      </c>
      <c r="P9" s="123"/>
      <c r="Q9" s="123"/>
      <c r="R9" s="123"/>
      <c r="S9" s="123"/>
      <c r="T9" s="123"/>
      <c r="U9" s="123"/>
      <c r="V9" s="123"/>
      <c r="W9" s="122" t="s">
        <v>38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37</v>
      </c>
      <c r="O10" s="122"/>
      <c r="P10" s="122" t="s">
        <v>37</v>
      </c>
      <c r="Q10" s="122" t="s">
        <v>37</v>
      </c>
      <c r="R10" s="122"/>
      <c r="S10" s="122"/>
      <c r="T10" s="122"/>
      <c r="U10" s="122" t="s">
        <v>38</v>
      </c>
      <c r="V10" s="122" t="s">
        <v>38</v>
      </c>
      <c r="W10" s="122"/>
      <c r="X10" s="122" t="s">
        <v>38</v>
      </c>
      <c r="Y10" s="122" t="s">
        <v>38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38</v>
      </c>
      <c r="C11" s="133" t="n">
        <f aca="false">'Base A'!C23</f>
        <v>672.28</v>
      </c>
      <c r="D11" s="132" t="n">
        <f aca="false">'Base A'!T23</f>
        <v>17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32.13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39</v>
      </c>
      <c r="C12" s="133" t="n">
        <f aca="false">'Base A'!C24</f>
        <v>689.28</v>
      </c>
      <c r="D12" s="132" t="n">
        <f aca="false">'Base A'!T24</f>
        <v>11.75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22.2075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F2</v>
      </c>
      <c r="C13" s="133" t="n">
        <f aca="false">'Base A'!C25</f>
        <v>701.03</v>
      </c>
      <c r="D13" s="132" t="n">
        <f aca="false">'Base A'!T25</f>
        <v>11.75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22.2075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40</v>
      </c>
      <c r="C14" s="133" t="n">
        <f aca="false">'Base A'!C26</f>
        <v>712.78</v>
      </c>
      <c r="D14" s="132" t="n">
        <f aca="false">'Base A'!T26</f>
        <v>17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32.13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41</v>
      </c>
      <c r="C15" s="133" t="n">
        <f aca="false">'Base A'!C27</f>
        <v>729.78</v>
      </c>
      <c r="D15" s="132" t="n">
        <f aca="false">'Base A'!T27</f>
        <v>17.04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32.2056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42</v>
      </c>
      <c r="C16" s="133" t="n">
        <f aca="false">'Base A'!C28</f>
        <v>746.82</v>
      </c>
      <c r="D16" s="132"/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40"/>
      <c r="AC16" s="139"/>
      <c r="AE16" s="141"/>
    </row>
    <row r="17" s="131" customFormat="true" ht="15" hidden="true" customHeight="true" outlineLevel="0" collapsed="false">
      <c r="A17" s="132"/>
      <c r="B17" s="132"/>
      <c r="C17" s="133"/>
      <c r="D17" s="132"/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/>
      <c r="P17" s="135"/>
      <c r="Q17" s="135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40"/>
      <c r="AC17" s="139"/>
      <c r="AE17" s="141"/>
    </row>
    <row r="18" s="131" customFormat="true" ht="15" hidden="true" customHeight="true" outlineLevel="0" collapsed="false">
      <c r="A18" s="132"/>
      <c r="B18" s="132"/>
      <c r="C18" s="133"/>
      <c r="D18" s="132"/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/>
      <c r="P18" s="135"/>
      <c r="Q18" s="135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40"/>
      <c r="AC18" s="139"/>
      <c r="AE18" s="141"/>
    </row>
    <row r="19" s="131" customFormat="true" ht="15" hidden="true" customHeight="true" outlineLevel="0" collapsed="false">
      <c r="A19" s="132"/>
      <c r="B19" s="132"/>
      <c r="C19" s="133"/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/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s="131" customFormat="true" ht="15" hidden="true" customHeight="true" outlineLevel="0" collapsed="false">
      <c r="A20" s="132"/>
      <c r="B20" s="132"/>
      <c r="C20" s="133"/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/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39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SUM(W11:W16)</f>
        <v>140.8806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29</v>
      </c>
      <c r="B51" s="153"/>
      <c r="C51" s="153"/>
      <c r="D51" s="154" t="s">
        <v>40</v>
      </c>
      <c r="E51" s="153" t="s">
        <v>30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31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32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tr">
        <f>"Kèm theo BBNT số: "&amp;VLOOKUP(AZ2,'[1]Tuyến XD4'!$A$2:$G$60,7,0)&amp;VLOOKUP(AZ2,'[1]Tuyến XD4'!$A$2:$G$60,4,0)</f>
        <v xml:space="preserve">Kèm theo BBNT số: 80.NĐXD4/CVXD ngày 24 tháng 09 năm 2026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  <c r="AZ2">
        <v>80</v>
      </c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tr">
        <f>VLOOKUP(AZ2,'[1]Tuyến XD4'!$A$2:$B$60,2,0)</f>
        <v xml:space="preserve">Đắp cấp phối đá dăm loại 1 đoạn từ Km0+672,28 - Km0+746,82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672.28</v>
      </c>
      <c r="D23" s="16" t="n">
        <v>-5.25</v>
      </c>
      <c r="E23" s="16" t="n">
        <f aca="false">+D23+F23</f>
        <v>-5.253</v>
      </c>
      <c r="F23" s="16" t="n">
        <f aca="false">RANDBETWEEN(-105,115)/10000</f>
        <v>-0.003</v>
      </c>
      <c r="G23" s="16" t="n">
        <f aca="false">W23+0.15</f>
        <v>2.768</v>
      </c>
      <c r="H23" s="16" t="n">
        <f aca="false">G23+I23</f>
        <v>2.838</v>
      </c>
      <c r="I23" s="16" t="n">
        <f aca="false">RANDBETWEEN(-20,70)/1000</f>
        <v>0.07</v>
      </c>
      <c r="J23" s="16" t="n">
        <f aca="false">X23+0.15</f>
        <v>2.885</v>
      </c>
      <c r="K23" s="16" t="n">
        <f aca="false">J23+L23</f>
        <v>2.927</v>
      </c>
      <c r="L23" s="16" t="n">
        <f aca="false">RANDBETWEEN(-20,70)/1000</f>
        <v>0.042</v>
      </c>
      <c r="M23" s="16" t="n">
        <v>5.25</v>
      </c>
      <c r="N23" s="16" t="n">
        <f aca="false">+M23+O23</f>
        <v>5.2612</v>
      </c>
      <c r="O23" s="16" t="n">
        <f aca="false">RANDBETWEEN(-105,115)/10000</f>
        <v>0.0112</v>
      </c>
      <c r="P23" s="16" t="n">
        <f aca="false">Y23+0.15</f>
        <v>2.768</v>
      </c>
      <c r="Q23" s="16" t="n">
        <f aca="false">P23+R23</f>
        <v>2.824</v>
      </c>
      <c r="R23" s="16" t="n">
        <f aca="false">RANDBETWEEN(-20,70)/1000</f>
        <v>0.056</v>
      </c>
      <c r="S23" s="17"/>
      <c r="T23" s="18" t="n">
        <v>17</v>
      </c>
      <c r="V23" s="19"/>
      <c r="W23" s="19" t="n">
        <f aca="false">'Base A'!G23</f>
        <v>2.618</v>
      </c>
      <c r="X23" s="19" t="n">
        <f aca="false">'Base A'!J23</f>
        <v>2.735</v>
      </c>
      <c r="Y23" s="19" t="n">
        <f aca="false">'Base A'!P23</f>
        <v>2.618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689.28</v>
      </c>
      <c r="D24" s="16" t="n">
        <v>-5.25</v>
      </c>
      <c r="E24" s="16" t="n">
        <f aca="false">+D24+F24</f>
        <v>-5.2555</v>
      </c>
      <c r="F24" s="16" t="n">
        <f aca="false">RANDBETWEEN(-105,115)/10000</f>
        <v>-0.0055</v>
      </c>
      <c r="G24" s="16" t="n">
        <f aca="false">W24+0.15</f>
        <v>2.771</v>
      </c>
      <c r="H24" s="16" t="n">
        <f aca="false">G24+I24</f>
        <v>2.796</v>
      </c>
      <c r="I24" s="16" t="n">
        <f aca="false">RANDBETWEEN(-20,70)/1000</f>
        <v>0.025</v>
      </c>
      <c r="J24" s="16" t="n">
        <f aca="false">X24+0.15</f>
        <v>2.888</v>
      </c>
      <c r="K24" s="16" t="n">
        <f aca="false">J24+L24</f>
        <v>2.945</v>
      </c>
      <c r="L24" s="16" t="n">
        <f aca="false">RANDBETWEEN(-20,70)/1000</f>
        <v>0.057</v>
      </c>
      <c r="M24" s="16" t="n">
        <v>5.25</v>
      </c>
      <c r="N24" s="16" t="n">
        <f aca="false">+M24+O24</f>
        <v>5.2542</v>
      </c>
      <c r="O24" s="16" t="n">
        <f aca="false">RANDBETWEEN(-105,115)/10000</f>
        <v>0.0042</v>
      </c>
      <c r="P24" s="16" t="n">
        <f aca="false">Y24+0.15</f>
        <v>2.771</v>
      </c>
      <c r="Q24" s="16" t="n">
        <f aca="false">P24+R24</f>
        <v>2.841</v>
      </c>
      <c r="R24" s="16" t="n">
        <f aca="false">RANDBETWEEN(-20,70)/1000</f>
        <v>0.07</v>
      </c>
      <c r="S24" s="17"/>
      <c r="T24" s="18" t="n">
        <v>11.75</v>
      </c>
      <c r="V24" s="19"/>
      <c r="W24" s="19" t="n">
        <f aca="false">'Base A'!G24</f>
        <v>2.621</v>
      </c>
      <c r="X24" s="19" t="n">
        <f aca="false">'Base A'!J24</f>
        <v>2.738</v>
      </c>
      <c r="Y24" s="19" t="n">
        <f aca="false">'Base A'!P24</f>
        <v>2.621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701.03</v>
      </c>
      <c r="D25" s="16" t="n">
        <v>-5.25</v>
      </c>
      <c r="E25" s="16" t="n">
        <f aca="false">+D25+F25</f>
        <v>-5.2457</v>
      </c>
      <c r="F25" s="16" t="n">
        <f aca="false">RANDBETWEEN(-105,115)/10000</f>
        <v>0.0043</v>
      </c>
      <c r="G25" s="16" t="n">
        <f aca="false">W25+0.15</f>
        <v>2.772</v>
      </c>
      <c r="H25" s="16" t="n">
        <f aca="false">G25+I25</f>
        <v>2.816</v>
      </c>
      <c r="I25" s="16" t="n">
        <f aca="false">RANDBETWEEN(-20,70)/1000</f>
        <v>0.044</v>
      </c>
      <c r="J25" s="16" t="n">
        <f aca="false">X25+0.15</f>
        <v>2.889</v>
      </c>
      <c r="K25" s="16" t="n">
        <f aca="false">J25+L25</f>
        <v>2.898</v>
      </c>
      <c r="L25" s="16" t="n">
        <f aca="false">RANDBETWEEN(-20,70)/1000</f>
        <v>0.009</v>
      </c>
      <c r="M25" s="16" t="n">
        <v>5.25</v>
      </c>
      <c r="N25" s="16" t="n">
        <f aca="false">+M25+O25</f>
        <v>5.2494</v>
      </c>
      <c r="O25" s="16" t="n">
        <f aca="false">RANDBETWEEN(-105,115)/10000</f>
        <v>-0.0006</v>
      </c>
      <c r="P25" s="16" t="n">
        <f aca="false">Y25+0.15</f>
        <v>2.772</v>
      </c>
      <c r="Q25" s="16" t="n">
        <f aca="false">P25+R25</f>
        <v>2.803</v>
      </c>
      <c r="R25" s="16" t="n">
        <f aca="false">RANDBETWEEN(-20,70)/1000</f>
        <v>0.031</v>
      </c>
      <c r="S25" s="17"/>
      <c r="T25" s="18" t="n">
        <v>11.75</v>
      </c>
      <c r="V25" s="19"/>
      <c r="W25" s="19" t="n">
        <f aca="false">'Base A'!G25</f>
        <v>2.622</v>
      </c>
      <c r="X25" s="19" t="n">
        <f aca="false">'Base A'!J25</f>
        <v>2.739</v>
      </c>
      <c r="Y25" s="19" t="n">
        <f aca="false">'Base A'!P25</f>
        <v>2.622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712.78</v>
      </c>
      <c r="D26" s="16" t="n">
        <v>-5.25</v>
      </c>
      <c r="E26" s="16" t="n">
        <f aca="false">+D26+F26</f>
        <v>-5.2501</v>
      </c>
      <c r="F26" s="16" t="n">
        <f aca="false">RANDBETWEEN(-105,115)/10000</f>
        <v>-0.0001</v>
      </c>
      <c r="G26" s="16" t="n">
        <f aca="false">W26+0.15</f>
        <v>2.773</v>
      </c>
      <c r="H26" s="16" t="n">
        <f aca="false">G26+I26</f>
        <v>2.788</v>
      </c>
      <c r="I26" s="16" t="n">
        <f aca="false">RANDBETWEEN(-20,70)/1000</f>
        <v>0.015</v>
      </c>
      <c r="J26" s="16" t="n">
        <f aca="false">X26+0.15</f>
        <v>2.89</v>
      </c>
      <c r="K26" s="16" t="n">
        <f aca="false">J26+L26</f>
        <v>2.945</v>
      </c>
      <c r="L26" s="16" t="n">
        <f aca="false">RANDBETWEEN(-20,70)/1000</f>
        <v>0.055</v>
      </c>
      <c r="M26" s="16" t="n">
        <v>5.25</v>
      </c>
      <c r="N26" s="16" t="n">
        <f aca="false">+M26+O26</f>
        <v>5.2405</v>
      </c>
      <c r="O26" s="16" t="n">
        <f aca="false">RANDBETWEEN(-105,115)/10000</f>
        <v>-0.0095</v>
      </c>
      <c r="P26" s="16" t="n">
        <f aca="false">Y26+0.15</f>
        <v>2.773</v>
      </c>
      <c r="Q26" s="16" t="n">
        <f aca="false">P26+R26</f>
        <v>2.814</v>
      </c>
      <c r="R26" s="16" t="n">
        <f aca="false">RANDBETWEEN(-20,70)/1000</f>
        <v>0.041</v>
      </c>
      <c r="S26" s="17"/>
      <c r="T26" s="18" t="n">
        <v>17</v>
      </c>
      <c r="V26" s="19"/>
      <c r="W26" s="19" t="n">
        <f aca="false">'Base A'!G26</f>
        <v>2.623</v>
      </c>
      <c r="X26" s="19" t="n">
        <f aca="false">'Base A'!J26</f>
        <v>2.74</v>
      </c>
      <c r="Y26" s="19" t="n">
        <f aca="false">'Base A'!P26</f>
        <v>2.623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729.78</v>
      </c>
      <c r="D27" s="16" t="n">
        <v>-5.25</v>
      </c>
      <c r="E27" s="16" t="n">
        <f aca="false">+D27+F27</f>
        <v>-5.2515</v>
      </c>
      <c r="F27" s="16" t="n">
        <f aca="false">RANDBETWEEN(-105,115)/10000</f>
        <v>-0.0015</v>
      </c>
      <c r="G27" s="16" t="n">
        <f aca="false">W27+0.15</f>
        <v>2.773</v>
      </c>
      <c r="H27" s="16" t="n">
        <f aca="false">G27+I27</f>
        <v>2.838</v>
      </c>
      <c r="I27" s="16" t="n">
        <f aca="false">RANDBETWEEN(-20,70)/1000</f>
        <v>0.065</v>
      </c>
      <c r="J27" s="16" t="n">
        <f aca="false">X27+0.15</f>
        <v>2.89</v>
      </c>
      <c r="K27" s="16" t="n">
        <f aca="false">J27+L27</f>
        <v>2.9</v>
      </c>
      <c r="L27" s="16" t="n">
        <f aca="false">RANDBETWEEN(-20,70)/1000</f>
        <v>0.01</v>
      </c>
      <c r="M27" s="16" t="n">
        <v>5.25</v>
      </c>
      <c r="N27" s="16" t="n">
        <f aca="false">+M27+O27</f>
        <v>5.256</v>
      </c>
      <c r="O27" s="16" t="n">
        <f aca="false">RANDBETWEEN(-105,115)/10000</f>
        <v>0.006</v>
      </c>
      <c r="P27" s="16" t="n">
        <f aca="false">Y27+0.15</f>
        <v>2.773</v>
      </c>
      <c r="Q27" s="16" t="n">
        <f aca="false">P27+R27</f>
        <v>2.838</v>
      </c>
      <c r="R27" s="16" t="n">
        <f aca="false">RANDBETWEEN(-20,70)/1000</f>
        <v>0.065</v>
      </c>
      <c r="S27" s="17"/>
      <c r="T27" s="18" t="n">
        <v>17.04</v>
      </c>
      <c r="V27" s="19"/>
      <c r="W27" s="19" t="n">
        <f aca="false">'Base A'!G27</f>
        <v>2.623</v>
      </c>
      <c r="X27" s="19" t="n">
        <f aca="false">'Base A'!J27</f>
        <v>2.74</v>
      </c>
      <c r="Y27" s="19" t="n">
        <f aca="false">'Base A'!P27</f>
        <v>2.623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746.82</v>
      </c>
      <c r="D28" s="16" t="n">
        <v>-5.25</v>
      </c>
      <c r="E28" s="16" t="n">
        <f aca="false">+D28+F28</f>
        <v>-5.2498</v>
      </c>
      <c r="F28" s="16" t="n">
        <f aca="false">RANDBETWEEN(-105,115)/10000</f>
        <v>0.0002</v>
      </c>
      <c r="G28" s="16" t="n">
        <f aca="false">W28+0.15</f>
        <v>2.773</v>
      </c>
      <c r="H28" s="16" t="n">
        <f aca="false">G28+I28</f>
        <v>2.802</v>
      </c>
      <c r="I28" s="16" t="n">
        <f aca="false">RANDBETWEEN(-20,70)/1000</f>
        <v>0.029</v>
      </c>
      <c r="J28" s="16" t="n">
        <f aca="false">X28+0.15</f>
        <v>2.89</v>
      </c>
      <c r="K28" s="16" t="n">
        <f aca="false">J28+L28</f>
        <v>2.921</v>
      </c>
      <c r="L28" s="16" t="n">
        <f aca="false">RANDBETWEEN(-20,70)/1000</f>
        <v>0.031</v>
      </c>
      <c r="M28" s="16" t="n">
        <v>5.25</v>
      </c>
      <c r="N28" s="16" t="n">
        <f aca="false">+M28+O28</f>
        <v>5.2547</v>
      </c>
      <c r="O28" s="16" t="n">
        <f aca="false">RANDBETWEEN(-105,115)/10000</f>
        <v>0.0047</v>
      </c>
      <c r="P28" s="16" t="n">
        <f aca="false">Y28+0.15</f>
        <v>2.773</v>
      </c>
      <c r="Q28" s="16" t="n">
        <f aca="false">P28+R28</f>
        <v>2.808</v>
      </c>
      <c r="R28" s="16" t="n">
        <f aca="false">RANDBETWEEN(-20,70)/1000</f>
        <v>0.035</v>
      </c>
      <c r="S28" s="17"/>
      <c r="T28" s="18"/>
      <c r="V28" s="19"/>
      <c r="W28" s="19" t="n">
        <f aca="false">'Base A'!G28</f>
        <v>2.623</v>
      </c>
      <c r="X28" s="19" t="n">
        <f aca="false">'Base A'!J28</f>
        <v>2.74</v>
      </c>
      <c r="Y28" s="19" t="n">
        <f aca="false">'Base A'!P28</f>
        <v>2.623</v>
      </c>
    </row>
    <row r="29" s="10" customFormat="true" ht="18" hidden="true" customHeight="true" outlineLevel="0" collapsed="false">
      <c r="A29" s="13"/>
      <c r="B29" s="82"/>
      <c r="C29" s="15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7"/>
      <c r="T29" s="18"/>
      <c r="V29" s="19"/>
    </row>
    <row r="30" s="10" customFormat="true" ht="18" hidden="true" customHeight="true" outlineLevel="0" collapsed="false">
      <c r="A30" s="13"/>
      <c r="B30" s="82"/>
      <c r="C30" s="15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7"/>
      <c r="T30" s="18"/>
      <c r="V30" s="19"/>
    </row>
    <row r="31" s="10" customFormat="true" ht="18" hidden="true" customHeight="true" outlineLevel="0" collapsed="false">
      <c r="A31" s="13"/>
      <c r="B31" s="82"/>
      <c r="C31" s="15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7"/>
      <c r="T31" s="18"/>
      <c r="V31" s="19"/>
    </row>
    <row r="32" s="10" customFormat="true" ht="18" hidden="true" customHeight="true" outlineLevel="0" collapsed="false">
      <c r="A32" s="13"/>
      <c r="B32" s="82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  <c r="V32" s="19"/>
    </row>
    <row r="33" s="10" customFormat="true" ht="18" hidden="true" customHeight="true" outlineLevel="0" collapsed="false">
      <c r="A33" s="13"/>
      <c r="B33" s="82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  <c r="V33" s="19"/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29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30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31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47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tr">
        <f>"Kèm theo BBNT số: "&amp;VLOOKUP(AZ2,'[1]Tuyến XD4'!$A$2:$G$60,7,0)&amp;VLOOKUP(AZ2,'[1]Tuyến XD4'!$A$2:$G$60,4,0)</f>
        <v xml:space="preserve">Kèm theo BBNT số: 80.NĐXD4/CVXD ngày 24 tháng 09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80</v>
      </c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tr">
        <f>VLOOKUP(AZ2,'[1]Tuyến XD4'!$A$2:$B$60,2,0)</f>
        <v xml:space="preserve">Đắp cấp phối đá dăm loại 1 đoạn từ Km0+672,28 - Km0+746,82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34</v>
      </c>
      <c r="B9" s="117" t="s">
        <v>10</v>
      </c>
      <c r="C9" s="117" t="s">
        <v>11</v>
      </c>
      <c r="D9" s="118" t="s">
        <v>35</v>
      </c>
      <c r="E9" s="119"/>
      <c r="F9" s="119"/>
      <c r="G9" s="118"/>
      <c r="H9" s="119"/>
      <c r="I9" s="119"/>
      <c r="J9" s="119"/>
      <c r="K9" s="119"/>
      <c r="L9" s="119"/>
      <c r="M9" s="120" t="s">
        <v>36</v>
      </c>
      <c r="N9" s="121"/>
      <c r="O9" s="122" t="s">
        <v>37</v>
      </c>
      <c r="P9" s="123"/>
      <c r="Q9" s="123"/>
      <c r="R9" s="123"/>
      <c r="S9" s="123"/>
      <c r="T9" s="123"/>
      <c r="U9" s="123"/>
      <c r="V9" s="123"/>
      <c r="W9" s="122" t="s">
        <v>38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37</v>
      </c>
      <c r="O10" s="122"/>
      <c r="P10" s="122" t="s">
        <v>37</v>
      </c>
      <c r="Q10" s="122" t="s">
        <v>37</v>
      </c>
      <c r="R10" s="122"/>
      <c r="S10" s="122"/>
      <c r="T10" s="122"/>
      <c r="U10" s="122" t="s">
        <v>38</v>
      </c>
      <c r="V10" s="122" t="s">
        <v>38</v>
      </c>
      <c r="W10" s="122"/>
      <c r="X10" s="122" t="s">
        <v>38</v>
      </c>
      <c r="Y10" s="122" t="s">
        <v>38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38</v>
      </c>
      <c r="C11" s="133" t="n">
        <f aca="false">'Base B'!C23</f>
        <v>672.28</v>
      </c>
      <c r="D11" s="132" t="n">
        <f aca="false">'Base B'!T23</f>
        <v>17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26.775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39</v>
      </c>
      <c r="C12" s="133" t="n">
        <f aca="false">'Base B'!C24</f>
        <v>689.28</v>
      </c>
      <c r="D12" s="132" t="n">
        <f aca="false">'Base B'!T24</f>
        <v>11.75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18.50625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F2</v>
      </c>
      <c r="C13" s="133" t="n">
        <f aca="false">'Base B'!C25</f>
        <v>701.03</v>
      </c>
      <c r="D13" s="132" t="n">
        <f aca="false">'Base B'!T25</f>
        <v>11.75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18.50625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40</v>
      </c>
      <c r="C14" s="133" t="n">
        <f aca="false">'Base B'!C26</f>
        <v>712.78</v>
      </c>
      <c r="D14" s="132" t="n">
        <f aca="false">'Base B'!T26</f>
        <v>17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26.775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41</v>
      </c>
      <c r="C15" s="133" t="n">
        <f aca="false">'Base B'!C27</f>
        <v>729.78</v>
      </c>
      <c r="D15" s="132" t="n">
        <f aca="false">'Base B'!T27</f>
        <v>17.04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26.838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42</v>
      </c>
      <c r="C16" s="133" t="n">
        <f aca="false">'Base B'!C28</f>
        <v>746.82</v>
      </c>
      <c r="D16" s="132"/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/>
      <c r="X16" s="139"/>
      <c r="Y16" s="139"/>
      <c r="Z16" s="139"/>
      <c r="AA16" s="139"/>
      <c r="AB16" s="140"/>
      <c r="AC16" s="139"/>
      <c r="AE16" s="141"/>
    </row>
    <row r="17" s="131" customFormat="true" ht="15" hidden="true" customHeight="true" outlineLevel="0" collapsed="false">
      <c r="A17" s="132"/>
      <c r="B17" s="132"/>
      <c r="C17" s="133"/>
      <c r="D17" s="132"/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/>
      <c r="P17" s="135"/>
      <c r="Q17" s="135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40"/>
      <c r="AC17" s="139"/>
      <c r="AE17" s="141"/>
    </row>
    <row r="18" s="131" customFormat="true" ht="15" hidden="true" customHeight="true" outlineLevel="0" collapsed="false">
      <c r="A18" s="132"/>
      <c r="B18" s="132"/>
      <c r="C18" s="133"/>
      <c r="D18" s="132"/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/>
      <c r="P18" s="135"/>
      <c r="Q18" s="135"/>
      <c r="R18" s="139"/>
      <c r="S18" s="139"/>
      <c r="T18" s="139"/>
      <c r="U18" s="139"/>
      <c r="V18" s="139"/>
      <c r="W18" s="139"/>
      <c r="X18" s="139"/>
      <c r="Y18" s="139"/>
      <c r="Z18" s="139"/>
      <c r="AA18" s="139"/>
      <c r="AB18" s="140"/>
      <c r="AC18" s="139"/>
      <c r="AE18" s="141"/>
    </row>
    <row r="19" s="131" customFormat="true" ht="15" hidden="true" customHeight="true" outlineLevel="0" collapsed="false">
      <c r="A19" s="132"/>
      <c r="B19" s="132"/>
      <c r="C19" s="133"/>
      <c r="D19" s="132"/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/>
      <c r="P19" s="135"/>
      <c r="Q19" s="135"/>
      <c r="R19" s="139"/>
      <c r="S19" s="139"/>
      <c r="T19" s="139"/>
      <c r="U19" s="139"/>
      <c r="V19" s="139"/>
      <c r="W19" s="139"/>
      <c r="X19" s="139"/>
      <c r="Y19" s="139"/>
      <c r="Z19" s="139"/>
      <c r="AA19" s="139"/>
      <c r="AB19" s="140"/>
      <c r="AC19" s="139"/>
      <c r="AE19" s="141"/>
    </row>
    <row r="20" s="131" customFormat="true" ht="15" hidden="true" customHeight="true" outlineLevel="0" collapsed="false">
      <c r="A20" s="132"/>
      <c r="B20" s="132"/>
      <c r="C20" s="133"/>
      <c r="D20" s="132"/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/>
      <c r="P20" s="135"/>
      <c r="Q20" s="135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40"/>
      <c r="AC20" s="139"/>
      <c r="AE20" s="141"/>
    </row>
    <row r="21" s="131" customFormat="true" ht="15" hidden="true" customHeight="true" outlineLevel="0" collapsed="false">
      <c r="A21" s="132"/>
      <c r="B21" s="132"/>
      <c r="C21" s="133"/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/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39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SUM(W11:W16)</f>
        <v>117.4005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29</v>
      </c>
      <c r="B51" s="153"/>
      <c r="C51" s="153"/>
      <c r="D51" s="154" t="s">
        <v>40</v>
      </c>
      <c r="E51" s="153" t="s">
        <v>30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31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2026-10-13T10:12:59Z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