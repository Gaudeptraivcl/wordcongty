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L1'!$A$1:$P$67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L2'!$A$1:$P$67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L3'!$A$1:$P$67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L4'!$A$1:$P$66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L1'!$A$1:$G$58</definedName>
    <definedName function="false" hidden="false" localSheetId="4" name="_xlnm.Print_Area" vbProcedure="false">'KL L2'!$A$1:$G$58</definedName>
    <definedName function="false" hidden="false" localSheetId="6" name="_xlnm.Print_Area" vbProcedure="false">'KL L3'!$A$1:$G$58</definedName>
    <definedName function="false" hidden="false" localSheetId="8" name="_xlnm.Print_Area" vbProcedure="false">'KL L4'!$A$1:$G$58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<sst xmlns="http://schemas.openxmlformats.org/spreadsheetml/2006/main" count="544" uniqueCount="61">
  <si>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</si>
  <si>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</si>
  <si>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</si>
  <si>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</si>
  <si>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</si>
  <si>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</si>
  <si>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</si>
  <si>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</si>
  <si>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</si>
  <si>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</si>
  <si>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</si>
  <si>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</si>
  <si>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</si>
  <si>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</si>
  <si>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</si>
  <si>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</si>
  <si>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</si>
  <si>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38</t>
  </si>
  <si>
    <t xml:space="preserve">-</t>
  </si>
  <si>
    <t xml:space="preserve">39</t>
  </si>
  <si>
    <t xml:space="preserve">F2</t>
  </si>
  <si>
    <t xml:space="preserve">40</t>
  </si>
  <si>
    <t xml:space="preserve">41</t>
  </si>
  <si>
    <t xml:space="preserve">42</t>
  </si>
  <si>
    <t xml:space="preserve">PHỤ LỤC KIỂM TRA CAO ĐỘ, KÍCH THƯỚC HÌNH HỌC</t>
  </si>
  <si>
    <t xml:space="preserve">Kèm theo BBNT số: 74.NĐXD4/CVXD ngày 21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</si>
  <si>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</si>
  <si>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</si>
  <si>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</si>
  <si>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XD4</t>
  </si>
  <si>
    <t xml:space="preserve">- Đối tượng nghiệm thu:</t>
  </si>
  <si>
    <t xml:space="preserve">Đắp đất lề đường lớp 1, độ chặt K&gt;=0,95 đoạn từ Km0+672,28 - Km0+746,82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</si>
  <si>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</si>
  <si>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</si>
  <si>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</si>
  <si>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</si>
  <si>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</si>
  <si>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</si>
  <si>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</si>
  <si>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</si>
  <si>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</si>
  <si>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</si>
  <si>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</si>
  <si>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</si>
  <si>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</si>
  <si>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</si>
  <si>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</si>
  <si>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</si>
  <si>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</si>
  <si>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</si>
  <si>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</si>
  <si>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</si>
  <si>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</si>
  <si>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</si>
  <si>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76.NĐXD4/CVXD ngày 22 tháng 09 năm 2026</t>
  </si>
  <si>
    <t xml:space="preserve">Đắp đất lề đường lớp 2, độ chặt K&gt;=0,95 đoạn từ Km0+672,28 - Km0+746,82</t>
  </si>
  <si>
    <t xml:space="preserve">Kèm theo BBNT số: 78.NĐXD4/CVXD ngày 23 tháng 09 năm 2026</t>
  </si>
  <si>
    <t xml:space="preserve">Đắp đất lề đường lớp 3, độ chặt K&gt;=0,95 đoạn từ Km0+672,28 - Km0+746,82</t>
  </si>
  <si>
    <t xml:space="preserve">Kèm theo BBNT số: 79.NĐXD4/CVXD ngày 24 tháng 09 năm 2026</t>
  </si>
  <si>
    <t xml:space="preserve">Đắp đất lề đường lớp 4, độ chặt K&gt;=0,95 đoạn từ Km0+672,28 - Km0+746,82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</si>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</sst>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57</v>
          </cell>
          <cell r="B3" t="str">
            <v xml:space="preserve">Kiểm tra cao độ đường đen đoạn từ Km0+672,28 -:- Km0+746,82</v>
          </cell>
          <cell r="D3" t="str">
            <v xml:space="preserve">ngày 12 tháng 09 năm 2026</v>
          </cell>
          <cell r="G3" t="str">
            <v xml:space="preserve">57.NĐXD4/CVXD </v>
          </cell>
        </row>
        <row r="4">
          <cell r="A4">
            <v>58</v>
          </cell>
          <cell r="B4" t="str">
            <v xml:space="preserve">Đào đất xử lý nền đường đoạn từ Km0+672,28 - Km0+746,82</v>
          </cell>
          <cell r="D4" t="str">
            <v xml:space="preserve">ngày 13 tháng 09 năm 2026</v>
          </cell>
          <cell r="G4" t="str">
            <v xml:space="preserve">58.NĐXD4/CVXD </v>
          </cell>
        </row>
        <row r="5">
          <cell r="A5">
            <v>59</v>
          </cell>
          <cell r="B5" t="str">
            <v xml:space="preserve">Rải vải địa kỹ thuật đoạn từ Km0+672,28 - Km0+746,82</v>
          </cell>
          <cell r="D5" t="str">
            <v xml:space="preserve">ngày 14 tháng 09 năm 2026</v>
          </cell>
          <cell r="G5" t="str">
            <v xml:space="preserve">59.NĐXD4/CVXD </v>
          </cell>
        </row>
        <row r="6">
          <cell r="A6">
            <v>60</v>
          </cell>
          <cell r="B6" t="str">
            <v xml:space="preserve">Đắp cát nền đường lớp 1 đoạn từ Km0+672,28 - Km0+746,82, độ chặt K&gt;=0,95</v>
          </cell>
          <cell r="D6" t="str">
            <v xml:space="preserve">ngày 14 tháng 09 năm 2026</v>
          </cell>
          <cell r="G6" t="str">
            <v xml:space="preserve">60.NĐXD4/CVXD </v>
          </cell>
        </row>
        <row r="7">
          <cell r="A7">
            <v>61</v>
          </cell>
          <cell r="B7" t="str">
            <v xml:space="preserve">Đắp cát nền đường lớp 2 đoạn từ Km0+672,28 - Km0+746,82, độ chặt K&gt;=0,95</v>
          </cell>
          <cell r="D7" t="str">
            <v xml:space="preserve">ngày 15 tháng 09 năm 2026</v>
          </cell>
          <cell r="G7" t="str">
            <v xml:space="preserve">61.NĐXD4/CVXD </v>
          </cell>
        </row>
        <row r="8">
          <cell r="A8">
            <v>62</v>
          </cell>
          <cell r="B8" t="str">
            <v xml:space="preserve">Đắp cát nền đường lớp 3 đoạn từ Km0+672,28 - Km0+746,82, độ chặt K&gt;=0,95</v>
          </cell>
          <cell r="D8" t="str">
            <v xml:space="preserve">ngày 15 tháng 09 năm 2026</v>
          </cell>
          <cell r="G8" t="str">
            <v xml:space="preserve">62.NĐXD4/CVXD </v>
          </cell>
        </row>
        <row r="9">
          <cell r="A9">
            <v>63</v>
          </cell>
          <cell r="B9" t="str">
            <v xml:space="preserve">Đắp cát nền đường lớp 4 đoạn từ Km0+672,28 - Km0+746,82, độ chặt K&gt;=0,95</v>
          </cell>
          <cell r="D9" t="str">
            <v xml:space="preserve">ngày 16 tháng 09 năm 2026</v>
          </cell>
          <cell r="G9" t="str">
            <v xml:space="preserve">63.NĐXD4/CVXD </v>
          </cell>
        </row>
        <row r="10">
          <cell r="A10">
            <v>64</v>
          </cell>
          <cell r="B10" t="str">
            <v xml:space="preserve">Đắp đất nền đường lớp 1 đoạn từ Km0+672,28 - Km0+746,82, độ chặt K&gt;=0,95</v>
          </cell>
          <cell r="D10" t="str">
            <v xml:space="preserve">ngày 16 tháng 09 năm 2026</v>
          </cell>
          <cell r="G10" t="str">
            <v xml:space="preserve">64.NĐXD4/CVXD </v>
          </cell>
        </row>
        <row r="11">
          <cell r="A11">
            <v>65</v>
          </cell>
          <cell r="B11" t="str">
            <v xml:space="preserve">Đắp đất nền đường lớp 2 đoạn từ Km0+672,28 - Km0+746,82, độ chặt K&gt;=0,95</v>
          </cell>
          <cell r="D11" t="str">
            <v xml:space="preserve">ngày 17 tháng 09 năm 2026</v>
          </cell>
          <cell r="G11" t="str">
            <v xml:space="preserve">65.NĐXD4/CVXD </v>
          </cell>
        </row>
        <row r="12">
          <cell r="A12">
            <v>66</v>
          </cell>
          <cell r="B12" t="str">
            <v xml:space="preserve">Đắp đất nền đường lớp 3 đoạn từ Km0+672,28 - Km0+746,82, độ chặt K&gt;=0,95</v>
          </cell>
          <cell r="D12" t="str">
            <v xml:space="preserve">ngày 17 tháng 09 năm 2026</v>
          </cell>
          <cell r="G12" t="str">
            <v xml:space="preserve">66.NĐXD4/CVXD </v>
          </cell>
        </row>
        <row r="13">
          <cell r="A13">
            <v>67</v>
          </cell>
          <cell r="B13" t="str">
            <v xml:space="preserve">Đắp đất nền đường lớp 4 đoạn từ Km0+672,28 - Km0+746,82, độ chặt K&gt;=0,95</v>
          </cell>
          <cell r="D13" t="str">
            <v xml:space="preserve">ngày 18 tháng 09 năm 2026</v>
          </cell>
          <cell r="G13" t="str">
            <v xml:space="preserve">67.NĐXD4/CVXD </v>
          </cell>
        </row>
        <row r="14">
          <cell r="A14">
            <v>68</v>
          </cell>
          <cell r="B14" t="str">
            <v xml:space="preserve">Đắp đất nền đường lớp 5 đoạn từ Km0+672,28 - Km0+746,82, độ chặt K&gt;=0,95</v>
          </cell>
          <cell r="D14" t="str">
            <v xml:space="preserve">ngày 18 tháng 09 năm 2026</v>
          </cell>
          <cell r="G14" t="str">
            <v xml:space="preserve">68.NĐXD4/CVXD </v>
          </cell>
        </row>
        <row r="15">
          <cell r="A15">
            <v>69</v>
          </cell>
          <cell r="B15" t="str">
            <v xml:space="preserve">Đắp đất nền đường lớp 6 đoạn từ Km0+672,28 - Km0+746,82, độ chặt K&gt;=0,95</v>
          </cell>
          <cell r="D15" t="str">
            <v xml:space="preserve">ngày 19 tháng 09 năm 2026</v>
          </cell>
          <cell r="G15" t="str">
            <v xml:space="preserve">69.NĐXD4/CVXD </v>
          </cell>
        </row>
        <row r="16">
          <cell r="A16">
            <v>70</v>
          </cell>
          <cell r="B16" t="str">
            <v xml:space="preserve">Đắp đất nền đường lớp 7 đoạn từ Km0+672,28 - Km0+746,82, độ chặt K&gt;=0,95</v>
          </cell>
          <cell r="D16" t="str">
            <v xml:space="preserve">ngày 19 tháng 09 năm 2026</v>
          </cell>
          <cell r="G16" t="str">
            <v xml:space="preserve">70.NĐXD4/CVXD </v>
          </cell>
        </row>
        <row r="17">
          <cell r="A17">
            <v>71</v>
          </cell>
          <cell r="B17" t="str">
            <v xml:space="preserve">Đắp đất nền đường lớp 8 đoạn từ Km0+672,28 - Km0+746,82, độ chặt K&gt;=0,95</v>
          </cell>
          <cell r="D17" t="str">
            <v xml:space="preserve">ngày 20 tháng 09 năm 2026</v>
          </cell>
          <cell r="G17" t="str">
            <v xml:space="preserve">71.NĐXD4/CVXD </v>
          </cell>
        </row>
        <row r="18">
          <cell r="A18">
            <v>72</v>
          </cell>
          <cell r="B18" t="str">
            <v xml:space="preserve">Đắp đất nền đường lớp 9 đoạn từ Km0+672,28 - Km0+746,82, độ chặt K&gt;=0,95</v>
          </cell>
          <cell r="D18" t="str">
            <v xml:space="preserve">ngày 20 tháng 09 năm 2026</v>
          </cell>
          <cell r="G18" t="str">
            <v xml:space="preserve">72.NĐXD4/CVXD </v>
          </cell>
        </row>
        <row r="19">
          <cell r="A19">
            <v>73</v>
          </cell>
          <cell r="B19" t="str">
            <v xml:space="preserve">Đắp đất nền đường lớp 1, độ chặt K&gt;=0,98 đoạn từ Km0+672,28 - Km0+746,82</v>
          </cell>
          <cell r="D19" t="str">
            <v xml:space="preserve">ngày 21 tháng 09 năm 2026</v>
          </cell>
          <cell r="G19" t="str">
            <v xml:space="preserve">73.NĐXD4/CVXD </v>
          </cell>
        </row>
        <row r="20">
          <cell r="A20">
            <v>74</v>
          </cell>
          <cell r="B20" t="str">
            <v xml:space="preserve">Đắp đất lề đường lớp 1, độ chặt K&gt;=0,95 đoạn từ Km0+672,28 - Km0+746,82</v>
          </cell>
          <cell r="D20" t="str">
            <v xml:space="preserve">ngày 21 tháng 09 năm 2026</v>
          </cell>
          <cell r="G20" t="str">
            <v xml:space="preserve">74.NĐXD4/CVXD </v>
          </cell>
        </row>
        <row r="21">
          <cell r="A21">
            <v>75</v>
          </cell>
          <cell r="B21" t="str">
            <v xml:space="preserve">Đắp đất nền đường lớp 2, độ chặt K&gt;=0,98 đoạn từ Km0+672,28 - Km0+746,82</v>
          </cell>
          <cell r="D21" t="str">
            <v xml:space="preserve">ngày 22 tháng 09 năm 2026</v>
          </cell>
          <cell r="G21" t="str">
            <v xml:space="preserve">75.NĐXD4/CVXD </v>
          </cell>
        </row>
        <row r="22">
          <cell r="A22">
            <v>76</v>
          </cell>
          <cell r="B22" t="str">
            <v xml:space="preserve">Đắp đất lề đường lớp 2, độ chặt K&gt;=0,95 đoạn từ Km0+672,28 - Km0+746,82</v>
          </cell>
          <cell r="D22" t="str">
            <v xml:space="preserve">ngày 22 tháng 09 năm 2026</v>
          </cell>
          <cell r="G22" t="str">
            <v xml:space="preserve">76.NĐXD4/CVXD </v>
          </cell>
        </row>
        <row r="23">
          <cell r="A23">
            <v>77</v>
          </cell>
          <cell r="B23" t="str">
            <v xml:space="preserve">Đắp cấp phối đá dăm loại 2 đoạn từ Km0+672,28 - Km0+746,82</v>
          </cell>
          <cell r="D23" t="str">
            <v xml:space="preserve">ngày 23 tháng 09 năm 2026</v>
          </cell>
          <cell r="G23" t="str">
            <v xml:space="preserve">77.NĐXD4/CVXD </v>
          </cell>
        </row>
        <row r="24">
          <cell r="A24">
            <v>78</v>
          </cell>
          <cell r="B24" t="str">
            <v xml:space="preserve">Đắp đất lề đường lớp 3, độ chặt K&gt;=0,95 đoạn từ Km0+672,28 - Km0+746,82</v>
          </cell>
          <cell r="D24" t="str">
            <v xml:space="preserve">ngày 23 tháng 09 năm 2026</v>
          </cell>
          <cell r="G24" t="str">
            <v xml:space="preserve">78.NĐXD4/CVXD </v>
          </cell>
        </row>
        <row r="25">
          <cell r="A25">
            <v>79</v>
          </cell>
          <cell r="B25" t="str">
            <v xml:space="preserve">Đắp đất lề đường lớp 4, độ chặt K&gt;=0,95 đoạn từ Km0+672,28 - Km0+746,82</v>
          </cell>
          <cell r="D25" t="str">
            <v xml:space="preserve">ngày 24 tháng 09 năm 2026</v>
          </cell>
          <cell r="G25" t="str">
            <v xml:space="preserve">79.NĐXD4/CVXD </v>
          </cell>
        </row>
        <row r="26">
          <cell r="A26">
            <v>80</v>
          </cell>
          <cell r="B26" t="str">
            <v xml:space="preserve">Đắp cấp phối đá dăm loại 1 đoạn từ Km0+672,28 - Km0+746,82</v>
          </cell>
          <cell r="D26" t="str">
            <v xml:space="preserve">ngày 24 tháng 09 năm 2026</v>
          </cell>
          <cell r="G26" t="str">
            <v xml:space="preserve">80.NĐXD4/CVXD </v>
          </cell>
        </row>
        <row r="27">
          <cell r="A27">
            <v>81</v>
          </cell>
          <cell r="B27" t="str">
            <v xml:space="preserve">Vệ sinh, thổi bụi mặt đường </v>
          </cell>
          <cell r="D27" t="str">
            <v xml:space="preserve">ngày 26 tháng 09 năm 2026</v>
          </cell>
          <cell r="G27" t="str">
            <v xml:space="preserve">81.NĐXD4/CVXD </v>
          </cell>
        </row>
        <row r="28">
          <cell r="A28">
            <v>82</v>
          </cell>
          <cell r="B28" t="str">
            <v xml:space="preserve">Tưới lớp thấm bám mặt đường, nhựa MC70, lượng nhựa 1kg/m2</v>
          </cell>
          <cell r="D28" t="str">
            <v xml:space="preserve">ngày 28 tháng 09 năm 2026</v>
          </cell>
          <cell r="G28" t="str">
            <v xml:space="preserve">82.NĐXD4/CVXD </v>
          </cell>
        </row>
        <row r="29">
          <cell r="A29">
            <v>83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01 tháng 10 năm 2026</v>
          </cell>
          <cell r="G29" t="str">
            <v xml:space="preserve">83.NĐXD4/CVXD </v>
          </cell>
        </row>
        <row r="30">
          <cell r="A30">
            <v>84</v>
          </cell>
          <cell r="B30" t="str">
            <v xml:space="preserve">Bê tông nhựa C16 - Chiều dày mặt đường đã lèn ép 6cm</v>
          </cell>
          <cell r="D30" t="str">
            <v xml:space="preserve">ngày 03 tháng 10 năm 2026</v>
          </cell>
          <cell r="G30" t="str">
            <v xml:space="preserve">84.NĐXD4/CVXD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672.28</v>
      </c>
      <c r="D2" s="0" t="n">
        <v>4</v>
      </c>
      <c r="E2" s="0" t="n">
        <v>1.56</v>
      </c>
      <c r="F2" s="0" t="n">
        <v>-10.12</v>
      </c>
      <c r="G2" s="2" t="n">
        <v>2.96</v>
      </c>
      <c r="H2" s="0" t="n">
        <v>-5.51</v>
      </c>
      <c r="I2" s="2" t="n">
        <v>2.68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-10.93</v>
      </c>
      <c r="G3" s="2" t="n">
        <v>2.62</v>
      </c>
      <c r="H3" s="0" t="n">
        <v>-5.25</v>
      </c>
      <c r="I3" s="2" t="n">
        <v>2.62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-11.2</v>
      </c>
      <c r="G4" s="2" t="n">
        <v>2.44</v>
      </c>
      <c r="H4" s="0" t="n">
        <v>-5.25</v>
      </c>
      <c r="I4" s="2" t="n">
        <v>2.44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-11.58</v>
      </c>
      <c r="G5" s="2" t="n">
        <v>2.19</v>
      </c>
      <c r="H5" s="0" t="n">
        <v>-5.25</v>
      </c>
      <c r="I5" s="2" t="n">
        <v>2.19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672.28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5.51</v>
      </c>
      <c r="M6" s="2" t="n">
        <v>2.87</v>
      </c>
      <c r="N6" s="0" t="n">
        <v>10.12</v>
      </c>
      <c r="O6" s="2" t="n">
        <v>2.86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5.25</v>
      </c>
      <c r="M7" s="2" t="n">
        <v>2.62</v>
      </c>
      <c r="N7" s="0" t="n">
        <v>10.93</v>
      </c>
      <c r="O7" s="2" t="n">
        <v>2.62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5.25</v>
      </c>
      <c r="M8" s="2" t="n">
        <v>2.44</v>
      </c>
      <c r="N8" s="0" t="n">
        <v>11.2</v>
      </c>
      <c r="O8" s="2" t="n">
        <v>2.44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5.25</v>
      </c>
      <c r="M9" s="2" t="n">
        <v>2.19</v>
      </c>
      <c r="N9" s="0" t="n">
        <v>11.58</v>
      </c>
      <c r="O9" s="2" t="n">
        <v>2.19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689.28</v>
      </c>
      <c r="D10" s="0" t="n">
        <v>4</v>
      </c>
      <c r="E10" s="0" t="n">
        <v>1.56</v>
      </c>
      <c r="F10" s="0" t="n">
        <v>-10.12</v>
      </c>
      <c r="G10" s="2" t="n">
        <v>2.96</v>
      </c>
      <c r="H10" s="0" t="n">
        <v>-5.51</v>
      </c>
      <c r="I10" s="2" t="n">
        <v>2.68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-10.93</v>
      </c>
      <c r="G11" s="2" t="n">
        <v>2.62</v>
      </c>
      <c r="H11" s="0" t="n">
        <v>-5.25</v>
      </c>
      <c r="I11" s="2" t="n">
        <v>2.62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-11.2</v>
      </c>
      <c r="G12" s="2" t="n">
        <v>2.44</v>
      </c>
      <c r="H12" s="0" t="n">
        <v>-5.25</v>
      </c>
      <c r="I12" s="2" t="n">
        <v>2.44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-11.58</v>
      </c>
      <c r="G13" s="2" t="n">
        <v>2.19</v>
      </c>
      <c r="H13" s="0" t="n">
        <v>-5.25</v>
      </c>
      <c r="I13" s="2" t="n">
        <v>2.19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689.28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5.51</v>
      </c>
      <c r="M14" s="2" t="n">
        <v>2.87</v>
      </c>
      <c r="N14" s="0" t="n">
        <v>10.12</v>
      </c>
      <c r="O14" s="2" t="n">
        <v>2.87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5.25</v>
      </c>
      <c r="M15" s="2" t="n">
        <v>2.62</v>
      </c>
      <c r="N15" s="0" t="n">
        <v>10.93</v>
      </c>
      <c r="O15" s="2" t="n">
        <v>2.62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5.25</v>
      </c>
      <c r="M16" s="2" t="n">
        <v>2.44</v>
      </c>
      <c r="N16" s="0" t="n">
        <v>11.2</v>
      </c>
      <c r="O16" s="2" t="n">
        <v>2.44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5.25</v>
      </c>
      <c r="M17" s="2" t="n">
        <v>2.19</v>
      </c>
      <c r="N17" s="0" t="n">
        <v>11.58</v>
      </c>
      <c r="O17" s="2" t="n">
        <v>2.19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701.03</v>
      </c>
      <c r="D18" s="0" t="n">
        <v>4</v>
      </c>
      <c r="E18" s="0" t="n">
        <v>1.56</v>
      </c>
      <c r="F18" s="0" t="n">
        <v>-10.12</v>
      </c>
      <c r="G18" s="2" t="n">
        <v>2.96</v>
      </c>
      <c r="H18" s="0" t="n">
        <v>-5.51</v>
      </c>
      <c r="I18" s="2" t="n">
        <v>2.68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-10.93</v>
      </c>
      <c r="G19" s="2" t="n">
        <v>2.62</v>
      </c>
      <c r="H19" s="0" t="n">
        <v>-5.25</v>
      </c>
      <c r="I19" s="2" t="n">
        <v>2.62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-11.2</v>
      </c>
      <c r="G20" s="2" t="n">
        <v>2.44</v>
      </c>
      <c r="H20" s="0" t="n">
        <v>-5.25</v>
      </c>
      <c r="I20" s="2" t="n">
        <v>2.44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-11.58</v>
      </c>
      <c r="G21" s="2" t="n">
        <v>2.19</v>
      </c>
      <c r="H21" s="0" t="n">
        <v>-5.25</v>
      </c>
      <c r="I21" s="2" t="n">
        <v>2.19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701.03</v>
      </c>
      <c r="D22" s="0" t="n">
        <v>4</v>
      </c>
      <c r="E22" s="0" t="n">
        <v>0.6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5.51</v>
      </c>
      <c r="M22" s="2" t="n">
        <v>2.87</v>
      </c>
      <c r="N22" s="0" t="n">
        <v>10.12</v>
      </c>
      <c r="O22" s="2" t="n">
        <v>2.87</v>
      </c>
      <c r="P22" s="0" t="n">
        <v>0.63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0.03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5.25</v>
      </c>
      <c r="M23" s="2" t="n">
        <v>2.62</v>
      </c>
      <c r="N23" s="0" t="n">
        <v>6.06</v>
      </c>
      <c r="O23" s="2" t="n">
        <v>2.62</v>
      </c>
    </row>
    <row r="24" customFormat="false" ht="15" hidden="false" customHeight="false" outlineLevel="0" collapsed="false">
      <c r="D24" s="0" t="n">
        <v>2</v>
      </c>
      <c r="E24" s="0" t="n">
        <v>0</v>
      </c>
    </row>
    <row r="25" customFormat="false" ht="15" hidden="false" customHeight="false" outlineLevel="0" collapsed="false">
      <c r="D25" s="0" t="n">
        <v>1</v>
      </c>
      <c r="E25" s="0" t="n">
        <v>0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712.78</v>
      </c>
      <c r="D26" s="0" t="n">
        <v>4</v>
      </c>
      <c r="E26" s="0" t="n">
        <v>1.56</v>
      </c>
      <c r="F26" s="0" t="n">
        <v>-10.12</v>
      </c>
      <c r="G26" s="2" t="n">
        <v>2.96</v>
      </c>
      <c r="H26" s="0" t="n">
        <v>-5.51</v>
      </c>
      <c r="I26" s="2" t="n">
        <v>2.68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-10.93</v>
      </c>
      <c r="G27" s="2" t="n">
        <v>2.62</v>
      </c>
      <c r="H27" s="0" t="n">
        <v>-5.25</v>
      </c>
      <c r="I27" s="2" t="n">
        <v>2.62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-11.2</v>
      </c>
      <c r="G28" s="2" t="n">
        <v>2.44</v>
      </c>
      <c r="H28" s="0" t="n">
        <v>-5.25</v>
      </c>
      <c r="I28" s="2" t="n">
        <v>2.44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-11.58</v>
      </c>
      <c r="G29" s="2" t="n">
        <v>2.19</v>
      </c>
      <c r="H29" s="0" t="n">
        <v>-5.25</v>
      </c>
      <c r="I29" s="2" t="n">
        <v>2.19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712.78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5.51</v>
      </c>
      <c r="M30" s="2" t="n">
        <v>2.87</v>
      </c>
      <c r="N30" s="0" t="n">
        <v>10.12</v>
      </c>
      <c r="O30" s="2" t="n">
        <v>2.87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5.25</v>
      </c>
      <c r="M31" s="2" t="n">
        <v>2.62</v>
      </c>
      <c r="N31" s="0" t="n">
        <v>10.93</v>
      </c>
      <c r="O31" s="2" t="n">
        <v>2.62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5.25</v>
      </c>
      <c r="M32" s="2" t="n">
        <v>2.44</v>
      </c>
      <c r="N32" s="0" t="n">
        <v>11.2</v>
      </c>
      <c r="O32" s="2" t="n">
        <v>2.44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5.25</v>
      </c>
      <c r="M33" s="2" t="n">
        <v>2.19</v>
      </c>
      <c r="N33" s="0" t="n">
        <v>11.58</v>
      </c>
      <c r="O33" s="2" t="n">
        <v>2.19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729.78</v>
      </c>
      <c r="D34" s="0" t="n">
        <v>4</v>
      </c>
      <c r="E34" s="0" t="n">
        <v>1.56</v>
      </c>
      <c r="F34" s="0" t="n">
        <v>-10.12</v>
      </c>
      <c r="G34" s="2" t="n">
        <v>2.96</v>
      </c>
      <c r="H34" s="0" t="n">
        <v>-5.51</v>
      </c>
      <c r="I34" s="2" t="n">
        <v>2.68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-10.93</v>
      </c>
      <c r="G35" s="2" t="n">
        <v>2.62</v>
      </c>
      <c r="H35" s="0" t="n">
        <v>-5.25</v>
      </c>
      <c r="I35" s="2" t="n">
        <v>2.62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-11.2</v>
      </c>
      <c r="G36" s="2" t="n">
        <v>2.44</v>
      </c>
      <c r="H36" s="0" t="n">
        <v>-5.25</v>
      </c>
      <c r="I36" s="2" t="n">
        <v>2.44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-11.58</v>
      </c>
      <c r="G37" s="2" t="n">
        <v>2.19</v>
      </c>
      <c r="H37" s="0" t="n">
        <v>-5.25</v>
      </c>
      <c r="I37" s="2" t="n">
        <v>2.19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729.78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5.51</v>
      </c>
      <c r="M38" s="2" t="n">
        <v>2.87</v>
      </c>
      <c r="N38" s="0" t="n">
        <v>10.12</v>
      </c>
      <c r="O38" s="2" t="n">
        <v>2.87</v>
      </c>
      <c r="P38" s="0" t="n">
        <v>4.88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5.25</v>
      </c>
      <c r="M39" s="2" t="n">
        <v>2.62</v>
      </c>
      <c r="N39" s="0" t="n">
        <v>10.93</v>
      </c>
      <c r="O39" s="2" t="n">
        <v>2.62</v>
      </c>
    </row>
    <row r="40" customFormat="false" ht="15" hidden="false" customHeight="false" outlineLevel="0" collapsed="false">
      <c r="D40" s="0" t="n">
        <v>2</v>
      </c>
      <c r="E40" s="0" t="n">
        <v>1.35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5.25</v>
      </c>
      <c r="M40" s="2" t="n">
        <v>2.44</v>
      </c>
      <c r="N40" s="0" t="n">
        <v>11.2</v>
      </c>
      <c r="O40" s="2" t="n">
        <v>2.44</v>
      </c>
    </row>
    <row r="41" customFormat="false" ht="15" hidden="false" customHeight="false" outlineLevel="0" collapsed="false">
      <c r="D41" s="0" t="n">
        <v>1</v>
      </c>
      <c r="E41" s="0" t="n">
        <v>0.92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5.25</v>
      </c>
      <c r="M41" s="2" t="n">
        <v>2.19</v>
      </c>
      <c r="N41" s="0" t="n">
        <v>9.06</v>
      </c>
      <c r="O41" s="2" t="n">
        <v>2.19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746.82</v>
      </c>
      <c r="D42" s="0" t="n">
        <v>4</v>
      </c>
      <c r="E42" s="0" t="n">
        <v>1.56</v>
      </c>
      <c r="F42" s="0" t="n">
        <v>-10.12</v>
      </c>
      <c r="G42" s="2" t="n">
        <v>2.96</v>
      </c>
      <c r="H42" s="0" t="n">
        <v>-5.51</v>
      </c>
      <c r="I42" s="2" t="n">
        <v>2.68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-10.93</v>
      </c>
      <c r="G43" s="2" t="n">
        <v>2.62</v>
      </c>
      <c r="H43" s="0" t="n">
        <v>-5.25</v>
      </c>
      <c r="I43" s="2" t="n">
        <v>2.62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-11.2</v>
      </c>
      <c r="G44" s="2" t="n">
        <v>2.44</v>
      </c>
      <c r="H44" s="0" t="n">
        <v>-5.25</v>
      </c>
      <c r="I44" s="2" t="n">
        <v>2.44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-11.58</v>
      </c>
      <c r="G45" s="2" t="n">
        <v>2.19</v>
      </c>
      <c r="H45" s="0" t="n">
        <v>-5.25</v>
      </c>
      <c r="I45" s="2" t="n">
        <v>2.19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746.82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5.51</v>
      </c>
      <c r="M46" s="2" t="n">
        <v>2.87</v>
      </c>
      <c r="N46" s="0" t="n">
        <v>10.12</v>
      </c>
      <c r="O46" s="2" t="n">
        <v>2.87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5.25</v>
      </c>
      <c r="M47" s="2" t="n">
        <v>2.62</v>
      </c>
      <c r="N47" s="0" t="n">
        <v>10.93</v>
      </c>
      <c r="O47" s="2" t="n">
        <v>2.62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5.25</v>
      </c>
      <c r="M48" s="2" t="n">
        <v>2.44</v>
      </c>
      <c r="N48" s="0" t="n">
        <v>11.2</v>
      </c>
      <c r="O48" s="2" t="n">
        <v>2.44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5.25</v>
      </c>
      <c r="M49" s="2" t="n">
        <v>2.19</v>
      </c>
      <c r="N49" s="0" t="n">
        <v>11.58</v>
      </c>
      <c r="O49" s="2" t="n">
        <v>2.19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5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74.NĐXD4/CVXD ngày 21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74</v>
      </c>
    </row>
    <row r="3" customFormat="false" ht="18.75" hidden="false" customHeight="true" outlineLevel="0" collapsed="false">
      <c r="A3" s="6" t="s">
        <v>26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27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28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29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30</v>
      </c>
      <c r="B7" s="7"/>
      <c r="C7" s="6"/>
      <c r="D7" s="6" t="str">
        <f>VLOOKUP(AZ2,'[1]Tuyến XD4'!$A$2:$B$60,2,0)</f>
        <v xml:space="preserve">Đắp đất lề đường lớp 1, độ chặt K&gt;=0,95 đoạn từ Km0+672,28 - Km0+746,82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32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0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672.28</v>
      </c>
      <c r="D21" s="16" t="n">
        <f aca="false">Chạy!G5</f>
        <v>2.19</v>
      </c>
      <c r="E21" s="16" t="n">
        <f aca="false">D21+F21</f>
        <v>2.284</v>
      </c>
      <c r="F21" s="16" t="n">
        <f aca="false">RANDBETWEEN(-30,100)/1000</f>
        <v>0.094</v>
      </c>
      <c r="G21" s="16" t="n">
        <f aca="false">Chạy!I5</f>
        <v>2.19</v>
      </c>
      <c r="H21" s="16" t="n">
        <f aca="false">G21+I21</f>
        <v>2.172</v>
      </c>
      <c r="I21" s="16" t="n">
        <f aca="false">RANDBETWEEN(-30,100)/1000</f>
        <v>-0.018</v>
      </c>
      <c r="J21" s="16" t="n">
        <f aca="false">Chạy!M9</f>
        <v>2.19</v>
      </c>
      <c r="K21" s="16" t="n">
        <f aca="false">J21+L21</f>
        <v>2.283</v>
      </c>
      <c r="L21" s="16" t="n">
        <f aca="false">RANDBETWEEN(-30,100)/1000</f>
        <v>0.093</v>
      </c>
      <c r="M21" s="16" t="n">
        <f aca="false">Chạy!O9</f>
        <v>2.19</v>
      </c>
      <c r="N21" s="16" t="n">
        <f aca="false">M21+O21</f>
        <v>2.168</v>
      </c>
      <c r="O21" s="16" t="n">
        <f aca="false">RANDBETWEEN(-30,100)/1000</f>
        <v>-0.022</v>
      </c>
      <c r="P21" s="17"/>
      <c r="Q21" s="18" t="n">
        <v>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689.28</v>
      </c>
      <c r="D22" s="16" t="n">
        <f aca="false">Chạy!G13</f>
        <v>2.19</v>
      </c>
      <c r="E22" s="16" t="n">
        <f aca="false">D22+F22</f>
        <v>2.273</v>
      </c>
      <c r="F22" s="16" t="n">
        <f aca="false">RANDBETWEEN(-30,100)/1000</f>
        <v>0.083</v>
      </c>
      <c r="G22" s="16" t="n">
        <f aca="false">Chạy!I13</f>
        <v>2.19</v>
      </c>
      <c r="H22" s="16" t="n">
        <f aca="false">G22+I22</f>
        <v>2.167</v>
      </c>
      <c r="I22" s="16" t="n">
        <f aca="false">RANDBETWEEN(-30,100)/1000</f>
        <v>-0.023</v>
      </c>
      <c r="J22" s="16" t="n">
        <f aca="false">Chạy!M17</f>
        <v>2.19</v>
      </c>
      <c r="K22" s="16" t="n">
        <f aca="false">J22+L22</f>
        <v>2.227</v>
      </c>
      <c r="L22" s="16" t="n">
        <f aca="false">RANDBETWEEN(-30,100)/1000</f>
        <v>0.037</v>
      </c>
      <c r="M22" s="16" t="n">
        <f aca="false">Chạy!O17</f>
        <v>2.19</v>
      </c>
      <c r="N22" s="16" t="n">
        <f aca="false">M22+O22</f>
        <v>2.241</v>
      </c>
      <c r="O22" s="16" t="n">
        <f aca="false">RANDBETWEEN(-30,100)/1000</f>
        <v>0.051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701.03</v>
      </c>
      <c r="D23" s="16" t="n">
        <f aca="false">Chạy!G21</f>
        <v>2.19</v>
      </c>
      <c r="E23" s="16" t="n">
        <f aca="false">D23+F23</f>
        <v>2.21</v>
      </c>
      <c r="F23" s="16" t="n">
        <f aca="false">RANDBETWEEN(-30,100)/1000</f>
        <v>0.02</v>
      </c>
      <c r="G23" s="16" t="n">
        <f aca="false">Chạy!I21</f>
        <v>2.19</v>
      </c>
      <c r="H23" s="16" t="n">
        <f aca="false">G23+I23</f>
        <v>2.271</v>
      </c>
      <c r="I23" s="16" t="n">
        <f aca="false">RANDBETWEEN(-30,100)/1000</f>
        <v>0.081</v>
      </c>
      <c r="J23" s="16"/>
      <c r="K23" s="16"/>
      <c r="L23" s="16"/>
      <c r="M23" s="16"/>
      <c r="N23" s="16"/>
      <c r="O23" s="16"/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712.78</v>
      </c>
      <c r="D24" s="16" t="n">
        <f aca="false">Chạy!G29</f>
        <v>2.19</v>
      </c>
      <c r="E24" s="16" t="n">
        <f aca="false">D24+F24</f>
        <v>2.219</v>
      </c>
      <c r="F24" s="16" t="n">
        <f aca="false">RANDBETWEEN(-30,100)/1000</f>
        <v>0.029</v>
      </c>
      <c r="G24" s="16" t="n">
        <f aca="false">Chạy!I29</f>
        <v>2.19</v>
      </c>
      <c r="H24" s="16" t="n">
        <f aca="false">G24+I24</f>
        <v>2.283</v>
      </c>
      <c r="I24" s="16" t="n">
        <f aca="false">RANDBETWEEN(-30,100)/1000</f>
        <v>0.093</v>
      </c>
      <c r="J24" s="16" t="n">
        <f aca="false">Chạy!M33</f>
        <v>2.19</v>
      </c>
      <c r="K24" s="16" t="n">
        <f aca="false">J24+L24</f>
        <v>2.286</v>
      </c>
      <c r="L24" s="16" t="n">
        <f aca="false">RANDBETWEEN(-30,100)/1000</f>
        <v>0.096</v>
      </c>
      <c r="M24" s="16" t="n">
        <f aca="false">Chạy!O33</f>
        <v>2.19</v>
      </c>
      <c r="N24" s="16" t="n">
        <f aca="false">M24+O24</f>
        <v>2.172</v>
      </c>
      <c r="O24" s="16" t="n">
        <f aca="false">RANDBETWEEN(-30,100)/1000</f>
        <v>-0.018</v>
      </c>
      <c r="P24" s="17"/>
      <c r="Q24" s="18" t="n">
        <v>17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729.78</v>
      </c>
      <c r="D25" s="16" t="n">
        <f aca="false">Chạy!G37</f>
        <v>2.19</v>
      </c>
      <c r="E25" s="16" t="n">
        <f aca="false">D25+F25</f>
        <v>2.262</v>
      </c>
      <c r="F25" s="16" t="n">
        <f aca="false">RANDBETWEEN(-30,100)/1000</f>
        <v>0.072</v>
      </c>
      <c r="G25" s="16" t="n">
        <f aca="false">Chạy!I37</f>
        <v>2.19</v>
      </c>
      <c r="H25" s="16" t="n">
        <f aca="false">G25+I25</f>
        <v>2.289</v>
      </c>
      <c r="I25" s="16" t="n">
        <f aca="false">RANDBETWEEN(-30,100)/1000</f>
        <v>0.099</v>
      </c>
      <c r="J25" s="16" t="n">
        <f aca="false">Chạy!M41</f>
        <v>2.19</v>
      </c>
      <c r="K25" s="16" t="n">
        <f aca="false">J25+L25</f>
        <v>2.229</v>
      </c>
      <c r="L25" s="16" t="n">
        <f aca="false">RANDBETWEEN(-30,100)/1000</f>
        <v>0.039</v>
      </c>
      <c r="M25" s="16" t="n">
        <f aca="false">Chạy!O41</f>
        <v>2.19</v>
      </c>
      <c r="N25" s="16" t="n">
        <f aca="false">M25+O25</f>
        <v>2.244</v>
      </c>
      <c r="O25" s="16" t="n">
        <f aca="false">RANDBETWEEN(-30,100)/1000</f>
        <v>0.054</v>
      </c>
      <c r="P25" s="17"/>
      <c r="Q25" s="18" t="n">
        <v>17.04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746.82</v>
      </c>
      <c r="D26" s="16" t="n">
        <f aca="false">Chạy!G45</f>
        <v>2.19</v>
      </c>
      <c r="E26" s="16" t="n">
        <f aca="false">D26+F26</f>
        <v>2.285</v>
      </c>
      <c r="F26" s="16" t="n">
        <f aca="false">RANDBETWEEN(-30,100)/1000</f>
        <v>0.095</v>
      </c>
      <c r="G26" s="16" t="n">
        <f aca="false">Chạy!I45</f>
        <v>2.19</v>
      </c>
      <c r="H26" s="16" t="n">
        <f aca="false">G26+I26</f>
        <v>2.27</v>
      </c>
      <c r="I26" s="16" t="n">
        <f aca="false">RANDBETWEEN(-30,100)/1000</f>
        <v>0.08</v>
      </c>
      <c r="J26" s="16" t="n">
        <f aca="false">Chạy!M49</f>
        <v>2.19</v>
      </c>
      <c r="K26" s="16" t="n">
        <f aca="false">J26+L26</f>
        <v>2.214</v>
      </c>
      <c r="L26" s="16" t="n">
        <f aca="false">RANDBETWEEN(-30,100)/1000</f>
        <v>0.024</v>
      </c>
      <c r="M26" s="16" t="n">
        <f aca="false">Chạy!O49</f>
        <v>2.19</v>
      </c>
      <c r="N26" s="16" t="n">
        <f aca="false">M26+O26</f>
        <v>2.261</v>
      </c>
      <c r="O26" s="16" t="n">
        <f aca="false">RANDBETWEEN(-30,100)/1000</f>
        <v>0.071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74.NĐXD4/CVXD ngày 21 tháng 09 năm 2026</v>
      </c>
      <c r="B2" s="27"/>
      <c r="C2" s="27"/>
      <c r="D2" s="27"/>
      <c r="E2" s="27"/>
      <c r="F2" s="27"/>
      <c r="G2" s="27"/>
      <c r="AZ2">
        <v>74</v>
      </c>
    </row>
    <row r="3" s="3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30</v>
      </c>
      <c r="B7" s="32"/>
      <c r="C7" s="33"/>
      <c r="D7" s="34" t="str">
        <f>VLOOKUP(AZ2,'[1]Tuyến XD4'!$A$2:$B$60,2,0)</f>
        <v xml:space="preserve">Đắp đất lề đường lớp 1, độ chặt K&gt;=0,95 đoạn từ Km0+672,28 - Km0+746,82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38</v>
      </c>
      <c r="C11" s="15" t="n">
        <f aca="false">'1. KTHH L1'!C21</f>
        <v>672.28</v>
      </c>
      <c r="D11" s="13" t="n">
        <f aca="false">'1. KTHH L1'!Q21</f>
        <v>17</v>
      </c>
      <c r="E11" s="42" t="n">
        <f aca="false">Chạy!E5+Chạy!E9</f>
        <v>3.26</v>
      </c>
      <c r="F11" s="43" t="n">
        <f aca="false">(E11+E12)*D11/2</f>
        <v>55.42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39</v>
      </c>
      <c r="C12" s="15" t="n">
        <f aca="false">'1. KTHH L1'!C22</f>
        <v>689.28</v>
      </c>
      <c r="D12" s="13" t="n">
        <f aca="false">'1. KTHH L1'!Q22</f>
        <v>11.75</v>
      </c>
      <c r="E12" s="42" t="n">
        <f aca="false">Chạy!E13+Chạy!E17</f>
        <v>3.26</v>
      </c>
      <c r="F12" s="43" t="n">
        <f aca="false">(E12+E13)*D12/2</f>
        <v>28.72875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F2</v>
      </c>
      <c r="C13" s="15" t="n">
        <f aca="false">'1. KTHH L1'!C23</f>
        <v>701.03</v>
      </c>
      <c r="D13" s="13" t="n">
        <f aca="false">'1. KTHH L1'!Q23</f>
        <v>11.75</v>
      </c>
      <c r="E13" s="42" t="n">
        <f aca="false">Chạy!E21+Chạy!E25</f>
        <v>1.63</v>
      </c>
      <c r="F13" s="43" t="n">
        <f aca="false">(E13+E14)*D13/2</f>
        <v>28.72875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40</v>
      </c>
      <c r="C14" s="15" t="n">
        <f aca="false">'1. KTHH L1'!C24</f>
        <v>712.78</v>
      </c>
      <c r="D14" s="13" t="n">
        <f aca="false">'1. KTHH L1'!Q24</f>
        <v>17</v>
      </c>
      <c r="E14" s="42" t="n">
        <f aca="false">Chạy!E29+Chạy!E33</f>
        <v>3.26</v>
      </c>
      <c r="F14" s="43" t="n">
        <f aca="false">(E14+E15)*D14/2</f>
        <v>49.385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41</v>
      </c>
      <c r="C15" s="15" t="n">
        <f aca="false">'1. KTHH L1'!C25</f>
        <v>729.78</v>
      </c>
      <c r="D15" s="13" t="n">
        <f aca="false">'1. KTHH L1'!Q25</f>
        <v>17.04</v>
      </c>
      <c r="E15" s="42" t="n">
        <f aca="false">Chạy!E37+Chạy!E41</f>
        <v>2.55</v>
      </c>
      <c r="F15" s="43" t="n">
        <f aca="false">(E15+E16)*D15/2</f>
        <v>49.5012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42</v>
      </c>
      <c r="C16" s="15" t="n">
        <f aca="false">'1. KTHH L1'!C26</f>
        <v>746.82</v>
      </c>
      <c r="D16" s="13"/>
      <c r="E16" s="42" t="n">
        <f aca="false">Chạy!E45+Chạy!E49</f>
        <v>3.26</v>
      </c>
      <c r="F16" s="43"/>
      <c r="G16" s="44"/>
      <c r="I16" s="45"/>
      <c r="J16" s="45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I17" s="45"/>
      <c r="J17" s="45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I18" s="45"/>
      <c r="J18" s="45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I19" s="45"/>
      <c r="J19" s="45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I20" s="45"/>
      <c r="J20" s="45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I21" s="45"/>
      <c r="J21" s="45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I22" s="45"/>
      <c r="J22" s="45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I23" s="45"/>
      <c r="J23" s="45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I24" s="45"/>
      <c r="J24" s="45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I25" s="45"/>
      <c r="J25" s="45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I26" s="45"/>
      <c r="J26" s="45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I27" s="45"/>
      <c r="J27" s="45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I28" s="45"/>
      <c r="J28" s="45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I29" s="45"/>
      <c r="J29" s="45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I30" s="45"/>
      <c r="J30" s="45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I31" s="45"/>
      <c r="J31" s="45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I32" s="45"/>
      <c r="J32" s="45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I33" s="45"/>
      <c r="J33" s="45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I34" s="45"/>
      <c r="J34" s="45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I35" s="45"/>
      <c r="J35" s="45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I36" s="45"/>
      <c r="J36" s="45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I37" s="45"/>
      <c r="J37" s="45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I38" s="45"/>
      <c r="J38" s="45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I39" s="45"/>
      <c r="J39" s="45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I40" s="45"/>
      <c r="J40" s="45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I41" s="45"/>
      <c r="J41" s="45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I42" s="45"/>
      <c r="J42" s="45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I43" s="45"/>
      <c r="J43" s="45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I44" s="45"/>
      <c r="J44" s="45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I45" s="45"/>
      <c r="J45" s="45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I46" s="45"/>
      <c r="J46" s="45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I47" s="45"/>
      <c r="J47" s="45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I48" s="45"/>
      <c r="J48" s="45"/>
    </row>
    <row r="49" s="50" customFormat="true" ht="15" hidden="false" customHeight="true" outlineLevel="0" collapsed="false">
      <c r="A49" s="46" t="s">
        <v>52</v>
      </c>
      <c r="B49" s="46"/>
      <c r="C49" s="46"/>
      <c r="D49" s="46"/>
      <c r="E49" s="47"/>
      <c r="F49" s="48" t="n">
        <f aca="false">SUM(F11:F16)</f>
        <v>211.7637</v>
      </c>
      <c r="G49" s="49"/>
      <c r="I49" s="51"/>
      <c r="J49" s="52"/>
      <c r="K49" s="52"/>
      <c r="L49" s="52"/>
      <c r="M49" s="53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  <c r="H50" s="55"/>
      <c r="J50" s="56"/>
      <c r="K50" s="56"/>
      <c r="L50" s="56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s="39" customFormat="true" ht="15" hidden="false" customHeight="true" outlineLevel="0" collapsed="false">
      <c r="A58" s="41"/>
      <c r="B58" s="41"/>
      <c r="C58" s="41"/>
      <c r="D58" s="41"/>
      <c r="E58" s="41"/>
      <c r="F58" s="41"/>
      <c r="G58" s="41"/>
    </row>
    <row r="59" s="39" customFormat="true" ht="15" hidden="false" customHeight="true" outlineLevel="0" collapsed="false">
      <c r="A59" s="41"/>
      <c r="B59" s="41"/>
      <c r="C59" s="41"/>
      <c r="D59" s="41"/>
      <c r="E59" s="41"/>
      <c r="F59" s="41"/>
      <c r="G59" s="41"/>
    </row>
    <row r="60" s="39" customFormat="true" ht="15" hidden="false" customHeight="true" outlineLevel="0" collapsed="false">
      <c r="A60" s="41"/>
      <c r="B60" s="41"/>
      <c r="C60" s="41"/>
      <c r="D60" s="41"/>
      <c r="E60" s="41"/>
      <c r="F60" s="41"/>
      <c r="G60" s="41"/>
    </row>
    <row r="61" s="39" customFormat="true" ht="15" hidden="false" customHeight="true" outlineLevel="0" collapsed="false">
      <c r="A61" s="41"/>
      <c r="B61" s="41"/>
      <c r="C61" s="41"/>
      <c r="D61" s="41"/>
      <c r="E61" s="41"/>
      <c r="F61" s="41"/>
      <c r="G61" s="41"/>
    </row>
    <row r="62" s="39" customFormat="true" ht="15" hidden="false" customHeight="true" outlineLevel="0" collapsed="false">
      <c r="A62" s="41"/>
      <c r="B62" s="41"/>
      <c r="C62" s="41"/>
      <c r="D62" s="41"/>
      <c r="E62" s="41"/>
      <c r="F62" s="41"/>
      <c r="G62" s="41"/>
    </row>
    <row r="63" s="39" customFormat="true" ht="15" hidden="false" customHeight="true" outlineLevel="0" collapsed="false">
      <c r="A63" s="41"/>
      <c r="B63" s="41"/>
      <c r="C63" s="41"/>
      <c r="D63" s="41"/>
      <c r="E63" s="41"/>
      <c r="F63" s="41"/>
      <c r="G63" s="41"/>
    </row>
    <row r="64" s="39" customFormat="true" ht="15" hidden="false" customHeight="true" outlineLevel="0" collapsed="false">
      <c r="A64" s="41"/>
      <c r="B64" s="41"/>
      <c r="C64" s="41"/>
      <c r="D64" s="41"/>
      <c r="E64" s="41"/>
      <c r="F64" s="41"/>
      <c r="G64" s="41"/>
    </row>
    <row r="65" s="39" customFormat="true" ht="15" hidden="false" customHeight="true" outlineLevel="0" collapsed="false">
      <c r="A65" s="41"/>
      <c r="B65" s="41"/>
      <c r="C65" s="41"/>
      <c r="D65" s="41"/>
      <c r="E65" s="41"/>
      <c r="F65" s="41"/>
      <c r="G65" s="41"/>
    </row>
    <row r="66" s="39" customFormat="true" ht="15" hidden="false" customHeight="true" outlineLevel="0" collapsed="false">
      <c r="A66" s="41"/>
      <c r="B66" s="41"/>
      <c r="C66" s="41"/>
      <c r="D66" s="41"/>
      <c r="E66" s="41"/>
      <c r="F66" s="41"/>
      <c r="G66" s="41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76.NĐXD4/CVXD ngày 22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76</v>
      </c>
    </row>
    <row r="3" customFormat="false" ht="18.75" hidden="false" customHeight="true" outlineLevel="0" collapsed="false">
      <c r="A3" s="6" t="s">
        <v>26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27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28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29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30</v>
      </c>
      <c r="B7" s="7"/>
      <c r="C7" s="6"/>
      <c r="D7" s="6" t="str">
        <f>VLOOKUP(AZ2,'[1]Tuyến XD4'!$A$2:$B$60,2,0)</f>
        <v xml:space="preserve">Đắp đất lề đường lớp 2, độ chặt K&gt;=0,95 đoạn từ Km0+672,28 - Km0+746,82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32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3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672.28</v>
      </c>
      <c r="D21" s="16" t="n">
        <f aca="false">Chạy!G4</f>
        <v>2.44</v>
      </c>
      <c r="E21" s="16" t="n">
        <f aca="false">D21+F21</f>
        <v>2.473</v>
      </c>
      <c r="F21" s="16" t="n">
        <f aca="false">RANDBETWEEN(-30,100)/1000</f>
        <v>0.033</v>
      </c>
      <c r="G21" s="16" t="n">
        <f aca="false">Chạy!I4</f>
        <v>2.44</v>
      </c>
      <c r="H21" s="16" t="n">
        <f aca="false">G21+I21</f>
        <v>2.454</v>
      </c>
      <c r="I21" s="16" t="n">
        <f aca="false">RANDBETWEEN(-30,100)/1000</f>
        <v>0.014</v>
      </c>
      <c r="J21" s="16" t="n">
        <f aca="false">Chạy!M8</f>
        <v>2.44</v>
      </c>
      <c r="K21" s="16" t="n">
        <f aca="false">J21+L21</f>
        <v>2.439</v>
      </c>
      <c r="L21" s="16" t="n">
        <f aca="false">RANDBETWEEN(-30,100)/1000</f>
        <v>-0.001</v>
      </c>
      <c r="M21" s="16" t="n">
        <f aca="false">Chạy!O8</f>
        <v>2.44</v>
      </c>
      <c r="N21" s="16" t="n">
        <f aca="false">M21+O21</f>
        <v>2.493</v>
      </c>
      <c r="O21" s="16" t="n">
        <f aca="false">RANDBETWEEN(-30,100)/1000</f>
        <v>0.053</v>
      </c>
      <c r="P21" s="17"/>
      <c r="Q21" s="18" t="n">
        <v>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689.28</v>
      </c>
      <c r="D22" s="16" t="n">
        <f aca="false">Chạy!G12</f>
        <v>2.44</v>
      </c>
      <c r="E22" s="16" t="n">
        <f aca="false">D22+F22</f>
        <v>2.441</v>
      </c>
      <c r="F22" s="16" t="n">
        <f aca="false">RANDBETWEEN(-30,100)/1000</f>
        <v>0.001</v>
      </c>
      <c r="G22" s="16" t="n">
        <f aca="false">Chạy!I12</f>
        <v>2.44</v>
      </c>
      <c r="H22" s="16" t="n">
        <f aca="false">G22+I22</f>
        <v>2.482</v>
      </c>
      <c r="I22" s="16" t="n">
        <f aca="false">RANDBETWEEN(-30,100)/1000</f>
        <v>0.042</v>
      </c>
      <c r="J22" s="16" t="n">
        <f aca="false">Chạy!M16</f>
        <v>2.44</v>
      </c>
      <c r="K22" s="16" t="n">
        <f aca="false">J22+L22</f>
        <v>2.532</v>
      </c>
      <c r="L22" s="16" t="n">
        <f aca="false">RANDBETWEEN(-30,100)/1000</f>
        <v>0.092</v>
      </c>
      <c r="M22" s="16" t="n">
        <f aca="false">Chạy!O16</f>
        <v>2.44</v>
      </c>
      <c r="N22" s="16" t="n">
        <f aca="false">M22+O22</f>
        <v>2.492</v>
      </c>
      <c r="O22" s="16" t="n">
        <f aca="false">RANDBETWEEN(-30,100)/1000</f>
        <v>0.052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701.03</v>
      </c>
      <c r="D23" s="16" t="n">
        <f aca="false">Chạy!G20</f>
        <v>2.44</v>
      </c>
      <c r="E23" s="16" t="n">
        <f aca="false">D23+F23</f>
        <v>2.427</v>
      </c>
      <c r="F23" s="16" t="n">
        <f aca="false">RANDBETWEEN(-30,100)/1000</f>
        <v>-0.013</v>
      </c>
      <c r="G23" s="16" t="n">
        <f aca="false">Chạy!I20</f>
        <v>2.44</v>
      </c>
      <c r="H23" s="16" t="n">
        <f aca="false">G23+I23</f>
        <v>2.447</v>
      </c>
      <c r="I23" s="16" t="n">
        <f aca="false">RANDBETWEEN(-30,100)/1000</f>
        <v>0.007</v>
      </c>
      <c r="J23" s="16"/>
      <c r="K23" s="16"/>
      <c r="L23" s="16"/>
      <c r="M23" s="16"/>
      <c r="N23" s="16"/>
      <c r="O23" s="16"/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712.78</v>
      </c>
      <c r="D24" s="16" t="n">
        <f aca="false">Chạy!G28</f>
        <v>2.44</v>
      </c>
      <c r="E24" s="16" t="n">
        <f aca="false">D24+F24</f>
        <v>2.482</v>
      </c>
      <c r="F24" s="16" t="n">
        <f aca="false">RANDBETWEEN(-30,100)/1000</f>
        <v>0.042</v>
      </c>
      <c r="G24" s="16" t="n">
        <f aca="false">Chạy!I28</f>
        <v>2.44</v>
      </c>
      <c r="H24" s="16" t="n">
        <f aca="false">G24+I24</f>
        <v>2.415</v>
      </c>
      <c r="I24" s="16" t="n">
        <f aca="false">RANDBETWEEN(-30,100)/1000</f>
        <v>-0.025</v>
      </c>
      <c r="J24" s="16" t="n">
        <f aca="false">Chạy!M32</f>
        <v>2.44</v>
      </c>
      <c r="K24" s="16" t="n">
        <f aca="false">J24+L24</f>
        <v>2.452</v>
      </c>
      <c r="L24" s="16" t="n">
        <f aca="false">RANDBETWEEN(-30,100)/1000</f>
        <v>0.012</v>
      </c>
      <c r="M24" s="16" t="n">
        <f aca="false">Chạy!O32</f>
        <v>2.44</v>
      </c>
      <c r="N24" s="16" t="n">
        <f aca="false">M24+O24</f>
        <v>2.427</v>
      </c>
      <c r="O24" s="16" t="n">
        <f aca="false">RANDBETWEEN(-30,100)/1000</f>
        <v>-0.013</v>
      </c>
      <c r="P24" s="17"/>
      <c r="Q24" s="18" t="n">
        <v>17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729.78</v>
      </c>
      <c r="D25" s="16" t="n">
        <f aca="false">Chạy!G36</f>
        <v>2.44</v>
      </c>
      <c r="E25" s="16" t="n">
        <f aca="false">D25+F25</f>
        <v>2.487</v>
      </c>
      <c r="F25" s="16" t="n">
        <f aca="false">RANDBETWEEN(-30,100)/1000</f>
        <v>0.047</v>
      </c>
      <c r="G25" s="16" t="n">
        <f aca="false">Chạy!I36</f>
        <v>2.44</v>
      </c>
      <c r="H25" s="16" t="n">
        <f aca="false">G25+I25</f>
        <v>2.466</v>
      </c>
      <c r="I25" s="16" t="n">
        <f aca="false">RANDBETWEEN(-30,100)/1000</f>
        <v>0.026</v>
      </c>
      <c r="J25" s="16" t="n">
        <f aca="false">Chạy!M40</f>
        <v>2.44</v>
      </c>
      <c r="K25" s="16" t="n">
        <f aca="false">J25+L25</f>
        <v>2.506</v>
      </c>
      <c r="L25" s="16" t="n">
        <f aca="false">RANDBETWEEN(-30,100)/1000</f>
        <v>0.066</v>
      </c>
      <c r="M25" s="16" t="n">
        <f aca="false">Chạy!O40</f>
        <v>2.44</v>
      </c>
      <c r="N25" s="16" t="n">
        <f aca="false">M25+O25</f>
        <v>2.54</v>
      </c>
      <c r="O25" s="16" t="n">
        <f aca="false">RANDBETWEEN(-30,100)/1000</f>
        <v>0.1</v>
      </c>
      <c r="P25" s="17"/>
      <c r="Q25" s="18" t="n">
        <v>17.04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746.82</v>
      </c>
      <c r="D26" s="16" t="n">
        <f aca="false">Chạy!G44</f>
        <v>2.44</v>
      </c>
      <c r="E26" s="16" t="n">
        <f aca="false">D26+F26</f>
        <v>2.519</v>
      </c>
      <c r="F26" s="16" t="n">
        <f aca="false">RANDBETWEEN(-30,100)/1000</f>
        <v>0.079</v>
      </c>
      <c r="G26" s="16" t="n">
        <f aca="false">Chạy!I44</f>
        <v>2.44</v>
      </c>
      <c r="H26" s="16" t="n">
        <f aca="false">G26+I26</f>
        <v>2.472</v>
      </c>
      <c r="I26" s="16" t="n">
        <f aca="false">RANDBETWEEN(-30,100)/1000</f>
        <v>0.032</v>
      </c>
      <c r="J26" s="16" t="n">
        <f aca="false">Chạy!M48</f>
        <v>2.44</v>
      </c>
      <c r="K26" s="16" t="n">
        <f aca="false">J26+L26</f>
        <v>2.517</v>
      </c>
      <c r="L26" s="16" t="n">
        <f aca="false">RANDBETWEEN(-30,100)/1000</f>
        <v>0.077</v>
      </c>
      <c r="M26" s="16" t="n">
        <f aca="false">Chạy!O48</f>
        <v>2.44</v>
      </c>
      <c r="N26" s="16" t="n">
        <f aca="false">M26+O26</f>
        <v>2.444</v>
      </c>
      <c r="O26" s="16" t="n">
        <f aca="false">RANDBETWEEN(-30,100)/1000</f>
        <v>0.004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76.NĐXD4/CVXD ngày 22 tháng 09 năm 2026</v>
      </c>
      <c r="B2" s="27"/>
      <c r="C2" s="27"/>
      <c r="D2" s="27"/>
      <c r="E2" s="27"/>
      <c r="F2" s="27"/>
      <c r="G2" s="27"/>
      <c r="AZ2">
        <v>76</v>
      </c>
    </row>
    <row r="3" s="3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30</v>
      </c>
      <c r="B7" s="32"/>
      <c r="C7" s="33"/>
      <c r="D7" s="34" t="str">
        <f>VLOOKUP(AZ2,'[1]Tuyến XD4'!$A$2:$B$60,2,0)</f>
        <v xml:space="preserve">Đắp đất lề đường lớp 2, độ chặt K&gt;=0,95 đoạn từ Km0+672,28 - Km0+746,82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0" customFormat="true" ht="14.2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38</v>
      </c>
      <c r="C11" s="15" t="n">
        <f aca="false">'1. KTHH L2'!C21</f>
        <v>672.28</v>
      </c>
      <c r="D11" s="13" t="n">
        <f aca="false">'1. KTHH L2'!Q21</f>
        <v>17</v>
      </c>
      <c r="E11" s="42" t="n">
        <f aca="false">Chạy!E4+Chạy!E8</f>
        <v>3.06</v>
      </c>
      <c r="F11" s="43" t="n">
        <f aca="false">(E11+E12)*D11/2</f>
        <v>52.02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39</v>
      </c>
      <c r="C12" s="15" t="n">
        <f aca="false">'1. KTHH L2'!C22</f>
        <v>689.28</v>
      </c>
      <c r="D12" s="13" t="n">
        <f aca="false">'1. KTHH L2'!Q22</f>
        <v>11.75</v>
      </c>
      <c r="E12" s="42" t="n">
        <f aca="false">Chạy!E12+Chạy!E16</f>
        <v>3.06</v>
      </c>
      <c r="F12" s="43" t="n">
        <f aca="false">(E12+E13)*D12/2</f>
        <v>26.96625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F2</v>
      </c>
      <c r="C13" s="15" t="n">
        <f aca="false">'1. KTHH L2'!C23</f>
        <v>701.03</v>
      </c>
      <c r="D13" s="13" t="n">
        <f aca="false">'1. KTHH L2'!Q23</f>
        <v>11.75</v>
      </c>
      <c r="E13" s="42" t="n">
        <f aca="false">Chạy!E20+Chạy!E24</f>
        <v>1.53</v>
      </c>
      <c r="F13" s="43" t="n">
        <f aca="false">(E13+E14)*D13/2</f>
        <v>26.96625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40</v>
      </c>
      <c r="C14" s="15" t="n">
        <f aca="false">'1. KTHH L2'!C24</f>
        <v>712.78</v>
      </c>
      <c r="D14" s="13" t="n">
        <f aca="false">'1. KTHH L2'!Q24</f>
        <v>17</v>
      </c>
      <c r="E14" s="42" t="n">
        <f aca="false">Chạy!E28+Chạy!E32</f>
        <v>3.06</v>
      </c>
      <c r="F14" s="43" t="n">
        <f aca="false">(E14+E15)*D14/2</f>
        <v>50.49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41</v>
      </c>
      <c r="C15" s="15" t="n">
        <f aca="false">'1. KTHH L2'!C25</f>
        <v>729.78</v>
      </c>
      <c r="D15" s="13" t="n">
        <f aca="false">'1. KTHH L2'!Q25</f>
        <v>17.04</v>
      </c>
      <c r="E15" s="42" t="n">
        <f aca="false">Chạy!E36+Chạy!E40</f>
        <v>2.88</v>
      </c>
      <c r="F15" s="43" t="n">
        <f aca="false">(E15+E16)*D15/2</f>
        <v>50.6088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42</v>
      </c>
      <c r="C16" s="15" t="n">
        <f aca="false">'1. KTHH L2'!C26</f>
        <v>746.82</v>
      </c>
      <c r="D16" s="13"/>
      <c r="E16" s="42" t="n">
        <f aca="false">Chạy!E44+Chạy!E48</f>
        <v>3.06</v>
      </c>
      <c r="F16" s="43"/>
      <c r="G16" s="44"/>
      <c r="H16" s="40"/>
      <c r="I16" s="40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H17" s="40"/>
      <c r="I17" s="40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H18" s="40"/>
      <c r="I18" s="40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40"/>
      <c r="I19" s="40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40"/>
      <c r="I20" s="40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40"/>
      <c r="I21" s="40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40"/>
      <c r="I22" s="40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40"/>
      <c r="I23" s="40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40"/>
      <c r="I24" s="40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40"/>
      <c r="I25" s="40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40"/>
      <c r="I26" s="40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40"/>
      <c r="I27" s="40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40"/>
      <c r="I28" s="40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40"/>
      <c r="I29" s="40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40"/>
      <c r="I30" s="40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40"/>
      <c r="I31" s="40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40"/>
      <c r="I32" s="40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40"/>
      <c r="I33" s="40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40"/>
      <c r="I34" s="40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40"/>
      <c r="I35" s="40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40"/>
      <c r="I36" s="40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40"/>
      <c r="I37" s="40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40"/>
      <c r="I38" s="40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40"/>
      <c r="I39" s="40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40"/>
      <c r="I40" s="40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40"/>
      <c r="I41" s="40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40"/>
      <c r="I42" s="40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40"/>
      <c r="I43" s="40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40"/>
      <c r="I44" s="40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40"/>
      <c r="I45" s="40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40"/>
      <c r="I46" s="40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40"/>
      <c r="I47" s="40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40"/>
      <c r="I48" s="40"/>
    </row>
    <row r="49" s="50" customFormat="true" ht="15" hidden="false" customHeight="true" outlineLevel="0" collapsed="false">
      <c r="A49" s="46" t="s">
        <v>52</v>
      </c>
      <c r="B49" s="46"/>
      <c r="C49" s="46"/>
      <c r="D49" s="46"/>
      <c r="E49" s="66"/>
      <c r="F49" s="67" t="n">
        <f aca="false">SUM(F11:F16)</f>
        <v>207.0513</v>
      </c>
      <c r="G49" s="68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XD4'!$A$2:$G$60,7,0)&amp;VLOOKUP(AZ2,'[1]Tuyến XD4'!$A$2:$G$60,4,0)</f>
        <v xml:space="preserve">Kèm theo BBNT số: 78.NĐXD4/CVXD ngày 23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78</v>
      </c>
    </row>
    <row r="3" customFormat="false" ht="15" hidden="false" customHeight="false" outlineLevel="0" collapsed="false">
      <c r="A3" s="22" t="s">
        <v>26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28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29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30</v>
      </c>
      <c r="C7" s="22"/>
      <c r="D7" s="22" t="str">
        <f>VLOOKUP(AZ2,'[1]Tuyến XD4'!$A$2:$B$60,2,0)</f>
        <v xml:space="preserve">Đắp đất lề đường lớp 3, độ chặt K&gt;=0,95 đoạn từ Km0+672,28 - Km0+746,82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33</v>
      </c>
      <c r="B19" s="10" t="s">
        <v>34</v>
      </c>
      <c r="C19" s="10" t="s">
        <v>35</v>
      </c>
      <c r="D19" s="11" t="s">
        <v>36</v>
      </c>
      <c r="E19" s="11"/>
      <c r="F19" s="11"/>
      <c r="G19" s="11" t="s">
        <v>37</v>
      </c>
      <c r="H19" s="11"/>
      <c r="I19" s="11"/>
      <c r="J19" s="11" t="s">
        <v>38</v>
      </c>
      <c r="K19" s="11"/>
      <c r="L19" s="11"/>
      <c r="M19" s="11" t="s">
        <v>39</v>
      </c>
      <c r="N19" s="11"/>
      <c r="O19" s="11"/>
      <c r="P19" s="10" t="s">
        <v>40</v>
      </c>
    </row>
    <row r="20" customFormat="false" ht="30" hidden="false" customHeight="true" outlineLevel="0" collapsed="false">
      <c r="A20" s="10"/>
      <c r="B20" s="10"/>
      <c r="C20" s="10"/>
      <c r="D20" s="11" t="s">
        <v>41</v>
      </c>
      <c r="E20" s="11" t="s">
        <v>42</v>
      </c>
      <c r="F20" s="11" t="s">
        <v>43</v>
      </c>
      <c r="G20" s="11" t="s">
        <v>41</v>
      </c>
      <c r="H20" s="11" t="s">
        <v>42</v>
      </c>
      <c r="I20" s="11" t="s">
        <v>43</v>
      </c>
      <c r="J20" s="11" t="s">
        <v>41</v>
      </c>
      <c r="K20" s="11" t="s">
        <v>42</v>
      </c>
      <c r="L20" s="11" t="s">
        <v>43</v>
      </c>
      <c r="M20" s="11" t="s">
        <v>41</v>
      </c>
      <c r="N20" s="11" t="s">
        <v>42</v>
      </c>
      <c r="O20" s="11" t="s">
        <v>43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672.28</v>
      </c>
      <c r="D21" s="16" t="n">
        <f aca="false">Chạy!G3</f>
        <v>2.62</v>
      </c>
      <c r="E21" s="16" t="n">
        <f aca="false">D21+F21</f>
        <v>2.664</v>
      </c>
      <c r="F21" s="16" t="n">
        <f aca="false">RANDBETWEEN(-30,100)/1000</f>
        <v>0.044</v>
      </c>
      <c r="G21" s="16" t="n">
        <f aca="false">Chạy!I3</f>
        <v>2.62</v>
      </c>
      <c r="H21" s="16" t="n">
        <f aca="false">G21+I21</f>
        <v>2.636</v>
      </c>
      <c r="I21" s="16" t="n">
        <f aca="false">RANDBETWEEN(-30,100)/1000</f>
        <v>0.016</v>
      </c>
      <c r="J21" s="16" t="n">
        <f aca="false">Chạy!M7</f>
        <v>2.62</v>
      </c>
      <c r="K21" s="16" t="n">
        <f aca="false">J21+L21</f>
        <v>2.688</v>
      </c>
      <c r="L21" s="16" t="n">
        <f aca="false">RANDBETWEEN(-30,100)/1000</f>
        <v>0.068</v>
      </c>
      <c r="M21" s="16" t="n">
        <f aca="false">Chạy!O7</f>
        <v>2.62</v>
      </c>
      <c r="N21" s="16" t="n">
        <f aca="false">M21+O21</f>
        <v>2.593</v>
      </c>
      <c r="O21" s="16" t="n">
        <f aca="false">RANDBETWEEN(-30,100)/1000</f>
        <v>-0.027</v>
      </c>
      <c r="P21" s="17"/>
      <c r="Q21" s="18" t="n">
        <v>17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689.28</v>
      </c>
      <c r="D22" s="16" t="n">
        <f aca="false">Chạy!G11</f>
        <v>2.62</v>
      </c>
      <c r="E22" s="16" t="n">
        <f aca="false">D22+F22</f>
        <v>2.682</v>
      </c>
      <c r="F22" s="16" t="n">
        <f aca="false">RANDBETWEEN(-30,100)/1000</f>
        <v>0.062</v>
      </c>
      <c r="G22" s="16" t="n">
        <f aca="false">Chạy!I11</f>
        <v>2.62</v>
      </c>
      <c r="H22" s="16" t="n">
        <f aca="false">G22+I22</f>
        <v>2.666</v>
      </c>
      <c r="I22" s="16" t="n">
        <f aca="false">RANDBETWEEN(-30,100)/1000</f>
        <v>0.046</v>
      </c>
      <c r="J22" s="16" t="n">
        <f aca="false">Chạy!M15</f>
        <v>2.62</v>
      </c>
      <c r="K22" s="16" t="n">
        <f aca="false">J22+L22</f>
        <v>2.603</v>
      </c>
      <c r="L22" s="16" t="n">
        <f aca="false">RANDBETWEEN(-30,100)/1000</f>
        <v>-0.017</v>
      </c>
      <c r="M22" s="16" t="n">
        <f aca="false">Chạy!O15</f>
        <v>2.62</v>
      </c>
      <c r="N22" s="16" t="n">
        <f aca="false">M22+O22</f>
        <v>2.687</v>
      </c>
      <c r="O22" s="16" t="n">
        <f aca="false">RANDBETWEEN(-30,100)/1000</f>
        <v>0.067</v>
      </c>
      <c r="P22" s="17"/>
      <c r="Q22" s="18" t="n">
        <v>11.75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701.03</v>
      </c>
      <c r="D23" s="16" t="n">
        <f aca="false">Chạy!G19</f>
        <v>2.62</v>
      </c>
      <c r="E23" s="16" t="n">
        <f aca="false">D23+F23</f>
        <v>2.664</v>
      </c>
      <c r="F23" s="16" t="n">
        <f aca="false">RANDBETWEEN(-30,100)/1000</f>
        <v>0.044</v>
      </c>
      <c r="G23" s="16" t="n">
        <f aca="false">Chạy!I19</f>
        <v>2.62</v>
      </c>
      <c r="H23" s="16" t="n">
        <f aca="false">G23+I23</f>
        <v>2.645</v>
      </c>
      <c r="I23" s="16" t="n">
        <f aca="false">RANDBETWEEN(-30,100)/1000</f>
        <v>0.025</v>
      </c>
      <c r="J23" s="16" t="n">
        <f aca="false">Chạy!M23</f>
        <v>2.62</v>
      </c>
      <c r="K23" s="16" t="n">
        <f aca="false">J23+L23</f>
        <v>2.686</v>
      </c>
      <c r="L23" s="16" t="n">
        <f aca="false">RANDBETWEEN(-30,100)/1000</f>
        <v>0.066</v>
      </c>
      <c r="M23" s="16" t="n">
        <f aca="false">Chạy!O23</f>
        <v>2.62</v>
      </c>
      <c r="N23" s="16" t="n">
        <f aca="false">M23+O23</f>
        <v>2.692</v>
      </c>
      <c r="O23" s="16" t="n">
        <f aca="false">RANDBETWEEN(-30,100)/1000</f>
        <v>0.072</v>
      </c>
      <c r="P23" s="17"/>
      <c r="Q23" s="18" t="n">
        <v>11.75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712.78</v>
      </c>
      <c r="D24" s="16" t="n">
        <f aca="false">Chạy!G27</f>
        <v>2.62</v>
      </c>
      <c r="E24" s="16" t="n">
        <f aca="false">D24+F24</f>
        <v>2.642</v>
      </c>
      <c r="F24" s="16" t="n">
        <f aca="false">RANDBETWEEN(-30,100)/1000</f>
        <v>0.022</v>
      </c>
      <c r="G24" s="16" t="n">
        <f aca="false">Chạy!I27</f>
        <v>2.62</v>
      </c>
      <c r="H24" s="16" t="n">
        <f aca="false">G24+I24</f>
        <v>2.624</v>
      </c>
      <c r="I24" s="16" t="n">
        <f aca="false">RANDBETWEEN(-30,100)/1000</f>
        <v>0.004</v>
      </c>
      <c r="J24" s="16" t="n">
        <f aca="false">Chạy!M31</f>
        <v>2.62</v>
      </c>
      <c r="K24" s="16" t="n">
        <f aca="false">J24+L24</f>
        <v>2.667</v>
      </c>
      <c r="L24" s="16" t="n">
        <f aca="false">RANDBETWEEN(-30,100)/1000</f>
        <v>0.047</v>
      </c>
      <c r="M24" s="16" t="n">
        <f aca="false">Chạy!O31</f>
        <v>2.62</v>
      </c>
      <c r="N24" s="16" t="n">
        <f aca="false">M24+O24</f>
        <v>2.715</v>
      </c>
      <c r="O24" s="16" t="n">
        <f aca="false">RANDBETWEEN(-30,100)/1000</f>
        <v>0.095</v>
      </c>
      <c r="P24" s="17"/>
      <c r="Q24" s="18" t="n">
        <v>17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729.78</v>
      </c>
      <c r="D25" s="16" t="n">
        <f aca="false">Chạy!G35</f>
        <v>2.62</v>
      </c>
      <c r="E25" s="16" t="n">
        <f aca="false">D25+F25</f>
        <v>2.636</v>
      </c>
      <c r="F25" s="16" t="n">
        <f aca="false">RANDBETWEEN(-30,100)/1000</f>
        <v>0.016</v>
      </c>
      <c r="G25" s="16" t="n">
        <f aca="false">Chạy!I35</f>
        <v>2.62</v>
      </c>
      <c r="H25" s="16" t="n">
        <f aca="false">G25+I25</f>
        <v>2.607</v>
      </c>
      <c r="I25" s="16" t="n">
        <f aca="false">RANDBETWEEN(-30,100)/1000</f>
        <v>-0.013</v>
      </c>
      <c r="J25" s="16" t="n">
        <f aca="false">Chạy!M39</f>
        <v>2.62</v>
      </c>
      <c r="K25" s="16" t="n">
        <f aca="false">J25+L25</f>
        <v>2.605</v>
      </c>
      <c r="L25" s="16" t="n">
        <f aca="false">RANDBETWEEN(-30,100)/1000</f>
        <v>-0.015</v>
      </c>
      <c r="M25" s="16" t="n">
        <f aca="false">Chạy!O39</f>
        <v>2.62</v>
      </c>
      <c r="N25" s="16" t="n">
        <f aca="false">M25+O25</f>
        <v>2.701</v>
      </c>
      <c r="O25" s="16" t="n">
        <f aca="false">RANDBETWEEN(-30,100)/1000</f>
        <v>0.081</v>
      </c>
      <c r="P25" s="17"/>
      <c r="Q25" s="18" t="n">
        <v>17.04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746.82</v>
      </c>
      <c r="D26" s="16" t="n">
        <f aca="false">Chạy!G43</f>
        <v>2.62</v>
      </c>
      <c r="E26" s="16" t="n">
        <f aca="false">D26+F26</f>
        <v>2.603</v>
      </c>
      <c r="F26" s="16" t="n">
        <f aca="false">RANDBETWEEN(-30,100)/1000</f>
        <v>-0.017</v>
      </c>
      <c r="G26" s="16" t="n">
        <f aca="false">Chạy!I43</f>
        <v>2.62</v>
      </c>
      <c r="H26" s="16" t="n">
        <f aca="false">G26+I26</f>
        <v>2.72</v>
      </c>
      <c r="I26" s="16" t="n">
        <f aca="false">RANDBETWEEN(-30,100)/1000</f>
        <v>0.1</v>
      </c>
      <c r="J26" s="16" t="n">
        <f aca="false">Chạy!M47</f>
        <v>2.62</v>
      </c>
      <c r="K26" s="16" t="n">
        <f aca="false">J26+L26</f>
        <v>2.717</v>
      </c>
      <c r="L26" s="16" t="n">
        <f aca="false">RANDBETWEEN(-30,100)/1000</f>
        <v>0.097</v>
      </c>
      <c r="M26" s="16" t="n">
        <f aca="false">Chạy!O47</f>
        <v>2.62</v>
      </c>
      <c r="N26" s="16" t="n">
        <f aca="false">M26+O26</f>
        <v>2.62</v>
      </c>
      <c r="O26" s="16" t="n">
        <f aca="false">RANDBETWEEN(-30,100)/1000</f>
        <v>0</v>
      </c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8" customFormat="false" ht="15" hidden="true" customHeight="fals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8"/>
    </row>
    <row r="60" customFormat="false" ht="15" hidden="false" customHeight="false" outlineLevel="0" collapsed="false">
      <c r="C60" s="19" t="s">
        <v>44</v>
      </c>
      <c r="D60" s="19"/>
      <c r="E60" s="19"/>
      <c r="F60" s="19"/>
      <c r="G60" s="20"/>
      <c r="H60" s="20"/>
      <c r="I60" s="20"/>
      <c r="K60" s="19" t="s">
        <v>45</v>
      </c>
      <c r="L60" s="19"/>
      <c r="M60" s="19"/>
      <c r="N60" s="19"/>
      <c r="O60" s="21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D64" s="22"/>
      <c r="E64" s="22"/>
      <c r="G64" s="22"/>
      <c r="H64" s="22"/>
      <c r="J64" s="22"/>
      <c r="K64" s="22"/>
      <c r="L64" s="22"/>
      <c r="M64" s="22"/>
      <c r="N64" s="22"/>
      <c r="O64" s="22"/>
    </row>
    <row r="65" customFormat="false" ht="15" hidden="false" customHeight="false" outlineLevel="0" collapsed="false">
      <c r="C65" s="19" t="s">
        <v>46</v>
      </c>
      <c r="D65" s="19"/>
      <c r="E65" s="19"/>
      <c r="F65" s="19"/>
      <c r="G65" s="20"/>
      <c r="H65" s="20"/>
      <c r="I65" s="20"/>
      <c r="J65" s="21"/>
      <c r="K65" s="19" t="s">
        <v>47</v>
      </c>
      <c r="L65" s="19"/>
      <c r="M65" s="19"/>
      <c r="N65" s="19"/>
      <c r="O65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60:F60"/>
    <mergeCell ref="K60:N60"/>
    <mergeCell ref="C65:F65"/>
    <mergeCell ref="K65:N65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78.NĐXD4/CVXD ngày 23 tháng 09 năm 2026</v>
      </c>
      <c r="B2" s="27"/>
      <c r="C2" s="27"/>
      <c r="D2" s="27"/>
      <c r="E2" s="27"/>
      <c r="F2" s="27"/>
      <c r="G2" s="27"/>
      <c r="AZ2">
        <v>78</v>
      </c>
    </row>
    <row r="3" s="50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0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0" customFormat="true" ht="15.7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0" customFormat="true" ht="15.7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0" customFormat="true" ht="30" hidden="false" customHeight="true" outlineLevel="0" collapsed="false">
      <c r="A7" s="31" t="s">
        <v>30</v>
      </c>
      <c r="B7" s="32"/>
      <c r="C7" s="33"/>
      <c r="D7" s="34" t="str">
        <f>VLOOKUP(AZ2,'[1]Tuyến XD4'!$A$2:$B$60,2,0)</f>
        <v xml:space="preserve">Đắp đất lề đường lớp 3, độ chặt K&gt;=0,95 đoạn từ Km0+672,28 - Km0+746,82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0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0" customFormat="true" ht="14.2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0" customFormat="true" ht="14.2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0" customFormat="true" ht="22.5" hidden="false" customHeight="true" outlineLevel="0" collapsed="false">
      <c r="A11" s="13" t="n">
        <v>1</v>
      </c>
      <c r="B11" s="14" t="str">
        <f aca="false">'1. KTHH L3'!B21</f>
        <v>38</v>
      </c>
      <c r="C11" s="15" t="n">
        <f aca="false">'1. KTHH L3'!C21</f>
        <v>672.28</v>
      </c>
      <c r="D11" s="13" t="n">
        <f aca="false">'1. KTHH L3'!Q21</f>
        <v>17</v>
      </c>
      <c r="E11" s="42" t="n">
        <f aca="false">Chạy!E3+Chạy!E7</f>
        <v>2.1</v>
      </c>
      <c r="F11" s="43" t="n">
        <f aca="false">(E11+E12)*D11/2</f>
        <v>35.7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39</v>
      </c>
      <c r="C12" s="15" t="n">
        <f aca="false">'1. KTHH L3'!C22</f>
        <v>689.28</v>
      </c>
      <c r="D12" s="13" t="n">
        <f aca="false">'1. KTHH L3'!Q22</f>
        <v>11.75</v>
      </c>
      <c r="E12" s="42" t="n">
        <f aca="false">Chạy!E11+Chạy!E15</f>
        <v>2.1</v>
      </c>
      <c r="F12" s="43" t="n">
        <f aca="false">(E12+E13)*D12/2</f>
        <v>18.6825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F2</v>
      </c>
      <c r="C13" s="15" t="n">
        <f aca="false">'1. KTHH L3'!C23</f>
        <v>701.03</v>
      </c>
      <c r="D13" s="13" t="n">
        <f aca="false">'1. KTHH L3'!Q23</f>
        <v>11.75</v>
      </c>
      <c r="E13" s="42" t="n">
        <f aca="false">Chạy!E19+Chạy!E23</f>
        <v>1.08</v>
      </c>
      <c r="F13" s="43" t="n">
        <f aca="false">(E13+E14)*D13/2</f>
        <v>18.6825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40</v>
      </c>
      <c r="C14" s="15" t="n">
        <f aca="false">'1. KTHH L3'!C24</f>
        <v>712.78</v>
      </c>
      <c r="D14" s="13" t="n">
        <f aca="false">'1. KTHH L3'!Q24</f>
        <v>17</v>
      </c>
      <c r="E14" s="42" t="n">
        <f aca="false">Chạy!E27+Chạy!E31</f>
        <v>2.1</v>
      </c>
      <c r="F14" s="43" t="n">
        <f aca="false">(E14+E15)*D14/2</f>
        <v>35.7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41</v>
      </c>
      <c r="C15" s="15" t="n">
        <f aca="false">'1. KTHH L3'!C25</f>
        <v>729.78</v>
      </c>
      <c r="D15" s="13" t="n">
        <f aca="false">'1. KTHH L3'!Q25</f>
        <v>17.04</v>
      </c>
      <c r="E15" s="42" t="n">
        <f aca="false">Chạy!E35+Chạy!E39</f>
        <v>2.1</v>
      </c>
      <c r="F15" s="43" t="n">
        <f aca="false">(E15+E16)*D15/2</f>
        <v>35.784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42</v>
      </c>
      <c r="C16" s="15" t="n">
        <f aca="false">'1. KTHH L3'!C26</f>
        <v>746.82</v>
      </c>
      <c r="D16" s="13"/>
      <c r="E16" s="42" t="n">
        <f aca="false">Chạy!E43+Chạy!E47</f>
        <v>2.1</v>
      </c>
      <c r="F16" s="43"/>
      <c r="G16" s="44"/>
      <c r="H16" s="39"/>
      <c r="I16" s="39"/>
      <c r="K16" s="39"/>
      <c r="L16" s="65"/>
    </row>
    <row r="17" s="41" customFormat="true" ht="22.5" hidden="true" customHeight="true" outlineLevel="0" collapsed="false">
      <c r="A17" s="13"/>
      <c r="B17" s="14"/>
      <c r="C17" s="15"/>
      <c r="D17" s="13"/>
      <c r="E17" s="42"/>
      <c r="F17" s="43"/>
      <c r="G17" s="44"/>
      <c r="H17" s="39"/>
      <c r="I17" s="39"/>
      <c r="K17" s="39"/>
      <c r="L17" s="65"/>
    </row>
    <row r="18" s="41" customFormat="true" ht="22.5" hidden="true" customHeight="true" outlineLevel="0" collapsed="false">
      <c r="A18" s="13"/>
      <c r="B18" s="14"/>
      <c r="C18" s="15"/>
      <c r="D18" s="13"/>
      <c r="E18" s="42"/>
      <c r="F18" s="43"/>
      <c r="G18" s="44"/>
      <c r="H18" s="39"/>
      <c r="I18" s="39"/>
      <c r="K18" s="39"/>
      <c r="L18" s="65"/>
    </row>
    <row r="19" s="41" customFormat="true" ht="22.5" hidden="true" customHeight="true" outlineLevel="0" collapsed="false">
      <c r="A19" s="13"/>
      <c r="B19" s="14"/>
      <c r="C19" s="15"/>
      <c r="D19" s="13"/>
      <c r="E19" s="42"/>
      <c r="F19" s="43"/>
      <c r="G19" s="44"/>
      <c r="H19" s="39"/>
      <c r="I19" s="39"/>
      <c r="K19" s="39"/>
      <c r="L19" s="65"/>
    </row>
    <row r="20" s="41" customFormat="true" ht="22.5" hidden="true" customHeight="true" outlineLevel="0" collapsed="false">
      <c r="A20" s="13"/>
      <c r="B20" s="14"/>
      <c r="C20" s="15"/>
      <c r="D20" s="13"/>
      <c r="E20" s="42"/>
      <c r="F20" s="43"/>
      <c r="G20" s="44"/>
      <c r="H20" s="39"/>
      <c r="I20" s="39"/>
      <c r="K20" s="39"/>
      <c r="L20" s="65"/>
    </row>
    <row r="21" s="41" customFormat="true" ht="22.5" hidden="true" customHeight="true" outlineLevel="0" collapsed="false">
      <c r="A21" s="13"/>
      <c r="B21" s="14"/>
      <c r="C21" s="15"/>
      <c r="D21" s="13"/>
      <c r="E21" s="42"/>
      <c r="F21" s="43"/>
      <c r="G21" s="44"/>
      <c r="H21" s="39"/>
      <c r="I21" s="39"/>
      <c r="K21" s="39"/>
      <c r="L21" s="65"/>
    </row>
    <row r="22" s="41" customFormat="true" ht="22.5" hidden="true" customHeight="true" outlineLevel="0" collapsed="false">
      <c r="A22" s="13"/>
      <c r="B22" s="14"/>
      <c r="C22" s="15"/>
      <c r="D22" s="13"/>
      <c r="E22" s="42"/>
      <c r="F22" s="43"/>
      <c r="G22" s="44"/>
      <c r="H22" s="39"/>
      <c r="I22" s="39"/>
      <c r="K22" s="39"/>
      <c r="L22" s="65"/>
    </row>
    <row r="23" s="41" customFormat="true" ht="22.5" hidden="true" customHeight="true" outlineLevel="0" collapsed="false">
      <c r="A23" s="13"/>
      <c r="B23" s="14"/>
      <c r="C23" s="15"/>
      <c r="D23" s="13"/>
      <c r="E23" s="42"/>
      <c r="F23" s="43"/>
      <c r="G23" s="44"/>
      <c r="H23" s="39"/>
      <c r="I23" s="39"/>
      <c r="K23" s="39"/>
      <c r="L23" s="65"/>
    </row>
    <row r="24" s="41" customFormat="true" ht="22.5" hidden="true" customHeight="true" outlineLevel="0" collapsed="false">
      <c r="A24" s="13"/>
      <c r="B24" s="14"/>
      <c r="C24" s="15"/>
      <c r="D24" s="13"/>
      <c r="E24" s="42"/>
      <c r="F24" s="43"/>
      <c r="G24" s="44"/>
      <c r="H24" s="39"/>
      <c r="I24" s="39"/>
      <c r="K24" s="39"/>
      <c r="L24" s="65"/>
    </row>
    <row r="25" s="41" customFormat="true" ht="22.5" hidden="true" customHeight="true" outlineLevel="0" collapsed="false">
      <c r="A25" s="13"/>
      <c r="B25" s="14"/>
      <c r="C25" s="15"/>
      <c r="D25" s="13"/>
      <c r="E25" s="42"/>
      <c r="F25" s="43"/>
      <c r="G25" s="44"/>
      <c r="H25" s="39"/>
      <c r="I25" s="39"/>
      <c r="K25" s="39"/>
      <c r="L25" s="65"/>
    </row>
    <row r="26" s="41" customFormat="true" ht="22.5" hidden="true" customHeight="true" outlineLevel="0" collapsed="false">
      <c r="A26" s="13"/>
      <c r="B26" s="14"/>
      <c r="C26" s="15"/>
      <c r="D26" s="13"/>
      <c r="E26" s="42"/>
      <c r="F26" s="43"/>
      <c r="G26" s="44"/>
      <c r="H26" s="39"/>
      <c r="I26" s="39"/>
      <c r="K26" s="39"/>
      <c r="L26" s="65"/>
    </row>
    <row r="27" s="41" customFormat="true" ht="22.5" hidden="true" customHeight="true" outlineLevel="0" collapsed="false">
      <c r="A27" s="13"/>
      <c r="B27" s="14"/>
      <c r="C27" s="15"/>
      <c r="D27" s="13"/>
      <c r="E27" s="42"/>
      <c r="F27" s="43"/>
      <c r="G27" s="44"/>
      <c r="H27" s="39"/>
      <c r="I27" s="39"/>
      <c r="K27" s="39"/>
      <c r="L27" s="65"/>
    </row>
    <row r="28" s="41" customFormat="true" ht="22.5" hidden="true" customHeight="true" outlineLevel="0" collapsed="false">
      <c r="A28" s="13"/>
      <c r="B28" s="14"/>
      <c r="C28" s="15"/>
      <c r="D28" s="13"/>
      <c r="E28" s="42"/>
      <c r="F28" s="43"/>
      <c r="G28" s="44"/>
      <c r="H28" s="39"/>
      <c r="I28" s="39"/>
      <c r="K28" s="39"/>
      <c r="L28" s="65"/>
    </row>
    <row r="29" s="41" customFormat="true" ht="22.5" hidden="true" customHeight="true" outlineLevel="0" collapsed="false">
      <c r="A29" s="13"/>
      <c r="B29" s="14"/>
      <c r="C29" s="15"/>
      <c r="D29" s="13"/>
      <c r="E29" s="42"/>
      <c r="F29" s="43"/>
      <c r="G29" s="44"/>
      <c r="H29" s="39"/>
      <c r="I29" s="39"/>
      <c r="K29" s="39"/>
      <c r="L29" s="65"/>
    </row>
    <row r="30" s="41" customFormat="true" ht="22.5" hidden="true" customHeight="true" outlineLevel="0" collapsed="false">
      <c r="A30" s="13"/>
      <c r="B30" s="14"/>
      <c r="C30" s="15"/>
      <c r="D30" s="13"/>
      <c r="E30" s="42"/>
      <c r="F30" s="43"/>
      <c r="G30" s="44"/>
      <c r="H30" s="39"/>
      <c r="I30" s="39"/>
      <c r="K30" s="39"/>
      <c r="L30" s="65"/>
    </row>
    <row r="31" s="41" customFormat="true" ht="22.5" hidden="true" customHeight="true" outlineLevel="0" collapsed="false">
      <c r="A31" s="13"/>
      <c r="B31" s="14"/>
      <c r="C31" s="15"/>
      <c r="D31" s="13"/>
      <c r="E31" s="42"/>
      <c r="F31" s="43"/>
      <c r="G31" s="44"/>
      <c r="H31" s="39"/>
      <c r="I31" s="39"/>
      <c r="K31" s="39"/>
      <c r="L31" s="65"/>
    </row>
    <row r="32" s="41" customFormat="true" ht="22.5" hidden="true" customHeight="true" outlineLevel="0" collapsed="false">
      <c r="A32" s="13"/>
      <c r="B32" s="14"/>
      <c r="C32" s="15"/>
      <c r="D32" s="13"/>
      <c r="E32" s="42"/>
      <c r="F32" s="43"/>
      <c r="G32" s="44"/>
      <c r="H32" s="39"/>
      <c r="I32" s="39"/>
      <c r="K32" s="39"/>
      <c r="L32" s="65"/>
    </row>
    <row r="33" s="41" customFormat="true" ht="22.5" hidden="true" customHeight="true" outlineLevel="0" collapsed="false">
      <c r="A33" s="13"/>
      <c r="B33" s="14"/>
      <c r="C33" s="15"/>
      <c r="D33" s="13"/>
      <c r="E33" s="42"/>
      <c r="F33" s="43"/>
      <c r="G33" s="44"/>
      <c r="H33" s="39"/>
      <c r="I33" s="39"/>
      <c r="K33" s="39"/>
      <c r="L33" s="65"/>
    </row>
    <row r="34" s="41" customFormat="true" ht="22.5" hidden="true" customHeight="true" outlineLevel="0" collapsed="false">
      <c r="A34" s="13"/>
      <c r="B34" s="14"/>
      <c r="C34" s="15"/>
      <c r="D34" s="13"/>
      <c r="E34" s="42"/>
      <c r="F34" s="43"/>
      <c r="G34" s="44"/>
      <c r="H34" s="39"/>
      <c r="I34" s="39"/>
      <c r="K34" s="39"/>
      <c r="L34" s="65"/>
    </row>
    <row r="35" s="41" customFormat="true" ht="22.5" hidden="true" customHeight="true" outlineLevel="0" collapsed="false">
      <c r="A35" s="13"/>
      <c r="B35" s="14"/>
      <c r="C35" s="15"/>
      <c r="D35" s="13"/>
      <c r="E35" s="42"/>
      <c r="F35" s="43"/>
      <c r="G35" s="44"/>
      <c r="H35" s="39"/>
      <c r="I35" s="39"/>
      <c r="K35" s="39"/>
      <c r="L35" s="65"/>
    </row>
    <row r="36" s="41" customFormat="true" ht="22.5" hidden="true" customHeight="true" outlineLevel="0" collapsed="false">
      <c r="A36" s="13"/>
      <c r="B36" s="14"/>
      <c r="C36" s="15"/>
      <c r="D36" s="13"/>
      <c r="E36" s="42"/>
      <c r="F36" s="43"/>
      <c r="G36" s="44"/>
      <c r="H36" s="39"/>
      <c r="I36" s="39"/>
      <c r="K36" s="39"/>
      <c r="L36" s="65"/>
    </row>
    <row r="37" s="41" customFormat="true" ht="22.5" hidden="true" customHeight="true" outlineLevel="0" collapsed="false">
      <c r="A37" s="13"/>
      <c r="B37" s="14"/>
      <c r="C37" s="15"/>
      <c r="D37" s="13"/>
      <c r="E37" s="42"/>
      <c r="F37" s="43"/>
      <c r="G37" s="44"/>
      <c r="H37" s="39"/>
      <c r="I37" s="39"/>
      <c r="K37" s="39"/>
      <c r="L37" s="65"/>
    </row>
    <row r="38" s="41" customFormat="true" ht="22.5" hidden="true" customHeight="true" outlineLevel="0" collapsed="false">
      <c r="A38" s="13"/>
      <c r="B38" s="14"/>
      <c r="C38" s="15"/>
      <c r="D38" s="13"/>
      <c r="E38" s="42"/>
      <c r="F38" s="43"/>
      <c r="G38" s="44"/>
      <c r="H38" s="39"/>
      <c r="I38" s="39"/>
      <c r="K38" s="39"/>
      <c r="L38" s="65"/>
    </row>
    <row r="39" s="41" customFormat="true" ht="22.5" hidden="true" customHeight="true" outlineLevel="0" collapsed="false">
      <c r="A39" s="13"/>
      <c r="B39" s="14"/>
      <c r="C39" s="15"/>
      <c r="D39" s="13"/>
      <c r="E39" s="42"/>
      <c r="F39" s="43"/>
      <c r="G39" s="44"/>
      <c r="H39" s="39"/>
      <c r="I39" s="39"/>
      <c r="K39" s="39"/>
      <c r="L39" s="65"/>
    </row>
    <row r="40" s="41" customFormat="true" ht="22.5" hidden="true" customHeight="true" outlineLevel="0" collapsed="false">
      <c r="A40" s="13"/>
      <c r="B40" s="14"/>
      <c r="C40" s="15"/>
      <c r="D40" s="13"/>
      <c r="E40" s="42"/>
      <c r="F40" s="43"/>
      <c r="G40" s="44"/>
      <c r="H40" s="39"/>
      <c r="I40" s="39"/>
      <c r="K40" s="39"/>
      <c r="L40" s="65"/>
    </row>
    <row r="41" s="41" customFormat="true" ht="22.5" hidden="true" customHeight="true" outlineLevel="0" collapsed="false">
      <c r="A41" s="13"/>
      <c r="B41" s="14"/>
      <c r="C41" s="15"/>
      <c r="D41" s="13"/>
      <c r="E41" s="42"/>
      <c r="F41" s="43"/>
      <c r="G41" s="44"/>
      <c r="H41" s="39"/>
      <c r="I41" s="39"/>
      <c r="K41" s="39"/>
      <c r="L41" s="65"/>
    </row>
    <row r="42" s="41" customFormat="true" ht="22.5" hidden="true" customHeight="true" outlineLevel="0" collapsed="false">
      <c r="A42" s="13"/>
      <c r="B42" s="14"/>
      <c r="C42" s="15"/>
      <c r="D42" s="13"/>
      <c r="E42" s="42"/>
      <c r="F42" s="43"/>
      <c r="G42" s="44"/>
      <c r="H42" s="39"/>
      <c r="I42" s="39"/>
      <c r="K42" s="39"/>
      <c r="L42" s="65"/>
    </row>
    <row r="43" s="41" customFormat="true" ht="22.5" hidden="true" customHeight="true" outlineLevel="0" collapsed="false">
      <c r="A43" s="13"/>
      <c r="B43" s="14"/>
      <c r="C43" s="15"/>
      <c r="D43" s="13"/>
      <c r="E43" s="42"/>
      <c r="F43" s="43"/>
      <c r="G43" s="44"/>
      <c r="H43" s="39"/>
      <c r="I43" s="39"/>
      <c r="K43" s="39"/>
      <c r="L43" s="65"/>
    </row>
    <row r="44" s="41" customFormat="true" ht="22.5" hidden="true" customHeight="true" outlineLevel="0" collapsed="false">
      <c r="A44" s="13"/>
      <c r="B44" s="14"/>
      <c r="C44" s="15"/>
      <c r="D44" s="13"/>
      <c r="E44" s="42"/>
      <c r="F44" s="43"/>
      <c r="G44" s="44"/>
      <c r="H44" s="39"/>
      <c r="I44" s="39"/>
      <c r="K44" s="39"/>
      <c r="L44" s="65"/>
    </row>
    <row r="45" s="41" customFormat="true" ht="22.5" hidden="true" customHeight="true" outlineLevel="0" collapsed="false">
      <c r="A45" s="13"/>
      <c r="B45" s="14"/>
      <c r="C45" s="15"/>
      <c r="D45" s="13"/>
      <c r="E45" s="42"/>
      <c r="F45" s="43"/>
      <c r="G45" s="44"/>
      <c r="H45" s="39"/>
      <c r="I45" s="39"/>
      <c r="K45" s="39"/>
      <c r="L45" s="65"/>
    </row>
    <row r="46" s="41" customFormat="true" ht="22.5" hidden="true" customHeight="true" outlineLevel="0" collapsed="false">
      <c r="A46" s="13"/>
      <c r="B46" s="14"/>
      <c r="C46" s="15"/>
      <c r="D46" s="13"/>
      <c r="E46" s="42"/>
      <c r="F46" s="43"/>
      <c r="G46" s="44"/>
      <c r="H46" s="39"/>
      <c r="I46" s="39"/>
      <c r="K46" s="39"/>
      <c r="L46" s="65"/>
    </row>
    <row r="47" s="41" customFormat="true" ht="22.5" hidden="true" customHeight="true" outlineLevel="0" collapsed="false">
      <c r="A47" s="13"/>
      <c r="B47" s="14"/>
      <c r="C47" s="15"/>
      <c r="D47" s="13"/>
      <c r="E47" s="42"/>
      <c r="F47" s="43"/>
      <c r="G47" s="44"/>
      <c r="H47" s="39"/>
      <c r="I47" s="39"/>
      <c r="K47" s="39"/>
      <c r="L47" s="65"/>
    </row>
    <row r="48" s="41" customFormat="true" ht="22.5" hidden="true" customHeight="true" outlineLevel="0" collapsed="false">
      <c r="A48" s="13"/>
      <c r="B48" s="14"/>
      <c r="C48" s="15"/>
      <c r="D48" s="13"/>
      <c r="E48" s="42"/>
      <c r="F48" s="43"/>
      <c r="G48" s="44"/>
      <c r="H48" s="39"/>
      <c r="I48" s="39"/>
      <c r="K48" s="39"/>
      <c r="L48" s="65"/>
    </row>
    <row r="49" s="41" customFormat="true" ht="15" hidden="false" customHeight="true" outlineLevel="0" collapsed="false">
      <c r="A49" s="36" t="s">
        <v>52</v>
      </c>
      <c r="B49" s="36"/>
      <c r="C49" s="36"/>
      <c r="D49" s="36"/>
      <c r="E49" s="47"/>
      <c r="F49" s="48" t="n">
        <f aca="false">SUM(F11:F16)</f>
        <v>144.549</v>
      </c>
      <c r="G49" s="49"/>
      <c r="I49" s="69"/>
    </row>
    <row r="50" s="41" customFormat="true" ht="15" hidden="false" customHeight="true" outlineLevel="0" collapsed="false">
      <c r="A50" s="20"/>
      <c r="B50" s="20"/>
      <c r="C50" s="20"/>
      <c r="D50" s="20"/>
      <c r="E50" s="50"/>
      <c r="F50" s="55"/>
      <c r="G50" s="55"/>
      <c r="I50" s="69"/>
    </row>
    <row r="51" s="41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</row>
    <row r="52" s="41" customFormat="true" ht="1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41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</row>
    <row r="54" s="41" customFormat="true" ht="1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41" customFormat="true" ht="1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41" customFormat="true" ht="1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41" customFormat="true" ht="15" hidden="false" customHeight="true" outlineLevel="0" collapsed="false">
      <c r="A57" s="19" t="s">
        <v>46</v>
      </c>
      <c r="B57" s="19"/>
      <c r="C57" s="19"/>
      <c r="D57" s="21"/>
      <c r="E57" s="19" t="s">
        <v>47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64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XD4'!$A$2:$G$60,7,0)&amp;VLOOKUP(AZ2,'[1]Tuyến XD4'!$A$2:$G$60,4,0)</f>
        <v xml:space="preserve">Kèm theo BBNT số: 79.NĐXD4/CVXD ngày 24 tháng 09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79</v>
      </c>
    </row>
    <row r="3" customFormat="false" ht="15" hidden="false" customHeight="false" outlineLevel="0" collapsed="false">
      <c r="A3" s="22" t="s">
        <v>26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27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28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29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30</v>
      </c>
      <c r="C7" s="22"/>
      <c r="D7" s="22" t="str">
        <f>VLOOKUP(AZ2,'[1]Tuyến XD4'!$A$2:$B$60,2,0)</f>
        <v xml:space="preserve">Đắp đất lề đường lớp 4, độ chặt K&gt;=0,95 đoạn từ Km0+672,28 - Km0+746,82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32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33</v>
      </c>
      <c r="B18" s="10" t="s">
        <v>34</v>
      </c>
      <c r="C18" s="10" t="s">
        <v>35</v>
      </c>
      <c r="D18" s="11" t="s">
        <v>36</v>
      </c>
      <c r="E18" s="11"/>
      <c r="F18" s="11"/>
      <c r="G18" s="11" t="s">
        <v>37</v>
      </c>
      <c r="H18" s="11"/>
      <c r="I18" s="11"/>
      <c r="J18" s="11" t="s">
        <v>38</v>
      </c>
      <c r="K18" s="11"/>
      <c r="L18" s="11"/>
      <c r="M18" s="11" t="s">
        <v>39</v>
      </c>
      <c r="N18" s="11"/>
      <c r="O18" s="11"/>
      <c r="P18" s="10" t="s">
        <v>40</v>
      </c>
    </row>
    <row r="19" customFormat="false" ht="30" hidden="false" customHeight="true" outlineLevel="0" collapsed="false">
      <c r="A19" s="10"/>
      <c r="B19" s="10"/>
      <c r="C19" s="10"/>
      <c r="D19" s="11" t="s">
        <v>41</v>
      </c>
      <c r="E19" s="11" t="s">
        <v>42</v>
      </c>
      <c r="F19" s="11" t="s">
        <v>43</v>
      </c>
      <c r="G19" s="11" t="s">
        <v>41</v>
      </c>
      <c r="H19" s="11" t="s">
        <v>42</v>
      </c>
      <c r="I19" s="11" t="s">
        <v>43</v>
      </c>
      <c r="J19" s="11" t="s">
        <v>41</v>
      </c>
      <c r="K19" s="11" t="s">
        <v>42</v>
      </c>
      <c r="L19" s="11" t="s">
        <v>43</v>
      </c>
      <c r="M19" s="11" t="s">
        <v>41</v>
      </c>
      <c r="N19" s="11" t="s">
        <v>42</v>
      </c>
      <c r="O19" s="11" t="s">
        <v>43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672.28</v>
      </c>
      <c r="D20" s="16" t="n">
        <f aca="false">Chạy!G2</f>
        <v>2.96</v>
      </c>
      <c r="E20" s="16" t="n">
        <f aca="false">D20+F20</f>
        <v>3.036</v>
      </c>
      <c r="F20" s="16" t="n">
        <f aca="false">RANDBETWEEN(-30,100)/1000</f>
        <v>0.076</v>
      </c>
      <c r="G20" s="16" t="n">
        <f aca="false">Chạy!I2</f>
        <v>2.68</v>
      </c>
      <c r="H20" s="16" t="n">
        <f aca="false">G20+I20</f>
        <v>2.751</v>
      </c>
      <c r="I20" s="16" t="n">
        <f aca="false">RANDBETWEEN(-30,100)/1000</f>
        <v>0.071</v>
      </c>
      <c r="J20" s="16" t="n">
        <f aca="false">Chạy!M6</f>
        <v>2.87</v>
      </c>
      <c r="K20" s="16" t="n">
        <f aca="false">J20+L20</f>
        <v>2.878</v>
      </c>
      <c r="L20" s="16" t="n">
        <f aca="false">RANDBETWEEN(-30,100)/1000</f>
        <v>0.008</v>
      </c>
      <c r="M20" s="16" t="n">
        <f aca="false">Chạy!O6</f>
        <v>2.86</v>
      </c>
      <c r="N20" s="16" t="n">
        <f aca="false">M20+O20</f>
        <v>2.924</v>
      </c>
      <c r="O20" s="16" t="n">
        <f aca="false">RANDBETWEEN(-30,100)/1000</f>
        <v>0.064</v>
      </c>
      <c r="P20" s="17"/>
      <c r="Q20" s="18" t="n">
        <v>17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689.28</v>
      </c>
      <c r="D21" s="16" t="n">
        <f aca="false">Chạy!G10</f>
        <v>2.96</v>
      </c>
      <c r="E21" s="16" t="n">
        <f aca="false">D21+F21</f>
        <v>3.053</v>
      </c>
      <c r="F21" s="16" t="n">
        <f aca="false">RANDBETWEEN(-30,100)/1000</f>
        <v>0.093</v>
      </c>
      <c r="G21" s="16" t="n">
        <f aca="false">Chạy!I10</f>
        <v>2.68</v>
      </c>
      <c r="H21" s="16" t="n">
        <f aca="false">G21+I21</f>
        <v>2.756</v>
      </c>
      <c r="I21" s="16" t="n">
        <f aca="false">RANDBETWEEN(-30,100)/1000</f>
        <v>0.076</v>
      </c>
      <c r="J21" s="16" t="n">
        <f aca="false">Chạy!M14</f>
        <v>2.87</v>
      </c>
      <c r="K21" s="16" t="n">
        <f aca="false">J21+L21</f>
        <v>2.843</v>
      </c>
      <c r="L21" s="16" t="n">
        <f aca="false">RANDBETWEEN(-30,100)/1000</f>
        <v>-0.027</v>
      </c>
      <c r="M21" s="16" t="n">
        <f aca="false">Chạy!O14</f>
        <v>2.87</v>
      </c>
      <c r="N21" s="16" t="n">
        <f aca="false">M21+O21</f>
        <v>2.965</v>
      </c>
      <c r="O21" s="16" t="n">
        <f aca="false">RANDBETWEEN(-30,100)/1000</f>
        <v>0.095</v>
      </c>
      <c r="P21" s="17"/>
      <c r="Q21" s="18" t="n">
        <v>11.75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701.03</v>
      </c>
      <c r="D22" s="16" t="n">
        <f aca="false">Chạy!G18</f>
        <v>2.96</v>
      </c>
      <c r="E22" s="16" t="n">
        <f aca="false">D22+F22</f>
        <v>3.04</v>
      </c>
      <c r="F22" s="16" t="n">
        <f aca="false">RANDBETWEEN(-30,100)/1000</f>
        <v>0.08</v>
      </c>
      <c r="G22" s="16" t="n">
        <f aca="false">Chạy!I18</f>
        <v>2.68</v>
      </c>
      <c r="H22" s="16" t="n">
        <f aca="false">G22+I22</f>
        <v>2.696</v>
      </c>
      <c r="I22" s="16" t="n">
        <f aca="false">RANDBETWEEN(-30,100)/1000</f>
        <v>0.016</v>
      </c>
      <c r="J22" s="16" t="n">
        <f aca="false">Chạy!M22</f>
        <v>2.87</v>
      </c>
      <c r="K22" s="16" t="n">
        <f aca="false">J22+L22</f>
        <v>2.912</v>
      </c>
      <c r="L22" s="16" t="n">
        <f aca="false">RANDBETWEEN(-30,100)/1000</f>
        <v>0.042</v>
      </c>
      <c r="M22" s="16" t="n">
        <f aca="false">Chạy!O22</f>
        <v>2.87</v>
      </c>
      <c r="N22" s="16" t="n">
        <f aca="false">M22+O22</f>
        <v>2.942</v>
      </c>
      <c r="O22" s="16" t="n">
        <f aca="false">RANDBETWEEN(-30,100)/1000</f>
        <v>0.072</v>
      </c>
      <c r="P22" s="17"/>
      <c r="Q22" s="18" t="n">
        <v>11.75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712.78</v>
      </c>
      <c r="D23" s="16" t="n">
        <f aca="false">Chạy!G26</f>
        <v>2.96</v>
      </c>
      <c r="E23" s="16" t="n">
        <f aca="false">D23+F23</f>
        <v>3.012</v>
      </c>
      <c r="F23" s="16" t="n">
        <f aca="false">RANDBETWEEN(-30,100)/1000</f>
        <v>0.052</v>
      </c>
      <c r="G23" s="16" t="n">
        <f aca="false">Chạy!I26</f>
        <v>2.68</v>
      </c>
      <c r="H23" s="16" t="n">
        <f aca="false">G23+I23</f>
        <v>2.664</v>
      </c>
      <c r="I23" s="16" t="n">
        <f aca="false">RANDBETWEEN(-30,100)/1000</f>
        <v>-0.016</v>
      </c>
      <c r="J23" s="16" t="n">
        <f aca="false">Chạy!M30</f>
        <v>2.87</v>
      </c>
      <c r="K23" s="16" t="n">
        <f aca="false">J23+L23</f>
        <v>2.97</v>
      </c>
      <c r="L23" s="16" t="n">
        <f aca="false">RANDBETWEEN(-30,100)/1000</f>
        <v>0.1</v>
      </c>
      <c r="M23" s="16" t="n">
        <f aca="false">Chạy!O30</f>
        <v>2.87</v>
      </c>
      <c r="N23" s="16" t="n">
        <f aca="false">M23+O23</f>
        <v>2.962</v>
      </c>
      <c r="O23" s="16" t="n">
        <f aca="false">RANDBETWEEN(-30,100)/1000</f>
        <v>0.092</v>
      </c>
      <c r="P23" s="17"/>
      <c r="Q23" s="18" t="n">
        <v>17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729.78</v>
      </c>
      <c r="D24" s="16" t="n">
        <f aca="false">Chạy!G34</f>
        <v>2.96</v>
      </c>
      <c r="E24" s="16" t="n">
        <f aca="false">D24+F24</f>
        <v>2.972</v>
      </c>
      <c r="F24" s="16" t="n">
        <f aca="false">RANDBETWEEN(-30,100)/1000</f>
        <v>0.012</v>
      </c>
      <c r="G24" s="16" t="n">
        <f aca="false">Chạy!I34</f>
        <v>2.68</v>
      </c>
      <c r="H24" s="16" t="n">
        <f aca="false">G24+I24</f>
        <v>2.741</v>
      </c>
      <c r="I24" s="16" t="n">
        <f aca="false">RANDBETWEEN(-30,100)/1000</f>
        <v>0.061</v>
      </c>
      <c r="J24" s="16" t="n">
        <f aca="false">Chạy!M38</f>
        <v>2.87</v>
      </c>
      <c r="K24" s="16" t="n">
        <f aca="false">J24+L24</f>
        <v>2.853</v>
      </c>
      <c r="L24" s="16" t="n">
        <f aca="false">RANDBETWEEN(-30,100)/1000</f>
        <v>-0.017</v>
      </c>
      <c r="M24" s="16" t="n">
        <f aca="false">Chạy!O38</f>
        <v>2.87</v>
      </c>
      <c r="N24" s="16" t="n">
        <f aca="false">M24+O24</f>
        <v>2.885</v>
      </c>
      <c r="O24" s="16" t="n">
        <f aca="false">RANDBETWEEN(-30,100)/1000</f>
        <v>0.015</v>
      </c>
      <c r="P24" s="17"/>
      <c r="Q24" s="18" t="n">
        <v>17.04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746.82</v>
      </c>
      <c r="D25" s="16" t="n">
        <f aca="false">Chạy!G42</f>
        <v>2.96</v>
      </c>
      <c r="E25" s="16" t="n">
        <f aca="false">D25+F25</f>
        <v>3.05</v>
      </c>
      <c r="F25" s="16" t="n">
        <f aca="false">RANDBETWEEN(-30,100)/1000</f>
        <v>0.09</v>
      </c>
      <c r="G25" s="16" t="n">
        <f aca="false">Chạy!I42</f>
        <v>2.68</v>
      </c>
      <c r="H25" s="16" t="n">
        <f aca="false">G25+I25</f>
        <v>2.761</v>
      </c>
      <c r="I25" s="16" t="n">
        <f aca="false">RANDBETWEEN(-30,100)/1000</f>
        <v>0.081</v>
      </c>
      <c r="J25" s="16" t="n">
        <f aca="false">Chạy!M46</f>
        <v>2.87</v>
      </c>
      <c r="K25" s="16" t="n">
        <f aca="false">J25+L25</f>
        <v>2.868</v>
      </c>
      <c r="L25" s="16" t="n">
        <f aca="false">RANDBETWEEN(-30,100)/1000</f>
        <v>-0.002</v>
      </c>
      <c r="M25" s="16" t="n">
        <f aca="false">Chạy!O46</f>
        <v>2.87</v>
      </c>
      <c r="N25" s="16" t="n">
        <f aca="false">M25+O25</f>
        <v>2.882</v>
      </c>
      <c r="O25" s="16" t="n">
        <f aca="false">RANDBETWEEN(-30,100)/1000</f>
        <v>0.012</v>
      </c>
      <c r="P25" s="17"/>
      <c r="Q25" s="18"/>
    </row>
    <row r="26" customFormat="false" ht="15" hidden="true" customHeight="false" outlineLevel="0" collapsed="false">
      <c r="A26" s="13"/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8"/>
    </row>
    <row r="27" customFormat="false" ht="15" hidden="true" customHeight="false" outlineLevel="0" collapsed="false">
      <c r="A27" s="13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8"/>
    </row>
    <row r="28" customFormat="false" ht="15" hidden="true" customHeight="false" outlineLevel="0" collapsed="false">
      <c r="A28" s="13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8"/>
    </row>
    <row r="29" customFormat="false" ht="15" hidden="true" customHeight="false" outlineLevel="0" collapsed="false">
      <c r="A29" s="13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8"/>
    </row>
    <row r="30" customFormat="false" ht="15" hidden="true" customHeight="false" outlineLevel="0" collapsed="false">
      <c r="A30" s="13"/>
      <c r="B30" s="14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7"/>
      <c r="Q30" s="18"/>
    </row>
    <row r="31" customFormat="false" ht="15" hidden="true" customHeight="false" outlineLevel="0" collapsed="false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7"/>
      <c r="Q31" s="18"/>
    </row>
    <row r="32" customFormat="false" ht="15" hidden="true" customHeight="false" outlineLevel="0" collapsed="false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  <c r="Q32" s="18"/>
    </row>
    <row r="33" customFormat="false" ht="15" hidden="true" customHeight="false" outlineLevel="0" collapsed="false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7"/>
      <c r="Q33" s="18"/>
    </row>
    <row r="34" customFormat="false" ht="15" hidden="true" customHeight="false" outlineLevel="0" collapsed="false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7"/>
      <c r="Q34" s="18"/>
    </row>
    <row r="35" customFormat="false" ht="15" hidden="true" customHeight="fals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8"/>
    </row>
    <row r="36" customFormat="false" ht="15" hidden="true" customHeight="fals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7"/>
      <c r="Q36" s="18"/>
    </row>
    <row r="37" customFormat="false" ht="15" hidden="true" customHeight="fals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8"/>
    </row>
    <row r="38" customFormat="false" ht="15" hidden="true" customHeight="fals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/>
      <c r="Q38" s="18"/>
    </row>
    <row r="39" customFormat="false" ht="15" hidden="true" customHeight="fals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8"/>
    </row>
    <row r="40" customFormat="false" ht="15" hidden="true" customHeight="fals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7"/>
      <c r="Q40" s="18"/>
    </row>
    <row r="41" customFormat="false" ht="15" hidden="true" customHeight="fals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7"/>
      <c r="Q41" s="18"/>
    </row>
    <row r="42" customFormat="false" ht="15" hidden="true" customHeight="fals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8"/>
    </row>
    <row r="43" customFormat="false" ht="15" hidden="true" customHeight="fals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/>
      <c r="Q43" s="18"/>
    </row>
    <row r="44" customFormat="false" ht="15" hidden="true" customHeight="fals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8"/>
    </row>
    <row r="45" customFormat="false" ht="15" hidden="true" customHeight="fals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8"/>
    </row>
    <row r="46" customFormat="false" ht="15" hidden="true" customHeight="fals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8"/>
    </row>
    <row r="47" customFormat="false" ht="15" hidden="true" customHeight="fals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8"/>
    </row>
    <row r="48" customFormat="false" ht="15" hidden="true" customHeight="fals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7"/>
      <c r="Q48" s="18"/>
    </row>
    <row r="49" customFormat="false" ht="15" hidden="true" customHeight="fals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7"/>
      <c r="Q49" s="18"/>
    </row>
    <row r="50" customFormat="false" ht="15" hidden="true" customHeight="fals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8"/>
    </row>
    <row r="51" customFormat="false" ht="15" hidden="true" customHeight="fals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7"/>
      <c r="Q51" s="18"/>
    </row>
    <row r="52" customFormat="false" ht="15" hidden="true" customHeight="fals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7"/>
      <c r="Q52" s="18"/>
    </row>
    <row r="53" customFormat="false" ht="15" hidden="true" customHeight="fals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7"/>
      <c r="Q53" s="18"/>
    </row>
    <row r="54" customFormat="false" ht="15" hidden="true" customHeight="fals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8"/>
    </row>
    <row r="55" customFormat="false" ht="15" hidden="true" customHeight="fals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8"/>
    </row>
    <row r="56" customFormat="false" ht="15" hidden="true" customHeight="fals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7"/>
      <c r="Q56" s="18"/>
    </row>
    <row r="57" customFormat="false" ht="15" hidden="true" customHeight="fals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7"/>
      <c r="Q57" s="18"/>
    </row>
    <row r="59" customFormat="false" ht="15" hidden="false" customHeight="false" outlineLevel="0" collapsed="false">
      <c r="C59" s="19" t="s">
        <v>44</v>
      </c>
      <c r="D59" s="19"/>
      <c r="E59" s="19"/>
      <c r="F59" s="19"/>
      <c r="G59" s="20"/>
      <c r="H59" s="20"/>
      <c r="I59" s="20"/>
      <c r="K59" s="19" t="s">
        <v>45</v>
      </c>
      <c r="L59" s="19"/>
      <c r="M59" s="19"/>
      <c r="N59" s="19"/>
      <c r="O59" s="21"/>
    </row>
    <row r="60" customFormat="false" ht="15" hidden="false" customHeight="false" outlineLevel="0" collapsed="false">
      <c r="D60" s="22"/>
      <c r="E60" s="22"/>
      <c r="G60" s="22"/>
      <c r="H60" s="22"/>
      <c r="J60" s="22"/>
      <c r="K60" s="22"/>
      <c r="L60" s="22"/>
      <c r="M60" s="22"/>
      <c r="N60" s="22"/>
      <c r="O60" s="22"/>
    </row>
    <row r="61" customFormat="false" ht="15" hidden="false" customHeight="false" outlineLevel="0" collapsed="false">
      <c r="D61" s="22"/>
      <c r="E61" s="22"/>
      <c r="G61" s="22"/>
      <c r="H61" s="22"/>
      <c r="J61" s="22"/>
      <c r="K61" s="22"/>
      <c r="L61" s="22"/>
      <c r="M61" s="22"/>
      <c r="N61" s="22"/>
      <c r="O61" s="22"/>
    </row>
    <row r="62" customFormat="false" ht="15" hidden="false" customHeight="false" outlineLevel="0" collapsed="false">
      <c r="D62" s="22"/>
      <c r="E62" s="22"/>
      <c r="G62" s="22"/>
      <c r="H62" s="22"/>
      <c r="J62" s="22"/>
      <c r="K62" s="22"/>
      <c r="L62" s="22"/>
      <c r="M62" s="22"/>
      <c r="N62" s="22"/>
      <c r="O62" s="22"/>
    </row>
    <row r="63" customFormat="false" ht="15" hidden="false" customHeight="false" outlineLevel="0" collapsed="false">
      <c r="D63" s="22"/>
      <c r="E63" s="22"/>
      <c r="G63" s="22"/>
      <c r="H63" s="22"/>
      <c r="J63" s="22"/>
      <c r="K63" s="22"/>
      <c r="L63" s="22"/>
      <c r="M63" s="22"/>
      <c r="N63" s="22"/>
      <c r="O63" s="22"/>
    </row>
    <row r="64" customFormat="false" ht="15" hidden="false" customHeight="false" outlineLevel="0" collapsed="false">
      <c r="C64" s="19" t="s">
        <v>46</v>
      </c>
      <c r="D64" s="19"/>
      <c r="E64" s="19"/>
      <c r="F64" s="19"/>
      <c r="G64" s="20"/>
      <c r="H64" s="20"/>
      <c r="I64" s="20"/>
      <c r="J64" s="21"/>
      <c r="K64" s="19" t="s">
        <v>60</v>
      </c>
      <c r="L64" s="19"/>
      <c r="M64" s="19"/>
      <c r="N64" s="19"/>
      <c r="O64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59:F59"/>
    <mergeCell ref="K59:N59"/>
    <mergeCell ref="C64:F64"/>
    <mergeCell ref="K64:N64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3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48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XD4'!$A$2:$G$60,7,0)&amp;VLOOKUP(AZ2,'[1]Tuyến XD4'!$A$2:$G$60,4,0)</f>
        <v xml:space="preserve">Kèm theo BBNT số: 79.NĐXD4/CVXD ngày 24 tháng 09 năm 2026</v>
      </c>
      <c r="B2" s="27"/>
      <c r="C2" s="27"/>
      <c r="D2" s="27"/>
      <c r="E2" s="27"/>
      <c r="F2" s="27"/>
      <c r="G2" s="27"/>
      <c r="AZ2">
        <v>79</v>
      </c>
    </row>
    <row r="3" s="33" customFormat="true" ht="37.5" hidden="false" customHeight="true" outlineLevel="0" collapsed="false">
      <c r="A3" s="28" t="s">
        <v>26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27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28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29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30</v>
      </c>
      <c r="B7" s="32"/>
      <c r="D7" s="34" t="str">
        <f>VLOOKUP(AZ2,'[1]Tuyến XD4'!$A$2:$B$60,2,0)</f>
        <v xml:space="preserve">Đắp đất lề đường lớp 4, độ chặt K&gt;=0,95 đoạn từ Km0+672,28 - Km0+746,82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34</v>
      </c>
      <c r="C9" s="36" t="s">
        <v>35</v>
      </c>
      <c r="D9" s="37" t="s">
        <v>49</v>
      </c>
      <c r="E9" s="38"/>
      <c r="F9" s="38"/>
      <c r="G9" s="37" t="s">
        <v>40</v>
      </c>
      <c r="H9" s="54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50</v>
      </c>
      <c r="F10" s="38" t="s">
        <v>51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38</v>
      </c>
      <c r="C11" s="15" t="n">
        <f aca="false">'1. KTHH L4'!C20</f>
        <v>672.28</v>
      </c>
      <c r="D11" s="13" t="n">
        <f aca="false">'1. KTHH L4'!Q20</f>
        <v>17</v>
      </c>
      <c r="E11" s="42" t="n">
        <f aca="false">Chạy!E2+Chạy!E6</f>
        <v>3.12</v>
      </c>
      <c r="F11" s="43" t="n">
        <f aca="false">(E11+E12)*D11/2</f>
        <v>53.04</v>
      </c>
      <c r="G11" s="44"/>
      <c r="H11" s="54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39</v>
      </c>
      <c r="C12" s="15" t="n">
        <f aca="false">'1. KTHH L4'!C21</f>
        <v>689.28</v>
      </c>
      <c r="D12" s="13" t="n">
        <f aca="false">'1. KTHH L4'!Q21</f>
        <v>11.75</v>
      </c>
      <c r="E12" s="42" t="n">
        <f aca="false">Chạy!E10+Chạy!E14</f>
        <v>3.12</v>
      </c>
      <c r="F12" s="43" t="n">
        <f aca="false">(E12+E13)*D12/2</f>
        <v>31.02</v>
      </c>
      <c r="G12" s="44"/>
      <c r="H12" s="54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F2</v>
      </c>
      <c r="C13" s="15" t="n">
        <f aca="false">'1. KTHH L4'!C22</f>
        <v>701.03</v>
      </c>
      <c r="D13" s="13" t="n">
        <f aca="false">'1. KTHH L4'!Q22</f>
        <v>11.75</v>
      </c>
      <c r="E13" s="42" t="n">
        <f aca="false">Chạy!E18+Chạy!E22</f>
        <v>2.16</v>
      </c>
      <c r="F13" s="43" t="n">
        <f aca="false">(E13+E14)*D13/2</f>
        <v>31.02</v>
      </c>
      <c r="G13" s="44"/>
      <c r="H13" s="54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40</v>
      </c>
      <c r="C14" s="15" t="n">
        <f aca="false">'1. KTHH L4'!C23</f>
        <v>712.78</v>
      </c>
      <c r="D14" s="13" t="n">
        <f aca="false">'1. KTHH L4'!Q23</f>
        <v>17</v>
      </c>
      <c r="E14" s="42" t="n">
        <f aca="false">Chạy!E26+Chạy!E30</f>
        <v>3.12</v>
      </c>
      <c r="F14" s="43" t="n">
        <f aca="false">(E14+E15)*D14/2</f>
        <v>53.04</v>
      </c>
      <c r="G14" s="44"/>
      <c r="H14" s="54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41</v>
      </c>
      <c r="C15" s="15" t="n">
        <f aca="false">'1. KTHH L4'!C24</f>
        <v>729.78</v>
      </c>
      <c r="D15" s="13" t="n">
        <f aca="false">'1. KTHH L4'!Q24</f>
        <v>17.04</v>
      </c>
      <c r="E15" s="42" t="n">
        <f aca="false">Chạy!E34+Chạy!E38</f>
        <v>3.12</v>
      </c>
      <c r="F15" s="43" t="n">
        <f aca="false">(E15+E16)*D15/2</f>
        <v>53.1648</v>
      </c>
      <c r="G15" s="44"/>
      <c r="H15" s="54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42</v>
      </c>
      <c r="C16" s="15" t="n">
        <f aca="false">'1. KTHH L4'!C25</f>
        <v>746.82</v>
      </c>
      <c r="D16" s="13"/>
      <c r="E16" s="42" t="n">
        <f aca="false">Chạy!E42+Chạy!E46</f>
        <v>3.12</v>
      </c>
      <c r="F16" s="43"/>
      <c r="G16" s="44"/>
      <c r="H16" s="54"/>
      <c r="I16" s="69"/>
    </row>
    <row r="17" s="41" customFormat="true" ht="15" hidden="true" customHeight="true" outlineLevel="0" collapsed="false">
      <c r="A17" s="13"/>
      <c r="B17" s="14"/>
      <c r="C17" s="15"/>
      <c r="D17" s="13"/>
      <c r="E17" s="42"/>
      <c r="F17" s="43"/>
      <c r="G17" s="44"/>
      <c r="H17" s="54"/>
      <c r="I17" s="69"/>
    </row>
    <row r="18" s="41" customFormat="true" ht="15" hidden="true" customHeight="true" outlineLevel="0" collapsed="false">
      <c r="A18" s="13"/>
      <c r="B18" s="14"/>
      <c r="C18" s="15"/>
      <c r="D18" s="13"/>
      <c r="E18" s="42"/>
      <c r="F18" s="43"/>
      <c r="G18" s="44"/>
      <c r="H18" s="54"/>
      <c r="I18" s="69"/>
    </row>
    <row r="19" s="41" customFormat="true" ht="15" hidden="true" customHeight="true" outlineLevel="0" collapsed="false">
      <c r="A19" s="13"/>
      <c r="B19" s="14"/>
      <c r="C19" s="15"/>
      <c r="D19" s="13"/>
      <c r="E19" s="42"/>
      <c r="F19" s="43"/>
      <c r="G19" s="44"/>
      <c r="H19" s="54"/>
      <c r="I19" s="69"/>
    </row>
    <row r="20" s="41" customFormat="true" ht="15" hidden="true" customHeight="true" outlineLevel="0" collapsed="false">
      <c r="A20" s="13"/>
      <c r="B20" s="14"/>
      <c r="C20" s="15"/>
      <c r="D20" s="13"/>
      <c r="E20" s="42"/>
      <c r="F20" s="43"/>
      <c r="G20" s="44"/>
      <c r="H20" s="54"/>
      <c r="I20" s="69"/>
    </row>
    <row r="21" s="41" customFormat="true" ht="15" hidden="true" customHeight="true" outlineLevel="0" collapsed="false">
      <c r="A21" s="13"/>
      <c r="B21" s="14"/>
      <c r="C21" s="15"/>
      <c r="D21" s="13"/>
      <c r="E21" s="42"/>
      <c r="F21" s="43"/>
      <c r="G21" s="44"/>
      <c r="H21" s="54"/>
      <c r="I21" s="69"/>
    </row>
    <row r="22" s="41" customFormat="true" ht="15" hidden="true" customHeight="true" outlineLevel="0" collapsed="false">
      <c r="A22" s="13"/>
      <c r="B22" s="14"/>
      <c r="C22" s="15"/>
      <c r="D22" s="13"/>
      <c r="E22" s="42"/>
      <c r="F22" s="43"/>
      <c r="G22" s="44"/>
      <c r="H22" s="54"/>
      <c r="I22" s="69"/>
    </row>
    <row r="23" s="41" customFormat="true" ht="15" hidden="true" customHeight="true" outlineLevel="0" collapsed="false">
      <c r="A23" s="13"/>
      <c r="B23" s="14"/>
      <c r="C23" s="15"/>
      <c r="D23" s="13"/>
      <c r="E23" s="42"/>
      <c r="F23" s="43"/>
      <c r="G23" s="44"/>
      <c r="H23" s="54"/>
      <c r="I23" s="69"/>
    </row>
    <row r="24" s="41" customFormat="true" ht="15" hidden="true" customHeight="true" outlineLevel="0" collapsed="false">
      <c r="A24" s="13"/>
      <c r="B24" s="14"/>
      <c r="C24" s="15"/>
      <c r="D24" s="13"/>
      <c r="E24" s="42"/>
      <c r="F24" s="43"/>
      <c r="G24" s="44"/>
      <c r="H24" s="54"/>
      <c r="I24" s="69"/>
    </row>
    <row r="25" s="41" customFormat="true" ht="15" hidden="true" customHeight="true" outlineLevel="0" collapsed="false">
      <c r="A25" s="13"/>
      <c r="B25" s="14"/>
      <c r="C25" s="15"/>
      <c r="D25" s="13"/>
      <c r="E25" s="42"/>
      <c r="F25" s="43"/>
      <c r="G25" s="44"/>
      <c r="H25" s="54"/>
      <c r="I25" s="69"/>
    </row>
    <row r="26" s="41" customFormat="true" ht="15" hidden="true" customHeight="true" outlineLevel="0" collapsed="false">
      <c r="A26" s="13"/>
      <c r="B26" s="14"/>
      <c r="C26" s="15"/>
      <c r="D26" s="13"/>
      <c r="E26" s="42"/>
      <c r="F26" s="43"/>
      <c r="G26" s="44"/>
      <c r="H26" s="54"/>
      <c r="I26" s="69"/>
    </row>
    <row r="27" s="41" customFormat="true" ht="15" hidden="true" customHeight="true" outlineLevel="0" collapsed="false">
      <c r="A27" s="13"/>
      <c r="B27" s="14"/>
      <c r="C27" s="15"/>
      <c r="D27" s="13"/>
      <c r="E27" s="42"/>
      <c r="F27" s="43"/>
      <c r="G27" s="44"/>
      <c r="H27" s="54"/>
      <c r="I27" s="69"/>
    </row>
    <row r="28" s="41" customFormat="true" ht="15" hidden="true" customHeight="true" outlineLevel="0" collapsed="false">
      <c r="A28" s="13"/>
      <c r="B28" s="14"/>
      <c r="C28" s="15"/>
      <c r="D28" s="13"/>
      <c r="E28" s="42"/>
      <c r="F28" s="43"/>
      <c r="G28" s="44"/>
      <c r="H28" s="54"/>
      <c r="I28" s="69"/>
    </row>
    <row r="29" s="41" customFormat="true" ht="15" hidden="true" customHeight="true" outlineLevel="0" collapsed="false">
      <c r="A29" s="13"/>
      <c r="B29" s="14"/>
      <c r="C29" s="15"/>
      <c r="D29" s="13"/>
      <c r="E29" s="42"/>
      <c r="F29" s="43"/>
      <c r="G29" s="44"/>
      <c r="H29" s="54"/>
      <c r="I29" s="69"/>
    </row>
    <row r="30" s="41" customFormat="true" ht="15" hidden="true" customHeight="true" outlineLevel="0" collapsed="false">
      <c r="A30" s="13"/>
      <c r="B30" s="14"/>
      <c r="C30" s="15"/>
      <c r="D30" s="13"/>
      <c r="E30" s="42"/>
      <c r="F30" s="43"/>
      <c r="G30" s="44"/>
      <c r="H30" s="54"/>
      <c r="I30" s="69"/>
    </row>
    <row r="31" s="41" customFormat="true" ht="15" hidden="true" customHeight="true" outlineLevel="0" collapsed="false">
      <c r="A31" s="13"/>
      <c r="B31" s="14"/>
      <c r="C31" s="15"/>
      <c r="D31" s="13"/>
      <c r="E31" s="42"/>
      <c r="F31" s="43"/>
      <c r="G31" s="44"/>
      <c r="H31" s="54"/>
      <c r="I31" s="69"/>
    </row>
    <row r="32" s="41" customFormat="true" ht="15" hidden="true" customHeight="true" outlineLevel="0" collapsed="false">
      <c r="A32" s="13"/>
      <c r="B32" s="14"/>
      <c r="C32" s="15"/>
      <c r="D32" s="13"/>
      <c r="E32" s="42"/>
      <c r="F32" s="43"/>
      <c r="G32" s="44"/>
      <c r="H32" s="54"/>
      <c r="I32" s="69"/>
    </row>
    <row r="33" s="41" customFormat="true" ht="15" hidden="true" customHeight="true" outlineLevel="0" collapsed="false">
      <c r="A33" s="13"/>
      <c r="B33" s="14"/>
      <c r="C33" s="15"/>
      <c r="D33" s="13"/>
      <c r="E33" s="42"/>
      <c r="F33" s="43"/>
      <c r="G33" s="44"/>
      <c r="H33" s="54"/>
      <c r="I33" s="69"/>
    </row>
    <row r="34" s="41" customFormat="true" ht="15" hidden="true" customHeight="true" outlineLevel="0" collapsed="false">
      <c r="A34" s="13"/>
      <c r="B34" s="14"/>
      <c r="C34" s="15"/>
      <c r="D34" s="13"/>
      <c r="E34" s="42"/>
      <c r="F34" s="43"/>
      <c r="G34" s="44"/>
      <c r="H34" s="54"/>
      <c r="I34" s="69"/>
    </row>
    <row r="35" s="41" customFormat="true" ht="15" hidden="true" customHeight="true" outlineLevel="0" collapsed="false">
      <c r="A35" s="13"/>
      <c r="B35" s="14"/>
      <c r="C35" s="15"/>
      <c r="D35" s="13"/>
      <c r="E35" s="42"/>
      <c r="F35" s="43"/>
      <c r="G35" s="44"/>
      <c r="H35" s="54"/>
      <c r="I35" s="69"/>
    </row>
    <row r="36" s="41" customFormat="true" ht="15" hidden="true" customHeight="true" outlineLevel="0" collapsed="false">
      <c r="A36" s="13"/>
      <c r="B36" s="14"/>
      <c r="C36" s="15"/>
      <c r="D36" s="13"/>
      <c r="E36" s="42"/>
      <c r="F36" s="43"/>
      <c r="G36" s="44"/>
      <c r="H36" s="54"/>
      <c r="I36" s="69"/>
    </row>
    <row r="37" s="41" customFormat="true" ht="15" hidden="true" customHeight="true" outlineLevel="0" collapsed="false">
      <c r="A37" s="13"/>
      <c r="B37" s="14"/>
      <c r="C37" s="15"/>
      <c r="D37" s="13"/>
      <c r="E37" s="42"/>
      <c r="F37" s="43"/>
      <c r="G37" s="44"/>
      <c r="H37" s="54"/>
      <c r="I37" s="69"/>
    </row>
    <row r="38" s="41" customFormat="true" ht="15" hidden="true" customHeight="true" outlineLevel="0" collapsed="false">
      <c r="A38" s="13"/>
      <c r="B38" s="14"/>
      <c r="C38" s="15"/>
      <c r="D38" s="13"/>
      <c r="E38" s="42"/>
      <c r="F38" s="43"/>
      <c r="G38" s="44"/>
      <c r="H38" s="54"/>
      <c r="I38" s="69"/>
    </row>
    <row r="39" s="41" customFormat="true" ht="15" hidden="true" customHeight="true" outlineLevel="0" collapsed="false">
      <c r="A39" s="13"/>
      <c r="B39" s="14"/>
      <c r="C39" s="15"/>
      <c r="D39" s="13"/>
      <c r="E39" s="42"/>
      <c r="F39" s="43"/>
      <c r="G39" s="44"/>
      <c r="H39" s="54"/>
      <c r="I39" s="69"/>
    </row>
    <row r="40" s="41" customFormat="true" ht="15" hidden="true" customHeight="true" outlineLevel="0" collapsed="false">
      <c r="A40" s="13"/>
      <c r="B40" s="14"/>
      <c r="C40" s="15"/>
      <c r="D40" s="13"/>
      <c r="E40" s="42"/>
      <c r="F40" s="43"/>
      <c r="G40" s="44"/>
      <c r="H40" s="54"/>
      <c r="I40" s="69"/>
    </row>
    <row r="41" s="41" customFormat="true" ht="15" hidden="true" customHeight="true" outlineLevel="0" collapsed="false">
      <c r="A41" s="13"/>
      <c r="B41" s="14"/>
      <c r="C41" s="15"/>
      <c r="D41" s="13"/>
      <c r="E41" s="42"/>
      <c r="F41" s="43"/>
      <c r="G41" s="44"/>
      <c r="H41" s="54"/>
      <c r="I41" s="69"/>
    </row>
    <row r="42" s="41" customFormat="true" ht="15" hidden="true" customHeight="true" outlineLevel="0" collapsed="false">
      <c r="A42" s="13"/>
      <c r="B42" s="14"/>
      <c r="C42" s="15"/>
      <c r="D42" s="13"/>
      <c r="E42" s="42"/>
      <c r="F42" s="43"/>
      <c r="G42" s="44"/>
      <c r="H42" s="54"/>
      <c r="I42" s="69"/>
    </row>
    <row r="43" s="41" customFormat="true" ht="15" hidden="true" customHeight="true" outlineLevel="0" collapsed="false">
      <c r="A43" s="13"/>
      <c r="B43" s="14"/>
      <c r="C43" s="15"/>
      <c r="D43" s="13"/>
      <c r="E43" s="42"/>
      <c r="F43" s="43"/>
      <c r="G43" s="44"/>
      <c r="H43" s="54"/>
      <c r="I43" s="69"/>
    </row>
    <row r="44" s="41" customFormat="true" ht="15" hidden="true" customHeight="true" outlineLevel="0" collapsed="false">
      <c r="A44" s="13"/>
      <c r="B44" s="14"/>
      <c r="C44" s="15"/>
      <c r="D44" s="13"/>
      <c r="E44" s="42"/>
      <c r="F44" s="43"/>
      <c r="G44" s="44"/>
      <c r="H44" s="54"/>
      <c r="I44" s="69"/>
    </row>
    <row r="45" s="41" customFormat="true" ht="15" hidden="true" customHeight="true" outlineLevel="0" collapsed="false">
      <c r="A45" s="13"/>
      <c r="B45" s="14"/>
      <c r="C45" s="15"/>
      <c r="D45" s="13"/>
      <c r="E45" s="42"/>
      <c r="F45" s="43"/>
      <c r="G45" s="44"/>
      <c r="H45" s="54"/>
      <c r="I45" s="69"/>
    </row>
    <row r="46" s="41" customFormat="true" ht="15" hidden="true" customHeight="true" outlineLevel="0" collapsed="false">
      <c r="A46" s="13"/>
      <c r="B46" s="14"/>
      <c r="C46" s="15"/>
      <c r="D46" s="13"/>
      <c r="E46" s="42"/>
      <c r="F46" s="43"/>
      <c r="G46" s="44"/>
      <c r="H46" s="54"/>
      <c r="I46" s="69"/>
    </row>
    <row r="47" s="41" customFormat="true" ht="15" hidden="true" customHeight="true" outlineLevel="0" collapsed="false">
      <c r="A47" s="13"/>
      <c r="B47" s="14"/>
      <c r="C47" s="15"/>
      <c r="D47" s="13"/>
      <c r="E47" s="42"/>
      <c r="F47" s="43"/>
      <c r="G47" s="44"/>
      <c r="H47" s="54"/>
      <c r="I47" s="69"/>
    </row>
    <row r="48" s="41" customFormat="true" ht="15" hidden="true" customHeight="true" outlineLevel="0" collapsed="false">
      <c r="A48" s="13"/>
      <c r="B48" s="14"/>
      <c r="C48" s="15"/>
      <c r="D48" s="13"/>
      <c r="E48" s="42"/>
      <c r="F48" s="43"/>
      <c r="G48" s="44"/>
      <c r="H48" s="54"/>
      <c r="I48" s="69"/>
    </row>
    <row r="49" s="50" customFormat="true" ht="15" hidden="false" customHeight="true" outlineLevel="0" collapsed="false">
      <c r="A49" s="36" t="s">
        <v>52</v>
      </c>
      <c r="B49" s="36"/>
      <c r="C49" s="36"/>
      <c r="D49" s="36"/>
      <c r="E49" s="47"/>
      <c r="F49" s="48" t="n">
        <f aca="false">SUM(F11:F16)</f>
        <v>221.2848</v>
      </c>
      <c r="G49" s="49"/>
      <c r="I49" s="69"/>
      <c r="J49" s="41"/>
      <c r="K49" s="41"/>
      <c r="L49" s="41"/>
      <c r="M49" s="41"/>
      <c r="N49" s="41"/>
      <c r="O49" s="41"/>
      <c r="P49" s="41"/>
      <c r="Q49" s="54"/>
    </row>
    <row r="50" s="50" customFormat="true" ht="14.25" hidden="false" customHeight="true" outlineLevel="0" collapsed="false">
      <c r="A50" s="20"/>
      <c r="B50" s="20"/>
      <c r="C50" s="20"/>
      <c r="D50" s="20"/>
      <c r="F50" s="55"/>
      <c r="G50" s="55"/>
    </row>
    <row r="51" s="50" customFormat="true" ht="15" hidden="false" customHeight="true" outlineLevel="0" collapsed="false">
      <c r="A51" s="19" t="s">
        <v>44</v>
      </c>
      <c r="B51" s="19"/>
      <c r="C51" s="19"/>
      <c r="D51" s="57" t="s">
        <v>53</v>
      </c>
      <c r="E51" s="19" t="s">
        <v>45</v>
      </c>
      <c r="F51" s="19"/>
      <c r="G51" s="19"/>
      <c r="Q51" s="58"/>
    </row>
    <row r="52" s="50" customFormat="true" ht="14.25" hidden="false" customHeight="true" outlineLevel="0" collapsed="false">
      <c r="A52" s="59"/>
      <c r="B52" s="59"/>
      <c r="C52" s="59"/>
      <c r="D52" s="60"/>
      <c r="E52" s="59"/>
      <c r="F52" s="59"/>
      <c r="G52" s="59"/>
    </row>
    <row r="53" s="50" customFormat="true" ht="15" hidden="false" customHeight="true" outlineLevel="0" collapsed="false">
      <c r="A53" s="59"/>
      <c r="B53" s="59"/>
      <c r="C53" s="61"/>
      <c r="D53" s="61"/>
      <c r="E53" s="59"/>
      <c r="F53" s="59"/>
      <c r="G53" s="61"/>
      <c r="J53" s="62"/>
    </row>
    <row r="54" s="50" customFormat="true" ht="14.25" hidden="false" customHeight="true" outlineLevel="0" collapsed="false">
      <c r="A54" s="59"/>
      <c r="B54" s="59"/>
      <c r="C54" s="59"/>
      <c r="D54" s="60"/>
      <c r="E54" s="59"/>
      <c r="F54" s="59"/>
      <c r="G54" s="59"/>
    </row>
    <row r="55" s="50" customFormat="true" ht="14.25" hidden="false" customHeight="true" outlineLevel="0" collapsed="false">
      <c r="A55" s="59"/>
      <c r="B55" s="59"/>
      <c r="C55" s="59"/>
      <c r="D55" s="60"/>
      <c r="E55" s="59"/>
      <c r="F55" s="59"/>
      <c r="G55" s="59"/>
    </row>
    <row r="56" s="50" customFormat="true" ht="14.25" hidden="false" customHeight="true" outlineLevel="0" collapsed="false">
      <c r="A56" s="59"/>
      <c r="B56" s="59"/>
      <c r="C56" s="59"/>
      <c r="D56" s="60"/>
      <c r="E56" s="59"/>
      <c r="F56" s="59"/>
      <c r="G56" s="59"/>
    </row>
    <row r="57" s="50" customFormat="true" ht="14.25" hidden="false" customHeight="true" outlineLevel="0" collapsed="false">
      <c r="A57" s="19" t="s">
        <v>46</v>
      </c>
      <c r="B57" s="19"/>
      <c r="C57" s="19"/>
      <c r="D57" s="21"/>
      <c r="E57" s="19" t="str">
        <f aca="false">'1. KTHH L4'!K64</f>
        <v>Lê Minh Hải</v>
      </c>
      <c r="F57" s="19"/>
      <c r="G57" s="19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  <row r="106" customFormat="false" ht="12.75" hidden="false" customHeight="false" outlineLevel="0" collapsed="false">
      <c r="A106" s="63"/>
      <c r="B106" s="63"/>
      <c r="C106" s="63"/>
      <c r="D106" s="63"/>
      <c r="E106" s="63"/>
      <c r="F106" s="63"/>
      <c r="G106" s="63"/>
    </row>
    <row r="107" s="24" customFormat="true" ht="12.75" hidden="false" customHeight="false" outlineLevel="0" collapsed="false">
      <c r="A107" s="63"/>
      <c r="B107" s="63"/>
      <c r="C107" s="63"/>
      <c r="D107" s="63"/>
      <c r="E107" s="63"/>
      <c r="F107" s="63"/>
      <c r="G107" s="63"/>
      <c r="H107" s="23"/>
      <c r="I107" s="23"/>
      <c r="J107" s="23"/>
      <c r="K107" s="23"/>
    </row>
    <row r="108" s="24" customFormat="true" ht="12.75" hidden="false" customHeight="false" outlineLevel="0" collapsed="false">
      <c r="A108" s="63"/>
      <c r="B108" s="63"/>
      <c r="C108" s="63"/>
      <c r="D108" s="63"/>
      <c r="E108" s="63"/>
      <c r="F108" s="63"/>
      <c r="G108" s="63"/>
      <c r="H108" s="23"/>
      <c r="I108" s="23"/>
      <c r="J108" s="23"/>
      <c r="K108" s="23"/>
    </row>
    <row r="109" s="24" customFormat="true" ht="12.75" hidden="false" customHeight="false" outlineLevel="0" collapsed="false">
      <c r="A109" s="63"/>
      <c r="B109" s="63"/>
      <c r="C109" s="63"/>
      <c r="D109" s="63"/>
      <c r="E109" s="63"/>
      <c r="F109" s="63"/>
      <c r="G109" s="63"/>
      <c r="H109" s="23"/>
      <c r="I109" s="23"/>
      <c r="J109" s="23"/>
      <c r="K109" s="23"/>
    </row>
    <row r="110" s="24" customFormat="true" ht="12.75" hidden="false" customHeight="false" outlineLevel="0" collapsed="false">
      <c r="A110" s="63"/>
      <c r="B110" s="63"/>
      <c r="C110" s="63"/>
      <c r="D110" s="63"/>
      <c r="E110" s="63"/>
      <c r="F110" s="63"/>
      <c r="G110" s="63"/>
      <c r="H110" s="23"/>
      <c r="I110" s="23"/>
      <c r="J110" s="23"/>
      <c r="K110" s="23"/>
    </row>
    <row r="111" s="24" customFormat="true" ht="12.75" hidden="false" customHeight="false" outlineLevel="0" collapsed="false">
      <c r="A111" s="63"/>
      <c r="B111" s="63"/>
      <c r="C111" s="63"/>
      <c r="D111" s="63"/>
      <c r="E111" s="63"/>
      <c r="F111" s="63"/>
      <c r="G111" s="63"/>
      <c r="H111" s="23"/>
      <c r="I111" s="23"/>
      <c r="J111" s="23"/>
      <c r="K111" s="23"/>
    </row>
    <row r="112" s="24" customFormat="true" ht="12.75" hidden="false" customHeight="false" outlineLevel="0" collapsed="false">
      <c r="A112" s="63"/>
      <c r="B112" s="63"/>
      <c r="C112" s="63"/>
      <c r="D112" s="63"/>
      <c r="E112" s="63"/>
      <c r="F112" s="63"/>
      <c r="G112" s="63"/>
      <c r="H112" s="23"/>
      <c r="I112" s="23"/>
      <c r="J112" s="23"/>
      <c r="K112" s="23"/>
    </row>
    <row r="113" s="24" customFormat="true" ht="12.75" hidden="false" customHeight="false" outlineLevel="0" collapsed="false">
      <c r="A113" s="63"/>
      <c r="B113" s="63"/>
      <c r="C113" s="63"/>
      <c r="D113" s="63"/>
      <c r="E113" s="63"/>
      <c r="F113" s="63"/>
      <c r="G113" s="63"/>
      <c r="H113" s="23"/>
      <c r="I113" s="23"/>
      <c r="J113" s="23"/>
      <c r="K113" s="23"/>
    </row>
    <row r="114" s="24" customFormat="true" ht="12.75" hidden="false" customHeight="false" outlineLevel="0" collapsed="false">
      <c r="A114" s="63"/>
      <c r="B114" s="63"/>
      <c r="C114" s="63"/>
      <c r="D114" s="63"/>
      <c r="E114" s="63"/>
      <c r="F114" s="63"/>
      <c r="G114" s="63"/>
      <c r="H114" s="23"/>
      <c r="I114" s="23"/>
      <c r="J114" s="23"/>
      <c r="K114" s="23"/>
    </row>
    <row r="115" s="24" customFormat="true" ht="12.75" hidden="false" customHeight="false" outlineLevel="0" collapsed="false">
      <c r="A115" s="63"/>
      <c r="B115" s="63"/>
      <c r="C115" s="63"/>
      <c r="D115" s="63"/>
      <c r="E115" s="63"/>
      <c r="F115" s="63"/>
      <c r="G115" s="63"/>
      <c r="H115" s="23"/>
      <c r="I115" s="23"/>
      <c r="J115" s="23"/>
      <c r="K115" s="23"/>
    </row>
    <row r="116" s="24" customFormat="true" ht="12.75" hidden="false" customHeight="false" outlineLevel="0" collapsed="false">
      <c r="A116" s="63"/>
      <c r="B116" s="63"/>
      <c r="C116" s="63"/>
      <c r="D116" s="63"/>
      <c r="E116" s="63"/>
      <c r="F116" s="63"/>
      <c r="G116" s="63"/>
      <c r="H116" s="23"/>
      <c r="I116" s="23"/>
      <c r="J116" s="23"/>
      <c r="K116" s="23"/>
    </row>
    <row r="117" s="24" customFormat="true" ht="12.75" hidden="false" customHeight="false" outlineLevel="0" collapsed="false">
      <c r="A117" s="63"/>
      <c r="B117" s="63"/>
      <c r="C117" s="63"/>
      <c r="D117" s="63"/>
      <c r="E117" s="63"/>
      <c r="F117" s="63"/>
      <c r="G117" s="63"/>
      <c r="H117" s="23"/>
      <c r="I117" s="23"/>
      <c r="J117" s="23"/>
      <c r="K117" s="23"/>
    </row>
    <row r="118" s="24" customFormat="true" ht="12.75" hidden="false" customHeight="false" outlineLevel="0" collapsed="false">
      <c r="A118" s="63"/>
      <c r="B118" s="63"/>
      <c r="C118" s="63"/>
      <c r="D118" s="63"/>
      <c r="E118" s="63"/>
      <c r="F118" s="63"/>
      <c r="G118" s="63"/>
      <c r="H118" s="23"/>
      <c r="I118" s="23"/>
      <c r="J118" s="23"/>
      <c r="K118" s="23"/>
    </row>
    <row r="119" s="24" customFormat="true" ht="12.75" hidden="false" customHeight="false" outlineLevel="0" collapsed="false">
      <c r="A119" s="63"/>
      <c r="B119" s="63"/>
      <c r="C119" s="63"/>
      <c r="D119" s="63"/>
      <c r="E119" s="63"/>
      <c r="F119" s="63"/>
      <c r="G119" s="63"/>
      <c r="H119" s="23"/>
      <c r="I119" s="23"/>
      <c r="J119" s="23"/>
      <c r="K119" s="23"/>
    </row>
    <row r="120" s="24" customFormat="true" ht="12.75" hidden="false" customHeight="false" outlineLevel="0" collapsed="false">
      <c r="A120" s="63"/>
      <c r="B120" s="63"/>
      <c r="C120" s="63"/>
      <c r="D120" s="63"/>
      <c r="E120" s="63"/>
      <c r="F120" s="63"/>
      <c r="G120" s="63"/>
      <c r="H120" s="23"/>
      <c r="I120" s="23"/>
      <c r="J120" s="23"/>
      <c r="K120" s="23"/>
    </row>
    <row r="121" s="24" customFormat="true" ht="12.75" hidden="false" customHeight="false" outlineLevel="0" collapsed="false">
      <c r="A121" s="63"/>
      <c r="B121" s="63"/>
      <c r="C121" s="63"/>
      <c r="D121" s="63"/>
      <c r="E121" s="63"/>
      <c r="F121" s="63"/>
      <c r="G121" s="63"/>
      <c r="H121" s="23"/>
      <c r="I121" s="23"/>
      <c r="J121" s="23"/>
      <c r="K121" s="23"/>
    </row>
    <row r="122" s="24" customFormat="true" ht="12.75" hidden="false" customHeight="false" outlineLevel="0" collapsed="false">
      <c r="A122" s="63"/>
      <c r="B122" s="63"/>
      <c r="C122" s="63"/>
      <c r="D122" s="63"/>
      <c r="E122" s="63"/>
      <c r="F122" s="63"/>
      <c r="G122" s="63"/>
      <c r="H122" s="23"/>
      <c r="I122" s="23"/>
      <c r="J122" s="23"/>
      <c r="K122" s="23"/>
    </row>
    <row r="123" s="24" customFormat="true" ht="12.75" hidden="false" customHeight="false" outlineLevel="0" collapsed="false">
      <c r="A123" s="63"/>
      <c r="B123" s="63"/>
      <c r="C123" s="63"/>
      <c r="D123" s="63"/>
      <c r="E123" s="63"/>
      <c r="F123" s="63"/>
      <c r="G123" s="63"/>
      <c r="H123" s="23"/>
      <c r="I123" s="23"/>
      <c r="J123" s="23"/>
      <c r="K123" s="23"/>
    </row>
    <row r="124" s="24" customFormat="true" ht="12.75" hidden="false" customHeight="false" outlineLevel="0" collapsed="false">
      <c r="A124" s="63"/>
      <c r="B124" s="63"/>
      <c r="C124" s="63"/>
      <c r="D124" s="63"/>
      <c r="E124" s="63"/>
      <c r="F124" s="63"/>
      <c r="G124" s="63"/>
      <c r="H124" s="23"/>
      <c r="I124" s="23"/>
      <c r="J124" s="23"/>
      <c r="K124" s="23"/>
    </row>
    <row r="125" s="24" customFormat="true" ht="12.75" hidden="false" customHeight="false" outlineLevel="0" collapsed="false">
      <c r="A125" s="63"/>
      <c r="B125" s="63"/>
      <c r="C125" s="63"/>
      <c r="D125" s="63"/>
      <c r="E125" s="63"/>
      <c r="F125" s="63"/>
      <c r="G125" s="63"/>
      <c r="H125" s="23"/>
      <c r="I125" s="23"/>
      <c r="J125" s="23"/>
      <c r="K125" s="23"/>
    </row>
    <row r="126" s="24" customFormat="true" ht="12.75" hidden="false" customHeight="false" outlineLevel="0" collapsed="false">
      <c r="A126" s="63"/>
      <c r="B126" s="63"/>
      <c r="C126" s="63"/>
      <c r="D126" s="63"/>
      <c r="E126" s="63"/>
      <c r="F126" s="63"/>
      <c r="G126" s="63"/>
      <c r="H126" s="23"/>
      <c r="I126" s="23"/>
      <c r="J126" s="23"/>
      <c r="K126" s="23"/>
    </row>
    <row r="127" s="24" customFormat="true" ht="12.75" hidden="false" customHeight="false" outlineLevel="0" collapsed="false">
      <c r="A127" s="63"/>
      <c r="B127" s="63"/>
      <c r="C127" s="63"/>
      <c r="D127" s="63"/>
      <c r="E127" s="63"/>
      <c r="F127" s="63"/>
      <c r="G127" s="63"/>
      <c r="H127" s="23"/>
      <c r="I127" s="23"/>
      <c r="J127" s="23"/>
      <c r="K127" s="23"/>
    </row>
    <row r="128" s="24" customFormat="true" ht="12.75" hidden="false" customHeight="false" outlineLevel="0" collapsed="false">
      <c r="A128" s="63"/>
      <c r="B128" s="63"/>
      <c r="C128" s="63"/>
      <c r="D128" s="63"/>
      <c r="E128" s="63"/>
      <c r="F128" s="63"/>
      <c r="G128" s="63"/>
      <c r="H128" s="23"/>
      <c r="I128" s="23"/>
      <c r="J128" s="23"/>
      <c r="K128" s="23"/>
    </row>
    <row r="129" s="24" customFormat="true" ht="12.75" hidden="false" customHeight="false" outlineLevel="0" collapsed="false">
      <c r="A129" s="63"/>
      <c r="B129" s="63"/>
      <c r="C129" s="63"/>
      <c r="D129" s="63"/>
      <c r="E129" s="63"/>
      <c r="F129" s="63"/>
      <c r="G129" s="63"/>
      <c r="H129" s="23"/>
      <c r="I129" s="23"/>
      <c r="J129" s="23"/>
      <c r="K129" s="23"/>
    </row>
    <row r="130" s="24" customFormat="true" ht="12.75" hidden="false" customHeight="false" outlineLevel="0" collapsed="false">
      <c r="A130" s="63"/>
      <c r="B130" s="63"/>
      <c r="C130" s="63"/>
      <c r="D130" s="63"/>
      <c r="E130" s="63"/>
      <c r="F130" s="63"/>
      <c r="G130" s="63"/>
      <c r="H130" s="23"/>
      <c r="I130" s="23"/>
      <c r="J130" s="23"/>
      <c r="K130" s="23"/>
    </row>
    <row r="131" s="24" customFormat="true" ht="12.75" hidden="false" customHeight="false" outlineLevel="0" collapsed="false">
      <c r="A131" s="63"/>
      <c r="B131" s="63"/>
      <c r="C131" s="63"/>
      <c r="D131" s="63"/>
      <c r="E131" s="63"/>
      <c r="F131" s="63"/>
      <c r="G131" s="63"/>
      <c r="H131" s="23"/>
      <c r="I131" s="23"/>
      <c r="J131" s="23"/>
      <c r="K131" s="23"/>
    </row>
    <row r="132" s="24" customFormat="true" ht="12.75" hidden="false" customHeight="false" outlineLevel="0" collapsed="false">
      <c r="A132" s="63"/>
      <c r="B132" s="63"/>
      <c r="C132" s="63"/>
      <c r="D132" s="63"/>
      <c r="E132" s="63"/>
      <c r="F132" s="63"/>
      <c r="G132" s="63"/>
      <c r="H132" s="23"/>
      <c r="I132" s="23"/>
      <c r="J132" s="23"/>
      <c r="K132" s="23"/>
    </row>
    <row r="133" s="24" customFormat="true" ht="12.75" hidden="false" customHeight="false" outlineLevel="0" collapsed="false">
      <c r="A133" s="63"/>
      <c r="B133" s="63"/>
      <c r="C133" s="63"/>
      <c r="D133" s="63"/>
      <c r="E133" s="63"/>
      <c r="F133" s="63"/>
      <c r="G133" s="63"/>
      <c r="H133" s="23"/>
      <c r="I133" s="23"/>
      <c r="J133" s="23"/>
      <c r="K133" s="23"/>
    </row>
    <row r="134" s="24" customFormat="true" ht="12.75" hidden="false" customHeight="false" outlineLevel="0" collapsed="false">
      <c r="A134" s="63"/>
      <c r="B134" s="63"/>
      <c r="C134" s="63"/>
      <c r="D134" s="63"/>
      <c r="E134" s="63"/>
      <c r="F134" s="63"/>
      <c r="G134" s="63"/>
      <c r="H134" s="23"/>
      <c r="I134" s="23"/>
      <c r="J134" s="23"/>
      <c r="K134" s="2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49:D49"/>
    <mergeCell ref="A51:C51"/>
    <mergeCell ref="E51:G51"/>
    <mergeCell ref="A57:C57"/>
    <mergeCell ref="E57:G57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2026-10-13T10:13:00Z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