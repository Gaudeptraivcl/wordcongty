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<sst xmlns="http://schemas.openxmlformats.org/spreadsheetml/2006/main" count="603" uniqueCount="74">
  <si>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</si>
  <si>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</si>
  <si>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</si>
  <si>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</si>
  <si>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</si>
  <si>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</si>
  <si>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</si>
  <si>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</si>
  <si>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</si>
  <si>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</si>
  <si>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</si>
  <si>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</si>
  <si>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</si>
  <si>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</si>
  <si>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</si>
  <si>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</si>
  <si>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</si>
  <si>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38</t>
  </si>
  <si>
    <t xml:space="preserve">39</t>
  </si>
  <si>
    <t xml:space="preserve">F2</t>
  </si>
  <si>
    <t xml:space="preserve">40</t>
  </si>
  <si>
    <t xml:space="preserve">41</t>
  </si>
  <si>
    <t xml:space="preserve">42</t>
  </si>
  <si>
    <t xml:space="preserve">PHỤ LỤC KIỂM TRA CAO ĐỘ, KÍCH THƯỚC HÌNH HỌC</t>
  </si>
  <si>
    <t xml:space="preserve">Kèm theo BBNT số: 64.NĐXD4/CVXD ngày 16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</si>
  <si>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</si>
  <si>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</si>
  <si>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</si>
  <si>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</si>
  <si>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</si>
  <si>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đất nền đường lớp 1 đoạn từ Km0+672,28 - Km0+746,82,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</si>
  <si>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</si>
  <si>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</si>
  <si>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</si>
  <si>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</si>
  <si>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</si>
  <si>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</si>
  <si>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</si>
  <si>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</si>
  <si>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</si>
  <si>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</si>
  <si>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</si>
  <si>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</si>
  <si>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</si>
  <si>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</si>
  <si>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</si>
  <si>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</si>
  <si>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</si>
  <si>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</si>
  <si>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</si>
  <si>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</si>
  <si>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</si>
  <si>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</si>
  <si>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</si>
  <si>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</si>
  <si>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</si>
  <si>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</si>
  <si>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</si>
  <si>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65.NĐXD4/CVXD ngày 17 tháng 09 năm 2026</t>
  </si>
  <si>
    <t xml:space="preserve">Đắp đất nền đường lớp 2 đoạn từ Km0+672,28 - Km0+746,82, độ chặt K&gt;=0,95</t>
  </si>
  <si>
    <t xml:space="preserve">Kèm theo BBNT số: 66.NĐXD4/CVXD ngày 17 tháng 09 năm 2026</t>
  </si>
  <si>
    <t xml:space="preserve">Đắp đất nền đường lớp 3 đoạn từ Km0+672,28 - Km0+746,82, độ chặt K&gt;=0,95</t>
  </si>
  <si>
    <t xml:space="preserve">Kèm theo BBNT số: 67.NĐXD4/CVXD ngày 18 tháng 09 năm 2026</t>
  </si>
  <si>
    <t xml:space="preserve">Đắp đất nền đường lớp 4 đoạn từ Km0+672,28 - Km0+746,82, độ chặt K&gt;=0,95</t>
  </si>
  <si>
    <t xml:space="preserve">Kèm theo BBNT số: 68.NĐXD4/CVXD ngày 18 tháng 09 năm 2026</t>
  </si>
  <si>
    <t xml:space="preserve">Đắp đất nền đường lớp 5 đoạn từ Km0+672,28 - Km0+746,82, độ chặt K&gt;=0,95</t>
  </si>
  <si>
    <t xml:space="preserve">Kèm theo BBNT số: 69.NĐXD4/CVXD ngày 19 tháng 09 năm 2026</t>
  </si>
  <si>
    <t xml:space="preserve">Đắp đất nền đường lớp 6 đoạn từ Km0+672,28 - Km0+746,82, độ chặt K&gt;=0,95</t>
  </si>
  <si>
    <t xml:space="preserve">Kèm theo BBNT số: 70.NĐXD4/CVXD ngày 19 tháng 09 năm 2026</t>
  </si>
  <si>
    <t xml:space="preserve">Đắp đất nền đường lớp 7 đoạn từ Km0+672,28 - Km0+746,82, độ chặt K&gt;=0,95</t>
  </si>
  <si>
    <t xml:space="preserve">Kèm theo BBNT số: 71.NĐXD4/CVXD ngày 20 tháng 09 năm 2026</t>
  </si>
  <si>
    <t xml:space="preserve">Đắp đất nền đường lớp 8 đoạn từ Km0+672,28 - Km0+746,82, độ chặt K&gt;=0,95</t>
  </si>
  <si>
    <t xml:space="preserve">Kèm theo BBNT số: 72.NĐXD4/CVXD ngày 20 tháng 09 năm 2026</t>
  </si>
  <si>
    <t xml:space="preserve">Đắp đất nền đường lớp 9 đoạn từ Km0+672,28 - Km0+746,82,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</si>
</sst>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Km0+672,28 -:- Km0+746,82</v>
          </cell>
          <cell r="D3" t="str">
            <v xml:space="preserve">ngày 12 tháng 09 năm 2026</v>
          </cell>
          <cell r="G3" t="str">
            <v xml:space="preserve">57.NĐXD4/CVXD </v>
          </cell>
        </row>
        <row r="4">
          <cell r="A4">
            <v>58</v>
          </cell>
          <cell r="B4" t="str">
            <v xml:space="preserve">Đào đất xử lý nền đường đoạn từ Km0+672,28 - Km0+746,82</v>
          </cell>
          <cell r="D4" t="str">
            <v xml:space="preserve">ngày 13 tháng 09 năm 2026</v>
          </cell>
          <cell r="G4" t="str">
            <v xml:space="preserve">58.NĐXD4/CVXD </v>
          </cell>
        </row>
        <row r="5">
          <cell r="A5">
            <v>59</v>
          </cell>
          <cell r="B5" t="str">
            <v xml:space="preserve">Rải vải địa kỹ thuật đoạn từ Km0+672,28 - Km0+746,82</v>
          </cell>
          <cell r="D5" t="str">
            <v xml:space="preserve">ngày 14 tháng 09 năm 2026</v>
          </cell>
          <cell r="G5" t="str">
            <v xml:space="preserve">59.NĐXD4/CVXD </v>
          </cell>
        </row>
        <row r="6">
          <cell r="A6">
            <v>60</v>
          </cell>
          <cell r="B6" t="str">
            <v xml:space="preserve">Đắp cát nền đường lớp 1 đoạn từ Km0+672,28 - Km0+746,82, độ chặt K&gt;=0,95</v>
          </cell>
          <cell r="D6" t="str">
            <v xml:space="preserve">ngày 14 tháng 09 năm 2026</v>
          </cell>
          <cell r="G6" t="str">
            <v xml:space="preserve">60.NĐXD4/CVXD </v>
          </cell>
        </row>
        <row r="7">
          <cell r="A7">
            <v>61</v>
          </cell>
          <cell r="B7" t="str">
            <v xml:space="preserve">Đắp cát nền đường lớp 2 đoạn từ Km0+672,28 - Km0+746,82, độ chặt K&gt;=0,95</v>
          </cell>
          <cell r="D7" t="str">
            <v xml:space="preserve">ngày 15 tháng 09 năm 2026</v>
          </cell>
          <cell r="G7" t="str">
            <v xml:space="preserve">61.NĐXD4/CVXD </v>
          </cell>
        </row>
        <row r="8">
          <cell r="A8">
            <v>62</v>
          </cell>
          <cell r="B8" t="str">
            <v xml:space="preserve">Đắp cát nền đường lớp 3 đoạn từ Km0+672,28 - Km0+746,82, độ chặt K&gt;=0,95</v>
          </cell>
          <cell r="D8" t="str">
            <v xml:space="preserve">ngày 15 tháng 09 năm 2026</v>
          </cell>
          <cell r="G8" t="str">
            <v xml:space="preserve">62.NĐXD4/CVXD </v>
          </cell>
        </row>
        <row r="9">
          <cell r="A9">
            <v>63</v>
          </cell>
          <cell r="B9" t="str">
            <v xml:space="preserve">Đắp cát nền đường lớp 4 đoạn từ Km0+672,28 - Km0+746,82, độ chặt K&gt;=0,95</v>
          </cell>
          <cell r="D9" t="str">
            <v xml:space="preserve">ngày 16 tháng 09 năm 2026</v>
          </cell>
          <cell r="G9" t="str">
            <v xml:space="preserve">63.NĐXD4/CVXD </v>
          </cell>
        </row>
        <row r="10">
          <cell r="A10">
            <v>64</v>
          </cell>
          <cell r="B10" t="str">
            <v xml:space="preserve">Đắp đất nền đường lớp 1 đoạn từ Km0+672,28 - Km0+746,82, độ chặt K&gt;=0,95</v>
          </cell>
          <cell r="D10" t="str">
            <v xml:space="preserve">ngày 16 tháng 09 năm 2026</v>
          </cell>
          <cell r="G10" t="str">
            <v xml:space="preserve">64.NĐXD4/CVXD </v>
          </cell>
        </row>
        <row r="11">
          <cell r="A11">
            <v>65</v>
          </cell>
          <cell r="B11" t="str">
            <v xml:space="preserve">Đắp đất nền đường lớp 2 đoạn từ Km0+672,28 - Km0+746,82, độ chặt K&gt;=0,95</v>
          </cell>
          <cell r="D11" t="str">
            <v xml:space="preserve">ngày 17 tháng 09 năm 2026</v>
          </cell>
          <cell r="G11" t="str">
            <v xml:space="preserve">65.NĐXD4/CVXD </v>
          </cell>
        </row>
        <row r="12">
          <cell r="A12">
            <v>66</v>
          </cell>
          <cell r="B12" t="str">
            <v xml:space="preserve">Đắp đất nền đường lớp 3 đoạn từ Km0+672,28 - Km0+746,82, độ chặt K&gt;=0,95</v>
          </cell>
          <cell r="D12" t="str">
            <v xml:space="preserve">ngày 17 tháng 09 năm 2026</v>
          </cell>
          <cell r="G12" t="str">
            <v xml:space="preserve">66.NĐXD4/CVXD </v>
          </cell>
        </row>
        <row r="13">
          <cell r="A13">
            <v>67</v>
          </cell>
          <cell r="B13" t="str">
            <v xml:space="preserve">Đắp đất nền đường lớp 4 đoạn từ Km0+672,28 - Km0+746,82, độ chặt K&gt;=0,95</v>
          </cell>
          <cell r="D13" t="str">
            <v xml:space="preserve">ngày 18 tháng 09 năm 2026</v>
          </cell>
          <cell r="G13" t="str">
            <v xml:space="preserve">67.NĐXD4/CVXD </v>
          </cell>
        </row>
        <row r="14">
          <cell r="A14">
            <v>68</v>
          </cell>
          <cell r="B14" t="str">
            <v xml:space="preserve">Đắp đất nền đường lớp 5 đoạn từ Km0+672,28 - Km0+746,82, độ chặt K&gt;=0,95</v>
          </cell>
          <cell r="D14" t="str">
            <v xml:space="preserve">ngày 18 tháng 09 năm 2026</v>
          </cell>
          <cell r="G14" t="str">
            <v xml:space="preserve">68.NĐXD4/CVXD </v>
          </cell>
        </row>
        <row r="15">
          <cell r="A15">
            <v>69</v>
          </cell>
          <cell r="B15" t="str">
            <v xml:space="preserve">Đắp đất nền đường lớp 6 đoạn từ Km0+672,28 - Km0+746,82, độ chặt K&gt;=0,95</v>
          </cell>
          <cell r="D15" t="str">
            <v xml:space="preserve">ngày 19 tháng 09 năm 2026</v>
          </cell>
          <cell r="G15" t="str">
            <v xml:space="preserve">69.NĐXD4/CVXD </v>
          </cell>
        </row>
        <row r="16">
          <cell r="A16">
            <v>70</v>
          </cell>
          <cell r="B16" t="str">
            <v xml:space="preserve">Đắp đất nền đường lớp 7 đoạn từ Km0+672,28 - Km0+746,82, độ chặt K&gt;=0,95</v>
          </cell>
          <cell r="D16" t="str">
            <v xml:space="preserve">ngày 19 tháng 09 năm 2026</v>
          </cell>
          <cell r="G16" t="str">
            <v xml:space="preserve">70.NĐXD4/CVXD </v>
          </cell>
        </row>
        <row r="17">
          <cell r="A17">
            <v>71</v>
          </cell>
          <cell r="B17" t="str">
            <v xml:space="preserve">Đắp đất nền đường lớp 8 đoạn từ Km0+672,28 - Km0+746,82, độ chặt K&gt;=0,95</v>
          </cell>
          <cell r="D17" t="str">
            <v xml:space="preserve">ngày 20 tháng 09 năm 2026</v>
          </cell>
          <cell r="G17" t="str">
            <v xml:space="preserve">71.NĐXD4/CVXD </v>
          </cell>
        </row>
        <row r="18">
          <cell r="A18">
            <v>72</v>
          </cell>
          <cell r="B18" t="str">
            <v xml:space="preserve">Đắp đất nền đường lớp 9 đoạn từ Km0+672,28 - Km0+746,82, độ chặt K&gt;=0,95</v>
          </cell>
          <cell r="D18" t="str">
            <v xml:space="preserve">ngày 20 tháng 09 năm 2026</v>
          </cell>
          <cell r="G18" t="str">
            <v xml:space="preserve">72.NĐXD4/CVXD </v>
          </cell>
        </row>
        <row r="19">
          <cell r="A19">
            <v>73</v>
          </cell>
          <cell r="B19" t="str">
            <v xml:space="preserve">Đắp đất nền đường lớp 1, độ chặt K&gt;=0,98 đoạn từ Km0+672,28 - Km0+746,82</v>
          </cell>
          <cell r="D19" t="str">
            <v xml:space="preserve">ngày 21 tháng 09 năm 2026</v>
          </cell>
          <cell r="G19" t="str">
            <v xml:space="preserve">73.NĐXD4/CVXD </v>
          </cell>
        </row>
        <row r="20">
          <cell r="A20">
            <v>74</v>
          </cell>
          <cell r="B20" t="str">
            <v xml:space="preserve">Đắp đất lề đường lớp 1, độ chặt K&gt;=0,95 đoạn từ Km0+672,28 - Km0+746,82</v>
          </cell>
          <cell r="D20" t="str">
            <v xml:space="preserve">ngày 21 tháng 09 năm 2026</v>
          </cell>
          <cell r="G20" t="str">
            <v xml:space="preserve">74.NĐXD4/CVXD </v>
          </cell>
        </row>
        <row r="21">
          <cell r="A21">
            <v>75</v>
          </cell>
          <cell r="B21" t="str">
            <v xml:space="preserve">Đắp đất nền đường lớp 2, độ chặt K&gt;=0,98 đoạn từ Km0+672,28 - Km0+746,82</v>
          </cell>
          <cell r="D21" t="str">
            <v xml:space="preserve">ngày 22 tháng 09 năm 2026</v>
          </cell>
          <cell r="G21" t="str">
            <v xml:space="preserve">75.NĐXD4/CVXD </v>
          </cell>
        </row>
        <row r="22">
          <cell r="A22">
            <v>76</v>
          </cell>
          <cell r="B22" t="str">
            <v xml:space="preserve">Đắp đất lề đường lớp 2, độ chặt K&gt;=0,95 đoạn từ Km0+672,28 - Km0+746,82</v>
          </cell>
          <cell r="D22" t="str">
            <v xml:space="preserve">ngày 22 tháng 09 năm 2026</v>
          </cell>
          <cell r="G22" t="str">
            <v xml:space="preserve">76.NĐXD4/CVXD </v>
          </cell>
        </row>
        <row r="23">
          <cell r="A23">
            <v>77</v>
          </cell>
          <cell r="B23" t="str">
            <v xml:space="preserve">Đắp cấp phối đá dăm loại 2 đoạn từ Km0+672,28 - Km0+746,82</v>
          </cell>
          <cell r="D23" t="str">
            <v xml:space="preserve">ngày 23 tháng 09 năm 2026</v>
          </cell>
          <cell r="G23" t="str">
            <v xml:space="preserve">77.NĐXD4/CVXD </v>
          </cell>
        </row>
        <row r="24">
          <cell r="A24">
            <v>78</v>
          </cell>
          <cell r="B24" t="str">
            <v xml:space="preserve">Đắp đất lề đường lớp 3, độ chặt K&gt;=0,95 đoạn từ Km0+672,28 - Km0+746,82</v>
          </cell>
          <cell r="D24" t="str">
            <v xml:space="preserve">ngày 23 tháng 09 năm 2026</v>
          </cell>
          <cell r="G24" t="str">
            <v xml:space="preserve">78.NĐXD4/CVXD </v>
          </cell>
        </row>
        <row r="25">
          <cell r="A25">
            <v>79</v>
          </cell>
          <cell r="B25" t="str">
            <v xml:space="preserve">Đắp đất lề đường lớp 4, độ chặt K&gt;=0,95 đoạn từ Km0+672,28 - Km0+746,82</v>
          </cell>
          <cell r="D25" t="str">
            <v xml:space="preserve">ngày 24 tháng 09 năm 2026</v>
          </cell>
          <cell r="G25" t="str">
            <v xml:space="preserve">79.NĐXD4/CVXD </v>
          </cell>
        </row>
        <row r="26">
          <cell r="A26">
            <v>80</v>
          </cell>
          <cell r="B26" t="str">
            <v xml:space="preserve">Đắp cấp phối đá dăm loại 1 đoạn từ Km0+672,28 - Km0+746,82</v>
          </cell>
          <cell r="D26" t="str">
            <v xml:space="preserve">ngày 24 tháng 09 năm 2026</v>
          </cell>
          <cell r="G26" t="str">
            <v xml:space="preserve">80.NĐXD4/CVXD </v>
          </cell>
        </row>
        <row r="27">
          <cell r="A27">
            <v>81</v>
          </cell>
          <cell r="B27" t="str">
            <v xml:space="preserve">Vệ sinh, thổi bụi mặt đường </v>
          </cell>
          <cell r="D27" t="str">
            <v xml:space="preserve">ngày 26 tháng 09 năm 2026</v>
          </cell>
          <cell r="G27" t="str">
            <v xml:space="preserve">81.NĐXD4/CVXD </v>
          </cell>
        </row>
        <row r="28">
          <cell r="A28">
            <v>82</v>
          </cell>
          <cell r="B28" t="str">
            <v xml:space="preserve">Tưới lớp thấm bám mặt đường, nhựa MC70, lượng nhựa 1kg/m2</v>
          </cell>
          <cell r="D28" t="str">
            <v xml:space="preserve">ngày 28 tháng 09 năm 2026</v>
          </cell>
          <cell r="G28" t="str">
            <v xml:space="preserve">82.NĐXD4/CVXD </v>
          </cell>
        </row>
        <row r="29">
          <cell r="A29">
            <v>83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01 tháng 10 năm 2026</v>
          </cell>
          <cell r="G29" t="str">
            <v xml:space="preserve">83.NĐXD4/CVXD </v>
          </cell>
        </row>
        <row r="30">
          <cell r="A30">
            <v>84</v>
          </cell>
          <cell r="B30" t="str">
            <v xml:space="preserve">Bê tông nhựa C16 - Chiều dày mặt đường đã lèn ép 6cm</v>
          </cell>
          <cell r="D30" t="str">
            <v xml:space="preserve">ngày 03 tháng 10 năm 2026</v>
          </cell>
          <cell r="G30" t="str">
            <v xml:space="preserve">84.NĐXD4/CVXD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672.28</v>
      </c>
      <c r="D2" s="0" t="n">
        <v>9</v>
      </c>
      <c r="E2" s="0" t="n">
        <v>7.31</v>
      </c>
      <c r="F2" s="0" t="n">
        <v>-11.95</v>
      </c>
      <c r="G2" s="2" t="n">
        <v>1.94</v>
      </c>
      <c r="H2" s="1" t="n">
        <v>-5.25</v>
      </c>
      <c r="I2" s="1" t="n">
        <v>1.94</v>
      </c>
      <c r="J2" s="0" t="n">
        <v>0</v>
      </c>
      <c r="K2" s="2" t="n">
        <v>2.06</v>
      </c>
      <c r="L2" s="0" t="n">
        <v>5.25</v>
      </c>
      <c r="M2" s="2" t="n">
        <v>1.94</v>
      </c>
      <c r="N2" s="1" t="n">
        <v>11.95</v>
      </c>
      <c r="O2" s="1" t="n">
        <v>1.94</v>
      </c>
      <c r="P2" s="0" t="n">
        <v>76.02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7.39</v>
      </c>
      <c r="F3" s="0" t="n">
        <v>-12.4</v>
      </c>
      <c r="G3" s="2" t="n">
        <v>1.64</v>
      </c>
      <c r="H3" s="1" t="n">
        <v>-5.25</v>
      </c>
      <c r="I3" s="1" t="n">
        <v>1.64</v>
      </c>
      <c r="J3" s="0" t="n">
        <v>0</v>
      </c>
      <c r="K3" s="2" t="n">
        <v>1.76</v>
      </c>
      <c r="L3" s="0" t="n">
        <v>5.25</v>
      </c>
      <c r="M3" s="2" t="n">
        <v>1.64</v>
      </c>
      <c r="N3" s="1" t="n">
        <v>12.4</v>
      </c>
      <c r="O3" s="1" t="n">
        <v>1.64</v>
      </c>
    </row>
    <row r="4" customFormat="false" ht="15" hidden="false" customHeight="false" outlineLevel="0" collapsed="false">
      <c r="D4" s="0" t="n">
        <v>7</v>
      </c>
      <c r="E4" s="0" t="n">
        <v>7.4</v>
      </c>
      <c r="F4" s="0" t="n">
        <v>-11.74</v>
      </c>
      <c r="G4" s="2" t="n">
        <v>1.34</v>
      </c>
      <c r="H4" s="1" t="n">
        <v>-5.25</v>
      </c>
      <c r="I4" s="1" t="n">
        <v>1.34</v>
      </c>
      <c r="J4" s="0" t="n">
        <v>0</v>
      </c>
      <c r="K4" s="2" t="n">
        <v>1.46</v>
      </c>
      <c r="L4" s="0" t="n">
        <v>5.25</v>
      </c>
      <c r="M4" s="2" t="n">
        <v>1.34</v>
      </c>
      <c r="N4" s="1" t="n">
        <v>12.85</v>
      </c>
      <c r="O4" s="1" t="n">
        <v>1.34</v>
      </c>
    </row>
    <row r="5" customFormat="false" ht="15" hidden="false" customHeight="false" outlineLevel="0" collapsed="false">
      <c r="D5" s="0" t="n">
        <v>6</v>
      </c>
      <c r="E5" s="0" t="n">
        <v>7.44</v>
      </c>
      <c r="F5" s="0" t="n">
        <v>-11.44</v>
      </c>
      <c r="G5" s="2" t="n">
        <v>1.04</v>
      </c>
      <c r="H5" s="1" t="n">
        <v>-5.25</v>
      </c>
      <c r="I5" s="1" t="n">
        <v>1.04</v>
      </c>
      <c r="J5" s="0" t="n">
        <v>0</v>
      </c>
      <c r="K5" s="2" t="n">
        <v>1.16</v>
      </c>
      <c r="L5" s="0" t="n">
        <v>5.25</v>
      </c>
      <c r="M5" s="2" t="n">
        <v>1.04</v>
      </c>
      <c r="N5" s="1" t="n">
        <v>13.3</v>
      </c>
      <c r="O5" s="1" t="n">
        <v>1.04</v>
      </c>
    </row>
    <row r="6" customFormat="false" ht="15" hidden="false" customHeight="false" outlineLevel="0" collapsed="false">
      <c r="D6" s="0" t="n">
        <v>5</v>
      </c>
      <c r="E6" s="0" t="n">
        <v>7.49</v>
      </c>
      <c r="F6" s="0" t="n">
        <v>-11.14</v>
      </c>
      <c r="G6" s="2" t="n">
        <v>0.74</v>
      </c>
      <c r="H6" s="1" t="n">
        <v>-5.25</v>
      </c>
      <c r="I6" s="1" t="n">
        <v>0.74</v>
      </c>
      <c r="J6" s="0" t="n">
        <v>0</v>
      </c>
      <c r="K6" s="2" t="n">
        <v>0.86</v>
      </c>
      <c r="L6" s="0" t="n">
        <v>5.25</v>
      </c>
      <c r="M6" s="2" t="n">
        <v>0.74</v>
      </c>
      <c r="N6" s="1" t="n">
        <v>13.75</v>
      </c>
      <c r="O6" s="1" t="n">
        <v>0.74</v>
      </c>
    </row>
    <row r="7" customFormat="false" ht="15" hidden="false" customHeight="false" outlineLevel="0" collapsed="false">
      <c r="D7" s="0" t="n">
        <v>4</v>
      </c>
      <c r="E7" s="0" t="n">
        <v>7.53</v>
      </c>
      <c r="F7" s="0" t="n">
        <v>-10.84</v>
      </c>
      <c r="G7" s="2" t="n">
        <v>0.44</v>
      </c>
      <c r="H7" s="1" t="n">
        <v>-5.25</v>
      </c>
      <c r="I7" s="1" t="n">
        <v>0.44</v>
      </c>
      <c r="J7" s="0" t="n">
        <v>0</v>
      </c>
      <c r="K7" s="2" t="n">
        <v>0.56</v>
      </c>
      <c r="L7" s="0" t="n">
        <v>5.25</v>
      </c>
      <c r="M7" s="2" t="n">
        <v>0.44</v>
      </c>
      <c r="N7" s="1" t="n">
        <v>14.2</v>
      </c>
      <c r="O7" s="1" t="n">
        <v>0.44</v>
      </c>
    </row>
    <row r="8" customFormat="false" ht="15" hidden="false" customHeight="false" outlineLevel="0" collapsed="false">
      <c r="D8" s="0" t="n">
        <v>3</v>
      </c>
      <c r="E8" s="0" t="n">
        <v>7.58</v>
      </c>
      <c r="F8" s="0" t="n">
        <v>-10.54</v>
      </c>
      <c r="G8" s="2" t="n">
        <v>0.14</v>
      </c>
      <c r="H8" s="1" t="n">
        <v>-5.25</v>
      </c>
      <c r="I8" s="1" t="n">
        <v>0.14</v>
      </c>
      <c r="J8" s="0" t="n">
        <v>0</v>
      </c>
      <c r="K8" s="2" t="n">
        <v>0.26</v>
      </c>
      <c r="L8" s="0" t="n">
        <v>5.25</v>
      </c>
      <c r="M8" s="2" t="n">
        <v>0.14</v>
      </c>
      <c r="N8" s="1" t="n">
        <v>14.65</v>
      </c>
      <c r="O8" s="1" t="n">
        <v>0.14</v>
      </c>
    </row>
    <row r="9" customFormat="false" ht="15" hidden="false" customHeight="false" outlineLevel="0" collapsed="false">
      <c r="D9" s="0" t="n">
        <v>2</v>
      </c>
      <c r="E9" s="0" t="n">
        <v>7.62</v>
      </c>
      <c r="F9" s="0" t="n">
        <v>-10.24</v>
      </c>
      <c r="G9" s="2" t="n">
        <v>-0.16</v>
      </c>
      <c r="H9" s="1" t="n">
        <v>-5.25</v>
      </c>
      <c r="I9" s="1" t="n">
        <v>-0.16</v>
      </c>
      <c r="J9" s="0" t="n">
        <v>0</v>
      </c>
      <c r="K9" s="2" t="n">
        <v>-0.04</v>
      </c>
      <c r="L9" s="0" t="n">
        <v>5.25</v>
      </c>
      <c r="M9" s="2" t="n">
        <v>-0.16</v>
      </c>
      <c r="N9" s="1" t="n">
        <v>15.1</v>
      </c>
      <c r="O9" s="1" t="n">
        <v>-0.16</v>
      </c>
    </row>
    <row r="10" customFormat="false" ht="15" hidden="false" customHeight="false" outlineLevel="0" collapsed="false">
      <c r="D10" s="0" t="n">
        <v>1</v>
      </c>
      <c r="E10" s="0" t="n">
        <v>4.71</v>
      </c>
      <c r="F10" s="0" t="n">
        <v>-9.94</v>
      </c>
      <c r="G10" s="2" t="n">
        <v>-0.46</v>
      </c>
      <c r="H10" s="1" t="n">
        <v>-5.25</v>
      </c>
      <c r="I10" s="1" t="n">
        <v>-0.46</v>
      </c>
      <c r="J10" s="0" t="n">
        <v>0</v>
      </c>
      <c r="K10" s="2" t="n">
        <v>-0.34</v>
      </c>
      <c r="L10" s="0" t="n">
        <v>5.25</v>
      </c>
      <c r="M10" s="2" t="n">
        <v>-0.46</v>
      </c>
      <c r="N10" s="1" t="n">
        <v>15.55</v>
      </c>
      <c r="O10" s="1" t="n">
        <v>-0.46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689.28</v>
      </c>
      <c r="D11" s="0" t="n">
        <v>9</v>
      </c>
      <c r="E11" s="0" t="n">
        <v>7.31</v>
      </c>
      <c r="F11" s="0" t="n">
        <v>-11.95</v>
      </c>
      <c r="G11" s="2" t="n">
        <v>1.94</v>
      </c>
      <c r="H11" s="1" t="n">
        <v>-5.25</v>
      </c>
      <c r="I11" s="1" t="n">
        <v>1.94</v>
      </c>
      <c r="J11" s="0" t="n">
        <v>0</v>
      </c>
      <c r="K11" s="2" t="n">
        <v>2.06</v>
      </c>
      <c r="L11" s="0" t="n">
        <v>5.25</v>
      </c>
      <c r="M11" s="2" t="n">
        <v>1.94</v>
      </c>
      <c r="N11" s="1" t="n">
        <v>11.95</v>
      </c>
      <c r="O11" s="1" t="n">
        <v>1.94</v>
      </c>
      <c r="P11" s="0" t="n">
        <v>69.55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7.49</v>
      </c>
      <c r="F12" s="0" t="n">
        <v>-12.4</v>
      </c>
      <c r="G12" s="2" t="n">
        <v>1.64</v>
      </c>
      <c r="H12" s="1" t="n">
        <v>-5.25</v>
      </c>
      <c r="I12" s="1" t="n">
        <v>1.64</v>
      </c>
      <c r="J12" s="0" t="n">
        <v>0</v>
      </c>
      <c r="K12" s="2" t="n">
        <v>1.76</v>
      </c>
      <c r="L12" s="0" t="n">
        <v>5.25</v>
      </c>
      <c r="M12" s="2" t="n">
        <v>1.64</v>
      </c>
      <c r="N12" s="1" t="n">
        <v>12.4</v>
      </c>
      <c r="O12" s="1" t="n">
        <v>1.64</v>
      </c>
    </row>
    <row r="13" customFormat="false" ht="15" hidden="false" customHeight="false" outlineLevel="0" collapsed="false">
      <c r="D13" s="0" t="n">
        <v>7</v>
      </c>
      <c r="E13" s="0" t="n">
        <v>7.55</v>
      </c>
      <c r="F13" s="0" t="n">
        <v>-12.23</v>
      </c>
      <c r="G13" s="2" t="n">
        <v>1.34</v>
      </c>
      <c r="H13" s="1" t="n">
        <v>-5.25</v>
      </c>
      <c r="I13" s="1" t="n">
        <v>1.34</v>
      </c>
      <c r="J13" s="0" t="n">
        <v>0</v>
      </c>
      <c r="K13" s="2" t="n">
        <v>1.46</v>
      </c>
      <c r="L13" s="0" t="n">
        <v>5.25</v>
      </c>
      <c r="M13" s="2" t="n">
        <v>1.34</v>
      </c>
      <c r="N13" s="1" t="n">
        <v>12.85</v>
      </c>
      <c r="O13" s="1" t="n">
        <v>1.34</v>
      </c>
    </row>
    <row r="14" customFormat="false" ht="15" hidden="false" customHeight="false" outlineLevel="0" collapsed="false">
      <c r="D14" s="0" t="n">
        <v>6</v>
      </c>
      <c r="E14" s="0" t="n">
        <v>7.61</v>
      </c>
      <c r="F14" s="0" t="n">
        <v>-11.97</v>
      </c>
      <c r="G14" s="2" t="n">
        <v>1.04</v>
      </c>
      <c r="H14" s="1" t="n">
        <v>-5.25</v>
      </c>
      <c r="I14" s="1" t="n">
        <v>1.04</v>
      </c>
      <c r="J14" s="0" t="n">
        <v>0</v>
      </c>
      <c r="K14" s="2" t="n">
        <v>1.16</v>
      </c>
      <c r="L14" s="0" t="n">
        <v>5.25</v>
      </c>
      <c r="M14" s="2" t="n">
        <v>1.04</v>
      </c>
      <c r="N14" s="1" t="n">
        <v>13.3</v>
      </c>
      <c r="O14" s="1" t="n">
        <v>1.04</v>
      </c>
    </row>
    <row r="15" customFormat="false" ht="15" hidden="false" customHeight="false" outlineLevel="0" collapsed="false">
      <c r="D15" s="0" t="n">
        <v>5</v>
      </c>
      <c r="E15" s="0" t="n">
        <v>7.54</v>
      </c>
      <c r="F15" s="0" t="n">
        <v>-11.71</v>
      </c>
      <c r="G15" s="2" t="n">
        <v>0.74</v>
      </c>
      <c r="H15" s="1" t="n">
        <v>-5.25</v>
      </c>
      <c r="I15" s="1" t="n">
        <v>0.74</v>
      </c>
      <c r="J15" s="0" t="n">
        <v>0</v>
      </c>
      <c r="K15" s="2" t="n">
        <v>0.86</v>
      </c>
      <c r="L15" s="0" t="n">
        <v>5.25</v>
      </c>
      <c r="M15" s="2" t="n">
        <v>0.74</v>
      </c>
      <c r="N15" s="1" t="n">
        <v>13.75</v>
      </c>
      <c r="O15" s="1" t="n">
        <v>0.74</v>
      </c>
    </row>
    <row r="16" customFormat="false" ht="15" hidden="false" customHeight="false" outlineLevel="0" collapsed="false">
      <c r="D16" s="0" t="n">
        <v>4</v>
      </c>
      <c r="E16" s="0" t="n">
        <v>6.07</v>
      </c>
      <c r="F16" s="0" t="n">
        <v>-11.46</v>
      </c>
      <c r="G16" s="2" t="n">
        <v>0.44</v>
      </c>
      <c r="H16" s="1" t="n">
        <v>-5.25</v>
      </c>
      <c r="I16" s="1" t="n">
        <v>0.44</v>
      </c>
      <c r="J16" s="0" t="n">
        <v>0</v>
      </c>
      <c r="K16" s="2" t="n">
        <v>0.56</v>
      </c>
      <c r="L16" s="0" t="n">
        <v>5.25</v>
      </c>
      <c r="M16" s="2" t="n">
        <v>0.44</v>
      </c>
      <c r="N16" s="1" t="n">
        <v>9.34</v>
      </c>
      <c r="O16" s="1" t="n">
        <v>0.44</v>
      </c>
    </row>
    <row r="17" customFormat="false" ht="15" hidden="false" customHeight="false" outlineLevel="0" collapsed="false">
      <c r="D17" s="0" t="n">
        <v>3</v>
      </c>
      <c r="E17" s="0" t="n">
        <v>5.56</v>
      </c>
      <c r="F17" s="0" t="n">
        <v>-9.8</v>
      </c>
      <c r="G17" s="2" t="n">
        <v>0.14</v>
      </c>
      <c r="H17" s="1" t="n">
        <v>-5.25</v>
      </c>
      <c r="I17" s="1" t="n">
        <v>0.14</v>
      </c>
      <c r="J17" s="0" t="n">
        <v>0</v>
      </c>
      <c r="K17" s="2" t="n">
        <v>0.26</v>
      </c>
      <c r="L17" s="0" t="n">
        <v>5.25</v>
      </c>
      <c r="M17" s="2" t="n">
        <v>0.14</v>
      </c>
      <c r="N17" s="1" t="n">
        <v>9.04</v>
      </c>
      <c r="O17" s="1" t="n">
        <v>0.14</v>
      </c>
    </row>
    <row r="18" customFormat="false" ht="15" hidden="false" customHeight="false" outlineLevel="0" collapsed="false">
      <c r="D18" s="0" t="n">
        <v>2</v>
      </c>
      <c r="E18" s="0" t="n">
        <v>5.38</v>
      </c>
      <c r="F18" s="0" t="n">
        <v>-9.5</v>
      </c>
      <c r="G18" s="2" t="n">
        <v>-0.16</v>
      </c>
      <c r="H18" s="1" t="n">
        <v>-5.25</v>
      </c>
      <c r="I18" s="1" t="n">
        <v>-0.16</v>
      </c>
      <c r="J18" s="0" t="n">
        <v>0</v>
      </c>
      <c r="K18" s="2" t="n">
        <v>-0.04</v>
      </c>
      <c r="L18" s="0" t="n">
        <v>5.25</v>
      </c>
      <c r="M18" s="2" t="n">
        <v>-0.16</v>
      </c>
      <c r="N18" s="1" t="n">
        <v>8.74</v>
      </c>
      <c r="O18" s="1" t="n">
        <v>-0.16</v>
      </c>
    </row>
    <row r="19" customFormat="false" ht="15" hidden="false" customHeight="false" outlineLevel="0" collapsed="false">
      <c r="D19" s="0" t="n">
        <v>1</v>
      </c>
      <c r="E19" s="0" t="n">
        <v>3.49</v>
      </c>
      <c r="F19" s="0" t="n">
        <v>-9.2</v>
      </c>
      <c r="G19" s="2" t="n">
        <v>-0.46</v>
      </c>
      <c r="H19" s="1" t="n">
        <v>-5.25</v>
      </c>
      <c r="I19" s="1" t="n">
        <v>-0.46</v>
      </c>
      <c r="J19" s="0" t="n">
        <v>0</v>
      </c>
      <c r="K19" s="2" t="n">
        <v>-0.34</v>
      </c>
      <c r="L19" s="0" t="n">
        <v>5.25</v>
      </c>
      <c r="M19" s="2" t="n">
        <v>-0.46</v>
      </c>
      <c r="N19" s="1" t="n">
        <v>8.44</v>
      </c>
      <c r="O19" s="1" t="n">
        <v>-0.46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701.03</v>
      </c>
      <c r="D20" s="0" t="n">
        <v>9</v>
      </c>
      <c r="E20" s="0" t="n">
        <v>3.42</v>
      </c>
      <c r="F20" s="0" t="n">
        <v>-11.95</v>
      </c>
      <c r="G20" s="2" t="n">
        <v>1.94</v>
      </c>
      <c r="H20" s="1" t="n">
        <v>-5.25</v>
      </c>
      <c r="I20" s="1" t="n">
        <v>1.94</v>
      </c>
      <c r="J20" s="0" t="n">
        <v>0</v>
      </c>
      <c r="K20" s="2" t="n">
        <v>2.06</v>
      </c>
      <c r="L20" s="0" t="n">
        <v>5.25</v>
      </c>
      <c r="M20" s="2" t="n">
        <v>1.94</v>
      </c>
      <c r="N20" s="1" t="n">
        <v>-0.67</v>
      </c>
      <c r="O20" s="1" t="n">
        <v>2.05</v>
      </c>
      <c r="P20" s="0" t="n">
        <v>24.34</v>
      </c>
      <c r="Q20" s="0" t="n">
        <v>6.4</v>
      </c>
    </row>
    <row r="21" customFormat="false" ht="15" hidden="false" customHeight="false" outlineLevel="0" collapsed="false">
      <c r="D21" s="0" t="n">
        <v>8</v>
      </c>
      <c r="E21" s="0" t="n">
        <v>3.36</v>
      </c>
      <c r="F21" s="0" t="n">
        <v>-12.35</v>
      </c>
      <c r="G21" s="2" t="n">
        <v>1.64</v>
      </c>
      <c r="H21" s="1" t="n">
        <v>-5.25</v>
      </c>
      <c r="I21" s="1" t="n">
        <v>1.64</v>
      </c>
      <c r="J21" s="0" t="n">
        <v>0</v>
      </c>
      <c r="K21" s="2" t="n">
        <v>1.76</v>
      </c>
      <c r="L21" s="0" t="n">
        <v>5.25</v>
      </c>
      <c r="M21" s="2" t="n">
        <v>1.64</v>
      </c>
      <c r="N21" s="1" t="n">
        <v>-0.9</v>
      </c>
      <c r="O21" s="1" t="n">
        <v>1.74</v>
      </c>
    </row>
    <row r="22" customFormat="false" ht="15" hidden="false" customHeight="false" outlineLevel="0" collapsed="false">
      <c r="D22" s="0" t="n">
        <v>7</v>
      </c>
      <c r="E22" s="0" t="n">
        <v>3.2</v>
      </c>
      <c r="F22" s="0" t="n">
        <v>-12.07</v>
      </c>
      <c r="G22" s="2" t="n">
        <v>1.34</v>
      </c>
      <c r="H22" s="1" t="n">
        <v>-5.25</v>
      </c>
      <c r="I22" s="1" t="n">
        <v>1.34</v>
      </c>
      <c r="J22" s="0" t="n">
        <v>0</v>
      </c>
      <c r="K22" s="2" t="n">
        <v>1.46</v>
      </c>
      <c r="L22" s="0" t="n">
        <v>5.25</v>
      </c>
      <c r="M22" s="2" t="n">
        <v>1.34</v>
      </c>
      <c r="N22" s="1" t="n">
        <v>-1.14</v>
      </c>
      <c r="O22" s="1" t="n">
        <v>1.44</v>
      </c>
    </row>
    <row r="23" customFormat="false" ht="15" hidden="false" customHeight="false" outlineLevel="0" collapsed="false">
      <c r="D23" s="0" t="n">
        <v>6</v>
      </c>
      <c r="E23" s="0" t="n">
        <v>3.05</v>
      </c>
      <c r="F23" s="0" t="n">
        <v>-11.8</v>
      </c>
      <c r="G23" s="2" t="n">
        <v>1.04</v>
      </c>
      <c r="H23" s="1" t="n">
        <v>-5.25</v>
      </c>
      <c r="I23" s="1" t="n">
        <v>1.04</v>
      </c>
      <c r="J23" s="0" t="n">
        <v>0</v>
      </c>
      <c r="K23" s="2" t="n">
        <v>1.16</v>
      </c>
      <c r="L23" s="0" t="n">
        <v>5.25</v>
      </c>
      <c r="M23" s="2" t="n">
        <v>1.04</v>
      </c>
      <c r="N23" s="1" t="n">
        <v>-1.37</v>
      </c>
      <c r="O23" s="1" t="n">
        <v>1.13</v>
      </c>
    </row>
    <row r="24" customFormat="false" ht="15" hidden="false" customHeight="false" outlineLevel="0" collapsed="false">
      <c r="D24" s="0" t="n">
        <v>5</v>
      </c>
      <c r="E24" s="0" t="n">
        <v>2.9</v>
      </c>
      <c r="F24" s="0" t="n">
        <v>-11.52</v>
      </c>
      <c r="G24" s="2" t="n">
        <v>0.74</v>
      </c>
      <c r="H24" s="1" t="n">
        <v>-5.25</v>
      </c>
      <c r="I24" s="1" t="n">
        <v>0.74</v>
      </c>
      <c r="J24" s="0" t="n">
        <v>0</v>
      </c>
      <c r="K24" s="2" t="n">
        <v>0.86</v>
      </c>
      <c r="L24" s="0" t="n">
        <v>5.25</v>
      </c>
      <c r="M24" s="2" t="n">
        <v>0.74</v>
      </c>
      <c r="N24" s="1" t="n">
        <v>-1.61</v>
      </c>
      <c r="O24" s="1" t="n">
        <v>0.83</v>
      </c>
    </row>
    <row r="25" customFormat="false" ht="15" hidden="false" customHeight="false" outlineLevel="0" collapsed="false">
      <c r="D25" s="0" t="n">
        <v>4</v>
      </c>
      <c r="E25" s="0" t="n">
        <v>2.01</v>
      </c>
      <c r="F25" s="0" t="n">
        <v>-11.25</v>
      </c>
      <c r="G25" s="2" t="n">
        <v>0.44</v>
      </c>
      <c r="H25" s="1" t="n">
        <v>-5.25</v>
      </c>
      <c r="I25" s="1" t="n">
        <v>0.44</v>
      </c>
      <c r="J25" s="0" t="n">
        <v>0</v>
      </c>
      <c r="K25" s="2" t="n">
        <v>0.56</v>
      </c>
      <c r="L25" s="0" t="n">
        <v>5.25</v>
      </c>
      <c r="M25" s="2" t="n">
        <v>0.44</v>
      </c>
      <c r="N25" s="1" t="n">
        <v>-1.84</v>
      </c>
      <c r="O25" s="1" t="n">
        <v>0.52</v>
      </c>
    </row>
    <row r="26" customFormat="false" ht="15" hidden="false" customHeight="false" outlineLevel="0" collapsed="false">
      <c r="D26" s="0" t="n">
        <v>3</v>
      </c>
      <c r="E26" s="0" t="n">
        <v>0</v>
      </c>
    </row>
    <row r="27" customFormat="false" ht="15" hidden="false" customHeight="false" outlineLevel="0" collapsed="false">
      <c r="D27" s="0" t="n">
        <v>2</v>
      </c>
      <c r="E27" s="0" t="n">
        <v>0</v>
      </c>
    </row>
    <row r="28" customFormat="false" ht="15" hidden="false" customHeight="false" outlineLevel="0" collapsed="false">
      <c r="D28" s="0" t="n">
        <v>1</v>
      </c>
      <c r="E28" s="0" t="n">
        <v>0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712.78</v>
      </c>
      <c r="D29" s="0" t="n">
        <v>9</v>
      </c>
      <c r="E29" s="0" t="n">
        <v>7.31</v>
      </c>
      <c r="F29" s="0" t="n">
        <v>-11.95</v>
      </c>
      <c r="G29" s="2" t="n">
        <v>1.94</v>
      </c>
      <c r="H29" s="1" t="n">
        <v>-5.25</v>
      </c>
      <c r="I29" s="1" t="n">
        <v>1.94</v>
      </c>
      <c r="J29" s="0" t="n">
        <v>0</v>
      </c>
      <c r="K29" s="2" t="n">
        <v>2.06</v>
      </c>
      <c r="L29" s="0" t="n">
        <v>5.25</v>
      </c>
      <c r="M29" s="2" t="n">
        <v>1.94</v>
      </c>
      <c r="N29" s="1" t="n">
        <v>11.95</v>
      </c>
      <c r="O29" s="1" t="n">
        <v>1.94</v>
      </c>
      <c r="P29" s="0" t="n">
        <v>69.54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7.5</v>
      </c>
      <c r="F30" s="0" t="n">
        <v>-12.4</v>
      </c>
      <c r="G30" s="2" t="n">
        <v>1.64</v>
      </c>
      <c r="H30" s="1" t="n">
        <v>-5.25</v>
      </c>
      <c r="I30" s="1" t="n">
        <v>1.64</v>
      </c>
      <c r="J30" s="0" t="n">
        <v>0</v>
      </c>
      <c r="K30" s="2" t="n">
        <v>1.76</v>
      </c>
      <c r="L30" s="0" t="n">
        <v>5.25</v>
      </c>
      <c r="M30" s="2" t="n">
        <v>1.64</v>
      </c>
      <c r="N30" s="1" t="n">
        <v>12.4</v>
      </c>
      <c r="O30" s="1" t="n">
        <v>1.64</v>
      </c>
    </row>
    <row r="31" customFormat="false" ht="15" hidden="false" customHeight="false" outlineLevel="0" collapsed="false">
      <c r="D31" s="0" t="n">
        <v>7</v>
      </c>
      <c r="E31" s="0" t="n">
        <v>7.56</v>
      </c>
      <c r="F31" s="0" t="n">
        <v>-12.24</v>
      </c>
      <c r="G31" s="2" t="n">
        <v>1.34</v>
      </c>
      <c r="H31" s="1" t="n">
        <v>-5.25</v>
      </c>
      <c r="I31" s="1" t="n">
        <v>1.34</v>
      </c>
      <c r="J31" s="0" t="n">
        <v>0</v>
      </c>
      <c r="K31" s="2" t="n">
        <v>1.46</v>
      </c>
      <c r="L31" s="0" t="n">
        <v>5.25</v>
      </c>
      <c r="M31" s="2" t="n">
        <v>1.34</v>
      </c>
      <c r="N31" s="1" t="n">
        <v>12.85</v>
      </c>
      <c r="O31" s="1" t="n">
        <v>1.34</v>
      </c>
    </row>
    <row r="32" customFormat="false" ht="15" hidden="false" customHeight="false" outlineLevel="0" collapsed="false">
      <c r="D32" s="0" t="n">
        <v>6</v>
      </c>
      <c r="E32" s="0" t="n">
        <v>7.62</v>
      </c>
      <c r="F32" s="0" t="n">
        <v>-11.99</v>
      </c>
      <c r="G32" s="2" t="n">
        <v>1.04</v>
      </c>
      <c r="H32" s="1" t="n">
        <v>-5.25</v>
      </c>
      <c r="I32" s="1" t="n">
        <v>1.04</v>
      </c>
      <c r="J32" s="0" t="n">
        <v>0</v>
      </c>
      <c r="K32" s="2" t="n">
        <v>1.16</v>
      </c>
      <c r="L32" s="0" t="n">
        <v>5.25</v>
      </c>
      <c r="M32" s="2" t="n">
        <v>1.04</v>
      </c>
      <c r="N32" s="1" t="n">
        <v>13.3</v>
      </c>
      <c r="O32" s="1" t="n">
        <v>1.04</v>
      </c>
    </row>
    <row r="33" customFormat="false" ht="15" hidden="false" customHeight="false" outlineLevel="0" collapsed="false">
      <c r="D33" s="0" t="n">
        <v>5</v>
      </c>
      <c r="E33" s="0" t="n">
        <v>7.44</v>
      </c>
      <c r="F33" s="0" t="n">
        <v>-11.74</v>
      </c>
      <c r="G33" s="2" t="n">
        <v>0.74</v>
      </c>
      <c r="H33" s="1" t="n">
        <v>-5.25</v>
      </c>
      <c r="I33" s="1" t="n">
        <v>0.74</v>
      </c>
      <c r="J33" s="0" t="n">
        <v>0</v>
      </c>
      <c r="K33" s="2" t="n">
        <v>0.86</v>
      </c>
      <c r="L33" s="0" t="n">
        <v>5.25</v>
      </c>
      <c r="M33" s="2" t="n">
        <v>0.74</v>
      </c>
      <c r="N33" s="1" t="n">
        <v>13.75</v>
      </c>
      <c r="O33" s="1" t="n">
        <v>0.74</v>
      </c>
    </row>
    <row r="34" customFormat="false" ht="15" hidden="false" customHeight="false" outlineLevel="0" collapsed="false">
      <c r="D34" s="0" t="n">
        <v>4</v>
      </c>
      <c r="E34" s="0" t="n">
        <v>6.11</v>
      </c>
      <c r="F34" s="0" t="n">
        <v>-11.49</v>
      </c>
      <c r="G34" s="2" t="n">
        <v>0.44</v>
      </c>
      <c r="H34" s="1" t="n">
        <v>-5.25</v>
      </c>
      <c r="I34" s="1" t="n">
        <v>0.44</v>
      </c>
      <c r="J34" s="0" t="n">
        <v>0</v>
      </c>
      <c r="K34" s="2" t="n">
        <v>0.56</v>
      </c>
      <c r="L34" s="0" t="n">
        <v>5.25</v>
      </c>
      <c r="M34" s="2" t="n">
        <v>0.44</v>
      </c>
      <c r="N34" s="1" t="n">
        <v>9.2</v>
      </c>
      <c r="O34" s="1" t="n">
        <v>0.44</v>
      </c>
    </row>
    <row r="35" customFormat="false" ht="15" hidden="false" customHeight="false" outlineLevel="0" collapsed="false">
      <c r="D35" s="0" t="n">
        <v>3</v>
      </c>
      <c r="E35" s="0" t="n">
        <v>5.56</v>
      </c>
      <c r="F35" s="0" t="n">
        <v>-9.94</v>
      </c>
      <c r="G35" s="2" t="n">
        <v>0.14</v>
      </c>
      <c r="H35" s="1" t="n">
        <v>-5.25</v>
      </c>
      <c r="I35" s="1" t="n">
        <v>0.14</v>
      </c>
      <c r="J35" s="0" t="n">
        <v>0</v>
      </c>
      <c r="K35" s="2" t="n">
        <v>0.26</v>
      </c>
      <c r="L35" s="0" t="n">
        <v>5.25</v>
      </c>
      <c r="M35" s="2" t="n">
        <v>0.14</v>
      </c>
      <c r="N35" s="1" t="n">
        <v>8.9</v>
      </c>
      <c r="O35" s="1" t="n">
        <v>0.14</v>
      </c>
    </row>
    <row r="36" customFormat="false" ht="15" hidden="false" customHeight="false" outlineLevel="0" collapsed="false">
      <c r="D36" s="0" t="n">
        <v>2</v>
      </c>
      <c r="E36" s="0" t="n">
        <v>5.38</v>
      </c>
      <c r="F36" s="0" t="n">
        <v>-9.64</v>
      </c>
      <c r="G36" s="2" t="n">
        <v>-0.16</v>
      </c>
      <c r="H36" s="1" t="n">
        <v>-5.25</v>
      </c>
      <c r="I36" s="1" t="n">
        <v>-0.16</v>
      </c>
      <c r="J36" s="0" t="n">
        <v>0</v>
      </c>
      <c r="K36" s="2" t="n">
        <v>-0.04</v>
      </c>
      <c r="L36" s="0" t="n">
        <v>5.25</v>
      </c>
      <c r="M36" s="2" t="n">
        <v>-0.16</v>
      </c>
      <c r="N36" s="1" t="n">
        <v>8.6</v>
      </c>
      <c r="O36" s="1" t="n">
        <v>-0.16</v>
      </c>
    </row>
    <row r="37" customFormat="false" ht="15" hidden="false" customHeight="false" outlineLevel="0" collapsed="false">
      <c r="D37" s="0" t="n">
        <v>1</v>
      </c>
      <c r="E37" s="0" t="n">
        <v>3.52</v>
      </c>
      <c r="F37" s="0" t="n">
        <v>-9.34</v>
      </c>
      <c r="G37" s="2" t="n">
        <v>-0.46</v>
      </c>
      <c r="H37" s="1" t="n">
        <v>-5.25</v>
      </c>
      <c r="I37" s="1" t="n">
        <v>-0.46</v>
      </c>
      <c r="J37" s="0" t="n">
        <v>0</v>
      </c>
      <c r="K37" s="2" t="n">
        <v>-0.34</v>
      </c>
      <c r="L37" s="0" t="n">
        <v>5.25</v>
      </c>
      <c r="M37" s="2" t="n">
        <v>-0.46</v>
      </c>
      <c r="N37" s="1" t="n">
        <v>8.3</v>
      </c>
      <c r="O37" s="1" t="n">
        <v>-0.46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729.78</v>
      </c>
      <c r="D38" s="0" t="n">
        <v>9</v>
      </c>
      <c r="E38" s="0" t="n">
        <v>6.18</v>
      </c>
      <c r="F38" s="0" t="n">
        <v>-11.95</v>
      </c>
      <c r="G38" s="2" t="n">
        <v>1.94</v>
      </c>
      <c r="H38" s="1" t="n">
        <v>-5.25</v>
      </c>
      <c r="I38" s="1" t="n">
        <v>1.94</v>
      </c>
      <c r="J38" s="0" t="n">
        <v>0</v>
      </c>
      <c r="K38" s="2" t="n">
        <v>2.06</v>
      </c>
      <c r="L38" s="0" t="n">
        <v>5.25</v>
      </c>
      <c r="M38" s="2" t="n">
        <v>1.94</v>
      </c>
      <c r="N38" s="1" t="n">
        <v>8.81</v>
      </c>
      <c r="O38" s="1" t="n">
        <v>1.94</v>
      </c>
      <c r="P38" s="0" t="n">
        <v>51.48</v>
      </c>
      <c r="Q38" s="0" t="n">
        <v>10.65</v>
      </c>
    </row>
    <row r="39" customFormat="false" ht="15" hidden="false" customHeight="false" outlineLevel="0" collapsed="false">
      <c r="D39" s="0" t="n">
        <v>8</v>
      </c>
      <c r="E39" s="0" t="n">
        <v>5.59</v>
      </c>
      <c r="F39" s="0" t="n">
        <v>-11.78</v>
      </c>
      <c r="G39" s="2" t="n">
        <v>1.64</v>
      </c>
      <c r="H39" s="1" t="n">
        <v>-5.25</v>
      </c>
      <c r="I39" s="1" t="n">
        <v>1.64</v>
      </c>
      <c r="J39" s="0" t="n">
        <v>0</v>
      </c>
      <c r="K39" s="2" t="n">
        <v>1.76</v>
      </c>
      <c r="L39" s="0" t="n">
        <v>5.25</v>
      </c>
      <c r="M39" s="2" t="n">
        <v>1.64</v>
      </c>
      <c r="N39" s="1" t="n">
        <v>8.51</v>
      </c>
      <c r="O39" s="1" t="n">
        <v>1.64</v>
      </c>
    </row>
    <row r="40" customFormat="false" ht="15" hidden="false" customHeight="false" outlineLevel="0" collapsed="false">
      <c r="D40" s="0" t="n">
        <v>7</v>
      </c>
      <c r="E40" s="0" t="n">
        <v>4.84</v>
      </c>
      <c r="F40" s="0" t="n">
        <v>-8.21</v>
      </c>
      <c r="G40" s="2" t="n">
        <v>1.34</v>
      </c>
      <c r="H40" s="1" t="n">
        <v>-5.25</v>
      </c>
      <c r="I40" s="1" t="n">
        <v>1.34</v>
      </c>
      <c r="J40" s="0" t="n">
        <v>0</v>
      </c>
      <c r="K40" s="2" t="n">
        <v>1.46</v>
      </c>
      <c r="L40" s="0" t="n">
        <v>5.25</v>
      </c>
      <c r="M40" s="2" t="n">
        <v>1.34</v>
      </c>
      <c r="N40" s="1" t="n">
        <v>8.21</v>
      </c>
      <c r="O40" s="1" t="n">
        <v>1.34</v>
      </c>
    </row>
    <row r="41" customFormat="false" ht="15" hidden="false" customHeight="false" outlineLevel="0" collapsed="false">
      <c r="D41" s="0" t="n">
        <v>6</v>
      </c>
      <c r="E41" s="0" t="n">
        <v>4.66</v>
      </c>
      <c r="F41" s="0" t="n">
        <v>-7.91</v>
      </c>
      <c r="G41" s="2" t="n">
        <v>1.04</v>
      </c>
      <c r="H41" s="1" t="n">
        <v>-5.25</v>
      </c>
      <c r="I41" s="1" t="n">
        <v>1.04</v>
      </c>
      <c r="J41" s="0" t="n">
        <v>0</v>
      </c>
      <c r="K41" s="2" t="n">
        <v>1.16</v>
      </c>
      <c r="L41" s="0" t="n">
        <v>5.25</v>
      </c>
      <c r="M41" s="2" t="n">
        <v>1.04</v>
      </c>
      <c r="N41" s="1" t="n">
        <v>7.91</v>
      </c>
      <c r="O41" s="1" t="n">
        <v>1.04</v>
      </c>
    </row>
    <row r="42" customFormat="false" ht="15" hidden="false" customHeight="false" outlineLevel="0" collapsed="false">
      <c r="D42" s="0" t="n">
        <v>5</v>
      </c>
      <c r="E42" s="0" t="n">
        <v>4.48</v>
      </c>
      <c r="F42" s="0" t="n">
        <v>-7.61</v>
      </c>
      <c r="G42" s="2" t="n">
        <v>0.74</v>
      </c>
      <c r="H42" s="1" t="n">
        <v>-5.25</v>
      </c>
      <c r="I42" s="1" t="n">
        <v>0.74</v>
      </c>
      <c r="J42" s="0" t="n">
        <v>0</v>
      </c>
      <c r="K42" s="2" t="n">
        <v>0.86</v>
      </c>
      <c r="L42" s="0" t="n">
        <v>5.25</v>
      </c>
      <c r="M42" s="2" t="n">
        <v>0.74</v>
      </c>
      <c r="N42" s="1" t="n">
        <v>7.61</v>
      </c>
      <c r="O42" s="1" t="n">
        <v>0.74</v>
      </c>
    </row>
    <row r="43" customFormat="false" ht="15" hidden="false" customHeight="false" outlineLevel="0" collapsed="false">
      <c r="D43" s="0" t="n">
        <v>4</v>
      </c>
      <c r="E43" s="0" t="n">
        <v>4.3</v>
      </c>
      <c r="F43" s="0" t="n">
        <v>-7.31</v>
      </c>
      <c r="G43" s="2" t="n">
        <v>0.44</v>
      </c>
      <c r="H43" s="1" t="n">
        <v>-5.25</v>
      </c>
      <c r="I43" s="1" t="n">
        <v>0.44</v>
      </c>
      <c r="J43" s="0" t="n">
        <v>0</v>
      </c>
      <c r="K43" s="2" t="n">
        <v>0.56</v>
      </c>
      <c r="L43" s="0" t="n">
        <v>5.25</v>
      </c>
      <c r="M43" s="2" t="n">
        <v>0.44</v>
      </c>
      <c r="N43" s="1" t="n">
        <v>7.31</v>
      </c>
      <c r="O43" s="1" t="n">
        <v>0.44</v>
      </c>
    </row>
    <row r="44" customFormat="false" ht="15" hidden="false" customHeight="false" outlineLevel="0" collapsed="false">
      <c r="D44" s="0" t="n">
        <v>3</v>
      </c>
      <c r="E44" s="0" t="n">
        <v>4.12</v>
      </c>
      <c r="F44" s="0" t="n">
        <v>-7.01</v>
      </c>
      <c r="G44" s="2" t="n">
        <v>0.14</v>
      </c>
      <c r="H44" s="1" t="n">
        <v>-5.25</v>
      </c>
      <c r="I44" s="1" t="n">
        <v>0.14</v>
      </c>
      <c r="J44" s="0" t="n">
        <v>0</v>
      </c>
      <c r="K44" s="2" t="n">
        <v>0.26</v>
      </c>
      <c r="L44" s="0" t="n">
        <v>5.25</v>
      </c>
      <c r="M44" s="2" t="n">
        <v>0.14</v>
      </c>
      <c r="N44" s="1" t="n">
        <v>7.01</v>
      </c>
      <c r="O44" s="1" t="n">
        <v>0.14</v>
      </c>
    </row>
    <row r="45" customFormat="false" ht="15" hidden="false" customHeight="false" outlineLevel="0" collapsed="false">
      <c r="D45" s="0" t="n">
        <v>2</v>
      </c>
      <c r="E45" s="0" t="n">
        <v>3.94</v>
      </c>
      <c r="F45" s="0" t="n">
        <v>-6.71</v>
      </c>
      <c r="G45" s="2" t="n">
        <v>-0.16</v>
      </c>
      <c r="H45" s="1" t="n">
        <v>-5.25</v>
      </c>
      <c r="I45" s="1" t="n">
        <v>-0.16</v>
      </c>
      <c r="J45" s="0" t="n">
        <v>0</v>
      </c>
      <c r="K45" s="2" t="n">
        <v>-0.04</v>
      </c>
      <c r="L45" s="0" t="n">
        <v>5.25</v>
      </c>
      <c r="M45" s="2" t="n">
        <v>-0.16</v>
      </c>
      <c r="N45" s="1" t="n">
        <v>6.71</v>
      </c>
      <c r="O45" s="1" t="n">
        <v>-0.16</v>
      </c>
    </row>
    <row r="46" customFormat="false" ht="15" hidden="false" customHeight="false" outlineLevel="0" collapsed="false">
      <c r="D46" s="0" t="n">
        <v>1</v>
      </c>
      <c r="E46" s="0" t="n">
        <v>2.74</v>
      </c>
      <c r="F46" s="0" t="n">
        <v>-6.41</v>
      </c>
      <c r="G46" s="2" t="n">
        <v>-0.46</v>
      </c>
      <c r="H46" s="1" t="n">
        <v>-5.25</v>
      </c>
      <c r="I46" s="1" t="n">
        <v>-0.46</v>
      </c>
      <c r="J46" s="0" t="n">
        <v>0</v>
      </c>
      <c r="K46" s="2" t="n">
        <v>-0.34</v>
      </c>
      <c r="L46" s="0" t="n">
        <v>5.25</v>
      </c>
      <c r="M46" s="2" t="n">
        <v>-0.46</v>
      </c>
      <c r="N46" s="1" t="n">
        <v>6.41</v>
      </c>
      <c r="O46" s="1" t="n">
        <v>-0.46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746.82</v>
      </c>
      <c r="D47" s="0" t="n">
        <v>9</v>
      </c>
      <c r="E47" s="0" t="n">
        <v>7.31</v>
      </c>
      <c r="F47" s="0" t="n">
        <v>-11.95</v>
      </c>
      <c r="G47" s="2" t="n">
        <v>1.94</v>
      </c>
      <c r="H47" s="1" t="n">
        <v>-5.25</v>
      </c>
      <c r="I47" s="1" t="n">
        <v>1.94</v>
      </c>
      <c r="J47" s="0" t="n">
        <v>0</v>
      </c>
      <c r="K47" s="2" t="n">
        <v>2.06</v>
      </c>
      <c r="L47" s="0" t="n">
        <v>5.25</v>
      </c>
      <c r="M47" s="2" t="n">
        <v>1.94</v>
      </c>
      <c r="N47" s="1" t="n">
        <v>11.95</v>
      </c>
      <c r="O47" s="1" t="n">
        <v>1.94</v>
      </c>
      <c r="P47" s="0" t="n">
        <v>61.42</v>
      </c>
      <c r="Q47" s="0" t="n">
        <v>11.55</v>
      </c>
    </row>
    <row r="48" customFormat="false" ht="15" hidden="false" customHeight="false" outlineLevel="0" collapsed="false">
      <c r="D48" s="0" t="n">
        <v>8</v>
      </c>
      <c r="E48" s="0" t="n">
        <v>6.52</v>
      </c>
      <c r="F48" s="0" t="n">
        <v>-12.4</v>
      </c>
      <c r="G48" s="2" t="n">
        <v>1.64</v>
      </c>
      <c r="H48" s="1" t="n">
        <v>-5.25</v>
      </c>
      <c r="I48" s="1" t="n">
        <v>1.64</v>
      </c>
      <c r="J48" s="0" t="n">
        <v>0</v>
      </c>
      <c r="K48" s="2" t="n">
        <v>1.76</v>
      </c>
      <c r="L48" s="0" t="n">
        <v>5.25</v>
      </c>
      <c r="M48" s="2" t="n">
        <v>1.64</v>
      </c>
      <c r="N48" s="1" t="n">
        <v>12.4</v>
      </c>
      <c r="O48" s="1" t="n">
        <v>1.64</v>
      </c>
    </row>
    <row r="49" customFormat="false" ht="15" hidden="false" customHeight="false" outlineLevel="0" collapsed="false">
      <c r="D49" s="0" t="n">
        <v>7</v>
      </c>
      <c r="E49" s="0" t="n">
        <v>6.47</v>
      </c>
      <c r="F49" s="0" t="n">
        <v>-8.65</v>
      </c>
      <c r="G49" s="2" t="n">
        <v>1.34</v>
      </c>
      <c r="H49" s="1" t="n">
        <v>-5.25</v>
      </c>
      <c r="I49" s="1" t="n">
        <v>1.34</v>
      </c>
      <c r="J49" s="0" t="n">
        <v>0</v>
      </c>
      <c r="K49" s="2" t="n">
        <v>1.46</v>
      </c>
      <c r="L49" s="0" t="n">
        <v>5.25</v>
      </c>
      <c r="M49" s="2" t="n">
        <v>1.34</v>
      </c>
      <c r="N49" s="1" t="n">
        <v>12.85</v>
      </c>
      <c r="O49" s="1" t="n">
        <v>1.34</v>
      </c>
    </row>
    <row r="50" customFormat="false" ht="15" hidden="false" customHeight="false" outlineLevel="0" collapsed="false">
      <c r="D50" s="0" t="n">
        <v>6</v>
      </c>
      <c r="E50" s="0" t="n">
        <v>6.52</v>
      </c>
      <c r="F50" s="0" t="n">
        <v>-8.35</v>
      </c>
      <c r="G50" s="2" t="n">
        <v>1.04</v>
      </c>
      <c r="H50" s="1" t="n">
        <v>-5.25</v>
      </c>
      <c r="I50" s="1" t="n">
        <v>1.04</v>
      </c>
      <c r="J50" s="0" t="n">
        <v>0</v>
      </c>
      <c r="K50" s="2" t="n">
        <v>1.16</v>
      </c>
      <c r="L50" s="0" t="n">
        <v>5.25</v>
      </c>
      <c r="M50" s="2" t="n">
        <v>1.04</v>
      </c>
      <c r="N50" s="1" t="n">
        <v>13.3</v>
      </c>
      <c r="O50" s="1" t="n">
        <v>1.04</v>
      </c>
    </row>
    <row r="51" customFormat="false" ht="15" hidden="false" customHeight="false" outlineLevel="0" collapsed="false">
      <c r="D51" s="0" t="n">
        <v>5</v>
      </c>
      <c r="E51" s="0" t="n">
        <v>5.8</v>
      </c>
      <c r="F51" s="0" t="n">
        <v>-8.05</v>
      </c>
      <c r="G51" s="2" t="n">
        <v>0.74</v>
      </c>
      <c r="H51" s="1" t="n">
        <v>-5.25</v>
      </c>
      <c r="I51" s="1" t="n">
        <v>0.74</v>
      </c>
      <c r="J51" s="0" t="n">
        <v>0</v>
      </c>
      <c r="K51" s="2" t="n">
        <v>0.86</v>
      </c>
      <c r="L51" s="0" t="n">
        <v>5.25</v>
      </c>
      <c r="M51" s="2" t="n">
        <v>0.74</v>
      </c>
      <c r="N51" s="1" t="n">
        <v>13.75</v>
      </c>
      <c r="O51" s="1" t="n">
        <v>0.74</v>
      </c>
    </row>
    <row r="52" customFormat="false" ht="15" hidden="false" customHeight="false" outlineLevel="0" collapsed="false">
      <c r="D52" s="0" t="n">
        <v>4</v>
      </c>
      <c r="E52" s="0" t="n">
        <v>4.91</v>
      </c>
      <c r="F52" s="0" t="n">
        <v>-7.75</v>
      </c>
      <c r="G52" s="2" t="n">
        <v>0.44</v>
      </c>
      <c r="H52" s="1" t="n">
        <v>-5.25</v>
      </c>
      <c r="I52" s="1" t="n">
        <v>0.44</v>
      </c>
      <c r="J52" s="0" t="n">
        <v>0</v>
      </c>
      <c r="K52" s="2" t="n">
        <v>0.56</v>
      </c>
      <c r="L52" s="0" t="n">
        <v>5.25</v>
      </c>
      <c r="M52" s="2" t="n">
        <v>0.44</v>
      </c>
      <c r="N52" s="1" t="n">
        <v>8.91</v>
      </c>
      <c r="O52" s="1" t="n">
        <v>0.44</v>
      </c>
    </row>
    <row r="53" customFormat="false" ht="15" hidden="false" customHeight="false" outlineLevel="0" collapsed="false">
      <c r="D53" s="0" t="n">
        <v>3</v>
      </c>
      <c r="E53" s="0" t="n">
        <v>4.73</v>
      </c>
      <c r="F53" s="0" t="n">
        <v>-7.45</v>
      </c>
      <c r="G53" s="2" t="n">
        <v>0.14</v>
      </c>
      <c r="H53" s="1" t="n">
        <v>-5.25</v>
      </c>
      <c r="I53" s="1" t="n">
        <v>0.14</v>
      </c>
      <c r="J53" s="0" t="n">
        <v>0</v>
      </c>
      <c r="K53" s="2" t="n">
        <v>0.26</v>
      </c>
      <c r="L53" s="0" t="n">
        <v>5.25</v>
      </c>
      <c r="M53" s="2" t="n">
        <v>0.14</v>
      </c>
      <c r="N53" s="1" t="n">
        <v>8.61</v>
      </c>
      <c r="O53" s="1" t="n">
        <v>0.14</v>
      </c>
    </row>
    <row r="54" customFormat="false" ht="15" hidden="false" customHeight="false" outlineLevel="0" collapsed="false">
      <c r="D54" s="0" t="n">
        <v>2</v>
      </c>
      <c r="E54" s="0" t="n">
        <v>4.55</v>
      </c>
      <c r="F54" s="0" t="n">
        <v>-7.15</v>
      </c>
      <c r="G54" s="2" t="n">
        <v>-0.16</v>
      </c>
      <c r="H54" s="1" t="n">
        <v>-5.25</v>
      </c>
      <c r="I54" s="1" t="n">
        <v>-0.16</v>
      </c>
      <c r="J54" s="0" t="n">
        <v>0</v>
      </c>
      <c r="K54" s="2" t="n">
        <v>-0.04</v>
      </c>
      <c r="L54" s="0" t="n">
        <v>5.25</v>
      </c>
      <c r="M54" s="2" t="n">
        <v>-0.16</v>
      </c>
      <c r="N54" s="1" t="n">
        <v>8.31</v>
      </c>
      <c r="O54" s="1" t="n">
        <v>-0.16</v>
      </c>
    </row>
    <row r="55" customFormat="false" ht="15" hidden="false" customHeight="false" outlineLevel="0" collapsed="false">
      <c r="D55" s="0" t="n">
        <v>1</v>
      </c>
      <c r="E55" s="0" t="n">
        <v>3.07</v>
      </c>
      <c r="F55" s="0" t="n">
        <v>-6.85</v>
      </c>
      <c r="G55" s="2" t="n">
        <v>-0.46</v>
      </c>
      <c r="H55" s="1" t="n">
        <v>-5.25</v>
      </c>
      <c r="I55" s="1" t="n">
        <v>-0.46</v>
      </c>
      <c r="J55" s="0" t="n">
        <v>0</v>
      </c>
      <c r="K55" s="2" t="n">
        <v>-0.34</v>
      </c>
      <c r="L55" s="0" t="n">
        <v>5.25</v>
      </c>
      <c r="M55" s="2" t="n">
        <v>-0.46</v>
      </c>
      <c r="N55" s="1" t="n">
        <v>8.01</v>
      </c>
      <c r="O55" s="1" t="n">
        <v>-0.46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64.NĐXD4/CVXD ngày 16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64</v>
      </c>
    </row>
    <row r="3" customFormat="false" ht="18.75" hidden="false" customHeight="true" outlineLevel="0" collapsed="false">
      <c r="A3" s="7" t="s">
        <v>25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26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27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1 đoạn từ Km0+672,28 - Km0+746,82,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32</v>
      </c>
      <c r="B19" s="9" t="s">
        <v>33</v>
      </c>
      <c r="C19" s="9" t="s">
        <v>34</v>
      </c>
      <c r="D19" s="10" t="s">
        <v>35</v>
      </c>
      <c r="E19" s="10"/>
      <c r="F19" s="10"/>
      <c r="G19" s="10"/>
      <c r="H19" s="10"/>
      <c r="I19" s="10"/>
      <c r="J19" s="10" t="s">
        <v>36</v>
      </c>
      <c r="K19" s="10"/>
      <c r="L19" s="10"/>
      <c r="M19" s="10" t="s">
        <v>37</v>
      </c>
      <c r="N19" s="10"/>
      <c r="O19" s="10"/>
      <c r="P19" s="10"/>
      <c r="Q19" s="10"/>
      <c r="R19" s="10"/>
      <c r="S19" s="9" t="s">
        <v>38</v>
      </c>
    </row>
    <row r="20" customFormat="false" ht="30" hidden="false" customHeight="true" outlineLevel="0" collapsed="false">
      <c r="A20" s="9"/>
      <c r="B20" s="9"/>
      <c r="C20" s="9"/>
      <c r="D20" s="11" t="s">
        <v>39</v>
      </c>
      <c r="E20" s="11" t="s">
        <v>40</v>
      </c>
      <c r="F20" s="11" t="s">
        <v>41</v>
      </c>
      <c r="G20" s="11" t="s">
        <v>42</v>
      </c>
      <c r="H20" s="11" t="s">
        <v>43</v>
      </c>
      <c r="I20" s="11" t="s">
        <v>44</v>
      </c>
      <c r="J20" s="11" t="s">
        <v>42</v>
      </c>
      <c r="K20" s="11" t="s">
        <v>43</v>
      </c>
      <c r="L20" s="11" t="s">
        <v>44</v>
      </c>
      <c r="M20" s="11" t="s">
        <v>39</v>
      </c>
      <c r="N20" s="11" t="s">
        <v>40</v>
      </c>
      <c r="O20" s="11" t="s">
        <v>41</v>
      </c>
      <c r="P20" s="11" t="s">
        <v>42</v>
      </c>
      <c r="Q20" s="11" t="s">
        <v>43</v>
      </c>
      <c r="R20" s="11" t="s">
        <v>44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672.28</v>
      </c>
      <c r="D21" s="16" t="n">
        <f aca="false">+Chạy!F10</f>
        <v>-9.94</v>
      </c>
      <c r="E21" s="16" t="n">
        <f aca="false">+D21+F21</f>
        <v>-9.9294</v>
      </c>
      <c r="F21" s="16" t="n">
        <f aca="false">RANDBETWEEN(-105,115)/10000</f>
        <v>0.0106</v>
      </c>
      <c r="G21" s="16" t="n">
        <f aca="false">+Chạy!G10</f>
        <v>-0.46</v>
      </c>
      <c r="H21" s="16" t="n">
        <f aca="false">G21+I21</f>
        <v>-0.393</v>
      </c>
      <c r="I21" s="16" t="n">
        <f aca="false">RANDBETWEEN(-30,90)/1000</f>
        <v>0.067</v>
      </c>
      <c r="J21" s="16" t="n">
        <f aca="false">+Chạy!K10</f>
        <v>-0.34</v>
      </c>
      <c r="K21" s="16" t="n">
        <f aca="false">J21+L21</f>
        <v>-0.267</v>
      </c>
      <c r="L21" s="16" t="n">
        <f aca="false">RANDBETWEEN(-30,90)/1000</f>
        <v>0.073</v>
      </c>
      <c r="M21" s="16" t="n">
        <f aca="false">+Chạy!N10</f>
        <v>15.55</v>
      </c>
      <c r="N21" s="16" t="n">
        <f aca="false">+M21+O21</f>
        <v>15.5527</v>
      </c>
      <c r="O21" s="16" t="n">
        <f aca="false">RANDBETWEEN(-105,115)/10000</f>
        <v>0.0027</v>
      </c>
      <c r="P21" s="16" t="n">
        <f aca="false">+Chạy!O10</f>
        <v>-0.46</v>
      </c>
      <c r="Q21" s="16" t="n">
        <f aca="false">P21+R21</f>
        <v>-0.449</v>
      </c>
      <c r="R21" s="16" t="n">
        <f aca="false">RANDBETWEEN(-30,90)/1000</f>
        <v>0.011</v>
      </c>
      <c r="S21" s="17"/>
      <c r="T21" s="18" t="n">
        <v>17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689.28</v>
      </c>
      <c r="D22" s="16" t="n">
        <f aca="false">+Chạy!F19</f>
        <v>-9.2</v>
      </c>
      <c r="E22" s="16" t="n">
        <f aca="false">+D22+F22</f>
        <v>-9.2055</v>
      </c>
      <c r="F22" s="16" t="n">
        <f aca="false">RANDBETWEEN(-105,115)/10000</f>
        <v>-0.0055</v>
      </c>
      <c r="G22" s="16" t="n">
        <f aca="false">+Chạy!G19</f>
        <v>-0.46</v>
      </c>
      <c r="H22" s="16" t="n">
        <f aca="false">G22+I22</f>
        <v>-0.467</v>
      </c>
      <c r="I22" s="16" t="n">
        <f aca="false">RANDBETWEEN(-30,90)/1000</f>
        <v>-0.007</v>
      </c>
      <c r="J22" s="16" t="n">
        <f aca="false">+Chạy!K19</f>
        <v>-0.34</v>
      </c>
      <c r="K22" s="16" t="n">
        <f aca="false">J22+L22</f>
        <v>-0.3</v>
      </c>
      <c r="L22" s="16" t="n">
        <f aca="false">RANDBETWEEN(-30,90)/1000</f>
        <v>0.04</v>
      </c>
      <c r="M22" s="16" t="n">
        <f aca="false">+Chạy!N19</f>
        <v>8.44</v>
      </c>
      <c r="N22" s="16" t="n">
        <f aca="false">+M22+O22</f>
        <v>8.4369</v>
      </c>
      <c r="O22" s="16" t="n">
        <f aca="false">RANDBETWEEN(-105,115)/10000</f>
        <v>-0.0031</v>
      </c>
      <c r="P22" s="16" t="n">
        <f aca="false">+Chạy!O19</f>
        <v>-0.46</v>
      </c>
      <c r="Q22" s="16" t="n">
        <f aca="false">P22+R22</f>
        <v>-0.389</v>
      </c>
      <c r="R22" s="16" t="n">
        <f aca="false">RANDBETWEEN(-30,90)/1000</f>
        <v>0.071</v>
      </c>
      <c r="S22" s="17"/>
      <c r="T22" s="18" t="n">
        <v>11.75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701.03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7"/>
      <c r="T23" s="18" t="n">
        <v>11.75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712.78</v>
      </c>
      <c r="D24" s="16" t="n">
        <f aca="false">+Chạy!F37</f>
        <v>-9.34</v>
      </c>
      <c r="E24" s="16" t="n">
        <f aca="false">+D24+F24</f>
        <v>-9.3447</v>
      </c>
      <c r="F24" s="16" t="n">
        <f aca="false">RANDBETWEEN(-105,115)/10000</f>
        <v>-0.0047</v>
      </c>
      <c r="G24" s="16" t="n">
        <f aca="false">+Chạy!G37</f>
        <v>-0.46</v>
      </c>
      <c r="H24" s="16" t="n">
        <f aca="false">G24+I24</f>
        <v>-0.428</v>
      </c>
      <c r="I24" s="16" t="n">
        <f aca="false">RANDBETWEEN(-30,90)/1000</f>
        <v>0.032</v>
      </c>
      <c r="J24" s="16" t="n">
        <f aca="false">+Chạy!K37</f>
        <v>-0.34</v>
      </c>
      <c r="K24" s="16" t="n">
        <f aca="false">J24+L24</f>
        <v>-0.259</v>
      </c>
      <c r="L24" s="16" t="n">
        <f aca="false">RANDBETWEEN(-30,90)/1000</f>
        <v>0.081</v>
      </c>
      <c r="M24" s="16" t="n">
        <f aca="false">+Chạy!N37</f>
        <v>8.3</v>
      </c>
      <c r="N24" s="16" t="n">
        <f aca="false">+M24+O24</f>
        <v>8.2952</v>
      </c>
      <c r="O24" s="16" t="n">
        <f aca="false">RANDBETWEEN(-105,115)/10000</f>
        <v>-0.0048</v>
      </c>
      <c r="P24" s="16" t="n">
        <f aca="false">+Chạy!O37</f>
        <v>-0.46</v>
      </c>
      <c r="Q24" s="16" t="n">
        <f aca="false">P24+R24</f>
        <v>-0.389</v>
      </c>
      <c r="R24" s="16" t="n">
        <f aca="false">RANDBETWEEN(-30,90)/1000</f>
        <v>0.071</v>
      </c>
      <c r="S24" s="17"/>
      <c r="T24" s="18" t="n">
        <v>17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729.78</v>
      </c>
      <c r="D25" s="16" t="n">
        <f aca="false">+Chạy!F46</f>
        <v>-6.41</v>
      </c>
      <c r="E25" s="16" t="n">
        <f aca="false">+D25+F25</f>
        <v>-6.4123</v>
      </c>
      <c r="F25" s="16" t="n">
        <f aca="false">RANDBETWEEN(-105,115)/10000</f>
        <v>-0.0023</v>
      </c>
      <c r="G25" s="16" t="n">
        <f aca="false">+Chạy!G46</f>
        <v>-0.46</v>
      </c>
      <c r="H25" s="16" t="n">
        <f aca="false">G25+I25</f>
        <v>-0.403</v>
      </c>
      <c r="I25" s="16" t="n">
        <f aca="false">RANDBETWEEN(-30,90)/1000</f>
        <v>0.057</v>
      </c>
      <c r="J25" s="16" t="n">
        <f aca="false">+Chạy!K46</f>
        <v>-0.34</v>
      </c>
      <c r="K25" s="16" t="n">
        <f aca="false">J25+L25</f>
        <v>-0.265</v>
      </c>
      <c r="L25" s="16" t="n">
        <f aca="false">RANDBETWEEN(-30,90)/1000</f>
        <v>0.075</v>
      </c>
      <c r="M25" s="16" t="n">
        <f aca="false">+Chạy!N46</f>
        <v>6.41</v>
      </c>
      <c r="N25" s="16" t="n">
        <f aca="false">+M25+O25</f>
        <v>6.4179</v>
      </c>
      <c r="O25" s="16" t="n">
        <f aca="false">RANDBETWEEN(-105,115)/10000</f>
        <v>0.0079</v>
      </c>
      <c r="P25" s="16" t="n">
        <f aca="false">+Chạy!O46</f>
        <v>-0.46</v>
      </c>
      <c r="Q25" s="16" t="n">
        <f aca="false">P25+R25</f>
        <v>-0.391</v>
      </c>
      <c r="R25" s="16" t="n">
        <f aca="false">RANDBETWEEN(-30,90)/1000</f>
        <v>0.069</v>
      </c>
      <c r="S25" s="17"/>
      <c r="T25" s="18" t="n">
        <v>17.04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746.82</v>
      </c>
      <c r="D26" s="16" t="n">
        <f aca="false">+Chạy!F55</f>
        <v>-6.85</v>
      </c>
      <c r="E26" s="16" t="n">
        <f aca="false">+D26+F26</f>
        <v>-6.8534</v>
      </c>
      <c r="F26" s="16" t="n">
        <f aca="false">RANDBETWEEN(-105,115)/10000</f>
        <v>-0.0034</v>
      </c>
      <c r="G26" s="16" t="n">
        <f aca="false">+Chạy!G55</f>
        <v>-0.46</v>
      </c>
      <c r="H26" s="16" t="n">
        <f aca="false">G26+I26</f>
        <v>-0.423</v>
      </c>
      <c r="I26" s="16" t="n">
        <f aca="false">RANDBETWEEN(-30,90)/1000</f>
        <v>0.037</v>
      </c>
      <c r="J26" s="16" t="n">
        <f aca="false">+Chạy!K55</f>
        <v>-0.34</v>
      </c>
      <c r="K26" s="16" t="n">
        <f aca="false">J26+L26</f>
        <v>-0.364</v>
      </c>
      <c r="L26" s="16" t="n">
        <f aca="false">RANDBETWEEN(-30,90)/1000</f>
        <v>-0.024</v>
      </c>
      <c r="M26" s="16" t="n">
        <f aca="false">+Chạy!N55</f>
        <v>8.01</v>
      </c>
      <c r="N26" s="16" t="n">
        <f aca="false">+M26+O26</f>
        <v>8.0184</v>
      </c>
      <c r="O26" s="16" t="n">
        <f aca="false">RANDBETWEEN(-105,115)/10000</f>
        <v>0.0084</v>
      </c>
      <c r="P26" s="16" t="n">
        <f aca="false">+Chạy!O55</f>
        <v>-0.46</v>
      </c>
      <c r="Q26" s="16" t="n">
        <f aca="false">P26+R26</f>
        <v>-0.453</v>
      </c>
      <c r="R26" s="16" t="n">
        <f aca="false">RANDBETWEEN(-30,90)/1000</f>
        <v>0.007</v>
      </c>
      <c r="S26" s="17"/>
      <c r="T26" s="18"/>
    </row>
    <row r="27" customFormat="false" ht="17.25" hidden="true" customHeight="tru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7"/>
      <c r="T27" s="18"/>
    </row>
    <row r="28" customFormat="false" ht="17.25" hidden="true" customHeight="tru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8"/>
    </row>
    <row r="29" customFormat="false" ht="17.25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</row>
    <row r="30" customFormat="false" ht="17.25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</row>
    <row r="31" customFormat="false" ht="17.25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45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46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47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48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64.NĐXD4/CVXD ngày 16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64</v>
      </c>
    </row>
    <row r="3" s="32" customFormat="true" ht="37.5" hidden="false" customHeight="true" outlineLevel="0" collapsed="false">
      <c r="A3" s="29" t="s">
        <v>25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26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27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1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38</v>
      </c>
      <c r="C11" s="51" t="n">
        <f aca="false">'1.KTHH L1'!C21</f>
        <v>672.28</v>
      </c>
      <c r="D11" s="13" t="n">
        <f aca="false">'1.KTHH L1'!T21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4.71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69.7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39</v>
      </c>
      <c r="C12" s="51" t="n">
        <f aca="false">'1.KTHH L1'!C22</f>
        <v>689.28</v>
      </c>
      <c r="D12" s="13" t="n">
        <f aca="false">'1.KTHH L1'!T22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3.49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20.50375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F2</v>
      </c>
      <c r="C13" s="51" t="n">
        <f aca="false">'1.KTHH L1'!C23</f>
        <v>701.03</v>
      </c>
      <c r="D13" s="13" t="n">
        <f aca="false">'1.KTHH L1'!T23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/>
      <c r="P13" s="53"/>
      <c r="Q13" s="53"/>
      <c r="R13" s="55"/>
      <c r="S13" s="55"/>
      <c r="T13" s="55"/>
      <c r="U13" s="55"/>
      <c r="V13" s="55"/>
      <c r="W13" s="55" t="n">
        <f aca="false">(O13+O14)*D13/2</f>
        <v>20.68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40</v>
      </c>
      <c r="C14" s="51" t="n">
        <f aca="false">'1.KTHH L1'!C24</f>
        <v>712.78</v>
      </c>
      <c r="D14" s="13" t="n">
        <f aca="false">'1.KTHH L1'!T24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3.52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53.21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41</v>
      </c>
      <c r="C15" s="51" t="n">
        <f aca="false">'1.KTHH L1'!C25</f>
        <v>729.78</v>
      </c>
      <c r="D15" s="13" t="n">
        <f aca="false">'1.KTHH L1'!T25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2.74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49.5012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42</v>
      </c>
      <c r="C16" s="51" t="n">
        <f aca="false">'1.KTHH L1'!C26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Chạy!E55</f>
        <v>3.07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213.59495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65.NĐXD4/CVXD ngày 17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65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2 đoạn từ Km0+672,28 - Km0+746,82,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32</v>
      </c>
      <c r="B19" s="9" t="s">
        <v>33</v>
      </c>
      <c r="C19" s="9" t="s">
        <v>34</v>
      </c>
      <c r="D19" s="10" t="s">
        <v>35</v>
      </c>
      <c r="E19" s="10"/>
      <c r="F19" s="10"/>
      <c r="G19" s="10"/>
      <c r="H19" s="10"/>
      <c r="I19" s="10"/>
      <c r="J19" s="10" t="s">
        <v>36</v>
      </c>
      <c r="K19" s="10"/>
      <c r="L19" s="10"/>
      <c r="M19" s="10" t="s">
        <v>37</v>
      </c>
      <c r="N19" s="10"/>
      <c r="O19" s="10"/>
      <c r="P19" s="10"/>
      <c r="Q19" s="10"/>
      <c r="R19" s="10"/>
      <c r="S19" s="9" t="s">
        <v>38</v>
      </c>
    </row>
    <row r="20" customFormat="false" ht="30" hidden="false" customHeight="true" outlineLevel="0" collapsed="false">
      <c r="A20" s="9"/>
      <c r="B20" s="9"/>
      <c r="C20" s="9"/>
      <c r="D20" s="11" t="s">
        <v>39</v>
      </c>
      <c r="E20" s="11" t="s">
        <v>40</v>
      </c>
      <c r="F20" s="11" t="s">
        <v>41</v>
      </c>
      <c r="G20" s="11" t="s">
        <v>42</v>
      </c>
      <c r="H20" s="11" t="s">
        <v>43</v>
      </c>
      <c r="I20" s="11" t="s">
        <v>44</v>
      </c>
      <c r="J20" s="11" t="s">
        <v>42</v>
      </c>
      <c r="K20" s="11" t="s">
        <v>43</v>
      </c>
      <c r="L20" s="11" t="s">
        <v>44</v>
      </c>
      <c r="M20" s="11" t="s">
        <v>39</v>
      </c>
      <c r="N20" s="11" t="s">
        <v>40</v>
      </c>
      <c r="O20" s="11" t="s">
        <v>41</v>
      </c>
      <c r="P20" s="11" t="s">
        <v>42</v>
      </c>
      <c r="Q20" s="11" t="s">
        <v>43</v>
      </c>
      <c r="R20" s="11" t="s">
        <v>44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672.28</v>
      </c>
      <c r="D21" s="16" t="n">
        <f aca="false">+Chạy!F9</f>
        <v>-10.24</v>
      </c>
      <c r="E21" s="16" t="n">
        <f aca="false">+D21+F21</f>
        <v>-10.2362</v>
      </c>
      <c r="F21" s="16" t="n">
        <f aca="false">RANDBETWEEN(-105,115)/10000</f>
        <v>0.0038</v>
      </c>
      <c r="G21" s="16" t="n">
        <f aca="false">+Chạy!G9</f>
        <v>-0.16</v>
      </c>
      <c r="H21" s="16" t="n">
        <f aca="false">G21+I21</f>
        <v>-0.142</v>
      </c>
      <c r="I21" s="16" t="n">
        <f aca="false">RANDBETWEEN(-30,90)/1000</f>
        <v>0.018</v>
      </c>
      <c r="J21" s="16" t="n">
        <f aca="false">+Chạy!K9</f>
        <v>-0.04</v>
      </c>
      <c r="K21" s="16" t="n">
        <f aca="false">J21+L21</f>
        <v>-0.035</v>
      </c>
      <c r="L21" s="16" t="n">
        <f aca="false">RANDBETWEEN(-30,90)/1000</f>
        <v>0.005</v>
      </c>
      <c r="M21" s="16" t="n">
        <f aca="false">+Chạy!N9</f>
        <v>15.1</v>
      </c>
      <c r="N21" s="16" t="n">
        <f aca="false">+M21+O21</f>
        <v>15.1092</v>
      </c>
      <c r="O21" s="16" t="n">
        <f aca="false">RANDBETWEEN(-105,115)/10000</f>
        <v>0.0092</v>
      </c>
      <c r="P21" s="16" t="n">
        <f aca="false">+Chạy!O9</f>
        <v>-0.16</v>
      </c>
      <c r="Q21" s="16" t="n">
        <f aca="false">P21+R21</f>
        <v>-0.073</v>
      </c>
      <c r="R21" s="16" t="n">
        <f aca="false">RANDBETWEEN(-30,90)/1000</f>
        <v>0.087</v>
      </c>
      <c r="S21" s="17"/>
      <c r="T21" s="0" t="n">
        <v>17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689.28</v>
      </c>
      <c r="D22" s="16" t="n">
        <f aca="false">+Chạy!F18</f>
        <v>-9.5</v>
      </c>
      <c r="E22" s="16" t="n">
        <f aca="false">+D22+F22</f>
        <v>-9.5013</v>
      </c>
      <c r="F22" s="16" t="n">
        <f aca="false">RANDBETWEEN(-105,115)/10000</f>
        <v>-0.0013</v>
      </c>
      <c r="G22" s="16" t="n">
        <f aca="false">+Chạy!G18</f>
        <v>-0.16</v>
      </c>
      <c r="H22" s="16" t="n">
        <f aca="false">G22+I22</f>
        <v>-0.114</v>
      </c>
      <c r="I22" s="16" t="n">
        <f aca="false">RANDBETWEEN(-30,90)/1000</f>
        <v>0.046</v>
      </c>
      <c r="J22" s="16" t="n">
        <f aca="false">+Chạy!K18</f>
        <v>-0.04</v>
      </c>
      <c r="K22" s="16" t="n">
        <f aca="false">J22+L22</f>
        <v>0.007</v>
      </c>
      <c r="L22" s="16" t="n">
        <f aca="false">RANDBETWEEN(-30,90)/1000</f>
        <v>0.047</v>
      </c>
      <c r="M22" s="16" t="n">
        <f aca="false">+Chạy!N18</f>
        <v>8.74</v>
      </c>
      <c r="N22" s="16" t="n">
        <f aca="false">+M22+O22</f>
        <v>8.7424</v>
      </c>
      <c r="O22" s="16" t="n">
        <f aca="false">RANDBETWEEN(-105,115)/10000</f>
        <v>0.0024</v>
      </c>
      <c r="P22" s="16" t="n">
        <f aca="false">+Chạy!O18</f>
        <v>-0.16</v>
      </c>
      <c r="Q22" s="16" t="n">
        <f aca="false">P22+R22</f>
        <v>-0.19</v>
      </c>
      <c r="R22" s="16" t="n">
        <f aca="false">RANDBETWEEN(-30,90)/1000</f>
        <v>-0.03</v>
      </c>
      <c r="S22" s="17"/>
      <c r="T22" s="0" t="n">
        <v>11.75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701.03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7"/>
      <c r="T23" s="0" t="n">
        <v>11.75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712.78</v>
      </c>
      <c r="D24" s="16" t="n">
        <f aca="false">+Chạy!F36</f>
        <v>-9.64</v>
      </c>
      <c r="E24" s="16" t="n">
        <f aca="false">+D24+F24</f>
        <v>-9.6411</v>
      </c>
      <c r="F24" s="16" t="n">
        <f aca="false">RANDBETWEEN(-105,115)/10000</f>
        <v>-0.0011</v>
      </c>
      <c r="G24" s="16" t="n">
        <f aca="false">+Chạy!G36</f>
        <v>-0.16</v>
      </c>
      <c r="H24" s="16" t="n">
        <f aca="false">G24+I24</f>
        <v>-0.152</v>
      </c>
      <c r="I24" s="16" t="n">
        <f aca="false">RANDBETWEEN(-30,90)/1000</f>
        <v>0.008</v>
      </c>
      <c r="J24" s="16" t="n">
        <f aca="false">+Chạy!K36</f>
        <v>-0.04</v>
      </c>
      <c r="K24" s="16" t="n">
        <f aca="false">J24+L24</f>
        <v>-0.016</v>
      </c>
      <c r="L24" s="16" t="n">
        <f aca="false">RANDBETWEEN(-30,90)/1000</f>
        <v>0.024</v>
      </c>
      <c r="M24" s="16" t="n">
        <f aca="false">+Chạy!N36</f>
        <v>8.6</v>
      </c>
      <c r="N24" s="16" t="n">
        <f aca="false">+M24+O24</f>
        <v>8.606</v>
      </c>
      <c r="O24" s="16" t="n">
        <f aca="false">RANDBETWEEN(-105,115)/10000</f>
        <v>0.006</v>
      </c>
      <c r="P24" s="16" t="n">
        <f aca="false">+Chạy!O36</f>
        <v>-0.16</v>
      </c>
      <c r="Q24" s="16" t="n">
        <f aca="false">P24+R24</f>
        <v>-0.111</v>
      </c>
      <c r="R24" s="16" t="n">
        <f aca="false">RANDBETWEEN(-30,90)/1000</f>
        <v>0.049</v>
      </c>
      <c r="S24" s="17"/>
      <c r="T24" s="0" t="n">
        <v>17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729.78</v>
      </c>
      <c r="D25" s="16" t="n">
        <f aca="false">+Chạy!F45</f>
        <v>-6.71</v>
      </c>
      <c r="E25" s="16" t="n">
        <f aca="false">+D25+F25</f>
        <v>-6.7085</v>
      </c>
      <c r="F25" s="16" t="n">
        <f aca="false">RANDBETWEEN(-105,115)/10000</f>
        <v>0.0015</v>
      </c>
      <c r="G25" s="16" t="n">
        <f aca="false">+Chạy!G45</f>
        <v>-0.16</v>
      </c>
      <c r="H25" s="16" t="n">
        <f aca="false">G25+I25</f>
        <v>-0.084</v>
      </c>
      <c r="I25" s="16" t="n">
        <f aca="false">RANDBETWEEN(-30,90)/1000</f>
        <v>0.076</v>
      </c>
      <c r="J25" s="16" t="n">
        <f aca="false">+Chạy!K45</f>
        <v>-0.04</v>
      </c>
      <c r="K25" s="16" t="n">
        <f aca="false">J25+L25</f>
        <v>0.015</v>
      </c>
      <c r="L25" s="16" t="n">
        <f aca="false">RANDBETWEEN(-30,90)/1000</f>
        <v>0.055</v>
      </c>
      <c r="M25" s="16" t="n">
        <f aca="false">+Chạy!N45</f>
        <v>6.71</v>
      </c>
      <c r="N25" s="16" t="n">
        <f aca="false">+M25+O25</f>
        <v>6.7092</v>
      </c>
      <c r="O25" s="16" t="n">
        <f aca="false">RANDBETWEEN(-105,115)/10000</f>
        <v>-0.0008</v>
      </c>
      <c r="P25" s="16" t="n">
        <f aca="false">+Chạy!O45</f>
        <v>-0.16</v>
      </c>
      <c r="Q25" s="16" t="n">
        <f aca="false">P25+R25</f>
        <v>-0.123</v>
      </c>
      <c r="R25" s="16" t="n">
        <f aca="false">RANDBETWEEN(-30,90)/1000</f>
        <v>0.037</v>
      </c>
      <c r="S25" s="17"/>
      <c r="T25" s="0" t="n">
        <v>17.04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746.82</v>
      </c>
      <c r="D26" s="16" t="n">
        <f aca="false">+Chạy!F54</f>
        <v>-7.15</v>
      </c>
      <c r="E26" s="16" t="n">
        <f aca="false">+D26+F26</f>
        <v>-7.142</v>
      </c>
      <c r="F26" s="16" t="n">
        <f aca="false">RANDBETWEEN(-105,115)/10000</f>
        <v>0.008</v>
      </c>
      <c r="G26" s="16" t="n">
        <f aca="false">+Chạy!G54</f>
        <v>-0.16</v>
      </c>
      <c r="H26" s="16" t="n">
        <f aca="false">G26+I26</f>
        <v>-0.143</v>
      </c>
      <c r="I26" s="16" t="n">
        <f aca="false">RANDBETWEEN(-30,90)/1000</f>
        <v>0.017</v>
      </c>
      <c r="J26" s="16" t="n">
        <f aca="false">+Chạy!K54</f>
        <v>-0.04</v>
      </c>
      <c r="K26" s="16" t="n">
        <f aca="false">J26+L26</f>
        <v>0.012</v>
      </c>
      <c r="L26" s="16" t="n">
        <f aca="false">RANDBETWEEN(-30,90)/1000</f>
        <v>0.052</v>
      </c>
      <c r="M26" s="16" t="n">
        <f aca="false">+Chạy!N54</f>
        <v>8.31</v>
      </c>
      <c r="N26" s="16" t="n">
        <f aca="false">+M26+O26</f>
        <v>8.3017</v>
      </c>
      <c r="O26" s="16" t="n">
        <f aca="false">RANDBETWEEN(-105,115)/10000</f>
        <v>-0.0083</v>
      </c>
      <c r="P26" s="16" t="n">
        <f aca="false">+Chạy!O54</f>
        <v>-0.16</v>
      </c>
      <c r="Q26" s="16" t="n">
        <f aca="false">P26+R26</f>
        <v>-0.074</v>
      </c>
      <c r="R26" s="16" t="n">
        <f aca="false">RANDBETWEEN(-30,90)/1000</f>
        <v>0.086</v>
      </c>
      <c r="S26" s="17"/>
    </row>
    <row r="27" customFormat="false" ht="15" hidden="true" customHeight="false" outlineLevel="0" collapsed="false">
      <c r="A27" s="13"/>
      <c r="B27" s="13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7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45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46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47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48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65.NĐXD4/CVXD ngày 17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65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2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38</v>
      </c>
      <c r="C11" s="51" t="n">
        <f aca="false">'2.KTHH L2'!C21</f>
        <v>672.28</v>
      </c>
      <c r="D11" s="13" t="n">
        <f aca="false">'2.KTHH L2'!T21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7.62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110.5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39</v>
      </c>
      <c r="C12" s="51" t="n">
        <f aca="false">'2.KTHH L2'!C22</f>
        <v>689.28</v>
      </c>
      <c r="D12" s="13" t="n">
        <f aca="false">'2.KTHH L2'!T22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5.38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31.6075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F2</v>
      </c>
      <c r="C13" s="51" t="n">
        <f aca="false">'2.KTHH L2'!C23</f>
        <v>701.03</v>
      </c>
      <c r="D13" s="13" t="n">
        <f aca="false">'2.KTHH L2'!T23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/>
      <c r="P13" s="53"/>
      <c r="Q13" s="53"/>
      <c r="R13" s="55"/>
      <c r="S13" s="55"/>
      <c r="T13" s="55"/>
      <c r="U13" s="55"/>
      <c r="V13" s="55"/>
      <c r="W13" s="55" t="n">
        <f aca="false">(O13+O14)*D13/2</f>
        <v>31.6075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40</v>
      </c>
      <c r="C14" s="51" t="n">
        <f aca="false">'2.KTHH L2'!C24</f>
        <v>712.78</v>
      </c>
      <c r="D14" s="13" t="n">
        <f aca="false">'2.KTHH L2'!T24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5.38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79.22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41</v>
      </c>
      <c r="C15" s="51" t="n">
        <f aca="false">'2.KTHH L2'!C25</f>
        <v>729.78</v>
      </c>
      <c r="D15" s="13" t="n">
        <f aca="false">'2.KTHH L2'!T25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3.94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72.3348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42</v>
      </c>
      <c r="C16" s="51" t="n">
        <f aca="false">'2.KTHH L2'!C26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4.55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  <c r="AE16" s="92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  <c r="AE17" s="92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92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92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92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325.2698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66.NĐXD4/CVXD ngày 17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66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3 đoạn từ Km0+672,28 - Km0+746,82,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672.28</v>
      </c>
      <c r="D22" s="16" t="n">
        <f aca="false">+Chạy!F8</f>
        <v>-10.54</v>
      </c>
      <c r="E22" s="16" t="n">
        <f aca="false">+D22+F22</f>
        <v>-10.5288</v>
      </c>
      <c r="F22" s="16" t="n">
        <f aca="false">RANDBETWEEN(-105,115)/10000</f>
        <v>0.0112</v>
      </c>
      <c r="G22" s="16" t="n">
        <f aca="false">+Chạy!G8</f>
        <v>0.14</v>
      </c>
      <c r="H22" s="16" t="n">
        <f aca="false">G22+I22</f>
        <v>0.213</v>
      </c>
      <c r="I22" s="16" t="n">
        <f aca="false">RANDBETWEEN(-30,90)/1000</f>
        <v>0.073</v>
      </c>
      <c r="J22" s="16" t="n">
        <f aca="false">+Chạy!K8</f>
        <v>0.26</v>
      </c>
      <c r="K22" s="16" t="n">
        <f aca="false">J22+L22</f>
        <v>0.323</v>
      </c>
      <c r="L22" s="16" t="n">
        <f aca="false">RANDBETWEEN(-30,90)/1000</f>
        <v>0.063</v>
      </c>
      <c r="M22" s="16" t="n">
        <f aca="false">+Chạy!N8</f>
        <v>14.65</v>
      </c>
      <c r="N22" s="16" t="n">
        <f aca="false">+M22+O22</f>
        <v>14.6401</v>
      </c>
      <c r="O22" s="16" t="n">
        <f aca="false">RANDBETWEEN(-105,115)/10000</f>
        <v>-0.0099</v>
      </c>
      <c r="P22" s="16" t="n">
        <f aca="false">+Chạy!O8</f>
        <v>0.14</v>
      </c>
      <c r="Q22" s="16" t="n">
        <f aca="false">P22+R22</f>
        <v>0.178</v>
      </c>
      <c r="R22" s="16" t="n">
        <f aca="false">RANDBETWEEN(-30,90)/1000</f>
        <v>0.038</v>
      </c>
      <c r="S22" s="17"/>
      <c r="T22" s="0" t="n">
        <v>17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689.28</v>
      </c>
      <c r="D23" s="16" t="n">
        <f aca="false">+Chạy!F17</f>
        <v>-9.8</v>
      </c>
      <c r="E23" s="16" t="n">
        <f aca="false">+D23+F23</f>
        <v>-9.8081</v>
      </c>
      <c r="F23" s="16" t="n">
        <f aca="false">RANDBETWEEN(-105,115)/10000</f>
        <v>-0.0081</v>
      </c>
      <c r="G23" s="16" t="n">
        <f aca="false">+Chạy!G17</f>
        <v>0.14</v>
      </c>
      <c r="H23" s="16" t="n">
        <f aca="false">G23+I23</f>
        <v>0.22</v>
      </c>
      <c r="I23" s="16" t="n">
        <f aca="false">RANDBETWEEN(-30,90)/1000</f>
        <v>0.08</v>
      </c>
      <c r="J23" s="16" t="n">
        <f aca="false">+Chạy!K17</f>
        <v>0.26</v>
      </c>
      <c r="K23" s="16" t="n">
        <f aca="false">J23+L23</f>
        <v>0.272</v>
      </c>
      <c r="L23" s="16" t="n">
        <f aca="false">RANDBETWEEN(-30,90)/1000</f>
        <v>0.012</v>
      </c>
      <c r="M23" s="16" t="n">
        <f aca="false">+Chạy!N17</f>
        <v>9.04</v>
      </c>
      <c r="N23" s="16" t="n">
        <f aca="false">+M23+O23</f>
        <v>9.0364</v>
      </c>
      <c r="O23" s="16" t="n">
        <f aca="false">RANDBETWEEN(-105,115)/10000</f>
        <v>-0.0036</v>
      </c>
      <c r="P23" s="16" t="n">
        <f aca="false">+Chạy!O17</f>
        <v>0.14</v>
      </c>
      <c r="Q23" s="16" t="n">
        <f aca="false">P23+R23</f>
        <v>0.195</v>
      </c>
      <c r="R23" s="16" t="n">
        <f aca="false">RANDBETWEEN(-30,90)/1000</f>
        <v>0.055</v>
      </c>
      <c r="S23" s="17"/>
      <c r="T23" s="0" t="n">
        <v>11.75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701.03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0" t="n">
        <v>11.75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712.78</v>
      </c>
      <c r="D25" s="16" t="n">
        <f aca="false">+Chạy!F35</f>
        <v>-9.94</v>
      </c>
      <c r="E25" s="16" t="n">
        <f aca="false">+D25+F25</f>
        <v>-9.9398</v>
      </c>
      <c r="F25" s="16" t="n">
        <f aca="false">RANDBETWEEN(-105,115)/10000</f>
        <v>0.0002</v>
      </c>
      <c r="G25" s="16" t="n">
        <f aca="false">+Chạy!G35</f>
        <v>0.14</v>
      </c>
      <c r="H25" s="16" t="n">
        <f aca="false">G25+I25</f>
        <v>0.2</v>
      </c>
      <c r="I25" s="16" t="n">
        <f aca="false">RANDBETWEEN(-30,90)/1000</f>
        <v>0.06</v>
      </c>
      <c r="J25" s="16" t="n">
        <f aca="false">+Chạy!K35</f>
        <v>0.26</v>
      </c>
      <c r="K25" s="16" t="n">
        <f aca="false">J25+L25</f>
        <v>0.231</v>
      </c>
      <c r="L25" s="16" t="n">
        <f aca="false">RANDBETWEEN(-30,90)/1000</f>
        <v>-0.029</v>
      </c>
      <c r="M25" s="16" t="n">
        <f aca="false">+Chạy!N35</f>
        <v>8.9</v>
      </c>
      <c r="N25" s="16" t="n">
        <f aca="false">+M25+O25</f>
        <v>8.91</v>
      </c>
      <c r="O25" s="16" t="n">
        <f aca="false">RANDBETWEEN(-105,115)/10000</f>
        <v>0.01</v>
      </c>
      <c r="P25" s="16" t="n">
        <f aca="false">+Chạy!O35</f>
        <v>0.14</v>
      </c>
      <c r="Q25" s="16" t="n">
        <f aca="false">P25+R25</f>
        <v>0.164</v>
      </c>
      <c r="R25" s="16" t="n">
        <f aca="false">RANDBETWEEN(-30,90)/1000</f>
        <v>0.024</v>
      </c>
      <c r="S25" s="17"/>
      <c r="T25" s="0" t="n">
        <v>17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729.78</v>
      </c>
      <c r="D26" s="16" t="n">
        <f aca="false">+Chạy!F44</f>
        <v>-7.01</v>
      </c>
      <c r="E26" s="16" t="n">
        <f aca="false">+D26+F26</f>
        <v>-7.0048</v>
      </c>
      <c r="F26" s="16" t="n">
        <f aca="false">RANDBETWEEN(-105,115)/10000</f>
        <v>0.0052</v>
      </c>
      <c r="G26" s="16" t="n">
        <f aca="false">+Chạy!G44</f>
        <v>0.14</v>
      </c>
      <c r="H26" s="16" t="n">
        <f aca="false">G26+I26</f>
        <v>0.158</v>
      </c>
      <c r="I26" s="16" t="n">
        <f aca="false">RANDBETWEEN(-30,90)/1000</f>
        <v>0.018</v>
      </c>
      <c r="J26" s="16" t="n">
        <f aca="false">+Chạy!K44</f>
        <v>0.26</v>
      </c>
      <c r="K26" s="16" t="n">
        <f aca="false">J26+L26</f>
        <v>0.329</v>
      </c>
      <c r="L26" s="16" t="n">
        <f aca="false">RANDBETWEEN(-30,90)/1000</f>
        <v>0.069</v>
      </c>
      <c r="M26" s="16" t="n">
        <f aca="false">+Chạy!N44</f>
        <v>7.01</v>
      </c>
      <c r="N26" s="16" t="n">
        <f aca="false">+M26+O26</f>
        <v>7.018</v>
      </c>
      <c r="O26" s="16" t="n">
        <f aca="false">RANDBETWEEN(-105,115)/10000</f>
        <v>0.008</v>
      </c>
      <c r="P26" s="16" t="n">
        <f aca="false">+Chạy!O44</f>
        <v>0.14</v>
      </c>
      <c r="Q26" s="16" t="n">
        <f aca="false">P26+R26</f>
        <v>0.21</v>
      </c>
      <c r="R26" s="16" t="n">
        <f aca="false">RANDBETWEEN(-30,90)/1000</f>
        <v>0.07</v>
      </c>
      <c r="S26" s="17"/>
      <c r="T26" s="0" t="n">
        <v>17.04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746.82</v>
      </c>
      <c r="D27" s="16" t="n">
        <f aca="false">+Chạy!F53</f>
        <v>-7.45</v>
      </c>
      <c r="E27" s="16" t="n">
        <f aca="false">+D27+F27</f>
        <v>-7.4392</v>
      </c>
      <c r="F27" s="16" t="n">
        <f aca="false">RANDBETWEEN(-105,115)/10000</f>
        <v>0.0108</v>
      </c>
      <c r="G27" s="16" t="n">
        <f aca="false">+Chạy!G53</f>
        <v>0.14</v>
      </c>
      <c r="H27" s="16" t="n">
        <f aca="false">G27+I27</f>
        <v>0.146</v>
      </c>
      <c r="I27" s="16" t="n">
        <f aca="false">RANDBETWEEN(-30,90)/1000</f>
        <v>0.006</v>
      </c>
      <c r="J27" s="16" t="n">
        <f aca="false">+Chạy!K53</f>
        <v>0.26</v>
      </c>
      <c r="K27" s="16" t="n">
        <f aca="false">J27+L27</f>
        <v>0.33</v>
      </c>
      <c r="L27" s="16" t="n">
        <f aca="false">RANDBETWEEN(-30,90)/1000</f>
        <v>0.07</v>
      </c>
      <c r="M27" s="16" t="n">
        <f aca="false">+Chạy!N53</f>
        <v>8.61</v>
      </c>
      <c r="N27" s="16" t="n">
        <f aca="false">+M27+O27</f>
        <v>8.613</v>
      </c>
      <c r="O27" s="16" t="n">
        <f aca="false">RANDBETWEEN(-105,115)/10000</f>
        <v>0.003</v>
      </c>
      <c r="P27" s="16" t="n">
        <f aca="false">+Chạy!O53</f>
        <v>0.14</v>
      </c>
      <c r="Q27" s="16" t="n">
        <f aca="false">P27+R27</f>
        <v>0.184</v>
      </c>
      <c r="R27" s="16" t="n">
        <f aca="false">RANDBETWEEN(-30,90)/1000</f>
        <v>0.044</v>
      </c>
      <c r="S27" s="17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66.NĐXD4/CVXD ngày 17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66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3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38</v>
      </c>
      <c r="C11" s="51" t="n">
        <f aca="false">'3.KTHH L3'!C22</f>
        <v>672.28</v>
      </c>
      <c r="D11" s="13" t="n">
        <f aca="false">'3.KTHH L3'!T22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7.58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111.69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39</v>
      </c>
      <c r="C12" s="51" t="n">
        <f aca="false">'3.KTHH L3'!C23</f>
        <v>689.28</v>
      </c>
      <c r="D12" s="13" t="n">
        <f aca="false">'3.KTHH L3'!T23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5.56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32.665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F2</v>
      </c>
      <c r="C13" s="51" t="n">
        <f aca="false">'3.KTHH L3'!C24</f>
        <v>701.03</v>
      </c>
      <c r="D13" s="13" t="n">
        <f aca="false">'3.KTHH L3'!T24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/>
      <c r="P13" s="53"/>
      <c r="Q13" s="53"/>
      <c r="R13" s="55"/>
      <c r="S13" s="55"/>
      <c r="T13" s="55"/>
      <c r="U13" s="55"/>
      <c r="V13" s="55"/>
      <c r="W13" s="55" t="n">
        <f aca="false">(O13+O14)*D13/2</f>
        <v>32.665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40</v>
      </c>
      <c r="C14" s="51" t="n">
        <f aca="false">'3.KTHH L3'!C25</f>
        <v>712.78</v>
      </c>
      <c r="D14" s="13" t="n">
        <f aca="false">'3.KTHH L3'!T25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5.56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82.28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41</v>
      </c>
      <c r="C15" s="51" t="n">
        <f aca="false">'3.KTHH L3'!C26</f>
        <v>729.78</v>
      </c>
      <c r="D15" s="13" t="n">
        <f aca="false">'3.KTHH L3'!T26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4.12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75.402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42</v>
      </c>
      <c r="C16" s="51" t="n">
        <f aca="false">'3.KTHH L3'!C27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4.73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56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SUM(W11:W16)</f>
        <v>334.702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67.NĐXD4/CVXD ngày 18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67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4 đoạn từ Km0+672,28 - Km0+746,82,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672.28</v>
      </c>
      <c r="D22" s="16" t="n">
        <f aca="false">+Chạy!F7</f>
        <v>-10.84</v>
      </c>
      <c r="E22" s="16" t="n">
        <f aca="false">+D22+F22</f>
        <v>-10.8409</v>
      </c>
      <c r="F22" s="16" t="n">
        <f aca="false">RANDBETWEEN(-105,115)/10000</f>
        <v>-0.0009</v>
      </c>
      <c r="G22" s="16" t="n">
        <f aca="false">+Chạy!G7</f>
        <v>0.44</v>
      </c>
      <c r="H22" s="16" t="n">
        <f aca="false">G22+I22</f>
        <v>0.44</v>
      </c>
      <c r="I22" s="16" t="n">
        <f aca="false">RANDBETWEEN(-30,90)/1000</f>
        <v>0</v>
      </c>
      <c r="J22" s="16" t="n">
        <f aca="false">+Chạy!K7</f>
        <v>0.56</v>
      </c>
      <c r="K22" s="16" t="n">
        <f aca="false">J22+L22</f>
        <v>0.562</v>
      </c>
      <c r="L22" s="16" t="n">
        <f aca="false">RANDBETWEEN(-30,90)/1000</f>
        <v>0.002</v>
      </c>
      <c r="M22" s="16" t="n">
        <f aca="false">+Chạy!N7</f>
        <v>14.2</v>
      </c>
      <c r="N22" s="16" t="n">
        <f aca="false">+M22+O22</f>
        <v>14.2016</v>
      </c>
      <c r="O22" s="16" t="n">
        <f aca="false">RANDBETWEEN(-105,115)/10000</f>
        <v>0.0016</v>
      </c>
      <c r="P22" s="16" t="n">
        <f aca="false">+Chạy!O7</f>
        <v>0.44</v>
      </c>
      <c r="Q22" s="16" t="n">
        <f aca="false">P22+R22</f>
        <v>0.478</v>
      </c>
      <c r="R22" s="16" t="n">
        <f aca="false">RANDBETWEEN(-30,90)/1000</f>
        <v>0.038</v>
      </c>
      <c r="S22" s="17"/>
      <c r="T22" s="1" t="n">
        <v>17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689.28</v>
      </c>
      <c r="D23" s="16" t="n">
        <f aca="false">+Chạy!F16</f>
        <v>-11.46</v>
      </c>
      <c r="E23" s="16" t="n">
        <f aca="false">+D23+F23</f>
        <v>-11.4545</v>
      </c>
      <c r="F23" s="16" t="n">
        <f aca="false">RANDBETWEEN(-105,115)/10000</f>
        <v>0.0055</v>
      </c>
      <c r="G23" s="16" t="n">
        <f aca="false">+Chạy!G16</f>
        <v>0.44</v>
      </c>
      <c r="H23" s="16" t="n">
        <f aca="false">G23+I23</f>
        <v>0.415</v>
      </c>
      <c r="I23" s="16" t="n">
        <f aca="false">RANDBETWEEN(-30,90)/1000</f>
        <v>-0.025</v>
      </c>
      <c r="J23" s="16" t="n">
        <f aca="false">+Chạy!K16</f>
        <v>0.56</v>
      </c>
      <c r="K23" s="16" t="n">
        <f aca="false">J23+L23</f>
        <v>0.536</v>
      </c>
      <c r="L23" s="16" t="n">
        <f aca="false">RANDBETWEEN(-30,90)/1000</f>
        <v>-0.024</v>
      </c>
      <c r="M23" s="16" t="n">
        <f aca="false">+Chạy!N16</f>
        <v>9.34</v>
      </c>
      <c r="N23" s="16" t="n">
        <f aca="false">+M23+O23</f>
        <v>9.342</v>
      </c>
      <c r="O23" s="16" t="n">
        <f aca="false">RANDBETWEEN(-105,115)/10000</f>
        <v>0.002</v>
      </c>
      <c r="P23" s="16" t="n">
        <f aca="false">+Chạy!O16</f>
        <v>0.44</v>
      </c>
      <c r="Q23" s="16" t="n">
        <f aca="false">P23+R23</f>
        <v>0.459</v>
      </c>
      <c r="R23" s="16" t="n">
        <f aca="false">RANDBETWEEN(-30,90)/1000</f>
        <v>0.019</v>
      </c>
      <c r="S23" s="17"/>
      <c r="T23" s="1" t="n">
        <v>11.75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701.03</v>
      </c>
      <c r="D24" s="16" t="n">
        <f aca="false">+Chạy!F25</f>
        <v>-11.25</v>
      </c>
      <c r="E24" s="16" t="n">
        <f aca="false">+D24+F24</f>
        <v>-11.2412</v>
      </c>
      <c r="F24" s="16" t="n">
        <f aca="false">RANDBETWEEN(-105,115)/10000</f>
        <v>0.0088</v>
      </c>
      <c r="G24" s="16" t="n">
        <f aca="false">+Chạy!G25</f>
        <v>0.44</v>
      </c>
      <c r="H24" s="16" t="n">
        <f aca="false">G24+I24</f>
        <v>0.417</v>
      </c>
      <c r="I24" s="16" t="n">
        <f aca="false">RANDBETWEEN(-30,90)/1000</f>
        <v>-0.023</v>
      </c>
      <c r="J24" s="16" t="n">
        <f aca="false">+Chạy!K25</f>
        <v>0.56</v>
      </c>
      <c r="K24" s="16" t="n">
        <f aca="false">J24+L24</f>
        <v>0.65</v>
      </c>
      <c r="L24" s="16" t="n">
        <f aca="false">RANDBETWEEN(-30,90)/1000</f>
        <v>0.09</v>
      </c>
      <c r="M24" s="16" t="n">
        <f aca="false">+Chạy!N25</f>
        <v>-1.84</v>
      </c>
      <c r="N24" s="16" t="n">
        <f aca="false">+M24+O24</f>
        <v>-1.8388</v>
      </c>
      <c r="O24" s="16" t="n">
        <f aca="false">RANDBETWEEN(-105,115)/10000</f>
        <v>0.0012</v>
      </c>
      <c r="P24" s="16" t="n">
        <f aca="false">+Chạy!O25</f>
        <v>0.52</v>
      </c>
      <c r="Q24" s="16" t="n">
        <f aca="false">P24+R24</f>
        <v>0.537</v>
      </c>
      <c r="R24" s="16" t="n">
        <f aca="false">RANDBETWEEN(-30,90)/1000</f>
        <v>0.017</v>
      </c>
      <c r="S24" s="17"/>
      <c r="T24" s="1" t="n">
        <v>11.75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712.78</v>
      </c>
      <c r="D25" s="16" t="n">
        <f aca="false">+Chạy!F34</f>
        <v>-11.49</v>
      </c>
      <c r="E25" s="16" t="n">
        <f aca="false">+D25+F25</f>
        <v>-11.4885</v>
      </c>
      <c r="F25" s="16" t="n">
        <f aca="false">RANDBETWEEN(-105,115)/10000</f>
        <v>0.0015</v>
      </c>
      <c r="G25" s="16" t="n">
        <f aca="false">+Chạy!G34</f>
        <v>0.44</v>
      </c>
      <c r="H25" s="16" t="n">
        <f aca="false">G25+I25</f>
        <v>0.52</v>
      </c>
      <c r="I25" s="16" t="n">
        <f aca="false">RANDBETWEEN(-30,90)/1000</f>
        <v>0.08</v>
      </c>
      <c r="J25" s="16" t="n">
        <f aca="false">+Chạy!K34</f>
        <v>0.56</v>
      </c>
      <c r="K25" s="16" t="n">
        <f aca="false">J25+L25</f>
        <v>0.636</v>
      </c>
      <c r="L25" s="16" t="n">
        <f aca="false">RANDBETWEEN(-30,90)/1000</f>
        <v>0.076</v>
      </c>
      <c r="M25" s="16" t="n">
        <f aca="false">+Chạy!N34</f>
        <v>9.2</v>
      </c>
      <c r="N25" s="16" t="n">
        <f aca="false">+M25+O25</f>
        <v>9.1945</v>
      </c>
      <c r="O25" s="16" t="n">
        <f aca="false">RANDBETWEEN(-105,115)/10000</f>
        <v>-0.0055</v>
      </c>
      <c r="P25" s="16" t="n">
        <f aca="false">+Chạy!O34</f>
        <v>0.44</v>
      </c>
      <c r="Q25" s="16" t="n">
        <f aca="false">P25+R25</f>
        <v>0.429</v>
      </c>
      <c r="R25" s="16" t="n">
        <f aca="false">RANDBETWEEN(-30,90)/1000</f>
        <v>-0.011</v>
      </c>
      <c r="S25" s="17"/>
      <c r="T25" s="1" t="n">
        <v>17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729.78</v>
      </c>
      <c r="D26" s="16" t="n">
        <f aca="false">+Chạy!F43</f>
        <v>-7.31</v>
      </c>
      <c r="E26" s="16" t="n">
        <f aca="false">+D26+F26</f>
        <v>-7.3124</v>
      </c>
      <c r="F26" s="16" t="n">
        <f aca="false">RANDBETWEEN(-105,115)/10000</f>
        <v>-0.0024</v>
      </c>
      <c r="G26" s="16" t="n">
        <f aca="false">+Chạy!G43</f>
        <v>0.44</v>
      </c>
      <c r="H26" s="16" t="n">
        <f aca="false">G26+I26</f>
        <v>0.5</v>
      </c>
      <c r="I26" s="16" t="n">
        <f aca="false">RANDBETWEEN(-30,90)/1000</f>
        <v>0.06</v>
      </c>
      <c r="J26" s="16" t="n">
        <f aca="false">+Chạy!K43</f>
        <v>0.56</v>
      </c>
      <c r="K26" s="16" t="n">
        <f aca="false">J26+L26</f>
        <v>0.623</v>
      </c>
      <c r="L26" s="16" t="n">
        <f aca="false">RANDBETWEEN(-30,90)/1000</f>
        <v>0.063</v>
      </c>
      <c r="M26" s="16" t="n">
        <f aca="false">+Chạy!N43</f>
        <v>7.31</v>
      </c>
      <c r="N26" s="16" t="n">
        <f aca="false">+M26+O26</f>
        <v>7.3016</v>
      </c>
      <c r="O26" s="16" t="n">
        <f aca="false">RANDBETWEEN(-105,115)/10000</f>
        <v>-0.0084</v>
      </c>
      <c r="P26" s="16" t="n">
        <f aca="false">+Chạy!O43</f>
        <v>0.44</v>
      </c>
      <c r="Q26" s="16" t="n">
        <f aca="false">P26+R26</f>
        <v>0.476</v>
      </c>
      <c r="R26" s="16" t="n">
        <f aca="false">RANDBETWEEN(-30,90)/1000</f>
        <v>0.036</v>
      </c>
      <c r="S26" s="17"/>
      <c r="T26" s="1" t="n">
        <v>17.04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746.82</v>
      </c>
      <c r="D27" s="16" t="n">
        <f aca="false">+Chạy!F52</f>
        <v>-7.75</v>
      </c>
      <c r="E27" s="16" t="n">
        <f aca="false">+D27+F27</f>
        <v>-7.7521</v>
      </c>
      <c r="F27" s="16" t="n">
        <f aca="false">RANDBETWEEN(-105,115)/10000</f>
        <v>-0.0021</v>
      </c>
      <c r="G27" s="16" t="n">
        <f aca="false">+Chạy!G52</f>
        <v>0.44</v>
      </c>
      <c r="H27" s="16" t="n">
        <f aca="false">G27+I27</f>
        <v>0.484</v>
      </c>
      <c r="I27" s="16" t="n">
        <f aca="false">RANDBETWEEN(-30,90)/1000</f>
        <v>0.044</v>
      </c>
      <c r="J27" s="16" t="n">
        <f aca="false">+Chạy!K52</f>
        <v>0.56</v>
      </c>
      <c r="K27" s="16" t="n">
        <f aca="false">J27+L27</f>
        <v>0.614</v>
      </c>
      <c r="L27" s="16" t="n">
        <f aca="false">RANDBETWEEN(-30,90)/1000</f>
        <v>0.054</v>
      </c>
      <c r="M27" s="16" t="n">
        <f aca="false">+Chạy!N52</f>
        <v>8.91</v>
      </c>
      <c r="N27" s="16" t="n">
        <f aca="false">+M27+O27</f>
        <v>8.9125</v>
      </c>
      <c r="O27" s="16" t="n">
        <f aca="false">RANDBETWEEN(-105,115)/10000</f>
        <v>0.0025</v>
      </c>
      <c r="P27" s="16" t="n">
        <f aca="false">+Chạy!O52</f>
        <v>0.44</v>
      </c>
      <c r="Q27" s="16" t="n">
        <f aca="false">P27+R27</f>
        <v>0.464</v>
      </c>
      <c r="R27" s="16" t="n">
        <f aca="false">RANDBETWEEN(-30,90)/1000</f>
        <v>0.024</v>
      </c>
      <c r="S27" s="17"/>
      <c r="W27" s="102"/>
      <c r="X27" s="103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3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3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3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3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67.NĐXD4/CVXD ngày 18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67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4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38</v>
      </c>
      <c r="C11" s="51" t="n">
        <f aca="false">'4.KTHH L4'!C22</f>
        <v>672.28</v>
      </c>
      <c r="D11" s="13" t="n">
        <f aca="false">'4.KTHH L4'!T22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7.53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115.6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39</v>
      </c>
      <c r="C12" s="51" t="n">
        <f aca="false">'4.KTHH L4'!C23</f>
        <v>689.28</v>
      </c>
      <c r="D12" s="13" t="n">
        <f aca="false">'4.KTHH L4'!T23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6.07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47.47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F2</v>
      </c>
      <c r="C13" s="51" t="n">
        <f aca="false">'4.KTHH L4'!C24</f>
        <v>701.03</v>
      </c>
      <c r="D13" s="13" t="n">
        <f aca="false">'4.KTHH L4'!T24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2.01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47.705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40</v>
      </c>
      <c r="C14" s="51" t="n">
        <f aca="false">'4.KTHH L4'!C25</f>
        <v>712.78</v>
      </c>
      <c r="D14" s="13" t="n">
        <f aca="false">'4.KTHH L4'!T25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6.11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88.485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41</v>
      </c>
      <c r="C15" s="51" t="n">
        <f aca="false">'4.KTHH L4'!C26</f>
        <v>729.78</v>
      </c>
      <c r="D15" s="13" t="n">
        <f aca="false">'4.KTHH L4'!T26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4.3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78.4692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42</v>
      </c>
      <c r="C16" s="51" t="n">
        <f aca="false">'4.KTHH L4'!C27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4.91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5"/>
    </row>
    <row r="17" s="84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5"/>
    </row>
    <row r="18" s="84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5"/>
    </row>
    <row r="19" s="84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5"/>
    </row>
    <row r="20" s="84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5"/>
    </row>
    <row r="21" s="84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377.7292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68.NĐXD4/CVXD ngày 18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68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5 đoạn từ Km0+672,28 - Km0+746,82,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09"/>
      <c r="B21" s="109"/>
      <c r="C21" s="10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672.28</v>
      </c>
      <c r="D22" s="16" t="n">
        <f aca="false">+Chạy!F6</f>
        <v>-11.14</v>
      </c>
      <c r="E22" s="16" t="n">
        <f aca="false">+D22+F22</f>
        <v>-11.1345</v>
      </c>
      <c r="F22" s="16" t="n">
        <f aca="false">RANDBETWEEN(-105,115)/10000</f>
        <v>0.0055</v>
      </c>
      <c r="G22" s="16" t="n">
        <f aca="false">+Chạy!G6</f>
        <v>0.74</v>
      </c>
      <c r="H22" s="16" t="n">
        <f aca="false">G22+I22</f>
        <v>0.77</v>
      </c>
      <c r="I22" s="16" t="n">
        <f aca="false">RANDBETWEEN(-30,90)/1000</f>
        <v>0.03</v>
      </c>
      <c r="J22" s="16" t="n">
        <f aca="false">+Chạy!K6</f>
        <v>0.86</v>
      </c>
      <c r="K22" s="16" t="n">
        <f aca="false">J22+L22</f>
        <v>0.866</v>
      </c>
      <c r="L22" s="16" t="n">
        <f aca="false">RANDBETWEEN(-30,90)/1000</f>
        <v>0.006</v>
      </c>
      <c r="M22" s="16" t="n">
        <f aca="false">+Chạy!N6</f>
        <v>13.75</v>
      </c>
      <c r="N22" s="16" t="n">
        <f aca="false">+M22+O22</f>
        <v>13.7489</v>
      </c>
      <c r="O22" s="16" t="n">
        <f aca="false">RANDBETWEEN(-105,115)/10000</f>
        <v>-0.0011</v>
      </c>
      <c r="P22" s="16" t="n">
        <f aca="false">+Chạy!O6</f>
        <v>0.74</v>
      </c>
      <c r="Q22" s="16" t="n">
        <f aca="false">P22+R22</f>
        <v>0.711</v>
      </c>
      <c r="R22" s="16" t="n">
        <f aca="false">RANDBETWEEN(-30,90)/1000</f>
        <v>-0.029</v>
      </c>
      <c r="S22" s="17"/>
      <c r="T22" s="0" t="n">
        <v>17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689.28</v>
      </c>
      <c r="D23" s="16" t="n">
        <f aca="false">+Chạy!F15</f>
        <v>-11.71</v>
      </c>
      <c r="E23" s="16" t="n">
        <f aca="false">+D23+F23</f>
        <v>-11.7042</v>
      </c>
      <c r="F23" s="16" t="n">
        <f aca="false">RANDBETWEEN(-105,115)/10000</f>
        <v>0.0058</v>
      </c>
      <c r="G23" s="16" t="n">
        <f aca="false">+Chạy!G15</f>
        <v>0.74</v>
      </c>
      <c r="H23" s="16" t="n">
        <f aca="false">G23+I23</f>
        <v>0.746</v>
      </c>
      <c r="I23" s="16" t="n">
        <f aca="false">RANDBETWEEN(-30,90)/1000</f>
        <v>0.006</v>
      </c>
      <c r="J23" s="16" t="n">
        <f aca="false">+Chạy!K15</f>
        <v>0.86</v>
      </c>
      <c r="K23" s="16" t="n">
        <f aca="false">J23+L23</f>
        <v>0.861</v>
      </c>
      <c r="L23" s="16" t="n">
        <f aca="false">RANDBETWEEN(-30,90)/1000</f>
        <v>0.001</v>
      </c>
      <c r="M23" s="16" t="n">
        <f aca="false">+Chạy!N15</f>
        <v>13.75</v>
      </c>
      <c r="N23" s="16" t="n">
        <f aca="false">+M23+O23</f>
        <v>13.7597</v>
      </c>
      <c r="O23" s="16" t="n">
        <f aca="false">RANDBETWEEN(-105,115)/10000</f>
        <v>0.0097</v>
      </c>
      <c r="P23" s="16" t="n">
        <f aca="false">+Chạy!O15</f>
        <v>0.74</v>
      </c>
      <c r="Q23" s="16" t="n">
        <f aca="false">P23+R23</f>
        <v>0.717</v>
      </c>
      <c r="R23" s="16" t="n">
        <f aca="false">RANDBETWEEN(-30,90)/1000</f>
        <v>-0.023</v>
      </c>
      <c r="S23" s="17"/>
      <c r="T23" s="0" t="n">
        <v>11.75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701.03</v>
      </c>
      <c r="D24" s="16" t="n">
        <f aca="false">+Chạy!F24</f>
        <v>-11.52</v>
      </c>
      <c r="E24" s="16" t="n">
        <f aca="false">+D24+F24</f>
        <v>-11.5109</v>
      </c>
      <c r="F24" s="16" t="n">
        <f aca="false">RANDBETWEEN(-105,115)/10000</f>
        <v>0.0091</v>
      </c>
      <c r="G24" s="16" t="n">
        <f aca="false">+Chạy!G24</f>
        <v>0.74</v>
      </c>
      <c r="H24" s="16" t="n">
        <f aca="false">G24+I24</f>
        <v>0.723</v>
      </c>
      <c r="I24" s="16" t="n">
        <f aca="false">RANDBETWEEN(-30,90)/1000</f>
        <v>-0.017</v>
      </c>
      <c r="J24" s="16" t="n">
        <f aca="false">+Chạy!K24</f>
        <v>0.86</v>
      </c>
      <c r="K24" s="16" t="n">
        <f aca="false">J24+L24</f>
        <v>0.927</v>
      </c>
      <c r="L24" s="16" t="n">
        <f aca="false">RANDBETWEEN(-30,90)/1000</f>
        <v>0.067</v>
      </c>
      <c r="M24" s="16" t="n">
        <f aca="false">+Chạy!N24</f>
        <v>-1.61</v>
      </c>
      <c r="N24" s="16" t="n">
        <f aca="false">+M24+O24</f>
        <v>-1.6183</v>
      </c>
      <c r="O24" s="16" t="n">
        <f aca="false">RANDBETWEEN(-105,115)/10000</f>
        <v>-0.0083</v>
      </c>
      <c r="P24" s="16" t="n">
        <f aca="false">+Chạy!O24</f>
        <v>0.83</v>
      </c>
      <c r="Q24" s="16" t="n">
        <f aca="false">P24+R24</f>
        <v>0.872</v>
      </c>
      <c r="R24" s="16" t="n">
        <f aca="false">RANDBETWEEN(-30,90)/1000</f>
        <v>0.042</v>
      </c>
      <c r="S24" s="17"/>
      <c r="T24" s="0" t="n">
        <v>11.75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712.78</v>
      </c>
      <c r="D25" s="16" t="n">
        <f aca="false">+Chạy!F33</f>
        <v>-11.74</v>
      </c>
      <c r="E25" s="16" t="n">
        <f aca="false">+D25+F25</f>
        <v>-11.7469</v>
      </c>
      <c r="F25" s="16" t="n">
        <f aca="false">RANDBETWEEN(-105,115)/10000</f>
        <v>-0.0069</v>
      </c>
      <c r="G25" s="16" t="n">
        <f aca="false">+Chạy!G33</f>
        <v>0.74</v>
      </c>
      <c r="H25" s="16" t="n">
        <f aca="false">G25+I25</f>
        <v>0.819</v>
      </c>
      <c r="I25" s="16" t="n">
        <f aca="false">RANDBETWEEN(-30,90)/1000</f>
        <v>0.079</v>
      </c>
      <c r="J25" s="16" t="n">
        <f aca="false">+Chạy!K33</f>
        <v>0.86</v>
      </c>
      <c r="K25" s="16" t="n">
        <f aca="false">J25+L25</f>
        <v>0.891</v>
      </c>
      <c r="L25" s="16" t="n">
        <f aca="false">RANDBETWEEN(-30,90)/1000</f>
        <v>0.031</v>
      </c>
      <c r="M25" s="16" t="n">
        <f aca="false">+Chạy!N33</f>
        <v>13.75</v>
      </c>
      <c r="N25" s="16" t="n">
        <f aca="false">+M25+O25</f>
        <v>13.7593</v>
      </c>
      <c r="O25" s="16" t="n">
        <f aca="false">RANDBETWEEN(-105,115)/10000</f>
        <v>0.0093</v>
      </c>
      <c r="P25" s="16" t="n">
        <f aca="false">+Chạy!O33</f>
        <v>0.74</v>
      </c>
      <c r="Q25" s="16" t="n">
        <f aca="false">P25+R25</f>
        <v>0.827</v>
      </c>
      <c r="R25" s="16" t="n">
        <f aca="false">RANDBETWEEN(-30,90)/1000</f>
        <v>0.087</v>
      </c>
      <c r="S25" s="17"/>
      <c r="T25" s="0" t="n">
        <v>17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729.78</v>
      </c>
      <c r="D26" s="16" t="n">
        <f aca="false">+Chạy!F42</f>
        <v>-7.61</v>
      </c>
      <c r="E26" s="16" t="n">
        <f aca="false">+D26+F26</f>
        <v>-7.5989</v>
      </c>
      <c r="F26" s="16" t="n">
        <f aca="false">RANDBETWEEN(-105,115)/10000</f>
        <v>0.0111</v>
      </c>
      <c r="G26" s="16" t="n">
        <f aca="false">+Chạy!G42</f>
        <v>0.74</v>
      </c>
      <c r="H26" s="16" t="n">
        <f aca="false">G26+I26</f>
        <v>0.782</v>
      </c>
      <c r="I26" s="16" t="n">
        <f aca="false">RANDBETWEEN(-30,90)/1000</f>
        <v>0.042</v>
      </c>
      <c r="J26" s="16" t="n">
        <f aca="false">+Chạy!K42</f>
        <v>0.86</v>
      </c>
      <c r="K26" s="16" t="n">
        <f aca="false">J26+L26</f>
        <v>0.853</v>
      </c>
      <c r="L26" s="16" t="n">
        <f aca="false">RANDBETWEEN(-30,90)/1000</f>
        <v>-0.007</v>
      </c>
      <c r="M26" s="16" t="n">
        <f aca="false">+Chạy!N42</f>
        <v>7.61</v>
      </c>
      <c r="N26" s="16" t="n">
        <f aca="false">+M26+O26</f>
        <v>7.6017</v>
      </c>
      <c r="O26" s="16" t="n">
        <f aca="false">RANDBETWEEN(-105,115)/10000</f>
        <v>-0.0083</v>
      </c>
      <c r="P26" s="16" t="n">
        <f aca="false">+Chạy!O42</f>
        <v>0.74</v>
      </c>
      <c r="Q26" s="16" t="n">
        <f aca="false">P26+R26</f>
        <v>0.807</v>
      </c>
      <c r="R26" s="16" t="n">
        <f aca="false">RANDBETWEEN(-30,90)/1000</f>
        <v>0.067</v>
      </c>
      <c r="S26" s="17"/>
      <c r="T26" s="0" t="n">
        <v>17.04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746.82</v>
      </c>
      <c r="D27" s="16" t="n">
        <f aca="false">+Chạy!F51</f>
        <v>-8.05</v>
      </c>
      <c r="E27" s="16" t="n">
        <f aca="false">+D27+F27</f>
        <v>-8.0531</v>
      </c>
      <c r="F27" s="16" t="n">
        <f aca="false">RANDBETWEEN(-105,115)/10000</f>
        <v>-0.0031</v>
      </c>
      <c r="G27" s="16" t="n">
        <f aca="false">+Chạy!G51</f>
        <v>0.74</v>
      </c>
      <c r="H27" s="16" t="n">
        <f aca="false">G27+I27</f>
        <v>0.721</v>
      </c>
      <c r="I27" s="16" t="n">
        <f aca="false">RANDBETWEEN(-30,90)/1000</f>
        <v>-0.019</v>
      </c>
      <c r="J27" s="16" t="n">
        <f aca="false">+Chạy!K51</f>
        <v>0.86</v>
      </c>
      <c r="K27" s="16" t="n">
        <f aca="false">J27+L27</f>
        <v>0.914</v>
      </c>
      <c r="L27" s="16" t="n">
        <f aca="false">RANDBETWEEN(-30,90)/1000</f>
        <v>0.054</v>
      </c>
      <c r="M27" s="16" t="n">
        <f aca="false">+Chạy!N51</f>
        <v>13.75</v>
      </c>
      <c r="N27" s="16" t="n">
        <f aca="false">+M27+O27</f>
        <v>13.7437</v>
      </c>
      <c r="O27" s="16" t="n">
        <f aca="false">RANDBETWEEN(-105,115)/10000</f>
        <v>-0.0063</v>
      </c>
      <c r="P27" s="16" t="n">
        <f aca="false">+Chạy!O51</f>
        <v>0.74</v>
      </c>
      <c r="Q27" s="16" t="n">
        <f aca="false">P27+R27</f>
        <v>0.773</v>
      </c>
      <c r="R27" s="16" t="n">
        <f aca="false">RANDBETWEEN(-30,90)/1000</f>
        <v>0.033</v>
      </c>
      <c r="S27" s="17"/>
      <c r="W27" s="102"/>
      <c r="X27" s="102"/>
    </row>
    <row r="28" customFormat="false" ht="16.5" hidden="true" customHeight="true" outlineLevel="0" collapsed="false">
      <c r="A28" s="110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2"/>
    </row>
    <row r="29" customFormat="false" ht="16.5" hidden="true" customHeight="true" outlineLevel="0" collapsed="false">
      <c r="A29" s="110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2"/>
    </row>
    <row r="30" customFormat="false" ht="16.5" hidden="true" customHeight="true" outlineLevel="0" collapsed="false">
      <c r="A30" s="110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6.5" hidden="true" customHeight="true" outlineLevel="0" collapsed="false">
      <c r="A31" s="110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6.5" hidden="true" customHeight="true" outlineLevel="0" collapsed="false">
      <c r="A32" s="110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68.NĐXD4/CVXD ngày 18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68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5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38</v>
      </c>
      <c r="C11" s="51" t="n">
        <f aca="false">'5.KTHH L5'!C22</f>
        <v>672.28</v>
      </c>
      <c r="D11" s="13" t="n">
        <f aca="false">'5.KTHH L5'!T22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7.49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127.755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39</v>
      </c>
      <c r="C12" s="51" t="n">
        <f aca="false">'5.KTHH L5'!C23</f>
        <v>689.28</v>
      </c>
      <c r="D12" s="13" t="n">
        <f aca="false">'5.KTHH L5'!T23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7.54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61.335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F2</v>
      </c>
      <c r="C13" s="51" t="n">
        <f aca="false">'5.KTHH L5'!C24</f>
        <v>701.03</v>
      </c>
      <c r="D13" s="13" t="n">
        <f aca="false">'5.KTHH L5'!T24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2.9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60.7475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40</v>
      </c>
      <c r="C14" s="51" t="n">
        <f aca="false">'5.KTHH L5'!C25</f>
        <v>712.78</v>
      </c>
      <c r="D14" s="13" t="n">
        <f aca="false">'5.KTHH L5'!T25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7.44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101.32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41</v>
      </c>
      <c r="C15" s="51" t="n">
        <f aca="false">'5.KTHH L5'!C26</f>
        <v>729.78</v>
      </c>
      <c r="D15" s="13" t="n">
        <f aca="false">'5.KTHH L5'!T26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4.48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87.5856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42</v>
      </c>
      <c r="C16" s="51" t="n">
        <f aca="false">'5.KTHH L5'!C27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5.8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438.7431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69.NĐXD4/CVXD ngày 19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69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6 đoạn từ Km0+672,28 - Km0+746,82,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672.28</v>
      </c>
      <c r="D22" s="16" t="n">
        <f aca="false">+Chạy!F5</f>
        <v>-11.44</v>
      </c>
      <c r="E22" s="16" t="n">
        <f aca="false">+D22+F22</f>
        <v>-11.4303</v>
      </c>
      <c r="F22" s="16" t="n">
        <f aca="false">RANDBETWEEN(-105,115)/10000</f>
        <v>0.0097</v>
      </c>
      <c r="G22" s="16" t="n">
        <f aca="false">+Chạy!G5</f>
        <v>1.04</v>
      </c>
      <c r="H22" s="16" t="n">
        <f aca="false">G22+I22</f>
        <v>1.01</v>
      </c>
      <c r="I22" s="16" t="n">
        <f aca="false">RANDBETWEEN(-30,90)/1000</f>
        <v>-0.03</v>
      </c>
      <c r="J22" s="16" t="n">
        <f aca="false">+Chạy!K5</f>
        <v>1.16</v>
      </c>
      <c r="K22" s="16" t="n">
        <f aca="false">J22+L22</f>
        <v>1.217</v>
      </c>
      <c r="L22" s="16" t="n">
        <f aca="false">RANDBETWEEN(-30,90)/1000</f>
        <v>0.057</v>
      </c>
      <c r="M22" s="16" t="n">
        <f aca="false">+Chạy!N5</f>
        <v>13.3</v>
      </c>
      <c r="N22" s="16" t="n">
        <f aca="false">+M22+O22</f>
        <v>13.2965</v>
      </c>
      <c r="O22" s="16" t="n">
        <f aca="false">RANDBETWEEN(-105,115)/10000</f>
        <v>-0.0035</v>
      </c>
      <c r="P22" s="16" t="n">
        <f aca="false">+Chạy!O5</f>
        <v>1.04</v>
      </c>
      <c r="Q22" s="16" t="n">
        <f aca="false">P22+R22</f>
        <v>1.079</v>
      </c>
      <c r="R22" s="16" t="n">
        <f aca="false">RANDBETWEEN(-30,90)/1000</f>
        <v>0.039</v>
      </c>
      <c r="S22" s="17"/>
      <c r="T22" s="0" t="n">
        <v>17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689.28</v>
      </c>
      <c r="D23" s="16" t="n">
        <f aca="false">+Chạy!F14</f>
        <v>-11.97</v>
      </c>
      <c r="E23" s="16" t="n">
        <f aca="false">+D23+F23</f>
        <v>-11.9758</v>
      </c>
      <c r="F23" s="16" t="n">
        <f aca="false">RANDBETWEEN(-105,115)/10000</f>
        <v>-0.0058</v>
      </c>
      <c r="G23" s="16" t="n">
        <f aca="false">+Chạy!G14</f>
        <v>1.04</v>
      </c>
      <c r="H23" s="16" t="n">
        <f aca="false">G23+I23</f>
        <v>1.117</v>
      </c>
      <c r="I23" s="16" t="n">
        <f aca="false">RANDBETWEEN(-30,90)/1000</f>
        <v>0.077</v>
      </c>
      <c r="J23" s="16" t="n">
        <f aca="false">+Chạy!K14</f>
        <v>1.16</v>
      </c>
      <c r="K23" s="16" t="n">
        <f aca="false">J23+L23</f>
        <v>1.143</v>
      </c>
      <c r="L23" s="16" t="n">
        <f aca="false">RANDBETWEEN(-30,90)/1000</f>
        <v>-0.017</v>
      </c>
      <c r="M23" s="16" t="n">
        <f aca="false">+Chạy!N14</f>
        <v>13.3</v>
      </c>
      <c r="N23" s="16" t="n">
        <f aca="false">+M23+O23</f>
        <v>13.3103</v>
      </c>
      <c r="O23" s="16" t="n">
        <f aca="false">RANDBETWEEN(-105,115)/10000</f>
        <v>0.0103</v>
      </c>
      <c r="P23" s="16" t="n">
        <f aca="false">+Chạy!O14</f>
        <v>1.04</v>
      </c>
      <c r="Q23" s="16" t="n">
        <f aca="false">P23+R23</f>
        <v>1.017</v>
      </c>
      <c r="R23" s="16" t="n">
        <f aca="false">RANDBETWEEN(-30,90)/1000</f>
        <v>-0.023</v>
      </c>
      <c r="S23" s="17"/>
      <c r="T23" s="0" t="n">
        <v>11.75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701.03</v>
      </c>
      <c r="D24" s="16" t="n">
        <f aca="false">+Chạy!F23</f>
        <v>-11.8</v>
      </c>
      <c r="E24" s="16" t="n">
        <f aca="false">+D24+F24</f>
        <v>-11.7887</v>
      </c>
      <c r="F24" s="16" t="n">
        <f aca="false">RANDBETWEEN(-105,115)/10000</f>
        <v>0.0113</v>
      </c>
      <c r="G24" s="16" t="n">
        <f aca="false">+Chạy!G23</f>
        <v>1.04</v>
      </c>
      <c r="H24" s="16" t="n">
        <f aca="false">G24+I24</f>
        <v>1.034</v>
      </c>
      <c r="I24" s="16" t="n">
        <f aca="false">RANDBETWEEN(-30,90)/1000</f>
        <v>-0.006</v>
      </c>
      <c r="J24" s="16" t="n">
        <f aca="false">+Chạy!K23</f>
        <v>1.16</v>
      </c>
      <c r="K24" s="16" t="n">
        <f aca="false">J24+L24</f>
        <v>1.211</v>
      </c>
      <c r="L24" s="16" t="n">
        <f aca="false">RANDBETWEEN(-30,90)/1000</f>
        <v>0.051</v>
      </c>
      <c r="M24" s="16" t="n">
        <f aca="false">+Chạy!N23</f>
        <v>-1.37</v>
      </c>
      <c r="N24" s="16" t="n">
        <f aca="false">+M24+O24</f>
        <v>-1.3704</v>
      </c>
      <c r="O24" s="16" t="n">
        <f aca="false">RANDBETWEEN(-105,115)/10000</f>
        <v>-0.0004</v>
      </c>
      <c r="P24" s="16" t="n">
        <f aca="false">+Chạy!O23</f>
        <v>1.13</v>
      </c>
      <c r="Q24" s="16" t="n">
        <f aca="false">P24+R24</f>
        <v>1.207</v>
      </c>
      <c r="R24" s="16" t="n">
        <f aca="false">RANDBETWEEN(-30,90)/1000</f>
        <v>0.077</v>
      </c>
      <c r="S24" s="17"/>
      <c r="T24" s="0" t="n">
        <v>11.75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712.78</v>
      </c>
      <c r="D25" s="16" t="n">
        <f aca="false">+Chạy!F32</f>
        <v>-11.99</v>
      </c>
      <c r="E25" s="16" t="n">
        <f aca="false">+D25+F25</f>
        <v>-11.9907</v>
      </c>
      <c r="F25" s="16" t="n">
        <f aca="false">RANDBETWEEN(-105,115)/10000</f>
        <v>-0.0007</v>
      </c>
      <c r="G25" s="16" t="n">
        <f aca="false">+Chạy!G32</f>
        <v>1.04</v>
      </c>
      <c r="H25" s="16" t="n">
        <f aca="false">G25+I25</f>
        <v>1.052</v>
      </c>
      <c r="I25" s="16" t="n">
        <f aca="false">RANDBETWEEN(-30,90)/1000</f>
        <v>0.012</v>
      </c>
      <c r="J25" s="16" t="n">
        <f aca="false">+Chạy!K32</f>
        <v>1.16</v>
      </c>
      <c r="K25" s="16" t="n">
        <f aca="false">J25+L25</f>
        <v>1.142</v>
      </c>
      <c r="L25" s="16" t="n">
        <f aca="false">RANDBETWEEN(-30,90)/1000</f>
        <v>-0.018</v>
      </c>
      <c r="M25" s="16" t="n">
        <f aca="false">+Chạy!N32</f>
        <v>13.3</v>
      </c>
      <c r="N25" s="16" t="n">
        <f aca="false">+M25+O25</f>
        <v>13.305</v>
      </c>
      <c r="O25" s="16" t="n">
        <f aca="false">RANDBETWEEN(-105,115)/10000</f>
        <v>0.005</v>
      </c>
      <c r="P25" s="16" t="n">
        <f aca="false">+Chạy!O32</f>
        <v>1.04</v>
      </c>
      <c r="Q25" s="16" t="n">
        <f aca="false">P25+R25</f>
        <v>1.038</v>
      </c>
      <c r="R25" s="16" t="n">
        <f aca="false">RANDBETWEEN(-30,90)/1000</f>
        <v>-0.002</v>
      </c>
      <c r="S25" s="17"/>
      <c r="T25" s="0" t="n">
        <v>17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729.78</v>
      </c>
      <c r="D26" s="16" t="n">
        <f aca="false">+Chạy!F41</f>
        <v>-7.91</v>
      </c>
      <c r="E26" s="16" t="n">
        <f aca="false">+D26+F26</f>
        <v>-7.9101</v>
      </c>
      <c r="F26" s="16" t="n">
        <f aca="false">RANDBETWEEN(-105,115)/10000</f>
        <v>-0.0001</v>
      </c>
      <c r="G26" s="16" t="n">
        <f aca="false">+Chạy!G41</f>
        <v>1.04</v>
      </c>
      <c r="H26" s="16" t="n">
        <f aca="false">G26+I26</f>
        <v>1.092</v>
      </c>
      <c r="I26" s="16" t="n">
        <f aca="false">RANDBETWEEN(-30,90)/1000</f>
        <v>0.052</v>
      </c>
      <c r="J26" s="16" t="n">
        <f aca="false">+Chạy!K41</f>
        <v>1.16</v>
      </c>
      <c r="K26" s="16" t="n">
        <f aca="false">J26+L26</f>
        <v>1.168</v>
      </c>
      <c r="L26" s="16" t="n">
        <f aca="false">RANDBETWEEN(-30,90)/1000</f>
        <v>0.008</v>
      </c>
      <c r="M26" s="16" t="n">
        <f aca="false">+Chạy!N41</f>
        <v>7.91</v>
      </c>
      <c r="N26" s="16" t="n">
        <f aca="false">+M26+O26</f>
        <v>7.9171</v>
      </c>
      <c r="O26" s="16" t="n">
        <f aca="false">RANDBETWEEN(-105,115)/10000</f>
        <v>0.0071</v>
      </c>
      <c r="P26" s="16" t="n">
        <f aca="false">+Chạy!O41</f>
        <v>1.04</v>
      </c>
      <c r="Q26" s="16" t="n">
        <f aca="false">P26+R26</f>
        <v>1.1</v>
      </c>
      <c r="R26" s="16" t="n">
        <f aca="false">RANDBETWEEN(-30,90)/1000</f>
        <v>0.06</v>
      </c>
      <c r="S26" s="17"/>
      <c r="T26" s="0" t="n">
        <v>17.04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746.82</v>
      </c>
      <c r="D27" s="16" t="n">
        <f aca="false">+Chạy!F50</f>
        <v>-8.35</v>
      </c>
      <c r="E27" s="16" t="n">
        <f aca="false">+D27+F27</f>
        <v>-8.3442</v>
      </c>
      <c r="F27" s="16" t="n">
        <f aca="false">RANDBETWEEN(-105,115)/10000</f>
        <v>0.0058</v>
      </c>
      <c r="G27" s="16" t="n">
        <f aca="false">+Chạy!G50</f>
        <v>1.04</v>
      </c>
      <c r="H27" s="16" t="n">
        <f aca="false">G27+I27</f>
        <v>1.07</v>
      </c>
      <c r="I27" s="16" t="n">
        <f aca="false">RANDBETWEEN(-30,90)/1000</f>
        <v>0.03</v>
      </c>
      <c r="J27" s="16" t="n">
        <f aca="false">+Chạy!K50</f>
        <v>1.16</v>
      </c>
      <c r="K27" s="16" t="n">
        <f aca="false">J27+L27</f>
        <v>1.175</v>
      </c>
      <c r="L27" s="16" t="n">
        <f aca="false">RANDBETWEEN(-30,90)/1000</f>
        <v>0.015</v>
      </c>
      <c r="M27" s="16" t="n">
        <f aca="false">+Chạy!N50</f>
        <v>13.3</v>
      </c>
      <c r="N27" s="16" t="n">
        <f aca="false">+M27+O27</f>
        <v>13.3032</v>
      </c>
      <c r="O27" s="16" t="n">
        <f aca="false">RANDBETWEEN(-105,115)/10000</f>
        <v>0.0032</v>
      </c>
      <c r="P27" s="16" t="n">
        <f aca="false">+Chạy!O50</f>
        <v>1.04</v>
      </c>
      <c r="Q27" s="16" t="n">
        <f aca="false">P27+R27</f>
        <v>1.083</v>
      </c>
      <c r="R27" s="16" t="n">
        <f aca="false">RANDBETWEEN(-30,90)/1000</f>
        <v>0.043</v>
      </c>
      <c r="S27" s="17"/>
      <c r="W27" s="102"/>
      <c r="X27" s="102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2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69.NĐXD4/CVXD ngày 19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69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6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38</v>
      </c>
      <c r="C11" s="51" t="n">
        <f aca="false">'6.KTHH L6'!C22</f>
        <v>672.28</v>
      </c>
      <c r="D11" s="13" t="n">
        <f aca="false">'6.KTHH L6'!T22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7.44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127.925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39</v>
      </c>
      <c r="C12" s="51" t="n">
        <f aca="false">'6.KTHH L6'!C23</f>
        <v>689.28</v>
      </c>
      <c r="D12" s="13" t="n">
        <f aca="false">'6.KTHH L6'!T23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7.61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62.6275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F2</v>
      </c>
      <c r="C13" s="51" t="n">
        <f aca="false">'6.KTHH L6'!C24</f>
        <v>701.03</v>
      </c>
      <c r="D13" s="13" t="n">
        <f aca="false">'6.KTHH L6'!T24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3.05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62.68625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40</v>
      </c>
      <c r="C14" s="51" t="n">
        <f aca="false">'6.KTHH L6'!C25</f>
        <v>712.78</v>
      </c>
      <c r="D14" s="13" t="n">
        <f aca="false">'6.KTHH L6'!T25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7.62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104.38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41</v>
      </c>
      <c r="C15" s="51" t="n">
        <f aca="false">'6.KTHH L6'!C26</f>
        <v>729.78</v>
      </c>
      <c r="D15" s="13" t="n">
        <f aca="false">'6.KTHH L6'!T26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4.66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95.2536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42</v>
      </c>
      <c r="C16" s="51" t="n">
        <f aca="false">'6.KTHH L6'!C27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6.52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452.87235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70.NĐXD4/CVXD ngày 19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70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7 đoạn từ Km0+672,28 - Km0+746,82,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672.28</v>
      </c>
      <c r="D22" s="16" t="n">
        <f aca="false">+Chạy!F4</f>
        <v>-11.74</v>
      </c>
      <c r="E22" s="16" t="n">
        <f aca="false">+D22+F22</f>
        <v>-11.7336</v>
      </c>
      <c r="F22" s="16" t="n">
        <f aca="false">RANDBETWEEN(-105,115)/10000</f>
        <v>0.0064</v>
      </c>
      <c r="G22" s="16" t="n">
        <f aca="false">+Chạy!G4</f>
        <v>1.34</v>
      </c>
      <c r="H22" s="16" t="n">
        <f aca="false">G22+I22</f>
        <v>1.378</v>
      </c>
      <c r="I22" s="16" t="n">
        <f aca="false">RANDBETWEEN(-30,90)/1000</f>
        <v>0.038</v>
      </c>
      <c r="J22" s="16" t="n">
        <f aca="false">+Chạy!K4</f>
        <v>1.46</v>
      </c>
      <c r="K22" s="16" t="n">
        <f aca="false">J22+L22</f>
        <v>1.543</v>
      </c>
      <c r="L22" s="16" t="n">
        <f aca="false">RANDBETWEEN(-30,90)/1000</f>
        <v>0.083</v>
      </c>
      <c r="M22" s="16" t="n">
        <f aca="false">+Chạy!N4</f>
        <v>12.85</v>
      </c>
      <c r="N22" s="16" t="n">
        <f aca="false">+M22+O22</f>
        <v>12.858</v>
      </c>
      <c r="O22" s="16" t="n">
        <f aca="false">RANDBETWEEN(-105,115)/10000</f>
        <v>0.008</v>
      </c>
      <c r="P22" s="16" t="n">
        <f aca="false">+Chạy!O4</f>
        <v>1.34</v>
      </c>
      <c r="Q22" s="16" t="n">
        <f aca="false">P22+R22</f>
        <v>1.421</v>
      </c>
      <c r="R22" s="16" t="n">
        <f aca="false">RANDBETWEEN(-30,90)/1000</f>
        <v>0.081</v>
      </c>
      <c r="S22" s="17"/>
      <c r="T22" s="0" t="n">
        <v>17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689.28</v>
      </c>
      <c r="D23" s="16" t="n">
        <f aca="false">+Chạy!F13</f>
        <v>-12.23</v>
      </c>
      <c r="E23" s="16" t="n">
        <f aca="false">+D23+F23</f>
        <v>-12.2274</v>
      </c>
      <c r="F23" s="16" t="n">
        <f aca="false">RANDBETWEEN(-105,115)/10000</f>
        <v>0.0026</v>
      </c>
      <c r="G23" s="16" t="n">
        <f aca="false">+Chạy!G13</f>
        <v>1.34</v>
      </c>
      <c r="H23" s="16" t="n">
        <f aca="false">G23+I23</f>
        <v>1.353</v>
      </c>
      <c r="I23" s="16" t="n">
        <f aca="false">RANDBETWEEN(-30,90)/1000</f>
        <v>0.013</v>
      </c>
      <c r="J23" s="16" t="n">
        <f aca="false">+Chạy!K13</f>
        <v>1.46</v>
      </c>
      <c r="K23" s="16" t="n">
        <f aca="false">J23+L23</f>
        <v>1.446</v>
      </c>
      <c r="L23" s="16" t="n">
        <f aca="false">RANDBETWEEN(-30,90)/1000</f>
        <v>-0.014</v>
      </c>
      <c r="M23" s="16" t="n">
        <f aca="false">+Chạy!N13</f>
        <v>12.85</v>
      </c>
      <c r="N23" s="16" t="n">
        <f aca="false">+M23+O23</f>
        <v>12.8526</v>
      </c>
      <c r="O23" s="16" t="n">
        <f aca="false">RANDBETWEEN(-105,115)/10000</f>
        <v>0.0026</v>
      </c>
      <c r="P23" s="16" t="n">
        <f aca="false">+Chạy!O13</f>
        <v>1.34</v>
      </c>
      <c r="Q23" s="16" t="n">
        <f aca="false">P23+R23</f>
        <v>1.318</v>
      </c>
      <c r="R23" s="16" t="n">
        <f aca="false">RANDBETWEEN(-30,90)/1000</f>
        <v>-0.022</v>
      </c>
      <c r="S23" s="17"/>
      <c r="T23" s="0" t="n">
        <v>11.75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701.03</v>
      </c>
      <c r="D24" s="16" t="n">
        <f aca="false">+Chạy!F22</f>
        <v>-12.07</v>
      </c>
      <c r="E24" s="16" t="n">
        <f aca="false">+D24+F24</f>
        <v>-12.0793</v>
      </c>
      <c r="F24" s="16" t="n">
        <f aca="false">RANDBETWEEN(-105,115)/10000</f>
        <v>-0.0093</v>
      </c>
      <c r="G24" s="16" t="n">
        <f aca="false">+Chạy!G22</f>
        <v>1.34</v>
      </c>
      <c r="H24" s="16" t="n">
        <f aca="false">G24+I24</f>
        <v>1.31</v>
      </c>
      <c r="I24" s="16" t="n">
        <f aca="false">RANDBETWEEN(-30,90)/1000</f>
        <v>-0.03</v>
      </c>
      <c r="J24" s="16" t="n">
        <f aca="false">+Chạy!K22</f>
        <v>1.46</v>
      </c>
      <c r="K24" s="16" t="n">
        <f aca="false">J24+L24</f>
        <v>1.437</v>
      </c>
      <c r="L24" s="16" t="n">
        <f aca="false">RANDBETWEEN(-30,90)/1000</f>
        <v>-0.023</v>
      </c>
      <c r="M24" s="16" t="n">
        <f aca="false">+Chạy!N22</f>
        <v>-1.14</v>
      </c>
      <c r="N24" s="16" t="n">
        <f aca="false">+M24+O24</f>
        <v>-1.1361</v>
      </c>
      <c r="O24" s="16" t="n">
        <f aca="false">RANDBETWEEN(-105,115)/10000</f>
        <v>0.0039</v>
      </c>
      <c r="P24" s="16" t="n">
        <f aca="false">+Chạy!O22</f>
        <v>1.44</v>
      </c>
      <c r="Q24" s="16" t="n">
        <f aca="false">P24+R24</f>
        <v>1.421</v>
      </c>
      <c r="R24" s="16" t="n">
        <f aca="false">RANDBETWEEN(-30,90)/1000</f>
        <v>-0.019</v>
      </c>
      <c r="S24" s="17"/>
      <c r="T24" s="0" t="n">
        <v>11.75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712.78</v>
      </c>
      <c r="D25" s="16" t="n">
        <f aca="false">+Chạy!F31</f>
        <v>-12.24</v>
      </c>
      <c r="E25" s="16" t="n">
        <f aca="false">+D25+F25</f>
        <v>-12.2416</v>
      </c>
      <c r="F25" s="16" t="n">
        <f aca="false">RANDBETWEEN(-105,115)/10000</f>
        <v>-0.0016</v>
      </c>
      <c r="G25" s="16" t="n">
        <f aca="false">+Chạy!G31</f>
        <v>1.34</v>
      </c>
      <c r="H25" s="16" t="n">
        <f aca="false">G25+I25</f>
        <v>1.389</v>
      </c>
      <c r="I25" s="16" t="n">
        <f aca="false">RANDBETWEEN(-30,90)/1000</f>
        <v>0.049</v>
      </c>
      <c r="J25" s="16" t="n">
        <f aca="false">+Chạy!K31</f>
        <v>1.46</v>
      </c>
      <c r="K25" s="16" t="n">
        <f aca="false">J25+L25</f>
        <v>1.498</v>
      </c>
      <c r="L25" s="16" t="n">
        <f aca="false">RANDBETWEEN(-30,90)/1000</f>
        <v>0.038</v>
      </c>
      <c r="M25" s="16" t="n">
        <f aca="false">+Chạy!N31</f>
        <v>12.85</v>
      </c>
      <c r="N25" s="16" t="n">
        <f aca="false">+M25+O25</f>
        <v>12.8519</v>
      </c>
      <c r="O25" s="16" t="n">
        <f aca="false">RANDBETWEEN(-105,115)/10000</f>
        <v>0.0019</v>
      </c>
      <c r="P25" s="16" t="n">
        <f aca="false">+Chạy!O31</f>
        <v>1.34</v>
      </c>
      <c r="Q25" s="16" t="n">
        <f aca="false">P25+R25</f>
        <v>1.357</v>
      </c>
      <c r="R25" s="16" t="n">
        <f aca="false">RANDBETWEEN(-30,90)/1000</f>
        <v>0.017</v>
      </c>
      <c r="S25" s="17"/>
      <c r="T25" s="0" t="n">
        <v>17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729.78</v>
      </c>
      <c r="D26" s="16" t="n">
        <f aca="false">+Chạy!F40</f>
        <v>-8.21</v>
      </c>
      <c r="E26" s="16" t="n">
        <f aca="false">+D26+F26</f>
        <v>-8.2165</v>
      </c>
      <c r="F26" s="16" t="n">
        <f aca="false">RANDBETWEEN(-105,115)/10000</f>
        <v>-0.0065</v>
      </c>
      <c r="G26" s="16" t="n">
        <f aca="false">+Chạy!G40</f>
        <v>1.34</v>
      </c>
      <c r="H26" s="16" t="n">
        <f aca="false">G26+I26</f>
        <v>1.346</v>
      </c>
      <c r="I26" s="16" t="n">
        <f aca="false">RANDBETWEEN(-30,90)/1000</f>
        <v>0.006</v>
      </c>
      <c r="J26" s="16" t="n">
        <f aca="false">+Chạy!K40</f>
        <v>1.46</v>
      </c>
      <c r="K26" s="16" t="n">
        <f aca="false">J26+L26</f>
        <v>1.471</v>
      </c>
      <c r="L26" s="16" t="n">
        <f aca="false">RANDBETWEEN(-30,90)/1000</f>
        <v>0.011</v>
      </c>
      <c r="M26" s="16" t="n">
        <f aca="false">+Chạy!N40</f>
        <v>8.21</v>
      </c>
      <c r="N26" s="16" t="n">
        <f aca="false">+M26+O26</f>
        <v>8.2016</v>
      </c>
      <c r="O26" s="16" t="n">
        <f aca="false">RANDBETWEEN(-105,115)/10000</f>
        <v>-0.0084</v>
      </c>
      <c r="P26" s="16" t="n">
        <f aca="false">+Chạy!O40</f>
        <v>1.34</v>
      </c>
      <c r="Q26" s="16" t="n">
        <f aca="false">P26+R26</f>
        <v>1.313</v>
      </c>
      <c r="R26" s="16" t="n">
        <f aca="false">RANDBETWEEN(-30,90)/1000</f>
        <v>-0.027</v>
      </c>
      <c r="S26" s="17"/>
      <c r="T26" s="0" t="n">
        <v>17.04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746.82</v>
      </c>
      <c r="D27" s="16" t="n">
        <f aca="false">+Chạy!F49</f>
        <v>-8.65</v>
      </c>
      <c r="E27" s="16" t="n">
        <f aca="false">+D27+F27</f>
        <v>-8.6597</v>
      </c>
      <c r="F27" s="16" t="n">
        <f aca="false">RANDBETWEEN(-105,115)/10000</f>
        <v>-0.0097</v>
      </c>
      <c r="G27" s="16" t="n">
        <f aca="false">+Chạy!G49</f>
        <v>1.34</v>
      </c>
      <c r="H27" s="16" t="n">
        <f aca="false">G27+I27</f>
        <v>1.344</v>
      </c>
      <c r="I27" s="16" t="n">
        <f aca="false">RANDBETWEEN(-30,90)/1000</f>
        <v>0.004</v>
      </c>
      <c r="J27" s="16" t="n">
        <f aca="false">+Chạy!K49</f>
        <v>1.46</v>
      </c>
      <c r="K27" s="16" t="n">
        <f aca="false">J27+L27</f>
        <v>1.53</v>
      </c>
      <c r="L27" s="16" t="n">
        <f aca="false">RANDBETWEEN(-30,90)/1000</f>
        <v>0.07</v>
      </c>
      <c r="M27" s="16" t="n">
        <f aca="false">+Chạy!N49</f>
        <v>12.85</v>
      </c>
      <c r="N27" s="16" t="n">
        <f aca="false">+M27+O27</f>
        <v>12.8545</v>
      </c>
      <c r="O27" s="16" t="n">
        <f aca="false">RANDBETWEEN(-105,115)/10000</f>
        <v>0.0045</v>
      </c>
      <c r="P27" s="16" t="n">
        <f aca="false">+Chạy!O49</f>
        <v>1.34</v>
      </c>
      <c r="Q27" s="16" t="n">
        <f aca="false">P27+R27</f>
        <v>1.406</v>
      </c>
      <c r="R27" s="16" t="n">
        <f aca="false">RANDBETWEEN(-30,90)/1000</f>
        <v>0.066</v>
      </c>
      <c r="S27" s="17"/>
      <c r="W27" s="115"/>
      <c r="X27" s="102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15"/>
      <c r="X28" s="102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15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15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15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70.NĐXD4/CVXD ngày 19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70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7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38</v>
      </c>
      <c r="C11" s="51" t="n">
        <f aca="false">'7.KTHH L7'!C22</f>
        <v>672.28</v>
      </c>
      <c r="D11" s="13" t="n">
        <f aca="false">'7.KTHH L7'!T22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127.075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39</v>
      </c>
      <c r="C12" s="51" t="n">
        <f aca="false">'7.KTHH L7'!C23</f>
        <v>689.28</v>
      </c>
      <c r="D12" s="13" t="n">
        <f aca="false">'7.KTHH L7'!T23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7.55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63.15625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F2</v>
      </c>
      <c r="C13" s="51" t="n">
        <f aca="false">'7.KTHH L7'!C24</f>
        <v>701.03</v>
      </c>
      <c r="D13" s="13" t="n">
        <f aca="false">'7.KTHH L7'!T24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3.2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63.215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40</v>
      </c>
      <c r="C14" s="51" t="n">
        <f aca="false">'7.KTHH L7'!C25</f>
        <v>712.78</v>
      </c>
      <c r="D14" s="13" t="n">
        <f aca="false">'7.KTHH L7'!T25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7.56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105.4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41</v>
      </c>
      <c r="C15" s="51" t="n">
        <f aca="false">'7.KTHH L7'!C26</f>
        <v>729.78</v>
      </c>
      <c r="D15" s="13" t="n">
        <f aca="false">'7.KTHH L7'!T26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4.84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96.3612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42</v>
      </c>
      <c r="C16" s="51" t="n">
        <f aca="false">'7.KTHH L7'!C27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6.47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455.20745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71.NĐXD4/CVXD ngày 20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71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8 đoạn từ Km0+672,28 - Km0+746,82,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16"/>
      <c r="B21" s="116"/>
      <c r="C21" s="116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672.28</v>
      </c>
      <c r="D22" s="16" t="n">
        <f aca="false">+Chạy!F3</f>
        <v>-12.4</v>
      </c>
      <c r="E22" s="16" t="n">
        <f aca="false">+D22+F22</f>
        <v>-12.3916</v>
      </c>
      <c r="F22" s="16" t="n">
        <f aca="false">RANDBETWEEN(-105,115)/10000</f>
        <v>0.0084</v>
      </c>
      <c r="G22" s="16" t="n">
        <f aca="false">+Chạy!G3</f>
        <v>1.64</v>
      </c>
      <c r="H22" s="16" t="n">
        <f aca="false">G22+I22</f>
        <v>1.62</v>
      </c>
      <c r="I22" s="16" t="n">
        <f aca="false">RANDBETWEEN(-30,90)/1000</f>
        <v>-0.02</v>
      </c>
      <c r="J22" s="16" t="n">
        <f aca="false">+Chạy!K3</f>
        <v>1.76</v>
      </c>
      <c r="K22" s="16" t="n">
        <f aca="false">J22+L22</f>
        <v>1.764</v>
      </c>
      <c r="L22" s="16" t="n">
        <f aca="false">RANDBETWEEN(-30,90)/1000</f>
        <v>0.004</v>
      </c>
      <c r="M22" s="16" t="n">
        <f aca="false">+Chạy!N3</f>
        <v>12.4</v>
      </c>
      <c r="N22" s="16" t="n">
        <f aca="false">+M22+O22</f>
        <v>12.3948</v>
      </c>
      <c r="O22" s="16" t="n">
        <f aca="false">RANDBETWEEN(-105,115)/10000</f>
        <v>-0.0052</v>
      </c>
      <c r="P22" s="16" t="n">
        <f aca="false">+Chạy!O3</f>
        <v>1.64</v>
      </c>
      <c r="Q22" s="16" t="n">
        <f aca="false">P22+R22</f>
        <v>1.671</v>
      </c>
      <c r="R22" s="16" t="n">
        <f aca="false">RANDBETWEEN(-30,90)/1000</f>
        <v>0.031</v>
      </c>
      <c r="S22" s="17"/>
      <c r="T22" s="0" t="n">
        <v>17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689.28</v>
      </c>
      <c r="D23" s="16" t="n">
        <f aca="false">+Chạy!F12</f>
        <v>-12.4</v>
      </c>
      <c r="E23" s="16" t="n">
        <f aca="false">+D23+F23</f>
        <v>-12.3972</v>
      </c>
      <c r="F23" s="16" t="n">
        <f aca="false">RANDBETWEEN(-105,115)/10000</f>
        <v>0.0028</v>
      </c>
      <c r="G23" s="16" t="n">
        <f aca="false">+Chạy!G12</f>
        <v>1.64</v>
      </c>
      <c r="H23" s="16" t="n">
        <f aca="false">G23+I23</f>
        <v>1.677</v>
      </c>
      <c r="I23" s="16" t="n">
        <f aca="false">RANDBETWEEN(-30,90)/1000</f>
        <v>0.037</v>
      </c>
      <c r="J23" s="16" t="n">
        <f aca="false">+Chạy!K12</f>
        <v>1.76</v>
      </c>
      <c r="K23" s="16" t="n">
        <f aca="false">J23+L23</f>
        <v>1.751</v>
      </c>
      <c r="L23" s="16" t="n">
        <f aca="false">RANDBETWEEN(-30,90)/1000</f>
        <v>-0.009</v>
      </c>
      <c r="M23" s="16" t="n">
        <f aca="false">+Chạy!N12</f>
        <v>12.4</v>
      </c>
      <c r="N23" s="16" t="n">
        <f aca="false">+M23+O23</f>
        <v>12.3983</v>
      </c>
      <c r="O23" s="16" t="n">
        <f aca="false">RANDBETWEEN(-105,115)/10000</f>
        <v>-0.0017</v>
      </c>
      <c r="P23" s="16" t="n">
        <f aca="false">+Chạy!O12</f>
        <v>1.64</v>
      </c>
      <c r="Q23" s="16" t="n">
        <f aca="false">P23+R23</f>
        <v>1.65</v>
      </c>
      <c r="R23" s="16" t="n">
        <f aca="false">RANDBETWEEN(-30,90)/1000</f>
        <v>0.01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701.03</v>
      </c>
      <c r="D24" s="16" t="n">
        <f aca="false">+Chạy!F21</f>
        <v>-12.35</v>
      </c>
      <c r="E24" s="16" t="n">
        <f aca="false">+D24+F24</f>
        <v>-12.3563</v>
      </c>
      <c r="F24" s="16" t="n">
        <f aca="false">RANDBETWEEN(-105,115)/10000</f>
        <v>-0.0063</v>
      </c>
      <c r="G24" s="16" t="n">
        <f aca="false">+Chạy!G21</f>
        <v>1.64</v>
      </c>
      <c r="H24" s="16" t="n">
        <f aca="false">G24+I24</f>
        <v>1.714</v>
      </c>
      <c r="I24" s="16" t="n">
        <f aca="false">RANDBETWEEN(-30,90)/1000</f>
        <v>0.074</v>
      </c>
      <c r="J24" s="16" t="n">
        <f aca="false">+Chạy!K21</f>
        <v>1.76</v>
      </c>
      <c r="K24" s="16" t="n">
        <f aca="false">J24+L24</f>
        <v>1.848</v>
      </c>
      <c r="L24" s="16" t="n">
        <f aca="false">RANDBETWEEN(-30,90)/1000</f>
        <v>0.088</v>
      </c>
      <c r="M24" s="16" t="n">
        <f aca="false">+Chạy!N21</f>
        <v>-0.9</v>
      </c>
      <c r="N24" s="16" t="n">
        <f aca="false">+M24+O24</f>
        <v>-0.9055</v>
      </c>
      <c r="O24" s="16" t="n">
        <f aca="false">RANDBETWEEN(-105,115)/10000</f>
        <v>-0.0055</v>
      </c>
      <c r="P24" s="16" t="n">
        <f aca="false">+Chạy!O21</f>
        <v>1.74</v>
      </c>
      <c r="Q24" s="16" t="n">
        <f aca="false">P24+R24</f>
        <v>1.765</v>
      </c>
      <c r="R24" s="16" t="n">
        <f aca="false">RANDBETWEEN(-30,90)/1000</f>
        <v>0.025</v>
      </c>
      <c r="S24" s="17"/>
      <c r="T24" s="0" t="n">
        <v>11.75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712.78</v>
      </c>
      <c r="D25" s="16" t="n">
        <f aca="false">+Chạy!F30</f>
        <v>-12.4</v>
      </c>
      <c r="E25" s="16" t="n">
        <f aca="false">+D25+F25</f>
        <v>-12.3999</v>
      </c>
      <c r="F25" s="16" t="n">
        <f aca="false">RANDBETWEEN(-105,115)/10000</f>
        <v>0.0001</v>
      </c>
      <c r="G25" s="16" t="n">
        <f aca="false">+Chạy!G30</f>
        <v>1.64</v>
      </c>
      <c r="H25" s="16" t="n">
        <f aca="false">G25+I25</f>
        <v>1.714</v>
      </c>
      <c r="I25" s="16" t="n">
        <f aca="false">RANDBETWEEN(-30,90)/1000</f>
        <v>0.074</v>
      </c>
      <c r="J25" s="16" t="n">
        <f aca="false">+Chạy!K30</f>
        <v>1.76</v>
      </c>
      <c r="K25" s="16" t="n">
        <f aca="false">J25+L25</f>
        <v>1.759</v>
      </c>
      <c r="L25" s="16" t="n">
        <f aca="false">RANDBETWEEN(-30,90)/1000</f>
        <v>-0.001</v>
      </c>
      <c r="M25" s="16" t="n">
        <f aca="false">+Chạy!N30</f>
        <v>12.4</v>
      </c>
      <c r="N25" s="16" t="n">
        <f aca="false">+M25+O25</f>
        <v>12.4055</v>
      </c>
      <c r="O25" s="16" t="n">
        <f aca="false">RANDBETWEEN(-105,115)/10000</f>
        <v>0.0055</v>
      </c>
      <c r="P25" s="16" t="n">
        <f aca="false">+Chạy!O30</f>
        <v>1.64</v>
      </c>
      <c r="Q25" s="16" t="n">
        <f aca="false">P25+R25</f>
        <v>1.687</v>
      </c>
      <c r="R25" s="16" t="n">
        <f aca="false">RANDBETWEEN(-30,90)/1000</f>
        <v>0.047</v>
      </c>
      <c r="S25" s="17"/>
      <c r="T25" s="0" t="n">
        <v>17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729.78</v>
      </c>
      <c r="D26" s="16" t="n">
        <f aca="false">+Chạy!F39</f>
        <v>-11.78</v>
      </c>
      <c r="E26" s="16" t="n">
        <f aca="false">+D26+F26</f>
        <v>-11.784</v>
      </c>
      <c r="F26" s="16" t="n">
        <f aca="false">RANDBETWEEN(-105,115)/10000</f>
        <v>-0.004</v>
      </c>
      <c r="G26" s="16" t="n">
        <f aca="false">+Chạy!G39</f>
        <v>1.64</v>
      </c>
      <c r="H26" s="16" t="n">
        <f aca="false">G26+I26</f>
        <v>1.68</v>
      </c>
      <c r="I26" s="16" t="n">
        <f aca="false">RANDBETWEEN(-30,90)/1000</f>
        <v>0.04</v>
      </c>
      <c r="J26" s="16" t="n">
        <f aca="false">+Chạy!K39</f>
        <v>1.76</v>
      </c>
      <c r="K26" s="16" t="n">
        <f aca="false">J26+L26</f>
        <v>1.735</v>
      </c>
      <c r="L26" s="16" t="n">
        <f aca="false">RANDBETWEEN(-30,90)/1000</f>
        <v>-0.025</v>
      </c>
      <c r="M26" s="16" t="n">
        <f aca="false">+Chạy!N39</f>
        <v>8.51</v>
      </c>
      <c r="N26" s="16" t="n">
        <f aca="false">+M26+O26</f>
        <v>8.5004</v>
      </c>
      <c r="O26" s="16" t="n">
        <f aca="false">RANDBETWEEN(-105,115)/10000</f>
        <v>-0.0096</v>
      </c>
      <c r="P26" s="16" t="n">
        <f aca="false">+Chạy!O39</f>
        <v>1.64</v>
      </c>
      <c r="Q26" s="16" t="n">
        <f aca="false">P26+R26</f>
        <v>1.713</v>
      </c>
      <c r="R26" s="16" t="n">
        <f aca="false">RANDBETWEEN(-30,90)/1000</f>
        <v>0.073</v>
      </c>
      <c r="S26" s="17"/>
      <c r="T26" s="0" t="n">
        <v>17.04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746.82</v>
      </c>
      <c r="D27" s="16" t="n">
        <f aca="false">+Chạy!F48</f>
        <v>-12.4</v>
      </c>
      <c r="E27" s="16" t="n">
        <f aca="false">+D27+F27</f>
        <v>-12.3963</v>
      </c>
      <c r="F27" s="16" t="n">
        <f aca="false">RANDBETWEEN(-105,115)/10000</f>
        <v>0.0037</v>
      </c>
      <c r="G27" s="16" t="n">
        <f aca="false">+Chạy!G48</f>
        <v>1.64</v>
      </c>
      <c r="H27" s="16" t="n">
        <f aca="false">G27+I27</f>
        <v>1.669</v>
      </c>
      <c r="I27" s="16" t="n">
        <f aca="false">RANDBETWEEN(-30,90)/1000</f>
        <v>0.029</v>
      </c>
      <c r="J27" s="16" t="n">
        <f aca="false">+Chạy!K48</f>
        <v>1.76</v>
      </c>
      <c r="K27" s="16" t="n">
        <f aca="false">J27+L27</f>
        <v>1.821</v>
      </c>
      <c r="L27" s="16" t="n">
        <f aca="false">RANDBETWEEN(-30,90)/1000</f>
        <v>0.061</v>
      </c>
      <c r="M27" s="16" t="n">
        <f aca="false">+Chạy!N48</f>
        <v>12.4</v>
      </c>
      <c r="N27" s="16" t="n">
        <f aca="false">+M27+O27</f>
        <v>12.4032</v>
      </c>
      <c r="O27" s="16" t="n">
        <f aca="false">RANDBETWEEN(-105,115)/10000</f>
        <v>0.0032</v>
      </c>
      <c r="P27" s="16" t="n">
        <f aca="false">+Chạy!O48</f>
        <v>1.64</v>
      </c>
      <c r="Q27" s="16" t="n">
        <f aca="false">P27+R27</f>
        <v>1.644</v>
      </c>
      <c r="R27" s="16" t="n">
        <f aca="false">RANDBETWEEN(-30,90)/1000</f>
        <v>0.004</v>
      </c>
      <c r="S27" s="17"/>
      <c r="X27" s="119"/>
      <c r="Y27" s="102"/>
      <c r="AA27" s="120"/>
      <c r="AB27" s="121"/>
      <c r="AC27" s="122"/>
      <c r="AE27" s="122"/>
    </row>
    <row r="28" customFormat="false" ht="15.75" hidden="true" customHeight="true" outlineLevel="0" collapsed="false">
      <c r="A28" s="118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X28" s="119"/>
      <c r="Y28" s="102"/>
      <c r="AA28" s="120"/>
      <c r="AB28" s="121"/>
      <c r="AC28" s="122"/>
      <c r="AE28" s="122"/>
    </row>
    <row r="29" customFormat="false" ht="15.75" hidden="true" customHeight="true" outlineLevel="0" collapsed="false">
      <c r="A29" s="118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71.NĐXD4/CVXD ngày 20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71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8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38</v>
      </c>
      <c r="C11" s="51" t="n">
        <f aca="false">'8.KTHH L8'!C22</f>
        <v>672.28</v>
      </c>
      <c r="D11" s="13" t="n">
        <f aca="false">'8.KTHH L8'!T22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126.48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39</v>
      </c>
      <c r="C12" s="51" t="n">
        <f aca="false">'8.KTHH L8'!C23</f>
        <v>689.28</v>
      </c>
      <c r="D12" s="13" t="n">
        <f aca="false">'8.KTHH L8'!T23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7.49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63.74375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F2</v>
      </c>
      <c r="C13" s="51" t="n">
        <f aca="false">'8.KTHH L8'!C24</f>
        <v>701.03</v>
      </c>
      <c r="D13" s="13" t="n">
        <f aca="false">'8.KTHH L8'!T24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3.36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63.8025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40</v>
      </c>
      <c r="C14" s="51" t="n">
        <f aca="false">'8.KTHH L8'!C25</f>
        <v>712.78</v>
      </c>
      <c r="D14" s="13" t="n">
        <f aca="false">'8.KTHH L8'!T25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7.5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111.265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41</v>
      </c>
      <c r="C15" s="51" t="n">
        <f aca="false">'8.KTHH L8'!C26</f>
        <v>729.78</v>
      </c>
      <c r="D15" s="13" t="n">
        <f aca="false">'8.KTHH L8'!T26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5.59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103.1772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42</v>
      </c>
      <c r="C16" s="51" t="n">
        <f aca="false">'8.KTHH L8'!C27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6.52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468.46845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72.NĐXD4/CVXD ngày 20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72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XD4'!$A$2:$B$60,2,0)</f>
        <v xml:space="preserve">Đắp đất nền đường lớp 9 đoạn từ Km0+672,28 - Km0+746,82,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16"/>
      <c r="B21" s="116"/>
      <c r="C21" s="116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672.28</v>
      </c>
      <c r="D22" s="16" t="n">
        <f aca="false">+Chạy!F2</f>
        <v>-11.95</v>
      </c>
      <c r="E22" s="16" t="n">
        <f aca="false">+D22+F22</f>
        <v>-11.9583</v>
      </c>
      <c r="F22" s="16" t="n">
        <f aca="false">RANDBETWEEN(-105,115)/10000</f>
        <v>-0.0083</v>
      </c>
      <c r="G22" s="16" t="n">
        <f aca="false">+Chạy!G2</f>
        <v>1.94</v>
      </c>
      <c r="H22" s="16" t="n">
        <f aca="false">G22+I22</f>
        <v>1.997</v>
      </c>
      <c r="I22" s="16" t="n">
        <f aca="false">RANDBETWEEN(-30,90)/1000</f>
        <v>0.057</v>
      </c>
      <c r="J22" s="16" t="n">
        <f aca="false">+Chạy!K2</f>
        <v>2.06</v>
      </c>
      <c r="K22" s="16" t="n">
        <f aca="false">J22+L22</f>
        <v>2.043</v>
      </c>
      <c r="L22" s="16" t="n">
        <f aca="false">RANDBETWEEN(-30,90)/1000</f>
        <v>-0.017</v>
      </c>
      <c r="M22" s="16" t="n">
        <f aca="false">+Chạy!N2</f>
        <v>11.95</v>
      </c>
      <c r="N22" s="16" t="n">
        <f aca="false">+M22+O22</f>
        <v>11.9489</v>
      </c>
      <c r="O22" s="16" t="n">
        <f aca="false">RANDBETWEEN(-105,115)/10000</f>
        <v>-0.0011</v>
      </c>
      <c r="P22" s="16" t="n">
        <f aca="false">+Chạy!O2</f>
        <v>1.94</v>
      </c>
      <c r="Q22" s="16" t="n">
        <f aca="false">P22+R22</f>
        <v>1.942</v>
      </c>
      <c r="R22" s="16" t="n">
        <f aca="false">RANDBETWEEN(-30,90)/1000</f>
        <v>0.002</v>
      </c>
      <c r="S22" s="17"/>
      <c r="T22" s="0" t="n">
        <v>17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689.28</v>
      </c>
      <c r="D23" s="16" t="n">
        <f aca="false">+Chạy!F11</f>
        <v>-11.95</v>
      </c>
      <c r="E23" s="16" t="n">
        <f aca="false">+D23+F23</f>
        <v>-11.9489</v>
      </c>
      <c r="F23" s="16" t="n">
        <f aca="false">RANDBETWEEN(-105,115)/10000</f>
        <v>0.0011</v>
      </c>
      <c r="G23" s="16" t="n">
        <f aca="false">+Chạy!G11</f>
        <v>1.94</v>
      </c>
      <c r="H23" s="16" t="n">
        <f aca="false">G23+I23</f>
        <v>1.963</v>
      </c>
      <c r="I23" s="16" t="n">
        <f aca="false">RANDBETWEEN(-30,90)/1000</f>
        <v>0.023</v>
      </c>
      <c r="J23" s="16" t="n">
        <f aca="false">+Chạy!K11</f>
        <v>2.06</v>
      </c>
      <c r="K23" s="16" t="n">
        <f aca="false">J23+L23</f>
        <v>2.064</v>
      </c>
      <c r="L23" s="16" t="n">
        <f aca="false">RANDBETWEEN(-30,90)/1000</f>
        <v>0.004</v>
      </c>
      <c r="M23" s="16" t="n">
        <f aca="false">+Chạy!N11</f>
        <v>11.95</v>
      </c>
      <c r="N23" s="16" t="n">
        <f aca="false">+M23+O23</f>
        <v>11.9596</v>
      </c>
      <c r="O23" s="16" t="n">
        <f aca="false">RANDBETWEEN(-105,115)/10000</f>
        <v>0.0096</v>
      </c>
      <c r="P23" s="16" t="n">
        <f aca="false">+Chạy!O11</f>
        <v>1.94</v>
      </c>
      <c r="Q23" s="16" t="n">
        <f aca="false">P23+R23</f>
        <v>1.935</v>
      </c>
      <c r="R23" s="16" t="n">
        <f aca="false">RANDBETWEEN(-30,90)/1000</f>
        <v>-0.005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701.03</v>
      </c>
      <c r="D24" s="16" t="n">
        <f aca="false">+Chạy!F20</f>
        <v>-11.95</v>
      </c>
      <c r="E24" s="16" t="n">
        <f aca="false">+D24+F24</f>
        <v>-11.9443</v>
      </c>
      <c r="F24" s="16" t="n">
        <f aca="false">RANDBETWEEN(-105,115)/10000</f>
        <v>0.0057</v>
      </c>
      <c r="G24" s="16" t="n">
        <f aca="false">+Chạy!G20</f>
        <v>1.94</v>
      </c>
      <c r="H24" s="16" t="n">
        <f aca="false">G24+I24</f>
        <v>2.019</v>
      </c>
      <c r="I24" s="16" t="n">
        <f aca="false">RANDBETWEEN(-30,90)/1000</f>
        <v>0.079</v>
      </c>
      <c r="J24" s="16" t="n">
        <f aca="false">+Chạy!K20</f>
        <v>2.06</v>
      </c>
      <c r="K24" s="16" t="n">
        <f aca="false">J24+L24</f>
        <v>2.118</v>
      </c>
      <c r="L24" s="16" t="n">
        <f aca="false">RANDBETWEEN(-30,90)/1000</f>
        <v>0.058</v>
      </c>
      <c r="M24" s="16" t="n">
        <f aca="false">+Chạy!N20</f>
        <v>-0.67</v>
      </c>
      <c r="N24" s="16" t="n">
        <f aca="false">+M24+O24</f>
        <v>-0.6744</v>
      </c>
      <c r="O24" s="16" t="n">
        <f aca="false">RANDBETWEEN(-105,115)/10000</f>
        <v>-0.0044</v>
      </c>
      <c r="P24" s="16" t="n">
        <f aca="false">+Chạy!O20</f>
        <v>2.05</v>
      </c>
      <c r="Q24" s="16" t="n">
        <f aca="false">P24+R24</f>
        <v>2.14</v>
      </c>
      <c r="R24" s="16" t="n">
        <f aca="false">RANDBETWEEN(-30,90)/1000</f>
        <v>0.09</v>
      </c>
      <c r="S24" s="17"/>
      <c r="T24" s="0" t="n">
        <v>11.75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712.78</v>
      </c>
      <c r="D25" s="16" t="n">
        <f aca="false">+Chạy!F29</f>
        <v>-11.95</v>
      </c>
      <c r="E25" s="16" t="n">
        <f aca="false">+D25+F25</f>
        <v>-11.9413</v>
      </c>
      <c r="F25" s="16" t="n">
        <f aca="false">RANDBETWEEN(-105,115)/10000</f>
        <v>0.0087</v>
      </c>
      <c r="G25" s="16" t="n">
        <f aca="false">+Chạy!G29</f>
        <v>1.94</v>
      </c>
      <c r="H25" s="16" t="n">
        <f aca="false">G25+I25</f>
        <v>1.932</v>
      </c>
      <c r="I25" s="16" t="n">
        <f aca="false">RANDBETWEEN(-30,90)/1000</f>
        <v>-0.008</v>
      </c>
      <c r="J25" s="16" t="n">
        <f aca="false">+Chạy!K29</f>
        <v>2.06</v>
      </c>
      <c r="K25" s="16" t="n">
        <f aca="false">J25+L25</f>
        <v>2.049</v>
      </c>
      <c r="L25" s="16" t="n">
        <f aca="false">RANDBETWEEN(-30,90)/1000</f>
        <v>-0.011</v>
      </c>
      <c r="M25" s="16" t="n">
        <f aca="false">+Chạy!N29</f>
        <v>11.95</v>
      </c>
      <c r="N25" s="16" t="n">
        <f aca="false">+M25+O25</f>
        <v>11.948</v>
      </c>
      <c r="O25" s="16" t="n">
        <f aca="false">RANDBETWEEN(-105,115)/10000</f>
        <v>-0.002</v>
      </c>
      <c r="P25" s="16" t="n">
        <f aca="false">+Chạy!O29</f>
        <v>1.94</v>
      </c>
      <c r="Q25" s="16" t="n">
        <f aca="false">P25+R25</f>
        <v>1.93</v>
      </c>
      <c r="R25" s="16" t="n">
        <f aca="false">RANDBETWEEN(-30,90)/1000</f>
        <v>-0.01</v>
      </c>
      <c r="S25" s="17"/>
      <c r="T25" s="0" t="n">
        <v>17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729.78</v>
      </c>
      <c r="D26" s="16" t="n">
        <f aca="false">+Chạy!F38</f>
        <v>-11.95</v>
      </c>
      <c r="E26" s="16" t="n">
        <f aca="false">+D26+F26</f>
        <v>-11.9518</v>
      </c>
      <c r="F26" s="16" t="n">
        <f aca="false">RANDBETWEEN(-105,115)/10000</f>
        <v>-0.0018</v>
      </c>
      <c r="G26" s="16" t="n">
        <f aca="false">+Chạy!G38</f>
        <v>1.94</v>
      </c>
      <c r="H26" s="16" t="n">
        <f aca="false">G26+I26</f>
        <v>2.03</v>
      </c>
      <c r="I26" s="16" t="n">
        <f aca="false">RANDBETWEEN(-30,90)/1000</f>
        <v>0.09</v>
      </c>
      <c r="J26" s="16" t="n">
        <f aca="false">+Chạy!K38</f>
        <v>2.06</v>
      </c>
      <c r="K26" s="16" t="n">
        <f aca="false">J26+L26</f>
        <v>2.147</v>
      </c>
      <c r="L26" s="16" t="n">
        <f aca="false">RANDBETWEEN(-30,90)/1000</f>
        <v>0.087</v>
      </c>
      <c r="M26" s="16" t="n">
        <f aca="false">+Chạy!N38</f>
        <v>8.81</v>
      </c>
      <c r="N26" s="16" t="n">
        <f aca="false">+M26+O26</f>
        <v>8.8197</v>
      </c>
      <c r="O26" s="16" t="n">
        <f aca="false">RANDBETWEEN(-105,115)/10000</f>
        <v>0.0097</v>
      </c>
      <c r="P26" s="16" t="n">
        <f aca="false">+Chạy!O38</f>
        <v>1.94</v>
      </c>
      <c r="Q26" s="16" t="n">
        <f aca="false">P26+R26</f>
        <v>1.926</v>
      </c>
      <c r="R26" s="16" t="n">
        <f aca="false">RANDBETWEEN(-30,90)/1000</f>
        <v>-0.014</v>
      </c>
      <c r="S26" s="17"/>
      <c r="T26" s="0" t="n">
        <v>17.04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746.82</v>
      </c>
      <c r="D27" s="16" t="n">
        <f aca="false">+Chạy!F47</f>
        <v>-11.95</v>
      </c>
      <c r="E27" s="16" t="n">
        <f aca="false">+D27+F27</f>
        <v>-11.9511</v>
      </c>
      <c r="F27" s="16" t="n">
        <f aca="false">RANDBETWEEN(-105,115)/10000</f>
        <v>-0.0011</v>
      </c>
      <c r="G27" s="16" t="n">
        <f aca="false">+Chạy!G47</f>
        <v>1.94</v>
      </c>
      <c r="H27" s="16" t="n">
        <f aca="false">G27+I27</f>
        <v>2.016</v>
      </c>
      <c r="I27" s="16" t="n">
        <f aca="false">RANDBETWEEN(-30,90)/1000</f>
        <v>0.076</v>
      </c>
      <c r="J27" s="16" t="n">
        <f aca="false">+Chạy!K47</f>
        <v>2.06</v>
      </c>
      <c r="K27" s="16" t="n">
        <f aca="false">J27+L27</f>
        <v>2.053</v>
      </c>
      <c r="L27" s="16" t="n">
        <f aca="false">RANDBETWEEN(-30,90)/1000</f>
        <v>-0.007</v>
      </c>
      <c r="M27" s="16" t="n">
        <f aca="false">+Chạy!N47</f>
        <v>11.95</v>
      </c>
      <c r="N27" s="16" t="n">
        <f aca="false">+M27+O27</f>
        <v>11.9613</v>
      </c>
      <c r="O27" s="16" t="n">
        <f aca="false">RANDBETWEEN(-105,115)/10000</f>
        <v>0.0113</v>
      </c>
      <c r="P27" s="16" t="n">
        <f aca="false">+Chạy!O47</f>
        <v>1.94</v>
      </c>
      <c r="Q27" s="16" t="n">
        <f aca="false">P27+R27</f>
        <v>1.964</v>
      </c>
      <c r="R27" s="16" t="n">
        <f aca="false">RANDBETWEEN(-30,90)/1000</f>
        <v>0.024</v>
      </c>
      <c r="S27" s="17"/>
      <c r="X27" s="119"/>
      <c r="Y27" s="102"/>
      <c r="AA27" s="120"/>
      <c r="AB27" s="121"/>
      <c r="AC27" s="122"/>
      <c r="AE27" s="122"/>
    </row>
    <row r="28" customFormat="false" ht="15.75" hidden="true" customHeight="true" outlineLevel="0" collapsed="false">
      <c r="A28" s="118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X28" s="119"/>
      <c r="Y28" s="102"/>
      <c r="AA28" s="120"/>
      <c r="AB28" s="121"/>
      <c r="AC28" s="122"/>
      <c r="AE28" s="122"/>
    </row>
    <row r="29" customFormat="false" ht="15.75" hidden="true" customHeight="true" outlineLevel="0" collapsed="false">
      <c r="A29" s="118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72.NĐXD4/CVXD ngày 20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72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29</v>
      </c>
      <c r="B7" s="34"/>
      <c r="D7" s="35" t="str">
        <f>VLOOKUP(AZ2,'[1]Tuyến XD4'!$A$2:$B$60,2,0)</f>
        <v xml:space="preserve">Đắp đất nền đường lớp 9 đoạn từ Km0+672,28 - Km0+746,82,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38</v>
      </c>
      <c r="C11" s="51" t="n">
        <f aca="false">'9.KTHH L9'!C22</f>
        <v>672.28</v>
      </c>
      <c r="D11" s="13" t="n">
        <f aca="false">'9.KTHH L9'!T22</f>
        <v>17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124.27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39</v>
      </c>
      <c r="C12" s="51" t="n">
        <f aca="false">'9.KTHH L9'!C23</f>
        <v>689.28</v>
      </c>
      <c r="D12" s="13" t="n">
        <f aca="false">'9.KTHH L9'!T23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63.03875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F2</v>
      </c>
      <c r="C13" s="51" t="n">
        <f aca="false">'9.KTHH L9'!C24</f>
        <v>701.03</v>
      </c>
      <c r="D13" s="13" t="n">
        <f aca="false">'9.KTHH L9'!T24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3.42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63.03875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40</v>
      </c>
      <c r="C14" s="51" t="n">
        <f aca="false">'9.KTHH L9'!C25</f>
        <v>712.78</v>
      </c>
      <c r="D14" s="13" t="n">
        <f aca="false">'9.KTHH L9'!T25</f>
        <v>17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114.665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41</v>
      </c>
      <c r="C15" s="51" t="n">
        <f aca="false">'9.KTHH L9'!C26</f>
        <v>729.78</v>
      </c>
      <c r="D15" s="13" t="n">
        <f aca="false">'9.KTHH L9'!T26</f>
        <v>17.04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6.18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114.9348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42</v>
      </c>
      <c r="C16" s="51" t="n">
        <f aca="false">'9.KTHH L9'!C27</f>
        <v>746.82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7.31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479.9473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2026-10-13T10:12:58Z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