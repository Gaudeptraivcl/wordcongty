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hạy" sheetId="1" state="visible" r:id="rId3"/>
    <sheet name="1.KTHH L1" sheetId="2" state="visible" r:id="rId4"/>
    <sheet name="1.KL L1" sheetId="3" state="visible" r:id="rId5"/>
    <sheet name="2.KTHH L2" sheetId="4" state="visible" r:id="rId6"/>
    <sheet name="2.KL L2" sheetId="5" state="visible" r:id="rId7"/>
    <sheet name="3.KTHH L3" sheetId="6" state="visible" r:id="rId8"/>
    <sheet name="3.KL L3" sheetId="7" state="visible" r:id="rId9"/>
    <sheet name="4.KTHH L4" sheetId="8" state="visible" r:id="rId10"/>
    <sheet name="4.KL L4" sheetId="9" state="visible" r:id="rId11"/>
    <sheet name="5.KTHH L5" sheetId="10" state="visible" r:id="rId12"/>
    <sheet name="5.KL L5" sheetId="11" state="visible" r:id="rId13"/>
    <sheet name="6.KTHH L6" sheetId="12" state="visible" r:id="rId14"/>
    <sheet name="6.KL L6" sheetId="13" state="visible" r:id="rId15"/>
    <sheet name="7.KTHH L7" sheetId="14" state="visible" r:id="rId16"/>
    <sheet name="7.KL L7" sheetId="15" state="visible" r:id="rId17"/>
    <sheet name="8.KTHH L8" sheetId="16" state="visible" r:id="rId18"/>
    <sheet name="8.KL L8" sheetId="17" state="visible" r:id="rId19"/>
    <sheet name="9.KTHH L9" sheetId="18" state="visible" r:id="rId20"/>
    <sheet name="9.KL L9" sheetId="19" state="visible" r:id="rId21"/>
  </sheets>
  <externalReferences>
    <externalReference r:id="rIdExt1"/>
  </externalReferences>
  <definedNames>
    <definedName function="false" hidden="false" localSheetId="2" name="_xlnm.Print_Area" vbProcedure="false">'1.KL L1'!$A$1:$AB$60</definedName>
    <definedName function="false" hidden="false" localSheetId="1" name="_xlnm.Print_Area" vbProcedure="false">'1.KTHH L1'!$A$1:$S$69</definedName>
    <definedName function="false" hidden="false" localSheetId="1" name="_xlnm.Print_Titles" vbProcedure="false">'1.KTHH L1'!$19:$20</definedName>
    <definedName function="false" hidden="false" localSheetId="4" name="_xlnm.Print_Area" vbProcedure="false">'2.KL L2'!$A$1:$AB$60</definedName>
    <definedName function="false" hidden="false" localSheetId="3" name="_xlnm.Print_Area" vbProcedure="false">'2.KTHH L2'!$A$1:$S$69</definedName>
    <definedName function="false" hidden="false" localSheetId="3" name="_xlnm.Print_Titles" vbProcedure="false">'2.KTHH L2'!$19:$20</definedName>
    <definedName function="false" hidden="false" localSheetId="6" name="_xlnm.Print_Area" vbProcedure="false">'3.KL L3'!$A$1:$AB$60</definedName>
    <definedName function="false" hidden="false" localSheetId="5" name="_xlnm.Print_Area" vbProcedure="false">'3.KTHH L3'!$A$1:$S$70</definedName>
    <definedName function="false" hidden="false" localSheetId="5" name="_xlnm.Print_Titles" vbProcedure="false">'3.KTHH L3'!$20:$21</definedName>
    <definedName function="false" hidden="false" localSheetId="8" name="_xlnm.Print_Area" vbProcedure="false">'4.KL L4'!$A$1:$AB$60</definedName>
    <definedName function="false" hidden="false" localSheetId="7" name="_xlnm.Print_Area" vbProcedure="false">'4.KTHH L4'!$A$1:$S$70</definedName>
    <definedName function="false" hidden="false" localSheetId="7" name="_xlnm.Print_Titles" vbProcedure="false">'4.KTHH L4'!$20:$21</definedName>
    <definedName function="false" hidden="false" localSheetId="10" name="_xlnm.Print_Area" vbProcedure="false">'5.KL L5'!$A$1:$AB$60</definedName>
    <definedName function="false" hidden="false" localSheetId="9" name="_xlnm.Print_Area" vbProcedure="false">'5.KTHH L5'!$A$1:$S$70</definedName>
    <definedName function="false" hidden="false" localSheetId="9" name="_xlnm.Print_Titles" vbProcedure="false">'5.KTHH L5'!$20:$21</definedName>
    <definedName function="false" hidden="false" localSheetId="12" name="_xlnm.Print_Area" vbProcedure="false">'6.KL L6'!$A$1:$AB$60</definedName>
    <definedName function="false" hidden="false" localSheetId="11" name="_xlnm.Print_Area" vbProcedure="false">'6.KTHH L6'!$A$1:$S$70</definedName>
    <definedName function="false" hidden="false" localSheetId="11" name="_xlnm.Print_Titles" vbProcedure="false">'6.KTHH L6'!$20:$21</definedName>
    <definedName function="false" hidden="false" localSheetId="14" name="_xlnm.Print_Area" vbProcedure="false">'7.KL L7'!$A$1:$AB$60</definedName>
    <definedName function="false" hidden="false" localSheetId="13" name="_xlnm.Print_Area" vbProcedure="false">'7.KTHH L7'!$A$1:$S$70</definedName>
    <definedName function="false" hidden="false" localSheetId="13" name="_xlnm.Print_Titles" vbProcedure="false">'7.KTHH L7'!$20:$21</definedName>
    <definedName function="false" hidden="false" localSheetId="16" name="_xlnm.Print_Area" vbProcedure="false">'8.KL L8'!$A$1:$AB$60</definedName>
    <definedName function="false" hidden="false" localSheetId="15" name="_xlnm.Print_Area" vbProcedure="false">'8.KTHH L8'!$A$1:$S$70</definedName>
    <definedName function="false" hidden="false" localSheetId="15" name="_xlnm.Print_Titles" vbProcedure="false">'8.KTHH L8'!$20:$21</definedName>
    <definedName function="false" hidden="false" localSheetId="18" name="_xlnm.Print_Area" vbProcedure="false">'9.KL L9'!$A$1:$AB$60</definedName>
    <definedName function="false" hidden="false" localSheetId="17" name="_xlnm.Print_Area" vbProcedure="false">'9.KTHH L9'!$A$1:$S$70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<sst xmlns="http://schemas.openxmlformats.org/spreadsheetml/2006/main" count="603" uniqueCount="74">
  <si>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</si>
  <si>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</si>
  <si>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</si>
  <si>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</si>
  <si>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</si>
  <si>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</si>
  <si>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</si>
  <si>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</si>
  <si>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</si>
  <si>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</si>
  <si>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</si>
  <si>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</si>
  <si>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</si>
  <si>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</si>
  <si>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</si>
  <si>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</si>
  <si>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</si>
  <si>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38</t>
  </si>
  <si>
    <t xml:space="preserve">39</t>
  </si>
  <si>
    <t xml:space="preserve">F2</t>
  </si>
  <si>
    <t xml:space="preserve">40</t>
  </si>
  <si>
    <t xml:space="preserve">41</t>
  </si>
  <si>
    <t xml:space="preserve">42</t>
  </si>
  <si>
    <t xml:space="preserve">PHỤ LỤC KIỂM TRA CAO ĐỘ, KÍCH THƯỚC HÌNH HỌC</t>
  </si>
  <si>
    <t xml:space="preserve">Kèm theo BBNT số: 64.NĐXD4/CVXD ngày 16 tháng 09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</si>
  <si>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</si>
  <si>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</si>
  <si>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</si>
  <si>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XD4</t>
  </si>
  <si>
    <t xml:space="preserve">- Đối tượng nghiệm thu:</t>
  </si>
  <si>
    <t xml:space="preserve">Đắp đất nền đường lớp 1 đoạn từ Km0+672,28 - Km0+746,82, độ chặt K&gt;=0,95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</si>
  <si>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</si>
  <si>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</si>
  <si>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</si>
  <si>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</si>
  <si>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</si>
  <si>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</si>
  <si>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</si>
  <si>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</si>
  <si>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</si>
  <si>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</si>
  <si>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</si>
  <si>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</si>
  <si>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</si>
  <si>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</si>
  <si>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</si>
  <si>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</si>
  <si>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</si>
  <si>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</si>
  <si>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</si>
  <si>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K/c lẻ</t>
  </si>
  <si>
    <t xml:space="preserve">Khối lượng đắp đất</t>
  </si>
  <si>
    <t xml:space="preserve">Diện tích</t>
  </si>
  <si>
    <t xml:space="preserve">Diện tích
 (m2)</t>
  </si>
  <si>
    <t xml:space="preserve">Khối lượng</t>
  </si>
  <si>
    <t xml:space="preserve">Khối lượng (m3)</t>
  </si>
  <si>
    <t xml:space="preserve">Tổng cộng (m3)</t>
  </si>
  <si>
    <t xml:space="preserve">                 </t>
  </si>
  <si>
    <t xml:space="preserve">Kèm theo BBNT số: 65.NĐXD4/CVXD ngày 17 tháng 09 năm 2026</t>
  </si>
  <si>
    <t xml:space="preserve">Đắp đất nền đường lớp 2 đoạn từ Km0+672,28 - Km0+746,82, độ chặt K&gt;=0,95</t>
  </si>
  <si>
    <t xml:space="preserve">Kèm theo BBNT số: 66.NĐXD4/CVXD ngày 17 tháng 09 năm 2026</t>
  </si>
  <si>
    <t xml:space="preserve">Đắp đất nền đường lớp 3 đoạn từ Km0+672,28 - Km0+746,82, độ chặt K&gt;=0,95</t>
  </si>
  <si>
    <t xml:space="preserve">Kèm theo BBNT số: 67.NĐXD4/CVXD ngày 18 tháng 09 năm 2026</t>
  </si>
  <si>
    <t xml:space="preserve">Đắp đất nền đường lớp 4 đoạn từ Km0+672,28 - Km0+746,82, độ chặt K&gt;=0,95</t>
  </si>
  <si>
    <t xml:space="preserve">Kèm theo BBNT số: 68.NĐXD4/CVXD ngày 18 tháng 09 năm 2026</t>
  </si>
  <si>
    <t xml:space="preserve">Đắp đất nền đường lớp 5 đoạn từ Km0+672,28 - Km0+746,82, độ chặt K&gt;=0,95</t>
  </si>
  <si>
    <t xml:space="preserve">Kèm theo BBNT số: 69.NĐXD4/CVXD ngày 19 tháng 09 năm 2026</t>
  </si>
  <si>
    <t xml:space="preserve">Đắp đất nền đường lớp 6 đoạn từ Km0+672,28 - Km0+746,82, độ chặt K&gt;=0,95</t>
  </si>
  <si>
    <t xml:space="preserve">Kèm theo BBNT số: 70.NĐXD4/CVXD ngày 19 tháng 09 năm 2026</t>
  </si>
  <si>
    <t xml:space="preserve">Đắp đất nền đường lớp 7 đoạn từ Km0+672,28 - Km0+746,82, độ chặt K&gt;=0,95</t>
  </si>
  <si>
    <t xml:space="preserve">Kèm theo BBNT số: 71.NĐXD4/CVXD ngày 20 tháng 09 năm 2026</t>
  </si>
  <si>
    <t xml:space="preserve">Đắp đất nền đường lớp 8 đoạn từ Km0+672,28 - Km0+746,82, độ chặt K&gt;=0,95</t>
  </si>
  <si>
    <t xml:space="preserve">Kèm theo BBNT số: 72.NĐXD4/CVXD ngày 20 tháng 09 năm 2026</t>
  </si>
  <si>
    <t xml:space="preserve">Đắp đất nền đường lớp 9 đoạn từ Km0+672,28 - Km0+746,82, độ chặt K&gt;=0,95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</si>
</sst>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_-* #,##0.00\ _₫_-;\-* #,##0.00\ _₫_-;_-* \-??\ _₫_-;_-@_-"/>
    <numFmt numFmtId="171" formatCode="0.00_);\(0.00\)"/>
    <numFmt numFmtId="172" formatCode="_(* #,##0.000_);_(* \(#,##0.000\);_(* \-??_);_(@_)"/>
    <numFmt numFmtId="173" formatCode="_-* #,##0\ _₫_-;\-* #,##0\ _₫_-;_-* \-??\ _₫_-;_-@_-"/>
    <numFmt numFmtId="174" formatCode="_-* #,##0.0\ _₫_-;\-* #,##0.0\ _₫_-;_-* \-??\ _₫_-;_-@_-"/>
    <numFmt numFmtId="175" formatCode="0"/>
    <numFmt numFmtId="176" formatCode="0.000"/>
    <numFmt numFmtId="177" formatCode="_-* #,##0.000\ _₫_-;\-* #,##0.000\ _₫_-;_-* \-??\ _₫_-;_-@_-"/>
  </numFmts>
  <fonts count="38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1"/>
      <color rgb="FFFF0000"/>
      <name val="Calibri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name val=".VnTime"/>
      <family val="2"/>
      <charset val="1"/>
    </font>
    <font>
      <b val="true"/>
      <sz val="13"/>
      <name val=".vntime"/>
      <family val="2"/>
      <charset val="1"/>
    </font>
    <font>
      <sz val="12"/>
      <name val=".VnTime"/>
      <family val="2"/>
      <charset val="1"/>
    </font>
    <font>
      <b val="true"/>
      <sz val="12"/>
      <name val=".VnTime"/>
      <family val="2"/>
      <charset val="1"/>
    </font>
    <font>
      <b val="true"/>
      <sz val="11"/>
      <name val=".VnTime"/>
      <family val="2"/>
      <charset val="1"/>
    </font>
    <font>
      <sz val="13.5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sz val="12"/>
      <color theme="1"/>
      <name val="Calibri"/>
      <family val="2"/>
      <charset val="163"/>
    </font>
    <font>
      <sz val="12.5"/>
      <color theme="1"/>
      <name val="Calibri"/>
      <family val="2"/>
      <charset val="163"/>
    </font>
    <font>
      <b val="true"/>
      <sz val="11"/>
      <color rgb="FFFF0000"/>
      <name val="Calibri"/>
      <family val="2"/>
      <charset val="163"/>
    </font>
    <font>
      <sz val="12.5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63"/>
    </font>
    <font>
      <sz val="12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9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4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3" fillId="2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398160</xdr:colOff>
      <xdr:row>7</xdr:row>
      <xdr:rowOff>225000</xdr:rowOff>
    </xdr:from>
    <xdr:to>
      <xdr:col>17</xdr:col>
      <xdr:colOff>284040</xdr:colOff>
      <xdr:row>17</xdr:row>
      <xdr:rowOff>49320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871200" y="1910880"/>
          <a:ext cx="8170920" cy="1776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336240</xdr:colOff>
      <xdr:row>7</xdr:row>
      <xdr:rowOff>100800</xdr:rowOff>
    </xdr:from>
    <xdr:to>
      <xdr:col>17</xdr:col>
      <xdr:colOff>542160</xdr:colOff>
      <xdr:row>17</xdr:row>
      <xdr:rowOff>10800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779400" y="1786680"/>
          <a:ext cx="8161200" cy="1862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403560</xdr:colOff>
      <xdr:row>7</xdr:row>
      <xdr:rowOff>212760</xdr:rowOff>
    </xdr:from>
    <xdr:to>
      <xdr:col>17</xdr:col>
      <xdr:colOff>406800</xdr:colOff>
      <xdr:row>17</xdr:row>
      <xdr:rowOff>21960</xdr:rowOff>
    </xdr:to>
    <xdr:pic>
      <xdr:nvPicPr>
        <xdr:cNvPr id="2" name="Picture 3" descr=""/>
        <xdr:cNvPicPr/>
      </xdr:nvPicPr>
      <xdr:blipFill>
        <a:blip r:embed="rId1"/>
        <a:stretch/>
      </xdr:blipFill>
      <xdr:spPr>
        <a:xfrm>
          <a:off x="866520" y="1898640"/>
          <a:ext cx="8166600" cy="1761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95400</xdr:colOff>
      <xdr:row>7</xdr:row>
      <xdr:rowOff>136080</xdr:rowOff>
    </xdr:from>
    <xdr:to>
      <xdr:col>18</xdr:col>
      <xdr:colOff>104400</xdr:colOff>
      <xdr:row>17</xdr:row>
      <xdr:rowOff>5760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1011600" y="1821960"/>
          <a:ext cx="7921080" cy="1822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470520</xdr:colOff>
      <xdr:row>7</xdr:row>
      <xdr:rowOff>156960</xdr:rowOff>
    </xdr:from>
    <xdr:to>
      <xdr:col>17</xdr:col>
      <xdr:colOff>446040</xdr:colOff>
      <xdr:row>16</xdr:row>
      <xdr:rowOff>111600</xdr:rowOff>
    </xdr:to>
    <xdr:pic>
      <xdr:nvPicPr>
        <xdr:cNvPr id="4" name="Picture 3" descr=""/>
        <xdr:cNvPicPr/>
      </xdr:nvPicPr>
      <xdr:blipFill>
        <a:blip r:embed="rId1"/>
        <a:stretch/>
      </xdr:blipFill>
      <xdr:spPr>
        <a:xfrm>
          <a:off x="923400" y="1842840"/>
          <a:ext cx="7808760" cy="1716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380880</xdr:colOff>
      <xdr:row>7</xdr:row>
      <xdr:rowOff>134640</xdr:rowOff>
    </xdr:from>
    <xdr:to>
      <xdr:col>18</xdr:col>
      <xdr:colOff>19440</xdr:colOff>
      <xdr:row>17</xdr:row>
      <xdr:rowOff>47520</xdr:rowOff>
    </xdr:to>
    <xdr:pic>
      <xdr:nvPicPr>
        <xdr:cNvPr id="5" name="Picture 2" descr=""/>
        <xdr:cNvPicPr/>
      </xdr:nvPicPr>
      <xdr:blipFill>
        <a:blip r:embed="rId1"/>
        <a:stretch/>
      </xdr:blipFill>
      <xdr:spPr>
        <a:xfrm>
          <a:off x="833760" y="1820520"/>
          <a:ext cx="8236800" cy="1865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11160</xdr:colOff>
      <xdr:row>7</xdr:row>
      <xdr:rowOff>145800</xdr:rowOff>
    </xdr:from>
    <xdr:to>
      <xdr:col>17</xdr:col>
      <xdr:colOff>596160</xdr:colOff>
      <xdr:row>16</xdr:row>
      <xdr:rowOff>183240</xdr:rowOff>
    </xdr:to>
    <xdr:pic>
      <xdr:nvPicPr>
        <xdr:cNvPr id="6" name="Picture 2" descr=""/>
        <xdr:cNvPicPr/>
      </xdr:nvPicPr>
      <xdr:blipFill>
        <a:blip r:embed="rId1"/>
        <a:stretch/>
      </xdr:blipFill>
      <xdr:spPr>
        <a:xfrm>
          <a:off x="977760" y="1831680"/>
          <a:ext cx="8305920" cy="1799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13680</xdr:colOff>
      <xdr:row>7</xdr:row>
      <xdr:rowOff>176760</xdr:rowOff>
    </xdr:from>
    <xdr:to>
      <xdr:col>17</xdr:col>
      <xdr:colOff>642600</xdr:colOff>
      <xdr:row>17</xdr:row>
      <xdr:rowOff>166680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980280" y="1862640"/>
          <a:ext cx="8349840" cy="1942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13680</xdr:colOff>
      <xdr:row>7</xdr:row>
      <xdr:rowOff>176760</xdr:rowOff>
    </xdr:from>
    <xdr:to>
      <xdr:col>17</xdr:col>
      <xdr:colOff>642600</xdr:colOff>
      <xdr:row>17</xdr:row>
      <xdr:rowOff>166680</xdr:rowOff>
    </xdr:to>
    <xdr:pic>
      <xdr:nvPicPr>
        <xdr:cNvPr id="8" name="Picture 2" descr=""/>
        <xdr:cNvPicPr/>
      </xdr:nvPicPr>
      <xdr:blipFill>
        <a:blip r:embed="rId1"/>
        <a:stretch/>
      </xdr:blipFill>
      <xdr:spPr>
        <a:xfrm>
          <a:off x="980280" y="1862640"/>
          <a:ext cx="8349840" cy="19425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4%20%C4%91o%E1%BA%A1n%20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4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57</v>
          </cell>
          <cell r="B3" t="str">
            <v xml:space="preserve">Kiểm tra cao độ đường đen đoạn từ Km0+672,28 -:- Km0+746,82</v>
          </cell>
          <cell r="D3" t="str">
            <v xml:space="preserve">ngày 12 tháng 09 năm 2026</v>
          </cell>
          <cell r="G3" t="str">
            <v xml:space="preserve">57.NĐXD4/CVXD </v>
          </cell>
        </row>
        <row r="4">
          <cell r="A4">
            <v>58</v>
          </cell>
          <cell r="B4" t="str">
            <v xml:space="preserve">Đào đất xử lý nền đường đoạn từ Km0+672,28 - Km0+746,82</v>
          </cell>
          <cell r="D4" t="str">
            <v xml:space="preserve">ngày 13 tháng 09 năm 2026</v>
          </cell>
          <cell r="G4" t="str">
            <v xml:space="preserve">58.NĐXD4/CVXD </v>
          </cell>
        </row>
        <row r="5">
          <cell r="A5">
            <v>59</v>
          </cell>
          <cell r="B5" t="str">
            <v xml:space="preserve">Rải vải địa kỹ thuật đoạn từ Km0+672,28 - Km0+746,82</v>
          </cell>
          <cell r="D5" t="str">
            <v xml:space="preserve">ngày 14 tháng 09 năm 2026</v>
          </cell>
          <cell r="G5" t="str">
            <v xml:space="preserve">59.NĐXD4/CVXD </v>
          </cell>
        </row>
        <row r="6">
          <cell r="A6">
            <v>60</v>
          </cell>
          <cell r="B6" t="str">
            <v xml:space="preserve">Đắp cát nền đường lớp 1 đoạn từ Km0+672,28 - Km0+746,82, độ chặt K&gt;=0,95</v>
          </cell>
          <cell r="D6" t="str">
            <v xml:space="preserve">ngày 14 tháng 09 năm 2026</v>
          </cell>
          <cell r="G6" t="str">
            <v xml:space="preserve">60.NĐXD4/CVXD </v>
          </cell>
        </row>
        <row r="7">
          <cell r="A7">
            <v>61</v>
          </cell>
          <cell r="B7" t="str">
            <v xml:space="preserve">Đắp cát nền đường lớp 2 đoạn từ Km0+672,28 - Km0+746,82, độ chặt K&gt;=0,95</v>
          </cell>
          <cell r="D7" t="str">
            <v xml:space="preserve">ngày 15 tháng 09 năm 2026</v>
          </cell>
          <cell r="G7" t="str">
            <v xml:space="preserve">61.NĐXD4/CVXD </v>
          </cell>
        </row>
        <row r="8">
          <cell r="A8">
            <v>62</v>
          </cell>
          <cell r="B8" t="str">
            <v xml:space="preserve">Đắp cát nền đường lớp 3 đoạn từ Km0+672,28 - Km0+746,82, độ chặt K&gt;=0,95</v>
          </cell>
          <cell r="D8" t="str">
            <v xml:space="preserve">ngày 15 tháng 09 năm 2026</v>
          </cell>
          <cell r="G8" t="str">
            <v xml:space="preserve">62.NĐXD4/CVXD </v>
          </cell>
        </row>
        <row r="9">
          <cell r="A9">
            <v>63</v>
          </cell>
          <cell r="B9" t="str">
            <v xml:space="preserve">Đắp cát nền đường lớp 4 đoạn từ Km0+672,28 - Km0+746,82, độ chặt K&gt;=0,95</v>
          </cell>
          <cell r="D9" t="str">
            <v xml:space="preserve">ngày 16 tháng 09 năm 2026</v>
          </cell>
          <cell r="G9" t="str">
            <v xml:space="preserve">63.NĐXD4/CVXD </v>
          </cell>
        </row>
        <row r="10">
          <cell r="A10">
            <v>64</v>
          </cell>
          <cell r="B10" t="str">
            <v xml:space="preserve">Đắp đất nền đường lớp 1 đoạn từ Km0+672,28 - Km0+746,82, độ chặt K&gt;=0,95</v>
          </cell>
          <cell r="D10" t="str">
            <v xml:space="preserve">ngày 16 tháng 09 năm 2026</v>
          </cell>
          <cell r="G10" t="str">
            <v xml:space="preserve">64.NĐXD4/CVXD </v>
          </cell>
        </row>
        <row r="11">
          <cell r="A11">
            <v>65</v>
          </cell>
          <cell r="B11" t="str">
            <v xml:space="preserve">Đắp đất nền đường lớp 2 đoạn từ Km0+672,28 - Km0+746,82, độ chặt K&gt;=0,95</v>
          </cell>
          <cell r="D11" t="str">
            <v xml:space="preserve">ngày 17 tháng 09 năm 2026</v>
          </cell>
          <cell r="G11" t="str">
            <v xml:space="preserve">65.NĐXD4/CVXD </v>
          </cell>
        </row>
        <row r="12">
          <cell r="A12">
            <v>66</v>
          </cell>
          <cell r="B12" t="str">
            <v xml:space="preserve">Đắp đất nền đường lớp 3 đoạn từ Km0+672,28 - Km0+746,82, độ chặt K&gt;=0,95</v>
          </cell>
          <cell r="D12" t="str">
            <v xml:space="preserve">ngày 17 tháng 09 năm 2026</v>
          </cell>
          <cell r="G12" t="str">
            <v xml:space="preserve">66.NĐXD4/CVXD </v>
          </cell>
        </row>
        <row r="13">
          <cell r="A13">
            <v>67</v>
          </cell>
          <cell r="B13" t="str">
            <v xml:space="preserve">Đắp đất nền đường lớp 4 đoạn từ Km0+672,28 - Km0+746,82, độ chặt K&gt;=0,95</v>
          </cell>
          <cell r="D13" t="str">
            <v xml:space="preserve">ngày 18 tháng 09 năm 2026</v>
          </cell>
          <cell r="G13" t="str">
            <v xml:space="preserve">67.NĐXD4/CVXD </v>
          </cell>
        </row>
        <row r="14">
          <cell r="A14">
            <v>68</v>
          </cell>
          <cell r="B14" t="str">
            <v xml:space="preserve">Đắp đất nền đường lớp 5 đoạn từ Km0+672,28 - Km0+746,82, độ chặt K&gt;=0,95</v>
          </cell>
          <cell r="D14" t="str">
            <v xml:space="preserve">ngày 18 tháng 09 năm 2026</v>
          </cell>
          <cell r="G14" t="str">
            <v xml:space="preserve">68.NĐXD4/CVXD </v>
          </cell>
        </row>
        <row r="15">
          <cell r="A15">
            <v>69</v>
          </cell>
          <cell r="B15" t="str">
            <v xml:space="preserve">Đắp đất nền đường lớp 6 đoạn từ Km0+672,28 - Km0+746,82, độ chặt K&gt;=0,95</v>
          </cell>
          <cell r="D15" t="str">
            <v xml:space="preserve">ngày 19 tháng 09 năm 2026</v>
          </cell>
          <cell r="G15" t="str">
            <v xml:space="preserve">69.NĐXD4/CVXD </v>
          </cell>
        </row>
        <row r="16">
          <cell r="A16">
            <v>70</v>
          </cell>
          <cell r="B16" t="str">
            <v xml:space="preserve">Đắp đất nền đường lớp 7 đoạn từ Km0+672,28 - Km0+746,82, độ chặt K&gt;=0,95</v>
          </cell>
          <cell r="D16" t="str">
            <v xml:space="preserve">ngày 19 tháng 09 năm 2026</v>
          </cell>
          <cell r="G16" t="str">
            <v xml:space="preserve">70.NĐXD4/CVXD </v>
          </cell>
        </row>
        <row r="17">
          <cell r="A17">
            <v>71</v>
          </cell>
          <cell r="B17" t="str">
            <v xml:space="preserve">Đắp đất nền đường lớp 8 đoạn từ Km0+672,28 - Km0+746,82, độ chặt K&gt;=0,95</v>
          </cell>
          <cell r="D17" t="str">
            <v xml:space="preserve">ngày 20 tháng 09 năm 2026</v>
          </cell>
          <cell r="G17" t="str">
            <v xml:space="preserve">71.NĐXD4/CVXD </v>
          </cell>
        </row>
        <row r="18">
          <cell r="A18">
            <v>72</v>
          </cell>
          <cell r="B18" t="str">
            <v xml:space="preserve">Đắp đất nền đường lớp 9 đoạn từ Km0+672,28 - Km0+746,82, độ chặt K&gt;=0,95</v>
          </cell>
          <cell r="D18" t="str">
            <v xml:space="preserve">ngày 20 tháng 09 năm 2026</v>
          </cell>
          <cell r="G18" t="str">
            <v xml:space="preserve">72.NĐXD4/CVXD </v>
          </cell>
        </row>
        <row r="19">
          <cell r="A19">
            <v>73</v>
          </cell>
          <cell r="B19" t="str">
            <v xml:space="preserve">Đắp đất nền đường lớp 1, độ chặt K&gt;=0,98 đoạn từ Km0+672,28 - Km0+746,82</v>
          </cell>
          <cell r="D19" t="str">
            <v xml:space="preserve">ngày 21 tháng 09 năm 2026</v>
          </cell>
          <cell r="G19" t="str">
            <v xml:space="preserve">73.NĐXD4/CVXD </v>
          </cell>
        </row>
        <row r="20">
          <cell r="A20">
            <v>74</v>
          </cell>
          <cell r="B20" t="str">
            <v xml:space="preserve">Đắp đất lề đường lớp 1, độ chặt K&gt;=0,95 đoạn từ Km0+672,28 - Km0+746,82</v>
          </cell>
          <cell r="D20" t="str">
            <v xml:space="preserve">ngày 21 tháng 09 năm 2026</v>
          </cell>
          <cell r="G20" t="str">
            <v xml:space="preserve">74.NĐXD4/CVXD </v>
          </cell>
        </row>
        <row r="21">
          <cell r="A21">
            <v>75</v>
          </cell>
          <cell r="B21" t="str">
            <v xml:space="preserve">Đắp đất nền đường lớp 2, độ chặt K&gt;=0,98 đoạn từ Km0+672,28 - Km0+746,82</v>
          </cell>
          <cell r="D21" t="str">
            <v xml:space="preserve">ngày 22 tháng 09 năm 2026</v>
          </cell>
          <cell r="G21" t="str">
            <v xml:space="preserve">75.NĐXD4/CVXD </v>
          </cell>
        </row>
        <row r="22">
          <cell r="A22">
            <v>76</v>
          </cell>
          <cell r="B22" t="str">
            <v xml:space="preserve">Đắp đất lề đường lớp 2, độ chặt K&gt;=0,95 đoạn từ Km0+672,28 - Km0+746,82</v>
          </cell>
          <cell r="D22" t="str">
            <v xml:space="preserve">ngày 22 tháng 09 năm 2026</v>
          </cell>
          <cell r="G22" t="str">
            <v xml:space="preserve">76.NĐXD4/CVXD </v>
          </cell>
        </row>
        <row r="23">
          <cell r="A23">
            <v>77</v>
          </cell>
          <cell r="B23" t="str">
            <v xml:space="preserve">Đắp cấp phối đá dăm loại 2 đoạn từ Km0+672,28 - Km0+746,82</v>
          </cell>
          <cell r="D23" t="str">
            <v xml:space="preserve">ngày 23 tháng 09 năm 2026</v>
          </cell>
          <cell r="G23" t="str">
            <v xml:space="preserve">77.NĐXD4/CVXD </v>
          </cell>
        </row>
        <row r="24">
          <cell r="A24">
            <v>78</v>
          </cell>
          <cell r="B24" t="str">
            <v xml:space="preserve">Đắp đất lề đường lớp 3, độ chặt K&gt;=0,95 đoạn từ Km0+672,28 - Km0+746,82</v>
          </cell>
          <cell r="D24" t="str">
            <v xml:space="preserve">ngày 23 tháng 09 năm 2026</v>
          </cell>
          <cell r="G24" t="str">
            <v xml:space="preserve">78.NĐXD4/CVXD </v>
          </cell>
        </row>
        <row r="25">
          <cell r="A25">
            <v>79</v>
          </cell>
          <cell r="B25" t="str">
            <v xml:space="preserve">Đắp đất lề đường lớp 4, độ chặt K&gt;=0,95 đoạn từ Km0+672,28 - Km0+746,82</v>
          </cell>
          <cell r="D25" t="str">
            <v xml:space="preserve">ngày 24 tháng 09 năm 2026</v>
          </cell>
          <cell r="G25" t="str">
            <v xml:space="preserve">79.NĐXD4/CVXD </v>
          </cell>
        </row>
        <row r="26">
          <cell r="A26">
            <v>80</v>
          </cell>
          <cell r="B26" t="str">
            <v xml:space="preserve">Đắp cấp phối đá dăm loại 1 đoạn từ Km0+672,28 - Km0+746,82</v>
          </cell>
          <cell r="D26" t="str">
            <v xml:space="preserve">ngày 24 tháng 09 năm 2026</v>
          </cell>
          <cell r="G26" t="str">
            <v xml:space="preserve">80.NĐXD4/CVXD </v>
          </cell>
        </row>
        <row r="27">
          <cell r="A27">
            <v>81</v>
          </cell>
          <cell r="B27" t="str">
            <v xml:space="preserve">Vệ sinh, thổi bụi mặt đường </v>
          </cell>
          <cell r="D27" t="str">
            <v xml:space="preserve">ngày 26 tháng 09 năm 2026</v>
          </cell>
          <cell r="G27" t="str">
            <v xml:space="preserve">81.NĐXD4/CVXD </v>
          </cell>
        </row>
        <row r="28">
          <cell r="A28">
            <v>82</v>
          </cell>
          <cell r="B28" t="str">
            <v xml:space="preserve">Tưới lớp thấm bám mặt đường, nhựa MC70, lượng nhựa 1kg/m2</v>
          </cell>
          <cell r="D28" t="str">
            <v xml:space="preserve">ngày 28 tháng 09 năm 2026</v>
          </cell>
          <cell r="G28" t="str">
            <v xml:space="preserve">82.NĐXD4/CVXD </v>
          </cell>
        </row>
        <row r="29">
          <cell r="A29">
            <v>83</v>
          </cell>
          <cell r="B29" t="str">
            <v xml:space="preserve">Rải thảm mặt đường bê tông nhựa C16 - Chiều dày mặt đường đã lèn ép 6cm</v>
          </cell>
          <cell r="D29" t="str">
            <v xml:space="preserve">ngày 01 tháng 10 năm 2026</v>
          </cell>
          <cell r="G29" t="str">
            <v xml:space="preserve">83.NĐXD4/CVXD </v>
          </cell>
        </row>
        <row r="30">
          <cell r="A30">
            <v>84</v>
          </cell>
          <cell r="B30" t="str">
            <v xml:space="preserve">Bê tông nhựa C16 - Chiều dày mặt đường đã lèn ép 6cm</v>
          </cell>
          <cell r="D30" t="str">
            <v xml:space="preserve">ngày 03 tháng 10 năm 2026</v>
          </cell>
          <cell r="G30" t="str">
            <v xml:space="preserve">84.NĐXD4/CVXD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5"/>
  <sheetViews>
    <sheetView showFormulas="false" showGridLines="true" showRowColHeaders="true" showZeros="true" rightToLeft="false" tabSelected="false" showOutlineSymbols="true" defaultGridColor="true" view="normal" topLeftCell="B216" colorId="64" zoomScale="100" zoomScaleNormal="100" zoomScalePageLayoutView="100" workbookViewId="0">
      <selection pane="topLeft" activeCell="T228" activeCellId="0" sqref="T228"/>
    </sheetView>
  </sheetViews>
  <sheetFormatPr defaultColWidth="7.00390625" defaultRowHeight="15" zeroHeight="false" outlineLevelRow="0" outlineLevelCol="0"/>
  <cols>
    <col collapsed="false" customWidth="true" hidden="true" outlineLevel="0" max="1" min="1" style="1" width="13"/>
    <col collapsed="false" customWidth="false" hidden="false" outlineLevel="0" max="2" min="2" style="2" width="7"/>
    <col collapsed="false" customWidth="false" hidden="false" outlineLevel="0" max="7" min="7" style="2" width="7"/>
    <col collapsed="false" customWidth="true" hidden="true" outlineLevel="0" max="9" min="8" style="1" width="13"/>
    <col collapsed="false" customWidth="false" hidden="false" outlineLevel="0" max="11" min="11" style="2" width="7"/>
    <col collapsed="false" customWidth="false" hidden="false" outlineLevel="0" max="13" min="13" style="2" width="7"/>
    <col collapsed="false" customWidth="false" hidden="false" outlineLevel="0" max="15" min="14" style="1" width="7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2" t="s">
        <v>17</v>
      </c>
      <c r="C2" s="0" t="n">
        <v>672.28</v>
      </c>
      <c r="D2" s="0" t="n">
        <v>9</v>
      </c>
      <c r="E2" s="0" t="n">
        <v>7.31</v>
      </c>
      <c r="F2" s="0" t="n">
        <v>-11.95</v>
      </c>
      <c r="G2" s="2" t="n">
        <v>1.94</v>
      </c>
      <c r="H2" s="1" t="n">
        <v>-5.25</v>
      </c>
      <c r="I2" s="1" t="n">
        <v>1.94</v>
      </c>
      <c r="J2" s="0" t="n">
        <v>0</v>
      </c>
      <c r="K2" s="2" t="n">
        <v>2.06</v>
      </c>
      <c r="L2" s="0" t="n">
        <v>5.25</v>
      </c>
      <c r="M2" s="2" t="n">
        <v>1.94</v>
      </c>
      <c r="N2" s="1" t="n">
        <v>11.95</v>
      </c>
      <c r="O2" s="1" t="n">
        <v>1.94</v>
      </c>
      <c r="P2" s="0" t="n">
        <v>76.02</v>
      </c>
      <c r="Q2" s="0" t="n">
        <v>11.55</v>
      </c>
    </row>
    <row r="3" customFormat="false" ht="15" hidden="false" customHeight="false" outlineLevel="0" collapsed="false">
      <c r="D3" s="0" t="n">
        <v>8</v>
      </c>
      <c r="E3" s="0" t="n">
        <v>7.39</v>
      </c>
      <c r="F3" s="0" t="n">
        <v>-12.4</v>
      </c>
      <c r="G3" s="2" t="n">
        <v>1.64</v>
      </c>
      <c r="H3" s="1" t="n">
        <v>-5.25</v>
      </c>
      <c r="I3" s="1" t="n">
        <v>1.64</v>
      </c>
      <c r="J3" s="0" t="n">
        <v>0</v>
      </c>
      <c r="K3" s="2" t="n">
        <v>1.76</v>
      </c>
      <c r="L3" s="0" t="n">
        <v>5.25</v>
      </c>
      <c r="M3" s="2" t="n">
        <v>1.64</v>
      </c>
      <c r="N3" s="1" t="n">
        <v>12.4</v>
      </c>
      <c r="O3" s="1" t="n">
        <v>1.64</v>
      </c>
    </row>
    <row r="4" customFormat="false" ht="15" hidden="false" customHeight="false" outlineLevel="0" collapsed="false">
      <c r="D4" s="0" t="n">
        <v>7</v>
      </c>
      <c r="E4" s="0" t="n">
        <v>7.4</v>
      </c>
      <c r="F4" s="0" t="n">
        <v>-11.74</v>
      </c>
      <c r="G4" s="2" t="n">
        <v>1.34</v>
      </c>
      <c r="H4" s="1" t="n">
        <v>-5.25</v>
      </c>
      <c r="I4" s="1" t="n">
        <v>1.34</v>
      </c>
      <c r="J4" s="0" t="n">
        <v>0</v>
      </c>
      <c r="K4" s="2" t="n">
        <v>1.46</v>
      </c>
      <c r="L4" s="0" t="n">
        <v>5.25</v>
      </c>
      <c r="M4" s="2" t="n">
        <v>1.34</v>
      </c>
      <c r="N4" s="1" t="n">
        <v>12.85</v>
      </c>
      <c r="O4" s="1" t="n">
        <v>1.34</v>
      </c>
    </row>
    <row r="5" customFormat="false" ht="15" hidden="false" customHeight="false" outlineLevel="0" collapsed="false">
      <c r="D5" s="0" t="n">
        <v>6</v>
      </c>
      <c r="E5" s="0" t="n">
        <v>7.44</v>
      </c>
      <c r="F5" s="0" t="n">
        <v>-11.44</v>
      </c>
      <c r="G5" s="2" t="n">
        <v>1.04</v>
      </c>
      <c r="H5" s="1" t="n">
        <v>-5.25</v>
      </c>
      <c r="I5" s="1" t="n">
        <v>1.04</v>
      </c>
      <c r="J5" s="0" t="n">
        <v>0</v>
      </c>
      <c r="K5" s="2" t="n">
        <v>1.16</v>
      </c>
      <c r="L5" s="0" t="n">
        <v>5.25</v>
      </c>
      <c r="M5" s="2" t="n">
        <v>1.04</v>
      </c>
      <c r="N5" s="1" t="n">
        <v>13.3</v>
      </c>
      <c r="O5" s="1" t="n">
        <v>1.04</v>
      </c>
    </row>
    <row r="6" customFormat="false" ht="15" hidden="false" customHeight="false" outlineLevel="0" collapsed="false">
      <c r="D6" s="0" t="n">
        <v>5</v>
      </c>
      <c r="E6" s="0" t="n">
        <v>7.49</v>
      </c>
      <c r="F6" s="0" t="n">
        <v>-11.14</v>
      </c>
      <c r="G6" s="2" t="n">
        <v>0.74</v>
      </c>
      <c r="H6" s="1" t="n">
        <v>-5.25</v>
      </c>
      <c r="I6" s="1" t="n">
        <v>0.74</v>
      </c>
      <c r="J6" s="0" t="n">
        <v>0</v>
      </c>
      <c r="K6" s="2" t="n">
        <v>0.86</v>
      </c>
      <c r="L6" s="0" t="n">
        <v>5.25</v>
      </c>
      <c r="M6" s="2" t="n">
        <v>0.74</v>
      </c>
      <c r="N6" s="1" t="n">
        <v>13.75</v>
      </c>
      <c r="O6" s="1" t="n">
        <v>0.74</v>
      </c>
    </row>
    <row r="7" customFormat="false" ht="15" hidden="false" customHeight="false" outlineLevel="0" collapsed="false">
      <c r="D7" s="0" t="n">
        <v>4</v>
      </c>
      <c r="E7" s="0" t="n">
        <v>7.53</v>
      </c>
      <c r="F7" s="0" t="n">
        <v>-10.84</v>
      </c>
      <c r="G7" s="2" t="n">
        <v>0.44</v>
      </c>
      <c r="H7" s="1" t="n">
        <v>-5.25</v>
      </c>
      <c r="I7" s="1" t="n">
        <v>0.44</v>
      </c>
      <c r="J7" s="0" t="n">
        <v>0</v>
      </c>
      <c r="K7" s="2" t="n">
        <v>0.56</v>
      </c>
      <c r="L7" s="0" t="n">
        <v>5.25</v>
      </c>
      <c r="M7" s="2" t="n">
        <v>0.44</v>
      </c>
      <c r="N7" s="1" t="n">
        <v>14.2</v>
      </c>
      <c r="O7" s="1" t="n">
        <v>0.44</v>
      </c>
    </row>
    <row r="8" customFormat="false" ht="15" hidden="false" customHeight="false" outlineLevel="0" collapsed="false">
      <c r="D8" s="0" t="n">
        <v>3</v>
      </c>
      <c r="E8" s="0" t="n">
        <v>7.58</v>
      </c>
      <c r="F8" s="0" t="n">
        <v>-10.54</v>
      </c>
      <c r="G8" s="2" t="n">
        <v>0.14</v>
      </c>
      <c r="H8" s="1" t="n">
        <v>-5.25</v>
      </c>
      <c r="I8" s="1" t="n">
        <v>0.14</v>
      </c>
      <c r="J8" s="0" t="n">
        <v>0</v>
      </c>
      <c r="K8" s="2" t="n">
        <v>0.26</v>
      </c>
      <c r="L8" s="0" t="n">
        <v>5.25</v>
      </c>
      <c r="M8" s="2" t="n">
        <v>0.14</v>
      </c>
      <c r="N8" s="1" t="n">
        <v>14.65</v>
      </c>
      <c r="O8" s="1" t="n">
        <v>0.14</v>
      </c>
    </row>
    <row r="9" customFormat="false" ht="15" hidden="false" customHeight="false" outlineLevel="0" collapsed="false">
      <c r="D9" s="0" t="n">
        <v>2</v>
      </c>
      <c r="E9" s="0" t="n">
        <v>7.62</v>
      </c>
      <c r="F9" s="0" t="n">
        <v>-10.24</v>
      </c>
      <c r="G9" s="2" t="n">
        <v>-0.16</v>
      </c>
      <c r="H9" s="1" t="n">
        <v>-5.25</v>
      </c>
      <c r="I9" s="1" t="n">
        <v>-0.16</v>
      </c>
      <c r="J9" s="0" t="n">
        <v>0</v>
      </c>
      <c r="K9" s="2" t="n">
        <v>-0.04</v>
      </c>
      <c r="L9" s="0" t="n">
        <v>5.25</v>
      </c>
      <c r="M9" s="2" t="n">
        <v>-0.16</v>
      </c>
      <c r="N9" s="1" t="n">
        <v>15.1</v>
      </c>
      <c r="O9" s="1" t="n">
        <v>-0.16</v>
      </c>
    </row>
    <row r="10" customFormat="false" ht="15" hidden="false" customHeight="false" outlineLevel="0" collapsed="false">
      <c r="D10" s="0" t="n">
        <v>1</v>
      </c>
      <c r="E10" s="0" t="n">
        <v>4.71</v>
      </c>
      <c r="F10" s="0" t="n">
        <v>-9.94</v>
      </c>
      <c r="G10" s="2" t="n">
        <v>-0.46</v>
      </c>
      <c r="H10" s="1" t="n">
        <v>-5.25</v>
      </c>
      <c r="I10" s="1" t="n">
        <v>-0.46</v>
      </c>
      <c r="J10" s="0" t="n">
        <v>0</v>
      </c>
      <c r="K10" s="2" t="n">
        <v>-0.34</v>
      </c>
      <c r="L10" s="0" t="n">
        <v>5.25</v>
      </c>
      <c r="M10" s="2" t="n">
        <v>-0.46</v>
      </c>
      <c r="N10" s="1" t="n">
        <v>15.55</v>
      </c>
      <c r="O10" s="1" t="n">
        <v>-0.46</v>
      </c>
    </row>
    <row r="11" customFormat="false" ht="15" hidden="false" customHeight="false" outlineLevel="0" collapsed="false">
      <c r="A11" s="1" t="n">
        <v>2</v>
      </c>
      <c r="B11" s="2" t="s">
        <v>18</v>
      </c>
      <c r="C11" s="0" t="n">
        <v>689.28</v>
      </c>
      <c r="D11" s="0" t="n">
        <v>9</v>
      </c>
      <c r="E11" s="0" t="n">
        <v>7.31</v>
      </c>
      <c r="F11" s="0" t="n">
        <v>-11.95</v>
      </c>
      <c r="G11" s="2" t="n">
        <v>1.94</v>
      </c>
      <c r="H11" s="1" t="n">
        <v>-5.25</v>
      </c>
      <c r="I11" s="1" t="n">
        <v>1.94</v>
      </c>
      <c r="J11" s="0" t="n">
        <v>0</v>
      </c>
      <c r="K11" s="2" t="n">
        <v>2.06</v>
      </c>
      <c r="L11" s="0" t="n">
        <v>5.25</v>
      </c>
      <c r="M11" s="2" t="n">
        <v>1.94</v>
      </c>
      <c r="N11" s="1" t="n">
        <v>11.95</v>
      </c>
      <c r="O11" s="1" t="n">
        <v>1.94</v>
      </c>
      <c r="P11" s="0" t="n">
        <v>69.55</v>
      </c>
      <c r="Q11" s="0" t="n">
        <v>11.55</v>
      </c>
    </row>
    <row r="12" customFormat="false" ht="15" hidden="false" customHeight="false" outlineLevel="0" collapsed="false">
      <c r="D12" s="0" t="n">
        <v>8</v>
      </c>
      <c r="E12" s="0" t="n">
        <v>7.49</v>
      </c>
      <c r="F12" s="0" t="n">
        <v>-12.4</v>
      </c>
      <c r="G12" s="2" t="n">
        <v>1.64</v>
      </c>
      <c r="H12" s="1" t="n">
        <v>-5.25</v>
      </c>
      <c r="I12" s="1" t="n">
        <v>1.64</v>
      </c>
      <c r="J12" s="0" t="n">
        <v>0</v>
      </c>
      <c r="K12" s="2" t="n">
        <v>1.76</v>
      </c>
      <c r="L12" s="0" t="n">
        <v>5.25</v>
      </c>
      <c r="M12" s="2" t="n">
        <v>1.64</v>
      </c>
      <c r="N12" s="1" t="n">
        <v>12.4</v>
      </c>
      <c r="O12" s="1" t="n">
        <v>1.64</v>
      </c>
    </row>
    <row r="13" customFormat="false" ht="15" hidden="false" customHeight="false" outlineLevel="0" collapsed="false">
      <c r="D13" s="0" t="n">
        <v>7</v>
      </c>
      <c r="E13" s="0" t="n">
        <v>7.55</v>
      </c>
      <c r="F13" s="0" t="n">
        <v>-12.23</v>
      </c>
      <c r="G13" s="2" t="n">
        <v>1.34</v>
      </c>
      <c r="H13" s="1" t="n">
        <v>-5.25</v>
      </c>
      <c r="I13" s="1" t="n">
        <v>1.34</v>
      </c>
      <c r="J13" s="0" t="n">
        <v>0</v>
      </c>
      <c r="K13" s="2" t="n">
        <v>1.46</v>
      </c>
      <c r="L13" s="0" t="n">
        <v>5.25</v>
      </c>
      <c r="M13" s="2" t="n">
        <v>1.34</v>
      </c>
      <c r="N13" s="1" t="n">
        <v>12.85</v>
      </c>
      <c r="O13" s="1" t="n">
        <v>1.34</v>
      </c>
    </row>
    <row r="14" customFormat="false" ht="15" hidden="false" customHeight="false" outlineLevel="0" collapsed="false">
      <c r="D14" s="0" t="n">
        <v>6</v>
      </c>
      <c r="E14" s="0" t="n">
        <v>7.61</v>
      </c>
      <c r="F14" s="0" t="n">
        <v>-11.97</v>
      </c>
      <c r="G14" s="2" t="n">
        <v>1.04</v>
      </c>
      <c r="H14" s="1" t="n">
        <v>-5.25</v>
      </c>
      <c r="I14" s="1" t="n">
        <v>1.04</v>
      </c>
      <c r="J14" s="0" t="n">
        <v>0</v>
      </c>
      <c r="K14" s="2" t="n">
        <v>1.16</v>
      </c>
      <c r="L14" s="0" t="n">
        <v>5.25</v>
      </c>
      <c r="M14" s="2" t="n">
        <v>1.04</v>
      </c>
      <c r="N14" s="1" t="n">
        <v>13.3</v>
      </c>
      <c r="O14" s="1" t="n">
        <v>1.04</v>
      </c>
    </row>
    <row r="15" customFormat="false" ht="15" hidden="false" customHeight="false" outlineLevel="0" collapsed="false">
      <c r="D15" s="0" t="n">
        <v>5</v>
      </c>
      <c r="E15" s="0" t="n">
        <v>7.54</v>
      </c>
      <c r="F15" s="0" t="n">
        <v>-11.71</v>
      </c>
      <c r="G15" s="2" t="n">
        <v>0.74</v>
      </c>
      <c r="H15" s="1" t="n">
        <v>-5.25</v>
      </c>
      <c r="I15" s="1" t="n">
        <v>0.74</v>
      </c>
      <c r="J15" s="0" t="n">
        <v>0</v>
      </c>
      <c r="K15" s="2" t="n">
        <v>0.86</v>
      </c>
      <c r="L15" s="0" t="n">
        <v>5.25</v>
      </c>
      <c r="M15" s="2" t="n">
        <v>0.74</v>
      </c>
      <c r="N15" s="1" t="n">
        <v>13.75</v>
      </c>
      <c r="O15" s="1" t="n">
        <v>0.74</v>
      </c>
    </row>
    <row r="16" customFormat="false" ht="15" hidden="false" customHeight="false" outlineLevel="0" collapsed="false">
      <c r="D16" s="0" t="n">
        <v>4</v>
      </c>
      <c r="E16" s="0" t="n">
        <v>6.07</v>
      </c>
      <c r="F16" s="0" t="n">
        <v>-11.46</v>
      </c>
      <c r="G16" s="2" t="n">
        <v>0.44</v>
      </c>
      <c r="H16" s="1" t="n">
        <v>-5.25</v>
      </c>
      <c r="I16" s="1" t="n">
        <v>0.44</v>
      </c>
      <c r="J16" s="0" t="n">
        <v>0</v>
      </c>
      <c r="K16" s="2" t="n">
        <v>0.56</v>
      </c>
      <c r="L16" s="0" t="n">
        <v>5.25</v>
      </c>
      <c r="M16" s="2" t="n">
        <v>0.44</v>
      </c>
      <c r="N16" s="1" t="n">
        <v>9.34</v>
      </c>
      <c r="O16" s="1" t="n">
        <v>0.44</v>
      </c>
    </row>
    <row r="17" customFormat="false" ht="15" hidden="false" customHeight="false" outlineLevel="0" collapsed="false">
      <c r="D17" s="0" t="n">
        <v>3</v>
      </c>
      <c r="E17" s="0" t="n">
        <v>5.56</v>
      </c>
      <c r="F17" s="0" t="n">
        <v>-9.8</v>
      </c>
      <c r="G17" s="2" t="n">
        <v>0.14</v>
      </c>
      <c r="H17" s="1" t="n">
        <v>-5.25</v>
      </c>
      <c r="I17" s="1" t="n">
        <v>0.14</v>
      </c>
      <c r="J17" s="0" t="n">
        <v>0</v>
      </c>
      <c r="K17" s="2" t="n">
        <v>0.26</v>
      </c>
      <c r="L17" s="0" t="n">
        <v>5.25</v>
      </c>
      <c r="M17" s="2" t="n">
        <v>0.14</v>
      </c>
      <c r="N17" s="1" t="n">
        <v>9.04</v>
      </c>
      <c r="O17" s="1" t="n">
        <v>0.14</v>
      </c>
    </row>
    <row r="18" customFormat="false" ht="15" hidden="false" customHeight="false" outlineLevel="0" collapsed="false">
      <c r="D18" s="0" t="n">
        <v>2</v>
      </c>
      <c r="E18" s="0" t="n">
        <v>5.38</v>
      </c>
      <c r="F18" s="0" t="n">
        <v>-9.5</v>
      </c>
      <c r="G18" s="2" t="n">
        <v>-0.16</v>
      </c>
      <c r="H18" s="1" t="n">
        <v>-5.25</v>
      </c>
      <c r="I18" s="1" t="n">
        <v>-0.16</v>
      </c>
      <c r="J18" s="0" t="n">
        <v>0</v>
      </c>
      <c r="K18" s="2" t="n">
        <v>-0.04</v>
      </c>
      <c r="L18" s="0" t="n">
        <v>5.25</v>
      </c>
      <c r="M18" s="2" t="n">
        <v>-0.16</v>
      </c>
      <c r="N18" s="1" t="n">
        <v>8.74</v>
      </c>
      <c r="O18" s="1" t="n">
        <v>-0.16</v>
      </c>
    </row>
    <row r="19" customFormat="false" ht="15" hidden="false" customHeight="false" outlineLevel="0" collapsed="false">
      <c r="D19" s="0" t="n">
        <v>1</v>
      </c>
      <c r="E19" s="0" t="n">
        <v>3.49</v>
      </c>
      <c r="F19" s="0" t="n">
        <v>-9.2</v>
      </c>
      <c r="G19" s="2" t="n">
        <v>-0.46</v>
      </c>
      <c r="H19" s="1" t="n">
        <v>-5.25</v>
      </c>
      <c r="I19" s="1" t="n">
        <v>-0.46</v>
      </c>
      <c r="J19" s="0" t="n">
        <v>0</v>
      </c>
      <c r="K19" s="2" t="n">
        <v>-0.34</v>
      </c>
      <c r="L19" s="0" t="n">
        <v>5.25</v>
      </c>
      <c r="M19" s="2" t="n">
        <v>-0.46</v>
      </c>
      <c r="N19" s="1" t="n">
        <v>8.44</v>
      </c>
      <c r="O19" s="1" t="n">
        <v>-0.46</v>
      </c>
    </row>
    <row r="20" customFormat="false" ht="15" hidden="false" customHeight="false" outlineLevel="0" collapsed="false">
      <c r="A20" s="1" t="n">
        <v>3</v>
      </c>
      <c r="B20" s="2" t="s">
        <v>19</v>
      </c>
      <c r="C20" s="0" t="n">
        <v>701.03</v>
      </c>
      <c r="D20" s="0" t="n">
        <v>9</v>
      </c>
      <c r="E20" s="0" t="n">
        <v>3.42</v>
      </c>
      <c r="F20" s="0" t="n">
        <v>-11.95</v>
      </c>
      <c r="G20" s="2" t="n">
        <v>1.94</v>
      </c>
      <c r="H20" s="1" t="n">
        <v>-5.25</v>
      </c>
      <c r="I20" s="1" t="n">
        <v>1.94</v>
      </c>
      <c r="J20" s="0" t="n">
        <v>0</v>
      </c>
      <c r="K20" s="2" t="n">
        <v>2.06</v>
      </c>
      <c r="L20" s="0" t="n">
        <v>5.25</v>
      </c>
      <c r="M20" s="2" t="n">
        <v>1.94</v>
      </c>
      <c r="N20" s="1" t="n">
        <v>-0.67</v>
      </c>
      <c r="O20" s="1" t="n">
        <v>2.05</v>
      </c>
      <c r="P20" s="0" t="n">
        <v>24.34</v>
      </c>
      <c r="Q20" s="0" t="n">
        <v>6.4</v>
      </c>
    </row>
    <row r="21" customFormat="false" ht="15" hidden="false" customHeight="false" outlineLevel="0" collapsed="false">
      <c r="D21" s="0" t="n">
        <v>8</v>
      </c>
      <c r="E21" s="0" t="n">
        <v>3.36</v>
      </c>
      <c r="F21" s="0" t="n">
        <v>-12.35</v>
      </c>
      <c r="G21" s="2" t="n">
        <v>1.64</v>
      </c>
      <c r="H21" s="1" t="n">
        <v>-5.25</v>
      </c>
      <c r="I21" s="1" t="n">
        <v>1.64</v>
      </c>
      <c r="J21" s="0" t="n">
        <v>0</v>
      </c>
      <c r="K21" s="2" t="n">
        <v>1.76</v>
      </c>
      <c r="L21" s="0" t="n">
        <v>5.25</v>
      </c>
      <c r="M21" s="2" t="n">
        <v>1.64</v>
      </c>
      <c r="N21" s="1" t="n">
        <v>-0.9</v>
      </c>
      <c r="O21" s="1" t="n">
        <v>1.74</v>
      </c>
    </row>
    <row r="22" customFormat="false" ht="15" hidden="false" customHeight="false" outlineLevel="0" collapsed="false">
      <c r="D22" s="0" t="n">
        <v>7</v>
      </c>
      <c r="E22" s="0" t="n">
        <v>3.2</v>
      </c>
      <c r="F22" s="0" t="n">
        <v>-12.07</v>
      </c>
      <c r="G22" s="2" t="n">
        <v>1.34</v>
      </c>
      <c r="H22" s="1" t="n">
        <v>-5.25</v>
      </c>
      <c r="I22" s="1" t="n">
        <v>1.34</v>
      </c>
      <c r="J22" s="0" t="n">
        <v>0</v>
      </c>
      <c r="K22" s="2" t="n">
        <v>1.46</v>
      </c>
      <c r="L22" s="0" t="n">
        <v>5.25</v>
      </c>
      <c r="M22" s="2" t="n">
        <v>1.34</v>
      </c>
      <c r="N22" s="1" t="n">
        <v>-1.14</v>
      </c>
      <c r="O22" s="1" t="n">
        <v>1.44</v>
      </c>
    </row>
    <row r="23" customFormat="false" ht="15" hidden="false" customHeight="false" outlineLevel="0" collapsed="false">
      <c r="D23" s="0" t="n">
        <v>6</v>
      </c>
      <c r="E23" s="0" t="n">
        <v>3.05</v>
      </c>
      <c r="F23" s="0" t="n">
        <v>-11.8</v>
      </c>
      <c r="G23" s="2" t="n">
        <v>1.04</v>
      </c>
      <c r="H23" s="1" t="n">
        <v>-5.25</v>
      </c>
      <c r="I23" s="1" t="n">
        <v>1.04</v>
      </c>
      <c r="J23" s="0" t="n">
        <v>0</v>
      </c>
      <c r="K23" s="2" t="n">
        <v>1.16</v>
      </c>
      <c r="L23" s="0" t="n">
        <v>5.25</v>
      </c>
      <c r="M23" s="2" t="n">
        <v>1.04</v>
      </c>
      <c r="N23" s="1" t="n">
        <v>-1.37</v>
      </c>
      <c r="O23" s="1" t="n">
        <v>1.13</v>
      </c>
    </row>
    <row r="24" customFormat="false" ht="15" hidden="false" customHeight="false" outlineLevel="0" collapsed="false">
      <c r="D24" s="0" t="n">
        <v>5</v>
      </c>
      <c r="E24" s="0" t="n">
        <v>2.9</v>
      </c>
      <c r="F24" s="0" t="n">
        <v>-11.52</v>
      </c>
      <c r="G24" s="2" t="n">
        <v>0.74</v>
      </c>
      <c r="H24" s="1" t="n">
        <v>-5.25</v>
      </c>
      <c r="I24" s="1" t="n">
        <v>0.74</v>
      </c>
      <c r="J24" s="0" t="n">
        <v>0</v>
      </c>
      <c r="K24" s="2" t="n">
        <v>0.86</v>
      </c>
      <c r="L24" s="0" t="n">
        <v>5.25</v>
      </c>
      <c r="M24" s="2" t="n">
        <v>0.74</v>
      </c>
      <c r="N24" s="1" t="n">
        <v>-1.61</v>
      </c>
      <c r="O24" s="1" t="n">
        <v>0.83</v>
      </c>
    </row>
    <row r="25" customFormat="false" ht="15" hidden="false" customHeight="false" outlineLevel="0" collapsed="false">
      <c r="D25" s="0" t="n">
        <v>4</v>
      </c>
      <c r="E25" s="0" t="n">
        <v>2.01</v>
      </c>
      <c r="F25" s="0" t="n">
        <v>-11.25</v>
      </c>
      <c r="G25" s="2" t="n">
        <v>0.44</v>
      </c>
      <c r="H25" s="1" t="n">
        <v>-5.25</v>
      </c>
      <c r="I25" s="1" t="n">
        <v>0.44</v>
      </c>
      <c r="J25" s="0" t="n">
        <v>0</v>
      </c>
      <c r="K25" s="2" t="n">
        <v>0.56</v>
      </c>
      <c r="L25" s="0" t="n">
        <v>5.25</v>
      </c>
      <c r="M25" s="2" t="n">
        <v>0.44</v>
      </c>
      <c r="N25" s="1" t="n">
        <v>-1.84</v>
      </c>
      <c r="O25" s="1" t="n">
        <v>0.52</v>
      </c>
    </row>
    <row r="26" customFormat="false" ht="15" hidden="false" customHeight="false" outlineLevel="0" collapsed="false">
      <c r="D26" s="0" t="n">
        <v>3</v>
      </c>
      <c r="E26" s="0" t="n">
        <v>0</v>
      </c>
    </row>
    <row r="27" customFormat="false" ht="15" hidden="false" customHeight="false" outlineLevel="0" collapsed="false">
      <c r="D27" s="0" t="n">
        <v>2</v>
      </c>
      <c r="E27" s="0" t="n">
        <v>0</v>
      </c>
    </row>
    <row r="28" customFormat="false" ht="15" hidden="false" customHeight="false" outlineLevel="0" collapsed="false">
      <c r="D28" s="0" t="n">
        <v>1</v>
      </c>
      <c r="E28" s="0" t="n">
        <v>0</v>
      </c>
    </row>
    <row r="29" customFormat="false" ht="15" hidden="false" customHeight="false" outlineLevel="0" collapsed="false">
      <c r="A29" s="1" t="n">
        <v>4</v>
      </c>
      <c r="B29" s="2" t="s">
        <v>20</v>
      </c>
      <c r="C29" s="0" t="n">
        <v>712.78</v>
      </c>
      <c r="D29" s="0" t="n">
        <v>9</v>
      </c>
      <c r="E29" s="0" t="n">
        <v>7.31</v>
      </c>
      <c r="F29" s="0" t="n">
        <v>-11.95</v>
      </c>
      <c r="G29" s="2" t="n">
        <v>1.94</v>
      </c>
      <c r="H29" s="1" t="n">
        <v>-5.25</v>
      </c>
      <c r="I29" s="1" t="n">
        <v>1.94</v>
      </c>
      <c r="J29" s="0" t="n">
        <v>0</v>
      </c>
      <c r="K29" s="2" t="n">
        <v>2.06</v>
      </c>
      <c r="L29" s="0" t="n">
        <v>5.25</v>
      </c>
      <c r="M29" s="2" t="n">
        <v>1.94</v>
      </c>
      <c r="N29" s="1" t="n">
        <v>11.95</v>
      </c>
      <c r="O29" s="1" t="n">
        <v>1.94</v>
      </c>
      <c r="P29" s="0" t="n">
        <v>69.54</v>
      </c>
      <c r="Q29" s="0" t="n">
        <v>11.55</v>
      </c>
    </row>
    <row r="30" customFormat="false" ht="15" hidden="false" customHeight="false" outlineLevel="0" collapsed="false">
      <c r="D30" s="0" t="n">
        <v>8</v>
      </c>
      <c r="E30" s="0" t="n">
        <v>7.5</v>
      </c>
      <c r="F30" s="0" t="n">
        <v>-12.4</v>
      </c>
      <c r="G30" s="2" t="n">
        <v>1.64</v>
      </c>
      <c r="H30" s="1" t="n">
        <v>-5.25</v>
      </c>
      <c r="I30" s="1" t="n">
        <v>1.64</v>
      </c>
      <c r="J30" s="0" t="n">
        <v>0</v>
      </c>
      <c r="K30" s="2" t="n">
        <v>1.76</v>
      </c>
      <c r="L30" s="0" t="n">
        <v>5.25</v>
      </c>
      <c r="M30" s="2" t="n">
        <v>1.64</v>
      </c>
      <c r="N30" s="1" t="n">
        <v>12.4</v>
      </c>
      <c r="O30" s="1" t="n">
        <v>1.64</v>
      </c>
    </row>
    <row r="31" customFormat="false" ht="15" hidden="false" customHeight="false" outlineLevel="0" collapsed="false">
      <c r="D31" s="0" t="n">
        <v>7</v>
      </c>
      <c r="E31" s="0" t="n">
        <v>7.56</v>
      </c>
      <c r="F31" s="0" t="n">
        <v>-12.24</v>
      </c>
      <c r="G31" s="2" t="n">
        <v>1.34</v>
      </c>
      <c r="H31" s="1" t="n">
        <v>-5.25</v>
      </c>
      <c r="I31" s="1" t="n">
        <v>1.34</v>
      </c>
      <c r="J31" s="0" t="n">
        <v>0</v>
      </c>
      <c r="K31" s="2" t="n">
        <v>1.46</v>
      </c>
      <c r="L31" s="0" t="n">
        <v>5.25</v>
      </c>
      <c r="M31" s="2" t="n">
        <v>1.34</v>
      </c>
      <c r="N31" s="1" t="n">
        <v>12.85</v>
      </c>
      <c r="O31" s="1" t="n">
        <v>1.34</v>
      </c>
    </row>
    <row r="32" customFormat="false" ht="15" hidden="false" customHeight="false" outlineLevel="0" collapsed="false">
      <c r="D32" s="0" t="n">
        <v>6</v>
      </c>
      <c r="E32" s="0" t="n">
        <v>7.62</v>
      </c>
      <c r="F32" s="0" t="n">
        <v>-11.99</v>
      </c>
      <c r="G32" s="2" t="n">
        <v>1.04</v>
      </c>
      <c r="H32" s="1" t="n">
        <v>-5.25</v>
      </c>
      <c r="I32" s="1" t="n">
        <v>1.04</v>
      </c>
      <c r="J32" s="0" t="n">
        <v>0</v>
      </c>
      <c r="K32" s="2" t="n">
        <v>1.16</v>
      </c>
      <c r="L32" s="0" t="n">
        <v>5.25</v>
      </c>
      <c r="M32" s="2" t="n">
        <v>1.04</v>
      </c>
      <c r="N32" s="1" t="n">
        <v>13.3</v>
      </c>
      <c r="O32" s="1" t="n">
        <v>1.04</v>
      </c>
    </row>
    <row r="33" customFormat="false" ht="15" hidden="false" customHeight="false" outlineLevel="0" collapsed="false">
      <c r="D33" s="0" t="n">
        <v>5</v>
      </c>
      <c r="E33" s="0" t="n">
        <v>7.44</v>
      </c>
      <c r="F33" s="0" t="n">
        <v>-11.74</v>
      </c>
      <c r="G33" s="2" t="n">
        <v>0.74</v>
      </c>
      <c r="H33" s="1" t="n">
        <v>-5.25</v>
      </c>
      <c r="I33" s="1" t="n">
        <v>0.74</v>
      </c>
      <c r="J33" s="0" t="n">
        <v>0</v>
      </c>
      <c r="K33" s="2" t="n">
        <v>0.86</v>
      </c>
      <c r="L33" s="0" t="n">
        <v>5.25</v>
      </c>
      <c r="M33" s="2" t="n">
        <v>0.74</v>
      </c>
      <c r="N33" s="1" t="n">
        <v>13.75</v>
      </c>
      <c r="O33" s="1" t="n">
        <v>0.74</v>
      </c>
    </row>
    <row r="34" customFormat="false" ht="15" hidden="false" customHeight="false" outlineLevel="0" collapsed="false">
      <c r="D34" s="0" t="n">
        <v>4</v>
      </c>
      <c r="E34" s="0" t="n">
        <v>6.11</v>
      </c>
      <c r="F34" s="0" t="n">
        <v>-11.49</v>
      </c>
      <c r="G34" s="2" t="n">
        <v>0.44</v>
      </c>
      <c r="H34" s="1" t="n">
        <v>-5.25</v>
      </c>
      <c r="I34" s="1" t="n">
        <v>0.44</v>
      </c>
      <c r="J34" s="0" t="n">
        <v>0</v>
      </c>
      <c r="K34" s="2" t="n">
        <v>0.56</v>
      </c>
      <c r="L34" s="0" t="n">
        <v>5.25</v>
      </c>
      <c r="M34" s="2" t="n">
        <v>0.44</v>
      </c>
      <c r="N34" s="1" t="n">
        <v>9.2</v>
      </c>
      <c r="O34" s="1" t="n">
        <v>0.44</v>
      </c>
    </row>
    <row r="35" customFormat="false" ht="15" hidden="false" customHeight="false" outlineLevel="0" collapsed="false">
      <c r="D35" s="0" t="n">
        <v>3</v>
      </c>
      <c r="E35" s="0" t="n">
        <v>5.56</v>
      </c>
      <c r="F35" s="0" t="n">
        <v>-9.94</v>
      </c>
      <c r="G35" s="2" t="n">
        <v>0.14</v>
      </c>
      <c r="H35" s="1" t="n">
        <v>-5.25</v>
      </c>
      <c r="I35" s="1" t="n">
        <v>0.14</v>
      </c>
      <c r="J35" s="0" t="n">
        <v>0</v>
      </c>
      <c r="K35" s="2" t="n">
        <v>0.26</v>
      </c>
      <c r="L35" s="0" t="n">
        <v>5.25</v>
      </c>
      <c r="M35" s="2" t="n">
        <v>0.14</v>
      </c>
      <c r="N35" s="1" t="n">
        <v>8.9</v>
      </c>
      <c r="O35" s="1" t="n">
        <v>0.14</v>
      </c>
    </row>
    <row r="36" customFormat="false" ht="15" hidden="false" customHeight="false" outlineLevel="0" collapsed="false">
      <c r="D36" s="0" t="n">
        <v>2</v>
      </c>
      <c r="E36" s="0" t="n">
        <v>5.38</v>
      </c>
      <c r="F36" s="0" t="n">
        <v>-9.64</v>
      </c>
      <c r="G36" s="2" t="n">
        <v>-0.16</v>
      </c>
      <c r="H36" s="1" t="n">
        <v>-5.25</v>
      </c>
      <c r="I36" s="1" t="n">
        <v>-0.16</v>
      </c>
      <c r="J36" s="0" t="n">
        <v>0</v>
      </c>
      <c r="K36" s="2" t="n">
        <v>-0.04</v>
      </c>
      <c r="L36" s="0" t="n">
        <v>5.25</v>
      </c>
      <c r="M36" s="2" t="n">
        <v>-0.16</v>
      </c>
      <c r="N36" s="1" t="n">
        <v>8.6</v>
      </c>
      <c r="O36" s="1" t="n">
        <v>-0.16</v>
      </c>
    </row>
    <row r="37" customFormat="false" ht="15" hidden="false" customHeight="false" outlineLevel="0" collapsed="false">
      <c r="D37" s="0" t="n">
        <v>1</v>
      </c>
      <c r="E37" s="0" t="n">
        <v>3.52</v>
      </c>
      <c r="F37" s="0" t="n">
        <v>-9.34</v>
      </c>
      <c r="G37" s="2" t="n">
        <v>-0.46</v>
      </c>
      <c r="H37" s="1" t="n">
        <v>-5.25</v>
      </c>
      <c r="I37" s="1" t="n">
        <v>-0.46</v>
      </c>
      <c r="J37" s="0" t="n">
        <v>0</v>
      </c>
      <c r="K37" s="2" t="n">
        <v>-0.34</v>
      </c>
      <c r="L37" s="0" t="n">
        <v>5.25</v>
      </c>
      <c r="M37" s="2" t="n">
        <v>-0.46</v>
      </c>
      <c r="N37" s="1" t="n">
        <v>8.3</v>
      </c>
      <c r="O37" s="1" t="n">
        <v>-0.46</v>
      </c>
    </row>
    <row r="38" customFormat="false" ht="15" hidden="false" customHeight="false" outlineLevel="0" collapsed="false">
      <c r="A38" s="1" t="n">
        <v>5</v>
      </c>
      <c r="B38" s="2" t="s">
        <v>21</v>
      </c>
      <c r="C38" s="0" t="n">
        <v>729.78</v>
      </c>
      <c r="D38" s="0" t="n">
        <v>9</v>
      </c>
      <c r="E38" s="0" t="n">
        <v>6.18</v>
      </c>
      <c r="F38" s="0" t="n">
        <v>-11.95</v>
      </c>
      <c r="G38" s="2" t="n">
        <v>1.94</v>
      </c>
      <c r="H38" s="1" t="n">
        <v>-5.25</v>
      </c>
      <c r="I38" s="1" t="n">
        <v>1.94</v>
      </c>
      <c r="J38" s="0" t="n">
        <v>0</v>
      </c>
      <c r="K38" s="2" t="n">
        <v>2.06</v>
      </c>
      <c r="L38" s="0" t="n">
        <v>5.25</v>
      </c>
      <c r="M38" s="2" t="n">
        <v>1.94</v>
      </c>
      <c r="N38" s="1" t="n">
        <v>8.81</v>
      </c>
      <c r="O38" s="1" t="n">
        <v>1.94</v>
      </c>
      <c r="P38" s="0" t="n">
        <v>51.48</v>
      </c>
      <c r="Q38" s="0" t="n">
        <v>10.65</v>
      </c>
    </row>
    <row r="39" customFormat="false" ht="15" hidden="false" customHeight="false" outlineLevel="0" collapsed="false">
      <c r="D39" s="0" t="n">
        <v>8</v>
      </c>
      <c r="E39" s="0" t="n">
        <v>5.59</v>
      </c>
      <c r="F39" s="0" t="n">
        <v>-11.78</v>
      </c>
      <c r="G39" s="2" t="n">
        <v>1.64</v>
      </c>
      <c r="H39" s="1" t="n">
        <v>-5.25</v>
      </c>
      <c r="I39" s="1" t="n">
        <v>1.64</v>
      </c>
      <c r="J39" s="0" t="n">
        <v>0</v>
      </c>
      <c r="K39" s="2" t="n">
        <v>1.76</v>
      </c>
      <c r="L39" s="0" t="n">
        <v>5.25</v>
      </c>
      <c r="M39" s="2" t="n">
        <v>1.64</v>
      </c>
      <c r="N39" s="1" t="n">
        <v>8.51</v>
      </c>
      <c r="O39" s="1" t="n">
        <v>1.64</v>
      </c>
    </row>
    <row r="40" customFormat="false" ht="15" hidden="false" customHeight="false" outlineLevel="0" collapsed="false">
      <c r="D40" s="0" t="n">
        <v>7</v>
      </c>
      <c r="E40" s="0" t="n">
        <v>4.84</v>
      </c>
      <c r="F40" s="0" t="n">
        <v>-8.21</v>
      </c>
      <c r="G40" s="2" t="n">
        <v>1.34</v>
      </c>
      <c r="H40" s="1" t="n">
        <v>-5.25</v>
      </c>
      <c r="I40" s="1" t="n">
        <v>1.34</v>
      </c>
      <c r="J40" s="0" t="n">
        <v>0</v>
      </c>
      <c r="K40" s="2" t="n">
        <v>1.46</v>
      </c>
      <c r="L40" s="0" t="n">
        <v>5.25</v>
      </c>
      <c r="M40" s="2" t="n">
        <v>1.34</v>
      </c>
      <c r="N40" s="1" t="n">
        <v>8.21</v>
      </c>
      <c r="O40" s="1" t="n">
        <v>1.34</v>
      </c>
    </row>
    <row r="41" customFormat="false" ht="15" hidden="false" customHeight="false" outlineLevel="0" collapsed="false">
      <c r="D41" s="0" t="n">
        <v>6</v>
      </c>
      <c r="E41" s="0" t="n">
        <v>4.66</v>
      </c>
      <c r="F41" s="0" t="n">
        <v>-7.91</v>
      </c>
      <c r="G41" s="2" t="n">
        <v>1.04</v>
      </c>
      <c r="H41" s="1" t="n">
        <v>-5.25</v>
      </c>
      <c r="I41" s="1" t="n">
        <v>1.04</v>
      </c>
      <c r="J41" s="0" t="n">
        <v>0</v>
      </c>
      <c r="K41" s="2" t="n">
        <v>1.16</v>
      </c>
      <c r="L41" s="0" t="n">
        <v>5.25</v>
      </c>
      <c r="M41" s="2" t="n">
        <v>1.04</v>
      </c>
      <c r="N41" s="1" t="n">
        <v>7.91</v>
      </c>
      <c r="O41" s="1" t="n">
        <v>1.04</v>
      </c>
    </row>
    <row r="42" customFormat="false" ht="15" hidden="false" customHeight="false" outlineLevel="0" collapsed="false">
      <c r="D42" s="0" t="n">
        <v>5</v>
      </c>
      <c r="E42" s="0" t="n">
        <v>4.48</v>
      </c>
      <c r="F42" s="0" t="n">
        <v>-7.61</v>
      </c>
      <c r="G42" s="2" t="n">
        <v>0.74</v>
      </c>
      <c r="H42" s="1" t="n">
        <v>-5.25</v>
      </c>
      <c r="I42" s="1" t="n">
        <v>0.74</v>
      </c>
      <c r="J42" s="0" t="n">
        <v>0</v>
      </c>
      <c r="K42" s="2" t="n">
        <v>0.86</v>
      </c>
      <c r="L42" s="0" t="n">
        <v>5.25</v>
      </c>
      <c r="M42" s="2" t="n">
        <v>0.74</v>
      </c>
      <c r="N42" s="1" t="n">
        <v>7.61</v>
      </c>
      <c r="O42" s="1" t="n">
        <v>0.74</v>
      </c>
    </row>
    <row r="43" customFormat="false" ht="15" hidden="false" customHeight="false" outlineLevel="0" collapsed="false">
      <c r="D43" s="0" t="n">
        <v>4</v>
      </c>
      <c r="E43" s="0" t="n">
        <v>4.3</v>
      </c>
      <c r="F43" s="0" t="n">
        <v>-7.31</v>
      </c>
      <c r="G43" s="2" t="n">
        <v>0.44</v>
      </c>
      <c r="H43" s="1" t="n">
        <v>-5.25</v>
      </c>
      <c r="I43" s="1" t="n">
        <v>0.44</v>
      </c>
      <c r="J43" s="0" t="n">
        <v>0</v>
      </c>
      <c r="K43" s="2" t="n">
        <v>0.56</v>
      </c>
      <c r="L43" s="0" t="n">
        <v>5.25</v>
      </c>
      <c r="M43" s="2" t="n">
        <v>0.44</v>
      </c>
      <c r="N43" s="1" t="n">
        <v>7.31</v>
      </c>
      <c r="O43" s="1" t="n">
        <v>0.44</v>
      </c>
    </row>
    <row r="44" customFormat="false" ht="15" hidden="false" customHeight="false" outlineLevel="0" collapsed="false">
      <c r="D44" s="0" t="n">
        <v>3</v>
      </c>
      <c r="E44" s="0" t="n">
        <v>4.12</v>
      </c>
      <c r="F44" s="0" t="n">
        <v>-7.01</v>
      </c>
      <c r="G44" s="2" t="n">
        <v>0.14</v>
      </c>
      <c r="H44" s="1" t="n">
        <v>-5.25</v>
      </c>
      <c r="I44" s="1" t="n">
        <v>0.14</v>
      </c>
      <c r="J44" s="0" t="n">
        <v>0</v>
      </c>
      <c r="K44" s="2" t="n">
        <v>0.26</v>
      </c>
      <c r="L44" s="0" t="n">
        <v>5.25</v>
      </c>
      <c r="M44" s="2" t="n">
        <v>0.14</v>
      </c>
      <c r="N44" s="1" t="n">
        <v>7.01</v>
      </c>
      <c r="O44" s="1" t="n">
        <v>0.14</v>
      </c>
    </row>
    <row r="45" customFormat="false" ht="15" hidden="false" customHeight="false" outlineLevel="0" collapsed="false">
      <c r="D45" s="0" t="n">
        <v>2</v>
      </c>
      <c r="E45" s="0" t="n">
        <v>3.94</v>
      </c>
      <c r="F45" s="0" t="n">
        <v>-6.71</v>
      </c>
      <c r="G45" s="2" t="n">
        <v>-0.16</v>
      </c>
      <c r="H45" s="1" t="n">
        <v>-5.25</v>
      </c>
      <c r="I45" s="1" t="n">
        <v>-0.16</v>
      </c>
      <c r="J45" s="0" t="n">
        <v>0</v>
      </c>
      <c r="K45" s="2" t="n">
        <v>-0.04</v>
      </c>
      <c r="L45" s="0" t="n">
        <v>5.25</v>
      </c>
      <c r="M45" s="2" t="n">
        <v>-0.16</v>
      </c>
      <c r="N45" s="1" t="n">
        <v>6.71</v>
      </c>
      <c r="O45" s="1" t="n">
        <v>-0.16</v>
      </c>
    </row>
    <row r="46" customFormat="false" ht="15" hidden="false" customHeight="false" outlineLevel="0" collapsed="false">
      <c r="D46" s="0" t="n">
        <v>1</v>
      </c>
      <c r="E46" s="0" t="n">
        <v>2.74</v>
      </c>
      <c r="F46" s="0" t="n">
        <v>-6.41</v>
      </c>
      <c r="G46" s="2" t="n">
        <v>-0.46</v>
      </c>
      <c r="H46" s="1" t="n">
        <v>-5.25</v>
      </c>
      <c r="I46" s="1" t="n">
        <v>-0.46</v>
      </c>
      <c r="J46" s="0" t="n">
        <v>0</v>
      </c>
      <c r="K46" s="2" t="n">
        <v>-0.34</v>
      </c>
      <c r="L46" s="0" t="n">
        <v>5.25</v>
      </c>
      <c r="M46" s="2" t="n">
        <v>-0.46</v>
      </c>
      <c r="N46" s="1" t="n">
        <v>6.41</v>
      </c>
      <c r="O46" s="1" t="n">
        <v>-0.46</v>
      </c>
    </row>
    <row r="47" customFormat="false" ht="15" hidden="false" customHeight="false" outlineLevel="0" collapsed="false">
      <c r="A47" s="1" t="n">
        <v>6</v>
      </c>
      <c r="B47" s="2" t="s">
        <v>22</v>
      </c>
      <c r="C47" s="0" t="n">
        <v>746.82</v>
      </c>
      <c r="D47" s="0" t="n">
        <v>9</v>
      </c>
      <c r="E47" s="0" t="n">
        <v>7.31</v>
      </c>
      <c r="F47" s="0" t="n">
        <v>-11.95</v>
      </c>
      <c r="G47" s="2" t="n">
        <v>1.94</v>
      </c>
      <c r="H47" s="1" t="n">
        <v>-5.25</v>
      </c>
      <c r="I47" s="1" t="n">
        <v>1.94</v>
      </c>
      <c r="J47" s="0" t="n">
        <v>0</v>
      </c>
      <c r="K47" s="2" t="n">
        <v>2.06</v>
      </c>
      <c r="L47" s="0" t="n">
        <v>5.25</v>
      </c>
      <c r="M47" s="2" t="n">
        <v>1.94</v>
      </c>
      <c r="N47" s="1" t="n">
        <v>11.95</v>
      </c>
      <c r="O47" s="1" t="n">
        <v>1.94</v>
      </c>
      <c r="P47" s="0" t="n">
        <v>61.42</v>
      </c>
      <c r="Q47" s="0" t="n">
        <v>11.55</v>
      </c>
    </row>
    <row r="48" customFormat="false" ht="15" hidden="false" customHeight="false" outlineLevel="0" collapsed="false">
      <c r="D48" s="0" t="n">
        <v>8</v>
      </c>
      <c r="E48" s="0" t="n">
        <v>6.52</v>
      </c>
      <c r="F48" s="0" t="n">
        <v>-12.4</v>
      </c>
      <c r="G48" s="2" t="n">
        <v>1.64</v>
      </c>
      <c r="H48" s="1" t="n">
        <v>-5.25</v>
      </c>
      <c r="I48" s="1" t="n">
        <v>1.64</v>
      </c>
      <c r="J48" s="0" t="n">
        <v>0</v>
      </c>
      <c r="K48" s="2" t="n">
        <v>1.76</v>
      </c>
      <c r="L48" s="0" t="n">
        <v>5.25</v>
      </c>
      <c r="M48" s="2" t="n">
        <v>1.64</v>
      </c>
      <c r="N48" s="1" t="n">
        <v>12.4</v>
      </c>
      <c r="O48" s="1" t="n">
        <v>1.64</v>
      </c>
    </row>
    <row r="49" customFormat="false" ht="15" hidden="false" customHeight="false" outlineLevel="0" collapsed="false">
      <c r="D49" s="0" t="n">
        <v>7</v>
      </c>
      <c r="E49" s="0" t="n">
        <v>6.47</v>
      </c>
      <c r="F49" s="0" t="n">
        <v>-8.65</v>
      </c>
      <c r="G49" s="2" t="n">
        <v>1.34</v>
      </c>
      <c r="H49" s="1" t="n">
        <v>-5.25</v>
      </c>
      <c r="I49" s="1" t="n">
        <v>1.34</v>
      </c>
      <c r="J49" s="0" t="n">
        <v>0</v>
      </c>
      <c r="K49" s="2" t="n">
        <v>1.46</v>
      </c>
      <c r="L49" s="0" t="n">
        <v>5.25</v>
      </c>
      <c r="M49" s="2" t="n">
        <v>1.34</v>
      </c>
      <c r="N49" s="1" t="n">
        <v>12.85</v>
      </c>
      <c r="O49" s="1" t="n">
        <v>1.34</v>
      </c>
    </row>
    <row r="50" customFormat="false" ht="15" hidden="false" customHeight="false" outlineLevel="0" collapsed="false">
      <c r="D50" s="0" t="n">
        <v>6</v>
      </c>
      <c r="E50" s="0" t="n">
        <v>6.52</v>
      </c>
      <c r="F50" s="0" t="n">
        <v>-8.35</v>
      </c>
      <c r="G50" s="2" t="n">
        <v>1.04</v>
      </c>
      <c r="H50" s="1" t="n">
        <v>-5.25</v>
      </c>
      <c r="I50" s="1" t="n">
        <v>1.04</v>
      </c>
      <c r="J50" s="0" t="n">
        <v>0</v>
      </c>
      <c r="K50" s="2" t="n">
        <v>1.16</v>
      </c>
      <c r="L50" s="0" t="n">
        <v>5.25</v>
      </c>
      <c r="M50" s="2" t="n">
        <v>1.04</v>
      </c>
      <c r="N50" s="1" t="n">
        <v>13.3</v>
      </c>
      <c r="O50" s="1" t="n">
        <v>1.04</v>
      </c>
    </row>
    <row r="51" customFormat="false" ht="15" hidden="false" customHeight="false" outlineLevel="0" collapsed="false">
      <c r="D51" s="0" t="n">
        <v>5</v>
      </c>
      <c r="E51" s="0" t="n">
        <v>5.8</v>
      </c>
      <c r="F51" s="0" t="n">
        <v>-8.05</v>
      </c>
      <c r="G51" s="2" t="n">
        <v>0.74</v>
      </c>
      <c r="H51" s="1" t="n">
        <v>-5.25</v>
      </c>
      <c r="I51" s="1" t="n">
        <v>0.74</v>
      </c>
      <c r="J51" s="0" t="n">
        <v>0</v>
      </c>
      <c r="K51" s="2" t="n">
        <v>0.86</v>
      </c>
      <c r="L51" s="0" t="n">
        <v>5.25</v>
      </c>
      <c r="M51" s="2" t="n">
        <v>0.74</v>
      </c>
      <c r="N51" s="1" t="n">
        <v>13.75</v>
      </c>
      <c r="O51" s="1" t="n">
        <v>0.74</v>
      </c>
    </row>
    <row r="52" customFormat="false" ht="15" hidden="false" customHeight="false" outlineLevel="0" collapsed="false">
      <c r="D52" s="0" t="n">
        <v>4</v>
      </c>
      <c r="E52" s="0" t="n">
        <v>4.91</v>
      </c>
      <c r="F52" s="0" t="n">
        <v>-7.75</v>
      </c>
      <c r="G52" s="2" t="n">
        <v>0.44</v>
      </c>
      <c r="H52" s="1" t="n">
        <v>-5.25</v>
      </c>
      <c r="I52" s="1" t="n">
        <v>0.44</v>
      </c>
      <c r="J52" s="0" t="n">
        <v>0</v>
      </c>
      <c r="K52" s="2" t="n">
        <v>0.56</v>
      </c>
      <c r="L52" s="0" t="n">
        <v>5.25</v>
      </c>
      <c r="M52" s="2" t="n">
        <v>0.44</v>
      </c>
      <c r="N52" s="1" t="n">
        <v>8.91</v>
      </c>
      <c r="O52" s="1" t="n">
        <v>0.44</v>
      </c>
    </row>
    <row r="53" customFormat="false" ht="15" hidden="false" customHeight="false" outlineLevel="0" collapsed="false">
      <c r="D53" s="0" t="n">
        <v>3</v>
      </c>
      <c r="E53" s="0" t="n">
        <v>4.73</v>
      </c>
      <c r="F53" s="0" t="n">
        <v>-7.45</v>
      </c>
      <c r="G53" s="2" t="n">
        <v>0.14</v>
      </c>
      <c r="H53" s="1" t="n">
        <v>-5.25</v>
      </c>
      <c r="I53" s="1" t="n">
        <v>0.14</v>
      </c>
      <c r="J53" s="0" t="n">
        <v>0</v>
      </c>
      <c r="K53" s="2" t="n">
        <v>0.26</v>
      </c>
      <c r="L53" s="0" t="n">
        <v>5.25</v>
      </c>
      <c r="M53" s="2" t="n">
        <v>0.14</v>
      </c>
      <c r="N53" s="1" t="n">
        <v>8.61</v>
      </c>
      <c r="O53" s="1" t="n">
        <v>0.14</v>
      </c>
    </row>
    <row r="54" customFormat="false" ht="15" hidden="false" customHeight="false" outlineLevel="0" collapsed="false">
      <c r="D54" s="0" t="n">
        <v>2</v>
      </c>
      <c r="E54" s="0" t="n">
        <v>4.55</v>
      </c>
      <c r="F54" s="0" t="n">
        <v>-7.15</v>
      </c>
      <c r="G54" s="2" t="n">
        <v>-0.16</v>
      </c>
      <c r="H54" s="1" t="n">
        <v>-5.25</v>
      </c>
      <c r="I54" s="1" t="n">
        <v>-0.16</v>
      </c>
      <c r="J54" s="0" t="n">
        <v>0</v>
      </c>
      <c r="K54" s="2" t="n">
        <v>-0.04</v>
      </c>
      <c r="L54" s="0" t="n">
        <v>5.25</v>
      </c>
      <c r="M54" s="2" t="n">
        <v>-0.16</v>
      </c>
      <c r="N54" s="1" t="n">
        <v>8.31</v>
      </c>
      <c r="O54" s="1" t="n">
        <v>-0.16</v>
      </c>
    </row>
    <row r="55" customFormat="false" ht="15" hidden="false" customHeight="false" outlineLevel="0" collapsed="false">
      <c r="D55" s="0" t="n">
        <v>1</v>
      </c>
      <c r="E55" s="0" t="n">
        <v>3.07</v>
      </c>
      <c r="F55" s="0" t="n">
        <v>-6.85</v>
      </c>
      <c r="G55" s="2" t="n">
        <v>-0.46</v>
      </c>
      <c r="H55" s="1" t="n">
        <v>-5.25</v>
      </c>
      <c r="I55" s="1" t="n">
        <v>-0.46</v>
      </c>
      <c r="J55" s="0" t="n">
        <v>0</v>
      </c>
      <c r="K55" s="2" t="n">
        <v>-0.34</v>
      </c>
      <c r="L55" s="0" t="n">
        <v>5.25</v>
      </c>
      <c r="M55" s="2" t="n">
        <v>-0.46</v>
      </c>
      <c r="N55" s="1" t="n">
        <v>8.01</v>
      </c>
      <c r="O55" s="1" t="n">
        <v>-0.46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U66" activeCellId="0" sqref="U6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7.42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64.NĐXD4/CVXD ngày 16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64</v>
      </c>
    </row>
    <row r="3" customFormat="false" ht="18.75" hidden="false" customHeight="true" outlineLevel="0" collapsed="false">
      <c r="A3" s="7" t="s">
        <v>25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">
        <v>26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">
        <v>27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28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29</v>
      </c>
      <c r="C7" s="7"/>
      <c r="D7" s="7"/>
      <c r="F7" s="7"/>
      <c r="G7" s="7" t="str">
        <f>VLOOKUP(AZ2,'[1]Tuyến XD4'!$A$2:$B$60,2,0)</f>
        <v xml:space="preserve">Đắp đất nền đường lớp 1 đoạn từ Km0+672,28 - Km0+746,82,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15" hidden="false" customHeight="true" outlineLevel="0" collapsed="false">
      <c r="A19" s="9" t="s">
        <v>32</v>
      </c>
      <c r="B19" s="9" t="s">
        <v>33</v>
      </c>
      <c r="C19" s="9" t="s">
        <v>34</v>
      </c>
      <c r="D19" s="10" t="s">
        <v>35</v>
      </c>
      <c r="E19" s="10"/>
      <c r="F19" s="10"/>
      <c r="G19" s="10"/>
      <c r="H19" s="10"/>
      <c r="I19" s="10"/>
      <c r="J19" s="10" t="s">
        <v>36</v>
      </c>
      <c r="K19" s="10"/>
      <c r="L19" s="10"/>
      <c r="M19" s="10" t="s">
        <v>37</v>
      </c>
      <c r="N19" s="10"/>
      <c r="O19" s="10"/>
      <c r="P19" s="10"/>
      <c r="Q19" s="10"/>
      <c r="R19" s="10"/>
      <c r="S19" s="9" t="s">
        <v>38</v>
      </c>
    </row>
    <row r="20" customFormat="false" ht="30" hidden="false" customHeight="true" outlineLevel="0" collapsed="false">
      <c r="A20" s="9"/>
      <c r="B20" s="9"/>
      <c r="C20" s="9"/>
      <c r="D20" s="11" t="s">
        <v>39</v>
      </c>
      <c r="E20" s="11" t="s">
        <v>40</v>
      </c>
      <c r="F20" s="11" t="s">
        <v>41</v>
      </c>
      <c r="G20" s="11" t="s">
        <v>42</v>
      </c>
      <c r="H20" s="11" t="s">
        <v>43</v>
      </c>
      <c r="I20" s="11" t="s">
        <v>44</v>
      </c>
      <c r="J20" s="11" t="s">
        <v>42</v>
      </c>
      <c r="K20" s="11" t="s">
        <v>43</v>
      </c>
      <c r="L20" s="11" t="s">
        <v>44</v>
      </c>
      <c r="M20" s="11" t="s">
        <v>39</v>
      </c>
      <c r="N20" s="11" t="s">
        <v>40</v>
      </c>
      <c r="O20" s="11" t="s">
        <v>41</v>
      </c>
      <c r="P20" s="11" t="s">
        <v>42</v>
      </c>
      <c r="Q20" s="11" t="s">
        <v>43</v>
      </c>
      <c r="R20" s="11" t="s">
        <v>44</v>
      </c>
      <c r="S20" s="9"/>
      <c r="T20" s="12"/>
    </row>
    <row r="21" customFormat="false" ht="17.25" hidden="false" customHeight="true" outlineLevel="0" collapsed="false">
      <c r="A21" s="13" t="n">
        <v>1</v>
      </c>
      <c r="B21" s="14" t="s">
        <v>17</v>
      </c>
      <c r="C21" s="15" t="n">
        <v>672.28</v>
      </c>
      <c r="D21" s="16" t="n">
        <f aca="false">+Chạy!F10</f>
        <v>-9.94</v>
      </c>
      <c r="E21" s="16" t="n">
        <f aca="false">+D21+F21</f>
        <v>-9.9294</v>
      </c>
      <c r="F21" s="16" t="n">
        <f aca="false">RANDBETWEEN(-105,115)/10000</f>
        <v>0.0106</v>
      </c>
      <c r="G21" s="16" t="n">
        <f aca="false">+Chạy!G10</f>
        <v>-0.46</v>
      </c>
      <c r="H21" s="16" t="n">
        <f aca="false">G21+I21</f>
        <v>-0.393</v>
      </c>
      <c r="I21" s="16" t="n">
        <f aca="false">RANDBETWEEN(-30,90)/1000</f>
        <v>0.067</v>
      </c>
      <c r="J21" s="16" t="n">
        <f aca="false">+Chạy!K10</f>
        <v>-0.34</v>
      </c>
      <c r="K21" s="16" t="n">
        <f aca="false">J21+L21</f>
        <v>-0.267</v>
      </c>
      <c r="L21" s="16" t="n">
        <f aca="false">RANDBETWEEN(-30,90)/1000</f>
        <v>0.073</v>
      </c>
      <c r="M21" s="16" t="n">
        <f aca="false">+Chạy!N10</f>
        <v>15.55</v>
      </c>
      <c r="N21" s="16" t="n">
        <f aca="false">+M21+O21</f>
        <v>15.5527</v>
      </c>
      <c r="O21" s="16" t="n">
        <f aca="false">RANDBETWEEN(-105,115)/10000</f>
        <v>0.0027</v>
      </c>
      <c r="P21" s="16" t="n">
        <f aca="false">+Chạy!O10</f>
        <v>-0.46</v>
      </c>
      <c r="Q21" s="16" t="n">
        <f aca="false">P21+R21</f>
        <v>-0.449</v>
      </c>
      <c r="R21" s="16" t="n">
        <f aca="false">RANDBETWEEN(-30,90)/1000</f>
        <v>0.011</v>
      </c>
      <c r="S21" s="17"/>
      <c r="T21" s="18" t="n">
        <v>17</v>
      </c>
    </row>
    <row r="22" customFormat="false" ht="17.25" hidden="false" customHeight="true" outlineLevel="0" collapsed="false">
      <c r="A22" s="13" t="n">
        <v>2</v>
      </c>
      <c r="B22" s="14" t="s">
        <v>18</v>
      </c>
      <c r="C22" s="15" t="n">
        <f aca="false">+C21+T21</f>
        <v>689.28</v>
      </c>
      <c r="D22" s="16" t="n">
        <f aca="false">+Chạy!F19</f>
        <v>-9.2</v>
      </c>
      <c r="E22" s="16" t="n">
        <f aca="false">+D22+F22</f>
        <v>-9.2055</v>
      </c>
      <c r="F22" s="16" t="n">
        <f aca="false">RANDBETWEEN(-105,115)/10000</f>
        <v>-0.0055</v>
      </c>
      <c r="G22" s="16" t="n">
        <f aca="false">+Chạy!G19</f>
        <v>-0.46</v>
      </c>
      <c r="H22" s="16" t="n">
        <f aca="false">G22+I22</f>
        <v>-0.467</v>
      </c>
      <c r="I22" s="16" t="n">
        <f aca="false">RANDBETWEEN(-30,90)/1000</f>
        <v>-0.007</v>
      </c>
      <c r="J22" s="16" t="n">
        <f aca="false">+Chạy!K19</f>
        <v>-0.34</v>
      </c>
      <c r="K22" s="16" t="n">
        <f aca="false">J22+L22</f>
        <v>-0.3</v>
      </c>
      <c r="L22" s="16" t="n">
        <f aca="false">RANDBETWEEN(-30,90)/1000</f>
        <v>0.04</v>
      </c>
      <c r="M22" s="16" t="n">
        <f aca="false">+Chạy!N19</f>
        <v>8.44</v>
      </c>
      <c r="N22" s="16" t="n">
        <f aca="false">+M22+O22</f>
        <v>8.4369</v>
      </c>
      <c r="O22" s="16" t="n">
        <f aca="false">RANDBETWEEN(-105,115)/10000</f>
        <v>-0.0031</v>
      </c>
      <c r="P22" s="16" t="n">
        <f aca="false">+Chạy!O19</f>
        <v>-0.46</v>
      </c>
      <c r="Q22" s="16" t="n">
        <f aca="false">P22+R22</f>
        <v>-0.389</v>
      </c>
      <c r="R22" s="16" t="n">
        <f aca="false">RANDBETWEEN(-30,90)/1000</f>
        <v>0.071</v>
      </c>
      <c r="S22" s="17"/>
      <c r="T22" s="18" t="n">
        <v>11.75</v>
      </c>
    </row>
    <row r="23" customFormat="false" ht="17.25" hidden="false" customHeight="true" outlineLevel="0" collapsed="false">
      <c r="A23" s="13" t="n">
        <v>3</v>
      </c>
      <c r="B23" s="14" t="s">
        <v>19</v>
      </c>
      <c r="C23" s="15" t="n">
        <f aca="false">+C22+T22</f>
        <v>701.03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7"/>
      <c r="T23" s="18" t="n">
        <v>11.75</v>
      </c>
    </row>
    <row r="24" customFormat="false" ht="17.25" hidden="false" customHeight="true" outlineLevel="0" collapsed="false">
      <c r="A24" s="13" t="n">
        <v>4</v>
      </c>
      <c r="B24" s="14" t="s">
        <v>20</v>
      </c>
      <c r="C24" s="15" t="n">
        <f aca="false">+C23+T23</f>
        <v>712.78</v>
      </c>
      <c r="D24" s="16" t="n">
        <f aca="false">+Chạy!F37</f>
        <v>-9.34</v>
      </c>
      <c r="E24" s="16" t="n">
        <f aca="false">+D24+F24</f>
        <v>-9.3447</v>
      </c>
      <c r="F24" s="16" t="n">
        <f aca="false">RANDBETWEEN(-105,115)/10000</f>
        <v>-0.0047</v>
      </c>
      <c r="G24" s="16" t="n">
        <f aca="false">+Chạy!G37</f>
        <v>-0.46</v>
      </c>
      <c r="H24" s="16" t="n">
        <f aca="false">G24+I24</f>
        <v>-0.428</v>
      </c>
      <c r="I24" s="16" t="n">
        <f aca="false">RANDBETWEEN(-30,90)/1000</f>
        <v>0.032</v>
      </c>
      <c r="J24" s="16" t="n">
        <f aca="false">+Chạy!K37</f>
        <v>-0.34</v>
      </c>
      <c r="K24" s="16" t="n">
        <f aca="false">J24+L24</f>
        <v>-0.259</v>
      </c>
      <c r="L24" s="16" t="n">
        <f aca="false">RANDBETWEEN(-30,90)/1000</f>
        <v>0.081</v>
      </c>
      <c r="M24" s="16" t="n">
        <f aca="false">+Chạy!N37</f>
        <v>8.3</v>
      </c>
      <c r="N24" s="16" t="n">
        <f aca="false">+M24+O24</f>
        <v>8.2952</v>
      </c>
      <c r="O24" s="16" t="n">
        <f aca="false">RANDBETWEEN(-105,115)/10000</f>
        <v>-0.0048</v>
      </c>
      <c r="P24" s="16" t="n">
        <f aca="false">+Chạy!O37</f>
        <v>-0.46</v>
      </c>
      <c r="Q24" s="16" t="n">
        <f aca="false">P24+R24</f>
        <v>-0.389</v>
      </c>
      <c r="R24" s="16" t="n">
        <f aca="false">RANDBETWEEN(-30,90)/1000</f>
        <v>0.071</v>
      </c>
      <c r="S24" s="17"/>
      <c r="T24" s="18" t="n">
        <v>17</v>
      </c>
    </row>
    <row r="25" customFormat="false" ht="17.25" hidden="false" customHeight="true" outlineLevel="0" collapsed="false">
      <c r="A25" s="13" t="n">
        <v>5</v>
      </c>
      <c r="B25" s="14" t="s">
        <v>21</v>
      </c>
      <c r="C25" s="15" t="n">
        <f aca="false">+C24+T24</f>
        <v>729.78</v>
      </c>
      <c r="D25" s="16" t="n">
        <f aca="false">+Chạy!F46</f>
        <v>-6.41</v>
      </c>
      <c r="E25" s="16" t="n">
        <f aca="false">+D25+F25</f>
        <v>-6.4123</v>
      </c>
      <c r="F25" s="16" t="n">
        <f aca="false">RANDBETWEEN(-105,115)/10000</f>
        <v>-0.0023</v>
      </c>
      <c r="G25" s="16" t="n">
        <f aca="false">+Chạy!G46</f>
        <v>-0.46</v>
      </c>
      <c r="H25" s="16" t="n">
        <f aca="false">G25+I25</f>
        <v>-0.403</v>
      </c>
      <c r="I25" s="16" t="n">
        <f aca="false">RANDBETWEEN(-30,90)/1000</f>
        <v>0.057</v>
      </c>
      <c r="J25" s="16" t="n">
        <f aca="false">+Chạy!K46</f>
        <v>-0.34</v>
      </c>
      <c r="K25" s="16" t="n">
        <f aca="false">J25+L25</f>
        <v>-0.265</v>
      </c>
      <c r="L25" s="16" t="n">
        <f aca="false">RANDBETWEEN(-30,90)/1000</f>
        <v>0.075</v>
      </c>
      <c r="M25" s="16" t="n">
        <f aca="false">+Chạy!N46</f>
        <v>6.41</v>
      </c>
      <c r="N25" s="16" t="n">
        <f aca="false">+M25+O25</f>
        <v>6.4179</v>
      </c>
      <c r="O25" s="16" t="n">
        <f aca="false">RANDBETWEEN(-105,115)/10000</f>
        <v>0.0079</v>
      </c>
      <c r="P25" s="16" t="n">
        <f aca="false">+Chạy!O46</f>
        <v>-0.46</v>
      </c>
      <c r="Q25" s="16" t="n">
        <f aca="false">P25+R25</f>
        <v>-0.391</v>
      </c>
      <c r="R25" s="16" t="n">
        <f aca="false">RANDBETWEEN(-30,90)/1000</f>
        <v>0.069</v>
      </c>
      <c r="S25" s="17"/>
      <c r="T25" s="18" t="n">
        <v>17.04</v>
      </c>
    </row>
    <row r="26" customFormat="false" ht="17.25" hidden="false" customHeight="true" outlineLevel="0" collapsed="false">
      <c r="A26" s="13" t="n">
        <v>6</v>
      </c>
      <c r="B26" s="14" t="s">
        <v>22</v>
      </c>
      <c r="C26" s="15" t="n">
        <f aca="false">+C25+T25</f>
        <v>746.82</v>
      </c>
      <c r="D26" s="16" t="n">
        <f aca="false">+Chạy!F55</f>
        <v>-6.85</v>
      </c>
      <c r="E26" s="16" t="n">
        <f aca="false">+D26+F26</f>
        <v>-6.8534</v>
      </c>
      <c r="F26" s="16" t="n">
        <f aca="false">RANDBETWEEN(-105,115)/10000</f>
        <v>-0.0034</v>
      </c>
      <c r="G26" s="16" t="n">
        <f aca="false">+Chạy!G55</f>
        <v>-0.46</v>
      </c>
      <c r="H26" s="16" t="n">
        <f aca="false">G26+I26</f>
        <v>-0.423</v>
      </c>
      <c r="I26" s="16" t="n">
        <f aca="false">RANDBETWEEN(-30,90)/1000</f>
        <v>0.037</v>
      </c>
      <c r="J26" s="16" t="n">
        <f aca="false">+Chạy!K55</f>
        <v>-0.34</v>
      </c>
      <c r="K26" s="16" t="n">
        <f aca="false">J26+L26</f>
        <v>-0.364</v>
      </c>
      <c r="L26" s="16" t="n">
        <f aca="false">RANDBETWEEN(-30,90)/1000</f>
        <v>-0.024</v>
      </c>
      <c r="M26" s="16" t="n">
        <f aca="false">+Chạy!N55</f>
        <v>8.01</v>
      </c>
      <c r="N26" s="16" t="n">
        <f aca="false">+M26+O26</f>
        <v>8.0184</v>
      </c>
      <c r="O26" s="16" t="n">
        <f aca="false">RANDBETWEEN(-105,115)/10000</f>
        <v>0.0084</v>
      </c>
      <c r="P26" s="16" t="n">
        <f aca="false">+Chạy!O55</f>
        <v>-0.46</v>
      </c>
      <c r="Q26" s="16" t="n">
        <f aca="false">P26+R26</f>
        <v>-0.453</v>
      </c>
      <c r="R26" s="16" t="n">
        <f aca="false">RANDBETWEEN(-30,90)/1000</f>
        <v>0.007</v>
      </c>
      <c r="S26" s="17"/>
      <c r="T26" s="18"/>
    </row>
    <row r="27" customFormat="false" ht="17.25" hidden="true" customHeight="true" outlineLevel="0" collapsed="false">
      <c r="A27" s="13"/>
      <c r="B27" s="14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7"/>
      <c r="T27" s="18"/>
    </row>
    <row r="28" customFormat="false" ht="17.25" hidden="true" customHeight="true" outlineLevel="0" collapsed="false">
      <c r="A28" s="13"/>
      <c r="B28" s="14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  <c r="T28" s="18"/>
    </row>
    <row r="29" customFormat="false" ht="17.25" hidden="true" customHeight="true" outlineLevel="0" collapsed="false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T29" s="18"/>
    </row>
    <row r="30" customFormat="false" ht="17.25" hidden="true" customHeight="true" outlineLevel="0" collapsed="false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T30" s="18"/>
    </row>
    <row r="31" customFormat="false" ht="17.25" hidden="true" customHeight="tru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T31" s="18"/>
    </row>
    <row r="32" customFormat="false" ht="17.25" hidden="true" customHeight="tru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T32" s="18"/>
    </row>
    <row r="33" customFormat="false" ht="17.25" hidden="true" customHeight="tru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</row>
    <row r="34" customFormat="false" ht="17.25" hidden="true" customHeight="tru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</row>
    <row r="35" customFormat="false" ht="17.25" hidden="true" customHeight="tru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</row>
    <row r="36" customFormat="false" ht="17.25" hidden="true" customHeight="tru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</row>
    <row r="37" customFormat="false" ht="17.25" hidden="true" customHeight="tru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</row>
    <row r="38" customFormat="false" ht="17.25" hidden="true" customHeight="tru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</row>
    <row r="39" customFormat="false" ht="17.25" hidden="true" customHeight="tru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</row>
    <row r="40" customFormat="false" ht="17.25" hidden="true" customHeight="tru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</row>
    <row r="41" customFormat="false" ht="17.25" hidden="true" customHeight="tru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</row>
    <row r="42" customFormat="false" ht="17.25" hidden="true" customHeight="tru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</row>
    <row r="43" customFormat="false" ht="17.25" hidden="true" customHeight="tru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</row>
    <row r="44" customFormat="false" ht="17.25" hidden="true" customHeight="tru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</row>
    <row r="45" customFormat="false" ht="17.25" hidden="true" customHeight="tru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</row>
    <row r="46" customFormat="false" ht="17.25" hidden="true" customHeight="tru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</row>
    <row r="47" customFormat="false" ht="17.25" hidden="true" customHeight="tru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</row>
    <row r="48" customFormat="false" ht="17.25" hidden="true" customHeight="tru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</row>
    <row r="49" customFormat="false" ht="17.25" hidden="true" customHeight="tru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</row>
    <row r="50" customFormat="false" ht="17.25" hidden="true" customHeight="tru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</row>
    <row r="51" customFormat="false" ht="17.25" hidden="true" customHeight="tru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</row>
    <row r="52" customFormat="false" ht="17.25" hidden="true" customHeight="tru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</row>
    <row r="53" customFormat="false" ht="17.25" hidden="true" customHeight="tru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</row>
    <row r="54" customFormat="false" ht="17.25" hidden="true" customHeight="tru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</row>
    <row r="55" customFormat="false" ht="17.25" hidden="true" customHeight="tru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</row>
    <row r="56" customFormat="false" ht="17.25" hidden="true" customHeight="tru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</row>
    <row r="57" customFormat="false" ht="17.25" hidden="true" customHeight="tru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</row>
    <row r="58" customFormat="false" ht="17.25" hidden="true" customHeight="tru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</row>
    <row r="59" customFormat="false" ht="17.25" hidden="true" customHeight="true" outlineLevel="0" collapsed="false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</row>
    <row r="60" customFormat="false" ht="17.25" hidden="true" customHeight="true" outlineLevel="0" collapsed="false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</row>
    <row r="62" customFormat="false" ht="15" hidden="false" customHeight="false" outlineLevel="0" collapsed="false">
      <c r="C62" s="19" t="s">
        <v>45</v>
      </c>
      <c r="D62" s="19"/>
      <c r="E62" s="19"/>
      <c r="F62" s="19"/>
      <c r="G62" s="19"/>
      <c r="H62" s="19"/>
      <c r="I62" s="19"/>
      <c r="K62" s="20"/>
      <c r="L62" s="20"/>
      <c r="M62" s="20"/>
      <c r="N62" s="20"/>
      <c r="O62" s="19" t="s">
        <v>46</v>
      </c>
      <c r="P62" s="19"/>
      <c r="Q62" s="19"/>
      <c r="R62" s="19"/>
    </row>
    <row r="63" customFormat="false" ht="15" hidden="false" customHeight="false" outlineLevel="0" collapsed="false">
      <c r="E63" s="21"/>
      <c r="F63" s="21"/>
      <c r="G63" s="21"/>
      <c r="H63" s="21"/>
      <c r="K63" s="21"/>
      <c r="L63" s="21"/>
      <c r="M63" s="21"/>
      <c r="N63" s="21"/>
      <c r="O63" s="21"/>
      <c r="P63" s="21"/>
      <c r="Q63" s="21"/>
      <c r="R63" s="21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C67" s="19" t="s">
        <v>47</v>
      </c>
      <c r="D67" s="19"/>
      <c r="E67" s="19"/>
      <c r="F67" s="19"/>
      <c r="G67" s="19"/>
      <c r="H67" s="19"/>
      <c r="I67" s="19"/>
      <c r="K67" s="20"/>
      <c r="L67" s="20"/>
      <c r="M67" s="20"/>
      <c r="N67" s="20"/>
      <c r="O67" s="19" t="s">
        <v>48</v>
      </c>
      <c r="P67" s="19"/>
      <c r="Q67" s="19"/>
      <c r="R67" s="19"/>
    </row>
  </sheetData>
  <mergeCells count="13">
    <mergeCell ref="A1:S1"/>
    <mergeCell ref="A2:S2"/>
    <mergeCell ref="A19:A20"/>
    <mergeCell ref="B19:B20"/>
    <mergeCell ref="C19:C20"/>
    <mergeCell ref="D19:I19"/>
    <mergeCell ref="J19:L19"/>
    <mergeCell ref="M19:R19"/>
    <mergeCell ref="S19:S20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196527777777778" right="0.196527777777778" top="0.39375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6"/>
  <sheetViews>
    <sheetView showFormulas="false" showGridLines="true" showRowColHeaders="true" showZeros="true" rightToLeft="false" tabSelected="false" showOutlineSymbols="true" defaultGridColor="true" view="normal" topLeftCell="A35" colorId="64" zoomScale="70" zoomScaleNormal="70" zoomScalePageLayoutView="100" workbookViewId="0">
      <selection pane="topLeft" activeCell="AD50" activeCellId="0" sqref="AD5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true" hidden="false" outlineLevel="0" max="30" min="30" style="22" width="11.57"/>
    <col collapsed="false" customWidth="true" hidden="false" outlineLevel="0" max="31" min="31" style="24" width="14.57"/>
    <col collapsed="false" customWidth="true" hidden="false" outlineLevel="0" max="32" min="32" style="22" width="11.57"/>
    <col collapsed="false" customWidth="true" hidden="false" outlineLevel="0" max="33" min="33" style="22" width="15.42"/>
    <col collapsed="false" customWidth="true" hidden="false" outlineLevel="0" max="34" min="34" style="22" width="13.42"/>
    <col collapsed="false" customWidth="true" hidden="false" outlineLevel="0" max="35" min="35" style="22" width="14.57"/>
    <col collapsed="false" customWidth="true" hidden="false" outlineLevel="0" max="37" min="36" style="22" width="13.42"/>
    <col collapsed="false" customWidth="true" hidden="false" outlineLevel="0" max="38" min="38" style="22" width="12.86"/>
    <col collapsed="false" customWidth="true" hidden="false" outlineLevel="0" max="40" min="39" style="22" width="10.57"/>
    <col collapsed="false" customWidth="false" hidden="false" outlineLevel="0" max="16384" min="41" style="22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E1" s="27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64.NĐXD4/CVXD ngày 16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E2" s="27"/>
      <c r="AZ2">
        <v>64</v>
      </c>
    </row>
    <row r="3" s="32" customFormat="true" ht="37.5" hidden="false" customHeight="true" outlineLevel="0" collapsed="false">
      <c r="A3" s="29" t="s">
        <v>25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1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2" customFormat="true" ht="37.5" hidden="false" customHeight="true" outlineLevel="0" collapsed="false">
      <c r="A4" s="29" t="s">
        <v>26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1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2" customFormat="true" ht="16.5" hidden="false" customHeight="true" outlineLevel="0" collapsed="false">
      <c r="A5" s="29" t="s">
        <v>27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1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2" customFormat="true" ht="16.5" hidden="false" customHeight="true" outlineLevel="0" collapsed="false">
      <c r="A6" s="29" t="s">
        <v>28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1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2" customFormat="true" ht="16.5" hidden="false" customHeight="true" outlineLevel="0" collapsed="false">
      <c r="A7" s="33" t="s">
        <v>29</v>
      </c>
      <c r="B7" s="34"/>
      <c r="D7" s="35" t="str">
        <f>VLOOKUP(AZ2,'[1]Tuyến XD4'!$A$2:$B$60,2,0)</f>
        <v xml:space="preserve">Đắp đất nền đường lớp 1 đoạn từ Km0+672,28 - Km0+746,82,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1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E8" s="31"/>
    </row>
    <row r="9" s="43" customFormat="true" ht="22.5" hidden="false" customHeight="true" outlineLevel="0" collapsed="false">
      <c r="A9" s="37" t="s">
        <v>0</v>
      </c>
      <c r="B9" s="37" t="s">
        <v>33</v>
      </c>
      <c r="C9" s="37" t="s">
        <v>34</v>
      </c>
      <c r="D9" s="38" t="s">
        <v>50</v>
      </c>
      <c r="E9" s="39"/>
      <c r="F9" s="39"/>
      <c r="G9" s="38"/>
      <c r="H9" s="39"/>
      <c r="I9" s="39"/>
      <c r="J9" s="39"/>
      <c r="K9" s="39"/>
      <c r="L9" s="39"/>
      <c r="M9" s="40" t="s">
        <v>51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38</v>
      </c>
      <c r="AC9" s="42"/>
      <c r="AE9" s="44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52</v>
      </c>
      <c r="O10" s="40" t="s">
        <v>53</v>
      </c>
      <c r="P10" s="40" t="s">
        <v>52</v>
      </c>
      <c r="Q10" s="40" t="s">
        <v>52</v>
      </c>
      <c r="R10" s="40"/>
      <c r="S10" s="40"/>
      <c r="T10" s="40"/>
      <c r="U10" s="40" t="s">
        <v>54</v>
      </c>
      <c r="V10" s="40" t="s">
        <v>54</v>
      </c>
      <c r="W10" s="40" t="s">
        <v>55</v>
      </c>
      <c r="X10" s="40" t="s">
        <v>54</v>
      </c>
      <c r="Y10" s="40" t="s">
        <v>54</v>
      </c>
      <c r="Z10" s="45"/>
      <c r="AA10" s="45"/>
      <c r="AB10" s="38"/>
      <c r="AC10" s="46"/>
      <c r="AD10" s="47"/>
      <c r="AE10" s="48"/>
      <c r="AG10" s="50"/>
      <c r="AH10" s="50"/>
      <c r="AI10" s="50"/>
      <c r="AV10" s="50"/>
    </row>
    <row r="11" s="49" customFormat="true" ht="15" hidden="false" customHeight="true" outlineLevel="0" collapsed="false">
      <c r="A11" s="13" t="n">
        <v>1</v>
      </c>
      <c r="B11" s="13" t="str">
        <f aca="false">'1.KTHH L1'!B21</f>
        <v>38</v>
      </c>
      <c r="C11" s="51" t="n">
        <f aca="false">'1.KTHH L1'!C21</f>
        <v>672.28</v>
      </c>
      <c r="D11" s="13" t="n">
        <f aca="false">'1.KTHH L1'!T21</f>
        <v>17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Chạy!E10</f>
        <v>4.71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69.7</v>
      </c>
      <c r="X11" s="55"/>
      <c r="Y11" s="55"/>
      <c r="Z11" s="55"/>
      <c r="AA11" s="55"/>
      <c r="AB11" s="56"/>
      <c r="AC11" s="57"/>
      <c r="AE11" s="58"/>
      <c r="AF11" s="58"/>
      <c r="AG11" s="58"/>
      <c r="AH11" s="58"/>
      <c r="AI11" s="59"/>
      <c r="AJ11" s="60"/>
      <c r="AL11" s="58"/>
      <c r="AO11" s="59"/>
      <c r="AP11" s="59"/>
      <c r="AQ11" s="59"/>
      <c r="AR11" s="59"/>
      <c r="AS11" s="59"/>
      <c r="AT11" s="59"/>
      <c r="AU11" s="59"/>
      <c r="AV11" s="59"/>
      <c r="AX11" s="59"/>
    </row>
    <row r="12" s="49" customFormat="true" ht="15" hidden="false" customHeight="true" outlineLevel="0" collapsed="false">
      <c r="A12" s="13" t="n">
        <v>2</v>
      </c>
      <c r="B12" s="13" t="str">
        <f aca="false">'1.KTHH L1'!B22</f>
        <v>39</v>
      </c>
      <c r="C12" s="51" t="n">
        <f aca="false">'1.KTHH L1'!C22</f>
        <v>689.28</v>
      </c>
      <c r="D12" s="13" t="n">
        <f aca="false">'1.KTHH L1'!T22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Chạy!E19</f>
        <v>3.49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20.50375</v>
      </c>
      <c r="X12" s="55"/>
      <c r="Y12" s="55"/>
      <c r="Z12" s="55"/>
      <c r="AA12" s="55"/>
      <c r="AB12" s="56"/>
      <c r="AC12" s="57"/>
      <c r="AE12" s="58"/>
      <c r="AF12" s="58"/>
      <c r="AG12" s="58"/>
      <c r="AH12" s="58"/>
      <c r="AI12" s="59"/>
      <c r="AJ12" s="60"/>
      <c r="AL12" s="58"/>
      <c r="AO12" s="59"/>
      <c r="AP12" s="59"/>
      <c r="AQ12" s="59"/>
      <c r="AR12" s="59"/>
      <c r="AS12" s="59"/>
      <c r="AT12" s="59"/>
      <c r="AU12" s="59"/>
      <c r="AV12" s="59"/>
      <c r="AX12" s="59"/>
    </row>
    <row r="13" s="49" customFormat="true" ht="15" hidden="false" customHeight="true" outlineLevel="0" collapsed="false">
      <c r="A13" s="13" t="n">
        <v>3</v>
      </c>
      <c r="B13" s="13" t="str">
        <f aca="false">'1.KTHH L1'!B23</f>
        <v>F2</v>
      </c>
      <c r="C13" s="51" t="n">
        <f aca="false">'1.KTHH L1'!C23</f>
        <v>701.03</v>
      </c>
      <c r="D13" s="13" t="n">
        <f aca="false">'1.KTHH L1'!T23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/>
      <c r="P13" s="53"/>
      <c r="Q13" s="53"/>
      <c r="R13" s="55"/>
      <c r="S13" s="55"/>
      <c r="T13" s="55"/>
      <c r="U13" s="55"/>
      <c r="V13" s="55"/>
      <c r="W13" s="55" t="n">
        <f aca="false">(O13+O14)*D13/2</f>
        <v>20.68</v>
      </c>
      <c r="X13" s="55"/>
      <c r="Y13" s="55"/>
      <c r="Z13" s="55"/>
      <c r="AA13" s="55"/>
      <c r="AB13" s="56"/>
      <c r="AC13" s="57"/>
      <c r="AE13" s="58"/>
      <c r="AF13" s="58"/>
      <c r="AG13" s="58"/>
      <c r="AH13" s="58"/>
      <c r="AI13" s="59"/>
      <c r="AJ13" s="60"/>
      <c r="AL13" s="58"/>
      <c r="AO13" s="59"/>
      <c r="AP13" s="59"/>
      <c r="AQ13" s="59"/>
      <c r="AR13" s="59"/>
      <c r="AS13" s="59"/>
      <c r="AT13" s="59"/>
      <c r="AU13" s="59"/>
      <c r="AV13" s="59"/>
      <c r="AX13" s="59"/>
    </row>
    <row r="14" s="49" customFormat="true" ht="15" hidden="false" customHeight="true" outlineLevel="0" collapsed="false">
      <c r="A14" s="13" t="n">
        <v>4</v>
      </c>
      <c r="B14" s="13" t="str">
        <f aca="false">'1.KTHH L1'!B24</f>
        <v>40</v>
      </c>
      <c r="C14" s="51" t="n">
        <f aca="false">'1.KTHH L1'!C24</f>
        <v>712.78</v>
      </c>
      <c r="D14" s="13" t="n">
        <f aca="false">'1.KTHH L1'!T24</f>
        <v>17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Chạy!E37</f>
        <v>3.52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53.21</v>
      </c>
      <c r="X14" s="55"/>
      <c r="Y14" s="55"/>
      <c r="Z14" s="55"/>
      <c r="AA14" s="55"/>
      <c r="AB14" s="56"/>
      <c r="AC14" s="57"/>
      <c r="AE14" s="58"/>
      <c r="AF14" s="58"/>
      <c r="AG14" s="58"/>
      <c r="AH14" s="58"/>
      <c r="AI14" s="59"/>
      <c r="AJ14" s="60"/>
      <c r="AL14" s="58"/>
      <c r="AO14" s="59"/>
      <c r="AP14" s="59"/>
      <c r="AQ14" s="59"/>
      <c r="AR14" s="59"/>
      <c r="AS14" s="59"/>
      <c r="AT14" s="59"/>
      <c r="AU14" s="59"/>
      <c r="AV14" s="59"/>
      <c r="AX14" s="59"/>
    </row>
    <row r="15" s="49" customFormat="true" ht="15" hidden="false" customHeight="true" outlineLevel="0" collapsed="false">
      <c r="A15" s="13" t="n">
        <v>5</v>
      </c>
      <c r="B15" s="13" t="str">
        <f aca="false">'1.KTHH L1'!B25</f>
        <v>41</v>
      </c>
      <c r="C15" s="51" t="n">
        <f aca="false">'1.KTHH L1'!C25</f>
        <v>729.78</v>
      </c>
      <c r="D15" s="13" t="n">
        <f aca="false">'1.KTHH L1'!T25</f>
        <v>17.04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Chạy!E46</f>
        <v>2.74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49.5012</v>
      </c>
      <c r="X15" s="55"/>
      <c r="Y15" s="55"/>
      <c r="Z15" s="55"/>
      <c r="AA15" s="55"/>
      <c r="AB15" s="56"/>
      <c r="AC15" s="57"/>
      <c r="AE15" s="58"/>
      <c r="AF15" s="58"/>
      <c r="AG15" s="58"/>
      <c r="AH15" s="58"/>
      <c r="AI15" s="59"/>
      <c r="AJ15" s="60"/>
      <c r="AL15" s="58"/>
      <c r="AO15" s="59"/>
      <c r="AP15" s="59"/>
      <c r="AQ15" s="59"/>
      <c r="AR15" s="59"/>
      <c r="AS15" s="59"/>
      <c r="AT15" s="59"/>
      <c r="AU15" s="59"/>
      <c r="AV15" s="59"/>
      <c r="AX15" s="59"/>
    </row>
    <row r="16" s="49" customFormat="true" ht="15" hidden="false" customHeight="true" outlineLevel="0" collapsed="false">
      <c r="A16" s="13" t="n">
        <v>6</v>
      </c>
      <c r="B16" s="13" t="str">
        <f aca="false">'1.KTHH L1'!B26</f>
        <v>42</v>
      </c>
      <c r="C16" s="51" t="n">
        <f aca="false">'1.KTHH L1'!C26</f>
        <v>746.82</v>
      </c>
      <c r="D16" s="13"/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Chạy!E55</f>
        <v>3.07</v>
      </c>
      <c r="P16" s="53"/>
      <c r="Q16" s="53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6"/>
      <c r="AC16" s="57"/>
      <c r="AE16" s="58"/>
      <c r="AF16" s="58"/>
      <c r="AG16" s="58"/>
      <c r="AH16" s="58"/>
      <c r="AI16" s="59"/>
      <c r="AJ16" s="60"/>
      <c r="AL16" s="58"/>
      <c r="AO16" s="59"/>
      <c r="AP16" s="59"/>
      <c r="AQ16" s="59"/>
      <c r="AR16" s="59"/>
      <c r="AS16" s="59"/>
      <c r="AT16" s="59"/>
      <c r="AU16" s="59"/>
      <c r="AV16" s="59"/>
      <c r="AX16" s="59"/>
    </row>
    <row r="17" s="49" customFormat="true" ht="15" hidden="true" customHeight="true" outlineLevel="0" collapsed="false">
      <c r="A17" s="13"/>
      <c r="B17" s="13"/>
      <c r="C17" s="51"/>
      <c r="D17" s="13"/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/>
      <c r="P17" s="53"/>
      <c r="Q17" s="53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6"/>
      <c r="AC17" s="57"/>
      <c r="AE17" s="58"/>
      <c r="AF17" s="58"/>
      <c r="AG17" s="58"/>
      <c r="AH17" s="58"/>
      <c r="AI17" s="59"/>
      <c r="AJ17" s="60"/>
      <c r="AL17" s="58"/>
      <c r="AO17" s="59"/>
      <c r="AP17" s="59"/>
      <c r="AQ17" s="59"/>
      <c r="AR17" s="59"/>
      <c r="AS17" s="59"/>
      <c r="AT17" s="59"/>
      <c r="AU17" s="59"/>
      <c r="AV17" s="59"/>
      <c r="AX17" s="59"/>
    </row>
    <row r="18" s="49" customFormat="true" ht="15" hidden="true" customHeight="true" outlineLevel="0" collapsed="false">
      <c r="A18" s="13"/>
      <c r="B18" s="13"/>
      <c r="C18" s="51"/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/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  <c r="AE18" s="58"/>
      <c r="AF18" s="58"/>
      <c r="AG18" s="58"/>
      <c r="AH18" s="58"/>
      <c r="AI18" s="59"/>
      <c r="AJ18" s="60"/>
      <c r="AL18" s="58"/>
      <c r="AO18" s="59"/>
      <c r="AP18" s="59"/>
      <c r="AQ18" s="59"/>
      <c r="AR18" s="59"/>
      <c r="AS18" s="59"/>
      <c r="AT18" s="59"/>
      <c r="AU18" s="59"/>
      <c r="AV18" s="59"/>
      <c r="AX18" s="59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  <c r="AE19" s="58"/>
      <c r="AF19" s="58"/>
      <c r="AG19" s="58"/>
      <c r="AH19" s="58"/>
      <c r="AI19" s="59"/>
      <c r="AJ19" s="60"/>
      <c r="AL19" s="58"/>
      <c r="AO19" s="59"/>
      <c r="AP19" s="59"/>
      <c r="AQ19" s="59"/>
      <c r="AR19" s="59"/>
      <c r="AS19" s="59"/>
      <c r="AT19" s="59"/>
      <c r="AU19" s="59"/>
      <c r="AV19" s="59"/>
      <c r="AX19" s="59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  <c r="AE20" s="58"/>
      <c r="AF20" s="58"/>
      <c r="AG20" s="58"/>
      <c r="AH20" s="58"/>
      <c r="AI20" s="59"/>
      <c r="AJ20" s="60"/>
      <c r="AL20" s="58"/>
      <c r="AO20" s="59"/>
      <c r="AP20" s="59"/>
      <c r="AQ20" s="59"/>
      <c r="AR20" s="59"/>
      <c r="AS20" s="59"/>
      <c r="AT20" s="59"/>
      <c r="AU20" s="59"/>
      <c r="AV20" s="59"/>
      <c r="AX20" s="59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  <c r="AE21" s="58"/>
      <c r="AF21" s="58"/>
      <c r="AG21" s="58"/>
      <c r="AH21" s="58"/>
      <c r="AI21" s="59"/>
      <c r="AJ21" s="60"/>
      <c r="AL21" s="58"/>
      <c r="AO21" s="59"/>
      <c r="AP21" s="59"/>
      <c r="AQ21" s="59"/>
      <c r="AR21" s="59"/>
      <c r="AS21" s="59"/>
      <c r="AT21" s="59"/>
      <c r="AU21" s="59"/>
      <c r="AV21" s="59"/>
      <c r="AX21" s="59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  <c r="AE22" s="58"/>
      <c r="AF22" s="58"/>
      <c r="AG22" s="58"/>
      <c r="AH22" s="58"/>
      <c r="AI22" s="59"/>
      <c r="AJ22" s="60"/>
      <c r="AL22" s="58"/>
      <c r="AO22" s="59"/>
      <c r="AP22" s="59"/>
      <c r="AQ22" s="59"/>
      <c r="AR22" s="59"/>
      <c r="AS22" s="59"/>
      <c r="AT22" s="59"/>
      <c r="AU22" s="59"/>
      <c r="AV22" s="59"/>
      <c r="AX22" s="59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  <c r="AE23" s="58"/>
      <c r="AF23" s="58"/>
      <c r="AG23" s="58"/>
      <c r="AH23" s="58"/>
      <c r="AI23" s="59"/>
      <c r="AJ23" s="60"/>
      <c r="AL23" s="58"/>
      <c r="AO23" s="59"/>
      <c r="AP23" s="59"/>
      <c r="AQ23" s="59"/>
      <c r="AR23" s="59"/>
      <c r="AS23" s="59"/>
      <c r="AT23" s="59"/>
      <c r="AU23" s="59"/>
      <c r="AV23" s="59"/>
      <c r="AX23" s="59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  <c r="AE24" s="58"/>
      <c r="AF24" s="58"/>
      <c r="AG24" s="58"/>
      <c r="AH24" s="58"/>
      <c r="AI24" s="59"/>
      <c r="AJ24" s="60"/>
      <c r="AL24" s="58"/>
      <c r="AO24" s="59"/>
      <c r="AP24" s="59"/>
      <c r="AQ24" s="59"/>
      <c r="AR24" s="59"/>
      <c r="AS24" s="59"/>
      <c r="AT24" s="59"/>
      <c r="AU24" s="59"/>
      <c r="AV24" s="59"/>
      <c r="AX24" s="59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  <c r="AE25" s="58"/>
      <c r="AF25" s="58"/>
      <c r="AG25" s="58"/>
      <c r="AH25" s="58"/>
      <c r="AI25" s="59"/>
      <c r="AJ25" s="60"/>
      <c r="AL25" s="58"/>
      <c r="AO25" s="59"/>
      <c r="AP25" s="59"/>
      <c r="AQ25" s="59"/>
      <c r="AR25" s="59"/>
      <c r="AS25" s="59"/>
      <c r="AT25" s="59"/>
      <c r="AU25" s="59"/>
      <c r="AV25" s="59"/>
      <c r="AX25" s="59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  <c r="AE26" s="58"/>
      <c r="AF26" s="58"/>
      <c r="AG26" s="58"/>
      <c r="AH26" s="58"/>
      <c r="AI26" s="59"/>
      <c r="AJ26" s="60"/>
      <c r="AL26" s="58"/>
      <c r="AO26" s="59"/>
      <c r="AP26" s="59"/>
      <c r="AQ26" s="59"/>
      <c r="AR26" s="59"/>
      <c r="AS26" s="59"/>
      <c r="AT26" s="59"/>
      <c r="AU26" s="59"/>
      <c r="AV26" s="59"/>
      <c r="AX26" s="59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  <c r="AE27" s="58"/>
      <c r="AF27" s="58"/>
      <c r="AG27" s="58"/>
      <c r="AH27" s="58"/>
      <c r="AI27" s="59"/>
      <c r="AJ27" s="60"/>
      <c r="AL27" s="58"/>
      <c r="AO27" s="59"/>
      <c r="AP27" s="59"/>
      <c r="AQ27" s="59"/>
      <c r="AR27" s="59"/>
      <c r="AS27" s="59"/>
      <c r="AT27" s="59"/>
      <c r="AU27" s="59"/>
      <c r="AV27" s="59"/>
      <c r="AX27" s="59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  <c r="AE28" s="58"/>
      <c r="AF28" s="58"/>
      <c r="AG28" s="58"/>
      <c r="AH28" s="58"/>
      <c r="AI28" s="59"/>
      <c r="AJ28" s="60"/>
      <c r="AL28" s="58"/>
      <c r="AO28" s="59"/>
      <c r="AP28" s="59"/>
      <c r="AQ28" s="59"/>
      <c r="AR28" s="59"/>
      <c r="AS28" s="59"/>
      <c r="AT28" s="59"/>
      <c r="AU28" s="59"/>
      <c r="AV28" s="59"/>
      <c r="AX28" s="59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  <c r="AE29" s="58"/>
      <c r="AF29" s="58"/>
      <c r="AG29" s="58"/>
      <c r="AH29" s="58"/>
      <c r="AI29" s="59"/>
      <c r="AJ29" s="60"/>
      <c r="AL29" s="58"/>
      <c r="AO29" s="59"/>
      <c r="AP29" s="59"/>
      <c r="AQ29" s="59"/>
      <c r="AR29" s="59"/>
      <c r="AS29" s="59"/>
      <c r="AT29" s="59"/>
      <c r="AU29" s="59"/>
      <c r="AV29" s="59"/>
      <c r="AX29" s="59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  <c r="AE30" s="58"/>
      <c r="AF30" s="58"/>
      <c r="AG30" s="58"/>
      <c r="AH30" s="58"/>
      <c r="AI30" s="59"/>
      <c r="AJ30" s="60"/>
      <c r="AL30" s="58"/>
      <c r="AO30" s="59"/>
      <c r="AP30" s="59"/>
      <c r="AQ30" s="59"/>
      <c r="AR30" s="59"/>
      <c r="AS30" s="59"/>
      <c r="AT30" s="59"/>
      <c r="AU30" s="59"/>
      <c r="AV30" s="59"/>
      <c r="AX30" s="59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  <c r="AE31" s="58"/>
      <c r="AF31" s="58"/>
      <c r="AG31" s="58"/>
      <c r="AH31" s="58"/>
      <c r="AI31" s="59"/>
      <c r="AJ31" s="60"/>
      <c r="AL31" s="58"/>
      <c r="AO31" s="59"/>
      <c r="AP31" s="59"/>
      <c r="AQ31" s="59"/>
      <c r="AR31" s="59"/>
      <c r="AS31" s="59"/>
      <c r="AT31" s="59"/>
      <c r="AU31" s="59"/>
      <c r="AV31" s="59"/>
      <c r="AX31" s="59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  <c r="AE32" s="58"/>
      <c r="AF32" s="58"/>
      <c r="AG32" s="58"/>
      <c r="AH32" s="58"/>
      <c r="AI32" s="59"/>
      <c r="AJ32" s="60"/>
      <c r="AL32" s="58"/>
      <c r="AO32" s="59"/>
      <c r="AP32" s="59"/>
      <c r="AQ32" s="59"/>
      <c r="AR32" s="59"/>
      <c r="AS32" s="59"/>
      <c r="AT32" s="59"/>
      <c r="AU32" s="59"/>
      <c r="AV32" s="59"/>
      <c r="AX32" s="59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  <c r="AE33" s="58"/>
      <c r="AF33" s="58"/>
      <c r="AG33" s="58"/>
      <c r="AH33" s="58"/>
      <c r="AI33" s="59"/>
      <c r="AJ33" s="60"/>
      <c r="AL33" s="58"/>
      <c r="AO33" s="59"/>
      <c r="AP33" s="59"/>
      <c r="AQ33" s="59"/>
      <c r="AR33" s="59"/>
      <c r="AS33" s="59"/>
      <c r="AT33" s="59"/>
      <c r="AU33" s="59"/>
      <c r="AV33" s="59"/>
      <c r="AX33" s="59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  <c r="AE34" s="58"/>
      <c r="AF34" s="58"/>
      <c r="AG34" s="58"/>
      <c r="AH34" s="58"/>
      <c r="AI34" s="59"/>
      <c r="AJ34" s="60"/>
      <c r="AL34" s="58"/>
      <c r="AO34" s="59"/>
      <c r="AP34" s="59"/>
      <c r="AQ34" s="59"/>
      <c r="AR34" s="59"/>
      <c r="AS34" s="59"/>
      <c r="AT34" s="59"/>
      <c r="AU34" s="59"/>
      <c r="AV34" s="59"/>
      <c r="AX34" s="59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  <c r="AE35" s="58"/>
      <c r="AF35" s="58"/>
      <c r="AG35" s="58"/>
      <c r="AH35" s="58"/>
      <c r="AI35" s="59"/>
      <c r="AJ35" s="60"/>
      <c r="AL35" s="58"/>
      <c r="AO35" s="59"/>
      <c r="AP35" s="59"/>
      <c r="AQ35" s="59"/>
      <c r="AR35" s="59"/>
      <c r="AS35" s="59"/>
      <c r="AT35" s="59"/>
      <c r="AU35" s="59"/>
      <c r="AV35" s="59"/>
      <c r="AX35" s="59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  <c r="AE36" s="58"/>
      <c r="AF36" s="58"/>
      <c r="AG36" s="58"/>
      <c r="AH36" s="58"/>
      <c r="AI36" s="59"/>
      <c r="AJ36" s="60"/>
      <c r="AL36" s="58"/>
      <c r="AO36" s="59"/>
      <c r="AP36" s="59"/>
      <c r="AQ36" s="59"/>
      <c r="AR36" s="59"/>
      <c r="AS36" s="59"/>
      <c r="AT36" s="59"/>
      <c r="AU36" s="59"/>
      <c r="AV36" s="59"/>
      <c r="AX36" s="59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  <c r="AE37" s="58"/>
      <c r="AF37" s="58"/>
      <c r="AG37" s="58"/>
      <c r="AH37" s="58"/>
      <c r="AI37" s="59"/>
      <c r="AJ37" s="60"/>
      <c r="AL37" s="58"/>
      <c r="AO37" s="59"/>
      <c r="AP37" s="59"/>
      <c r="AQ37" s="59"/>
      <c r="AR37" s="59"/>
      <c r="AS37" s="59"/>
      <c r="AT37" s="59"/>
      <c r="AU37" s="59"/>
      <c r="AV37" s="59"/>
      <c r="AX37" s="59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  <c r="AE38" s="58"/>
      <c r="AF38" s="58"/>
      <c r="AG38" s="58"/>
      <c r="AH38" s="58"/>
      <c r="AI38" s="59"/>
      <c r="AJ38" s="60"/>
      <c r="AL38" s="58"/>
      <c r="AO38" s="59"/>
      <c r="AP38" s="59"/>
      <c r="AQ38" s="59"/>
      <c r="AR38" s="59"/>
      <c r="AS38" s="59"/>
      <c r="AT38" s="59"/>
      <c r="AU38" s="59"/>
      <c r="AV38" s="59"/>
      <c r="AX38" s="59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  <c r="AE39" s="58"/>
      <c r="AF39" s="58"/>
      <c r="AG39" s="58"/>
      <c r="AH39" s="58"/>
      <c r="AI39" s="59"/>
      <c r="AJ39" s="60"/>
      <c r="AL39" s="58"/>
      <c r="AO39" s="59"/>
      <c r="AP39" s="59"/>
      <c r="AQ39" s="59"/>
      <c r="AR39" s="59"/>
      <c r="AS39" s="59"/>
      <c r="AT39" s="59"/>
      <c r="AU39" s="59"/>
      <c r="AV39" s="59"/>
      <c r="AX39" s="59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  <c r="AE40" s="58"/>
      <c r="AF40" s="58"/>
      <c r="AG40" s="58"/>
      <c r="AH40" s="58"/>
      <c r="AI40" s="59"/>
      <c r="AJ40" s="60"/>
      <c r="AL40" s="58"/>
      <c r="AO40" s="59"/>
      <c r="AP40" s="59"/>
      <c r="AQ40" s="59"/>
      <c r="AR40" s="59"/>
      <c r="AS40" s="59"/>
      <c r="AT40" s="59"/>
      <c r="AU40" s="59"/>
      <c r="AV40" s="59"/>
      <c r="AX40" s="59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  <c r="AE41" s="58"/>
      <c r="AF41" s="58"/>
      <c r="AG41" s="58"/>
      <c r="AH41" s="58"/>
      <c r="AI41" s="59"/>
      <c r="AJ41" s="60"/>
      <c r="AL41" s="58"/>
      <c r="AO41" s="59"/>
      <c r="AP41" s="59"/>
      <c r="AQ41" s="59"/>
      <c r="AR41" s="59"/>
      <c r="AS41" s="59"/>
      <c r="AT41" s="59"/>
      <c r="AU41" s="59"/>
      <c r="AV41" s="59"/>
      <c r="AX41" s="59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  <c r="AE42" s="58"/>
      <c r="AF42" s="58"/>
      <c r="AG42" s="58"/>
      <c r="AH42" s="58"/>
      <c r="AI42" s="59"/>
      <c r="AJ42" s="60"/>
      <c r="AL42" s="58"/>
      <c r="AO42" s="59"/>
      <c r="AP42" s="59"/>
      <c r="AQ42" s="59"/>
      <c r="AR42" s="59"/>
      <c r="AS42" s="59"/>
      <c r="AT42" s="59"/>
      <c r="AU42" s="59"/>
      <c r="AV42" s="59"/>
      <c r="AX42" s="59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  <c r="AE43" s="58"/>
      <c r="AF43" s="58"/>
      <c r="AG43" s="58"/>
      <c r="AH43" s="58"/>
      <c r="AI43" s="59"/>
      <c r="AJ43" s="60"/>
      <c r="AL43" s="58"/>
      <c r="AO43" s="59"/>
      <c r="AP43" s="59"/>
      <c r="AQ43" s="59"/>
      <c r="AR43" s="59"/>
      <c r="AS43" s="59"/>
      <c r="AT43" s="59"/>
      <c r="AU43" s="59"/>
      <c r="AV43" s="59"/>
      <c r="AX43" s="59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  <c r="AE44" s="58"/>
      <c r="AF44" s="58"/>
      <c r="AG44" s="58"/>
      <c r="AH44" s="58"/>
      <c r="AI44" s="59"/>
      <c r="AJ44" s="60"/>
      <c r="AL44" s="58"/>
      <c r="AO44" s="59"/>
      <c r="AP44" s="59"/>
      <c r="AQ44" s="59"/>
      <c r="AR44" s="59"/>
      <c r="AS44" s="59"/>
      <c r="AT44" s="59"/>
      <c r="AU44" s="59"/>
      <c r="AV44" s="59"/>
      <c r="AX44" s="59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  <c r="AE45" s="58"/>
      <c r="AF45" s="58"/>
      <c r="AG45" s="58"/>
      <c r="AH45" s="58"/>
      <c r="AI45" s="59"/>
      <c r="AJ45" s="60"/>
      <c r="AL45" s="58"/>
      <c r="AO45" s="59"/>
      <c r="AP45" s="59"/>
      <c r="AQ45" s="59"/>
      <c r="AR45" s="59"/>
      <c r="AS45" s="59"/>
      <c r="AT45" s="59"/>
      <c r="AU45" s="59"/>
      <c r="AV45" s="59"/>
      <c r="AX45" s="59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  <c r="AE46" s="58"/>
      <c r="AF46" s="58"/>
      <c r="AG46" s="58"/>
      <c r="AH46" s="58"/>
      <c r="AI46" s="59"/>
      <c r="AJ46" s="60"/>
      <c r="AL46" s="58"/>
      <c r="AO46" s="59"/>
      <c r="AP46" s="59"/>
      <c r="AQ46" s="59"/>
      <c r="AR46" s="59"/>
      <c r="AS46" s="59"/>
      <c r="AT46" s="59"/>
      <c r="AU46" s="59"/>
      <c r="AV46" s="59"/>
      <c r="AX46" s="59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  <c r="AE47" s="58"/>
      <c r="AF47" s="58"/>
      <c r="AG47" s="58"/>
      <c r="AH47" s="58"/>
      <c r="AI47" s="59"/>
      <c r="AJ47" s="60"/>
      <c r="AL47" s="58"/>
      <c r="AO47" s="59"/>
      <c r="AP47" s="59"/>
      <c r="AQ47" s="59"/>
      <c r="AR47" s="59"/>
      <c r="AS47" s="59"/>
      <c r="AT47" s="59"/>
      <c r="AU47" s="59"/>
      <c r="AV47" s="59"/>
      <c r="AX47" s="59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  <c r="AE48" s="58"/>
      <c r="AF48" s="58"/>
      <c r="AG48" s="58"/>
      <c r="AH48" s="58"/>
      <c r="AI48" s="59"/>
      <c r="AJ48" s="60"/>
      <c r="AL48" s="58"/>
      <c r="AO48" s="59"/>
      <c r="AP48" s="59"/>
      <c r="AQ48" s="59"/>
      <c r="AR48" s="59"/>
      <c r="AS48" s="59"/>
      <c r="AT48" s="59"/>
      <c r="AU48" s="59"/>
      <c r="AV48" s="59"/>
      <c r="AX48" s="59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  <c r="AE49" s="58"/>
      <c r="AF49" s="58"/>
      <c r="AG49" s="58"/>
      <c r="AH49" s="58"/>
      <c r="AI49" s="59"/>
      <c r="AJ49" s="60"/>
      <c r="AL49" s="58"/>
      <c r="AO49" s="59"/>
      <c r="AP49" s="59"/>
      <c r="AQ49" s="59"/>
      <c r="AR49" s="59"/>
      <c r="AS49" s="59"/>
      <c r="AT49" s="59"/>
      <c r="AU49" s="59"/>
      <c r="AV49" s="59"/>
      <c r="AX49" s="59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  <c r="AE50" s="58"/>
      <c r="AF50" s="58"/>
      <c r="AG50" s="58"/>
      <c r="AH50" s="58"/>
      <c r="AI50" s="59"/>
      <c r="AJ50" s="60"/>
      <c r="AL50" s="58"/>
      <c r="AO50" s="59"/>
      <c r="AP50" s="59"/>
      <c r="AQ50" s="59"/>
      <c r="AR50" s="59"/>
      <c r="AS50" s="59"/>
      <c r="AT50" s="59"/>
      <c r="AU50" s="59"/>
      <c r="AV50" s="59"/>
      <c r="AX50" s="59"/>
    </row>
    <row r="51" s="32" customFormat="true" ht="16.5" hidden="false" customHeight="true" outlineLevel="0" collapsed="false">
      <c r="A51" s="61" t="s">
        <v>56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SUM(W11:W16)</f>
        <v>213.59495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N51" s="67"/>
    </row>
    <row r="52" s="72" customFormat="true" ht="15.7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  <c r="AE52" s="73"/>
      <c r="AF52" s="74"/>
      <c r="AG52" s="74"/>
      <c r="AH52" s="74"/>
      <c r="AK52" s="75"/>
      <c r="AL52" s="76"/>
    </row>
    <row r="53" s="72" customFormat="true" ht="15.75" hidden="false" customHeight="true" outlineLevel="0" collapsed="false">
      <c r="A53" s="19" t="s">
        <v>45</v>
      </c>
      <c r="B53" s="19"/>
      <c r="C53" s="19"/>
      <c r="D53" s="77" t="s">
        <v>57</v>
      </c>
      <c r="E53" s="19" t="s">
        <v>46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E53" s="73"/>
      <c r="AL53" s="76"/>
    </row>
    <row r="54" s="72" customFormat="true" ht="16.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  <c r="AD54" s="80"/>
      <c r="AE54" s="80"/>
      <c r="AF54" s="80"/>
      <c r="AG54" s="80"/>
      <c r="AH54" s="80"/>
      <c r="AI54" s="80"/>
      <c r="AJ54" s="80"/>
      <c r="AK54" s="80"/>
      <c r="AL54" s="67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E55" s="73"/>
      <c r="AF55" s="75"/>
      <c r="AK55" s="75"/>
      <c r="AL55" s="74"/>
      <c r="AM55" s="82"/>
    </row>
    <row r="56" s="72" customFormat="true" ht="15.7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  <c r="AE56" s="73"/>
      <c r="AL56" s="83"/>
      <c r="AN56" s="83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  <c r="AE57" s="73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  <c r="AE58" s="73"/>
    </row>
    <row r="59" s="72" customFormat="true" ht="15" hidden="false" customHeight="true" outlineLevel="0" collapsed="false">
      <c r="A59" s="19" t="s">
        <v>47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48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4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4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4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4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4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4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4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4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4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4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4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4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4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4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4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4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4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4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4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4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4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4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4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4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4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4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4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4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359722222222222" bottom="0.24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8"/>
  <sheetViews>
    <sheetView showFormulas="false" showGridLines="true" showRowColHeaders="true" showZeros="true" rightToLeft="false" tabSelected="false" showOutlineSymbols="true" defaultGridColor="true" view="normal" topLeftCell="A45" colorId="64" zoomScale="85" zoomScaleNormal="85" zoomScalePageLayoutView="100" workbookViewId="0">
      <selection pane="topLeft" activeCell="U17" activeCellId="0" sqref="U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29"/>
    <col collapsed="false" customWidth="true" hidden="false" outlineLevel="0" max="2" min="2" style="1" width="7.15"/>
    <col collapsed="false" customWidth="true" hidden="false" outlineLevel="0" max="3" min="3" style="1" width="16.5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14"/>
    <col collapsed="false" customWidth="true" hidden="true" outlineLevel="0" max="15" min="13" style="1" width="8.57"/>
    <col collapsed="false" customWidth="true" hidden="false" outlineLevel="0" max="18" min="16" style="1" width="11.14"/>
    <col collapsed="false" customWidth="true" hidden="false" outlineLevel="0" max="19" min="19" style="1" width="6.43"/>
  </cols>
  <sheetData>
    <row r="1" customFormat="false" ht="20.25" hidden="false" customHeight="true" outlineLevel="0" collapsed="false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65.NĐXD4/CVXD ngày 17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65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28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29</v>
      </c>
      <c r="C7" s="7"/>
      <c r="D7" s="7"/>
      <c r="F7" s="7"/>
      <c r="G7" s="7" t="str">
        <f>VLOOKUP(AZ2,'[1]Tuyến XD4'!$A$2:$B$60,2,0)</f>
        <v xml:space="preserve">Đắp đất nền đường lớp 2 đoạn từ Km0+672,28 - Km0+746,82, độ chặt K&gt;=0,95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15" hidden="false" customHeight="true" outlineLevel="0" collapsed="false">
      <c r="A19" s="9" t="s">
        <v>32</v>
      </c>
      <c r="B19" s="9" t="s">
        <v>33</v>
      </c>
      <c r="C19" s="9" t="s">
        <v>34</v>
      </c>
      <c r="D19" s="10" t="s">
        <v>35</v>
      </c>
      <c r="E19" s="10"/>
      <c r="F19" s="10"/>
      <c r="G19" s="10"/>
      <c r="H19" s="10"/>
      <c r="I19" s="10"/>
      <c r="J19" s="10" t="s">
        <v>36</v>
      </c>
      <c r="K19" s="10"/>
      <c r="L19" s="10"/>
      <c r="M19" s="10" t="s">
        <v>37</v>
      </c>
      <c r="N19" s="10"/>
      <c r="O19" s="10"/>
      <c r="P19" s="10"/>
      <c r="Q19" s="10"/>
      <c r="R19" s="10"/>
      <c r="S19" s="9" t="s">
        <v>38</v>
      </c>
    </row>
    <row r="20" customFormat="false" ht="30" hidden="false" customHeight="true" outlineLevel="0" collapsed="false">
      <c r="A20" s="9"/>
      <c r="B20" s="9"/>
      <c r="C20" s="9"/>
      <c r="D20" s="11" t="s">
        <v>39</v>
      </c>
      <c r="E20" s="11" t="s">
        <v>40</v>
      </c>
      <c r="F20" s="11" t="s">
        <v>41</v>
      </c>
      <c r="G20" s="11" t="s">
        <v>42</v>
      </c>
      <c r="H20" s="11" t="s">
        <v>43</v>
      </c>
      <c r="I20" s="11" t="s">
        <v>44</v>
      </c>
      <c r="J20" s="11" t="s">
        <v>42</v>
      </c>
      <c r="K20" s="11" t="s">
        <v>43</v>
      </c>
      <c r="L20" s="11" t="s">
        <v>44</v>
      </c>
      <c r="M20" s="11" t="s">
        <v>39</v>
      </c>
      <c r="N20" s="11" t="s">
        <v>40</v>
      </c>
      <c r="O20" s="11" t="s">
        <v>41</v>
      </c>
      <c r="P20" s="11" t="s">
        <v>42</v>
      </c>
      <c r="Q20" s="11" t="s">
        <v>43</v>
      </c>
      <c r="R20" s="11" t="s">
        <v>44</v>
      </c>
      <c r="S20" s="9"/>
      <c r="T20" s="86"/>
      <c r="V20" s="87"/>
      <c r="W20" s="87"/>
      <c r="X20" s="87"/>
    </row>
    <row r="21" customFormat="false" ht="15" hidden="false" customHeight="false" outlineLevel="0" collapsed="false">
      <c r="A21" s="13" t="n">
        <v>1</v>
      </c>
      <c r="B21" s="13" t="s">
        <v>17</v>
      </c>
      <c r="C21" s="15" t="n">
        <v>672.28</v>
      </c>
      <c r="D21" s="16" t="n">
        <f aca="false">+Chạy!F9</f>
        <v>-10.24</v>
      </c>
      <c r="E21" s="16" t="n">
        <f aca="false">+D21+F21</f>
        <v>-10.2362</v>
      </c>
      <c r="F21" s="16" t="n">
        <f aca="false">RANDBETWEEN(-105,115)/10000</f>
        <v>0.0038</v>
      </c>
      <c r="G21" s="16" t="n">
        <f aca="false">+Chạy!G9</f>
        <v>-0.16</v>
      </c>
      <c r="H21" s="16" t="n">
        <f aca="false">G21+I21</f>
        <v>-0.142</v>
      </c>
      <c r="I21" s="16" t="n">
        <f aca="false">RANDBETWEEN(-30,90)/1000</f>
        <v>0.018</v>
      </c>
      <c r="J21" s="16" t="n">
        <f aca="false">+Chạy!K9</f>
        <v>-0.04</v>
      </c>
      <c r="K21" s="16" t="n">
        <f aca="false">J21+L21</f>
        <v>-0.035</v>
      </c>
      <c r="L21" s="16" t="n">
        <f aca="false">RANDBETWEEN(-30,90)/1000</f>
        <v>0.005</v>
      </c>
      <c r="M21" s="16" t="n">
        <f aca="false">+Chạy!N9</f>
        <v>15.1</v>
      </c>
      <c r="N21" s="16" t="n">
        <f aca="false">+M21+O21</f>
        <v>15.1092</v>
      </c>
      <c r="O21" s="16" t="n">
        <f aca="false">RANDBETWEEN(-105,115)/10000</f>
        <v>0.0092</v>
      </c>
      <c r="P21" s="16" t="n">
        <f aca="false">+Chạy!O9</f>
        <v>-0.16</v>
      </c>
      <c r="Q21" s="16" t="n">
        <f aca="false">P21+R21</f>
        <v>-0.073</v>
      </c>
      <c r="R21" s="16" t="n">
        <f aca="false">RANDBETWEEN(-30,90)/1000</f>
        <v>0.087</v>
      </c>
      <c r="S21" s="17"/>
      <c r="T21" s="0" t="n">
        <v>17</v>
      </c>
    </row>
    <row r="22" customFormat="false" ht="15" hidden="false" customHeight="false" outlineLevel="0" collapsed="false">
      <c r="A22" s="13" t="n">
        <v>2</v>
      </c>
      <c r="B22" s="13" t="s">
        <v>18</v>
      </c>
      <c r="C22" s="15" t="n">
        <f aca="false">+C21+T21</f>
        <v>689.28</v>
      </c>
      <c r="D22" s="16" t="n">
        <f aca="false">+Chạy!F18</f>
        <v>-9.5</v>
      </c>
      <c r="E22" s="16" t="n">
        <f aca="false">+D22+F22</f>
        <v>-9.5013</v>
      </c>
      <c r="F22" s="16" t="n">
        <f aca="false">RANDBETWEEN(-105,115)/10000</f>
        <v>-0.0013</v>
      </c>
      <c r="G22" s="16" t="n">
        <f aca="false">+Chạy!G18</f>
        <v>-0.16</v>
      </c>
      <c r="H22" s="16" t="n">
        <f aca="false">G22+I22</f>
        <v>-0.114</v>
      </c>
      <c r="I22" s="16" t="n">
        <f aca="false">RANDBETWEEN(-30,90)/1000</f>
        <v>0.046</v>
      </c>
      <c r="J22" s="16" t="n">
        <f aca="false">+Chạy!K18</f>
        <v>-0.04</v>
      </c>
      <c r="K22" s="16" t="n">
        <f aca="false">J22+L22</f>
        <v>0.007</v>
      </c>
      <c r="L22" s="16" t="n">
        <f aca="false">RANDBETWEEN(-30,90)/1000</f>
        <v>0.047</v>
      </c>
      <c r="M22" s="16" t="n">
        <f aca="false">+Chạy!N18</f>
        <v>8.74</v>
      </c>
      <c r="N22" s="16" t="n">
        <f aca="false">+M22+O22</f>
        <v>8.7424</v>
      </c>
      <c r="O22" s="16" t="n">
        <f aca="false">RANDBETWEEN(-105,115)/10000</f>
        <v>0.0024</v>
      </c>
      <c r="P22" s="16" t="n">
        <f aca="false">+Chạy!O18</f>
        <v>-0.16</v>
      </c>
      <c r="Q22" s="16" t="n">
        <f aca="false">P22+R22</f>
        <v>-0.19</v>
      </c>
      <c r="R22" s="16" t="n">
        <f aca="false">RANDBETWEEN(-30,90)/1000</f>
        <v>-0.03</v>
      </c>
      <c r="S22" s="17"/>
      <c r="T22" s="0" t="n">
        <v>11.75</v>
      </c>
    </row>
    <row r="23" customFormat="false" ht="15" hidden="false" customHeight="false" outlineLevel="0" collapsed="false">
      <c r="A23" s="13" t="n">
        <v>3</v>
      </c>
      <c r="B23" s="13" t="s">
        <v>19</v>
      </c>
      <c r="C23" s="15" t="n">
        <f aca="false">+C22+T22</f>
        <v>701.03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7"/>
      <c r="T23" s="0" t="n">
        <v>11.75</v>
      </c>
    </row>
    <row r="24" customFormat="false" ht="15" hidden="false" customHeight="false" outlineLevel="0" collapsed="false">
      <c r="A24" s="13" t="n">
        <v>4</v>
      </c>
      <c r="B24" s="13" t="s">
        <v>20</v>
      </c>
      <c r="C24" s="15" t="n">
        <f aca="false">+C23+T23</f>
        <v>712.78</v>
      </c>
      <c r="D24" s="16" t="n">
        <f aca="false">+Chạy!F36</f>
        <v>-9.64</v>
      </c>
      <c r="E24" s="16" t="n">
        <f aca="false">+D24+F24</f>
        <v>-9.6411</v>
      </c>
      <c r="F24" s="16" t="n">
        <f aca="false">RANDBETWEEN(-105,115)/10000</f>
        <v>-0.0011</v>
      </c>
      <c r="G24" s="16" t="n">
        <f aca="false">+Chạy!G36</f>
        <v>-0.16</v>
      </c>
      <c r="H24" s="16" t="n">
        <f aca="false">G24+I24</f>
        <v>-0.152</v>
      </c>
      <c r="I24" s="16" t="n">
        <f aca="false">RANDBETWEEN(-30,90)/1000</f>
        <v>0.008</v>
      </c>
      <c r="J24" s="16" t="n">
        <f aca="false">+Chạy!K36</f>
        <v>-0.04</v>
      </c>
      <c r="K24" s="16" t="n">
        <f aca="false">J24+L24</f>
        <v>-0.016</v>
      </c>
      <c r="L24" s="16" t="n">
        <f aca="false">RANDBETWEEN(-30,90)/1000</f>
        <v>0.024</v>
      </c>
      <c r="M24" s="16" t="n">
        <f aca="false">+Chạy!N36</f>
        <v>8.6</v>
      </c>
      <c r="N24" s="16" t="n">
        <f aca="false">+M24+O24</f>
        <v>8.606</v>
      </c>
      <c r="O24" s="16" t="n">
        <f aca="false">RANDBETWEEN(-105,115)/10000</f>
        <v>0.006</v>
      </c>
      <c r="P24" s="16" t="n">
        <f aca="false">+Chạy!O36</f>
        <v>-0.16</v>
      </c>
      <c r="Q24" s="16" t="n">
        <f aca="false">P24+R24</f>
        <v>-0.111</v>
      </c>
      <c r="R24" s="16" t="n">
        <f aca="false">RANDBETWEEN(-30,90)/1000</f>
        <v>0.049</v>
      </c>
      <c r="S24" s="17"/>
      <c r="T24" s="0" t="n">
        <v>17</v>
      </c>
    </row>
    <row r="25" customFormat="false" ht="15" hidden="false" customHeight="false" outlineLevel="0" collapsed="false">
      <c r="A25" s="13" t="n">
        <v>5</v>
      </c>
      <c r="B25" s="13" t="s">
        <v>21</v>
      </c>
      <c r="C25" s="15" t="n">
        <f aca="false">+C24+T24</f>
        <v>729.78</v>
      </c>
      <c r="D25" s="16" t="n">
        <f aca="false">+Chạy!F45</f>
        <v>-6.71</v>
      </c>
      <c r="E25" s="16" t="n">
        <f aca="false">+D25+F25</f>
        <v>-6.7085</v>
      </c>
      <c r="F25" s="16" t="n">
        <f aca="false">RANDBETWEEN(-105,115)/10000</f>
        <v>0.0015</v>
      </c>
      <c r="G25" s="16" t="n">
        <f aca="false">+Chạy!G45</f>
        <v>-0.16</v>
      </c>
      <c r="H25" s="16" t="n">
        <f aca="false">G25+I25</f>
        <v>-0.084</v>
      </c>
      <c r="I25" s="16" t="n">
        <f aca="false">RANDBETWEEN(-30,90)/1000</f>
        <v>0.076</v>
      </c>
      <c r="J25" s="16" t="n">
        <f aca="false">+Chạy!K45</f>
        <v>-0.04</v>
      </c>
      <c r="K25" s="16" t="n">
        <f aca="false">J25+L25</f>
        <v>0.015</v>
      </c>
      <c r="L25" s="16" t="n">
        <f aca="false">RANDBETWEEN(-30,90)/1000</f>
        <v>0.055</v>
      </c>
      <c r="M25" s="16" t="n">
        <f aca="false">+Chạy!N45</f>
        <v>6.71</v>
      </c>
      <c r="N25" s="16" t="n">
        <f aca="false">+M25+O25</f>
        <v>6.7092</v>
      </c>
      <c r="O25" s="16" t="n">
        <f aca="false">RANDBETWEEN(-105,115)/10000</f>
        <v>-0.0008</v>
      </c>
      <c r="P25" s="16" t="n">
        <f aca="false">+Chạy!O45</f>
        <v>-0.16</v>
      </c>
      <c r="Q25" s="16" t="n">
        <f aca="false">P25+R25</f>
        <v>-0.123</v>
      </c>
      <c r="R25" s="16" t="n">
        <f aca="false">RANDBETWEEN(-30,90)/1000</f>
        <v>0.037</v>
      </c>
      <c r="S25" s="17"/>
      <c r="T25" s="0" t="n">
        <v>17.04</v>
      </c>
    </row>
    <row r="26" customFormat="false" ht="15" hidden="false" customHeight="false" outlineLevel="0" collapsed="false">
      <c r="A26" s="13" t="n">
        <v>6</v>
      </c>
      <c r="B26" s="13" t="s">
        <v>22</v>
      </c>
      <c r="C26" s="15" t="n">
        <f aca="false">+C25+T25</f>
        <v>746.82</v>
      </c>
      <c r="D26" s="16" t="n">
        <f aca="false">+Chạy!F54</f>
        <v>-7.15</v>
      </c>
      <c r="E26" s="16" t="n">
        <f aca="false">+D26+F26</f>
        <v>-7.142</v>
      </c>
      <c r="F26" s="16" t="n">
        <f aca="false">RANDBETWEEN(-105,115)/10000</f>
        <v>0.008</v>
      </c>
      <c r="G26" s="16" t="n">
        <f aca="false">+Chạy!G54</f>
        <v>-0.16</v>
      </c>
      <c r="H26" s="16" t="n">
        <f aca="false">G26+I26</f>
        <v>-0.143</v>
      </c>
      <c r="I26" s="16" t="n">
        <f aca="false">RANDBETWEEN(-30,90)/1000</f>
        <v>0.017</v>
      </c>
      <c r="J26" s="16" t="n">
        <f aca="false">+Chạy!K54</f>
        <v>-0.04</v>
      </c>
      <c r="K26" s="16" t="n">
        <f aca="false">J26+L26</f>
        <v>0.012</v>
      </c>
      <c r="L26" s="16" t="n">
        <f aca="false">RANDBETWEEN(-30,90)/1000</f>
        <v>0.052</v>
      </c>
      <c r="M26" s="16" t="n">
        <f aca="false">+Chạy!N54</f>
        <v>8.31</v>
      </c>
      <c r="N26" s="16" t="n">
        <f aca="false">+M26+O26</f>
        <v>8.3017</v>
      </c>
      <c r="O26" s="16" t="n">
        <f aca="false">RANDBETWEEN(-105,115)/10000</f>
        <v>-0.0083</v>
      </c>
      <c r="P26" s="16" t="n">
        <f aca="false">+Chạy!O54</f>
        <v>-0.16</v>
      </c>
      <c r="Q26" s="16" t="n">
        <f aca="false">P26+R26</f>
        <v>-0.074</v>
      </c>
      <c r="R26" s="16" t="n">
        <f aca="false">RANDBETWEEN(-30,90)/1000</f>
        <v>0.086</v>
      </c>
      <c r="S26" s="17"/>
    </row>
    <row r="27" customFormat="false" ht="15" hidden="true" customHeight="false" outlineLevel="0" collapsed="false">
      <c r="A27" s="13"/>
      <c r="B27" s="13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7"/>
    </row>
    <row r="28" customFormat="false" ht="15" hidden="true" customHeight="false" outlineLevel="0" collapsed="false">
      <c r="A28" s="13"/>
      <c r="B28" s="13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</row>
    <row r="29" customFormat="false" ht="15" hidden="true" customHeight="false" outlineLevel="0" collapsed="false">
      <c r="A29" s="13"/>
      <c r="B29" s="13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</row>
    <row r="30" customFormat="false" ht="15" hidden="true" customHeight="false" outlineLevel="0" collapsed="false">
      <c r="A30" s="13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</row>
    <row r="31" customFormat="false" ht="15" hidden="true" customHeight="false" outlineLevel="0" collapsed="false">
      <c r="A31" s="13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</row>
    <row r="32" customFormat="false" ht="15" hidden="true" customHeight="false" outlineLevel="0" collapsed="false">
      <c r="A32" s="13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</row>
    <row r="61" customFormat="false" ht="12" hidden="false" customHeight="true" outlineLevel="0" collapsed="false"/>
    <row r="62" customFormat="false" ht="15" hidden="false" customHeight="false" outlineLevel="0" collapsed="false">
      <c r="C62" s="19" t="s">
        <v>45</v>
      </c>
      <c r="D62" s="19"/>
      <c r="E62" s="19"/>
      <c r="F62" s="19"/>
      <c r="G62" s="19"/>
      <c r="H62" s="19"/>
      <c r="I62" s="19"/>
      <c r="K62" s="20"/>
      <c r="L62" s="20"/>
      <c r="M62" s="20"/>
      <c r="N62" s="20"/>
      <c r="O62" s="19" t="s">
        <v>46</v>
      </c>
      <c r="P62" s="19"/>
      <c r="Q62" s="19"/>
      <c r="R62" s="19"/>
    </row>
    <row r="63" customFormat="false" ht="15" hidden="false" customHeight="false" outlineLevel="0" collapsed="false">
      <c r="E63" s="21"/>
      <c r="F63" s="21"/>
      <c r="G63" s="21"/>
      <c r="H63" s="21"/>
      <c r="K63" s="21"/>
      <c r="L63" s="21"/>
      <c r="M63" s="21"/>
      <c r="N63" s="21"/>
      <c r="O63" s="21"/>
      <c r="P63" s="21"/>
      <c r="Q63" s="21"/>
      <c r="R63" s="21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.75" hidden="false" customHeight="true" outlineLevel="0" collapsed="false">
      <c r="A67" s="88"/>
      <c r="B67" s="88"/>
      <c r="C67" s="89" t="s">
        <v>47</v>
      </c>
      <c r="D67" s="89"/>
      <c r="E67" s="89"/>
      <c r="F67" s="89"/>
      <c r="G67" s="89"/>
      <c r="H67" s="89"/>
      <c r="I67" s="89"/>
      <c r="J67" s="88"/>
      <c r="K67" s="90"/>
      <c r="L67" s="90"/>
      <c r="M67" s="90"/>
      <c r="N67" s="90"/>
      <c r="O67" s="89" t="s">
        <v>48</v>
      </c>
      <c r="P67" s="89"/>
      <c r="Q67" s="89"/>
      <c r="R67" s="89"/>
      <c r="S67" s="88"/>
    </row>
    <row r="68" customFormat="false" ht="17.25" hidden="false" customHeight="true" outlineLevel="0" collapsed="false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</row>
  </sheetData>
  <mergeCells count="13">
    <mergeCell ref="A1:S1"/>
    <mergeCell ref="A2:S2"/>
    <mergeCell ref="A19:A20"/>
    <mergeCell ref="B19:B20"/>
    <mergeCell ref="C19:C20"/>
    <mergeCell ref="D19:I19"/>
    <mergeCell ref="J19:L19"/>
    <mergeCell ref="M19:R19"/>
    <mergeCell ref="S19:S20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196527777777778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true" showOutlineSymbols="true" defaultGridColor="true" view="normal" topLeftCell="A4" colorId="64" zoomScale="70" zoomScaleNormal="70" zoomScalePageLayoutView="100" workbookViewId="0">
      <selection pane="topLeft" activeCell="AD52" activeCellId="0" sqref="AD52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true" hidden="false" outlineLevel="0" max="31" min="30" style="22" width="11.85"/>
    <col collapsed="false" customWidth="true" hidden="false" outlineLevel="0" max="32" min="32" style="22" width="13.86"/>
    <col collapsed="false" customWidth="true" hidden="false" outlineLevel="0" max="38" min="33" style="22" width="10.57"/>
    <col collapsed="false" customWidth="true" hidden="false" outlineLevel="0" max="39" min="39" style="22" width="11.85"/>
    <col collapsed="false" customWidth="false" hidden="false" outlineLevel="0" max="16384" min="40" style="22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65.NĐXD4/CVXD ngày 17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65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28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5.25" hidden="false" customHeight="true" outlineLevel="0" collapsed="false">
      <c r="A7" s="33" t="s">
        <v>29</v>
      </c>
      <c r="B7" s="34"/>
      <c r="D7" s="35" t="str">
        <f>VLOOKUP(AZ2,'[1]Tuyến XD4'!$A$2:$B$60,2,0)</f>
        <v xml:space="preserve">Đắp đất nền đường lớp 2 đoạn từ Km0+672,28 - Km0+746,82,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33</v>
      </c>
      <c r="C9" s="37" t="s">
        <v>34</v>
      </c>
      <c r="D9" s="38" t="s">
        <v>50</v>
      </c>
      <c r="E9" s="39"/>
      <c r="F9" s="39"/>
      <c r="G9" s="38"/>
      <c r="H9" s="39"/>
      <c r="I9" s="39"/>
      <c r="J9" s="39"/>
      <c r="K9" s="39"/>
      <c r="L9" s="39"/>
      <c r="M9" s="40" t="s">
        <v>51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38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52</v>
      </c>
      <c r="O10" s="40" t="s">
        <v>53</v>
      </c>
      <c r="P10" s="40" t="s">
        <v>52</v>
      </c>
      <c r="Q10" s="40" t="s">
        <v>52</v>
      </c>
      <c r="R10" s="40"/>
      <c r="S10" s="40"/>
      <c r="T10" s="40"/>
      <c r="U10" s="40" t="s">
        <v>54</v>
      </c>
      <c r="V10" s="40" t="s">
        <v>54</v>
      </c>
      <c r="W10" s="40" t="s">
        <v>55</v>
      </c>
      <c r="X10" s="40" t="s">
        <v>54</v>
      </c>
      <c r="Y10" s="40" t="s">
        <v>54</v>
      </c>
      <c r="Z10" s="45"/>
      <c r="AA10" s="45"/>
      <c r="AB10" s="38"/>
      <c r="AC10" s="46"/>
      <c r="AD10" s="47"/>
      <c r="AE10" s="47"/>
    </row>
    <row r="11" s="49" customFormat="true" ht="15" hidden="false" customHeight="true" outlineLevel="0" collapsed="false">
      <c r="A11" s="13" t="n">
        <v>1</v>
      </c>
      <c r="B11" s="13" t="str">
        <f aca="false">'2.KTHH L2'!B21</f>
        <v>38</v>
      </c>
      <c r="C11" s="51" t="n">
        <f aca="false">'2.KTHH L2'!C21</f>
        <v>672.28</v>
      </c>
      <c r="D11" s="13" t="n">
        <f aca="false">'2.KTHH L2'!T21</f>
        <v>17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Chạy!E9</f>
        <v>7.62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110.5</v>
      </c>
      <c r="X11" s="55"/>
      <c r="Y11" s="55"/>
      <c r="Z11" s="55"/>
      <c r="AA11" s="55"/>
      <c r="AB11" s="56"/>
      <c r="AC11" s="57"/>
      <c r="AE11" s="92"/>
    </row>
    <row r="12" s="49" customFormat="true" ht="15" hidden="false" customHeight="true" outlineLevel="0" collapsed="false">
      <c r="A12" s="13" t="n">
        <v>2</v>
      </c>
      <c r="B12" s="13" t="str">
        <f aca="false">'2.KTHH L2'!B22</f>
        <v>39</v>
      </c>
      <c r="C12" s="51" t="n">
        <f aca="false">'2.KTHH L2'!C22</f>
        <v>689.28</v>
      </c>
      <c r="D12" s="13" t="n">
        <f aca="false">'2.KTHH L2'!T22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Chạy!E18</f>
        <v>5.38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31.6075</v>
      </c>
      <c r="X12" s="55"/>
      <c r="Y12" s="55"/>
      <c r="Z12" s="55"/>
      <c r="AA12" s="55"/>
      <c r="AB12" s="56"/>
      <c r="AC12" s="57"/>
      <c r="AE12" s="92"/>
    </row>
    <row r="13" s="49" customFormat="true" ht="15" hidden="false" customHeight="true" outlineLevel="0" collapsed="false">
      <c r="A13" s="13" t="n">
        <v>3</v>
      </c>
      <c r="B13" s="13" t="str">
        <f aca="false">'2.KTHH L2'!B23</f>
        <v>F2</v>
      </c>
      <c r="C13" s="51" t="n">
        <f aca="false">'2.KTHH L2'!C23</f>
        <v>701.03</v>
      </c>
      <c r="D13" s="13" t="n">
        <f aca="false">'2.KTHH L2'!T23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/>
      <c r="P13" s="53"/>
      <c r="Q13" s="53"/>
      <c r="R13" s="55"/>
      <c r="S13" s="55"/>
      <c r="T13" s="55"/>
      <c r="U13" s="55"/>
      <c r="V13" s="55"/>
      <c r="W13" s="55" t="n">
        <f aca="false">(O13+O14)*D13/2</f>
        <v>31.6075</v>
      </c>
      <c r="X13" s="55"/>
      <c r="Y13" s="55"/>
      <c r="Z13" s="55"/>
      <c r="AA13" s="55"/>
      <c r="AB13" s="56"/>
      <c r="AC13" s="57"/>
      <c r="AE13" s="92"/>
    </row>
    <row r="14" s="49" customFormat="true" ht="15" hidden="false" customHeight="true" outlineLevel="0" collapsed="false">
      <c r="A14" s="13" t="n">
        <v>4</v>
      </c>
      <c r="B14" s="13" t="str">
        <f aca="false">'2.KTHH L2'!B24</f>
        <v>40</v>
      </c>
      <c r="C14" s="51" t="n">
        <f aca="false">'2.KTHH L2'!C24</f>
        <v>712.78</v>
      </c>
      <c r="D14" s="13" t="n">
        <f aca="false">'2.KTHH L2'!T24</f>
        <v>17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Chạy!E36</f>
        <v>5.38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79.22</v>
      </c>
      <c r="X14" s="55"/>
      <c r="Y14" s="55"/>
      <c r="Z14" s="55"/>
      <c r="AA14" s="55"/>
      <c r="AB14" s="56"/>
      <c r="AC14" s="57"/>
      <c r="AE14" s="92"/>
    </row>
    <row r="15" s="49" customFormat="true" ht="15" hidden="false" customHeight="true" outlineLevel="0" collapsed="false">
      <c r="A15" s="13" t="n">
        <v>5</v>
      </c>
      <c r="B15" s="13" t="str">
        <f aca="false">'2.KTHH L2'!B25</f>
        <v>41</v>
      </c>
      <c r="C15" s="51" t="n">
        <f aca="false">'2.KTHH L2'!C25</f>
        <v>729.78</v>
      </c>
      <c r="D15" s="13" t="n">
        <f aca="false">'2.KTHH L2'!T25</f>
        <v>17.04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Chạy!E45</f>
        <v>3.94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72.3348</v>
      </c>
      <c r="X15" s="55"/>
      <c r="Y15" s="55"/>
      <c r="Z15" s="55"/>
      <c r="AA15" s="55"/>
      <c r="AB15" s="56"/>
      <c r="AC15" s="57"/>
      <c r="AE15" s="92"/>
    </row>
    <row r="16" s="49" customFormat="true" ht="15" hidden="false" customHeight="true" outlineLevel="0" collapsed="false">
      <c r="A16" s="13" t="n">
        <v>6</v>
      </c>
      <c r="B16" s="13" t="str">
        <f aca="false">'2.KTHH L2'!B26</f>
        <v>42</v>
      </c>
      <c r="C16" s="51" t="n">
        <f aca="false">'2.KTHH L2'!C26</f>
        <v>746.82</v>
      </c>
      <c r="D16" s="13"/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Chạy!E54</f>
        <v>4.55</v>
      </c>
      <c r="P16" s="53"/>
      <c r="Q16" s="53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6"/>
      <c r="AC16" s="57"/>
      <c r="AE16" s="92"/>
    </row>
    <row r="17" s="49" customFormat="true" ht="15" hidden="true" customHeight="true" outlineLevel="0" collapsed="false">
      <c r="A17" s="13"/>
      <c r="B17" s="13"/>
      <c r="C17" s="51"/>
      <c r="D17" s="13"/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/>
      <c r="P17" s="53"/>
      <c r="Q17" s="53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6"/>
      <c r="AC17" s="57"/>
      <c r="AE17" s="92"/>
    </row>
    <row r="18" s="49" customFormat="true" ht="15" hidden="true" customHeight="true" outlineLevel="0" collapsed="false">
      <c r="A18" s="13"/>
      <c r="B18" s="13"/>
      <c r="C18" s="51"/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/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  <c r="AE18" s="92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  <c r="AE19" s="92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  <c r="AE20" s="92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  <c r="AE21" s="92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  <c r="AE22" s="92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  <c r="AE23" s="92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  <c r="AE24" s="92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  <c r="AE25" s="92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  <c r="AE26" s="92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  <c r="AE27" s="92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  <c r="AE28" s="92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  <c r="AE29" s="92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  <c r="AE30" s="92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  <c r="AE31" s="92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  <c r="AE32" s="92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  <c r="AE33" s="92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  <c r="AE34" s="92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  <c r="AE35" s="92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  <c r="AE36" s="92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  <c r="AE37" s="92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  <c r="AE38" s="92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  <c r="AE39" s="92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  <c r="AE40" s="92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  <c r="AE41" s="92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  <c r="AE42" s="92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  <c r="AE43" s="92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  <c r="AE44" s="92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  <c r="AE45" s="92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  <c r="AE46" s="92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  <c r="AE47" s="92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  <c r="AE48" s="92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  <c r="AE49" s="92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  <c r="AE50" s="92"/>
    </row>
    <row r="51" s="32" customFormat="true" ht="16.5" hidden="false" customHeight="true" outlineLevel="0" collapsed="false">
      <c r="A51" s="61" t="s">
        <v>56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SUM(W11:W16)</f>
        <v>325.2698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D51" s="93"/>
      <c r="AE51" s="74"/>
      <c r="AF51" s="94"/>
      <c r="AG51" s="95"/>
      <c r="AH51" s="95"/>
      <c r="AI51" s="95"/>
      <c r="AJ51" s="95"/>
      <c r="AK51" s="95"/>
      <c r="AL51" s="95"/>
      <c r="AM51" s="67"/>
      <c r="AN51" s="96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45</v>
      </c>
      <c r="B53" s="19"/>
      <c r="C53" s="19"/>
      <c r="D53" s="77" t="s">
        <v>57</v>
      </c>
      <c r="E53" s="19" t="s">
        <v>46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47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48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529861111111111" bottom="0.47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J51" activeCellId="0" sqref="J5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57"/>
    <col collapsed="false" customWidth="true" hidden="false" outlineLevel="0" max="2" min="2" style="1" width="8.15"/>
    <col collapsed="false" customWidth="true" hidden="false" outlineLevel="0" max="3" min="3" style="1" width="16.29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43"/>
    <col collapsed="false" customWidth="true" hidden="true" outlineLevel="0" max="15" min="13" style="1" width="8.57"/>
    <col collapsed="false" customWidth="true" hidden="false" outlineLevel="0" max="18" min="16" style="1" width="11.43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66.NĐXD4/CVXD ngày 17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66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28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29</v>
      </c>
      <c r="C7" s="7"/>
      <c r="D7" s="7"/>
      <c r="F7" s="7"/>
      <c r="G7" s="7" t="str">
        <f>VLOOKUP(AZ2,'[1]Tuyến XD4'!$A$2:$B$60,2,0)</f>
        <v xml:space="preserve">Đắp đất nền đường lớp 3 đoạn từ Km0+672,28 - Km0+746,82, độ chặt K&gt;=0,95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5" hidden="false" customHeight="true" outlineLevel="0" collapsed="false">
      <c r="A20" s="9" t="s">
        <v>32</v>
      </c>
      <c r="B20" s="9" t="s">
        <v>33</v>
      </c>
      <c r="C20" s="9" t="s">
        <v>34</v>
      </c>
      <c r="D20" s="10" t="s">
        <v>35</v>
      </c>
      <c r="E20" s="10"/>
      <c r="F20" s="10"/>
      <c r="G20" s="10"/>
      <c r="H20" s="10"/>
      <c r="I20" s="10"/>
      <c r="J20" s="10" t="s">
        <v>36</v>
      </c>
      <c r="K20" s="10"/>
      <c r="L20" s="10"/>
      <c r="M20" s="10" t="s">
        <v>37</v>
      </c>
      <c r="N20" s="10"/>
      <c r="O20" s="10"/>
      <c r="P20" s="10"/>
      <c r="Q20" s="10"/>
      <c r="R20" s="10"/>
      <c r="S20" s="9" t="s">
        <v>38</v>
      </c>
    </row>
    <row r="21" customFormat="false" ht="30" hidden="false" customHeight="true" outlineLevel="0" collapsed="false">
      <c r="A21" s="9"/>
      <c r="B21" s="9"/>
      <c r="C21" s="9"/>
      <c r="D21" s="11" t="s">
        <v>39</v>
      </c>
      <c r="E21" s="11" t="s">
        <v>40</v>
      </c>
      <c r="F21" s="11" t="s">
        <v>41</v>
      </c>
      <c r="G21" s="11" t="s">
        <v>42</v>
      </c>
      <c r="H21" s="11" t="s">
        <v>43</v>
      </c>
      <c r="I21" s="11" t="s">
        <v>44</v>
      </c>
      <c r="J21" s="11" t="s">
        <v>42</v>
      </c>
      <c r="K21" s="11" t="s">
        <v>43</v>
      </c>
      <c r="L21" s="11" t="s">
        <v>44</v>
      </c>
      <c r="M21" s="11" t="s">
        <v>39</v>
      </c>
      <c r="N21" s="11" t="s">
        <v>40</v>
      </c>
      <c r="O21" s="11" t="s">
        <v>41</v>
      </c>
      <c r="P21" s="11" t="s">
        <v>42</v>
      </c>
      <c r="Q21" s="11" t="s">
        <v>43</v>
      </c>
      <c r="R21" s="11" t="s">
        <v>44</v>
      </c>
      <c r="S21" s="9"/>
      <c r="T21" s="86"/>
      <c r="W21" s="87"/>
      <c r="X21" s="87"/>
      <c r="Y21" s="87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672.28</v>
      </c>
      <c r="D22" s="16" t="n">
        <f aca="false">+Chạy!F8</f>
        <v>-10.54</v>
      </c>
      <c r="E22" s="16" t="n">
        <f aca="false">+D22+F22</f>
        <v>-10.5288</v>
      </c>
      <c r="F22" s="16" t="n">
        <f aca="false">RANDBETWEEN(-105,115)/10000</f>
        <v>0.0112</v>
      </c>
      <c r="G22" s="16" t="n">
        <f aca="false">+Chạy!G8</f>
        <v>0.14</v>
      </c>
      <c r="H22" s="16" t="n">
        <f aca="false">G22+I22</f>
        <v>0.213</v>
      </c>
      <c r="I22" s="16" t="n">
        <f aca="false">RANDBETWEEN(-30,90)/1000</f>
        <v>0.073</v>
      </c>
      <c r="J22" s="16" t="n">
        <f aca="false">+Chạy!K8</f>
        <v>0.26</v>
      </c>
      <c r="K22" s="16" t="n">
        <f aca="false">J22+L22</f>
        <v>0.323</v>
      </c>
      <c r="L22" s="16" t="n">
        <f aca="false">RANDBETWEEN(-30,90)/1000</f>
        <v>0.063</v>
      </c>
      <c r="M22" s="16" t="n">
        <f aca="false">+Chạy!N8</f>
        <v>14.65</v>
      </c>
      <c r="N22" s="16" t="n">
        <f aca="false">+M22+O22</f>
        <v>14.6401</v>
      </c>
      <c r="O22" s="16" t="n">
        <f aca="false">RANDBETWEEN(-105,115)/10000</f>
        <v>-0.0099</v>
      </c>
      <c r="P22" s="16" t="n">
        <f aca="false">+Chạy!O8</f>
        <v>0.14</v>
      </c>
      <c r="Q22" s="16" t="n">
        <f aca="false">P22+R22</f>
        <v>0.178</v>
      </c>
      <c r="R22" s="16" t="n">
        <f aca="false">RANDBETWEEN(-30,90)/1000</f>
        <v>0.038</v>
      </c>
      <c r="S22" s="17"/>
      <c r="T22" s="0" t="n">
        <v>17</v>
      </c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689.28</v>
      </c>
      <c r="D23" s="16" t="n">
        <f aca="false">+Chạy!F17</f>
        <v>-9.8</v>
      </c>
      <c r="E23" s="16" t="n">
        <f aca="false">+D23+F23</f>
        <v>-9.8081</v>
      </c>
      <c r="F23" s="16" t="n">
        <f aca="false">RANDBETWEEN(-105,115)/10000</f>
        <v>-0.0081</v>
      </c>
      <c r="G23" s="16" t="n">
        <f aca="false">+Chạy!G17</f>
        <v>0.14</v>
      </c>
      <c r="H23" s="16" t="n">
        <f aca="false">G23+I23</f>
        <v>0.22</v>
      </c>
      <c r="I23" s="16" t="n">
        <f aca="false">RANDBETWEEN(-30,90)/1000</f>
        <v>0.08</v>
      </c>
      <c r="J23" s="16" t="n">
        <f aca="false">+Chạy!K17</f>
        <v>0.26</v>
      </c>
      <c r="K23" s="16" t="n">
        <f aca="false">J23+L23</f>
        <v>0.272</v>
      </c>
      <c r="L23" s="16" t="n">
        <f aca="false">RANDBETWEEN(-30,90)/1000</f>
        <v>0.012</v>
      </c>
      <c r="M23" s="16" t="n">
        <f aca="false">+Chạy!N17</f>
        <v>9.04</v>
      </c>
      <c r="N23" s="16" t="n">
        <f aca="false">+M23+O23</f>
        <v>9.0364</v>
      </c>
      <c r="O23" s="16" t="n">
        <f aca="false">RANDBETWEEN(-105,115)/10000</f>
        <v>-0.0036</v>
      </c>
      <c r="P23" s="16" t="n">
        <f aca="false">+Chạy!O17</f>
        <v>0.14</v>
      </c>
      <c r="Q23" s="16" t="n">
        <f aca="false">P23+R23</f>
        <v>0.195</v>
      </c>
      <c r="R23" s="16" t="n">
        <f aca="false">RANDBETWEEN(-30,90)/1000</f>
        <v>0.055</v>
      </c>
      <c r="S23" s="17"/>
      <c r="T23" s="0" t="n">
        <v>11.75</v>
      </c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701.03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7"/>
      <c r="T24" s="0" t="n">
        <v>11.75</v>
      </c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712.78</v>
      </c>
      <c r="D25" s="16" t="n">
        <f aca="false">+Chạy!F35</f>
        <v>-9.94</v>
      </c>
      <c r="E25" s="16" t="n">
        <f aca="false">+D25+F25</f>
        <v>-9.9398</v>
      </c>
      <c r="F25" s="16" t="n">
        <f aca="false">RANDBETWEEN(-105,115)/10000</f>
        <v>0.0002</v>
      </c>
      <c r="G25" s="16" t="n">
        <f aca="false">+Chạy!G35</f>
        <v>0.14</v>
      </c>
      <c r="H25" s="16" t="n">
        <f aca="false">G25+I25</f>
        <v>0.2</v>
      </c>
      <c r="I25" s="16" t="n">
        <f aca="false">RANDBETWEEN(-30,90)/1000</f>
        <v>0.06</v>
      </c>
      <c r="J25" s="16" t="n">
        <f aca="false">+Chạy!K35</f>
        <v>0.26</v>
      </c>
      <c r="K25" s="16" t="n">
        <f aca="false">J25+L25</f>
        <v>0.231</v>
      </c>
      <c r="L25" s="16" t="n">
        <f aca="false">RANDBETWEEN(-30,90)/1000</f>
        <v>-0.029</v>
      </c>
      <c r="M25" s="16" t="n">
        <f aca="false">+Chạy!N35</f>
        <v>8.9</v>
      </c>
      <c r="N25" s="16" t="n">
        <f aca="false">+M25+O25</f>
        <v>8.91</v>
      </c>
      <c r="O25" s="16" t="n">
        <f aca="false">RANDBETWEEN(-105,115)/10000</f>
        <v>0.01</v>
      </c>
      <c r="P25" s="16" t="n">
        <f aca="false">+Chạy!O35</f>
        <v>0.14</v>
      </c>
      <c r="Q25" s="16" t="n">
        <f aca="false">P25+R25</f>
        <v>0.164</v>
      </c>
      <c r="R25" s="16" t="n">
        <f aca="false">RANDBETWEEN(-30,90)/1000</f>
        <v>0.024</v>
      </c>
      <c r="S25" s="17"/>
      <c r="T25" s="0" t="n">
        <v>17</v>
      </c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729.78</v>
      </c>
      <c r="D26" s="16" t="n">
        <f aca="false">+Chạy!F44</f>
        <v>-7.01</v>
      </c>
      <c r="E26" s="16" t="n">
        <f aca="false">+D26+F26</f>
        <v>-7.0048</v>
      </c>
      <c r="F26" s="16" t="n">
        <f aca="false">RANDBETWEEN(-105,115)/10000</f>
        <v>0.0052</v>
      </c>
      <c r="G26" s="16" t="n">
        <f aca="false">+Chạy!G44</f>
        <v>0.14</v>
      </c>
      <c r="H26" s="16" t="n">
        <f aca="false">G26+I26</f>
        <v>0.158</v>
      </c>
      <c r="I26" s="16" t="n">
        <f aca="false">RANDBETWEEN(-30,90)/1000</f>
        <v>0.018</v>
      </c>
      <c r="J26" s="16" t="n">
        <f aca="false">+Chạy!K44</f>
        <v>0.26</v>
      </c>
      <c r="K26" s="16" t="n">
        <f aca="false">J26+L26</f>
        <v>0.329</v>
      </c>
      <c r="L26" s="16" t="n">
        <f aca="false">RANDBETWEEN(-30,90)/1000</f>
        <v>0.069</v>
      </c>
      <c r="M26" s="16" t="n">
        <f aca="false">+Chạy!N44</f>
        <v>7.01</v>
      </c>
      <c r="N26" s="16" t="n">
        <f aca="false">+M26+O26</f>
        <v>7.018</v>
      </c>
      <c r="O26" s="16" t="n">
        <f aca="false">RANDBETWEEN(-105,115)/10000</f>
        <v>0.008</v>
      </c>
      <c r="P26" s="16" t="n">
        <f aca="false">+Chạy!O44</f>
        <v>0.14</v>
      </c>
      <c r="Q26" s="16" t="n">
        <f aca="false">P26+R26</f>
        <v>0.21</v>
      </c>
      <c r="R26" s="16" t="n">
        <f aca="false">RANDBETWEEN(-30,90)/1000</f>
        <v>0.07</v>
      </c>
      <c r="S26" s="17"/>
      <c r="T26" s="0" t="n">
        <v>17.04</v>
      </c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746.82</v>
      </c>
      <c r="D27" s="16" t="n">
        <f aca="false">+Chạy!F53</f>
        <v>-7.45</v>
      </c>
      <c r="E27" s="16" t="n">
        <f aca="false">+D27+F27</f>
        <v>-7.4392</v>
      </c>
      <c r="F27" s="16" t="n">
        <f aca="false">RANDBETWEEN(-105,115)/10000</f>
        <v>0.0108</v>
      </c>
      <c r="G27" s="16" t="n">
        <f aca="false">+Chạy!G53</f>
        <v>0.14</v>
      </c>
      <c r="H27" s="16" t="n">
        <f aca="false">G27+I27</f>
        <v>0.146</v>
      </c>
      <c r="I27" s="16" t="n">
        <f aca="false">RANDBETWEEN(-30,90)/1000</f>
        <v>0.006</v>
      </c>
      <c r="J27" s="16" t="n">
        <f aca="false">+Chạy!K53</f>
        <v>0.26</v>
      </c>
      <c r="K27" s="16" t="n">
        <f aca="false">J27+L27</f>
        <v>0.33</v>
      </c>
      <c r="L27" s="16" t="n">
        <f aca="false">RANDBETWEEN(-30,90)/1000</f>
        <v>0.07</v>
      </c>
      <c r="M27" s="16" t="n">
        <f aca="false">+Chạy!N53</f>
        <v>8.61</v>
      </c>
      <c r="N27" s="16" t="n">
        <f aca="false">+M27+O27</f>
        <v>8.613</v>
      </c>
      <c r="O27" s="16" t="n">
        <f aca="false">RANDBETWEEN(-105,115)/10000</f>
        <v>0.003</v>
      </c>
      <c r="P27" s="16" t="n">
        <f aca="false">+Chạy!O53</f>
        <v>0.14</v>
      </c>
      <c r="Q27" s="16" t="n">
        <f aca="false">P27+R27</f>
        <v>0.184</v>
      </c>
      <c r="R27" s="16" t="n">
        <f aca="false">RANDBETWEEN(-30,90)/1000</f>
        <v>0.044</v>
      </c>
      <c r="S27" s="17"/>
    </row>
    <row r="28" customFormat="false" ht="15" hidden="true" customHeight="false" outlineLevel="0" collapsed="false">
      <c r="A28" s="13"/>
      <c r="B28" s="13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</row>
    <row r="29" customFormat="false" ht="15" hidden="true" customHeight="false" outlineLevel="0" collapsed="false">
      <c r="A29" s="13"/>
      <c r="B29" s="13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</row>
    <row r="30" customFormat="false" ht="15" hidden="true" customHeight="false" outlineLevel="0" collapsed="false">
      <c r="A30" s="13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</row>
    <row r="31" customFormat="false" ht="15" hidden="true" customHeight="false" outlineLevel="0" collapsed="false">
      <c r="A31" s="13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</row>
    <row r="32" customFormat="false" ht="15" hidden="true" customHeight="false" outlineLevel="0" collapsed="false">
      <c r="A32" s="13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</row>
    <row r="62" customFormat="false" ht="10.5" hidden="false" customHeight="true" outlineLevel="0" collapsed="false"/>
    <row r="63" customFormat="false" ht="15" hidden="false" customHeight="false" outlineLevel="0" collapsed="false">
      <c r="C63" s="19" t="s">
        <v>45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46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47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48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8" activeCellId="0" sqref="A8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66.NĐXD4/CVXD ngày 17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66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28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0" hidden="false" customHeight="true" outlineLevel="0" collapsed="false">
      <c r="A7" s="33" t="s">
        <v>29</v>
      </c>
      <c r="B7" s="34"/>
      <c r="D7" s="35" t="str">
        <f>VLOOKUP(AZ2,'[1]Tuyến XD4'!$A$2:$B$60,2,0)</f>
        <v xml:space="preserve">Đắp đất nền đường lớp 3 đoạn từ Km0+672,28 - Km0+746,82,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33</v>
      </c>
      <c r="C9" s="37" t="s">
        <v>34</v>
      </c>
      <c r="D9" s="38" t="s">
        <v>50</v>
      </c>
      <c r="E9" s="39"/>
      <c r="F9" s="39"/>
      <c r="G9" s="38"/>
      <c r="H9" s="39"/>
      <c r="I9" s="39"/>
      <c r="J9" s="39"/>
      <c r="K9" s="39"/>
      <c r="L9" s="39"/>
      <c r="M9" s="40" t="s">
        <v>51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38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52</v>
      </c>
      <c r="O10" s="40" t="s">
        <v>53</v>
      </c>
      <c r="P10" s="40" t="s">
        <v>52</v>
      </c>
      <c r="Q10" s="40" t="s">
        <v>52</v>
      </c>
      <c r="R10" s="40"/>
      <c r="S10" s="40"/>
      <c r="T10" s="40"/>
      <c r="U10" s="40" t="s">
        <v>54</v>
      </c>
      <c r="V10" s="40" t="s">
        <v>54</v>
      </c>
      <c r="W10" s="40" t="s">
        <v>55</v>
      </c>
      <c r="X10" s="40" t="s">
        <v>54</v>
      </c>
      <c r="Y10" s="40" t="s">
        <v>54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'3.KTHH L3'!B22</f>
        <v>38</v>
      </c>
      <c r="C11" s="51" t="n">
        <f aca="false">'3.KTHH L3'!C22</f>
        <v>672.28</v>
      </c>
      <c r="D11" s="13" t="n">
        <f aca="false">'3.KTHH L3'!T22</f>
        <v>17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Chạy!E8</f>
        <v>7.58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111.69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'3.KTHH L3'!B23</f>
        <v>39</v>
      </c>
      <c r="C12" s="51" t="n">
        <f aca="false">'3.KTHH L3'!C23</f>
        <v>689.28</v>
      </c>
      <c r="D12" s="13" t="n">
        <f aca="false">'3.KTHH L3'!T23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Chạy!E17</f>
        <v>5.56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32.665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'3.KTHH L3'!B24</f>
        <v>F2</v>
      </c>
      <c r="C13" s="51" t="n">
        <f aca="false">'3.KTHH L3'!C24</f>
        <v>701.03</v>
      </c>
      <c r="D13" s="13" t="n">
        <f aca="false">'3.KTHH L3'!T24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/>
      <c r="P13" s="53"/>
      <c r="Q13" s="53"/>
      <c r="R13" s="55"/>
      <c r="S13" s="55"/>
      <c r="T13" s="55"/>
      <c r="U13" s="55"/>
      <c r="V13" s="55"/>
      <c r="W13" s="55" t="n">
        <f aca="false">(O13+O14)*D13/2</f>
        <v>32.665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'3.KTHH L3'!B25</f>
        <v>40</v>
      </c>
      <c r="C14" s="51" t="n">
        <f aca="false">'3.KTHH L3'!C25</f>
        <v>712.78</v>
      </c>
      <c r="D14" s="13" t="n">
        <f aca="false">'3.KTHH L3'!T25</f>
        <v>17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Chạy!E35</f>
        <v>5.56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82.28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'3.KTHH L3'!B26</f>
        <v>41</v>
      </c>
      <c r="C15" s="51" t="n">
        <f aca="false">'3.KTHH L3'!C26</f>
        <v>729.78</v>
      </c>
      <c r="D15" s="13" t="n">
        <f aca="false">'3.KTHH L3'!T26</f>
        <v>17.04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Chạy!E44</f>
        <v>4.12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75.402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'3.KTHH L3'!B27</f>
        <v>42</v>
      </c>
      <c r="C16" s="51" t="n">
        <f aca="false">'3.KTHH L3'!C27</f>
        <v>746.82</v>
      </c>
      <c r="D16" s="13"/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Chạy!E53</f>
        <v>4.73</v>
      </c>
      <c r="P16" s="53"/>
      <c r="Q16" s="53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6"/>
      <c r="AC16" s="57"/>
    </row>
    <row r="17" s="49" customFormat="true" ht="15" hidden="true" customHeight="true" outlineLevel="0" collapsed="false">
      <c r="A17" s="13"/>
      <c r="B17" s="13"/>
      <c r="C17" s="51"/>
      <c r="D17" s="13"/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/>
      <c r="P17" s="53"/>
      <c r="Q17" s="53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6"/>
      <c r="AC17" s="57"/>
    </row>
    <row r="18" s="49" customFormat="true" ht="15" hidden="true" customHeight="true" outlineLevel="0" collapsed="false">
      <c r="A18" s="13"/>
      <c r="B18" s="13"/>
      <c r="C18" s="51"/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/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37" t="s">
        <v>56</v>
      </c>
      <c r="B51" s="37"/>
      <c r="C51" s="37"/>
      <c r="D51" s="3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8" t="n">
        <f aca="false">SUM(R11:R50)</f>
        <v>0</v>
      </c>
      <c r="S51" s="98" t="n">
        <f aca="false">SUM(S11:S50)</f>
        <v>0</v>
      </c>
      <c r="T51" s="98"/>
      <c r="U51" s="99" t="n">
        <f aca="false">SUM(U11:U50)</f>
        <v>0</v>
      </c>
      <c r="V51" s="99" t="n">
        <f aca="false">SUM(V11:V50)</f>
        <v>0</v>
      </c>
      <c r="W51" s="100" t="n">
        <f aca="false">SUM(W11:W16)</f>
        <v>334.702</v>
      </c>
      <c r="X51" s="99" t="n">
        <f aca="false">SUM(X11:X50)</f>
        <v>0</v>
      </c>
      <c r="Y51" s="99" t="n">
        <f aca="false">SUM(Y11:Y50)</f>
        <v>0</v>
      </c>
      <c r="Z51" s="99" t="n">
        <f aca="false">SUM(Z11:Z50)</f>
        <v>0</v>
      </c>
      <c r="AA51" s="99" t="n">
        <f aca="false">SUM(AA11:AA50)</f>
        <v>0</v>
      </c>
      <c r="AB51" s="99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45</v>
      </c>
      <c r="B53" s="19"/>
      <c r="C53" s="19"/>
      <c r="D53" s="77" t="s">
        <v>57</v>
      </c>
      <c r="E53" s="19" t="s">
        <v>46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47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48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G8" activeCellId="0" sqref="G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7.15"/>
    <col collapsed="false" customWidth="true" hidden="false" outlineLevel="0" max="3" min="3" style="1" width="17.15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57"/>
    <col collapsed="false" customWidth="true" hidden="true" outlineLevel="0" max="15" min="13" style="1" width="8.57"/>
    <col collapsed="false" customWidth="true" hidden="false" outlineLevel="0" max="18" min="16" style="1" width="10.57"/>
    <col collapsed="false" customWidth="true" hidden="false" outlineLevel="0" max="19" min="19" style="1" width="8"/>
    <col collapsed="false" customWidth="true" hidden="false" outlineLevel="0" max="20" min="20" style="1" width="6.71"/>
    <col collapsed="false" customWidth="true" hidden="false" outlineLevel="0" max="22" min="21" style="1" width="2.42"/>
    <col collapsed="false" customWidth="true" hidden="false" outlineLevel="0" max="24" min="24" style="2" width="9.14"/>
    <col collapsed="false" customWidth="true" hidden="false" outlineLevel="0" max="26" min="26" style="2" width="9.14"/>
  </cols>
  <sheetData>
    <row r="1" customFormat="false" ht="20.25" hidden="false" customHeight="true" outlineLevel="0" collapsed="false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67.NĐXD4/CVXD ngày 18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67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28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29</v>
      </c>
      <c r="C7" s="7"/>
      <c r="D7" s="7"/>
      <c r="F7" s="7"/>
      <c r="G7" s="7" t="str">
        <f>VLOOKUP(AZ2,'[1]Tuyến XD4'!$A$2:$B$60,2,0)</f>
        <v xml:space="preserve">Đắp đất nền đường lớp 4 đoạn từ Km0+672,28 - Km0+746,82, độ chặt K&gt;=0,95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3" hidden="false" customHeight="true" outlineLevel="0" collapsed="false"/>
    <row r="20" customFormat="false" ht="15" hidden="false" customHeight="true" outlineLevel="0" collapsed="false">
      <c r="A20" s="9" t="s">
        <v>32</v>
      </c>
      <c r="B20" s="9" t="s">
        <v>33</v>
      </c>
      <c r="C20" s="9" t="s">
        <v>34</v>
      </c>
      <c r="D20" s="10" t="s">
        <v>35</v>
      </c>
      <c r="E20" s="10"/>
      <c r="F20" s="10"/>
      <c r="G20" s="10"/>
      <c r="H20" s="10"/>
      <c r="I20" s="10"/>
      <c r="J20" s="10" t="s">
        <v>36</v>
      </c>
      <c r="K20" s="10"/>
      <c r="L20" s="10"/>
      <c r="M20" s="10" t="s">
        <v>37</v>
      </c>
      <c r="N20" s="10"/>
      <c r="O20" s="10"/>
      <c r="P20" s="10"/>
      <c r="Q20" s="10"/>
      <c r="R20" s="10"/>
      <c r="S20" s="9" t="s">
        <v>38</v>
      </c>
    </row>
    <row r="21" customFormat="false" ht="30" hidden="false" customHeight="true" outlineLevel="0" collapsed="false">
      <c r="A21" s="9"/>
      <c r="B21" s="9"/>
      <c r="C21" s="9"/>
      <c r="D21" s="11" t="s">
        <v>39</v>
      </c>
      <c r="E21" s="11" t="s">
        <v>40</v>
      </c>
      <c r="F21" s="11" t="s">
        <v>41</v>
      </c>
      <c r="G21" s="11" t="s">
        <v>42</v>
      </c>
      <c r="H21" s="11" t="s">
        <v>43</v>
      </c>
      <c r="I21" s="11" t="s">
        <v>44</v>
      </c>
      <c r="J21" s="11" t="s">
        <v>42</v>
      </c>
      <c r="K21" s="11" t="s">
        <v>43</v>
      </c>
      <c r="L21" s="11" t="s">
        <v>44</v>
      </c>
      <c r="M21" s="11" t="s">
        <v>39</v>
      </c>
      <c r="N21" s="11" t="s">
        <v>40</v>
      </c>
      <c r="O21" s="11" t="s">
        <v>41</v>
      </c>
      <c r="P21" s="11" t="s">
        <v>42</v>
      </c>
      <c r="Q21" s="11" t="s">
        <v>43</v>
      </c>
      <c r="R21" s="11" t="s">
        <v>44</v>
      </c>
      <c r="S21" s="9"/>
      <c r="T21" s="12"/>
      <c r="W21" s="87"/>
      <c r="X21" s="101"/>
      <c r="Y21" s="87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672.28</v>
      </c>
      <c r="D22" s="16" t="n">
        <f aca="false">+Chạy!F7</f>
        <v>-10.84</v>
      </c>
      <c r="E22" s="16" t="n">
        <f aca="false">+D22+F22</f>
        <v>-10.8409</v>
      </c>
      <c r="F22" s="16" t="n">
        <f aca="false">RANDBETWEEN(-105,115)/10000</f>
        <v>-0.0009</v>
      </c>
      <c r="G22" s="16" t="n">
        <f aca="false">+Chạy!G7</f>
        <v>0.44</v>
      </c>
      <c r="H22" s="16" t="n">
        <f aca="false">G22+I22</f>
        <v>0.44</v>
      </c>
      <c r="I22" s="16" t="n">
        <f aca="false">RANDBETWEEN(-30,90)/1000</f>
        <v>0</v>
      </c>
      <c r="J22" s="16" t="n">
        <f aca="false">+Chạy!K7</f>
        <v>0.56</v>
      </c>
      <c r="K22" s="16" t="n">
        <f aca="false">J22+L22</f>
        <v>0.562</v>
      </c>
      <c r="L22" s="16" t="n">
        <f aca="false">RANDBETWEEN(-30,90)/1000</f>
        <v>0.002</v>
      </c>
      <c r="M22" s="16" t="n">
        <f aca="false">+Chạy!N7</f>
        <v>14.2</v>
      </c>
      <c r="N22" s="16" t="n">
        <f aca="false">+M22+O22</f>
        <v>14.2016</v>
      </c>
      <c r="O22" s="16" t="n">
        <f aca="false">RANDBETWEEN(-105,115)/10000</f>
        <v>0.0016</v>
      </c>
      <c r="P22" s="16" t="n">
        <f aca="false">+Chạy!O7</f>
        <v>0.44</v>
      </c>
      <c r="Q22" s="16" t="n">
        <f aca="false">P22+R22</f>
        <v>0.478</v>
      </c>
      <c r="R22" s="16" t="n">
        <f aca="false">RANDBETWEEN(-30,90)/1000</f>
        <v>0.038</v>
      </c>
      <c r="S22" s="17"/>
      <c r="T22" s="1" t="n">
        <v>17</v>
      </c>
      <c r="W22" s="102"/>
      <c r="X22" s="103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689.28</v>
      </c>
      <c r="D23" s="16" t="n">
        <f aca="false">+Chạy!F16</f>
        <v>-11.46</v>
      </c>
      <c r="E23" s="16" t="n">
        <f aca="false">+D23+F23</f>
        <v>-11.4545</v>
      </c>
      <c r="F23" s="16" t="n">
        <f aca="false">RANDBETWEEN(-105,115)/10000</f>
        <v>0.0055</v>
      </c>
      <c r="G23" s="16" t="n">
        <f aca="false">+Chạy!G16</f>
        <v>0.44</v>
      </c>
      <c r="H23" s="16" t="n">
        <f aca="false">G23+I23</f>
        <v>0.415</v>
      </c>
      <c r="I23" s="16" t="n">
        <f aca="false">RANDBETWEEN(-30,90)/1000</f>
        <v>-0.025</v>
      </c>
      <c r="J23" s="16" t="n">
        <f aca="false">+Chạy!K16</f>
        <v>0.56</v>
      </c>
      <c r="K23" s="16" t="n">
        <f aca="false">J23+L23</f>
        <v>0.536</v>
      </c>
      <c r="L23" s="16" t="n">
        <f aca="false">RANDBETWEEN(-30,90)/1000</f>
        <v>-0.024</v>
      </c>
      <c r="M23" s="16" t="n">
        <f aca="false">+Chạy!N16</f>
        <v>9.34</v>
      </c>
      <c r="N23" s="16" t="n">
        <f aca="false">+M23+O23</f>
        <v>9.342</v>
      </c>
      <c r="O23" s="16" t="n">
        <f aca="false">RANDBETWEEN(-105,115)/10000</f>
        <v>0.002</v>
      </c>
      <c r="P23" s="16" t="n">
        <f aca="false">+Chạy!O16</f>
        <v>0.44</v>
      </c>
      <c r="Q23" s="16" t="n">
        <f aca="false">P23+R23</f>
        <v>0.459</v>
      </c>
      <c r="R23" s="16" t="n">
        <f aca="false">RANDBETWEEN(-30,90)/1000</f>
        <v>0.019</v>
      </c>
      <c r="S23" s="17"/>
      <c r="T23" s="1" t="n">
        <v>11.75</v>
      </c>
      <c r="W23" s="102"/>
      <c r="X23" s="103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701.03</v>
      </c>
      <c r="D24" s="16" t="n">
        <f aca="false">+Chạy!F25</f>
        <v>-11.25</v>
      </c>
      <c r="E24" s="16" t="n">
        <f aca="false">+D24+F24</f>
        <v>-11.2412</v>
      </c>
      <c r="F24" s="16" t="n">
        <f aca="false">RANDBETWEEN(-105,115)/10000</f>
        <v>0.0088</v>
      </c>
      <c r="G24" s="16" t="n">
        <f aca="false">+Chạy!G25</f>
        <v>0.44</v>
      </c>
      <c r="H24" s="16" t="n">
        <f aca="false">G24+I24</f>
        <v>0.417</v>
      </c>
      <c r="I24" s="16" t="n">
        <f aca="false">RANDBETWEEN(-30,90)/1000</f>
        <v>-0.023</v>
      </c>
      <c r="J24" s="16" t="n">
        <f aca="false">+Chạy!K25</f>
        <v>0.56</v>
      </c>
      <c r="K24" s="16" t="n">
        <f aca="false">J24+L24</f>
        <v>0.65</v>
      </c>
      <c r="L24" s="16" t="n">
        <f aca="false">RANDBETWEEN(-30,90)/1000</f>
        <v>0.09</v>
      </c>
      <c r="M24" s="16" t="n">
        <f aca="false">+Chạy!N25</f>
        <v>-1.84</v>
      </c>
      <c r="N24" s="16" t="n">
        <f aca="false">+M24+O24</f>
        <v>-1.8388</v>
      </c>
      <c r="O24" s="16" t="n">
        <f aca="false">RANDBETWEEN(-105,115)/10000</f>
        <v>0.0012</v>
      </c>
      <c r="P24" s="16" t="n">
        <f aca="false">+Chạy!O25</f>
        <v>0.52</v>
      </c>
      <c r="Q24" s="16" t="n">
        <f aca="false">P24+R24</f>
        <v>0.537</v>
      </c>
      <c r="R24" s="16" t="n">
        <f aca="false">RANDBETWEEN(-30,90)/1000</f>
        <v>0.017</v>
      </c>
      <c r="S24" s="17"/>
      <c r="T24" s="1" t="n">
        <v>11.75</v>
      </c>
      <c r="W24" s="102"/>
      <c r="X24" s="103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712.78</v>
      </c>
      <c r="D25" s="16" t="n">
        <f aca="false">+Chạy!F34</f>
        <v>-11.49</v>
      </c>
      <c r="E25" s="16" t="n">
        <f aca="false">+D25+F25</f>
        <v>-11.4885</v>
      </c>
      <c r="F25" s="16" t="n">
        <f aca="false">RANDBETWEEN(-105,115)/10000</f>
        <v>0.0015</v>
      </c>
      <c r="G25" s="16" t="n">
        <f aca="false">+Chạy!G34</f>
        <v>0.44</v>
      </c>
      <c r="H25" s="16" t="n">
        <f aca="false">G25+I25</f>
        <v>0.52</v>
      </c>
      <c r="I25" s="16" t="n">
        <f aca="false">RANDBETWEEN(-30,90)/1000</f>
        <v>0.08</v>
      </c>
      <c r="J25" s="16" t="n">
        <f aca="false">+Chạy!K34</f>
        <v>0.56</v>
      </c>
      <c r="K25" s="16" t="n">
        <f aca="false">J25+L25</f>
        <v>0.636</v>
      </c>
      <c r="L25" s="16" t="n">
        <f aca="false">RANDBETWEEN(-30,90)/1000</f>
        <v>0.076</v>
      </c>
      <c r="M25" s="16" t="n">
        <f aca="false">+Chạy!N34</f>
        <v>9.2</v>
      </c>
      <c r="N25" s="16" t="n">
        <f aca="false">+M25+O25</f>
        <v>9.1945</v>
      </c>
      <c r="O25" s="16" t="n">
        <f aca="false">RANDBETWEEN(-105,115)/10000</f>
        <v>-0.0055</v>
      </c>
      <c r="P25" s="16" t="n">
        <f aca="false">+Chạy!O34</f>
        <v>0.44</v>
      </c>
      <c r="Q25" s="16" t="n">
        <f aca="false">P25+R25</f>
        <v>0.429</v>
      </c>
      <c r="R25" s="16" t="n">
        <f aca="false">RANDBETWEEN(-30,90)/1000</f>
        <v>-0.011</v>
      </c>
      <c r="S25" s="17"/>
      <c r="T25" s="1" t="n">
        <v>17</v>
      </c>
      <c r="W25" s="102"/>
      <c r="X25" s="103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729.78</v>
      </c>
      <c r="D26" s="16" t="n">
        <f aca="false">+Chạy!F43</f>
        <v>-7.31</v>
      </c>
      <c r="E26" s="16" t="n">
        <f aca="false">+D26+F26</f>
        <v>-7.3124</v>
      </c>
      <c r="F26" s="16" t="n">
        <f aca="false">RANDBETWEEN(-105,115)/10000</f>
        <v>-0.0024</v>
      </c>
      <c r="G26" s="16" t="n">
        <f aca="false">+Chạy!G43</f>
        <v>0.44</v>
      </c>
      <c r="H26" s="16" t="n">
        <f aca="false">G26+I26</f>
        <v>0.5</v>
      </c>
      <c r="I26" s="16" t="n">
        <f aca="false">RANDBETWEEN(-30,90)/1000</f>
        <v>0.06</v>
      </c>
      <c r="J26" s="16" t="n">
        <f aca="false">+Chạy!K43</f>
        <v>0.56</v>
      </c>
      <c r="K26" s="16" t="n">
        <f aca="false">J26+L26</f>
        <v>0.623</v>
      </c>
      <c r="L26" s="16" t="n">
        <f aca="false">RANDBETWEEN(-30,90)/1000</f>
        <v>0.063</v>
      </c>
      <c r="M26" s="16" t="n">
        <f aca="false">+Chạy!N43</f>
        <v>7.31</v>
      </c>
      <c r="N26" s="16" t="n">
        <f aca="false">+M26+O26</f>
        <v>7.3016</v>
      </c>
      <c r="O26" s="16" t="n">
        <f aca="false">RANDBETWEEN(-105,115)/10000</f>
        <v>-0.0084</v>
      </c>
      <c r="P26" s="16" t="n">
        <f aca="false">+Chạy!O43</f>
        <v>0.44</v>
      </c>
      <c r="Q26" s="16" t="n">
        <f aca="false">P26+R26</f>
        <v>0.476</v>
      </c>
      <c r="R26" s="16" t="n">
        <f aca="false">RANDBETWEEN(-30,90)/1000</f>
        <v>0.036</v>
      </c>
      <c r="S26" s="17"/>
      <c r="T26" s="1" t="n">
        <v>17.04</v>
      </c>
      <c r="W26" s="102"/>
      <c r="X26" s="103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746.82</v>
      </c>
      <c r="D27" s="16" t="n">
        <f aca="false">+Chạy!F52</f>
        <v>-7.75</v>
      </c>
      <c r="E27" s="16" t="n">
        <f aca="false">+D27+F27</f>
        <v>-7.7521</v>
      </c>
      <c r="F27" s="16" t="n">
        <f aca="false">RANDBETWEEN(-105,115)/10000</f>
        <v>-0.0021</v>
      </c>
      <c r="G27" s="16" t="n">
        <f aca="false">+Chạy!G52</f>
        <v>0.44</v>
      </c>
      <c r="H27" s="16" t="n">
        <f aca="false">G27+I27</f>
        <v>0.484</v>
      </c>
      <c r="I27" s="16" t="n">
        <f aca="false">RANDBETWEEN(-30,90)/1000</f>
        <v>0.044</v>
      </c>
      <c r="J27" s="16" t="n">
        <f aca="false">+Chạy!K52</f>
        <v>0.56</v>
      </c>
      <c r="K27" s="16" t="n">
        <f aca="false">J27+L27</f>
        <v>0.614</v>
      </c>
      <c r="L27" s="16" t="n">
        <f aca="false">RANDBETWEEN(-30,90)/1000</f>
        <v>0.054</v>
      </c>
      <c r="M27" s="16" t="n">
        <f aca="false">+Chạy!N52</f>
        <v>8.91</v>
      </c>
      <c r="N27" s="16" t="n">
        <f aca="false">+M27+O27</f>
        <v>8.9125</v>
      </c>
      <c r="O27" s="16" t="n">
        <f aca="false">RANDBETWEEN(-105,115)/10000</f>
        <v>0.0025</v>
      </c>
      <c r="P27" s="16" t="n">
        <f aca="false">+Chạy!O52</f>
        <v>0.44</v>
      </c>
      <c r="Q27" s="16" t="n">
        <f aca="false">P27+R27</f>
        <v>0.464</v>
      </c>
      <c r="R27" s="16" t="n">
        <f aca="false">RANDBETWEEN(-30,90)/1000</f>
        <v>0.024</v>
      </c>
      <c r="S27" s="17"/>
      <c r="W27" s="102"/>
      <c r="X27" s="103"/>
    </row>
    <row r="28" customFormat="false" ht="15" hidden="true" customHeight="false" outlineLevel="0" collapsed="false">
      <c r="A28" s="13"/>
      <c r="B28" s="13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  <c r="W28" s="102"/>
      <c r="X28" s="103"/>
    </row>
    <row r="29" customFormat="false" ht="15" hidden="true" customHeight="false" outlineLevel="0" collapsed="false">
      <c r="A29" s="13"/>
      <c r="B29" s="13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W29" s="102"/>
      <c r="X29" s="103"/>
    </row>
    <row r="30" customFormat="false" ht="15" hidden="true" customHeight="false" outlineLevel="0" collapsed="false">
      <c r="A30" s="13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W30" s="102"/>
      <c r="X30" s="103"/>
    </row>
    <row r="31" customFormat="false" ht="15" hidden="true" customHeight="false" outlineLevel="0" collapsed="false">
      <c r="A31" s="13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W31" s="102"/>
      <c r="X31" s="103"/>
    </row>
    <row r="32" customFormat="false" ht="15" hidden="true" customHeight="false" outlineLevel="0" collapsed="false">
      <c r="A32" s="13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W32" s="102"/>
      <c r="X32" s="103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W33" s="102"/>
      <c r="X33" s="103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02"/>
      <c r="X34" s="103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02"/>
      <c r="X35" s="103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02"/>
      <c r="X36" s="103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02"/>
      <c r="X37" s="103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02"/>
      <c r="X38" s="103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02"/>
      <c r="X39" s="103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02"/>
      <c r="X40" s="103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02"/>
      <c r="X41" s="103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02"/>
      <c r="X42" s="103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02"/>
      <c r="X43" s="103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02"/>
      <c r="X44" s="103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02"/>
      <c r="X45" s="103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02"/>
      <c r="X46" s="103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02"/>
      <c r="X47" s="103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02"/>
      <c r="X48" s="103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02"/>
      <c r="X49" s="103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02"/>
      <c r="X50" s="103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02"/>
      <c r="X51" s="103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02"/>
      <c r="X52" s="103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02"/>
      <c r="X53" s="103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02"/>
      <c r="X54" s="103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02"/>
      <c r="X55" s="103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02"/>
      <c r="X56" s="103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02"/>
      <c r="X57" s="103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3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3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3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3"/>
    </row>
    <row r="63" customFormat="false" ht="15" hidden="false" customHeight="false" outlineLevel="0" collapsed="false">
      <c r="C63" s="19" t="s">
        <v>45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46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47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48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39375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67.NĐXD4/CVXD ngày 18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67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28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3.75" hidden="false" customHeight="true" outlineLevel="0" collapsed="false">
      <c r="A7" s="33" t="s">
        <v>29</v>
      </c>
      <c r="B7" s="34"/>
      <c r="D7" s="35" t="str">
        <f>VLOOKUP(AZ2,'[1]Tuyến XD4'!$A$2:$B$60,2,0)</f>
        <v xml:space="preserve">Đắp đất nền đường lớp 4 đoạn từ Km0+672,28 - Km0+746,82,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105" customFormat="true" ht="22.5" hidden="false" customHeight="true" outlineLevel="0" collapsed="false">
      <c r="A9" s="37" t="s">
        <v>0</v>
      </c>
      <c r="B9" s="37" t="s">
        <v>33</v>
      </c>
      <c r="C9" s="37" t="s">
        <v>34</v>
      </c>
      <c r="D9" s="38" t="s">
        <v>50</v>
      </c>
      <c r="E9" s="39"/>
      <c r="F9" s="39"/>
      <c r="G9" s="38"/>
      <c r="H9" s="39"/>
      <c r="I9" s="39"/>
      <c r="J9" s="39"/>
      <c r="K9" s="39"/>
      <c r="L9" s="39"/>
      <c r="M9" s="40" t="s">
        <v>51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38</v>
      </c>
      <c r="AC9" s="104"/>
    </row>
    <row r="10" s="84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52</v>
      </c>
      <c r="O10" s="40" t="s">
        <v>53</v>
      </c>
      <c r="P10" s="40" t="s">
        <v>52</v>
      </c>
      <c r="Q10" s="40" t="s">
        <v>52</v>
      </c>
      <c r="R10" s="40"/>
      <c r="S10" s="40"/>
      <c r="T10" s="40"/>
      <c r="U10" s="40" t="s">
        <v>54</v>
      </c>
      <c r="V10" s="40" t="s">
        <v>54</v>
      </c>
      <c r="W10" s="40" t="s">
        <v>55</v>
      </c>
      <c r="X10" s="40" t="s">
        <v>54</v>
      </c>
      <c r="Y10" s="40" t="s">
        <v>54</v>
      </c>
      <c r="Z10" s="45"/>
      <c r="AA10" s="45"/>
      <c r="AB10" s="38"/>
      <c r="AC10" s="106"/>
      <c r="AD10" s="107"/>
    </row>
    <row r="11" s="84" customFormat="true" ht="15" hidden="false" customHeight="true" outlineLevel="0" collapsed="false">
      <c r="A11" s="13" t="n">
        <v>1</v>
      </c>
      <c r="B11" s="13" t="str">
        <f aca="false">'4.KTHH L4'!B22</f>
        <v>38</v>
      </c>
      <c r="C11" s="51" t="n">
        <f aca="false">'4.KTHH L4'!C22</f>
        <v>672.28</v>
      </c>
      <c r="D11" s="13" t="n">
        <f aca="false">'4.KTHH L4'!T22</f>
        <v>17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Chạy!E7</f>
        <v>7.53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115.6</v>
      </c>
      <c r="X11" s="55"/>
      <c r="Y11" s="55"/>
      <c r="Z11" s="55"/>
      <c r="AA11" s="55"/>
      <c r="AB11" s="56"/>
      <c r="AC11" s="55"/>
    </row>
    <row r="12" s="84" customFormat="true" ht="15" hidden="false" customHeight="true" outlineLevel="0" collapsed="false">
      <c r="A12" s="13" t="n">
        <v>2</v>
      </c>
      <c r="B12" s="13" t="str">
        <f aca="false">'4.KTHH L4'!B23</f>
        <v>39</v>
      </c>
      <c r="C12" s="51" t="n">
        <f aca="false">'4.KTHH L4'!C23</f>
        <v>689.28</v>
      </c>
      <c r="D12" s="13" t="n">
        <f aca="false">'4.KTHH L4'!T23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Chạy!E16</f>
        <v>6.07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47.47</v>
      </c>
      <c r="X12" s="55"/>
      <c r="Y12" s="55"/>
      <c r="Z12" s="55"/>
      <c r="AA12" s="55"/>
      <c r="AB12" s="56"/>
      <c r="AC12" s="55"/>
    </row>
    <row r="13" s="84" customFormat="true" ht="15" hidden="false" customHeight="true" outlineLevel="0" collapsed="false">
      <c r="A13" s="13" t="n">
        <v>3</v>
      </c>
      <c r="B13" s="13" t="str">
        <f aca="false">'4.KTHH L4'!B24</f>
        <v>F2</v>
      </c>
      <c r="C13" s="51" t="n">
        <f aca="false">'4.KTHH L4'!C24</f>
        <v>701.03</v>
      </c>
      <c r="D13" s="13" t="n">
        <f aca="false">'4.KTHH L4'!T24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Chạy!E25</f>
        <v>2.01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47.705</v>
      </c>
      <c r="X13" s="55"/>
      <c r="Y13" s="55"/>
      <c r="Z13" s="55"/>
      <c r="AA13" s="55"/>
      <c r="AB13" s="56"/>
      <c r="AC13" s="55"/>
    </row>
    <row r="14" s="84" customFormat="true" ht="15" hidden="false" customHeight="true" outlineLevel="0" collapsed="false">
      <c r="A14" s="13" t="n">
        <v>4</v>
      </c>
      <c r="B14" s="13" t="str">
        <f aca="false">'4.KTHH L4'!B25</f>
        <v>40</v>
      </c>
      <c r="C14" s="51" t="n">
        <f aca="false">'4.KTHH L4'!C25</f>
        <v>712.78</v>
      </c>
      <c r="D14" s="13" t="n">
        <f aca="false">'4.KTHH L4'!T25</f>
        <v>17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Chạy!E34</f>
        <v>6.11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88.485</v>
      </c>
      <c r="X14" s="55"/>
      <c r="Y14" s="55"/>
      <c r="Z14" s="55"/>
      <c r="AA14" s="55"/>
      <c r="AB14" s="56"/>
      <c r="AC14" s="55"/>
    </row>
    <row r="15" s="84" customFormat="true" ht="15" hidden="false" customHeight="true" outlineLevel="0" collapsed="false">
      <c r="A15" s="13" t="n">
        <v>5</v>
      </c>
      <c r="B15" s="13" t="str">
        <f aca="false">'4.KTHH L4'!B26</f>
        <v>41</v>
      </c>
      <c r="C15" s="51" t="n">
        <f aca="false">'4.KTHH L4'!C26</f>
        <v>729.78</v>
      </c>
      <c r="D15" s="13" t="n">
        <f aca="false">'4.KTHH L4'!T26</f>
        <v>17.04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Chạy!E43</f>
        <v>4.3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78.4692</v>
      </c>
      <c r="X15" s="55"/>
      <c r="Y15" s="55"/>
      <c r="Z15" s="55"/>
      <c r="AA15" s="55"/>
      <c r="AB15" s="56"/>
      <c r="AC15" s="55"/>
    </row>
    <row r="16" s="84" customFormat="true" ht="15" hidden="false" customHeight="true" outlineLevel="0" collapsed="false">
      <c r="A16" s="13" t="n">
        <v>6</v>
      </c>
      <c r="B16" s="13" t="str">
        <f aca="false">'4.KTHH L4'!B27</f>
        <v>42</v>
      </c>
      <c r="C16" s="51" t="n">
        <f aca="false">'4.KTHH L4'!C27</f>
        <v>746.82</v>
      </c>
      <c r="D16" s="13"/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Chạy!E52</f>
        <v>4.91</v>
      </c>
      <c r="P16" s="53"/>
      <c r="Q16" s="53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6"/>
      <c r="AC16" s="55"/>
    </row>
    <row r="17" s="84" customFormat="true" ht="15" hidden="true" customHeight="true" outlineLevel="0" collapsed="false">
      <c r="A17" s="13"/>
      <c r="B17" s="13"/>
      <c r="C17" s="51"/>
      <c r="D17" s="13"/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/>
      <c r="P17" s="53"/>
      <c r="Q17" s="53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6"/>
      <c r="AC17" s="55"/>
    </row>
    <row r="18" s="84" customFormat="true" ht="15" hidden="true" customHeight="true" outlineLevel="0" collapsed="false">
      <c r="A18" s="13"/>
      <c r="B18" s="13"/>
      <c r="C18" s="51"/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/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5"/>
    </row>
    <row r="19" s="84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5"/>
    </row>
    <row r="20" s="84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5"/>
    </row>
    <row r="21" s="84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5"/>
    </row>
    <row r="22" s="84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5"/>
    </row>
    <row r="23" s="84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5"/>
    </row>
    <row r="24" s="84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5"/>
    </row>
    <row r="25" s="84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5"/>
    </row>
    <row r="26" s="84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5"/>
    </row>
    <row r="27" s="84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5"/>
    </row>
    <row r="28" s="84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5"/>
    </row>
    <row r="29" s="84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5"/>
    </row>
    <row r="30" s="84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5"/>
    </row>
    <row r="31" s="84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5"/>
    </row>
    <row r="32" s="84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5"/>
    </row>
    <row r="33" s="84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5"/>
    </row>
    <row r="34" s="84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5"/>
    </row>
    <row r="35" s="84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5"/>
    </row>
    <row r="36" s="84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5"/>
    </row>
    <row r="37" s="84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5"/>
    </row>
    <row r="38" s="84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5"/>
    </row>
    <row r="39" s="84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5"/>
    </row>
    <row r="40" s="84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5"/>
    </row>
    <row r="41" s="84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5"/>
    </row>
    <row r="42" s="84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5"/>
    </row>
    <row r="43" s="84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5"/>
    </row>
    <row r="44" s="84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5"/>
    </row>
    <row r="45" s="84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5"/>
    </row>
    <row r="46" s="84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5"/>
    </row>
    <row r="47" s="84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5"/>
    </row>
    <row r="48" s="84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5"/>
    </row>
    <row r="49" s="84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5"/>
    </row>
    <row r="50" s="84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5"/>
    </row>
    <row r="51" s="69" customFormat="true" ht="14.25" hidden="false" customHeight="true" outlineLevel="0" collapsed="false">
      <c r="A51" s="61" t="s">
        <v>56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SUM(W11:W16)</f>
        <v>377.7292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71"/>
    </row>
    <row r="52" s="69" customFormat="true" ht="14.25" hidden="false" customHeight="true" outlineLevel="0" collapsed="false">
      <c r="A52" s="68"/>
      <c r="B52" s="68"/>
      <c r="C52" s="68"/>
      <c r="D52" s="68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69" customFormat="true" ht="15" hidden="false" customHeight="true" outlineLevel="0" collapsed="false">
      <c r="A53" s="19" t="s">
        <v>45</v>
      </c>
      <c r="B53" s="19"/>
      <c r="C53" s="19"/>
      <c r="D53" s="77" t="s">
        <v>57</v>
      </c>
      <c r="E53" s="19" t="s">
        <v>46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69" customFormat="true" ht="14.2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</row>
    <row r="55" s="69" customFormat="true" ht="1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AF55" s="108"/>
    </row>
    <row r="56" s="69" customFormat="true" ht="14.2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</row>
    <row r="57" s="69" customFormat="true" ht="14.2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</row>
    <row r="58" s="69" customFormat="true" ht="14.2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</row>
    <row r="59" s="69" customFormat="true" ht="14.25" hidden="false" customHeight="true" outlineLevel="0" collapsed="false">
      <c r="A59" s="19" t="s">
        <v>47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48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T14" activeCellId="0" sqref="T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85"/>
    <col collapsed="false" customWidth="true" hidden="true" outlineLevel="0" max="15" min="13" style="1" width="8.57"/>
    <col collapsed="false" customWidth="true" hidden="false" outlineLevel="0" max="18" min="16" style="1" width="10.85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68.NĐXD4/CVXD ngày 18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68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28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29</v>
      </c>
      <c r="C7" s="7"/>
      <c r="D7" s="7"/>
      <c r="F7" s="7"/>
      <c r="G7" s="7" t="str">
        <f>VLOOKUP(AZ2,'[1]Tuyến XD4'!$A$2:$B$60,2,0)</f>
        <v xml:space="preserve">Đắp đất nền đường lớp 5 đoạn từ Km0+672,28 - Km0+746,82,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5" hidden="false" customHeight="true" outlineLevel="0" collapsed="false">
      <c r="A20" s="109" t="s">
        <v>32</v>
      </c>
      <c r="B20" s="9" t="s">
        <v>33</v>
      </c>
      <c r="C20" s="9" t="s">
        <v>34</v>
      </c>
      <c r="D20" s="10" t="s">
        <v>35</v>
      </c>
      <c r="E20" s="10"/>
      <c r="F20" s="10"/>
      <c r="G20" s="10"/>
      <c r="H20" s="10"/>
      <c r="I20" s="10"/>
      <c r="J20" s="10" t="s">
        <v>36</v>
      </c>
      <c r="K20" s="10"/>
      <c r="L20" s="10"/>
      <c r="M20" s="10" t="s">
        <v>37</v>
      </c>
      <c r="N20" s="10"/>
      <c r="O20" s="10"/>
      <c r="P20" s="10"/>
      <c r="Q20" s="10"/>
      <c r="R20" s="10"/>
      <c r="S20" s="9" t="s">
        <v>38</v>
      </c>
    </row>
    <row r="21" customFormat="false" ht="51.75" hidden="false" customHeight="true" outlineLevel="0" collapsed="false">
      <c r="A21" s="109"/>
      <c r="B21" s="109"/>
      <c r="C21" s="109"/>
      <c r="D21" s="11" t="s">
        <v>39</v>
      </c>
      <c r="E21" s="11" t="s">
        <v>40</v>
      </c>
      <c r="F21" s="11" t="s">
        <v>41</v>
      </c>
      <c r="G21" s="11" t="s">
        <v>42</v>
      </c>
      <c r="H21" s="11" t="s">
        <v>43</v>
      </c>
      <c r="I21" s="11" t="s">
        <v>44</v>
      </c>
      <c r="J21" s="11" t="s">
        <v>42</v>
      </c>
      <c r="K21" s="11" t="s">
        <v>43</v>
      </c>
      <c r="L21" s="11" t="s">
        <v>44</v>
      </c>
      <c r="M21" s="11" t="s">
        <v>39</v>
      </c>
      <c r="N21" s="11" t="s">
        <v>40</v>
      </c>
      <c r="O21" s="11" t="s">
        <v>41</v>
      </c>
      <c r="P21" s="11" t="s">
        <v>42</v>
      </c>
      <c r="Q21" s="11" t="s">
        <v>43</v>
      </c>
      <c r="R21" s="11" t="s">
        <v>44</v>
      </c>
      <c r="S21" s="9"/>
      <c r="T21" s="86"/>
      <c r="W21" s="87"/>
      <c r="X21" s="87"/>
      <c r="Y21" s="87"/>
    </row>
    <row r="22" customFormat="false" ht="16.5" hidden="false" customHeight="true" outlineLevel="0" collapsed="false">
      <c r="A22" s="110" t="n">
        <v>1</v>
      </c>
      <c r="B22" s="13" t="s">
        <v>17</v>
      </c>
      <c r="C22" s="15" t="n">
        <v>672.28</v>
      </c>
      <c r="D22" s="16" t="n">
        <f aca="false">+Chạy!F6</f>
        <v>-11.14</v>
      </c>
      <c r="E22" s="16" t="n">
        <f aca="false">+D22+F22</f>
        <v>-11.1345</v>
      </c>
      <c r="F22" s="16" t="n">
        <f aca="false">RANDBETWEEN(-105,115)/10000</f>
        <v>0.0055</v>
      </c>
      <c r="G22" s="16" t="n">
        <f aca="false">+Chạy!G6</f>
        <v>0.74</v>
      </c>
      <c r="H22" s="16" t="n">
        <f aca="false">G22+I22</f>
        <v>0.77</v>
      </c>
      <c r="I22" s="16" t="n">
        <f aca="false">RANDBETWEEN(-30,90)/1000</f>
        <v>0.03</v>
      </c>
      <c r="J22" s="16" t="n">
        <f aca="false">+Chạy!K6</f>
        <v>0.86</v>
      </c>
      <c r="K22" s="16" t="n">
        <f aca="false">J22+L22</f>
        <v>0.866</v>
      </c>
      <c r="L22" s="16" t="n">
        <f aca="false">RANDBETWEEN(-30,90)/1000</f>
        <v>0.006</v>
      </c>
      <c r="M22" s="16" t="n">
        <f aca="false">+Chạy!N6</f>
        <v>13.75</v>
      </c>
      <c r="N22" s="16" t="n">
        <f aca="false">+M22+O22</f>
        <v>13.7489</v>
      </c>
      <c r="O22" s="16" t="n">
        <f aca="false">RANDBETWEEN(-105,115)/10000</f>
        <v>-0.0011</v>
      </c>
      <c r="P22" s="16" t="n">
        <f aca="false">+Chạy!O6</f>
        <v>0.74</v>
      </c>
      <c r="Q22" s="16" t="n">
        <f aca="false">P22+R22</f>
        <v>0.711</v>
      </c>
      <c r="R22" s="16" t="n">
        <f aca="false">RANDBETWEEN(-30,90)/1000</f>
        <v>-0.029</v>
      </c>
      <c r="S22" s="17"/>
      <c r="T22" s="0" t="n">
        <v>17</v>
      </c>
      <c r="W22" s="102"/>
      <c r="X22" s="102"/>
    </row>
    <row r="23" customFormat="false" ht="16.5" hidden="false" customHeight="true" outlineLevel="0" collapsed="false">
      <c r="A23" s="110" t="n">
        <v>2</v>
      </c>
      <c r="B23" s="13" t="s">
        <v>18</v>
      </c>
      <c r="C23" s="15" t="n">
        <f aca="false">+C22+T22</f>
        <v>689.28</v>
      </c>
      <c r="D23" s="16" t="n">
        <f aca="false">+Chạy!F15</f>
        <v>-11.71</v>
      </c>
      <c r="E23" s="16" t="n">
        <f aca="false">+D23+F23</f>
        <v>-11.7042</v>
      </c>
      <c r="F23" s="16" t="n">
        <f aca="false">RANDBETWEEN(-105,115)/10000</f>
        <v>0.0058</v>
      </c>
      <c r="G23" s="16" t="n">
        <f aca="false">+Chạy!G15</f>
        <v>0.74</v>
      </c>
      <c r="H23" s="16" t="n">
        <f aca="false">G23+I23</f>
        <v>0.746</v>
      </c>
      <c r="I23" s="16" t="n">
        <f aca="false">RANDBETWEEN(-30,90)/1000</f>
        <v>0.006</v>
      </c>
      <c r="J23" s="16" t="n">
        <f aca="false">+Chạy!K15</f>
        <v>0.86</v>
      </c>
      <c r="K23" s="16" t="n">
        <f aca="false">J23+L23</f>
        <v>0.861</v>
      </c>
      <c r="L23" s="16" t="n">
        <f aca="false">RANDBETWEEN(-30,90)/1000</f>
        <v>0.001</v>
      </c>
      <c r="M23" s="16" t="n">
        <f aca="false">+Chạy!N15</f>
        <v>13.75</v>
      </c>
      <c r="N23" s="16" t="n">
        <f aca="false">+M23+O23</f>
        <v>13.7597</v>
      </c>
      <c r="O23" s="16" t="n">
        <f aca="false">RANDBETWEEN(-105,115)/10000</f>
        <v>0.0097</v>
      </c>
      <c r="P23" s="16" t="n">
        <f aca="false">+Chạy!O15</f>
        <v>0.74</v>
      </c>
      <c r="Q23" s="16" t="n">
        <f aca="false">P23+R23</f>
        <v>0.717</v>
      </c>
      <c r="R23" s="16" t="n">
        <f aca="false">RANDBETWEEN(-30,90)/1000</f>
        <v>-0.023</v>
      </c>
      <c r="S23" s="17"/>
      <c r="T23" s="0" t="n">
        <v>11.75</v>
      </c>
      <c r="W23" s="102"/>
      <c r="X23" s="102"/>
    </row>
    <row r="24" customFormat="false" ht="16.5" hidden="false" customHeight="true" outlineLevel="0" collapsed="false">
      <c r="A24" s="110" t="n">
        <v>3</v>
      </c>
      <c r="B24" s="13" t="s">
        <v>19</v>
      </c>
      <c r="C24" s="15" t="n">
        <f aca="false">+C23+T23</f>
        <v>701.03</v>
      </c>
      <c r="D24" s="16" t="n">
        <f aca="false">+Chạy!F24</f>
        <v>-11.52</v>
      </c>
      <c r="E24" s="16" t="n">
        <f aca="false">+D24+F24</f>
        <v>-11.5109</v>
      </c>
      <c r="F24" s="16" t="n">
        <f aca="false">RANDBETWEEN(-105,115)/10000</f>
        <v>0.0091</v>
      </c>
      <c r="G24" s="16" t="n">
        <f aca="false">+Chạy!G24</f>
        <v>0.74</v>
      </c>
      <c r="H24" s="16" t="n">
        <f aca="false">G24+I24</f>
        <v>0.723</v>
      </c>
      <c r="I24" s="16" t="n">
        <f aca="false">RANDBETWEEN(-30,90)/1000</f>
        <v>-0.017</v>
      </c>
      <c r="J24" s="16" t="n">
        <f aca="false">+Chạy!K24</f>
        <v>0.86</v>
      </c>
      <c r="K24" s="16" t="n">
        <f aca="false">J24+L24</f>
        <v>0.927</v>
      </c>
      <c r="L24" s="16" t="n">
        <f aca="false">RANDBETWEEN(-30,90)/1000</f>
        <v>0.067</v>
      </c>
      <c r="M24" s="16" t="n">
        <f aca="false">+Chạy!N24</f>
        <v>-1.61</v>
      </c>
      <c r="N24" s="16" t="n">
        <f aca="false">+M24+O24</f>
        <v>-1.6183</v>
      </c>
      <c r="O24" s="16" t="n">
        <f aca="false">RANDBETWEEN(-105,115)/10000</f>
        <v>-0.0083</v>
      </c>
      <c r="P24" s="16" t="n">
        <f aca="false">+Chạy!O24</f>
        <v>0.83</v>
      </c>
      <c r="Q24" s="16" t="n">
        <f aca="false">P24+R24</f>
        <v>0.872</v>
      </c>
      <c r="R24" s="16" t="n">
        <f aca="false">RANDBETWEEN(-30,90)/1000</f>
        <v>0.042</v>
      </c>
      <c r="S24" s="17"/>
      <c r="T24" s="0" t="n">
        <v>11.75</v>
      </c>
      <c r="W24" s="102"/>
      <c r="X24" s="102"/>
    </row>
    <row r="25" customFormat="false" ht="16.5" hidden="false" customHeight="true" outlineLevel="0" collapsed="false">
      <c r="A25" s="110" t="n">
        <v>4</v>
      </c>
      <c r="B25" s="13" t="s">
        <v>20</v>
      </c>
      <c r="C25" s="15" t="n">
        <f aca="false">+C24+T24</f>
        <v>712.78</v>
      </c>
      <c r="D25" s="16" t="n">
        <f aca="false">+Chạy!F33</f>
        <v>-11.74</v>
      </c>
      <c r="E25" s="16" t="n">
        <f aca="false">+D25+F25</f>
        <v>-11.7469</v>
      </c>
      <c r="F25" s="16" t="n">
        <f aca="false">RANDBETWEEN(-105,115)/10000</f>
        <v>-0.0069</v>
      </c>
      <c r="G25" s="16" t="n">
        <f aca="false">+Chạy!G33</f>
        <v>0.74</v>
      </c>
      <c r="H25" s="16" t="n">
        <f aca="false">G25+I25</f>
        <v>0.819</v>
      </c>
      <c r="I25" s="16" t="n">
        <f aca="false">RANDBETWEEN(-30,90)/1000</f>
        <v>0.079</v>
      </c>
      <c r="J25" s="16" t="n">
        <f aca="false">+Chạy!K33</f>
        <v>0.86</v>
      </c>
      <c r="K25" s="16" t="n">
        <f aca="false">J25+L25</f>
        <v>0.891</v>
      </c>
      <c r="L25" s="16" t="n">
        <f aca="false">RANDBETWEEN(-30,90)/1000</f>
        <v>0.031</v>
      </c>
      <c r="M25" s="16" t="n">
        <f aca="false">+Chạy!N33</f>
        <v>13.75</v>
      </c>
      <c r="N25" s="16" t="n">
        <f aca="false">+M25+O25</f>
        <v>13.7593</v>
      </c>
      <c r="O25" s="16" t="n">
        <f aca="false">RANDBETWEEN(-105,115)/10000</f>
        <v>0.0093</v>
      </c>
      <c r="P25" s="16" t="n">
        <f aca="false">+Chạy!O33</f>
        <v>0.74</v>
      </c>
      <c r="Q25" s="16" t="n">
        <f aca="false">P25+R25</f>
        <v>0.827</v>
      </c>
      <c r="R25" s="16" t="n">
        <f aca="false">RANDBETWEEN(-30,90)/1000</f>
        <v>0.087</v>
      </c>
      <c r="S25" s="17"/>
      <c r="T25" s="0" t="n">
        <v>17</v>
      </c>
      <c r="W25" s="102"/>
      <c r="X25" s="102"/>
    </row>
    <row r="26" customFormat="false" ht="16.5" hidden="false" customHeight="true" outlineLevel="0" collapsed="false">
      <c r="A26" s="110" t="n">
        <v>5</v>
      </c>
      <c r="B26" s="13" t="s">
        <v>21</v>
      </c>
      <c r="C26" s="15" t="n">
        <f aca="false">+C25+T25</f>
        <v>729.78</v>
      </c>
      <c r="D26" s="16" t="n">
        <f aca="false">+Chạy!F42</f>
        <v>-7.61</v>
      </c>
      <c r="E26" s="16" t="n">
        <f aca="false">+D26+F26</f>
        <v>-7.5989</v>
      </c>
      <c r="F26" s="16" t="n">
        <f aca="false">RANDBETWEEN(-105,115)/10000</f>
        <v>0.0111</v>
      </c>
      <c r="G26" s="16" t="n">
        <f aca="false">+Chạy!G42</f>
        <v>0.74</v>
      </c>
      <c r="H26" s="16" t="n">
        <f aca="false">G26+I26</f>
        <v>0.782</v>
      </c>
      <c r="I26" s="16" t="n">
        <f aca="false">RANDBETWEEN(-30,90)/1000</f>
        <v>0.042</v>
      </c>
      <c r="J26" s="16" t="n">
        <f aca="false">+Chạy!K42</f>
        <v>0.86</v>
      </c>
      <c r="K26" s="16" t="n">
        <f aca="false">J26+L26</f>
        <v>0.853</v>
      </c>
      <c r="L26" s="16" t="n">
        <f aca="false">RANDBETWEEN(-30,90)/1000</f>
        <v>-0.007</v>
      </c>
      <c r="M26" s="16" t="n">
        <f aca="false">+Chạy!N42</f>
        <v>7.61</v>
      </c>
      <c r="N26" s="16" t="n">
        <f aca="false">+M26+O26</f>
        <v>7.6017</v>
      </c>
      <c r="O26" s="16" t="n">
        <f aca="false">RANDBETWEEN(-105,115)/10000</f>
        <v>-0.0083</v>
      </c>
      <c r="P26" s="16" t="n">
        <f aca="false">+Chạy!O42</f>
        <v>0.74</v>
      </c>
      <c r="Q26" s="16" t="n">
        <f aca="false">P26+R26</f>
        <v>0.807</v>
      </c>
      <c r="R26" s="16" t="n">
        <f aca="false">RANDBETWEEN(-30,90)/1000</f>
        <v>0.067</v>
      </c>
      <c r="S26" s="17"/>
      <c r="T26" s="0" t="n">
        <v>17.04</v>
      </c>
      <c r="W26" s="102"/>
      <c r="X26" s="102"/>
    </row>
    <row r="27" customFormat="false" ht="16.5" hidden="false" customHeight="true" outlineLevel="0" collapsed="false">
      <c r="A27" s="110" t="n">
        <v>6</v>
      </c>
      <c r="B27" s="13" t="s">
        <v>22</v>
      </c>
      <c r="C27" s="15" t="n">
        <f aca="false">+C26+T26</f>
        <v>746.82</v>
      </c>
      <c r="D27" s="16" t="n">
        <f aca="false">+Chạy!F51</f>
        <v>-8.05</v>
      </c>
      <c r="E27" s="16" t="n">
        <f aca="false">+D27+F27</f>
        <v>-8.0531</v>
      </c>
      <c r="F27" s="16" t="n">
        <f aca="false">RANDBETWEEN(-105,115)/10000</f>
        <v>-0.0031</v>
      </c>
      <c r="G27" s="16" t="n">
        <f aca="false">+Chạy!G51</f>
        <v>0.74</v>
      </c>
      <c r="H27" s="16" t="n">
        <f aca="false">G27+I27</f>
        <v>0.721</v>
      </c>
      <c r="I27" s="16" t="n">
        <f aca="false">RANDBETWEEN(-30,90)/1000</f>
        <v>-0.019</v>
      </c>
      <c r="J27" s="16" t="n">
        <f aca="false">+Chạy!K51</f>
        <v>0.86</v>
      </c>
      <c r="K27" s="16" t="n">
        <f aca="false">J27+L27</f>
        <v>0.914</v>
      </c>
      <c r="L27" s="16" t="n">
        <f aca="false">RANDBETWEEN(-30,90)/1000</f>
        <v>0.054</v>
      </c>
      <c r="M27" s="16" t="n">
        <f aca="false">+Chạy!N51</f>
        <v>13.75</v>
      </c>
      <c r="N27" s="16" t="n">
        <f aca="false">+M27+O27</f>
        <v>13.7437</v>
      </c>
      <c r="O27" s="16" t="n">
        <f aca="false">RANDBETWEEN(-105,115)/10000</f>
        <v>-0.0063</v>
      </c>
      <c r="P27" s="16" t="n">
        <f aca="false">+Chạy!O51</f>
        <v>0.74</v>
      </c>
      <c r="Q27" s="16" t="n">
        <f aca="false">P27+R27</f>
        <v>0.773</v>
      </c>
      <c r="R27" s="16" t="n">
        <f aca="false">RANDBETWEEN(-30,90)/1000</f>
        <v>0.033</v>
      </c>
      <c r="S27" s="17"/>
      <c r="W27" s="102"/>
      <c r="X27" s="102"/>
    </row>
    <row r="28" customFormat="false" ht="16.5" hidden="true" customHeight="true" outlineLevel="0" collapsed="false">
      <c r="A28" s="110"/>
      <c r="B28" s="13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  <c r="W28" s="102"/>
      <c r="X28" s="102"/>
    </row>
    <row r="29" customFormat="false" ht="16.5" hidden="true" customHeight="true" outlineLevel="0" collapsed="false">
      <c r="A29" s="110"/>
      <c r="B29" s="13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W29" s="102"/>
      <c r="X29" s="102"/>
    </row>
    <row r="30" customFormat="false" ht="16.5" hidden="true" customHeight="true" outlineLevel="0" collapsed="false">
      <c r="A30" s="110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W30" s="102"/>
      <c r="X30" s="102"/>
    </row>
    <row r="31" customFormat="false" ht="16.5" hidden="true" customHeight="true" outlineLevel="0" collapsed="false">
      <c r="A31" s="110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W31" s="102"/>
      <c r="X31" s="102"/>
    </row>
    <row r="32" customFormat="false" ht="16.5" hidden="true" customHeight="true" outlineLevel="0" collapsed="false">
      <c r="A32" s="110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W32" s="102"/>
      <c r="X32" s="102"/>
    </row>
    <row r="33" customFormat="false" ht="16.5" hidden="true" customHeight="true" outlineLevel="0" collapsed="false">
      <c r="A33" s="110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W33" s="102"/>
      <c r="X33" s="102"/>
    </row>
    <row r="34" customFormat="false" ht="16.5" hidden="true" customHeight="true" outlineLevel="0" collapsed="false">
      <c r="A34" s="110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02"/>
      <c r="X34" s="102"/>
    </row>
    <row r="35" customFormat="false" ht="16.5" hidden="true" customHeight="true" outlineLevel="0" collapsed="false">
      <c r="A35" s="110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02"/>
      <c r="X35" s="102"/>
    </row>
    <row r="36" customFormat="false" ht="16.5" hidden="true" customHeight="true" outlineLevel="0" collapsed="false">
      <c r="A36" s="110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02"/>
      <c r="X36" s="102"/>
    </row>
    <row r="37" customFormat="false" ht="16.5" hidden="true" customHeight="true" outlineLevel="0" collapsed="false">
      <c r="A37" s="110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02"/>
      <c r="X37" s="102"/>
    </row>
    <row r="38" customFormat="false" ht="16.5" hidden="true" customHeight="true" outlineLevel="0" collapsed="false">
      <c r="A38" s="110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02"/>
      <c r="X38" s="102"/>
    </row>
    <row r="39" customFormat="false" ht="16.5" hidden="true" customHeight="true" outlineLevel="0" collapsed="false">
      <c r="A39" s="110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02"/>
      <c r="X39" s="102"/>
    </row>
    <row r="40" customFormat="false" ht="16.5" hidden="true" customHeight="true" outlineLevel="0" collapsed="false">
      <c r="A40" s="110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02"/>
      <c r="X40" s="102"/>
    </row>
    <row r="41" customFormat="false" ht="16.5" hidden="true" customHeight="true" outlineLevel="0" collapsed="false">
      <c r="A41" s="110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02"/>
      <c r="X41" s="102"/>
    </row>
    <row r="42" customFormat="false" ht="16.5" hidden="true" customHeight="true" outlineLevel="0" collapsed="false">
      <c r="A42" s="110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02"/>
      <c r="X42" s="102"/>
    </row>
    <row r="43" customFormat="false" ht="16.5" hidden="true" customHeight="true" outlineLevel="0" collapsed="false">
      <c r="A43" s="110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02"/>
      <c r="X43" s="102"/>
    </row>
    <row r="44" customFormat="false" ht="16.5" hidden="true" customHeight="true" outlineLevel="0" collapsed="false">
      <c r="A44" s="110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02"/>
      <c r="X44" s="102"/>
    </row>
    <row r="45" customFormat="false" ht="16.5" hidden="true" customHeight="true" outlineLevel="0" collapsed="false">
      <c r="A45" s="110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02"/>
      <c r="X45" s="102"/>
    </row>
    <row r="46" customFormat="false" ht="16.5" hidden="true" customHeight="true" outlineLevel="0" collapsed="false">
      <c r="A46" s="110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02"/>
      <c r="X46" s="102"/>
    </row>
    <row r="47" customFormat="false" ht="16.5" hidden="true" customHeight="true" outlineLevel="0" collapsed="false">
      <c r="A47" s="110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02"/>
      <c r="X47" s="102"/>
    </row>
    <row r="48" customFormat="false" ht="16.5" hidden="true" customHeight="true" outlineLevel="0" collapsed="false">
      <c r="A48" s="110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02"/>
      <c r="X48" s="102"/>
    </row>
    <row r="49" customFormat="false" ht="16.5" hidden="true" customHeight="true" outlineLevel="0" collapsed="false">
      <c r="A49" s="110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02"/>
      <c r="X49" s="102"/>
    </row>
    <row r="50" customFormat="false" ht="16.5" hidden="true" customHeight="true" outlineLevel="0" collapsed="false">
      <c r="A50" s="110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02"/>
      <c r="X50" s="102"/>
    </row>
    <row r="51" customFormat="false" ht="16.5" hidden="true" customHeight="true" outlineLevel="0" collapsed="false">
      <c r="A51" s="110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02"/>
      <c r="X51" s="102"/>
    </row>
    <row r="52" customFormat="false" ht="16.5" hidden="true" customHeight="true" outlineLevel="0" collapsed="false">
      <c r="A52" s="110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02"/>
      <c r="X52" s="102"/>
    </row>
    <row r="53" customFormat="false" ht="16.5" hidden="true" customHeight="true" outlineLevel="0" collapsed="false">
      <c r="A53" s="110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02"/>
      <c r="X53" s="102"/>
    </row>
    <row r="54" customFormat="false" ht="16.5" hidden="true" customHeight="true" outlineLevel="0" collapsed="false">
      <c r="A54" s="110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02"/>
      <c r="X54" s="102"/>
    </row>
    <row r="55" customFormat="false" ht="16.5" hidden="true" customHeight="true" outlineLevel="0" collapsed="false">
      <c r="A55" s="110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02"/>
      <c r="X55" s="102"/>
    </row>
    <row r="56" customFormat="false" ht="16.5" hidden="true" customHeight="true" outlineLevel="0" collapsed="false">
      <c r="A56" s="110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02"/>
      <c r="X56" s="102"/>
    </row>
    <row r="57" customFormat="false" ht="16.5" hidden="true" customHeight="true" outlineLevel="0" collapsed="false">
      <c r="A57" s="110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02"/>
      <c r="X57" s="102"/>
    </row>
    <row r="58" customFormat="false" ht="16.5" hidden="true" customHeight="true" outlineLevel="0" collapsed="false">
      <c r="A58" s="110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2"/>
    </row>
    <row r="59" customFormat="false" ht="16.5" hidden="true" customHeight="true" outlineLevel="0" collapsed="false">
      <c r="A59" s="110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2"/>
    </row>
    <row r="60" customFormat="false" ht="16.5" hidden="true" customHeight="true" outlineLevel="0" collapsed="false">
      <c r="A60" s="110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2"/>
    </row>
    <row r="61" customFormat="false" ht="16.5" hidden="true" customHeight="true" outlineLevel="0" collapsed="false">
      <c r="A61" s="110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2"/>
    </row>
    <row r="62" customFormat="false" ht="17.25" hidden="false" customHeight="true" outlineLevel="0" collapsed="false">
      <c r="A62" s="91"/>
    </row>
    <row r="63" customFormat="false" ht="17.25" hidden="false" customHeight="true" outlineLevel="0" collapsed="false">
      <c r="A63" s="91"/>
      <c r="C63" s="19" t="s">
        <v>45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46</v>
      </c>
      <c r="P63" s="19"/>
      <c r="Q63" s="19"/>
      <c r="R63" s="19"/>
    </row>
    <row r="64" customFormat="false" ht="17.25" hidden="false" customHeight="true" outlineLevel="0" collapsed="false">
      <c r="A64" s="91"/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7.25" hidden="false" customHeight="true" outlineLevel="0" collapsed="false">
      <c r="A65" s="91"/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7.25" hidden="false" customHeight="true" outlineLevel="0" collapsed="false">
      <c r="A66" s="91"/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7.25" hidden="false" customHeight="true" outlineLevel="0" collapsed="false">
      <c r="A67" s="91"/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7.25" hidden="false" customHeight="true" outlineLevel="0" collapsed="false">
      <c r="A68" s="91"/>
      <c r="C68" s="19" t="s">
        <v>47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48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39375" right="0.196527777777778" top="0.747916666666667" bottom="0.39375" header="0.511811023622047" footer="0.118055555555556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68.NĐXD4/CVXD ngày 18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68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28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9.25" hidden="false" customHeight="true" outlineLevel="0" collapsed="false">
      <c r="A7" s="33" t="s">
        <v>29</v>
      </c>
      <c r="B7" s="34"/>
      <c r="D7" s="35" t="str">
        <f>VLOOKUP(AZ2,'[1]Tuyến XD4'!$A$2:$B$60,2,0)</f>
        <v xml:space="preserve">Đắp đất nền đường lớp 5 đoạn từ Km0+672,28 - Km0+746,82,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33</v>
      </c>
      <c r="C9" s="37" t="s">
        <v>34</v>
      </c>
      <c r="D9" s="38" t="s">
        <v>50</v>
      </c>
      <c r="E9" s="39"/>
      <c r="F9" s="39"/>
      <c r="G9" s="38"/>
      <c r="H9" s="39"/>
      <c r="I9" s="39"/>
      <c r="J9" s="39"/>
      <c r="K9" s="39"/>
      <c r="L9" s="39"/>
      <c r="M9" s="40" t="s">
        <v>51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38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52</v>
      </c>
      <c r="O10" s="40" t="s">
        <v>53</v>
      </c>
      <c r="P10" s="40" t="s">
        <v>52</v>
      </c>
      <c r="Q10" s="40" t="s">
        <v>52</v>
      </c>
      <c r="R10" s="40"/>
      <c r="S10" s="40"/>
      <c r="T10" s="40"/>
      <c r="U10" s="40" t="s">
        <v>54</v>
      </c>
      <c r="V10" s="40" t="s">
        <v>54</v>
      </c>
      <c r="W10" s="40" t="s">
        <v>55</v>
      </c>
      <c r="X10" s="40" t="s">
        <v>54</v>
      </c>
      <c r="Y10" s="40" t="s">
        <v>54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'5.KTHH L5'!B22</f>
        <v>38</v>
      </c>
      <c r="C11" s="51" t="n">
        <f aca="false">'5.KTHH L5'!C22</f>
        <v>672.28</v>
      </c>
      <c r="D11" s="13" t="n">
        <f aca="false">'5.KTHH L5'!T22</f>
        <v>17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Chạy!E6</f>
        <v>7.49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127.755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'5.KTHH L5'!B23</f>
        <v>39</v>
      </c>
      <c r="C12" s="51" t="n">
        <f aca="false">'5.KTHH L5'!C23</f>
        <v>689.28</v>
      </c>
      <c r="D12" s="13" t="n">
        <f aca="false">'5.KTHH L5'!T23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Chạy!E15</f>
        <v>7.54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61.335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'5.KTHH L5'!B24</f>
        <v>F2</v>
      </c>
      <c r="C13" s="51" t="n">
        <f aca="false">'5.KTHH L5'!C24</f>
        <v>701.03</v>
      </c>
      <c r="D13" s="13" t="n">
        <f aca="false">'5.KTHH L5'!T24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Chạy!E24</f>
        <v>2.9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60.7475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'5.KTHH L5'!B25</f>
        <v>40</v>
      </c>
      <c r="C14" s="51" t="n">
        <f aca="false">'5.KTHH L5'!C25</f>
        <v>712.78</v>
      </c>
      <c r="D14" s="13" t="n">
        <f aca="false">'5.KTHH L5'!T25</f>
        <v>17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Chạy!E33</f>
        <v>7.44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101.32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'5.KTHH L5'!B26</f>
        <v>41</v>
      </c>
      <c r="C15" s="51" t="n">
        <f aca="false">'5.KTHH L5'!C26</f>
        <v>729.78</v>
      </c>
      <c r="D15" s="13" t="n">
        <f aca="false">'5.KTHH L5'!T26</f>
        <v>17.04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Chạy!E42</f>
        <v>4.48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87.5856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'5.KTHH L5'!B27</f>
        <v>42</v>
      </c>
      <c r="C16" s="51" t="n">
        <f aca="false">'5.KTHH L5'!C27</f>
        <v>746.82</v>
      </c>
      <c r="D16" s="13"/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Chạy!E51</f>
        <v>5.8</v>
      </c>
      <c r="P16" s="53"/>
      <c r="Q16" s="53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6"/>
      <c r="AC16" s="57"/>
    </row>
    <row r="17" s="49" customFormat="true" ht="15" hidden="true" customHeight="true" outlineLevel="0" collapsed="false">
      <c r="A17" s="13"/>
      <c r="B17" s="13"/>
      <c r="C17" s="51"/>
      <c r="D17" s="13"/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/>
      <c r="P17" s="53"/>
      <c r="Q17" s="53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6"/>
      <c r="AC17" s="57"/>
    </row>
    <row r="18" s="49" customFormat="true" ht="15" hidden="true" customHeight="true" outlineLevel="0" collapsed="false">
      <c r="A18" s="13"/>
      <c r="B18" s="13"/>
      <c r="C18" s="51"/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/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56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SUM(W11:W16)</f>
        <v>438.7431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3.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45</v>
      </c>
      <c r="B53" s="19"/>
      <c r="C53" s="19"/>
      <c r="D53" s="77" t="s">
        <v>57</v>
      </c>
      <c r="E53" s="19" t="s">
        <v>46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47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48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5" hidden="false" customHeight="true" outlineLevel="0" collapsed="false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60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8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V64" activeCellId="0" sqref="V6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85"/>
    <col collapsed="false" customWidth="true" hidden="true" outlineLevel="0" max="15" min="13" style="1" width="8.57"/>
    <col collapsed="false" customWidth="true" hidden="false" outlineLevel="0" max="18" min="16" style="1" width="10.85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69.NĐXD4/CVXD ngày 19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69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28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29</v>
      </c>
      <c r="C7" s="7"/>
      <c r="D7" s="7"/>
      <c r="F7" s="7"/>
      <c r="G7" s="7" t="str">
        <f>VLOOKUP(AZ2,'[1]Tuyến XD4'!$A$2:$B$60,2,0)</f>
        <v xml:space="preserve">Đắp đất nền đường lớp 6 đoạn từ Km0+672,28 - Km0+746,82,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9" t="s">
        <v>32</v>
      </c>
      <c r="B20" s="9" t="s">
        <v>33</v>
      </c>
      <c r="C20" s="9" t="s">
        <v>34</v>
      </c>
      <c r="D20" s="10" t="s">
        <v>35</v>
      </c>
      <c r="E20" s="10"/>
      <c r="F20" s="10"/>
      <c r="G20" s="10"/>
      <c r="H20" s="10"/>
      <c r="I20" s="10"/>
      <c r="J20" s="10" t="s">
        <v>36</v>
      </c>
      <c r="K20" s="10"/>
      <c r="L20" s="10"/>
      <c r="M20" s="10" t="s">
        <v>37</v>
      </c>
      <c r="N20" s="10"/>
      <c r="O20" s="10"/>
      <c r="P20" s="10"/>
      <c r="Q20" s="10"/>
      <c r="R20" s="10"/>
      <c r="S20" s="9" t="s">
        <v>38</v>
      </c>
    </row>
    <row r="21" customFormat="false" ht="30" hidden="false" customHeight="true" outlineLevel="0" collapsed="false">
      <c r="A21" s="9"/>
      <c r="B21" s="9"/>
      <c r="C21" s="9"/>
      <c r="D21" s="11" t="s">
        <v>39</v>
      </c>
      <c r="E21" s="11" t="s">
        <v>40</v>
      </c>
      <c r="F21" s="11" t="s">
        <v>41</v>
      </c>
      <c r="G21" s="11" t="s">
        <v>42</v>
      </c>
      <c r="H21" s="11" t="s">
        <v>43</v>
      </c>
      <c r="I21" s="11" t="s">
        <v>44</v>
      </c>
      <c r="J21" s="11" t="s">
        <v>42</v>
      </c>
      <c r="K21" s="11" t="s">
        <v>43</v>
      </c>
      <c r="L21" s="11" t="s">
        <v>44</v>
      </c>
      <c r="M21" s="11" t="s">
        <v>39</v>
      </c>
      <c r="N21" s="11" t="s">
        <v>40</v>
      </c>
      <c r="O21" s="11" t="s">
        <v>41</v>
      </c>
      <c r="P21" s="11" t="s">
        <v>42</v>
      </c>
      <c r="Q21" s="11" t="s">
        <v>43</v>
      </c>
      <c r="R21" s="11" t="s">
        <v>44</v>
      </c>
      <c r="S21" s="9"/>
      <c r="T21" s="86"/>
      <c r="W21" s="111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672.28</v>
      </c>
      <c r="D22" s="16" t="n">
        <f aca="false">+Chạy!F5</f>
        <v>-11.44</v>
      </c>
      <c r="E22" s="16" t="n">
        <f aca="false">+D22+F22</f>
        <v>-11.4303</v>
      </c>
      <c r="F22" s="16" t="n">
        <f aca="false">RANDBETWEEN(-105,115)/10000</f>
        <v>0.0097</v>
      </c>
      <c r="G22" s="16" t="n">
        <f aca="false">+Chạy!G5</f>
        <v>1.04</v>
      </c>
      <c r="H22" s="16" t="n">
        <f aca="false">G22+I22</f>
        <v>1.01</v>
      </c>
      <c r="I22" s="16" t="n">
        <f aca="false">RANDBETWEEN(-30,90)/1000</f>
        <v>-0.03</v>
      </c>
      <c r="J22" s="16" t="n">
        <f aca="false">+Chạy!K5</f>
        <v>1.16</v>
      </c>
      <c r="K22" s="16" t="n">
        <f aca="false">J22+L22</f>
        <v>1.217</v>
      </c>
      <c r="L22" s="16" t="n">
        <f aca="false">RANDBETWEEN(-30,90)/1000</f>
        <v>0.057</v>
      </c>
      <c r="M22" s="16" t="n">
        <f aca="false">+Chạy!N5</f>
        <v>13.3</v>
      </c>
      <c r="N22" s="16" t="n">
        <f aca="false">+M22+O22</f>
        <v>13.2965</v>
      </c>
      <c r="O22" s="16" t="n">
        <f aca="false">RANDBETWEEN(-105,115)/10000</f>
        <v>-0.0035</v>
      </c>
      <c r="P22" s="16" t="n">
        <f aca="false">+Chạy!O5</f>
        <v>1.04</v>
      </c>
      <c r="Q22" s="16" t="n">
        <f aca="false">P22+R22</f>
        <v>1.079</v>
      </c>
      <c r="R22" s="16" t="n">
        <f aca="false">RANDBETWEEN(-30,90)/1000</f>
        <v>0.039</v>
      </c>
      <c r="S22" s="17"/>
      <c r="T22" s="0" t="n">
        <v>17</v>
      </c>
      <c r="W22" s="102"/>
      <c r="X22" s="102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689.28</v>
      </c>
      <c r="D23" s="16" t="n">
        <f aca="false">+Chạy!F14</f>
        <v>-11.97</v>
      </c>
      <c r="E23" s="16" t="n">
        <f aca="false">+D23+F23</f>
        <v>-11.9758</v>
      </c>
      <c r="F23" s="16" t="n">
        <f aca="false">RANDBETWEEN(-105,115)/10000</f>
        <v>-0.0058</v>
      </c>
      <c r="G23" s="16" t="n">
        <f aca="false">+Chạy!G14</f>
        <v>1.04</v>
      </c>
      <c r="H23" s="16" t="n">
        <f aca="false">G23+I23</f>
        <v>1.117</v>
      </c>
      <c r="I23" s="16" t="n">
        <f aca="false">RANDBETWEEN(-30,90)/1000</f>
        <v>0.077</v>
      </c>
      <c r="J23" s="16" t="n">
        <f aca="false">+Chạy!K14</f>
        <v>1.16</v>
      </c>
      <c r="K23" s="16" t="n">
        <f aca="false">J23+L23</f>
        <v>1.143</v>
      </c>
      <c r="L23" s="16" t="n">
        <f aca="false">RANDBETWEEN(-30,90)/1000</f>
        <v>-0.017</v>
      </c>
      <c r="M23" s="16" t="n">
        <f aca="false">+Chạy!N14</f>
        <v>13.3</v>
      </c>
      <c r="N23" s="16" t="n">
        <f aca="false">+M23+O23</f>
        <v>13.3103</v>
      </c>
      <c r="O23" s="16" t="n">
        <f aca="false">RANDBETWEEN(-105,115)/10000</f>
        <v>0.0103</v>
      </c>
      <c r="P23" s="16" t="n">
        <f aca="false">+Chạy!O14</f>
        <v>1.04</v>
      </c>
      <c r="Q23" s="16" t="n">
        <f aca="false">P23+R23</f>
        <v>1.017</v>
      </c>
      <c r="R23" s="16" t="n">
        <f aca="false">RANDBETWEEN(-30,90)/1000</f>
        <v>-0.023</v>
      </c>
      <c r="S23" s="17"/>
      <c r="T23" s="0" t="n">
        <v>11.75</v>
      </c>
      <c r="W23" s="102"/>
      <c r="X23" s="102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701.03</v>
      </c>
      <c r="D24" s="16" t="n">
        <f aca="false">+Chạy!F23</f>
        <v>-11.8</v>
      </c>
      <c r="E24" s="16" t="n">
        <f aca="false">+D24+F24</f>
        <v>-11.7887</v>
      </c>
      <c r="F24" s="16" t="n">
        <f aca="false">RANDBETWEEN(-105,115)/10000</f>
        <v>0.0113</v>
      </c>
      <c r="G24" s="16" t="n">
        <f aca="false">+Chạy!G23</f>
        <v>1.04</v>
      </c>
      <c r="H24" s="16" t="n">
        <f aca="false">G24+I24</f>
        <v>1.034</v>
      </c>
      <c r="I24" s="16" t="n">
        <f aca="false">RANDBETWEEN(-30,90)/1000</f>
        <v>-0.006</v>
      </c>
      <c r="J24" s="16" t="n">
        <f aca="false">+Chạy!K23</f>
        <v>1.16</v>
      </c>
      <c r="K24" s="16" t="n">
        <f aca="false">J24+L24</f>
        <v>1.211</v>
      </c>
      <c r="L24" s="16" t="n">
        <f aca="false">RANDBETWEEN(-30,90)/1000</f>
        <v>0.051</v>
      </c>
      <c r="M24" s="16" t="n">
        <f aca="false">+Chạy!N23</f>
        <v>-1.37</v>
      </c>
      <c r="N24" s="16" t="n">
        <f aca="false">+M24+O24</f>
        <v>-1.3704</v>
      </c>
      <c r="O24" s="16" t="n">
        <f aca="false">RANDBETWEEN(-105,115)/10000</f>
        <v>-0.0004</v>
      </c>
      <c r="P24" s="16" t="n">
        <f aca="false">+Chạy!O23</f>
        <v>1.13</v>
      </c>
      <c r="Q24" s="16" t="n">
        <f aca="false">P24+R24</f>
        <v>1.207</v>
      </c>
      <c r="R24" s="16" t="n">
        <f aca="false">RANDBETWEEN(-30,90)/1000</f>
        <v>0.077</v>
      </c>
      <c r="S24" s="17"/>
      <c r="T24" s="0" t="n">
        <v>11.75</v>
      </c>
      <c r="W24" s="102"/>
      <c r="X24" s="102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712.78</v>
      </c>
      <c r="D25" s="16" t="n">
        <f aca="false">+Chạy!F32</f>
        <v>-11.99</v>
      </c>
      <c r="E25" s="16" t="n">
        <f aca="false">+D25+F25</f>
        <v>-11.9907</v>
      </c>
      <c r="F25" s="16" t="n">
        <f aca="false">RANDBETWEEN(-105,115)/10000</f>
        <v>-0.0007</v>
      </c>
      <c r="G25" s="16" t="n">
        <f aca="false">+Chạy!G32</f>
        <v>1.04</v>
      </c>
      <c r="H25" s="16" t="n">
        <f aca="false">G25+I25</f>
        <v>1.052</v>
      </c>
      <c r="I25" s="16" t="n">
        <f aca="false">RANDBETWEEN(-30,90)/1000</f>
        <v>0.012</v>
      </c>
      <c r="J25" s="16" t="n">
        <f aca="false">+Chạy!K32</f>
        <v>1.16</v>
      </c>
      <c r="K25" s="16" t="n">
        <f aca="false">J25+L25</f>
        <v>1.142</v>
      </c>
      <c r="L25" s="16" t="n">
        <f aca="false">RANDBETWEEN(-30,90)/1000</f>
        <v>-0.018</v>
      </c>
      <c r="M25" s="16" t="n">
        <f aca="false">+Chạy!N32</f>
        <v>13.3</v>
      </c>
      <c r="N25" s="16" t="n">
        <f aca="false">+M25+O25</f>
        <v>13.305</v>
      </c>
      <c r="O25" s="16" t="n">
        <f aca="false">RANDBETWEEN(-105,115)/10000</f>
        <v>0.005</v>
      </c>
      <c r="P25" s="16" t="n">
        <f aca="false">+Chạy!O32</f>
        <v>1.04</v>
      </c>
      <c r="Q25" s="16" t="n">
        <f aca="false">P25+R25</f>
        <v>1.038</v>
      </c>
      <c r="R25" s="16" t="n">
        <f aca="false">RANDBETWEEN(-30,90)/1000</f>
        <v>-0.002</v>
      </c>
      <c r="S25" s="17"/>
      <c r="T25" s="0" t="n">
        <v>17</v>
      </c>
      <c r="W25" s="102"/>
      <c r="X25" s="102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729.78</v>
      </c>
      <c r="D26" s="16" t="n">
        <f aca="false">+Chạy!F41</f>
        <v>-7.91</v>
      </c>
      <c r="E26" s="16" t="n">
        <f aca="false">+D26+F26</f>
        <v>-7.9101</v>
      </c>
      <c r="F26" s="16" t="n">
        <f aca="false">RANDBETWEEN(-105,115)/10000</f>
        <v>-0.0001</v>
      </c>
      <c r="G26" s="16" t="n">
        <f aca="false">+Chạy!G41</f>
        <v>1.04</v>
      </c>
      <c r="H26" s="16" t="n">
        <f aca="false">G26+I26</f>
        <v>1.092</v>
      </c>
      <c r="I26" s="16" t="n">
        <f aca="false">RANDBETWEEN(-30,90)/1000</f>
        <v>0.052</v>
      </c>
      <c r="J26" s="16" t="n">
        <f aca="false">+Chạy!K41</f>
        <v>1.16</v>
      </c>
      <c r="K26" s="16" t="n">
        <f aca="false">J26+L26</f>
        <v>1.168</v>
      </c>
      <c r="L26" s="16" t="n">
        <f aca="false">RANDBETWEEN(-30,90)/1000</f>
        <v>0.008</v>
      </c>
      <c r="M26" s="16" t="n">
        <f aca="false">+Chạy!N41</f>
        <v>7.91</v>
      </c>
      <c r="N26" s="16" t="n">
        <f aca="false">+M26+O26</f>
        <v>7.9171</v>
      </c>
      <c r="O26" s="16" t="n">
        <f aca="false">RANDBETWEEN(-105,115)/10000</f>
        <v>0.0071</v>
      </c>
      <c r="P26" s="16" t="n">
        <f aca="false">+Chạy!O41</f>
        <v>1.04</v>
      </c>
      <c r="Q26" s="16" t="n">
        <f aca="false">P26+R26</f>
        <v>1.1</v>
      </c>
      <c r="R26" s="16" t="n">
        <f aca="false">RANDBETWEEN(-30,90)/1000</f>
        <v>0.06</v>
      </c>
      <c r="S26" s="17"/>
      <c r="T26" s="0" t="n">
        <v>17.04</v>
      </c>
      <c r="W26" s="102"/>
      <c r="X26" s="102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746.82</v>
      </c>
      <c r="D27" s="16" t="n">
        <f aca="false">+Chạy!F50</f>
        <v>-8.35</v>
      </c>
      <c r="E27" s="16" t="n">
        <f aca="false">+D27+F27</f>
        <v>-8.3442</v>
      </c>
      <c r="F27" s="16" t="n">
        <f aca="false">RANDBETWEEN(-105,115)/10000</f>
        <v>0.0058</v>
      </c>
      <c r="G27" s="16" t="n">
        <f aca="false">+Chạy!G50</f>
        <v>1.04</v>
      </c>
      <c r="H27" s="16" t="n">
        <f aca="false">G27+I27</f>
        <v>1.07</v>
      </c>
      <c r="I27" s="16" t="n">
        <f aca="false">RANDBETWEEN(-30,90)/1000</f>
        <v>0.03</v>
      </c>
      <c r="J27" s="16" t="n">
        <f aca="false">+Chạy!K50</f>
        <v>1.16</v>
      </c>
      <c r="K27" s="16" t="n">
        <f aca="false">J27+L27</f>
        <v>1.175</v>
      </c>
      <c r="L27" s="16" t="n">
        <f aca="false">RANDBETWEEN(-30,90)/1000</f>
        <v>0.015</v>
      </c>
      <c r="M27" s="16" t="n">
        <f aca="false">+Chạy!N50</f>
        <v>13.3</v>
      </c>
      <c r="N27" s="16" t="n">
        <f aca="false">+M27+O27</f>
        <v>13.3032</v>
      </c>
      <c r="O27" s="16" t="n">
        <f aca="false">RANDBETWEEN(-105,115)/10000</f>
        <v>0.0032</v>
      </c>
      <c r="P27" s="16" t="n">
        <f aca="false">+Chạy!O50</f>
        <v>1.04</v>
      </c>
      <c r="Q27" s="16" t="n">
        <f aca="false">P27+R27</f>
        <v>1.083</v>
      </c>
      <c r="R27" s="16" t="n">
        <f aca="false">RANDBETWEEN(-30,90)/1000</f>
        <v>0.043</v>
      </c>
      <c r="S27" s="17"/>
      <c r="W27" s="102"/>
      <c r="X27" s="102"/>
    </row>
    <row r="28" customFormat="false" ht="15" hidden="true" customHeight="false" outlineLevel="0" collapsed="false">
      <c r="A28" s="13"/>
      <c r="B28" s="13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  <c r="W28" s="102"/>
      <c r="X28" s="102"/>
    </row>
    <row r="29" customFormat="false" ht="15" hidden="true" customHeight="false" outlineLevel="0" collapsed="false">
      <c r="A29" s="13"/>
      <c r="B29" s="13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W29" s="102"/>
      <c r="X29" s="102"/>
    </row>
    <row r="30" customFormat="false" ht="15" hidden="true" customHeight="false" outlineLevel="0" collapsed="false">
      <c r="A30" s="13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W30" s="102"/>
      <c r="X30" s="102"/>
    </row>
    <row r="31" customFormat="false" ht="15" hidden="true" customHeight="false" outlineLevel="0" collapsed="false">
      <c r="A31" s="13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W31" s="102"/>
      <c r="X31" s="102"/>
    </row>
    <row r="32" customFormat="false" ht="15" hidden="true" customHeight="false" outlineLevel="0" collapsed="false">
      <c r="A32" s="13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W32" s="102"/>
      <c r="X32" s="102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W33" s="102"/>
      <c r="X33" s="102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02"/>
      <c r="X34" s="102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02"/>
      <c r="X35" s="102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02"/>
      <c r="X36" s="102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02"/>
      <c r="X37" s="102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02"/>
      <c r="X38" s="102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02"/>
      <c r="X39" s="102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02"/>
      <c r="X40" s="102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02"/>
      <c r="X41" s="102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02"/>
      <c r="X42" s="102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02"/>
      <c r="X43" s="102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02"/>
      <c r="X44" s="102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02"/>
      <c r="X45" s="102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02"/>
      <c r="X46" s="102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02"/>
      <c r="X47" s="102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02"/>
      <c r="X48" s="102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02"/>
      <c r="X49" s="102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02"/>
      <c r="X50" s="102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02"/>
      <c r="X51" s="102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02"/>
      <c r="X52" s="102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02"/>
      <c r="X53" s="102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02"/>
      <c r="X54" s="102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02"/>
      <c r="X55" s="102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02"/>
      <c r="X56" s="102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02"/>
      <c r="X57" s="102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2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2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2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2"/>
    </row>
    <row r="63" customFormat="false" ht="15" hidden="false" customHeight="false" outlineLevel="0" collapsed="false">
      <c r="C63" s="19" t="s">
        <v>45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46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47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48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69.NĐXD4/CVXD ngày 19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69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28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0" hidden="false" customHeight="true" outlineLevel="0" collapsed="false">
      <c r="A7" s="33" t="s">
        <v>29</v>
      </c>
      <c r="B7" s="34"/>
      <c r="D7" s="35" t="str">
        <f>VLOOKUP(AZ2,'[1]Tuyến XD4'!$A$2:$B$60,2,0)</f>
        <v xml:space="preserve">Đắp đất nền đường lớp 6 đoạn từ Km0+672,28 - Km0+746,82,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33</v>
      </c>
      <c r="C9" s="37" t="s">
        <v>34</v>
      </c>
      <c r="D9" s="38" t="s">
        <v>50</v>
      </c>
      <c r="E9" s="39"/>
      <c r="F9" s="39"/>
      <c r="G9" s="38"/>
      <c r="H9" s="39"/>
      <c r="I9" s="39"/>
      <c r="J9" s="39"/>
      <c r="K9" s="39"/>
      <c r="L9" s="39"/>
      <c r="M9" s="40" t="s">
        <v>51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38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52</v>
      </c>
      <c r="O10" s="40" t="s">
        <v>53</v>
      </c>
      <c r="P10" s="40" t="s">
        <v>52</v>
      </c>
      <c r="Q10" s="40" t="s">
        <v>52</v>
      </c>
      <c r="R10" s="40"/>
      <c r="S10" s="40"/>
      <c r="T10" s="40"/>
      <c r="U10" s="40" t="s">
        <v>54</v>
      </c>
      <c r="V10" s="40" t="s">
        <v>54</v>
      </c>
      <c r="W10" s="40" t="s">
        <v>55</v>
      </c>
      <c r="X10" s="40" t="s">
        <v>54</v>
      </c>
      <c r="Y10" s="40" t="s">
        <v>54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'6.KTHH L6'!B22</f>
        <v>38</v>
      </c>
      <c r="C11" s="51" t="n">
        <f aca="false">'6.KTHH L6'!C22</f>
        <v>672.28</v>
      </c>
      <c r="D11" s="13" t="n">
        <f aca="false">'6.KTHH L6'!T22</f>
        <v>17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Chạy!E5</f>
        <v>7.44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127.925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'6.KTHH L6'!B23</f>
        <v>39</v>
      </c>
      <c r="C12" s="51" t="n">
        <f aca="false">'6.KTHH L6'!C23</f>
        <v>689.28</v>
      </c>
      <c r="D12" s="13" t="n">
        <f aca="false">'6.KTHH L6'!T23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Chạy!E14</f>
        <v>7.61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62.6275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'6.KTHH L6'!B24</f>
        <v>F2</v>
      </c>
      <c r="C13" s="51" t="n">
        <f aca="false">'6.KTHH L6'!C24</f>
        <v>701.03</v>
      </c>
      <c r="D13" s="13" t="n">
        <f aca="false">'6.KTHH L6'!T24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Chạy!E23</f>
        <v>3.05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62.68625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'6.KTHH L6'!B25</f>
        <v>40</v>
      </c>
      <c r="C14" s="51" t="n">
        <f aca="false">'6.KTHH L6'!C25</f>
        <v>712.78</v>
      </c>
      <c r="D14" s="13" t="n">
        <f aca="false">'6.KTHH L6'!T25</f>
        <v>17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Chạy!E32</f>
        <v>7.62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104.38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'6.KTHH L6'!B26</f>
        <v>41</v>
      </c>
      <c r="C15" s="51" t="n">
        <f aca="false">'6.KTHH L6'!C26</f>
        <v>729.78</v>
      </c>
      <c r="D15" s="13" t="n">
        <f aca="false">'6.KTHH L6'!T26</f>
        <v>17.04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Chạy!E41</f>
        <v>4.66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95.2536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'6.KTHH L6'!B27</f>
        <v>42</v>
      </c>
      <c r="C16" s="51" t="n">
        <f aca="false">'6.KTHH L6'!C27</f>
        <v>746.82</v>
      </c>
      <c r="D16" s="13"/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Chạy!E50</f>
        <v>6.52</v>
      </c>
      <c r="P16" s="53"/>
      <c r="Q16" s="53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6"/>
      <c r="AC16" s="57"/>
    </row>
    <row r="17" s="49" customFormat="true" ht="15" hidden="true" customHeight="true" outlineLevel="0" collapsed="false">
      <c r="A17" s="13"/>
      <c r="B17" s="13"/>
      <c r="C17" s="51"/>
      <c r="D17" s="13"/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/>
      <c r="P17" s="53"/>
      <c r="Q17" s="53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6"/>
      <c r="AC17" s="57"/>
    </row>
    <row r="18" s="49" customFormat="true" ht="15" hidden="true" customHeight="true" outlineLevel="0" collapsed="false">
      <c r="A18" s="13"/>
      <c r="B18" s="13"/>
      <c r="C18" s="51"/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/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56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SUM(W11:W16)</f>
        <v>452.87235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45</v>
      </c>
      <c r="B53" s="19"/>
      <c r="C53" s="19"/>
      <c r="D53" s="77" t="s">
        <v>57</v>
      </c>
      <c r="E53" s="19" t="s">
        <v>46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47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48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6.5" hidden="false" customHeight="true" outlineLevel="0" collapsed="false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229861111111111" top="0.57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V11" activeCellId="0" sqref="V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3" min="23" style="113" width="9.14"/>
    <col collapsed="false" customWidth="true" hidden="false" outlineLevel="0" max="25" min="25" style="113" width="9.14"/>
  </cols>
  <sheetData>
    <row r="1" customFormat="false" ht="20.25" hidden="false" customHeight="true" outlineLevel="0" collapsed="false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70.NĐXD4/CVXD ngày 19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70</v>
      </c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28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29</v>
      </c>
      <c r="C7" s="7"/>
      <c r="D7" s="7"/>
      <c r="F7" s="7"/>
      <c r="G7" s="7" t="str">
        <f>VLOOKUP(AZ2,'[1]Tuyến XD4'!$A$2:$B$60,2,0)</f>
        <v xml:space="preserve">Đắp đất nền đường lớp 7 đoạn từ Km0+672,28 - Km0+746,82,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9" t="s">
        <v>32</v>
      </c>
      <c r="B20" s="9" t="s">
        <v>33</v>
      </c>
      <c r="C20" s="9" t="s">
        <v>34</v>
      </c>
      <c r="D20" s="10" t="s">
        <v>35</v>
      </c>
      <c r="E20" s="10"/>
      <c r="F20" s="10"/>
      <c r="G20" s="10"/>
      <c r="H20" s="10"/>
      <c r="I20" s="10"/>
      <c r="J20" s="10" t="s">
        <v>36</v>
      </c>
      <c r="K20" s="10"/>
      <c r="L20" s="10"/>
      <c r="M20" s="10" t="s">
        <v>37</v>
      </c>
      <c r="N20" s="10"/>
      <c r="O20" s="10"/>
      <c r="P20" s="10"/>
      <c r="Q20" s="10"/>
      <c r="R20" s="10"/>
      <c r="S20" s="9" t="s">
        <v>38</v>
      </c>
    </row>
    <row r="21" customFormat="false" ht="30" hidden="false" customHeight="true" outlineLevel="0" collapsed="false">
      <c r="A21" s="9"/>
      <c r="B21" s="9"/>
      <c r="C21" s="9"/>
      <c r="D21" s="11" t="s">
        <v>39</v>
      </c>
      <c r="E21" s="11" t="s">
        <v>40</v>
      </c>
      <c r="F21" s="11" t="s">
        <v>41</v>
      </c>
      <c r="G21" s="11" t="s">
        <v>42</v>
      </c>
      <c r="H21" s="11" t="s">
        <v>43</v>
      </c>
      <c r="I21" s="11" t="s">
        <v>44</v>
      </c>
      <c r="J21" s="11" t="s">
        <v>42</v>
      </c>
      <c r="K21" s="11" t="s">
        <v>43</v>
      </c>
      <c r="L21" s="11" t="s">
        <v>44</v>
      </c>
      <c r="M21" s="11" t="s">
        <v>39</v>
      </c>
      <c r="N21" s="11" t="s">
        <v>40</v>
      </c>
      <c r="O21" s="11" t="s">
        <v>41</v>
      </c>
      <c r="P21" s="11" t="s">
        <v>42</v>
      </c>
      <c r="Q21" s="11" t="s">
        <v>43</v>
      </c>
      <c r="R21" s="11" t="s">
        <v>44</v>
      </c>
      <c r="S21" s="9"/>
      <c r="T21" s="12"/>
      <c r="W21" s="111"/>
      <c r="Y21" s="114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672.28</v>
      </c>
      <c r="D22" s="16" t="n">
        <f aca="false">+Chạy!F4</f>
        <v>-11.74</v>
      </c>
      <c r="E22" s="16" t="n">
        <f aca="false">+D22+F22</f>
        <v>-11.7336</v>
      </c>
      <c r="F22" s="16" t="n">
        <f aca="false">RANDBETWEEN(-105,115)/10000</f>
        <v>0.0064</v>
      </c>
      <c r="G22" s="16" t="n">
        <f aca="false">+Chạy!G4</f>
        <v>1.34</v>
      </c>
      <c r="H22" s="16" t="n">
        <f aca="false">G22+I22</f>
        <v>1.378</v>
      </c>
      <c r="I22" s="16" t="n">
        <f aca="false">RANDBETWEEN(-30,90)/1000</f>
        <v>0.038</v>
      </c>
      <c r="J22" s="16" t="n">
        <f aca="false">+Chạy!K4</f>
        <v>1.46</v>
      </c>
      <c r="K22" s="16" t="n">
        <f aca="false">J22+L22</f>
        <v>1.543</v>
      </c>
      <c r="L22" s="16" t="n">
        <f aca="false">RANDBETWEEN(-30,90)/1000</f>
        <v>0.083</v>
      </c>
      <c r="M22" s="16" t="n">
        <f aca="false">+Chạy!N4</f>
        <v>12.85</v>
      </c>
      <c r="N22" s="16" t="n">
        <f aca="false">+M22+O22</f>
        <v>12.858</v>
      </c>
      <c r="O22" s="16" t="n">
        <f aca="false">RANDBETWEEN(-105,115)/10000</f>
        <v>0.008</v>
      </c>
      <c r="P22" s="16" t="n">
        <f aca="false">+Chạy!O4</f>
        <v>1.34</v>
      </c>
      <c r="Q22" s="16" t="n">
        <f aca="false">P22+R22</f>
        <v>1.421</v>
      </c>
      <c r="R22" s="16" t="n">
        <f aca="false">RANDBETWEEN(-30,90)/1000</f>
        <v>0.081</v>
      </c>
      <c r="S22" s="17"/>
      <c r="T22" s="0" t="n">
        <v>17</v>
      </c>
      <c r="W22" s="115"/>
      <c r="X22" s="102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689.28</v>
      </c>
      <c r="D23" s="16" t="n">
        <f aca="false">+Chạy!F13</f>
        <v>-12.23</v>
      </c>
      <c r="E23" s="16" t="n">
        <f aca="false">+D23+F23</f>
        <v>-12.2274</v>
      </c>
      <c r="F23" s="16" t="n">
        <f aca="false">RANDBETWEEN(-105,115)/10000</f>
        <v>0.0026</v>
      </c>
      <c r="G23" s="16" t="n">
        <f aca="false">+Chạy!G13</f>
        <v>1.34</v>
      </c>
      <c r="H23" s="16" t="n">
        <f aca="false">G23+I23</f>
        <v>1.353</v>
      </c>
      <c r="I23" s="16" t="n">
        <f aca="false">RANDBETWEEN(-30,90)/1000</f>
        <v>0.013</v>
      </c>
      <c r="J23" s="16" t="n">
        <f aca="false">+Chạy!K13</f>
        <v>1.46</v>
      </c>
      <c r="K23" s="16" t="n">
        <f aca="false">J23+L23</f>
        <v>1.446</v>
      </c>
      <c r="L23" s="16" t="n">
        <f aca="false">RANDBETWEEN(-30,90)/1000</f>
        <v>-0.014</v>
      </c>
      <c r="M23" s="16" t="n">
        <f aca="false">+Chạy!N13</f>
        <v>12.85</v>
      </c>
      <c r="N23" s="16" t="n">
        <f aca="false">+M23+O23</f>
        <v>12.8526</v>
      </c>
      <c r="O23" s="16" t="n">
        <f aca="false">RANDBETWEEN(-105,115)/10000</f>
        <v>0.0026</v>
      </c>
      <c r="P23" s="16" t="n">
        <f aca="false">+Chạy!O13</f>
        <v>1.34</v>
      </c>
      <c r="Q23" s="16" t="n">
        <f aca="false">P23+R23</f>
        <v>1.318</v>
      </c>
      <c r="R23" s="16" t="n">
        <f aca="false">RANDBETWEEN(-30,90)/1000</f>
        <v>-0.022</v>
      </c>
      <c r="S23" s="17"/>
      <c r="T23" s="0" t="n">
        <v>11.75</v>
      </c>
      <c r="W23" s="115"/>
      <c r="X23" s="102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701.03</v>
      </c>
      <c r="D24" s="16" t="n">
        <f aca="false">+Chạy!F22</f>
        <v>-12.07</v>
      </c>
      <c r="E24" s="16" t="n">
        <f aca="false">+D24+F24</f>
        <v>-12.0793</v>
      </c>
      <c r="F24" s="16" t="n">
        <f aca="false">RANDBETWEEN(-105,115)/10000</f>
        <v>-0.0093</v>
      </c>
      <c r="G24" s="16" t="n">
        <f aca="false">+Chạy!G22</f>
        <v>1.34</v>
      </c>
      <c r="H24" s="16" t="n">
        <f aca="false">G24+I24</f>
        <v>1.31</v>
      </c>
      <c r="I24" s="16" t="n">
        <f aca="false">RANDBETWEEN(-30,90)/1000</f>
        <v>-0.03</v>
      </c>
      <c r="J24" s="16" t="n">
        <f aca="false">+Chạy!K22</f>
        <v>1.46</v>
      </c>
      <c r="K24" s="16" t="n">
        <f aca="false">J24+L24</f>
        <v>1.437</v>
      </c>
      <c r="L24" s="16" t="n">
        <f aca="false">RANDBETWEEN(-30,90)/1000</f>
        <v>-0.023</v>
      </c>
      <c r="M24" s="16" t="n">
        <f aca="false">+Chạy!N22</f>
        <v>-1.14</v>
      </c>
      <c r="N24" s="16" t="n">
        <f aca="false">+M24+O24</f>
        <v>-1.1361</v>
      </c>
      <c r="O24" s="16" t="n">
        <f aca="false">RANDBETWEEN(-105,115)/10000</f>
        <v>0.0039</v>
      </c>
      <c r="P24" s="16" t="n">
        <f aca="false">+Chạy!O22</f>
        <v>1.44</v>
      </c>
      <c r="Q24" s="16" t="n">
        <f aca="false">P24+R24</f>
        <v>1.421</v>
      </c>
      <c r="R24" s="16" t="n">
        <f aca="false">RANDBETWEEN(-30,90)/1000</f>
        <v>-0.019</v>
      </c>
      <c r="S24" s="17"/>
      <c r="T24" s="0" t="n">
        <v>11.75</v>
      </c>
      <c r="W24" s="115"/>
      <c r="X24" s="102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712.78</v>
      </c>
      <c r="D25" s="16" t="n">
        <f aca="false">+Chạy!F31</f>
        <v>-12.24</v>
      </c>
      <c r="E25" s="16" t="n">
        <f aca="false">+D25+F25</f>
        <v>-12.2416</v>
      </c>
      <c r="F25" s="16" t="n">
        <f aca="false">RANDBETWEEN(-105,115)/10000</f>
        <v>-0.0016</v>
      </c>
      <c r="G25" s="16" t="n">
        <f aca="false">+Chạy!G31</f>
        <v>1.34</v>
      </c>
      <c r="H25" s="16" t="n">
        <f aca="false">G25+I25</f>
        <v>1.389</v>
      </c>
      <c r="I25" s="16" t="n">
        <f aca="false">RANDBETWEEN(-30,90)/1000</f>
        <v>0.049</v>
      </c>
      <c r="J25" s="16" t="n">
        <f aca="false">+Chạy!K31</f>
        <v>1.46</v>
      </c>
      <c r="K25" s="16" t="n">
        <f aca="false">J25+L25</f>
        <v>1.498</v>
      </c>
      <c r="L25" s="16" t="n">
        <f aca="false">RANDBETWEEN(-30,90)/1000</f>
        <v>0.038</v>
      </c>
      <c r="M25" s="16" t="n">
        <f aca="false">+Chạy!N31</f>
        <v>12.85</v>
      </c>
      <c r="N25" s="16" t="n">
        <f aca="false">+M25+O25</f>
        <v>12.8519</v>
      </c>
      <c r="O25" s="16" t="n">
        <f aca="false">RANDBETWEEN(-105,115)/10000</f>
        <v>0.0019</v>
      </c>
      <c r="P25" s="16" t="n">
        <f aca="false">+Chạy!O31</f>
        <v>1.34</v>
      </c>
      <c r="Q25" s="16" t="n">
        <f aca="false">P25+R25</f>
        <v>1.357</v>
      </c>
      <c r="R25" s="16" t="n">
        <f aca="false">RANDBETWEEN(-30,90)/1000</f>
        <v>0.017</v>
      </c>
      <c r="S25" s="17"/>
      <c r="T25" s="0" t="n">
        <v>17</v>
      </c>
      <c r="W25" s="115"/>
      <c r="X25" s="102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729.78</v>
      </c>
      <c r="D26" s="16" t="n">
        <f aca="false">+Chạy!F40</f>
        <v>-8.21</v>
      </c>
      <c r="E26" s="16" t="n">
        <f aca="false">+D26+F26</f>
        <v>-8.2165</v>
      </c>
      <c r="F26" s="16" t="n">
        <f aca="false">RANDBETWEEN(-105,115)/10000</f>
        <v>-0.0065</v>
      </c>
      <c r="G26" s="16" t="n">
        <f aca="false">+Chạy!G40</f>
        <v>1.34</v>
      </c>
      <c r="H26" s="16" t="n">
        <f aca="false">G26+I26</f>
        <v>1.346</v>
      </c>
      <c r="I26" s="16" t="n">
        <f aca="false">RANDBETWEEN(-30,90)/1000</f>
        <v>0.006</v>
      </c>
      <c r="J26" s="16" t="n">
        <f aca="false">+Chạy!K40</f>
        <v>1.46</v>
      </c>
      <c r="K26" s="16" t="n">
        <f aca="false">J26+L26</f>
        <v>1.471</v>
      </c>
      <c r="L26" s="16" t="n">
        <f aca="false">RANDBETWEEN(-30,90)/1000</f>
        <v>0.011</v>
      </c>
      <c r="M26" s="16" t="n">
        <f aca="false">+Chạy!N40</f>
        <v>8.21</v>
      </c>
      <c r="N26" s="16" t="n">
        <f aca="false">+M26+O26</f>
        <v>8.2016</v>
      </c>
      <c r="O26" s="16" t="n">
        <f aca="false">RANDBETWEEN(-105,115)/10000</f>
        <v>-0.0084</v>
      </c>
      <c r="P26" s="16" t="n">
        <f aca="false">+Chạy!O40</f>
        <v>1.34</v>
      </c>
      <c r="Q26" s="16" t="n">
        <f aca="false">P26+R26</f>
        <v>1.313</v>
      </c>
      <c r="R26" s="16" t="n">
        <f aca="false">RANDBETWEEN(-30,90)/1000</f>
        <v>-0.027</v>
      </c>
      <c r="S26" s="17"/>
      <c r="T26" s="0" t="n">
        <v>17.04</v>
      </c>
      <c r="W26" s="115"/>
      <c r="X26" s="102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746.82</v>
      </c>
      <c r="D27" s="16" t="n">
        <f aca="false">+Chạy!F49</f>
        <v>-8.65</v>
      </c>
      <c r="E27" s="16" t="n">
        <f aca="false">+D27+F27</f>
        <v>-8.6597</v>
      </c>
      <c r="F27" s="16" t="n">
        <f aca="false">RANDBETWEEN(-105,115)/10000</f>
        <v>-0.0097</v>
      </c>
      <c r="G27" s="16" t="n">
        <f aca="false">+Chạy!G49</f>
        <v>1.34</v>
      </c>
      <c r="H27" s="16" t="n">
        <f aca="false">G27+I27</f>
        <v>1.344</v>
      </c>
      <c r="I27" s="16" t="n">
        <f aca="false">RANDBETWEEN(-30,90)/1000</f>
        <v>0.004</v>
      </c>
      <c r="J27" s="16" t="n">
        <f aca="false">+Chạy!K49</f>
        <v>1.46</v>
      </c>
      <c r="K27" s="16" t="n">
        <f aca="false">J27+L27</f>
        <v>1.53</v>
      </c>
      <c r="L27" s="16" t="n">
        <f aca="false">RANDBETWEEN(-30,90)/1000</f>
        <v>0.07</v>
      </c>
      <c r="M27" s="16" t="n">
        <f aca="false">+Chạy!N49</f>
        <v>12.85</v>
      </c>
      <c r="N27" s="16" t="n">
        <f aca="false">+M27+O27</f>
        <v>12.8545</v>
      </c>
      <c r="O27" s="16" t="n">
        <f aca="false">RANDBETWEEN(-105,115)/10000</f>
        <v>0.0045</v>
      </c>
      <c r="P27" s="16" t="n">
        <f aca="false">+Chạy!O49</f>
        <v>1.34</v>
      </c>
      <c r="Q27" s="16" t="n">
        <f aca="false">P27+R27</f>
        <v>1.406</v>
      </c>
      <c r="R27" s="16" t="n">
        <f aca="false">RANDBETWEEN(-30,90)/1000</f>
        <v>0.066</v>
      </c>
      <c r="S27" s="17"/>
      <c r="W27" s="115"/>
      <c r="X27" s="102"/>
    </row>
    <row r="28" customFormat="false" ht="15" hidden="true" customHeight="false" outlineLevel="0" collapsed="false">
      <c r="A28" s="13"/>
      <c r="B28" s="13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  <c r="W28" s="115"/>
      <c r="X28" s="102"/>
    </row>
    <row r="29" customFormat="false" ht="15" hidden="true" customHeight="false" outlineLevel="0" collapsed="false">
      <c r="A29" s="13"/>
      <c r="B29" s="13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W29" s="115"/>
      <c r="X29" s="102"/>
    </row>
    <row r="30" customFormat="false" ht="15" hidden="true" customHeight="false" outlineLevel="0" collapsed="false">
      <c r="A30" s="13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W30" s="115"/>
      <c r="X30" s="102"/>
    </row>
    <row r="31" customFormat="false" ht="15" hidden="true" customHeight="false" outlineLevel="0" collapsed="false">
      <c r="A31" s="13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W31" s="115"/>
      <c r="X31" s="102"/>
    </row>
    <row r="32" customFormat="false" ht="15" hidden="true" customHeight="false" outlineLevel="0" collapsed="false">
      <c r="A32" s="13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W32" s="115"/>
      <c r="X32" s="102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W33" s="115"/>
      <c r="X33" s="102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15"/>
      <c r="X34" s="102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15"/>
      <c r="X35" s="102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15"/>
      <c r="X36" s="102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15"/>
      <c r="X37" s="102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15"/>
      <c r="X38" s="102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15"/>
      <c r="X39" s="102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15"/>
      <c r="X40" s="102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15"/>
      <c r="X41" s="102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15"/>
      <c r="X42" s="102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15"/>
      <c r="X43" s="102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15"/>
      <c r="X44" s="102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15"/>
      <c r="X45" s="102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15"/>
      <c r="X46" s="102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15"/>
      <c r="X47" s="102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15"/>
      <c r="X48" s="102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15"/>
      <c r="X49" s="102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15"/>
      <c r="X50" s="102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15"/>
      <c r="X51" s="102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15"/>
      <c r="X52" s="102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15"/>
      <c r="X53" s="102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15"/>
      <c r="X54" s="102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15"/>
      <c r="X55" s="102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15"/>
      <c r="X56" s="102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15"/>
      <c r="X57" s="102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15"/>
      <c r="X58" s="102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15"/>
      <c r="X59" s="102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15"/>
      <c r="X60" s="102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15"/>
      <c r="X61" s="102"/>
    </row>
    <row r="63" customFormat="false" ht="15" hidden="false" customHeight="false" outlineLevel="0" collapsed="false">
      <c r="C63" s="19" t="s">
        <v>45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46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47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48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8" activeCellId="0" sqref="A8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70.NĐXD4/CVXD ngày 19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70</v>
      </c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28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1.5" hidden="false" customHeight="true" outlineLevel="0" collapsed="false">
      <c r="A7" s="33" t="s">
        <v>29</v>
      </c>
      <c r="B7" s="34"/>
      <c r="D7" s="35" t="str">
        <f>VLOOKUP(AZ2,'[1]Tuyến XD4'!$A$2:$B$60,2,0)</f>
        <v xml:space="preserve">Đắp đất nền đường lớp 7 đoạn từ Km0+672,28 - Km0+746,82,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33</v>
      </c>
      <c r="C9" s="37" t="s">
        <v>34</v>
      </c>
      <c r="D9" s="38" t="s">
        <v>50</v>
      </c>
      <c r="E9" s="39"/>
      <c r="F9" s="39"/>
      <c r="G9" s="38"/>
      <c r="H9" s="39"/>
      <c r="I9" s="39"/>
      <c r="J9" s="39"/>
      <c r="K9" s="39"/>
      <c r="L9" s="39"/>
      <c r="M9" s="40" t="s">
        <v>51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38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52</v>
      </c>
      <c r="O10" s="40" t="s">
        <v>53</v>
      </c>
      <c r="P10" s="40" t="s">
        <v>52</v>
      </c>
      <c r="Q10" s="40" t="s">
        <v>52</v>
      </c>
      <c r="R10" s="40"/>
      <c r="S10" s="40"/>
      <c r="T10" s="40"/>
      <c r="U10" s="40" t="s">
        <v>54</v>
      </c>
      <c r="V10" s="40" t="s">
        <v>54</v>
      </c>
      <c r="W10" s="40" t="s">
        <v>55</v>
      </c>
      <c r="X10" s="40" t="s">
        <v>54</v>
      </c>
      <c r="Y10" s="40" t="s">
        <v>54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'7.KTHH L7'!B22</f>
        <v>38</v>
      </c>
      <c r="C11" s="51" t="n">
        <f aca="false">'7.KTHH L7'!C22</f>
        <v>672.28</v>
      </c>
      <c r="D11" s="13" t="n">
        <f aca="false">'7.KTHH L7'!T22</f>
        <v>17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Chạy!E4</f>
        <v>7.4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127.075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'7.KTHH L7'!B23</f>
        <v>39</v>
      </c>
      <c r="C12" s="51" t="n">
        <f aca="false">'7.KTHH L7'!C23</f>
        <v>689.28</v>
      </c>
      <c r="D12" s="13" t="n">
        <f aca="false">'7.KTHH L7'!T23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Chạy!E13</f>
        <v>7.55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63.15625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'7.KTHH L7'!B24</f>
        <v>F2</v>
      </c>
      <c r="C13" s="51" t="n">
        <f aca="false">'7.KTHH L7'!C24</f>
        <v>701.03</v>
      </c>
      <c r="D13" s="13" t="n">
        <f aca="false">'7.KTHH L7'!T24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Chạy!E22</f>
        <v>3.2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63.215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'7.KTHH L7'!B25</f>
        <v>40</v>
      </c>
      <c r="C14" s="51" t="n">
        <f aca="false">'7.KTHH L7'!C25</f>
        <v>712.78</v>
      </c>
      <c r="D14" s="13" t="n">
        <f aca="false">'7.KTHH L7'!T25</f>
        <v>17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Chạy!E31</f>
        <v>7.56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105.4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'7.KTHH L7'!B26</f>
        <v>41</v>
      </c>
      <c r="C15" s="51" t="n">
        <f aca="false">'7.KTHH L7'!C26</f>
        <v>729.78</v>
      </c>
      <c r="D15" s="13" t="n">
        <f aca="false">'7.KTHH L7'!T26</f>
        <v>17.04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Chạy!E40</f>
        <v>4.84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96.3612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'7.KTHH L7'!B27</f>
        <v>42</v>
      </c>
      <c r="C16" s="51" t="n">
        <f aca="false">'7.KTHH L7'!C27</f>
        <v>746.82</v>
      </c>
      <c r="D16" s="13"/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Chạy!E49</f>
        <v>6.47</v>
      </c>
      <c r="P16" s="53"/>
      <c r="Q16" s="53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6"/>
      <c r="AC16" s="57"/>
    </row>
    <row r="17" s="49" customFormat="true" ht="15" hidden="true" customHeight="true" outlineLevel="0" collapsed="false">
      <c r="A17" s="13"/>
      <c r="B17" s="13"/>
      <c r="C17" s="51"/>
      <c r="D17" s="13"/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/>
      <c r="P17" s="53"/>
      <c r="Q17" s="53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6"/>
      <c r="AC17" s="57"/>
    </row>
    <row r="18" s="49" customFormat="true" ht="15" hidden="true" customHeight="true" outlineLevel="0" collapsed="false">
      <c r="A18" s="13"/>
      <c r="B18" s="13"/>
      <c r="C18" s="51"/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/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56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SUM(W11:W16)</f>
        <v>455.20745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45</v>
      </c>
      <c r="B53" s="19"/>
      <c r="C53" s="19"/>
      <c r="D53" s="77" t="s">
        <v>57</v>
      </c>
      <c r="E53" s="19" t="s">
        <v>46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47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48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209722222222222" top="0.42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68"/>
  <sheetViews>
    <sheetView showFormulas="false" showGridLines="true" showRowColHeaders="true" showZeros="true" rightToLeft="false" tabSelected="false" showOutlineSymbols="true" defaultGridColor="true" view="normal" topLeftCell="A10" colorId="64" zoomScale="70" zoomScaleNormal="70" zoomScalePageLayoutView="100" workbookViewId="0">
      <selection pane="topLeft" activeCell="K60" activeCellId="0" sqref="K6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7" min="26" style="1" width="5.14"/>
    <col collapsed="false" customWidth="true" hidden="false" outlineLevel="0" max="29" min="29" style="2" width="9.14"/>
    <col collapsed="false" customWidth="true" hidden="false" outlineLevel="0" max="31" min="31" style="2" width="9.14"/>
  </cols>
  <sheetData>
    <row r="1" customFormat="false" ht="20.25" hidden="false" customHeight="true" outlineLevel="0" collapsed="false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71.NĐXD4/CVXD ngày 20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71</v>
      </c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28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29</v>
      </c>
      <c r="C7" s="7"/>
      <c r="D7" s="7"/>
      <c r="F7" s="7"/>
      <c r="G7" s="7" t="str">
        <f>VLOOKUP(AZ2,'[1]Tuyến XD4'!$A$2:$B$60,2,0)</f>
        <v xml:space="preserve">Đắp đất nền đường lớp 8 đoạn từ Km0+672,28 - Km0+746,82,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116" t="s">
        <v>32</v>
      </c>
      <c r="B20" s="9" t="s">
        <v>33</v>
      </c>
      <c r="C20" s="9" t="s">
        <v>34</v>
      </c>
      <c r="D20" s="10" t="s">
        <v>35</v>
      </c>
      <c r="E20" s="10"/>
      <c r="F20" s="10"/>
      <c r="G20" s="10"/>
      <c r="H20" s="10"/>
      <c r="I20" s="10"/>
      <c r="J20" s="10" t="s">
        <v>36</v>
      </c>
      <c r="K20" s="10"/>
      <c r="L20" s="10"/>
      <c r="M20" s="10" t="s">
        <v>37</v>
      </c>
      <c r="N20" s="10"/>
      <c r="O20" s="10"/>
      <c r="P20" s="10"/>
      <c r="Q20" s="10"/>
      <c r="R20" s="10"/>
      <c r="S20" s="9" t="s">
        <v>38</v>
      </c>
    </row>
    <row r="21" customFormat="false" ht="51.75" hidden="false" customHeight="true" outlineLevel="0" collapsed="false">
      <c r="A21" s="116"/>
      <c r="B21" s="116"/>
      <c r="C21" s="116"/>
      <c r="D21" s="11" t="s">
        <v>39</v>
      </c>
      <c r="E21" s="11" t="s">
        <v>40</v>
      </c>
      <c r="F21" s="11" t="s">
        <v>41</v>
      </c>
      <c r="G21" s="11" t="s">
        <v>42</v>
      </c>
      <c r="H21" s="11" t="s">
        <v>43</v>
      </c>
      <c r="I21" s="11" t="s">
        <v>44</v>
      </c>
      <c r="J21" s="11" t="s">
        <v>42</v>
      </c>
      <c r="K21" s="11" t="s">
        <v>43</v>
      </c>
      <c r="L21" s="11" t="s">
        <v>44</v>
      </c>
      <c r="M21" s="11" t="s">
        <v>39</v>
      </c>
      <c r="N21" s="11" t="s">
        <v>40</v>
      </c>
      <c r="O21" s="11" t="s">
        <v>41</v>
      </c>
      <c r="P21" s="11" t="s">
        <v>42</v>
      </c>
      <c r="Q21" s="11" t="s">
        <v>43</v>
      </c>
      <c r="R21" s="11" t="s">
        <v>44</v>
      </c>
      <c r="S21" s="9"/>
      <c r="T21" s="86"/>
      <c r="X21" s="117"/>
      <c r="AC21" s="101"/>
      <c r="AE21" s="101"/>
    </row>
    <row r="22" customFormat="false" ht="15.75" hidden="false" customHeight="true" outlineLevel="0" collapsed="false">
      <c r="A22" s="118" t="n">
        <v>1</v>
      </c>
      <c r="B22" s="13" t="s">
        <v>17</v>
      </c>
      <c r="C22" s="15" t="n">
        <v>672.28</v>
      </c>
      <c r="D22" s="16" t="n">
        <f aca="false">+Chạy!F3</f>
        <v>-12.4</v>
      </c>
      <c r="E22" s="16" t="n">
        <f aca="false">+D22+F22</f>
        <v>-12.3916</v>
      </c>
      <c r="F22" s="16" t="n">
        <f aca="false">RANDBETWEEN(-105,115)/10000</f>
        <v>0.0084</v>
      </c>
      <c r="G22" s="16" t="n">
        <f aca="false">+Chạy!G3</f>
        <v>1.64</v>
      </c>
      <c r="H22" s="16" t="n">
        <f aca="false">G22+I22</f>
        <v>1.62</v>
      </c>
      <c r="I22" s="16" t="n">
        <f aca="false">RANDBETWEEN(-30,90)/1000</f>
        <v>-0.02</v>
      </c>
      <c r="J22" s="16" t="n">
        <f aca="false">+Chạy!K3</f>
        <v>1.76</v>
      </c>
      <c r="K22" s="16" t="n">
        <f aca="false">J22+L22</f>
        <v>1.764</v>
      </c>
      <c r="L22" s="16" t="n">
        <f aca="false">RANDBETWEEN(-30,90)/1000</f>
        <v>0.004</v>
      </c>
      <c r="M22" s="16" t="n">
        <f aca="false">+Chạy!N3</f>
        <v>12.4</v>
      </c>
      <c r="N22" s="16" t="n">
        <f aca="false">+M22+O22</f>
        <v>12.3948</v>
      </c>
      <c r="O22" s="16" t="n">
        <f aca="false">RANDBETWEEN(-105,115)/10000</f>
        <v>-0.0052</v>
      </c>
      <c r="P22" s="16" t="n">
        <f aca="false">+Chạy!O3</f>
        <v>1.64</v>
      </c>
      <c r="Q22" s="16" t="n">
        <f aca="false">P22+R22</f>
        <v>1.671</v>
      </c>
      <c r="R22" s="16" t="n">
        <f aca="false">RANDBETWEEN(-30,90)/1000</f>
        <v>0.031</v>
      </c>
      <c r="S22" s="17"/>
      <c r="T22" s="0" t="n">
        <v>17</v>
      </c>
      <c r="X22" s="119"/>
      <c r="Y22" s="102"/>
      <c r="AA22" s="120"/>
      <c r="AB22" s="121"/>
      <c r="AC22" s="122"/>
      <c r="AE22" s="122"/>
    </row>
    <row r="23" customFormat="false" ht="15.75" hidden="false" customHeight="true" outlineLevel="0" collapsed="false">
      <c r="A23" s="118" t="n">
        <v>2</v>
      </c>
      <c r="B23" s="13" t="s">
        <v>18</v>
      </c>
      <c r="C23" s="15" t="n">
        <f aca="false">+C22+T22</f>
        <v>689.28</v>
      </c>
      <c r="D23" s="16" t="n">
        <f aca="false">+Chạy!F12</f>
        <v>-12.4</v>
      </c>
      <c r="E23" s="16" t="n">
        <f aca="false">+D23+F23</f>
        <v>-12.3972</v>
      </c>
      <c r="F23" s="16" t="n">
        <f aca="false">RANDBETWEEN(-105,115)/10000</f>
        <v>0.0028</v>
      </c>
      <c r="G23" s="16" t="n">
        <f aca="false">+Chạy!G12</f>
        <v>1.64</v>
      </c>
      <c r="H23" s="16" t="n">
        <f aca="false">G23+I23</f>
        <v>1.677</v>
      </c>
      <c r="I23" s="16" t="n">
        <f aca="false">RANDBETWEEN(-30,90)/1000</f>
        <v>0.037</v>
      </c>
      <c r="J23" s="16" t="n">
        <f aca="false">+Chạy!K12</f>
        <v>1.76</v>
      </c>
      <c r="K23" s="16" t="n">
        <f aca="false">J23+L23</f>
        <v>1.751</v>
      </c>
      <c r="L23" s="16" t="n">
        <f aca="false">RANDBETWEEN(-30,90)/1000</f>
        <v>-0.009</v>
      </c>
      <c r="M23" s="16" t="n">
        <f aca="false">+Chạy!N12</f>
        <v>12.4</v>
      </c>
      <c r="N23" s="16" t="n">
        <f aca="false">+M23+O23</f>
        <v>12.3983</v>
      </c>
      <c r="O23" s="16" t="n">
        <f aca="false">RANDBETWEEN(-105,115)/10000</f>
        <v>-0.0017</v>
      </c>
      <c r="P23" s="16" t="n">
        <f aca="false">+Chạy!O12</f>
        <v>1.64</v>
      </c>
      <c r="Q23" s="16" t="n">
        <f aca="false">P23+R23</f>
        <v>1.65</v>
      </c>
      <c r="R23" s="16" t="n">
        <f aca="false">RANDBETWEEN(-30,90)/1000</f>
        <v>0.01</v>
      </c>
      <c r="S23" s="17"/>
      <c r="T23" s="0" t="n">
        <v>11.75</v>
      </c>
      <c r="X23" s="119"/>
      <c r="Y23" s="102"/>
      <c r="AA23" s="120"/>
      <c r="AB23" s="121"/>
      <c r="AC23" s="122"/>
      <c r="AE23" s="122"/>
    </row>
    <row r="24" customFormat="false" ht="15.75" hidden="false" customHeight="true" outlineLevel="0" collapsed="false">
      <c r="A24" s="118" t="n">
        <v>3</v>
      </c>
      <c r="B24" s="13" t="s">
        <v>19</v>
      </c>
      <c r="C24" s="15" t="n">
        <f aca="false">+C23+T23</f>
        <v>701.03</v>
      </c>
      <c r="D24" s="16" t="n">
        <f aca="false">+Chạy!F21</f>
        <v>-12.35</v>
      </c>
      <c r="E24" s="16" t="n">
        <f aca="false">+D24+F24</f>
        <v>-12.3563</v>
      </c>
      <c r="F24" s="16" t="n">
        <f aca="false">RANDBETWEEN(-105,115)/10000</f>
        <v>-0.0063</v>
      </c>
      <c r="G24" s="16" t="n">
        <f aca="false">+Chạy!G21</f>
        <v>1.64</v>
      </c>
      <c r="H24" s="16" t="n">
        <f aca="false">G24+I24</f>
        <v>1.714</v>
      </c>
      <c r="I24" s="16" t="n">
        <f aca="false">RANDBETWEEN(-30,90)/1000</f>
        <v>0.074</v>
      </c>
      <c r="J24" s="16" t="n">
        <f aca="false">+Chạy!K21</f>
        <v>1.76</v>
      </c>
      <c r="K24" s="16" t="n">
        <f aca="false">J24+L24</f>
        <v>1.848</v>
      </c>
      <c r="L24" s="16" t="n">
        <f aca="false">RANDBETWEEN(-30,90)/1000</f>
        <v>0.088</v>
      </c>
      <c r="M24" s="16" t="n">
        <f aca="false">+Chạy!N21</f>
        <v>-0.9</v>
      </c>
      <c r="N24" s="16" t="n">
        <f aca="false">+M24+O24</f>
        <v>-0.9055</v>
      </c>
      <c r="O24" s="16" t="n">
        <f aca="false">RANDBETWEEN(-105,115)/10000</f>
        <v>-0.0055</v>
      </c>
      <c r="P24" s="16" t="n">
        <f aca="false">+Chạy!O21</f>
        <v>1.74</v>
      </c>
      <c r="Q24" s="16" t="n">
        <f aca="false">P24+R24</f>
        <v>1.765</v>
      </c>
      <c r="R24" s="16" t="n">
        <f aca="false">RANDBETWEEN(-30,90)/1000</f>
        <v>0.025</v>
      </c>
      <c r="S24" s="17"/>
      <c r="T24" s="0" t="n">
        <v>11.75</v>
      </c>
      <c r="X24" s="119"/>
      <c r="Y24" s="102"/>
      <c r="AA24" s="120"/>
      <c r="AB24" s="121"/>
      <c r="AC24" s="122"/>
      <c r="AE24" s="122"/>
    </row>
    <row r="25" customFormat="false" ht="15.75" hidden="false" customHeight="true" outlineLevel="0" collapsed="false">
      <c r="A25" s="118" t="n">
        <v>4</v>
      </c>
      <c r="B25" s="13" t="s">
        <v>20</v>
      </c>
      <c r="C25" s="15" t="n">
        <f aca="false">+C24+T24</f>
        <v>712.78</v>
      </c>
      <c r="D25" s="16" t="n">
        <f aca="false">+Chạy!F30</f>
        <v>-12.4</v>
      </c>
      <c r="E25" s="16" t="n">
        <f aca="false">+D25+F25</f>
        <v>-12.3999</v>
      </c>
      <c r="F25" s="16" t="n">
        <f aca="false">RANDBETWEEN(-105,115)/10000</f>
        <v>0.0001</v>
      </c>
      <c r="G25" s="16" t="n">
        <f aca="false">+Chạy!G30</f>
        <v>1.64</v>
      </c>
      <c r="H25" s="16" t="n">
        <f aca="false">G25+I25</f>
        <v>1.714</v>
      </c>
      <c r="I25" s="16" t="n">
        <f aca="false">RANDBETWEEN(-30,90)/1000</f>
        <v>0.074</v>
      </c>
      <c r="J25" s="16" t="n">
        <f aca="false">+Chạy!K30</f>
        <v>1.76</v>
      </c>
      <c r="K25" s="16" t="n">
        <f aca="false">J25+L25</f>
        <v>1.759</v>
      </c>
      <c r="L25" s="16" t="n">
        <f aca="false">RANDBETWEEN(-30,90)/1000</f>
        <v>-0.001</v>
      </c>
      <c r="M25" s="16" t="n">
        <f aca="false">+Chạy!N30</f>
        <v>12.4</v>
      </c>
      <c r="N25" s="16" t="n">
        <f aca="false">+M25+O25</f>
        <v>12.4055</v>
      </c>
      <c r="O25" s="16" t="n">
        <f aca="false">RANDBETWEEN(-105,115)/10000</f>
        <v>0.0055</v>
      </c>
      <c r="P25" s="16" t="n">
        <f aca="false">+Chạy!O30</f>
        <v>1.64</v>
      </c>
      <c r="Q25" s="16" t="n">
        <f aca="false">P25+R25</f>
        <v>1.687</v>
      </c>
      <c r="R25" s="16" t="n">
        <f aca="false">RANDBETWEEN(-30,90)/1000</f>
        <v>0.047</v>
      </c>
      <c r="S25" s="17"/>
      <c r="T25" s="0" t="n">
        <v>17</v>
      </c>
      <c r="X25" s="119"/>
      <c r="Y25" s="102"/>
      <c r="AA25" s="120"/>
      <c r="AB25" s="121"/>
      <c r="AC25" s="122"/>
      <c r="AE25" s="122"/>
    </row>
    <row r="26" customFormat="false" ht="15.75" hidden="false" customHeight="true" outlineLevel="0" collapsed="false">
      <c r="A26" s="118" t="n">
        <v>5</v>
      </c>
      <c r="B26" s="13" t="s">
        <v>21</v>
      </c>
      <c r="C26" s="15" t="n">
        <f aca="false">+C25+T25</f>
        <v>729.78</v>
      </c>
      <c r="D26" s="16" t="n">
        <f aca="false">+Chạy!F39</f>
        <v>-11.78</v>
      </c>
      <c r="E26" s="16" t="n">
        <f aca="false">+D26+F26</f>
        <v>-11.784</v>
      </c>
      <c r="F26" s="16" t="n">
        <f aca="false">RANDBETWEEN(-105,115)/10000</f>
        <v>-0.004</v>
      </c>
      <c r="G26" s="16" t="n">
        <f aca="false">+Chạy!G39</f>
        <v>1.64</v>
      </c>
      <c r="H26" s="16" t="n">
        <f aca="false">G26+I26</f>
        <v>1.68</v>
      </c>
      <c r="I26" s="16" t="n">
        <f aca="false">RANDBETWEEN(-30,90)/1000</f>
        <v>0.04</v>
      </c>
      <c r="J26" s="16" t="n">
        <f aca="false">+Chạy!K39</f>
        <v>1.76</v>
      </c>
      <c r="K26" s="16" t="n">
        <f aca="false">J26+L26</f>
        <v>1.735</v>
      </c>
      <c r="L26" s="16" t="n">
        <f aca="false">RANDBETWEEN(-30,90)/1000</f>
        <v>-0.025</v>
      </c>
      <c r="M26" s="16" t="n">
        <f aca="false">+Chạy!N39</f>
        <v>8.51</v>
      </c>
      <c r="N26" s="16" t="n">
        <f aca="false">+M26+O26</f>
        <v>8.5004</v>
      </c>
      <c r="O26" s="16" t="n">
        <f aca="false">RANDBETWEEN(-105,115)/10000</f>
        <v>-0.0096</v>
      </c>
      <c r="P26" s="16" t="n">
        <f aca="false">+Chạy!O39</f>
        <v>1.64</v>
      </c>
      <c r="Q26" s="16" t="n">
        <f aca="false">P26+R26</f>
        <v>1.713</v>
      </c>
      <c r="R26" s="16" t="n">
        <f aca="false">RANDBETWEEN(-30,90)/1000</f>
        <v>0.073</v>
      </c>
      <c r="S26" s="17"/>
      <c r="T26" s="0" t="n">
        <v>17.04</v>
      </c>
      <c r="X26" s="119"/>
      <c r="Y26" s="102"/>
      <c r="AA26" s="120"/>
      <c r="AB26" s="121"/>
      <c r="AC26" s="122"/>
      <c r="AE26" s="122"/>
    </row>
    <row r="27" customFormat="false" ht="15.75" hidden="false" customHeight="true" outlineLevel="0" collapsed="false">
      <c r="A27" s="118" t="n">
        <v>6</v>
      </c>
      <c r="B27" s="13" t="s">
        <v>22</v>
      </c>
      <c r="C27" s="15" t="n">
        <f aca="false">+C26+T26</f>
        <v>746.82</v>
      </c>
      <c r="D27" s="16" t="n">
        <f aca="false">+Chạy!F48</f>
        <v>-12.4</v>
      </c>
      <c r="E27" s="16" t="n">
        <f aca="false">+D27+F27</f>
        <v>-12.3963</v>
      </c>
      <c r="F27" s="16" t="n">
        <f aca="false">RANDBETWEEN(-105,115)/10000</f>
        <v>0.0037</v>
      </c>
      <c r="G27" s="16" t="n">
        <f aca="false">+Chạy!G48</f>
        <v>1.64</v>
      </c>
      <c r="H27" s="16" t="n">
        <f aca="false">G27+I27</f>
        <v>1.669</v>
      </c>
      <c r="I27" s="16" t="n">
        <f aca="false">RANDBETWEEN(-30,90)/1000</f>
        <v>0.029</v>
      </c>
      <c r="J27" s="16" t="n">
        <f aca="false">+Chạy!K48</f>
        <v>1.76</v>
      </c>
      <c r="K27" s="16" t="n">
        <f aca="false">J27+L27</f>
        <v>1.821</v>
      </c>
      <c r="L27" s="16" t="n">
        <f aca="false">RANDBETWEEN(-30,90)/1000</f>
        <v>0.061</v>
      </c>
      <c r="M27" s="16" t="n">
        <f aca="false">+Chạy!N48</f>
        <v>12.4</v>
      </c>
      <c r="N27" s="16" t="n">
        <f aca="false">+M27+O27</f>
        <v>12.4032</v>
      </c>
      <c r="O27" s="16" t="n">
        <f aca="false">RANDBETWEEN(-105,115)/10000</f>
        <v>0.0032</v>
      </c>
      <c r="P27" s="16" t="n">
        <f aca="false">+Chạy!O48</f>
        <v>1.64</v>
      </c>
      <c r="Q27" s="16" t="n">
        <f aca="false">P27+R27</f>
        <v>1.644</v>
      </c>
      <c r="R27" s="16" t="n">
        <f aca="false">RANDBETWEEN(-30,90)/1000</f>
        <v>0.004</v>
      </c>
      <c r="S27" s="17"/>
      <c r="X27" s="119"/>
      <c r="Y27" s="102"/>
      <c r="AA27" s="120"/>
      <c r="AB27" s="121"/>
      <c r="AC27" s="122"/>
      <c r="AE27" s="122"/>
    </row>
    <row r="28" customFormat="false" ht="15.75" hidden="true" customHeight="true" outlineLevel="0" collapsed="false">
      <c r="A28" s="118"/>
      <c r="B28" s="13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  <c r="X28" s="119"/>
      <c r="Y28" s="102"/>
      <c r="AA28" s="120"/>
      <c r="AB28" s="121"/>
      <c r="AC28" s="122"/>
      <c r="AE28" s="122"/>
    </row>
    <row r="29" customFormat="false" ht="15.75" hidden="true" customHeight="true" outlineLevel="0" collapsed="false">
      <c r="A29" s="118"/>
      <c r="B29" s="13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X29" s="119"/>
      <c r="Y29" s="102"/>
      <c r="AA29" s="120"/>
      <c r="AB29" s="121"/>
      <c r="AC29" s="122"/>
      <c r="AE29" s="122"/>
    </row>
    <row r="30" customFormat="false" ht="15.75" hidden="true" customHeight="true" outlineLevel="0" collapsed="false">
      <c r="A30" s="118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X30" s="119"/>
      <c r="Y30" s="102"/>
      <c r="AA30" s="120"/>
      <c r="AB30" s="121"/>
      <c r="AC30" s="122"/>
      <c r="AE30" s="122"/>
    </row>
    <row r="31" customFormat="false" ht="15.75" hidden="true" customHeight="true" outlineLevel="0" collapsed="false">
      <c r="A31" s="118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X31" s="119"/>
      <c r="Y31" s="102"/>
      <c r="AA31" s="120"/>
      <c r="AB31" s="121"/>
      <c r="AC31" s="122"/>
      <c r="AE31" s="122"/>
    </row>
    <row r="32" customFormat="false" ht="15.75" hidden="true" customHeight="true" outlineLevel="0" collapsed="false">
      <c r="A32" s="118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X32" s="119"/>
      <c r="Y32" s="102"/>
      <c r="AA32" s="120"/>
      <c r="AB32" s="121"/>
      <c r="AC32" s="122"/>
      <c r="AE32" s="122"/>
    </row>
    <row r="33" customFormat="false" ht="15.75" hidden="true" customHeight="true" outlineLevel="0" collapsed="false">
      <c r="A33" s="118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X33" s="119"/>
      <c r="Y33" s="102"/>
      <c r="AA33" s="120"/>
      <c r="AB33" s="121"/>
      <c r="AC33" s="122"/>
      <c r="AE33" s="122"/>
    </row>
    <row r="34" customFormat="false" ht="15.75" hidden="true" customHeight="true" outlineLevel="0" collapsed="false">
      <c r="A34" s="118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X34" s="119"/>
      <c r="Y34" s="102"/>
      <c r="AA34" s="120"/>
      <c r="AB34" s="121"/>
      <c r="AC34" s="122"/>
      <c r="AE34" s="122"/>
    </row>
    <row r="35" customFormat="false" ht="15.75" hidden="true" customHeight="true" outlineLevel="0" collapsed="false">
      <c r="A35" s="118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X35" s="119"/>
      <c r="Y35" s="102"/>
      <c r="AA35" s="120"/>
      <c r="AB35" s="121"/>
      <c r="AC35" s="122"/>
      <c r="AE35" s="122"/>
    </row>
    <row r="36" customFormat="false" ht="15.75" hidden="true" customHeight="true" outlineLevel="0" collapsed="false">
      <c r="A36" s="118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X36" s="119"/>
      <c r="Y36" s="102"/>
      <c r="AA36" s="120"/>
      <c r="AB36" s="121"/>
      <c r="AC36" s="122"/>
      <c r="AE36" s="122"/>
    </row>
    <row r="37" customFormat="false" ht="15.75" hidden="true" customHeight="true" outlineLevel="0" collapsed="false">
      <c r="A37" s="118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X37" s="119"/>
      <c r="Y37" s="102"/>
      <c r="AA37" s="120"/>
      <c r="AB37" s="121"/>
      <c r="AC37" s="122"/>
      <c r="AE37" s="122"/>
    </row>
    <row r="38" customFormat="false" ht="15.75" hidden="true" customHeight="true" outlineLevel="0" collapsed="false">
      <c r="A38" s="118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X38" s="119"/>
      <c r="Y38" s="102"/>
      <c r="AA38" s="120"/>
      <c r="AB38" s="121"/>
      <c r="AC38" s="122"/>
      <c r="AE38" s="122"/>
    </row>
    <row r="39" customFormat="false" ht="15.75" hidden="true" customHeight="true" outlineLevel="0" collapsed="false">
      <c r="A39" s="118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X39" s="119"/>
      <c r="Y39" s="102"/>
      <c r="AA39" s="120"/>
      <c r="AB39" s="121"/>
      <c r="AC39" s="122"/>
      <c r="AE39" s="122"/>
    </row>
    <row r="40" customFormat="false" ht="15.75" hidden="true" customHeight="true" outlineLevel="0" collapsed="false">
      <c r="A40" s="118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X40" s="119"/>
      <c r="Y40" s="102"/>
      <c r="AA40" s="120"/>
      <c r="AB40" s="121"/>
      <c r="AC40" s="122"/>
      <c r="AE40" s="122"/>
    </row>
    <row r="41" customFormat="false" ht="15.75" hidden="true" customHeight="true" outlineLevel="0" collapsed="false">
      <c r="A41" s="118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X41" s="119"/>
      <c r="Y41" s="102"/>
      <c r="AA41" s="120"/>
      <c r="AB41" s="121"/>
      <c r="AC41" s="122"/>
      <c r="AE41" s="122"/>
    </row>
    <row r="42" customFormat="false" ht="15.75" hidden="true" customHeight="true" outlineLevel="0" collapsed="false">
      <c r="A42" s="118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X42" s="119"/>
      <c r="Y42" s="102"/>
      <c r="AA42" s="120"/>
      <c r="AB42" s="121"/>
      <c r="AC42" s="122"/>
      <c r="AE42" s="122"/>
    </row>
    <row r="43" customFormat="false" ht="15.75" hidden="true" customHeight="true" outlineLevel="0" collapsed="false">
      <c r="A43" s="118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X43" s="119"/>
      <c r="Y43" s="102"/>
      <c r="AA43" s="120"/>
      <c r="AB43" s="121"/>
      <c r="AC43" s="122"/>
      <c r="AE43" s="122"/>
    </row>
    <row r="44" customFormat="false" ht="15.75" hidden="true" customHeight="true" outlineLevel="0" collapsed="false">
      <c r="A44" s="118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X44" s="119"/>
      <c r="Y44" s="102"/>
      <c r="AA44" s="120"/>
      <c r="AB44" s="121"/>
      <c r="AC44" s="122"/>
      <c r="AE44" s="122"/>
    </row>
    <row r="45" customFormat="false" ht="15.75" hidden="true" customHeight="true" outlineLevel="0" collapsed="false">
      <c r="A45" s="118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X45" s="119"/>
      <c r="Y45" s="102"/>
      <c r="AA45" s="120"/>
      <c r="AB45" s="121"/>
      <c r="AC45" s="122"/>
      <c r="AE45" s="122"/>
    </row>
    <row r="46" customFormat="false" ht="15.75" hidden="true" customHeight="true" outlineLevel="0" collapsed="false">
      <c r="A46" s="118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X46" s="119"/>
      <c r="Y46" s="102"/>
      <c r="AA46" s="120"/>
      <c r="AB46" s="121"/>
      <c r="AC46" s="122"/>
      <c r="AE46" s="122"/>
    </row>
    <row r="47" customFormat="false" ht="15.75" hidden="true" customHeight="true" outlineLevel="0" collapsed="false">
      <c r="A47" s="118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X47" s="119"/>
      <c r="Y47" s="102"/>
      <c r="AA47" s="120"/>
      <c r="AB47" s="121"/>
      <c r="AC47" s="122"/>
      <c r="AE47" s="122"/>
    </row>
    <row r="48" customFormat="false" ht="15.75" hidden="true" customHeight="true" outlineLevel="0" collapsed="false">
      <c r="A48" s="118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X48" s="119"/>
      <c r="Y48" s="102"/>
      <c r="AA48" s="120"/>
      <c r="AB48" s="121"/>
      <c r="AC48" s="122"/>
      <c r="AE48" s="122"/>
    </row>
    <row r="49" customFormat="false" ht="15.75" hidden="true" customHeight="true" outlineLevel="0" collapsed="false">
      <c r="A49" s="118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X49" s="119"/>
      <c r="Y49" s="102"/>
      <c r="AA49" s="120"/>
      <c r="AB49" s="121"/>
      <c r="AC49" s="122"/>
      <c r="AE49" s="122"/>
    </row>
    <row r="50" customFormat="false" ht="15.75" hidden="true" customHeight="true" outlineLevel="0" collapsed="false">
      <c r="A50" s="118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X50" s="119"/>
      <c r="Y50" s="102"/>
      <c r="AA50" s="120"/>
      <c r="AB50" s="121"/>
      <c r="AC50" s="122"/>
      <c r="AE50" s="122"/>
    </row>
    <row r="51" customFormat="false" ht="15.75" hidden="true" customHeight="true" outlineLevel="0" collapsed="false">
      <c r="A51" s="118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X51" s="119"/>
      <c r="Y51" s="102"/>
      <c r="AA51" s="120"/>
      <c r="AB51" s="121"/>
      <c r="AC51" s="122"/>
      <c r="AE51" s="122"/>
    </row>
    <row r="52" customFormat="false" ht="15.75" hidden="true" customHeight="true" outlineLevel="0" collapsed="false">
      <c r="A52" s="118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X52" s="119"/>
      <c r="Y52" s="102"/>
      <c r="AA52" s="120"/>
      <c r="AB52" s="121"/>
      <c r="AC52" s="122"/>
      <c r="AE52" s="122"/>
    </row>
    <row r="53" customFormat="false" ht="15.75" hidden="true" customHeight="true" outlineLevel="0" collapsed="false">
      <c r="A53" s="118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X53" s="119"/>
      <c r="Y53" s="102"/>
      <c r="AA53" s="120"/>
      <c r="AB53" s="121"/>
      <c r="AC53" s="122"/>
      <c r="AE53" s="122"/>
    </row>
    <row r="54" customFormat="false" ht="15.75" hidden="true" customHeight="true" outlineLevel="0" collapsed="false">
      <c r="A54" s="118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X54" s="119"/>
      <c r="Y54" s="102"/>
      <c r="AA54" s="120"/>
      <c r="AB54" s="121"/>
      <c r="AC54" s="122"/>
      <c r="AE54" s="122"/>
    </row>
    <row r="55" customFormat="false" ht="15.75" hidden="true" customHeight="true" outlineLevel="0" collapsed="false">
      <c r="A55" s="118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X55" s="119"/>
      <c r="Y55" s="102"/>
      <c r="AA55" s="120"/>
      <c r="AB55" s="121"/>
      <c r="AC55" s="122"/>
      <c r="AE55" s="122"/>
    </row>
    <row r="56" customFormat="false" ht="15.75" hidden="true" customHeight="true" outlineLevel="0" collapsed="false">
      <c r="A56" s="118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X56" s="119"/>
      <c r="Y56" s="102"/>
      <c r="AA56" s="120"/>
      <c r="AB56" s="121"/>
      <c r="AC56" s="122"/>
      <c r="AE56" s="122"/>
    </row>
    <row r="57" customFormat="false" ht="15.75" hidden="true" customHeight="true" outlineLevel="0" collapsed="false">
      <c r="A57" s="118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X57" s="119"/>
      <c r="Y57" s="102"/>
      <c r="AA57" s="120"/>
      <c r="AB57" s="121"/>
      <c r="AC57" s="122"/>
      <c r="AE57" s="122"/>
    </row>
    <row r="58" customFormat="false" ht="15.75" hidden="true" customHeight="true" outlineLevel="0" collapsed="false">
      <c r="A58" s="118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X58" s="119"/>
      <c r="Y58" s="102"/>
      <c r="AA58" s="120"/>
      <c r="AB58" s="121"/>
      <c r="AC58" s="122"/>
      <c r="AE58" s="122"/>
    </row>
    <row r="59" customFormat="false" ht="15.75" hidden="true" customHeight="true" outlineLevel="0" collapsed="false">
      <c r="A59" s="118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X59" s="119"/>
      <c r="Y59" s="102"/>
      <c r="AA59" s="120"/>
      <c r="AB59" s="121"/>
      <c r="AC59" s="122"/>
      <c r="AE59" s="122"/>
    </row>
    <row r="60" customFormat="false" ht="15.75" hidden="true" customHeight="true" outlineLevel="0" collapsed="false">
      <c r="A60" s="118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X60" s="119"/>
      <c r="Y60" s="102"/>
      <c r="AA60" s="120"/>
      <c r="AB60" s="121"/>
      <c r="AC60" s="122"/>
      <c r="AE60" s="122"/>
    </row>
    <row r="61" customFormat="false" ht="15.75" hidden="true" customHeight="true" outlineLevel="0" collapsed="false">
      <c r="A61" s="118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X61" s="119"/>
      <c r="Y61" s="102"/>
      <c r="AA61" s="120"/>
      <c r="AB61" s="121"/>
      <c r="AC61" s="122"/>
      <c r="AE61" s="122"/>
    </row>
    <row r="62" customFormat="false" ht="15.75" hidden="false" customHeight="true" outlineLevel="0" collapsed="false">
      <c r="A62" s="88"/>
    </row>
    <row r="63" customFormat="false" ht="15.75" hidden="false" customHeight="true" outlineLevel="0" collapsed="false">
      <c r="A63" s="88"/>
      <c r="C63" s="19" t="s">
        <v>45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46</v>
      </c>
      <c r="P63" s="19"/>
      <c r="Q63" s="19"/>
      <c r="R63" s="19"/>
    </row>
    <row r="64" customFormat="false" ht="15.75" hidden="false" customHeight="true" outlineLevel="0" collapsed="false">
      <c r="A64" s="88"/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.75" hidden="false" customHeight="true" outlineLevel="0" collapsed="false">
      <c r="A65" s="88"/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.75" hidden="false" customHeight="true" outlineLevel="0" collapsed="false">
      <c r="A66" s="88"/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.75" hidden="false" customHeight="true" outlineLevel="0" collapsed="false">
      <c r="A67" s="88"/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.75" hidden="false" customHeight="true" outlineLevel="0" collapsed="false">
      <c r="A68" s="88"/>
      <c r="C68" s="19" t="s">
        <v>47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tr">
        <f aca="false">+'1.KTHH L1'!O67:R67</f>
        <v>Trần Mạnh Tùng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6" colorId="64" zoomScale="70" zoomScaleNormal="70" zoomScalePageLayoutView="100" workbookViewId="0">
      <selection pane="topLeft" activeCell="AK26" activeCellId="0" sqref="AK26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71.NĐXD4/CVXD ngày 20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71</v>
      </c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28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7.75" hidden="false" customHeight="true" outlineLevel="0" collapsed="false">
      <c r="A7" s="33" t="s">
        <v>29</v>
      </c>
      <c r="B7" s="34"/>
      <c r="D7" s="35" t="str">
        <f>VLOOKUP(AZ2,'[1]Tuyến XD4'!$A$2:$B$60,2,0)</f>
        <v xml:space="preserve">Đắp đất nền đường lớp 8 đoạn từ Km0+672,28 - Km0+746,82,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33</v>
      </c>
      <c r="C9" s="37" t="s">
        <v>34</v>
      </c>
      <c r="D9" s="38" t="s">
        <v>50</v>
      </c>
      <c r="E9" s="39"/>
      <c r="F9" s="39"/>
      <c r="G9" s="38"/>
      <c r="H9" s="39"/>
      <c r="I9" s="39"/>
      <c r="J9" s="39"/>
      <c r="K9" s="39"/>
      <c r="L9" s="39"/>
      <c r="M9" s="40" t="s">
        <v>51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38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52</v>
      </c>
      <c r="O10" s="40" t="s">
        <v>53</v>
      </c>
      <c r="P10" s="40" t="s">
        <v>52</v>
      </c>
      <c r="Q10" s="40" t="s">
        <v>52</v>
      </c>
      <c r="R10" s="40"/>
      <c r="S10" s="40"/>
      <c r="T10" s="40"/>
      <c r="U10" s="40" t="s">
        <v>54</v>
      </c>
      <c r="V10" s="40" t="s">
        <v>54</v>
      </c>
      <c r="W10" s="40" t="s">
        <v>55</v>
      </c>
      <c r="X10" s="40" t="s">
        <v>54</v>
      </c>
      <c r="Y10" s="40" t="s">
        <v>54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'8.KTHH L8'!B22</f>
        <v>38</v>
      </c>
      <c r="C11" s="51" t="n">
        <f aca="false">'8.KTHH L8'!C22</f>
        <v>672.28</v>
      </c>
      <c r="D11" s="13" t="n">
        <f aca="false">'8.KTHH L8'!T22</f>
        <v>17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Chạy!E3</f>
        <v>7.39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126.48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'8.KTHH L8'!B23</f>
        <v>39</v>
      </c>
      <c r="C12" s="51" t="n">
        <f aca="false">'8.KTHH L8'!C23</f>
        <v>689.28</v>
      </c>
      <c r="D12" s="13" t="n">
        <f aca="false">'8.KTHH L8'!T23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Chạy!E12</f>
        <v>7.49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63.74375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'8.KTHH L8'!B24</f>
        <v>F2</v>
      </c>
      <c r="C13" s="51" t="n">
        <f aca="false">'8.KTHH L8'!C24</f>
        <v>701.03</v>
      </c>
      <c r="D13" s="13" t="n">
        <f aca="false">'8.KTHH L8'!T24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Chạy!E21</f>
        <v>3.36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63.8025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'8.KTHH L8'!B25</f>
        <v>40</v>
      </c>
      <c r="C14" s="51" t="n">
        <f aca="false">'8.KTHH L8'!C25</f>
        <v>712.78</v>
      </c>
      <c r="D14" s="13" t="n">
        <f aca="false">'8.KTHH L8'!T25</f>
        <v>17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Chạy!E30</f>
        <v>7.5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111.265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'8.KTHH L8'!B26</f>
        <v>41</v>
      </c>
      <c r="C15" s="51" t="n">
        <f aca="false">'8.KTHH L8'!C26</f>
        <v>729.78</v>
      </c>
      <c r="D15" s="13" t="n">
        <f aca="false">'8.KTHH L8'!T26</f>
        <v>17.04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Chạy!E39</f>
        <v>5.59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103.1772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'8.KTHH L8'!B27</f>
        <v>42</v>
      </c>
      <c r="C16" s="51" t="n">
        <f aca="false">'8.KTHH L8'!C27</f>
        <v>746.82</v>
      </c>
      <c r="D16" s="13"/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Chạy!E48</f>
        <v>6.52</v>
      </c>
      <c r="P16" s="53"/>
      <c r="Q16" s="53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6"/>
      <c r="AC16" s="57"/>
    </row>
    <row r="17" s="49" customFormat="true" ht="15" hidden="true" customHeight="true" outlineLevel="0" collapsed="false">
      <c r="A17" s="13"/>
      <c r="B17" s="13"/>
      <c r="C17" s="51"/>
      <c r="D17" s="13"/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/>
      <c r="P17" s="53"/>
      <c r="Q17" s="53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6"/>
      <c r="AC17" s="57"/>
    </row>
    <row r="18" s="49" customFormat="true" ht="15" hidden="true" customHeight="true" outlineLevel="0" collapsed="false">
      <c r="A18" s="13"/>
      <c r="B18" s="13"/>
      <c r="C18" s="51"/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/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56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SUM(W11:W16)</f>
        <v>468.46845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45</v>
      </c>
      <c r="B53" s="19"/>
      <c r="C53" s="19"/>
      <c r="D53" s="77" t="s">
        <v>57</v>
      </c>
      <c r="E53" s="19" t="s">
        <v>46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47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48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7" min="26" style="1" width="5.14"/>
    <col collapsed="false" customWidth="true" hidden="false" outlineLevel="0" max="29" min="29" style="2" width="9.14"/>
    <col collapsed="false" customWidth="true" hidden="false" outlineLevel="0" max="31" min="31" style="2" width="9.14"/>
  </cols>
  <sheetData>
    <row r="1" customFormat="false" ht="20.25" hidden="false" customHeight="true" outlineLevel="0" collapsed="false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72.NĐXD4/CVXD ngày 20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72</v>
      </c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28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29</v>
      </c>
      <c r="C7" s="7"/>
      <c r="D7" s="7"/>
      <c r="F7" s="7"/>
      <c r="G7" s="7" t="str">
        <f>VLOOKUP(AZ2,'[1]Tuyến XD4'!$A$2:$B$60,2,0)</f>
        <v xml:space="preserve">Đắp đất nền đường lớp 9 đoạn từ Km0+672,28 - Km0+746,82,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116" t="s">
        <v>32</v>
      </c>
      <c r="B20" s="9" t="s">
        <v>33</v>
      </c>
      <c r="C20" s="9" t="s">
        <v>34</v>
      </c>
      <c r="D20" s="10" t="s">
        <v>35</v>
      </c>
      <c r="E20" s="10"/>
      <c r="F20" s="10"/>
      <c r="G20" s="10"/>
      <c r="H20" s="10"/>
      <c r="I20" s="10"/>
      <c r="J20" s="10" t="s">
        <v>36</v>
      </c>
      <c r="K20" s="10"/>
      <c r="L20" s="10"/>
      <c r="M20" s="10" t="s">
        <v>37</v>
      </c>
      <c r="N20" s="10"/>
      <c r="O20" s="10"/>
      <c r="P20" s="10"/>
      <c r="Q20" s="10"/>
      <c r="R20" s="10"/>
      <c r="S20" s="9" t="s">
        <v>38</v>
      </c>
    </row>
    <row r="21" customFormat="false" ht="51.75" hidden="false" customHeight="true" outlineLevel="0" collapsed="false">
      <c r="A21" s="116"/>
      <c r="B21" s="116"/>
      <c r="C21" s="116"/>
      <c r="D21" s="11" t="s">
        <v>39</v>
      </c>
      <c r="E21" s="11" t="s">
        <v>40</v>
      </c>
      <c r="F21" s="11" t="s">
        <v>41</v>
      </c>
      <c r="G21" s="11" t="s">
        <v>42</v>
      </c>
      <c r="H21" s="11" t="s">
        <v>43</v>
      </c>
      <c r="I21" s="11" t="s">
        <v>44</v>
      </c>
      <c r="J21" s="11" t="s">
        <v>42</v>
      </c>
      <c r="K21" s="11" t="s">
        <v>43</v>
      </c>
      <c r="L21" s="11" t="s">
        <v>44</v>
      </c>
      <c r="M21" s="11" t="s">
        <v>39</v>
      </c>
      <c r="N21" s="11" t="s">
        <v>40</v>
      </c>
      <c r="O21" s="11" t="s">
        <v>41</v>
      </c>
      <c r="P21" s="11" t="s">
        <v>42</v>
      </c>
      <c r="Q21" s="11" t="s">
        <v>43</v>
      </c>
      <c r="R21" s="11" t="s">
        <v>44</v>
      </c>
      <c r="S21" s="9"/>
      <c r="T21" s="86"/>
      <c r="X21" s="117"/>
      <c r="AC21" s="101"/>
      <c r="AE21" s="101"/>
    </row>
    <row r="22" customFormat="false" ht="15.75" hidden="false" customHeight="true" outlineLevel="0" collapsed="false">
      <c r="A22" s="118" t="n">
        <v>1</v>
      </c>
      <c r="B22" s="13" t="s">
        <v>17</v>
      </c>
      <c r="C22" s="15" t="n">
        <v>672.28</v>
      </c>
      <c r="D22" s="16" t="n">
        <f aca="false">+Chạy!F2</f>
        <v>-11.95</v>
      </c>
      <c r="E22" s="16" t="n">
        <f aca="false">+D22+F22</f>
        <v>-11.9583</v>
      </c>
      <c r="F22" s="16" t="n">
        <f aca="false">RANDBETWEEN(-105,115)/10000</f>
        <v>-0.0083</v>
      </c>
      <c r="G22" s="16" t="n">
        <f aca="false">+Chạy!G2</f>
        <v>1.94</v>
      </c>
      <c r="H22" s="16" t="n">
        <f aca="false">G22+I22</f>
        <v>1.997</v>
      </c>
      <c r="I22" s="16" t="n">
        <f aca="false">RANDBETWEEN(-30,90)/1000</f>
        <v>0.057</v>
      </c>
      <c r="J22" s="16" t="n">
        <f aca="false">+Chạy!K2</f>
        <v>2.06</v>
      </c>
      <c r="K22" s="16" t="n">
        <f aca="false">J22+L22</f>
        <v>2.043</v>
      </c>
      <c r="L22" s="16" t="n">
        <f aca="false">RANDBETWEEN(-30,90)/1000</f>
        <v>-0.017</v>
      </c>
      <c r="M22" s="16" t="n">
        <f aca="false">+Chạy!N2</f>
        <v>11.95</v>
      </c>
      <c r="N22" s="16" t="n">
        <f aca="false">+M22+O22</f>
        <v>11.9489</v>
      </c>
      <c r="O22" s="16" t="n">
        <f aca="false">RANDBETWEEN(-105,115)/10000</f>
        <v>-0.0011</v>
      </c>
      <c r="P22" s="16" t="n">
        <f aca="false">+Chạy!O2</f>
        <v>1.94</v>
      </c>
      <c r="Q22" s="16" t="n">
        <f aca="false">P22+R22</f>
        <v>1.942</v>
      </c>
      <c r="R22" s="16" t="n">
        <f aca="false">RANDBETWEEN(-30,90)/1000</f>
        <v>0.002</v>
      </c>
      <c r="S22" s="17"/>
      <c r="T22" s="0" t="n">
        <v>17</v>
      </c>
      <c r="X22" s="119"/>
      <c r="Y22" s="102"/>
      <c r="AA22" s="120"/>
      <c r="AB22" s="121"/>
      <c r="AC22" s="122"/>
      <c r="AE22" s="122"/>
    </row>
    <row r="23" customFormat="false" ht="15.75" hidden="false" customHeight="true" outlineLevel="0" collapsed="false">
      <c r="A23" s="118" t="n">
        <v>2</v>
      </c>
      <c r="B23" s="13" t="s">
        <v>18</v>
      </c>
      <c r="C23" s="15" t="n">
        <f aca="false">+C22+T22</f>
        <v>689.28</v>
      </c>
      <c r="D23" s="16" t="n">
        <f aca="false">+Chạy!F11</f>
        <v>-11.95</v>
      </c>
      <c r="E23" s="16" t="n">
        <f aca="false">+D23+F23</f>
        <v>-11.9489</v>
      </c>
      <c r="F23" s="16" t="n">
        <f aca="false">RANDBETWEEN(-105,115)/10000</f>
        <v>0.0011</v>
      </c>
      <c r="G23" s="16" t="n">
        <f aca="false">+Chạy!G11</f>
        <v>1.94</v>
      </c>
      <c r="H23" s="16" t="n">
        <f aca="false">G23+I23</f>
        <v>1.963</v>
      </c>
      <c r="I23" s="16" t="n">
        <f aca="false">RANDBETWEEN(-30,90)/1000</f>
        <v>0.023</v>
      </c>
      <c r="J23" s="16" t="n">
        <f aca="false">+Chạy!K11</f>
        <v>2.06</v>
      </c>
      <c r="K23" s="16" t="n">
        <f aca="false">J23+L23</f>
        <v>2.064</v>
      </c>
      <c r="L23" s="16" t="n">
        <f aca="false">RANDBETWEEN(-30,90)/1000</f>
        <v>0.004</v>
      </c>
      <c r="M23" s="16" t="n">
        <f aca="false">+Chạy!N11</f>
        <v>11.95</v>
      </c>
      <c r="N23" s="16" t="n">
        <f aca="false">+M23+O23</f>
        <v>11.9596</v>
      </c>
      <c r="O23" s="16" t="n">
        <f aca="false">RANDBETWEEN(-105,115)/10000</f>
        <v>0.0096</v>
      </c>
      <c r="P23" s="16" t="n">
        <f aca="false">+Chạy!O11</f>
        <v>1.94</v>
      </c>
      <c r="Q23" s="16" t="n">
        <f aca="false">P23+R23</f>
        <v>1.935</v>
      </c>
      <c r="R23" s="16" t="n">
        <f aca="false">RANDBETWEEN(-30,90)/1000</f>
        <v>-0.005</v>
      </c>
      <c r="S23" s="17"/>
      <c r="T23" s="0" t="n">
        <v>11.75</v>
      </c>
      <c r="X23" s="119"/>
      <c r="Y23" s="102"/>
      <c r="AA23" s="120"/>
      <c r="AB23" s="121"/>
      <c r="AC23" s="122"/>
      <c r="AE23" s="122"/>
    </row>
    <row r="24" customFormat="false" ht="15.75" hidden="false" customHeight="true" outlineLevel="0" collapsed="false">
      <c r="A24" s="118" t="n">
        <v>3</v>
      </c>
      <c r="B24" s="13" t="s">
        <v>19</v>
      </c>
      <c r="C24" s="15" t="n">
        <f aca="false">+C23+T23</f>
        <v>701.03</v>
      </c>
      <c r="D24" s="16" t="n">
        <f aca="false">+Chạy!F20</f>
        <v>-11.95</v>
      </c>
      <c r="E24" s="16" t="n">
        <f aca="false">+D24+F24</f>
        <v>-11.9443</v>
      </c>
      <c r="F24" s="16" t="n">
        <f aca="false">RANDBETWEEN(-105,115)/10000</f>
        <v>0.0057</v>
      </c>
      <c r="G24" s="16" t="n">
        <f aca="false">+Chạy!G20</f>
        <v>1.94</v>
      </c>
      <c r="H24" s="16" t="n">
        <f aca="false">G24+I24</f>
        <v>2.019</v>
      </c>
      <c r="I24" s="16" t="n">
        <f aca="false">RANDBETWEEN(-30,90)/1000</f>
        <v>0.079</v>
      </c>
      <c r="J24" s="16" t="n">
        <f aca="false">+Chạy!K20</f>
        <v>2.06</v>
      </c>
      <c r="K24" s="16" t="n">
        <f aca="false">J24+L24</f>
        <v>2.118</v>
      </c>
      <c r="L24" s="16" t="n">
        <f aca="false">RANDBETWEEN(-30,90)/1000</f>
        <v>0.058</v>
      </c>
      <c r="M24" s="16" t="n">
        <f aca="false">+Chạy!N20</f>
        <v>-0.67</v>
      </c>
      <c r="N24" s="16" t="n">
        <f aca="false">+M24+O24</f>
        <v>-0.6744</v>
      </c>
      <c r="O24" s="16" t="n">
        <f aca="false">RANDBETWEEN(-105,115)/10000</f>
        <v>-0.0044</v>
      </c>
      <c r="P24" s="16" t="n">
        <f aca="false">+Chạy!O20</f>
        <v>2.05</v>
      </c>
      <c r="Q24" s="16" t="n">
        <f aca="false">P24+R24</f>
        <v>2.14</v>
      </c>
      <c r="R24" s="16" t="n">
        <f aca="false">RANDBETWEEN(-30,90)/1000</f>
        <v>0.09</v>
      </c>
      <c r="S24" s="17"/>
      <c r="T24" s="0" t="n">
        <v>11.75</v>
      </c>
      <c r="X24" s="119"/>
      <c r="Y24" s="102"/>
      <c r="AA24" s="120"/>
      <c r="AB24" s="121"/>
      <c r="AC24" s="122"/>
      <c r="AE24" s="122"/>
    </row>
    <row r="25" customFormat="false" ht="15.75" hidden="false" customHeight="true" outlineLevel="0" collapsed="false">
      <c r="A25" s="118" t="n">
        <v>4</v>
      </c>
      <c r="B25" s="13" t="s">
        <v>20</v>
      </c>
      <c r="C25" s="15" t="n">
        <f aca="false">+C24+T24</f>
        <v>712.78</v>
      </c>
      <c r="D25" s="16" t="n">
        <f aca="false">+Chạy!F29</f>
        <v>-11.95</v>
      </c>
      <c r="E25" s="16" t="n">
        <f aca="false">+D25+F25</f>
        <v>-11.9413</v>
      </c>
      <c r="F25" s="16" t="n">
        <f aca="false">RANDBETWEEN(-105,115)/10000</f>
        <v>0.0087</v>
      </c>
      <c r="G25" s="16" t="n">
        <f aca="false">+Chạy!G29</f>
        <v>1.94</v>
      </c>
      <c r="H25" s="16" t="n">
        <f aca="false">G25+I25</f>
        <v>1.932</v>
      </c>
      <c r="I25" s="16" t="n">
        <f aca="false">RANDBETWEEN(-30,90)/1000</f>
        <v>-0.008</v>
      </c>
      <c r="J25" s="16" t="n">
        <f aca="false">+Chạy!K29</f>
        <v>2.06</v>
      </c>
      <c r="K25" s="16" t="n">
        <f aca="false">J25+L25</f>
        <v>2.049</v>
      </c>
      <c r="L25" s="16" t="n">
        <f aca="false">RANDBETWEEN(-30,90)/1000</f>
        <v>-0.011</v>
      </c>
      <c r="M25" s="16" t="n">
        <f aca="false">+Chạy!N29</f>
        <v>11.95</v>
      </c>
      <c r="N25" s="16" t="n">
        <f aca="false">+M25+O25</f>
        <v>11.948</v>
      </c>
      <c r="O25" s="16" t="n">
        <f aca="false">RANDBETWEEN(-105,115)/10000</f>
        <v>-0.002</v>
      </c>
      <c r="P25" s="16" t="n">
        <f aca="false">+Chạy!O29</f>
        <v>1.94</v>
      </c>
      <c r="Q25" s="16" t="n">
        <f aca="false">P25+R25</f>
        <v>1.93</v>
      </c>
      <c r="R25" s="16" t="n">
        <f aca="false">RANDBETWEEN(-30,90)/1000</f>
        <v>-0.01</v>
      </c>
      <c r="S25" s="17"/>
      <c r="T25" s="0" t="n">
        <v>17</v>
      </c>
      <c r="X25" s="119"/>
      <c r="Y25" s="102"/>
      <c r="AA25" s="120"/>
      <c r="AB25" s="121"/>
      <c r="AC25" s="122"/>
      <c r="AE25" s="122"/>
    </row>
    <row r="26" customFormat="false" ht="15.75" hidden="false" customHeight="true" outlineLevel="0" collapsed="false">
      <c r="A26" s="118" t="n">
        <v>5</v>
      </c>
      <c r="B26" s="13" t="s">
        <v>21</v>
      </c>
      <c r="C26" s="15" t="n">
        <f aca="false">+C25+T25</f>
        <v>729.78</v>
      </c>
      <c r="D26" s="16" t="n">
        <f aca="false">+Chạy!F38</f>
        <v>-11.95</v>
      </c>
      <c r="E26" s="16" t="n">
        <f aca="false">+D26+F26</f>
        <v>-11.9518</v>
      </c>
      <c r="F26" s="16" t="n">
        <f aca="false">RANDBETWEEN(-105,115)/10000</f>
        <v>-0.0018</v>
      </c>
      <c r="G26" s="16" t="n">
        <f aca="false">+Chạy!G38</f>
        <v>1.94</v>
      </c>
      <c r="H26" s="16" t="n">
        <f aca="false">G26+I26</f>
        <v>2.03</v>
      </c>
      <c r="I26" s="16" t="n">
        <f aca="false">RANDBETWEEN(-30,90)/1000</f>
        <v>0.09</v>
      </c>
      <c r="J26" s="16" t="n">
        <f aca="false">+Chạy!K38</f>
        <v>2.06</v>
      </c>
      <c r="K26" s="16" t="n">
        <f aca="false">J26+L26</f>
        <v>2.147</v>
      </c>
      <c r="L26" s="16" t="n">
        <f aca="false">RANDBETWEEN(-30,90)/1000</f>
        <v>0.087</v>
      </c>
      <c r="M26" s="16" t="n">
        <f aca="false">+Chạy!N38</f>
        <v>8.81</v>
      </c>
      <c r="N26" s="16" t="n">
        <f aca="false">+M26+O26</f>
        <v>8.8197</v>
      </c>
      <c r="O26" s="16" t="n">
        <f aca="false">RANDBETWEEN(-105,115)/10000</f>
        <v>0.0097</v>
      </c>
      <c r="P26" s="16" t="n">
        <f aca="false">+Chạy!O38</f>
        <v>1.94</v>
      </c>
      <c r="Q26" s="16" t="n">
        <f aca="false">P26+R26</f>
        <v>1.926</v>
      </c>
      <c r="R26" s="16" t="n">
        <f aca="false">RANDBETWEEN(-30,90)/1000</f>
        <v>-0.014</v>
      </c>
      <c r="S26" s="17"/>
      <c r="T26" s="0" t="n">
        <v>17.04</v>
      </c>
      <c r="X26" s="119"/>
      <c r="Y26" s="102"/>
      <c r="AA26" s="120"/>
      <c r="AB26" s="121"/>
      <c r="AC26" s="122"/>
      <c r="AE26" s="122"/>
    </row>
    <row r="27" customFormat="false" ht="15.75" hidden="false" customHeight="true" outlineLevel="0" collapsed="false">
      <c r="A27" s="118" t="n">
        <v>6</v>
      </c>
      <c r="B27" s="13" t="s">
        <v>22</v>
      </c>
      <c r="C27" s="15" t="n">
        <f aca="false">+C26+T26</f>
        <v>746.82</v>
      </c>
      <c r="D27" s="16" t="n">
        <f aca="false">+Chạy!F47</f>
        <v>-11.95</v>
      </c>
      <c r="E27" s="16" t="n">
        <f aca="false">+D27+F27</f>
        <v>-11.9511</v>
      </c>
      <c r="F27" s="16" t="n">
        <f aca="false">RANDBETWEEN(-105,115)/10000</f>
        <v>-0.0011</v>
      </c>
      <c r="G27" s="16" t="n">
        <f aca="false">+Chạy!G47</f>
        <v>1.94</v>
      </c>
      <c r="H27" s="16" t="n">
        <f aca="false">G27+I27</f>
        <v>2.016</v>
      </c>
      <c r="I27" s="16" t="n">
        <f aca="false">RANDBETWEEN(-30,90)/1000</f>
        <v>0.076</v>
      </c>
      <c r="J27" s="16" t="n">
        <f aca="false">+Chạy!K47</f>
        <v>2.06</v>
      </c>
      <c r="K27" s="16" t="n">
        <f aca="false">J27+L27</f>
        <v>2.053</v>
      </c>
      <c r="L27" s="16" t="n">
        <f aca="false">RANDBETWEEN(-30,90)/1000</f>
        <v>-0.007</v>
      </c>
      <c r="M27" s="16" t="n">
        <f aca="false">+Chạy!N47</f>
        <v>11.95</v>
      </c>
      <c r="N27" s="16" t="n">
        <f aca="false">+M27+O27</f>
        <v>11.9613</v>
      </c>
      <c r="O27" s="16" t="n">
        <f aca="false">RANDBETWEEN(-105,115)/10000</f>
        <v>0.0113</v>
      </c>
      <c r="P27" s="16" t="n">
        <f aca="false">+Chạy!O47</f>
        <v>1.94</v>
      </c>
      <c r="Q27" s="16" t="n">
        <f aca="false">P27+R27</f>
        <v>1.964</v>
      </c>
      <c r="R27" s="16" t="n">
        <f aca="false">RANDBETWEEN(-30,90)/1000</f>
        <v>0.024</v>
      </c>
      <c r="S27" s="17"/>
      <c r="X27" s="119"/>
      <c r="Y27" s="102"/>
      <c r="AA27" s="120"/>
      <c r="AB27" s="121"/>
      <c r="AC27" s="122"/>
      <c r="AE27" s="122"/>
    </row>
    <row r="28" customFormat="false" ht="15.75" hidden="true" customHeight="true" outlineLevel="0" collapsed="false">
      <c r="A28" s="118"/>
      <c r="B28" s="13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  <c r="X28" s="119"/>
      <c r="Y28" s="102"/>
      <c r="AA28" s="120"/>
      <c r="AB28" s="121"/>
      <c r="AC28" s="122"/>
      <c r="AE28" s="122"/>
    </row>
    <row r="29" customFormat="false" ht="15.75" hidden="true" customHeight="true" outlineLevel="0" collapsed="false">
      <c r="A29" s="118"/>
      <c r="B29" s="13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X29" s="119"/>
      <c r="Y29" s="102"/>
      <c r="AA29" s="120"/>
      <c r="AB29" s="121"/>
      <c r="AC29" s="122"/>
      <c r="AE29" s="122"/>
    </row>
    <row r="30" customFormat="false" ht="15.75" hidden="true" customHeight="true" outlineLevel="0" collapsed="false">
      <c r="A30" s="118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X30" s="119"/>
      <c r="Y30" s="102"/>
      <c r="AA30" s="120"/>
      <c r="AB30" s="121"/>
      <c r="AC30" s="122"/>
      <c r="AE30" s="122"/>
    </row>
    <row r="31" customFormat="false" ht="15.75" hidden="true" customHeight="true" outlineLevel="0" collapsed="false">
      <c r="A31" s="118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X31" s="119"/>
      <c r="Y31" s="102"/>
      <c r="AA31" s="120"/>
      <c r="AB31" s="121"/>
      <c r="AC31" s="122"/>
      <c r="AE31" s="122"/>
    </row>
    <row r="32" customFormat="false" ht="15.75" hidden="true" customHeight="true" outlineLevel="0" collapsed="false">
      <c r="A32" s="118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X32" s="119"/>
      <c r="Y32" s="102"/>
      <c r="AA32" s="120"/>
      <c r="AB32" s="121"/>
      <c r="AC32" s="122"/>
      <c r="AE32" s="122"/>
    </row>
    <row r="33" customFormat="false" ht="15.75" hidden="true" customHeight="true" outlineLevel="0" collapsed="false">
      <c r="A33" s="118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X33" s="119"/>
      <c r="Y33" s="102"/>
      <c r="AA33" s="120"/>
      <c r="AB33" s="121"/>
      <c r="AC33" s="122"/>
      <c r="AE33" s="122"/>
    </row>
    <row r="34" customFormat="false" ht="15.75" hidden="true" customHeight="true" outlineLevel="0" collapsed="false">
      <c r="A34" s="118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X34" s="119"/>
      <c r="Y34" s="102"/>
      <c r="AA34" s="120"/>
      <c r="AB34" s="121"/>
      <c r="AC34" s="122"/>
      <c r="AE34" s="122"/>
    </row>
    <row r="35" customFormat="false" ht="15.75" hidden="true" customHeight="true" outlineLevel="0" collapsed="false">
      <c r="A35" s="118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X35" s="119"/>
      <c r="Y35" s="102"/>
      <c r="AA35" s="120"/>
      <c r="AB35" s="121"/>
      <c r="AC35" s="122"/>
      <c r="AE35" s="122"/>
    </row>
    <row r="36" customFormat="false" ht="15.75" hidden="true" customHeight="true" outlineLevel="0" collapsed="false">
      <c r="A36" s="118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X36" s="119"/>
      <c r="Y36" s="102"/>
      <c r="AA36" s="120"/>
      <c r="AB36" s="121"/>
      <c r="AC36" s="122"/>
      <c r="AE36" s="122"/>
    </row>
    <row r="37" customFormat="false" ht="15.75" hidden="true" customHeight="true" outlineLevel="0" collapsed="false">
      <c r="A37" s="118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X37" s="119"/>
      <c r="Y37" s="102"/>
      <c r="AA37" s="120"/>
      <c r="AB37" s="121"/>
      <c r="AC37" s="122"/>
      <c r="AE37" s="122"/>
    </row>
    <row r="38" customFormat="false" ht="15.75" hidden="true" customHeight="true" outlineLevel="0" collapsed="false">
      <c r="A38" s="118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X38" s="119"/>
      <c r="Y38" s="102"/>
      <c r="AA38" s="120"/>
      <c r="AB38" s="121"/>
      <c r="AC38" s="122"/>
      <c r="AE38" s="122"/>
    </row>
    <row r="39" customFormat="false" ht="15.75" hidden="true" customHeight="true" outlineLevel="0" collapsed="false">
      <c r="A39" s="118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X39" s="119"/>
      <c r="Y39" s="102"/>
      <c r="AA39" s="120"/>
      <c r="AB39" s="121"/>
      <c r="AC39" s="122"/>
      <c r="AE39" s="122"/>
    </row>
    <row r="40" customFormat="false" ht="15.75" hidden="true" customHeight="true" outlineLevel="0" collapsed="false">
      <c r="A40" s="118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X40" s="119"/>
      <c r="Y40" s="102"/>
      <c r="AA40" s="120"/>
      <c r="AB40" s="121"/>
      <c r="AC40" s="122"/>
      <c r="AE40" s="122"/>
    </row>
    <row r="41" customFormat="false" ht="15.75" hidden="true" customHeight="true" outlineLevel="0" collapsed="false">
      <c r="A41" s="118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X41" s="119"/>
      <c r="Y41" s="102"/>
      <c r="AA41" s="120"/>
      <c r="AB41" s="121"/>
      <c r="AC41" s="122"/>
      <c r="AE41" s="122"/>
    </row>
    <row r="42" customFormat="false" ht="15.75" hidden="true" customHeight="true" outlineLevel="0" collapsed="false">
      <c r="A42" s="118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X42" s="119"/>
      <c r="Y42" s="102"/>
      <c r="AA42" s="120"/>
      <c r="AB42" s="121"/>
      <c r="AC42" s="122"/>
      <c r="AE42" s="122"/>
    </row>
    <row r="43" customFormat="false" ht="15.75" hidden="true" customHeight="true" outlineLevel="0" collapsed="false">
      <c r="A43" s="118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X43" s="119"/>
      <c r="Y43" s="102"/>
      <c r="AA43" s="120"/>
      <c r="AB43" s="121"/>
      <c r="AC43" s="122"/>
      <c r="AE43" s="122"/>
    </row>
    <row r="44" customFormat="false" ht="15.75" hidden="true" customHeight="true" outlineLevel="0" collapsed="false">
      <c r="A44" s="118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X44" s="119"/>
      <c r="Y44" s="102"/>
      <c r="AA44" s="120"/>
      <c r="AB44" s="121"/>
      <c r="AC44" s="122"/>
      <c r="AE44" s="122"/>
    </row>
    <row r="45" customFormat="false" ht="15.75" hidden="true" customHeight="true" outlineLevel="0" collapsed="false">
      <c r="A45" s="118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X45" s="119"/>
      <c r="Y45" s="102"/>
      <c r="AA45" s="120"/>
      <c r="AB45" s="121"/>
      <c r="AC45" s="122"/>
      <c r="AE45" s="122"/>
    </row>
    <row r="46" customFormat="false" ht="15.75" hidden="true" customHeight="true" outlineLevel="0" collapsed="false">
      <c r="A46" s="118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X46" s="119"/>
      <c r="Y46" s="102"/>
      <c r="AA46" s="120"/>
      <c r="AB46" s="121"/>
      <c r="AC46" s="122"/>
      <c r="AE46" s="122"/>
    </row>
    <row r="47" customFormat="false" ht="15.75" hidden="true" customHeight="true" outlineLevel="0" collapsed="false">
      <c r="A47" s="118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X47" s="119"/>
      <c r="Y47" s="102"/>
      <c r="AA47" s="120"/>
      <c r="AB47" s="121"/>
      <c r="AC47" s="122"/>
      <c r="AE47" s="122"/>
    </row>
    <row r="48" customFormat="false" ht="15.75" hidden="true" customHeight="true" outlineLevel="0" collapsed="false">
      <c r="A48" s="118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X48" s="119"/>
      <c r="Y48" s="102"/>
      <c r="AA48" s="120"/>
      <c r="AB48" s="121"/>
      <c r="AC48" s="122"/>
      <c r="AE48" s="122"/>
    </row>
    <row r="49" customFormat="false" ht="15.75" hidden="true" customHeight="true" outlineLevel="0" collapsed="false">
      <c r="A49" s="118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X49" s="119"/>
      <c r="Y49" s="102"/>
      <c r="AA49" s="120"/>
      <c r="AB49" s="121"/>
      <c r="AC49" s="122"/>
      <c r="AE49" s="122"/>
    </row>
    <row r="50" customFormat="false" ht="15.75" hidden="true" customHeight="true" outlineLevel="0" collapsed="false">
      <c r="A50" s="118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X50" s="119"/>
      <c r="Y50" s="102"/>
      <c r="AA50" s="120"/>
      <c r="AB50" s="121"/>
      <c r="AC50" s="122"/>
      <c r="AE50" s="122"/>
    </row>
    <row r="51" customFormat="false" ht="15.75" hidden="true" customHeight="true" outlineLevel="0" collapsed="false">
      <c r="A51" s="118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X51" s="119"/>
      <c r="Y51" s="102"/>
      <c r="AA51" s="120"/>
      <c r="AB51" s="121"/>
      <c r="AC51" s="122"/>
      <c r="AE51" s="122"/>
    </row>
    <row r="52" customFormat="false" ht="15.75" hidden="true" customHeight="true" outlineLevel="0" collapsed="false">
      <c r="A52" s="118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X52" s="119"/>
      <c r="Y52" s="102"/>
      <c r="AA52" s="120"/>
      <c r="AB52" s="121"/>
      <c r="AC52" s="122"/>
      <c r="AE52" s="122"/>
    </row>
    <row r="53" customFormat="false" ht="15.75" hidden="true" customHeight="true" outlineLevel="0" collapsed="false">
      <c r="A53" s="118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X53" s="119"/>
      <c r="Y53" s="102"/>
      <c r="AA53" s="120"/>
      <c r="AB53" s="121"/>
      <c r="AC53" s="122"/>
      <c r="AE53" s="122"/>
    </row>
    <row r="54" customFormat="false" ht="15.75" hidden="true" customHeight="true" outlineLevel="0" collapsed="false">
      <c r="A54" s="118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X54" s="119"/>
      <c r="Y54" s="102"/>
      <c r="AA54" s="120"/>
      <c r="AB54" s="121"/>
      <c r="AC54" s="122"/>
      <c r="AE54" s="122"/>
    </row>
    <row r="55" customFormat="false" ht="15.75" hidden="true" customHeight="true" outlineLevel="0" collapsed="false">
      <c r="A55" s="118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X55" s="119"/>
      <c r="Y55" s="102"/>
      <c r="AA55" s="120"/>
      <c r="AB55" s="121"/>
      <c r="AC55" s="122"/>
      <c r="AE55" s="122"/>
    </row>
    <row r="56" customFormat="false" ht="15.75" hidden="true" customHeight="true" outlineLevel="0" collapsed="false">
      <c r="A56" s="118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X56" s="119"/>
      <c r="Y56" s="102"/>
      <c r="AA56" s="120"/>
      <c r="AB56" s="121"/>
      <c r="AC56" s="122"/>
      <c r="AE56" s="122"/>
    </row>
    <row r="57" customFormat="false" ht="15.75" hidden="true" customHeight="true" outlineLevel="0" collapsed="false">
      <c r="A57" s="118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X57" s="119"/>
      <c r="Y57" s="102"/>
      <c r="AA57" s="120"/>
      <c r="AB57" s="121"/>
      <c r="AC57" s="122"/>
      <c r="AE57" s="122"/>
    </row>
    <row r="58" customFormat="false" ht="15.75" hidden="true" customHeight="true" outlineLevel="0" collapsed="false">
      <c r="A58" s="118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X58" s="119"/>
      <c r="Y58" s="102"/>
      <c r="AA58" s="120"/>
      <c r="AB58" s="121"/>
      <c r="AC58" s="122"/>
      <c r="AE58" s="122"/>
    </row>
    <row r="59" customFormat="false" ht="15.75" hidden="true" customHeight="true" outlineLevel="0" collapsed="false">
      <c r="A59" s="118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X59" s="119"/>
      <c r="Y59" s="102"/>
      <c r="AA59" s="120"/>
      <c r="AB59" s="121"/>
      <c r="AC59" s="122"/>
      <c r="AE59" s="122"/>
    </row>
    <row r="60" customFormat="false" ht="15.75" hidden="true" customHeight="true" outlineLevel="0" collapsed="false">
      <c r="A60" s="118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X60" s="119"/>
      <c r="Y60" s="102"/>
      <c r="AA60" s="120"/>
      <c r="AB60" s="121"/>
      <c r="AC60" s="122"/>
      <c r="AE60" s="122"/>
    </row>
    <row r="61" customFormat="false" ht="15.75" hidden="true" customHeight="true" outlineLevel="0" collapsed="false">
      <c r="A61" s="118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X61" s="119"/>
      <c r="Y61" s="102"/>
      <c r="AA61" s="120"/>
      <c r="AB61" s="121"/>
      <c r="AC61" s="122"/>
      <c r="AE61" s="122"/>
    </row>
    <row r="62" customFormat="false" ht="15.75" hidden="false" customHeight="true" outlineLevel="0" collapsed="false">
      <c r="A62" s="88"/>
    </row>
    <row r="63" customFormat="false" ht="15.75" hidden="false" customHeight="true" outlineLevel="0" collapsed="false">
      <c r="A63" s="88"/>
      <c r="C63" s="19" t="s">
        <v>45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46</v>
      </c>
      <c r="P63" s="19"/>
      <c r="Q63" s="19"/>
      <c r="R63" s="19"/>
    </row>
    <row r="64" customFormat="false" ht="15.75" hidden="false" customHeight="true" outlineLevel="0" collapsed="false">
      <c r="A64" s="88"/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.75" hidden="false" customHeight="true" outlineLevel="0" collapsed="false">
      <c r="A65" s="88"/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.75" hidden="false" customHeight="true" outlineLevel="0" collapsed="false">
      <c r="A66" s="88"/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.75" hidden="false" customHeight="true" outlineLevel="0" collapsed="false">
      <c r="A67" s="88"/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.75" hidden="false" customHeight="true" outlineLevel="0" collapsed="false">
      <c r="A68" s="88"/>
      <c r="C68" s="19" t="s">
        <v>47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tr">
        <f aca="false">+'1.KTHH L1'!O67:R67</f>
        <v>Trần Mạnh Tùng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75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72.NĐXD4/CVXD ngày 20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72</v>
      </c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28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7.75" hidden="false" customHeight="true" outlineLevel="0" collapsed="false">
      <c r="A7" s="33" t="s">
        <v>29</v>
      </c>
      <c r="B7" s="34"/>
      <c r="D7" s="35" t="str">
        <f>VLOOKUP(AZ2,'[1]Tuyến XD4'!$A$2:$B$60,2,0)</f>
        <v xml:space="preserve">Đắp đất nền đường lớp 9 đoạn từ Km0+672,28 - Km0+746,82,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33</v>
      </c>
      <c r="C9" s="37" t="s">
        <v>34</v>
      </c>
      <c r="D9" s="38" t="s">
        <v>50</v>
      </c>
      <c r="E9" s="39"/>
      <c r="F9" s="39"/>
      <c r="G9" s="38"/>
      <c r="H9" s="39"/>
      <c r="I9" s="39"/>
      <c r="J9" s="39"/>
      <c r="K9" s="39"/>
      <c r="L9" s="39"/>
      <c r="M9" s="40" t="s">
        <v>51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38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52</v>
      </c>
      <c r="O10" s="40" t="s">
        <v>53</v>
      </c>
      <c r="P10" s="40" t="s">
        <v>52</v>
      </c>
      <c r="Q10" s="40" t="s">
        <v>52</v>
      </c>
      <c r="R10" s="40"/>
      <c r="S10" s="40"/>
      <c r="T10" s="40"/>
      <c r="U10" s="40" t="s">
        <v>54</v>
      </c>
      <c r="V10" s="40" t="s">
        <v>54</v>
      </c>
      <c r="W10" s="40" t="s">
        <v>55</v>
      </c>
      <c r="X10" s="40" t="s">
        <v>54</v>
      </c>
      <c r="Y10" s="40" t="s">
        <v>54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'9.KTHH L9'!B22</f>
        <v>38</v>
      </c>
      <c r="C11" s="51" t="n">
        <f aca="false">'9.KTHH L9'!C22</f>
        <v>672.28</v>
      </c>
      <c r="D11" s="13" t="n">
        <f aca="false">'9.KTHH L9'!T22</f>
        <v>17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Chạy!E2</f>
        <v>7.31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124.27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'9.KTHH L9'!B23</f>
        <v>39</v>
      </c>
      <c r="C12" s="51" t="n">
        <f aca="false">'9.KTHH L9'!C23</f>
        <v>689.28</v>
      </c>
      <c r="D12" s="13" t="n">
        <f aca="false">'9.KTHH L9'!T23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Chạy!E11</f>
        <v>7.31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63.03875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'9.KTHH L9'!B24</f>
        <v>F2</v>
      </c>
      <c r="C13" s="51" t="n">
        <f aca="false">'9.KTHH L9'!C24</f>
        <v>701.03</v>
      </c>
      <c r="D13" s="13" t="n">
        <f aca="false">'9.KTHH L9'!T24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Chạy!E20</f>
        <v>3.42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63.03875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'9.KTHH L9'!B25</f>
        <v>40</v>
      </c>
      <c r="C14" s="51" t="n">
        <f aca="false">'9.KTHH L9'!C25</f>
        <v>712.78</v>
      </c>
      <c r="D14" s="13" t="n">
        <f aca="false">'9.KTHH L9'!T25</f>
        <v>17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Chạy!E29</f>
        <v>7.31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114.665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'9.KTHH L9'!B26</f>
        <v>41</v>
      </c>
      <c r="C15" s="51" t="n">
        <f aca="false">'9.KTHH L9'!C26</f>
        <v>729.78</v>
      </c>
      <c r="D15" s="13" t="n">
        <f aca="false">'9.KTHH L9'!T26</f>
        <v>17.04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Chạy!E38</f>
        <v>6.18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114.9348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'9.KTHH L9'!B27</f>
        <v>42</v>
      </c>
      <c r="C16" s="51" t="n">
        <f aca="false">'9.KTHH L9'!C27</f>
        <v>746.82</v>
      </c>
      <c r="D16" s="13"/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Chạy!E47</f>
        <v>7.31</v>
      </c>
      <c r="P16" s="53"/>
      <c r="Q16" s="53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6"/>
      <c r="AC16" s="57"/>
    </row>
    <row r="17" s="49" customFormat="true" ht="15" hidden="true" customHeight="true" outlineLevel="0" collapsed="false">
      <c r="A17" s="13"/>
      <c r="B17" s="13"/>
      <c r="C17" s="51"/>
      <c r="D17" s="13"/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/>
      <c r="P17" s="53"/>
      <c r="Q17" s="53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6"/>
      <c r="AC17" s="57"/>
    </row>
    <row r="18" s="49" customFormat="true" ht="15" hidden="true" customHeight="true" outlineLevel="0" collapsed="false">
      <c r="A18" s="13"/>
      <c r="B18" s="13"/>
      <c r="C18" s="51"/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/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56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SUM(W11:W16)</f>
        <v>479.9473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45</v>
      </c>
      <c r="B53" s="19"/>
      <c r="C53" s="19"/>
      <c r="D53" s="77" t="s">
        <v>57</v>
      </c>
      <c r="E53" s="19" t="s">
        <v>46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47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48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2024-09-12T09:32:34Z</dcterms:created>
  <dc:creator>Microsoft Cop.</dc:creator>
  <dc:description/>
  <dc:language>en-US</dc:language>
  <cp:lastModifiedBy>Microsoft Cop.</cp:lastModifiedBy>
  <cp:lastPrinted>2025-04-27T11:04:16Z</cp:lastPrinted>
  <dcterms:modified xsi:type="dcterms:W3CDTF">2026-10-13T10:12:58Z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