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<sst xmlns="http://schemas.openxmlformats.org/spreadsheetml/2006/main" count="303" uniqueCount="64">
  <si>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</si>
  <si>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</si>
  <si>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</si>
  <si>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</si>
  <si>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</si>
  <si>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</si>
  <si>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</si>
  <si>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</si>
  <si>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</si>
  <si>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</si>
  <si>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</si>
  <si>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</si>
  <si>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</si>
  <si>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</si>
  <si>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</si>
  <si>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</si>
  <si>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</si>
  <si>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38</t>
  </si>
  <si>
    <t xml:space="preserve">39</t>
  </si>
  <si>
    <t xml:space="preserve">F2</t>
  </si>
  <si>
    <t xml:space="preserve">40</t>
  </si>
  <si>
    <t xml:space="preserve">41</t>
  </si>
  <si>
    <t xml:space="preserve">42</t>
  </si>
  <si>
    <t xml:space="preserve">PHỤ LỤC KIỂM TRA CAO ĐỘ, KÍCH THƯỚC HÌNH HỌC ĐẮP CÁT</t>
  </si>
  <si>
    <t xml:space="preserve">Kèm theo BBNT số: 60.NĐXD4/CVXD ngày 14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</si>
  <si>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</si>
  <si>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</si>
  <si>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</si>
  <si>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XD4</t>
  </si>
  <si>
    <t xml:space="preserve">- Đối tượng nghiệm thu:</t>
  </si>
  <si>
    <t xml:space="preserve">Đắp cát nền đường lớp 1 đoạn từ Km0+672,28 - Km0+746,82,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</si>
  <si>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</si>
  <si>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</si>
  <si>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</si>
  <si>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</si>
  <si>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</si>
  <si>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</si>
  <si>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</si>
  <si>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</si>
  <si>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</si>
  <si>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</si>
  <si>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</si>
  <si>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</si>
  <si>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</si>
  <si>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</si>
  <si>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</si>
  <si>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</si>
  <si>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</si>
  <si>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</si>
  <si>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</si>
  <si>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</si>
  <si>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</si>
  <si>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</si>
  <si>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</si>
  <si>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</si>
  <si>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</si>
  <si>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</si>
  <si>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</si>
  <si>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61.NĐXD4/CVXD ngày 15 tháng 09 năm 2026</t>
  </si>
  <si>
    <t xml:space="preserve">Đắp cát nền đường lớp 2 đoạn từ Km0+672,28 - Km0+746,82, độ chặt K&gt;=0,95</t>
  </si>
  <si>
    <t xml:space="preserve">Kèm theo BBNT số: 62.NĐXD4/CVXD ngày 15 tháng 09 năm 2026</t>
  </si>
  <si>
    <t xml:space="preserve">Đắp cát nền đường lớp 3 đoạn từ Km0+672,28 - Km0+746,82, độ chặt K&gt;=0,95</t>
  </si>
  <si>
    <t xml:space="preserve">Kèm theo BBNT số: 63.NĐXD4/CVXD ngày 16 tháng 09 năm 2026</t>
  </si>
  <si>
    <t xml:space="preserve">Đắp cát nền đường lớp 4 đoạn từ Km0+672,28 - Km0+746,82,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</si>
</sst>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Km0+672,28 -:- Km0+746,82</v>
          </cell>
          <cell r="D3" t="str">
            <v xml:space="preserve">ngày 12 tháng 09 năm 2026</v>
          </cell>
          <cell r="G3" t="str">
            <v xml:space="preserve">57.NĐXD4/CVXD </v>
          </cell>
        </row>
        <row r="4">
          <cell r="A4">
            <v>58</v>
          </cell>
          <cell r="B4" t="str">
            <v xml:space="preserve">Đào đất xử lý nền đường đoạn từ Km0+672,28 - Km0+746,82</v>
          </cell>
          <cell r="D4" t="str">
            <v xml:space="preserve">ngày 13 tháng 09 năm 2026</v>
          </cell>
          <cell r="G4" t="str">
            <v xml:space="preserve">58.NĐXD4/CVXD </v>
          </cell>
        </row>
        <row r="5">
          <cell r="A5">
            <v>59</v>
          </cell>
          <cell r="B5" t="str">
            <v xml:space="preserve">Rải vải địa kỹ thuật đoạn từ Km0+672,28 - Km0+746,82</v>
          </cell>
          <cell r="D5" t="str">
            <v xml:space="preserve">ngày 14 tháng 09 năm 2026</v>
          </cell>
          <cell r="G5" t="str">
            <v xml:space="preserve">59.NĐXD4/CVXD </v>
          </cell>
        </row>
        <row r="6">
          <cell r="A6">
            <v>60</v>
          </cell>
          <cell r="B6" t="str">
            <v xml:space="preserve">Đắp cát nền đường lớp 1 đoạn từ Km0+672,28 - Km0+746,82, độ chặt K&gt;=0,95</v>
          </cell>
          <cell r="D6" t="str">
            <v xml:space="preserve">ngày 14 tháng 09 năm 2026</v>
          </cell>
          <cell r="G6" t="str">
            <v xml:space="preserve">60.NĐXD4/CVXD </v>
          </cell>
        </row>
        <row r="7">
          <cell r="A7">
            <v>61</v>
          </cell>
          <cell r="B7" t="str">
            <v xml:space="preserve">Đắp cát nền đường lớp 2 đoạn từ Km0+672,28 - Km0+746,82, độ chặt K&gt;=0,95</v>
          </cell>
          <cell r="D7" t="str">
            <v xml:space="preserve">ngày 15 tháng 09 năm 2026</v>
          </cell>
          <cell r="G7" t="str">
            <v xml:space="preserve">61.NĐXD4/CVXD </v>
          </cell>
        </row>
        <row r="8">
          <cell r="A8">
            <v>62</v>
          </cell>
          <cell r="B8" t="str">
            <v xml:space="preserve">Đắp cát nền đường lớp 3 đoạn từ Km0+672,28 - Km0+746,82, độ chặt K&gt;=0,95</v>
          </cell>
          <cell r="D8" t="str">
            <v xml:space="preserve">ngày 15 tháng 09 năm 2026</v>
          </cell>
          <cell r="G8" t="str">
            <v xml:space="preserve">62.NĐXD4/CVXD </v>
          </cell>
        </row>
        <row r="9">
          <cell r="A9">
            <v>63</v>
          </cell>
          <cell r="B9" t="str">
            <v xml:space="preserve">Đắp cát nền đường lớp 4 đoạn từ Km0+672,28 - Km0+746,82, độ chặt K&gt;=0,95</v>
          </cell>
          <cell r="D9" t="str">
            <v xml:space="preserve">ngày 16 tháng 09 năm 2026</v>
          </cell>
          <cell r="G9" t="str">
            <v xml:space="preserve">63.NĐXD4/CVXD </v>
          </cell>
        </row>
        <row r="10">
          <cell r="A10">
            <v>64</v>
          </cell>
          <cell r="B10" t="str">
            <v xml:space="preserve">Đắp đất nền đường lớp 1 đoạn từ Km0+672,28 - Km0+746,82, độ chặt K&gt;=0,95</v>
          </cell>
          <cell r="D10" t="str">
            <v xml:space="preserve">ngày 16 tháng 09 năm 2026</v>
          </cell>
          <cell r="G10" t="str">
            <v xml:space="preserve">64.NĐXD4/CVXD </v>
          </cell>
        </row>
        <row r="11">
          <cell r="A11">
            <v>65</v>
          </cell>
          <cell r="B11" t="str">
            <v xml:space="preserve">Đắp đất nền đường lớp 2 đoạn từ Km0+672,28 - Km0+746,82, độ chặt K&gt;=0,95</v>
          </cell>
          <cell r="D11" t="str">
            <v xml:space="preserve">ngày 17 tháng 09 năm 2026</v>
          </cell>
          <cell r="G11" t="str">
            <v xml:space="preserve">65.NĐXD4/CVXD </v>
          </cell>
        </row>
        <row r="12">
          <cell r="A12">
            <v>66</v>
          </cell>
          <cell r="B12" t="str">
            <v xml:space="preserve">Đắp đất nền đường lớp 3 đoạn từ Km0+672,28 - Km0+746,82, độ chặt K&gt;=0,95</v>
          </cell>
          <cell r="D12" t="str">
            <v xml:space="preserve">ngày 17 tháng 09 năm 2026</v>
          </cell>
          <cell r="G12" t="str">
            <v xml:space="preserve">66.NĐXD4/CVXD </v>
          </cell>
        </row>
        <row r="13">
          <cell r="A13">
            <v>67</v>
          </cell>
          <cell r="B13" t="str">
            <v xml:space="preserve">Đắp đất nền đường lớp 4 đoạn từ Km0+672,28 - Km0+746,82, độ chặt K&gt;=0,95</v>
          </cell>
          <cell r="D13" t="str">
            <v xml:space="preserve">ngày 18 tháng 09 năm 2026</v>
          </cell>
          <cell r="G13" t="str">
            <v xml:space="preserve">67.NĐXD4/CVXD </v>
          </cell>
        </row>
        <row r="14">
          <cell r="A14">
            <v>68</v>
          </cell>
          <cell r="B14" t="str">
            <v xml:space="preserve">Đắp đất nền đường lớp 5 đoạn từ Km0+672,28 - Km0+746,82, độ chặt K&gt;=0,95</v>
          </cell>
          <cell r="D14" t="str">
            <v xml:space="preserve">ngày 18 tháng 09 năm 2026</v>
          </cell>
          <cell r="G14" t="str">
            <v xml:space="preserve">68.NĐXD4/CVXD </v>
          </cell>
        </row>
        <row r="15">
          <cell r="A15">
            <v>69</v>
          </cell>
          <cell r="B15" t="str">
            <v xml:space="preserve">Đắp đất nền đường lớp 6 đoạn từ Km0+672,28 - Km0+746,82, độ chặt K&gt;=0,95</v>
          </cell>
          <cell r="D15" t="str">
            <v xml:space="preserve">ngày 19 tháng 09 năm 2026</v>
          </cell>
          <cell r="G15" t="str">
            <v xml:space="preserve">69.NĐXD4/CVXD </v>
          </cell>
        </row>
        <row r="16">
          <cell r="A16">
            <v>70</v>
          </cell>
          <cell r="B16" t="str">
            <v xml:space="preserve">Đắp đất nền đường lớp 7 đoạn từ Km0+672,28 - Km0+746,82, độ chặt K&gt;=0,95</v>
          </cell>
          <cell r="D16" t="str">
            <v xml:space="preserve">ngày 19 tháng 09 năm 2026</v>
          </cell>
          <cell r="G16" t="str">
            <v xml:space="preserve">70.NĐXD4/CVXD </v>
          </cell>
        </row>
        <row r="17">
          <cell r="A17">
            <v>71</v>
          </cell>
          <cell r="B17" t="str">
            <v xml:space="preserve">Đắp đất nền đường lớp 8 đoạn từ Km0+672,28 - Km0+746,82, độ chặt K&gt;=0,95</v>
          </cell>
          <cell r="D17" t="str">
            <v xml:space="preserve">ngày 20 tháng 09 năm 2026</v>
          </cell>
          <cell r="G17" t="str">
            <v xml:space="preserve">71.NĐXD4/CVXD </v>
          </cell>
        </row>
        <row r="18">
          <cell r="A18">
            <v>72</v>
          </cell>
          <cell r="B18" t="str">
            <v xml:space="preserve">Đắp đất nền đường lớp 9 đoạn từ Km0+672,28 - Km0+746,82, độ chặt K&gt;=0,95</v>
          </cell>
          <cell r="D18" t="str">
            <v xml:space="preserve">ngày 20 tháng 09 năm 2026</v>
          </cell>
          <cell r="G18" t="str">
            <v xml:space="preserve">72.NĐXD4/CVXD </v>
          </cell>
        </row>
        <row r="19">
          <cell r="A19">
            <v>73</v>
          </cell>
          <cell r="B19" t="str">
            <v xml:space="preserve">Đắp đất nền đường lớp 1, độ chặt K&gt;=0,98 đoạn từ Km0+672,28 - Km0+746,82</v>
          </cell>
          <cell r="D19" t="str">
            <v xml:space="preserve">ngày 21 tháng 09 năm 2026</v>
          </cell>
          <cell r="G19" t="str">
            <v xml:space="preserve">73.NĐXD4/CVXD </v>
          </cell>
        </row>
        <row r="20">
          <cell r="A20">
            <v>74</v>
          </cell>
          <cell r="B20" t="str">
            <v xml:space="preserve">Đắp đất lề đường lớp 1, độ chặt K&gt;=0,95 đoạn từ Km0+672,28 - Km0+746,82</v>
          </cell>
          <cell r="D20" t="str">
            <v xml:space="preserve">ngày 21 tháng 09 năm 2026</v>
          </cell>
          <cell r="G20" t="str">
            <v xml:space="preserve">74.NĐXD4/CVXD </v>
          </cell>
        </row>
        <row r="21">
          <cell r="A21">
            <v>75</v>
          </cell>
          <cell r="B21" t="str">
            <v xml:space="preserve">Đắp đất nền đường lớp 2, độ chặt K&gt;=0,98 đoạn từ Km0+672,28 - Km0+746,82</v>
          </cell>
          <cell r="D21" t="str">
            <v xml:space="preserve">ngày 22 tháng 09 năm 2026</v>
          </cell>
          <cell r="G21" t="str">
            <v xml:space="preserve">75.NĐXD4/CVXD </v>
          </cell>
        </row>
        <row r="22">
          <cell r="A22">
            <v>76</v>
          </cell>
          <cell r="B22" t="str">
            <v xml:space="preserve">Đắp đất lề đường lớp 2, độ chặt K&gt;=0,95 đoạn từ Km0+672,28 - Km0+746,82</v>
          </cell>
          <cell r="D22" t="str">
            <v xml:space="preserve">ngày 22 tháng 09 năm 2026</v>
          </cell>
          <cell r="G22" t="str">
            <v xml:space="preserve">76.NĐXD4/CVXD </v>
          </cell>
        </row>
        <row r="23">
          <cell r="A23">
            <v>77</v>
          </cell>
          <cell r="B23" t="str">
            <v xml:space="preserve">Đắp cấp phối đá dăm loại 2 đoạn từ Km0+672,28 - Km0+746,82</v>
          </cell>
          <cell r="D23" t="str">
            <v xml:space="preserve">ngày 23 tháng 09 năm 2026</v>
          </cell>
          <cell r="G23" t="str">
            <v xml:space="preserve">77.NĐXD4/CVXD </v>
          </cell>
        </row>
        <row r="24">
          <cell r="A24">
            <v>78</v>
          </cell>
          <cell r="B24" t="str">
            <v xml:space="preserve">Đắp đất lề đường lớp 3, độ chặt K&gt;=0,95 đoạn từ Km0+672,28 - Km0+746,82</v>
          </cell>
          <cell r="D24" t="str">
            <v xml:space="preserve">ngày 23 tháng 09 năm 2026</v>
          </cell>
          <cell r="G24" t="str">
            <v xml:space="preserve">78.NĐXD4/CVXD </v>
          </cell>
        </row>
        <row r="25">
          <cell r="A25">
            <v>79</v>
          </cell>
          <cell r="B25" t="str">
            <v xml:space="preserve">Đắp đất lề đường lớp 4, độ chặt K&gt;=0,95 đoạn từ Km0+672,28 - Km0+746,82</v>
          </cell>
          <cell r="D25" t="str">
            <v xml:space="preserve">ngày 24 tháng 09 năm 2026</v>
          </cell>
          <cell r="G25" t="str">
            <v xml:space="preserve">79.NĐXD4/CVXD </v>
          </cell>
        </row>
        <row r="26">
          <cell r="A26">
            <v>80</v>
          </cell>
          <cell r="B26" t="str">
            <v xml:space="preserve">Đắp cấp phối đá dăm loại 1 đoạn từ Km0+672,28 - Km0+746,82</v>
          </cell>
          <cell r="D26" t="str">
            <v xml:space="preserve">ngày 24 tháng 09 năm 2026</v>
          </cell>
          <cell r="G26" t="str">
            <v xml:space="preserve">80.NĐXD4/CVXD </v>
          </cell>
        </row>
        <row r="27">
          <cell r="A27">
            <v>81</v>
          </cell>
          <cell r="B27" t="str">
            <v xml:space="preserve">Vệ sinh, thổi bụi mặt đường </v>
          </cell>
          <cell r="D27" t="str">
            <v xml:space="preserve">ngày 26 tháng 09 năm 2026</v>
          </cell>
          <cell r="G27" t="str">
            <v xml:space="preserve">81.NĐXD4/CVXD </v>
          </cell>
        </row>
        <row r="28">
          <cell r="A28">
            <v>82</v>
          </cell>
          <cell r="B28" t="str">
            <v xml:space="preserve">Tưới lớp thấm bám mặt đường, nhựa MC70, lượng nhựa 1kg/m2</v>
          </cell>
          <cell r="D28" t="str">
            <v xml:space="preserve">ngày 28 tháng 09 năm 2026</v>
          </cell>
          <cell r="G28" t="str">
            <v xml:space="preserve">82.NĐXD4/CVXD </v>
          </cell>
        </row>
        <row r="29">
          <cell r="A29">
            <v>83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01 tháng 10 năm 2026</v>
          </cell>
          <cell r="G29" t="str">
            <v xml:space="preserve">83.NĐXD4/CVXD </v>
          </cell>
        </row>
        <row r="30">
          <cell r="A30">
            <v>84</v>
          </cell>
          <cell r="B30" t="str">
            <v xml:space="preserve">Bê tông nhựa C16 - Chiều dày mặt đường đã lèn ép 6cm</v>
          </cell>
          <cell r="D30" t="str">
            <v xml:space="preserve">ngày 03 tháng 10 năm 2026</v>
          </cell>
          <cell r="G30" t="str">
            <v xml:space="preserve">84.NĐXD4/CVXD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5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3"/>
    <col collapsed="false" customWidth="true" hidden="true" outlineLevel="0" max="13" min="12" style="1" width="1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672.28</v>
      </c>
      <c r="D2" s="0" t="n">
        <v>4</v>
      </c>
      <c r="E2" s="0" t="n">
        <v>7.69</v>
      </c>
      <c r="F2" s="0" t="n">
        <v>-9.78</v>
      </c>
      <c r="G2" s="0" t="n">
        <v>-0.62</v>
      </c>
      <c r="H2" s="1" t="n">
        <v>0</v>
      </c>
      <c r="I2" s="1" t="n">
        <v>-0.62</v>
      </c>
      <c r="J2" s="0" t="n">
        <v>0</v>
      </c>
      <c r="K2" s="0" t="n">
        <v>-0.62</v>
      </c>
      <c r="L2" s="1" t="n">
        <v>0</v>
      </c>
      <c r="M2" s="1" t="n">
        <v>-0.62</v>
      </c>
      <c r="N2" s="0" t="n">
        <v>15.79</v>
      </c>
      <c r="O2" s="0" t="n">
        <v>-0.62</v>
      </c>
      <c r="P2" s="0" t="n">
        <v>29.74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7.74</v>
      </c>
      <c r="F3" s="0" t="n">
        <v>-9.48</v>
      </c>
      <c r="G3" s="0" t="n">
        <v>-0.92</v>
      </c>
      <c r="H3" s="1" t="n">
        <v>0</v>
      </c>
      <c r="I3" s="1" t="n">
        <v>-0.92</v>
      </c>
      <c r="J3" s="0" t="n">
        <v>0</v>
      </c>
      <c r="K3" s="0" t="n">
        <v>-0.92</v>
      </c>
      <c r="L3" s="1" t="n">
        <v>0</v>
      </c>
      <c r="M3" s="1" t="n">
        <v>-0.92</v>
      </c>
      <c r="N3" s="0" t="n">
        <v>16.24</v>
      </c>
      <c r="O3" s="0" t="n">
        <v>-0.92</v>
      </c>
    </row>
    <row r="4" customFormat="false" ht="15" hidden="false" customHeight="false" outlineLevel="0" collapsed="false">
      <c r="D4" s="0" t="n">
        <v>2</v>
      </c>
      <c r="E4" s="0" t="n">
        <v>7.78</v>
      </c>
      <c r="F4" s="0" t="n">
        <v>-9.18</v>
      </c>
      <c r="G4" s="0" t="n">
        <v>-1.22</v>
      </c>
      <c r="H4" s="1" t="n">
        <v>0</v>
      </c>
      <c r="I4" s="1" t="n">
        <v>-1.22</v>
      </c>
      <c r="J4" s="0" t="n">
        <v>0</v>
      </c>
      <c r="K4" s="0" t="n">
        <v>-1.22</v>
      </c>
      <c r="L4" s="1" t="n">
        <v>0</v>
      </c>
      <c r="M4" s="1" t="n">
        <v>-1.22</v>
      </c>
      <c r="N4" s="0" t="n">
        <v>16.69</v>
      </c>
      <c r="O4" s="0" t="n">
        <v>-1.22</v>
      </c>
    </row>
    <row r="5" customFormat="false" ht="15" hidden="false" customHeight="false" outlineLevel="0" collapsed="false">
      <c r="D5" s="0" t="n">
        <v>1</v>
      </c>
      <c r="E5" s="0" t="n">
        <v>6.52</v>
      </c>
      <c r="F5" s="0" t="n">
        <v>-8.88</v>
      </c>
      <c r="G5" s="0" t="n">
        <v>-1.52</v>
      </c>
      <c r="H5" s="1" t="n">
        <v>0</v>
      </c>
      <c r="I5" s="1" t="n">
        <v>-1.52</v>
      </c>
      <c r="J5" s="0" t="n">
        <v>0</v>
      </c>
      <c r="K5" s="0" t="n">
        <v>-1.52</v>
      </c>
      <c r="L5" s="1" t="n">
        <v>0</v>
      </c>
      <c r="M5" s="1" t="n">
        <v>-1.52</v>
      </c>
      <c r="N5" s="0" t="n">
        <v>17.14</v>
      </c>
      <c r="O5" s="0" t="n">
        <v>-1.52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689.28</v>
      </c>
      <c r="D6" s="0" t="n">
        <v>4</v>
      </c>
      <c r="E6" s="0" t="n">
        <v>5.11</v>
      </c>
      <c r="F6" s="0" t="n">
        <v>-9.04</v>
      </c>
      <c r="G6" s="0" t="n">
        <v>-0.62</v>
      </c>
      <c r="H6" s="1" t="n">
        <v>0</v>
      </c>
      <c r="I6" s="1" t="n">
        <v>-0.62</v>
      </c>
      <c r="J6" s="0" t="n">
        <v>0</v>
      </c>
      <c r="K6" s="0" t="n">
        <v>-0.62</v>
      </c>
      <c r="L6" s="1" t="n">
        <v>0</v>
      </c>
      <c r="M6" s="1" t="n">
        <v>-0.62</v>
      </c>
      <c r="N6" s="0" t="n">
        <v>8.28</v>
      </c>
      <c r="O6" s="0" t="n">
        <v>-0.62</v>
      </c>
      <c r="P6" s="0" t="n">
        <v>16.32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4.93</v>
      </c>
      <c r="F7" s="0" t="n">
        <v>-8.74</v>
      </c>
      <c r="G7" s="0" t="n">
        <v>-0.92</v>
      </c>
      <c r="H7" s="1" t="n">
        <v>0</v>
      </c>
      <c r="I7" s="1" t="n">
        <v>-0.92</v>
      </c>
      <c r="J7" s="0" t="n">
        <v>0</v>
      </c>
      <c r="K7" s="0" t="n">
        <v>-0.92</v>
      </c>
      <c r="L7" s="1" t="n">
        <v>0</v>
      </c>
      <c r="M7" s="1" t="n">
        <v>-0.92</v>
      </c>
      <c r="N7" s="0" t="n">
        <v>7.98</v>
      </c>
      <c r="O7" s="0" t="n">
        <v>-0.92</v>
      </c>
    </row>
    <row r="8" customFormat="false" ht="15" hidden="false" customHeight="false" outlineLevel="0" collapsed="false">
      <c r="D8" s="0" t="n">
        <v>2</v>
      </c>
      <c r="E8" s="0" t="n">
        <v>4.75</v>
      </c>
      <c r="F8" s="0" t="n">
        <v>-8.44</v>
      </c>
      <c r="G8" s="0" t="n">
        <v>-1.22</v>
      </c>
      <c r="H8" s="1" t="n">
        <v>0</v>
      </c>
      <c r="I8" s="1" t="n">
        <v>-1.22</v>
      </c>
      <c r="J8" s="0" t="n">
        <v>0</v>
      </c>
      <c r="K8" s="0" t="n">
        <v>-1.22</v>
      </c>
      <c r="L8" s="1" t="n">
        <v>0</v>
      </c>
      <c r="M8" s="1" t="n">
        <v>-1.22</v>
      </c>
      <c r="N8" s="0" t="n">
        <v>7.68</v>
      </c>
      <c r="O8" s="0" t="n">
        <v>-1.22</v>
      </c>
    </row>
    <row r="9" customFormat="false" ht="15" hidden="false" customHeight="false" outlineLevel="0" collapsed="false">
      <c r="D9" s="0" t="n">
        <v>1</v>
      </c>
      <c r="E9" s="0" t="n">
        <v>1.54</v>
      </c>
      <c r="F9" s="0" t="n">
        <v>-8.14</v>
      </c>
      <c r="G9" s="0" t="n">
        <v>-1.52</v>
      </c>
      <c r="H9" s="1" t="n">
        <v>0</v>
      </c>
      <c r="I9" s="1" t="n">
        <v>-1.52</v>
      </c>
      <c r="J9" s="0" t="n">
        <v>0</v>
      </c>
      <c r="K9" s="0" t="n">
        <v>-1.52</v>
      </c>
      <c r="L9" s="1" t="n">
        <v>0</v>
      </c>
      <c r="M9" s="1" t="n">
        <v>-1.52</v>
      </c>
      <c r="N9" s="0" t="n">
        <v>7.38</v>
      </c>
      <c r="O9" s="0" t="n">
        <v>-1.52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701.03</v>
      </c>
      <c r="D10" s="0" t="n">
        <v>4</v>
      </c>
      <c r="E10" s="0" t="n">
        <v>0</v>
      </c>
      <c r="P10" s="0" t="n">
        <v>0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0</v>
      </c>
    </row>
    <row r="12" customFormat="false" ht="15" hidden="false" customHeight="false" outlineLevel="0" collapsed="false">
      <c r="D12" s="0" t="n">
        <v>2</v>
      </c>
      <c r="E12" s="0" t="n">
        <v>0</v>
      </c>
    </row>
    <row r="13" customFormat="false" ht="15" hidden="false" customHeight="false" outlineLevel="0" collapsed="false">
      <c r="D13" s="0" t="n">
        <v>1</v>
      </c>
      <c r="E13" s="0" t="n">
        <v>0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712.78</v>
      </c>
      <c r="D14" s="0" t="n">
        <v>4</v>
      </c>
      <c r="E14" s="0" t="n">
        <v>5.1</v>
      </c>
      <c r="F14" s="0" t="n">
        <v>-9.18</v>
      </c>
      <c r="G14" s="0" t="n">
        <v>-0.62</v>
      </c>
      <c r="H14" s="1" t="n">
        <v>0</v>
      </c>
      <c r="I14" s="1" t="n">
        <v>-0.62</v>
      </c>
      <c r="J14" s="0" t="n">
        <v>0</v>
      </c>
      <c r="K14" s="0" t="n">
        <v>-0.62</v>
      </c>
      <c r="L14" s="1" t="n">
        <v>0</v>
      </c>
      <c r="M14" s="1" t="n">
        <v>-0.62</v>
      </c>
      <c r="N14" s="0" t="n">
        <v>8.14</v>
      </c>
      <c r="O14" s="0" t="n">
        <v>-0.62</v>
      </c>
      <c r="P14" s="0" t="n">
        <v>16.32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4.92</v>
      </c>
      <c r="F15" s="0" t="n">
        <v>-8.88</v>
      </c>
      <c r="G15" s="0" t="n">
        <v>-0.92</v>
      </c>
      <c r="H15" s="1" t="n">
        <v>0</v>
      </c>
      <c r="I15" s="1" t="n">
        <v>-0.92</v>
      </c>
      <c r="J15" s="0" t="n">
        <v>0</v>
      </c>
      <c r="K15" s="0" t="n">
        <v>-0.92</v>
      </c>
      <c r="L15" s="1" t="n">
        <v>0</v>
      </c>
      <c r="M15" s="1" t="n">
        <v>-0.92</v>
      </c>
      <c r="N15" s="0" t="n">
        <v>7.84</v>
      </c>
      <c r="O15" s="0" t="n">
        <v>-0.92</v>
      </c>
    </row>
    <row r="16" customFormat="false" ht="15" hidden="false" customHeight="false" outlineLevel="0" collapsed="false">
      <c r="D16" s="0" t="n">
        <v>2</v>
      </c>
      <c r="E16" s="0" t="n">
        <v>4.74</v>
      </c>
      <c r="F16" s="0" t="n">
        <v>-8.58</v>
      </c>
      <c r="G16" s="0" t="n">
        <v>-1.22</v>
      </c>
      <c r="H16" s="1" t="n">
        <v>0</v>
      </c>
      <c r="I16" s="1" t="n">
        <v>-1.22</v>
      </c>
      <c r="J16" s="0" t="n">
        <v>0</v>
      </c>
      <c r="K16" s="0" t="n">
        <v>-1.22</v>
      </c>
      <c r="L16" s="1" t="n">
        <v>0</v>
      </c>
      <c r="M16" s="1" t="n">
        <v>-1.22</v>
      </c>
      <c r="N16" s="0" t="n">
        <v>7.54</v>
      </c>
      <c r="O16" s="0" t="n">
        <v>-1.22</v>
      </c>
    </row>
    <row r="17" customFormat="false" ht="15" hidden="false" customHeight="false" outlineLevel="0" collapsed="false">
      <c r="D17" s="0" t="n">
        <v>1</v>
      </c>
      <c r="E17" s="0" t="n">
        <v>1.54</v>
      </c>
      <c r="F17" s="0" t="n">
        <v>-8.28</v>
      </c>
      <c r="G17" s="0" t="n">
        <v>-1.52</v>
      </c>
      <c r="H17" s="1" t="n">
        <v>0</v>
      </c>
      <c r="I17" s="1" t="n">
        <v>-1.52</v>
      </c>
      <c r="J17" s="0" t="n">
        <v>0</v>
      </c>
      <c r="K17" s="0" t="n">
        <v>-1.52</v>
      </c>
      <c r="L17" s="1" t="n">
        <v>0</v>
      </c>
      <c r="M17" s="1" t="n">
        <v>-1.52</v>
      </c>
      <c r="N17" s="0" t="n">
        <v>7.24</v>
      </c>
      <c r="O17" s="0" t="n">
        <v>-1.52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729.78</v>
      </c>
      <c r="D18" s="0" t="n">
        <v>4</v>
      </c>
      <c r="E18" s="0" t="n">
        <v>3.66</v>
      </c>
      <c r="F18" s="0" t="n">
        <v>-6.25</v>
      </c>
      <c r="G18" s="0" t="n">
        <v>-0.62</v>
      </c>
      <c r="H18" s="1" t="n">
        <v>0</v>
      </c>
      <c r="I18" s="1" t="n">
        <v>-0.62</v>
      </c>
      <c r="J18" s="0" t="n">
        <v>0</v>
      </c>
      <c r="K18" s="0" t="n">
        <v>-0.62</v>
      </c>
      <c r="L18" s="1" t="n">
        <v>0</v>
      </c>
      <c r="M18" s="1" t="n">
        <v>-0.62</v>
      </c>
      <c r="N18" s="0" t="n">
        <v>6.25</v>
      </c>
      <c r="O18" s="0" t="n">
        <v>-0.62</v>
      </c>
      <c r="P18" s="0" t="n">
        <v>11.5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3.48</v>
      </c>
      <c r="F19" s="0" t="n">
        <v>-5.95</v>
      </c>
      <c r="G19" s="0" t="n">
        <v>-0.92</v>
      </c>
      <c r="H19" s="1" t="n">
        <v>0</v>
      </c>
      <c r="I19" s="1" t="n">
        <v>-0.92</v>
      </c>
      <c r="J19" s="0" t="n">
        <v>0</v>
      </c>
      <c r="K19" s="0" t="n">
        <v>-0.92</v>
      </c>
      <c r="L19" s="1" t="n">
        <v>0</v>
      </c>
      <c r="M19" s="1" t="n">
        <v>-0.92</v>
      </c>
      <c r="N19" s="0" t="n">
        <v>5.95</v>
      </c>
      <c r="O19" s="0" t="n">
        <v>-0.92</v>
      </c>
    </row>
    <row r="20" customFormat="false" ht="15" hidden="false" customHeight="false" outlineLevel="0" collapsed="false">
      <c r="D20" s="0" t="n">
        <v>2</v>
      </c>
      <c r="E20" s="0" t="n">
        <v>3.3</v>
      </c>
      <c r="F20" s="0" t="n">
        <v>-5.65</v>
      </c>
      <c r="G20" s="0" t="n">
        <v>-1.22</v>
      </c>
      <c r="H20" s="1" t="n">
        <v>0</v>
      </c>
      <c r="I20" s="1" t="n">
        <v>-1.22</v>
      </c>
      <c r="J20" s="0" t="n">
        <v>0</v>
      </c>
      <c r="K20" s="0" t="n">
        <v>-1.22</v>
      </c>
      <c r="L20" s="1" t="n">
        <v>0</v>
      </c>
      <c r="M20" s="1" t="n">
        <v>-1.22</v>
      </c>
      <c r="N20" s="0" t="n">
        <v>5.65</v>
      </c>
      <c r="O20" s="0" t="n">
        <v>-1.22</v>
      </c>
    </row>
    <row r="21" customFormat="false" ht="15" hidden="false" customHeight="false" outlineLevel="0" collapsed="false">
      <c r="D21" s="0" t="n">
        <v>1</v>
      </c>
      <c r="E21" s="0" t="n">
        <v>1.06</v>
      </c>
      <c r="F21" s="0" t="n">
        <v>-5.35</v>
      </c>
      <c r="G21" s="0" t="n">
        <v>-1.52</v>
      </c>
      <c r="H21" s="1" t="n">
        <v>0</v>
      </c>
      <c r="I21" s="1" t="n">
        <v>-1.52</v>
      </c>
      <c r="J21" s="0" t="n">
        <v>0</v>
      </c>
      <c r="K21" s="0" t="n">
        <v>-1.52</v>
      </c>
      <c r="L21" s="1" t="n">
        <v>0</v>
      </c>
      <c r="M21" s="1" t="n">
        <v>-1.52</v>
      </c>
      <c r="N21" s="0" t="n">
        <v>5.35</v>
      </c>
      <c r="O21" s="0" t="n">
        <v>-1.52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746.82</v>
      </c>
      <c r="D22" s="0" t="n">
        <v>4</v>
      </c>
      <c r="E22" s="0" t="n">
        <v>4.27</v>
      </c>
      <c r="F22" s="0" t="n">
        <v>-6.69</v>
      </c>
      <c r="G22" s="0" t="n">
        <v>-0.62</v>
      </c>
      <c r="H22" s="1" t="n">
        <v>0</v>
      </c>
      <c r="I22" s="1" t="n">
        <v>-0.62</v>
      </c>
      <c r="J22" s="0" t="n">
        <v>0</v>
      </c>
      <c r="K22" s="0" t="n">
        <v>-0.62</v>
      </c>
      <c r="L22" s="1" t="n">
        <v>0</v>
      </c>
      <c r="M22" s="1" t="n">
        <v>-0.62</v>
      </c>
      <c r="N22" s="0" t="n">
        <v>7.85</v>
      </c>
      <c r="O22" s="0" t="n">
        <v>-0.62</v>
      </c>
      <c r="P22" s="0" t="n">
        <v>13.54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4.09</v>
      </c>
      <c r="F23" s="0" t="n">
        <v>-6.39</v>
      </c>
      <c r="G23" s="0" t="n">
        <v>-0.92</v>
      </c>
      <c r="H23" s="1" t="n">
        <v>0</v>
      </c>
      <c r="I23" s="1" t="n">
        <v>-0.92</v>
      </c>
      <c r="J23" s="0" t="n">
        <v>0</v>
      </c>
      <c r="K23" s="0" t="n">
        <v>-0.92</v>
      </c>
      <c r="L23" s="1" t="n">
        <v>0</v>
      </c>
      <c r="M23" s="1" t="n">
        <v>-0.92</v>
      </c>
      <c r="N23" s="0" t="n">
        <v>7.55</v>
      </c>
      <c r="O23" s="0" t="n">
        <v>-0.92</v>
      </c>
    </row>
    <row r="24" customFormat="false" ht="15" hidden="false" customHeight="false" outlineLevel="0" collapsed="false">
      <c r="D24" s="0" t="n">
        <v>2</v>
      </c>
      <c r="E24" s="0" t="n">
        <v>3.91</v>
      </c>
      <c r="F24" s="0" t="n">
        <v>-6.09</v>
      </c>
      <c r="G24" s="0" t="n">
        <v>-1.22</v>
      </c>
      <c r="H24" s="1" t="n">
        <v>0</v>
      </c>
      <c r="I24" s="1" t="n">
        <v>-1.22</v>
      </c>
      <c r="J24" s="0" t="n">
        <v>0</v>
      </c>
      <c r="K24" s="0" t="n">
        <v>-1.22</v>
      </c>
      <c r="L24" s="1" t="n">
        <v>0</v>
      </c>
      <c r="M24" s="1" t="n">
        <v>-1.22</v>
      </c>
      <c r="N24" s="0" t="n">
        <v>7.25</v>
      </c>
      <c r="O24" s="0" t="n">
        <v>-1.22</v>
      </c>
    </row>
    <row r="25" customFormat="false" ht="15" hidden="false" customHeight="false" outlineLevel="0" collapsed="false">
      <c r="D25" s="0" t="n">
        <v>1</v>
      </c>
      <c r="E25" s="0" t="n">
        <v>1.26</v>
      </c>
      <c r="F25" s="0" t="n">
        <v>-5.79</v>
      </c>
      <c r="G25" s="0" t="n">
        <v>-1.52</v>
      </c>
      <c r="H25" s="1" t="n">
        <v>0</v>
      </c>
      <c r="I25" s="1" t="n">
        <v>-1.52</v>
      </c>
      <c r="J25" s="0" t="n">
        <v>0</v>
      </c>
      <c r="K25" s="0" t="n">
        <v>-1.52</v>
      </c>
      <c r="L25" s="1" t="n">
        <v>0</v>
      </c>
      <c r="M25" s="1" t="n">
        <v>-1.52</v>
      </c>
      <c r="N25" s="0" t="n">
        <v>6.95</v>
      </c>
      <c r="O25" s="0" t="n">
        <v>-1.52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60.NĐXD4/CVXD ngày 14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60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XD4'!$A$2:$B$60,2,0)</f>
        <v xml:space="preserve">Đắp cát nền đường lớp 1 đoạn từ Km0+672,28 - Km0+746,82,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672.28</v>
      </c>
      <c r="D23" s="17" t="n">
        <f aca="false">+Chạy!F5</f>
        <v>-8.88</v>
      </c>
      <c r="E23" s="17" t="n">
        <f aca="false">+D23+F23</f>
        <v>-8.8902</v>
      </c>
      <c r="F23" s="17" t="n">
        <f aca="false">RANDBETWEEN(-105,115)/10000</f>
        <v>-0.0102</v>
      </c>
      <c r="G23" s="17" t="n">
        <f aca="false">+Chạy!G5</f>
        <v>-1.52</v>
      </c>
      <c r="H23" s="17" t="n">
        <f aca="false">G23+I23</f>
        <v>-1.447</v>
      </c>
      <c r="I23" s="17" t="n">
        <f aca="false">RANDBETWEEN(-30,90)/1000</f>
        <v>0.073</v>
      </c>
      <c r="J23" s="17" t="n">
        <f aca="false">+Chạy!K5</f>
        <v>-1.52</v>
      </c>
      <c r="K23" s="17" t="n">
        <f aca="false">J23+L23</f>
        <v>-1.547</v>
      </c>
      <c r="L23" s="17" t="n">
        <f aca="false">RANDBETWEEN(-30,90)/1000</f>
        <v>-0.027</v>
      </c>
      <c r="M23" s="17" t="n">
        <f aca="false">+Chạy!N5</f>
        <v>17.14</v>
      </c>
      <c r="N23" s="17" t="n">
        <f aca="false">+M23+O23</f>
        <v>17.1514</v>
      </c>
      <c r="O23" s="17" t="n">
        <f aca="false">RANDBETWEEN(-105,115)/10000</f>
        <v>0.0114</v>
      </c>
      <c r="P23" s="17" t="n">
        <f aca="false">+Chạy!O5</f>
        <v>-1.52</v>
      </c>
      <c r="Q23" s="17" t="n">
        <f aca="false">P23+R23</f>
        <v>-1.504</v>
      </c>
      <c r="R23" s="17" t="n">
        <f aca="false">RANDBETWEEN(-30,90)/1000</f>
        <v>0.016</v>
      </c>
      <c r="S23" s="18"/>
      <c r="T23" s="19" t="n">
        <v>17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689.28</v>
      </c>
      <c r="D24" s="17" t="n">
        <f aca="false">+Chạy!F9</f>
        <v>-8.14</v>
      </c>
      <c r="E24" s="17" t="n">
        <f aca="false">+D24+F24</f>
        <v>-8.1309</v>
      </c>
      <c r="F24" s="17" t="n">
        <f aca="false">RANDBETWEEN(-105,115)/10000</f>
        <v>0.0091</v>
      </c>
      <c r="G24" s="17" t="n">
        <f aca="false">+Chạy!G9</f>
        <v>-1.52</v>
      </c>
      <c r="H24" s="17" t="n">
        <f aca="false">G24+I24</f>
        <v>-1.512</v>
      </c>
      <c r="I24" s="17" t="n">
        <f aca="false">RANDBETWEEN(-30,90)/1000</f>
        <v>0.008</v>
      </c>
      <c r="J24" s="17" t="n">
        <f aca="false">+Chạy!K9</f>
        <v>-1.52</v>
      </c>
      <c r="K24" s="17" t="n">
        <f aca="false">J24+L24</f>
        <v>-1.503</v>
      </c>
      <c r="L24" s="17" t="n">
        <f aca="false">RANDBETWEEN(-30,90)/1000</f>
        <v>0.017</v>
      </c>
      <c r="M24" s="17" t="n">
        <f aca="false">+Chạy!N9</f>
        <v>7.38</v>
      </c>
      <c r="N24" s="17" t="n">
        <f aca="false">+M24+O24</f>
        <v>7.3834</v>
      </c>
      <c r="O24" s="17" t="n">
        <f aca="false">RANDBETWEEN(-105,115)/10000</f>
        <v>0.0034</v>
      </c>
      <c r="P24" s="17" t="n">
        <f aca="false">+Chạy!O9</f>
        <v>-1.52</v>
      </c>
      <c r="Q24" s="17" t="n">
        <f aca="false">P24+R24</f>
        <v>-1.453</v>
      </c>
      <c r="R24" s="17" t="n">
        <f aca="false">RANDBETWEEN(-30,90)/1000</f>
        <v>0.067</v>
      </c>
      <c r="S24" s="18"/>
      <c r="T24" s="19" t="n">
        <v>11.75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701.03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8"/>
      <c r="T25" s="19" t="n">
        <v>11.75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712.78</v>
      </c>
      <c r="D26" s="17" t="n">
        <f aca="false">+Chạy!F17</f>
        <v>-8.28</v>
      </c>
      <c r="E26" s="17" t="n">
        <f aca="false">+D26+F26</f>
        <v>-8.2831</v>
      </c>
      <c r="F26" s="17" t="n">
        <f aca="false">RANDBETWEEN(-105,115)/10000</f>
        <v>-0.0031</v>
      </c>
      <c r="G26" s="17" t="n">
        <f aca="false">+Chạy!G17</f>
        <v>-1.52</v>
      </c>
      <c r="H26" s="17" t="n">
        <f aca="false">G26+I26</f>
        <v>-1.459</v>
      </c>
      <c r="I26" s="17" t="n">
        <f aca="false">RANDBETWEEN(-30,90)/1000</f>
        <v>0.061</v>
      </c>
      <c r="J26" s="17" t="n">
        <f aca="false">+Chạy!K17</f>
        <v>-1.52</v>
      </c>
      <c r="K26" s="17" t="n">
        <f aca="false">J26+L26</f>
        <v>-1.462</v>
      </c>
      <c r="L26" s="17" t="n">
        <f aca="false">RANDBETWEEN(-30,90)/1000</f>
        <v>0.058</v>
      </c>
      <c r="M26" s="17" t="n">
        <f aca="false">+Chạy!N17</f>
        <v>7.24</v>
      </c>
      <c r="N26" s="17" t="n">
        <f aca="false">+M26+O26</f>
        <v>7.2411</v>
      </c>
      <c r="O26" s="17" t="n">
        <f aca="false">RANDBETWEEN(-105,115)/10000</f>
        <v>0.0011</v>
      </c>
      <c r="P26" s="17" t="n">
        <f aca="false">+Chạy!O17</f>
        <v>-1.52</v>
      </c>
      <c r="Q26" s="17" t="n">
        <f aca="false">P26+R26</f>
        <v>-1.459</v>
      </c>
      <c r="R26" s="17" t="n">
        <f aca="false">RANDBETWEEN(-30,90)/1000</f>
        <v>0.061</v>
      </c>
      <c r="S26" s="18"/>
      <c r="T26" s="19" t="n">
        <v>17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729.78</v>
      </c>
      <c r="D27" s="17" t="n">
        <f aca="false">+Chạy!F21</f>
        <v>-5.35</v>
      </c>
      <c r="E27" s="17" t="n">
        <f aca="false">+D27+F27</f>
        <v>-5.3393</v>
      </c>
      <c r="F27" s="17" t="n">
        <f aca="false">RANDBETWEEN(-105,115)/10000</f>
        <v>0.0107</v>
      </c>
      <c r="G27" s="17" t="n">
        <f aca="false">+Chạy!G21</f>
        <v>-1.52</v>
      </c>
      <c r="H27" s="17" t="n">
        <f aca="false">G27+I27</f>
        <v>-1.536</v>
      </c>
      <c r="I27" s="17" t="n">
        <f aca="false">RANDBETWEEN(-30,90)/1000</f>
        <v>-0.016</v>
      </c>
      <c r="J27" s="17" t="n">
        <f aca="false">+Chạy!K21</f>
        <v>-1.52</v>
      </c>
      <c r="K27" s="17" t="n">
        <f aca="false">J27+L27</f>
        <v>-1.481</v>
      </c>
      <c r="L27" s="17" t="n">
        <f aca="false">RANDBETWEEN(-30,90)/1000</f>
        <v>0.039</v>
      </c>
      <c r="M27" s="17" t="n">
        <f aca="false">+Chạy!N21</f>
        <v>5.35</v>
      </c>
      <c r="N27" s="17" t="n">
        <f aca="false">+M27+O27</f>
        <v>5.3452</v>
      </c>
      <c r="O27" s="17" t="n">
        <f aca="false">RANDBETWEEN(-105,115)/10000</f>
        <v>-0.0048</v>
      </c>
      <c r="P27" s="17" t="n">
        <f aca="false">+Chạy!O21</f>
        <v>-1.52</v>
      </c>
      <c r="Q27" s="17" t="n">
        <f aca="false">P27+R27</f>
        <v>-1.439</v>
      </c>
      <c r="R27" s="17" t="n">
        <f aca="false">RANDBETWEEN(-30,90)/1000</f>
        <v>0.081</v>
      </c>
      <c r="S27" s="18"/>
      <c r="T27" s="19" t="n">
        <v>17.04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746.82</v>
      </c>
      <c r="D28" s="17" t="n">
        <f aca="false">+Chạy!F25</f>
        <v>-5.79</v>
      </c>
      <c r="E28" s="17" t="n">
        <f aca="false">+D28+F28</f>
        <v>-5.7934</v>
      </c>
      <c r="F28" s="17" t="n">
        <f aca="false">RANDBETWEEN(-105,115)/10000</f>
        <v>-0.0034</v>
      </c>
      <c r="G28" s="17" t="n">
        <f aca="false">+Chạy!G25</f>
        <v>-1.52</v>
      </c>
      <c r="H28" s="17" t="n">
        <f aca="false">G28+I28</f>
        <v>-1.483</v>
      </c>
      <c r="I28" s="17" t="n">
        <f aca="false">RANDBETWEEN(-30,90)/1000</f>
        <v>0.037</v>
      </c>
      <c r="J28" s="17" t="n">
        <f aca="false">+Chạy!K25</f>
        <v>-1.52</v>
      </c>
      <c r="K28" s="17" t="n">
        <f aca="false">J28+L28</f>
        <v>-1.483</v>
      </c>
      <c r="L28" s="17" t="n">
        <f aca="false">RANDBETWEEN(-30,90)/1000</f>
        <v>0.037</v>
      </c>
      <c r="M28" s="17" t="n">
        <f aca="false">+Chạy!N25</f>
        <v>6.95</v>
      </c>
      <c r="N28" s="17" t="n">
        <f aca="false">+M28+O28</f>
        <v>6.9593</v>
      </c>
      <c r="O28" s="17" t="n">
        <f aca="false">RANDBETWEEN(-105,115)/10000</f>
        <v>0.0093</v>
      </c>
      <c r="P28" s="17" t="n">
        <f aca="false">+Chạy!O25</f>
        <v>-1.52</v>
      </c>
      <c r="Q28" s="17" t="n">
        <f aca="false">P28+R28</f>
        <v>-1.501</v>
      </c>
      <c r="R28" s="17" t="n">
        <f aca="false">RANDBETWEEN(-30,90)/1000</f>
        <v>0.019</v>
      </c>
      <c r="S28" s="18"/>
      <c r="T28" s="19"/>
    </row>
    <row r="29" customFormat="false" ht="15" hidden="true" customHeight="false" outlineLevel="0" collapsed="false">
      <c r="A29" s="14"/>
      <c r="B29" s="15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  <c r="T29" s="19"/>
    </row>
    <row r="30" customFormat="false" ht="15" hidden="true" customHeight="false" outlineLevel="0" collapsed="false">
      <c r="A30" s="14"/>
      <c r="B30" s="15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  <c r="T30" s="19"/>
    </row>
    <row r="31" customFormat="false" ht="15" hidden="true" customHeight="false" outlineLevel="0" collapsed="false">
      <c r="A31" s="14"/>
      <c r="B31" s="15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  <c r="T31" s="19"/>
    </row>
    <row r="32" customFormat="false" ht="15" hidden="true" customHeight="false" outlineLevel="0" collapsed="false">
      <c r="A32" s="14"/>
      <c r="B32" s="15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  <c r="T32" s="19"/>
    </row>
    <row r="33" customFormat="false" ht="15" hidden="true" customHeight="false" outlineLevel="0" collapsed="false">
      <c r="A33" s="14"/>
      <c r="B33" s="15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45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46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47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48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60.NĐXD4/CVXD ngày 14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60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XD4'!$A$2:$B$60,2,0)</f>
        <v xml:space="preserve">Đắp cát nền đường lớp 1 đoạn từ Km0+672,28 - Km0+746,82,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38</v>
      </c>
      <c r="C11" s="16" t="n">
        <f aca="false">'1.KTHH L1'!C23</f>
        <v>672.28</v>
      </c>
      <c r="D11" s="14" t="n">
        <f aca="false">'1.KTHH L1'!T23</f>
        <v>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6.52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68.51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39</v>
      </c>
      <c r="C12" s="16" t="n">
        <f aca="false">'1.KTHH L1'!C24</f>
        <v>689.28</v>
      </c>
      <c r="D12" s="14" t="n">
        <f aca="false">'1.KTHH L1'!T24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1.54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9.0475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F2</v>
      </c>
      <c r="C13" s="16" t="n">
        <f aca="false">'1.KTHH L1'!C25</f>
        <v>701.03</v>
      </c>
      <c r="D13" s="14" t="n">
        <f aca="false">'1.KTHH L1'!T25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/>
      <c r="P13" s="47"/>
      <c r="Q13" s="47"/>
      <c r="R13" s="50"/>
      <c r="S13" s="50"/>
      <c r="T13" s="50"/>
      <c r="U13" s="50"/>
      <c r="V13" s="50"/>
      <c r="W13" s="50" t="n">
        <f aca="false">(O13+O14)*D13/2</f>
        <v>9.0475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40</v>
      </c>
      <c r="C14" s="16" t="n">
        <f aca="false">'1.KTHH L1'!C26</f>
        <v>712.78</v>
      </c>
      <c r="D14" s="14" t="n">
        <f aca="false">'1.KTHH L1'!T26</f>
        <v>17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1.54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22.1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41</v>
      </c>
      <c r="C15" s="16" t="n">
        <f aca="false">'1.KTHH L1'!C27</f>
        <v>729.78</v>
      </c>
      <c r="D15" s="14" t="n">
        <f aca="false">'1.KTHH L1'!T27</f>
        <v>17.04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1.06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19.7664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42</v>
      </c>
      <c r="C16" s="16" t="n">
        <f aca="false">'1.KTHH L1'!C28</f>
        <v>746.82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1.26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56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SUM(W11:W16)</f>
        <v>128.4714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45</v>
      </c>
      <c r="B53" s="20"/>
      <c r="C53" s="20"/>
      <c r="D53" s="65" t="s">
        <v>57</v>
      </c>
      <c r="E53" s="20" t="s">
        <v>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47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48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61.NĐXD4/CVXD ngày 15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61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XD4'!$A$2:$B$60,2,0)</f>
        <v xml:space="preserve">Đắp cát nền đường lớp 2 đoạn từ Km0+672,28 - Km0+746,82,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672.28</v>
      </c>
      <c r="D23" s="17" t="n">
        <f aca="false">+Chạy!F4</f>
        <v>-9.18</v>
      </c>
      <c r="E23" s="17" t="n">
        <f aca="false">+D23+F23</f>
        <v>-9.1781</v>
      </c>
      <c r="F23" s="17" t="n">
        <f aca="false">RANDBETWEEN(-105,115)/10000</f>
        <v>0.0019</v>
      </c>
      <c r="G23" s="17" t="n">
        <f aca="false">+Chạy!G4</f>
        <v>-1.22</v>
      </c>
      <c r="H23" s="17" t="n">
        <f aca="false">G23+I23</f>
        <v>-1.147</v>
      </c>
      <c r="I23" s="17" t="n">
        <f aca="false">RANDBETWEEN(-30,90)/1000</f>
        <v>0.073</v>
      </c>
      <c r="J23" s="17" t="n">
        <f aca="false">+Chạy!K4</f>
        <v>-1.22</v>
      </c>
      <c r="K23" s="17" t="n">
        <f aca="false">J23+L23</f>
        <v>-1.139</v>
      </c>
      <c r="L23" s="17" t="n">
        <f aca="false">RANDBETWEEN(-30,90)/1000</f>
        <v>0.081</v>
      </c>
      <c r="M23" s="17" t="n">
        <f aca="false">+Chạy!N4</f>
        <v>16.69</v>
      </c>
      <c r="N23" s="17" t="n">
        <f aca="false">+M23+O23</f>
        <v>16.6969</v>
      </c>
      <c r="O23" s="17" t="n">
        <f aca="false">RANDBETWEEN(-105,115)/10000</f>
        <v>0.0069</v>
      </c>
      <c r="P23" s="17" t="n">
        <f aca="false">+Chạy!O4</f>
        <v>-1.22</v>
      </c>
      <c r="Q23" s="17" t="n">
        <f aca="false">P23+R23</f>
        <v>-1.139</v>
      </c>
      <c r="R23" s="17" t="n">
        <f aca="false">RANDBETWEEN(-30,90)/1000</f>
        <v>0.081</v>
      </c>
      <c r="S23" s="18"/>
      <c r="T23" s="0" t="n">
        <v>17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689.28</v>
      </c>
      <c r="D24" s="17" t="n">
        <f aca="false">+Chạy!F8</f>
        <v>-8.44</v>
      </c>
      <c r="E24" s="17" t="n">
        <f aca="false">+D24+F24</f>
        <v>-8.4366</v>
      </c>
      <c r="F24" s="17" t="n">
        <f aca="false">RANDBETWEEN(-105,115)/10000</f>
        <v>0.0034</v>
      </c>
      <c r="G24" s="17" t="n">
        <f aca="false">+Chạy!G8</f>
        <v>-1.22</v>
      </c>
      <c r="H24" s="17" t="n">
        <f aca="false">G24+I24</f>
        <v>-1.218</v>
      </c>
      <c r="I24" s="17" t="n">
        <f aca="false">RANDBETWEEN(-30,90)/1000</f>
        <v>0.002</v>
      </c>
      <c r="J24" s="17" t="n">
        <f aca="false">+Chạy!K8</f>
        <v>-1.22</v>
      </c>
      <c r="K24" s="17" t="n">
        <f aca="false">J24+L24</f>
        <v>-1.218</v>
      </c>
      <c r="L24" s="17" t="n">
        <f aca="false">RANDBETWEEN(-30,90)/1000</f>
        <v>0.002</v>
      </c>
      <c r="M24" s="17" t="n">
        <f aca="false">+Chạy!N8</f>
        <v>7.68</v>
      </c>
      <c r="N24" s="17" t="n">
        <f aca="false">+M24+O24</f>
        <v>7.6798</v>
      </c>
      <c r="O24" s="17" t="n">
        <f aca="false">RANDBETWEEN(-105,115)/10000</f>
        <v>-0.0002</v>
      </c>
      <c r="P24" s="17" t="n">
        <f aca="false">+Chạy!O8</f>
        <v>-1.22</v>
      </c>
      <c r="Q24" s="17" t="n">
        <f aca="false">P24+R24</f>
        <v>-1.245</v>
      </c>
      <c r="R24" s="17" t="n">
        <f aca="false">RANDBETWEEN(-30,90)/1000</f>
        <v>-0.025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701.03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8"/>
      <c r="T25" s="0" t="n">
        <v>11.75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712.78</v>
      </c>
      <c r="D26" s="17" t="n">
        <f aca="false">+Chạy!F16</f>
        <v>-8.58</v>
      </c>
      <c r="E26" s="17" t="n">
        <f aca="false">+D26+F26</f>
        <v>-8.5768</v>
      </c>
      <c r="F26" s="17" t="n">
        <f aca="false">RANDBETWEEN(-105,115)/10000</f>
        <v>0.0032</v>
      </c>
      <c r="G26" s="17" t="n">
        <f aca="false">+Chạy!G16</f>
        <v>-1.22</v>
      </c>
      <c r="H26" s="17" t="n">
        <f aca="false">G26+I26</f>
        <v>-1.188</v>
      </c>
      <c r="I26" s="17" t="n">
        <f aca="false">RANDBETWEEN(-30,90)/1000</f>
        <v>0.032</v>
      </c>
      <c r="J26" s="17" t="n">
        <f aca="false">+Chạy!K16</f>
        <v>-1.22</v>
      </c>
      <c r="K26" s="17" t="n">
        <f aca="false">J26+L26</f>
        <v>-1.187</v>
      </c>
      <c r="L26" s="17" t="n">
        <f aca="false">RANDBETWEEN(-30,90)/1000</f>
        <v>0.033</v>
      </c>
      <c r="M26" s="17" t="n">
        <f aca="false">+Chạy!N16</f>
        <v>7.54</v>
      </c>
      <c r="N26" s="17" t="n">
        <f aca="false">+M26+O26</f>
        <v>7.5322</v>
      </c>
      <c r="O26" s="17" t="n">
        <f aca="false">RANDBETWEEN(-105,115)/10000</f>
        <v>-0.0078</v>
      </c>
      <c r="P26" s="17" t="n">
        <f aca="false">+Chạy!O16</f>
        <v>-1.22</v>
      </c>
      <c r="Q26" s="17" t="n">
        <f aca="false">P26+R26</f>
        <v>-1.232</v>
      </c>
      <c r="R26" s="17" t="n">
        <f aca="false">RANDBETWEEN(-30,90)/1000</f>
        <v>-0.012</v>
      </c>
      <c r="S26" s="18"/>
      <c r="T26" s="0" t="n">
        <v>17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729.78</v>
      </c>
      <c r="D27" s="17" t="n">
        <f aca="false">+Chạy!F20</f>
        <v>-5.65</v>
      </c>
      <c r="E27" s="17" t="n">
        <f aca="false">+D27+F27</f>
        <v>-5.6583</v>
      </c>
      <c r="F27" s="17" t="n">
        <f aca="false">RANDBETWEEN(-105,115)/10000</f>
        <v>-0.0083</v>
      </c>
      <c r="G27" s="17" t="n">
        <f aca="false">+Chạy!G20</f>
        <v>-1.22</v>
      </c>
      <c r="H27" s="17" t="n">
        <f aca="false">G27+I27</f>
        <v>-1.13</v>
      </c>
      <c r="I27" s="17" t="n">
        <f aca="false">RANDBETWEEN(-30,90)/1000</f>
        <v>0.09</v>
      </c>
      <c r="J27" s="17" t="n">
        <f aca="false">+Chạy!K20</f>
        <v>-1.22</v>
      </c>
      <c r="K27" s="17" t="n">
        <f aca="false">J27+L27</f>
        <v>-1.248</v>
      </c>
      <c r="L27" s="17" t="n">
        <f aca="false">RANDBETWEEN(-30,90)/1000</f>
        <v>-0.028</v>
      </c>
      <c r="M27" s="17" t="n">
        <f aca="false">+Chạy!N20</f>
        <v>5.65</v>
      </c>
      <c r="N27" s="17" t="n">
        <f aca="false">+M27+O27</f>
        <v>5.652</v>
      </c>
      <c r="O27" s="17" t="n">
        <f aca="false">RANDBETWEEN(-105,115)/10000</f>
        <v>0.002</v>
      </c>
      <c r="P27" s="17" t="n">
        <f aca="false">+Chạy!O20</f>
        <v>-1.22</v>
      </c>
      <c r="Q27" s="17" t="n">
        <f aca="false">P27+R27</f>
        <v>-1.171</v>
      </c>
      <c r="R27" s="17" t="n">
        <f aca="false">RANDBETWEEN(-30,90)/1000</f>
        <v>0.049</v>
      </c>
      <c r="S27" s="18"/>
      <c r="T27" s="0" t="n">
        <v>17.04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746.82</v>
      </c>
      <c r="D28" s="17" t="n">
        <f aca="false">+Chạy!F24</f>
        <v>-6.09</v>
      </c>
      <c r="E28" s="17" t="n">
        <f aca="false">+D28+F28</f>
        <v>-6.0847</v>
      </c>
      <c r="F28" s="17" t="n">
        <f aca="false">RANDBETWEEN(-105,115)/10000</f>
        <v>0.0053</v>
      </c>
      <c r="G28" s="17" t="n">
        <f aca="false">+Chạy!G24</f>
        <v>-1.22</v>
      </c>
      <c r="H28" s="17" t="n">
        <f aca="false">G28+I28</f>
        <v>-1.163</v>
      </c>
      <c r="I28" s="17" t="n">
        <f aca="false">RANDBETWEEN(-30,90)/1000</f>
        <v>0.057</v>
      </c>
      <c r="J28" s="17" t="n">
        <f aca="false">+Chạy!K24</f>
        <v>-1.22</v>
      </c>
      <c r="K28" s="17" t="n">
        <f aca="false">J28+L28</f>
        <v>-1.237</v>
      </c>
      <c r="L28" s="17" t="n">
        <f aca="false">RANDBETWEEN(-30,90)/1000</f>
        <v>-0.017</v>
      </c>
      <c r="M28" s="17" t="n">
        <f aca="false">+Chạy!N24</f>
        <v>7.25</v>
      </c>
      <c r="N28" s="17" t="n">
        <f aca="false">+M28+O28</f>
        <v>7.2459</v>
      </c>
      <c r="O28" s="17" t="n">
        <f aca="false">RANDBETWEEN(-105,115)/10000</f>
        <v>-0.0041</v>
      </c>
      <c r="P28" s="17" t="n">
        <f aca="false">+Chạy!O24</f>
        <v>-1.22</v>
      </c>
      <c r="Q28" s="17" t="n">
        <f aca="false">P28+R28</f>
        <v>-1.172</v>
      </c>
      <c r="R28" s="17" t="n">
        <f aca="false">RANDBETWEEN(-30,90)/1000</f>
        <v>0.048</v>
      </c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45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46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47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48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61.NĐXD4/CVXD ngày 15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61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XD4'!$A$2:$B$60,2,0)</f>
        <v xml:space="preserve">Đắp cát nền đường lớp 2 đoạn từ Km0+672,28 - Km0+746,82,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38</v>
      </c>
      <c r="C11" s="16" t="n">
        <f aca="false">'2.KTHH L2'!C23</f>
        <v>672.28</v>
      </c>
      <c r="D11" s="14" t="n">
        <f aca="false">'2.KTHH L2'!T23</f>
        <v>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7.78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106.505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39</v>
      </c>
      <c r="C12" s="16" t="n">
        <f aca="false">'2.KTHH L2'!C24</f>
        <v>689.28</v>
      </c>
      <c r="D12" s="14" t="n">
        <f aca="false">'2.KTHH L2'!T24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4.75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27.90625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F2</v>
      </c>
      <c r="C13" s="16" t="n">
        <f aca="false">'2.KTHH L2'!C25</f>
        <v>701.03</v>
      </c>
      <c r="D13" s="14" t="n">
        <f aca="false">'2.KTHH L2'!T25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/>
      <c r="P13" s="47"/>
      <c r="Q13" s="47"/>
      <c r="R13" s="50"/>
      <c r="S13" s="50"/>
      <c r="T13" s="50"/>
      <c r="U13" s="50"/>
      <c r="V13" s="50"/>
      <c r="W13" s="50" t="n">
        <f aca="false">(O13+O14)*D13/2</f>
        <v>27.8475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40</v>
      </c>
      <c r="C14" s="16" t="n">
        <f aca="false">'2.KTHH L2'!C26</f>
        <v>712.78</v>
      </c>
      <c r="D14" s="14" t="n">
        <f aca="false">'2.KTHH L2'!T26</f>
        <v>17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4.74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68.34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41</v>
      </c>
      <c r="C15" s="16" t="n">
        <f aca="false">'2.KTHH L2'!C27</f>
        <v>729.78</v>
      </c>
      <c r="D15" s="14" t="n">
        <f aca="false">'2.KTHH L2'!T27</f>
        <v>17.04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3.3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61.4292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42</v>
      </c>
      <c r="C16" s="16" t="n">
        <f aca="false">'2.KTHH L2'!C28</f>
        <v>746.82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3.91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56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SUM(W11:W16)</f>
        <v>292.02795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45</v>
      </c>
      <c r="B53" s="20"/>
      <c r="C53" s="20"/>
      <c r="D53" s="65" t="s">
        <v>57</v>
      </c>
      <c r="E53" s="20" t="s">
        <v>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47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48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62.NĐXD4/CVXD ngày 15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62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XD4'!$A$2:$B$60,2,0)</f>
        <v xml:space="preserve">Đắp cát nền đường lớp 3 đoạn từ Km0+672,28 - Km0+746,82,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32</v>
      </c>
      <c r="B20" s="10" t="s">
        <v>33</v>
      </c>
      <c r="C20" s="10" t="s">
        <v>34</v>
      </c>
      <c r="D20" s="11" t="s">
        <v>35</v>
      </c>
      <c r="E20" s="11"/>
      <c r="F20" s="11"/>
      <c r="G20" s="11"/>
      <c r="H20" s="11"/>
      <c r="I20" s="11"/>
      <c r="J20" s="11" t="s">
        <v>36</v>
      </c>
      <c r="K20" s="11"/>
      <c r="L20" s="11"/>
      <c r="M20" s="11" t="s">
        <v>37</v>
      </c>
      <c r="N20" s="11"/>
      <c r="O20" s="11"/>
      <c r="P20" s="11"/>
      <c r="Q20" s="11"/>
      <c r="R20" s="11"/>
      <c r="S20" s="10" t="s">
        <v>38</v>
      </c>
    </row>
    <row r="21" customFormat="false" ht="30" hidden="false" customHeight="true" outlineLevel="0" collapsed="false">
      <c r="A21" s="10"/>
      <c r="B21" s="10"/>
      <c r="C21" s="10"/>
      <c r="D21" s="12" t="s">
        <v>39</v>
      </c>
      <c r="E21" s="12" t="s">
        <v>40</v>
      </c>
      <c r="F21" s="12" t="s">
        <v>41</v>
      </c>
      <c r="G21" s="12" t="s">
        <v>42</v>
      </c>
      <c r="H21" s="12" t="s">
        <v>43</v>
      </c>
      <c r="I21" s="12" t="s">
        <v>44</v>
      </c>
      <c r="J21" s="12" t="s">
        <v>42</v>
      </c>
      <c r="K21" s="12" t="s">
        <v>43</v>
      </c>
      <c r="L21" s="12" t="s">
        <v>44</v>
      </c>
      <c r="M21" s="12" t="s">
        <v>39</v>
      </c>
      <c r="N21" s="12" t="s">
        <v>40</v>
      </c>
      <c r="O21" s="12" t="s">
        <v>41</v>
      </c>
      <c r="P21" s="12" t="s">
        <v>42</v>
      </c>
      <c r="Q21" s="12" t="s">
        <v>43</v>
      </c>
      <c r="R21" s="12" t="s">
        <v>44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672.28</v>
      </c>
      <c r="D22" s="17" t="n">
        <f aca="false">+Chạy!F3</f>
        <v>-9.48</v>
      </c>
      <c r="E22" s="17" t="n">
        <f aca="false">+D22+F22</f>
        <v>-9.4901</v>
      </c>
      <c r="F22" s="17" t="n">
        <f aca="false">RANDBETWEEN(-105,115)/10000</f>
        <v>-0.0101</v>
      </c>
      <c r="G22" s="17" t="n">
        <f aca="false">+Chạy!G3</f>
        <v>-0.92</v>
      </c>
      <c r="H22" s="17" t="n">
        <f aca="false">G22+I22</f>
        <v>-0.832</v>
      </c>
      <c r="I22" s="17" t="n">
        <f aca="false">RANDBETWEEN(-30,90)/1000</f>
        <v>0.088</v>
      </c>
      <c r="J22" s="17" t="n">
        <f aca="false">+Chạy!K3</f>
        <v>-0.92</v>
      </c>
      <c r="K22" s="17" t="n">
        <f aca="false">J22+L22</f>
        <v>-0.832</v>
      </c>
      <c r="L22" s="17" t="n">
        <f aca="false">RANDBETWEEN(-30,90)/1000</f>
        <v>0.088</v>
      </c>
      <c r="M22" s="17" t="n">
        <f aca="false">+Chạy!N3</f>
        <v>16.24</v>
      </c>
      <c r="N22" s="17" t="n">
        <f aca="false">+M22+O22</f>
        <v>16.2494</v>
      </c>
      <c r="O22" s="17" t="n">
        <f aca="false">RANDBETWEEN(-105,115)/10000</f>
        <v>0.0094</v>
      </c>
      <c r="P22" s="17" t="n">
        <f aca="false">+Chạy!O3</f>
        <v>-0.92</v>
      </c>
      <c r="Q22" s="17" t="n">
        <f aca="false">P22+R22</f>
        <v>-0.893</v>
      </c>
      <c r="R22" s="17" t="n">
        <f aca="false">RANDBETWEEN(-30,90)/1000</f>
        <v>0.027</v>
      </c>
      <c r="S22" s="18"/>
      <c r="T22" s="0" t="n">
        <v>17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689.28</v>
      </c>
      <c r="D23" s="17" t="n">
        <f aca="false">+Chạy!F7</f>
        <v>-8.74</v>
      </c>
      <c r="E23" s="17" t="n">
        <f aca="false">+D23+F23</f>
        <v>-8.7447</v>
      </c>
      <c r="F23" s="17" t="n">
        <f aca="false">RANDBETWEEN(-105,115)/10000</f>
        <v>-0.0047</v>
      </c>
      <c r="G23" s="17" t="n">
        <f aca="false">+Chạy!G7</f>
        <v>-0.92</v>
      </c>
      <c r="H23" s="17" t="n">
        <f aca="false">G23+I23</f>
        <v>-0.928</v>
      </c>
      <c r="I23" s="17" t="n">
        <f aca="false">RANDBETWEEN(-30,90)/1000</f>
        <v>-0.008</v>
      </c>
      <c r="J23" s="17" t="n">
        <f aca="false">+Chạy!K7</f>
        <v>-0.92</v>
      </c>
      <c r="K23" s="17" t="n">
        <f aca="false">J23+L23</f>
        <v>-0.946</v>
      </c>
      <c r="L23" s="17" t="n">
        <f aca="false">RANDBETWEEN(-30,90)/1000</f>
        <v>-0.026</v>
      </c>
      <c r="M23" s="17" t="n">
        <f aca="false">+Chạy!N7</f>
        <v>7.98</v>
      </c>
      <c r="N23" s="17" t="n">
        <f aca="false">+M23+O23</f>
        <v>7.9902</v>
      </c>
      <c r="O23" s="17" t="n">
        <f aca="false">RANDBETWEEN(-105,115)/10000</f>
        <v>0.0102</v>
      </c>
      <c r="P23" s="17" t="n">
        <f aca="false">+Chạy!O7</f>
        <v>-0.92</v>
      </c>
      <c r="Q23" s="17" t="n">
        <f aca="false">P23+R23</f>
        <v>-0.939</v>
      </c>
      <c r="R23" s="17" t="n">
        <f aca="false">RANDBETWEEN(-30,90)/1000</f>
        <v>-0.019</v>
      </c>
      <c r="S23" s="18"/>
      <c r="T23" s="0" t="n">
        <v>11.75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701.03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8"/>
      <c r="T24" s="0" t="n">
        <v>11.75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712.78</v>
      </c>
      <c r="D25" s="17" t="n">
        <f aca="false">+Chạy!F15</f>
        <v>-8.88</v>
      </c>
      <c r="E25" s="17" t="n">
        <f aca="false">+D25+F25</f>
        <v>-8.8886</v>
      </c>
      <c r="F25" s="17" t="n">
        <f aca="false">RANDBETWEEN(-105,115)/10000</f>
        <v>-0.0086</v>
      </c>
      <c r="G25" s="17" t="n">
        <f aca="false">+Chạy!G15</f>
        <v>-0.92</v>
      </c>
      <c r="H25" s="17" t="n">
        <f aca="false">G25+I25</f>
        <v>-0.89</v>
      </c>
      <c r="I25" s="17" t="n">
        <f aca="false">RANDBETWEEN(-30,90)/1000</f>
        <v>0.03</v>
      </c>
      <c r="J25" s="17" t="n">
        <f aca="false">+Chạy!K15</f>
        <v>-0.92</v>
      </c>
      <c r="K25" s="17" t="n">
        <f aca="false">J25+L25</f>
        <v>-0.883</v>
      </c>
      <c r="L25" s="17" t="n">
        <f aca="false">RANDBETWEEN(-30,90)/1000</f>
        <v>0.037</v>
      </c>
      <c r="M25" s="17" t="n">
        <f aca="false">+Chạy!N15</f>
        <v>7.84</v>
      </c>
      <c r="N25" s="17" t="n">
        <f aca="false">+M25+O25</f>
        <v>7.8313</v>
      </c>
      <c r="O25" s="17" t="n">
        <f aca="false">RANDBETWEEN(-105,115)/10000</f>
        <v>-0.0087</v>
      </c>
      <c r="P25" s="17" t="n">
        <f aca="false">+Chạy!O15</f>
        <v>-0.92</v>
      </c>
      <c r="Q25" s="17" t="n">
        <f aca="false">P25+R25</f>
        <v>-0.874</v>
      </c>
      <c r="R25" s="17" t="n">
        <f aca="false">RANDBETWEEN(-30,90)/1000</f>
        <v>0.046</v>
      </c>
      <c r="S25" s="18"/>
      <c r="T25" s="0" t="n">
        <v>17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729.78</v>
      </c>
      <c r="D26" s="17" t="n">
        <f aca="false">+Chạy!F19</f>
        <v>-5.95</v>
      </c>
      <c r="E26" s="17" t="n">
        <f aca="false">+D26+F26</f>
        <v>-5.9559</v>
      </c>
      <c r="F26" s="17" t="n">
        <f aca="false">RANDBETWEEN(-105,115)/10000</f>
        <v>-0.0059</v>
      </c>
      <c r="G26" s="17" t="n">
        <f aca="false">+Chạy!G19</f>
        <v>-0.92</v>
      </c>
      <c r="H26" s="17" t="n">
        <f aca="false">G26+I26</f>
        <v>-0.847</v>
      </c>
      <c r="I26" s="17" t="n">
        <f aca="false">RANDBETWEEN(-30,90)/1000</f>
        <v>0.073</v>
      </c>
      <c r="J26" s="17" t="n">
        <f aca="false">+Chạy!K19</f>
        <v>-0.92</v>
      </c>
      <c r="K26" s="17" t="n">
        <f aca="false">J26+L26</f>
        <v>-0.84</v>
      </c>
      <c r="L26" s="17" t="n">
        <f aca="false">RANDBETWEEN(-30,90)/1000</f>
        <v>0.08</v>
      </c>
      <c r="M26" s="17" t="n">
        <f aca="false">+Chạy!N19</f>
        <v>5.95</v>
      </c>
      <c r="N26" s="17" t="n">
        <f aca="false">+M26+O26</f>
        <v>5.9602</v>
      </c>
      <c r="O26" s="17" t="n">
        <f aca="false">RANDBETWEEN(-105,115)/10000</f>
        <v>0.0102</v>
      </c>
      <c r="P26" s="17" t="n">
        <f aca="false">+Chạy!O19</f>
        <v>-0.92</v>
      </c>
      <c r="Q26" s="17" t="n">
        <f aca="false">P26+R26</f>
        <v>-0.854</v>
      </c>
      <c r="R26" s="17" t="n">
        <f aca="false">RANDBETWEEN(-30,90)/1000</f>
        <v>0.066</v>
      </c>
      <c r="S26" s="18"/>
      <c r="T26" s="0" t="n">
        <v>17.04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746.82</v>
      </c>
      <c r="D27" s="17" t="n">
        <f aca="false">+Chạy!F23</f>
        <v>-6.39</v>
      </c>
      <c r="E27" s="17" t="n">
        <f aca="false">+D27+F27</f>
        <v>-6.3809</v>
      </c>
      <c r="F27" s="17" t="n">
        <f aca="false">RANDBETWEEN(-105,115)/10000</f>
        <v>0.0091</v>
      </c>
      <c r="G27" s="17" t="n">
        <f aca="false">+Chạy!G23</f>
        <v>-0.92</v>
      </c>
      <c r="H27" s="17" t="n">
        <f aca="false">G27+I27</f>
        <v>-0.865</v>
      </c>
      <c r="I27" s="17" t="n">
        <f aca="false">RANDBETWEEN(-30,90)/1000</f>
        <v>0.055</v>
      </c>
      <c r="J27" s="17" t="n">
        <f aca="false">+Chạy!K23</f>
        <v>-0.92</v>
      </c>
      <c r="K27" s="17" t="n">
        <f aca="false">J27+L27</f>
        <v>-0.866</v>
      </c>
      <c r="L27" s="17" t="n">
        <f aca="false">RANDBETWEEN(-30,90)/1000</f>
        <v>0.054</v>
      </c>
      <c r="M27" s="17" t="n">
        <f aca="false">+Chạy!N23</f>
        <v>7.55</v>
      </c>
      <c r="N27" s="17" t="n">
        <f aca="false">+M27+O27</f>
        <v>7.5589</v>
      </c>
      <c r="O27" s="17" t="n">
        <f aca="false">RANDBETWEEN(-105,115)/10000</f>
        <v>0.0089</v>
      </c>
      <c r="P27" s="17" t="n">
        <f aca="false">+Chạy!O23</f>
        <v>-0.92</v>
      </c>
      <c r="Q27" s="17" t="n">
        <f aca="false">P27+R27</f>
        <v>-0.853</v>
      </c>
      <c r="R27" s="17" t="n">
        <f aca="false">RANDBETWEEN(-30,90)/1000</f>
        <v>0.067</v>
      </c>
      <c r="S27" s="18"/>
    </row>
    <row r="28" customFormat="false" ht="15" hidden="true" customHeight="false" outlineLevel="0" collapsed="false">
      <c r="A28" s="14"/>
      <c r="B28" s="14"/>
      <c r="C28" s="71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45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46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47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48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62.NĐXD4/CVXD ngày 15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62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XD4'!$A$2:$B$60,2,0)</f>
        <v xml:space="preserve">Đắp cát nền đường lớp 3 đoạn từ Km0+672,28 - Km0+746,82,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38</v>
      </c>
      <c r="C11" s="16" t="n">
        <f aca="false">'3.KTHH L3'!C22</f>
        <v>672.28</v>
      </c>
      <c r="D11" s="14" t="n">
        <f aca="false">'3.KTHH L3'!T22</f>
        <v>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7.74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107.695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39</v>
      </c>
      <c r="C12" s="16" t="n">
        <f aca="false">'3.KTHH L3'!C23</f>
        <v>689.28</v>
      </c>
      <c r="D12" s="14" t="n">
        <f aca="false">'3.KTHH L3'!T23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4.93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28.96375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F2</v>
      </c>
      <c r="C13" s="16" t="n">
        <f aca="false">'3.KTHH L3'!C24</f>
        <v>701.03</v>
      </c>
      <c r="D13" s="14" t="n">
        <f aca="false">'3.KTHH L3'!T24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/>
      <c r="P13" s="47"/>
      <c r="Q13" s="47"/>
      <c r="R13" s="50"/>
      <c r="S13" s="50"/>
      <c r="T13" s="50"/>
      <c r="U13" s="50"/>
      <c r="V13" s="50"/>
      <c r="W13" s="50" t="n">
        <f aca="false">(O13+O14)*D13/2</f>
        <v>28.905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40</v>
      </c>
      <c r="C14" s="16" t="n">
        <f aca="false">'3.KTHH L3'!C25</f>
        <v>712.78</v>
      </c>
      <c r="D14" s="14" t="n">
        <f aca="false">'3.KTHH L3'!T25</f>
        <v>17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4.92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71.4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41</v>
      </c>
      <c r="C15" s="16" t="n">
        <f aca="false">'3.KTHH L3'!C26</f>
        <v>729.78</v>
      </c>
      <c r="D15" s="14" t="n">
        <f aca="false">'3.KTHH L3'!T26</f>
        <v>17.04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3.48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64.4964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42</v>
      </c>
      <c r="C16" s="16" t="n">
        <f aca="false">'3.KTHH L3'!C27</f>
        <v>746.82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4.09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56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SUM(W11:W16)</f>
        <v>301.46015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45</v>
      </c>
      <c r="B38" s="20"/>
      <c r="C38" s="20"/>
      <c r="D38" s="65" t="s">
        <v>57</v>
      </c>
      <c r="E38" s="20" t="s">
        <v>46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47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48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XD4'!$A$2:$G$60,7,0)&amp;VLOOKUP(AZ2,'[1]Tuyến XD4'!$A$2:$G$60,4,0)</f>
        <v xml:space="preserve">Kèm theo BBNT số: 63.NĐXD4/CVXD ngày 16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63</v>
      </c>
    </row>
    <row r="3" customFormat="false" ht="18.75" hidden="false" customHeight="true" outlineLevel="0" collapsed="false">
      <c r="A3" s="8" t="s">
        <v>25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26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27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28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29</v>
      </c>
      <c r="C7" s="8"/>
      <c r="D7" s="8"/>
      <c r="E7" s="8"/>
      <c r="F7" s="8"/>
      <c r="G7" s="8" t="str">
        <f>VLOOKUP(AZ2,'[1]Tuyến XD4'!$A$2:$B$60,2,0)</f>
        <v xml:space="preserve">Đắp cát nền đường lớp 4 đoạn từ Km0+672,28 - Km0+746,82,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31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32</v>
      </c>
      <c r="B21" s="10" t="s">
        <v>33</v>
      </c>
      <c r="C21" s="10" t="s">
        <v>34</v>
      </c>
      <c r="D21" s="11" t="s">
        <v>35</v>
      </c>
      <c r="E21" s="11"/>
      <c r="F21" s="11"/>
      <c r="G21" s="11"/>
      <c r="H21" s="11"/>
      <c r="I21" s="11"/>
      <c r="J21" s="11" t="s">
        <v>36</v>
      </c>
      <c r="K21" s="11"/>
      <c r="L21" s="11"/>
      <c r="M21" s="11" t="s">
        <v>37</v>
      </c>
      <c r="N21" s="11"/>
      <c r="O21" s="11"/>
      <c r="P21" s="11"/>
      <c r="Q21" s="11"/>
      <c r="R21" s="11"/>
      <c r="S21" s="10" t="s">
        <v>38</v>
      </c>
    </row>
    <row r="22" customFormat="false" ht="30" hidden="false" customHeight="true" outlineLevel="0" collapsed="false">
      <c r="A22" s="10"/>
      <c r="B22" s="10"/>
      <c r="C22" s="10"/>
      <c r="D22" s="12" t="s">
        <v>39</v>
      </c>
      <c r="E22" s="12" t="s">
        <v>40</v>
      </c>
      <c r="F22" s="12" t="s">
        <v>41</v>
      </c>
      <c r="G22" s="12" t="s">
        <v>42</v>
      </c>
      <c r="H22" s="12" t="s">
        <v>43</v>
      </c>
      <c r="I22" s="12" t="s">
        <v>44</v>
      </c>
      <c r="J22" s="12" t="s">
        <v>42</v>
      </c>
      <c r="K22" s="12" t="s">
        <v>43</v>
      </c>
      <c r="L22" s="12" t="s">
        <v>44</v>
      </c>
      <c r="M22" s="12" t="s">
        <v>39</v>
      </c>
      <c r="N22" s="12" t="s">
        <v>40</v>
      </c>
      <c r="O22" s="12" t="s">
        <v>41</v>
      </c>
      <c r="P22" s="12" t="s">
        <v>42</v>
      </c>
      <c r="Q22" s="12" t="s">
        <v>43</v>
      </c>
      <c r="R22" s="12" t="s">
        <v>44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672.28</v>
      </c>
      <c r="D23" s="17" t="n">
        <f aca="false">+Chạy!F2</f>
        <v>-9.78</v>
      </c>
      <c r="E23" s="17" t="n">
        <f aca="false">+D23+F23</f>
        <v>-9.775</v>
      </c>
      <c r="F23" s="17" t="n">
        <f aca="false">RANDBETWEEN(-105,115)/10000</f>
        <v>0.005</v>
      </c>
      <c r="G23" s="17" t="n">
        <f aca="false">+Chạy!G2</f>
        <v>-0.62</v>
      </c>
      <c r="H23" s="17" t="n">
        <f aca="false">G23+I23</f>
        <v>-0.607</v>
      </c>
      <c r="I23" s="17" t="n">
        <f aca="false">RANDBETWEEN(-30,90)/1000</f>
        <v>0.013</v>
      </c>
      <c r="J23" s="17" t="n">
        <f aca="false">+Chạy!K2</f>
        <v>-0.62</v>
      </c>
      <c r="K23" s="17" t="n">
        <f aca="false">J23+L23</f>
        <v>-0.531</v>
      </c>
      <c r="L23" s="17" t="n">
        <f aca="false">RANDBETWEEN(-30,90)/1000</f>
        <v>0.089</v>
      </c>
      <c r="M23" s="17" t="n">
        <f aca="false">+Chạy!N2</f>
        <v>15.79</v>
      </c>
      <c r="N23" s="17" t="n">
        <f aca="false">+M23+O23</f>
        <v>15.7816</v>
      </c>
      <c r="O23" s="17" t="n">
        <f aca="false">RANDBETWEEN(-105,115)/10000</f>
        <v>-0.0084</v>
      </c>
      <c r="P23" s="17" t="n">
        <f aca="false">+Chạy!O2</f>
        <v>-0.62</v>
      </c>
      <c r="Q23" s="17" t="n">
        <f aca="false">P23+R23</f>
        <v>-0.639</v>
      </c>
      <c r="R23" s="17" t="n">
        <f aca="false">RANDBETWEEN(-30,90)/1000</f>
        <v>-0.019</v>
      </c>
      <c r="S23" s="18"/>
      <c r="T23" s="0" t="n">
        <v>17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689.28</v>
      </c>
      <c r="D24" s="17" t="n">
        <f aca="false">+Chạy!F6</f>
        <v>-9.04</v>
      </c>
      <c r="E24" s="17" t="n">
        <f aca="false">+D24+F24</f>
        <v>-9.0389</v>
      </c>
      <c r="F24" s="17" t="n">
        <f aca="false">RANDBETWEEN(-105,115)/10000</f>
        <v>0.0011</v>
      </c>
      <c r="G24" s="17" t="n">
        <f aca="false">+Chạy!G6</f>
        <v>-0.62</v>
      </c>
      <c r="H24" s="17" t="n">
        <f aca="false">G24+I24</f>
        <v>-0.62</v>
      </c>
      <c r="I24" s="17" t="n">
        <f aca="false">RANDBETWEEN(-30,90)/1000</f>
        <v>0</v>
      </c>
      <c r="J24" s="17" t="n">
        <f aca="false">+Chạy!K6</f>
        <v>-0.62</v>
      </c>
      <c r="K24" s="17" t="n">
        <f aca="false">J24+L24</f>
        <v>-0.557</v>
      </c>
      <c r="L24" s="17" t="n">
        <f aca="false">RANDBETWEEN(-30,90)/1000</f>
        <v>0.063</v>
      </c>
      <c r="M24" s="17" t="n">
        <f aca="false">+Chạy!N6</f>
        <v>8.28</v>
      </c>
      <c r="N24" s="17" t="n">
        <f aca="false">+M24+O24</f>
        <v>8.2881</v>
      </c>
      <c r="O24" s="17" t="n">
        <f aca="false">RANDBETWEEN(-105,115)/10000</f>
        <v>0.0081</v>
      </c>
      <c r="P24" s="17" t="n">
        <f aca="false">+Chạy!O6</f>
        <v>-0.62</v>
      </c>
      <c r="Q24" s="17" t="n">
        <f aca="false">P24+R24</f>
        <v>-0.549</v>
      </c>
      <c r="R24" s="17" t="n">
        <f aca="false">RANDBETWEEN(-30,90)/1000</f>
        <v>0.071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701.03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8"/>
      <c r="T25" s="0" t="n">
        <v>11.75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712.78</v>
      </c>
      <c r="D26" s="17" t="n">
        <f aca="false">+Chạy!F14</f>
        <v>-9.18</v>
      </c>
      <c r="E26" s="17" t="n">
        <f aca="false">+D26+F26</f>
        <v>-9.1697</v>
      </c>
      <c r="F26" s="17" t="n">
        <f aca="false">RANDBETWEEN(-105,115)/10000</f>
        <v>0.0103</v>
      </c>
      <c r="G26" s="17" t="n">
        <f aca="false">+Chạy!G14</f>
        <v>-0.62</v>
      </c>
      <c r="H26" s="17" t="n">
        <f aca="false">G26+I26</f>
        <v>-0.606</v>
      </c>
      <c r="I26" s="17" t="n">
        <f aca="false">RANDBETWEEN(-30,90)/1000</f>
        <v>0.014</v>
      </c>
      <c r="J26" s="17" t="n">
        <f aca="false">+Chạy!K14</f>
        <v>-0.62</v>
      </c>
      <c r="K26" s="17" t="n">
        <f aca="false">J26+L26</f>
        <v>-0.603</v>
      </c>
      <c r="L26" s="17" t="n">
        <f aca="false">RANDBETWEEN(-30,90)/1000</f>
        <v>0.017</v>
      </c>
      <c r="M26" s="17" t="n">
        <f aca="false">+Chạy!N14</f>
        <v>8.14</v>
      </c>
      <c r="N26" s="17" t="n">
        <f aca="false">+M26+O26</f>
        <v>8.1439</v>
      </c>
      <c r="O26" s="17" t="n">
        <f aca="false">RANDBETWEEN(-105,115)/10000</f>
        <v>0.0039</v>
      </c>
      <c r="P26" s="17" t="n">
        <f aca="false">+Chạy!O14</f>
        <v>-0.62</v>
      </c>
      <c r="Q26" s="17" t="n">
        <f aca="false">P26+R26</f>
        <v>-0.632</v>
      </c>
      <c r="R26" s="17" t="n">
        <f aca="false">RANDBETWEEN(-30,90)/1000</f>
        <v>-0.012</v>
      </c>
      <c r="S26" s="18"/>
      <c r="T26" s="0" t="n">
        <v>17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729.78</v>
      </c>
      <c r="D27" s="17" t="n">
        <f aca="false">+Chạy!F18</f>
        <v>-6.25</v>
      </c>
      <c r="E27" s="17" t="n">
        <f aca="false">+D27+F27</f>
        <v>-6.2565</v>
      </c>
      <c r="F27" s="17" t="n">
        <f aca="false">RANDBETWEEN(-105,115)/10000</f>
        <v>-0.0065</v>
      </c>
      <c r="G27" s="17" t="n">
        <f aca="false">+Chạy!G18</f>
        <v>-0.62</v>
      </c>
      <c r="H27" s="17" t="n">
        <f aca="false">G27+I27</f>
        <v>-0.617</v>
      </c>
      <c r="I27" s="17" t="n">
        <f aca="false">RANDBETWEEN(-30,90)/1000</f>
        <v>0.003</v>
      </c>
      <c r="J27" s="17" t="n">
        <f aca="false">+Chạy!K18</f>
        <v>-0.62</v>
      </c>
      <c r="K27" s="17" t="n">
        <f aca="false">J27+L27</f>
        <v>-0.58</v>
      </c>
      <c r="L27" s="17" t="n">
        <f aca="false">RANDBETWEEN(-30,90)/1000</f>
        <v>0.04</v>
      </c>
      <c r="M27" s="17" t="n">
        <f aca="false">+Chạy!N18</f>
        <v>6.25</v>
      </c>
      <c r="N27" s="17" t="n">
        <f aca="false">+M27+O27</f>
        <v>6.2554</v>
      </c>
      <c r="O27" s="17" t="n">
        <f aca="false">RANDBETWEEN(-105,115)/10000</f>
        <v>0.0054</v>
      </c>
      <c r="P27" s="17" t="n">
        <f aca="false">+Chạy!O18</f>
        <v>-0.62</v>
      </c>
      <c r="Q27" s="17" t="n">
        <f aca="false">P27+R27</f>
        <v>-0.633</v>
      </c>
      <c r="R27" s="17" t="n">
        <f aca="false">RANDBETWEEN(-30,90)/1000</f>
        <v>-0.013</v>
      </c>
      <c r="S27" s="18"/>
      <c r="T27" s="0" t="n">
        <v>17.04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746.82</v>
      </c>
      <c r="D28" s="17" t="n">
        <f aca="false">+Chạy!F22</f>
        <v>-6.69</v>
      </c>
      <c r="E28" s="17" t="n">
        <f aca="false">+D28+F28</f>
        <v>-6.6962</v>
      </c>
      <c r="F28" s="17" t="n">
        <f aca="false">RANDBETWEEN(-105,115)/10000</f>
        <v>-0.0062</v>
      </c>
      <c r="G28" s="17" t="n">
        <f aca="false">+Chạy!G22</f>
        <v>-0.62</v>
      </c>
      <c r="H28" s="17" t="n">
        <f aca="false">G28+I28</f>
        <v>-0.556</v>
      </c>
      <c r="I28" s="17" t="n">
        <f aca="false">RANDBETWEEN(-30,90)/1000</f>
        <v>0.064</v>
      </c>
      <c r="J28" s="17" t="n">
        <f aca="false">+Chạy!K22</f>
        <v>-0.62</v>
      </c>
      <c r="K28" s="17" t="n">
        <f aca="false">J28+L28</f>
        <v>-0.595</v>
      </c>
      <c r="L28" s="17" t="n">
        <f aca="false">RANDBETWEEN(-30,90)/1000</f>
        <v>0.025</v>
      </c>
      <c r="M28" s="17" t="n">
        <f aca="false">+Chạy!N22</f>
        <v>7.85</v>
      </c>
      <c r="N28" s="17" t="n">
        <f aca="false">+M28+O28</f>
        <v>7.8541</v>
      </c>
      <c r="O28" s="17" t="n">
        <f aca="false">RANDBETWEEN(-105,115)/10000</f>
        <v>0.0041</v>
      </c>
      <c r="P28" s="17" t="n">
        <f aca="false">+Chạy!O22</f>
        <v>-0.62</v>
      </c>
      <c r="Q28" s="17" t="n">
        <f aca="false">P28+R28</f>
        <v>-0.557</v>
      </c>
      <c r="R28" s="17" t="n">
        <f aca="false">RANDBETWEEN(-30,90)/1000</f>
        <v>0.063</v>
      </c>
      <c r="S28" s="18"/>
    </row>
    <row r="29" customFormat="false" ht="15" hidden="true" customHeight="false" outlineLevel="0" collapsed="false">
      <c r="A29" s="14"/>
      <c r="B29" s="14"/>
      <c r="C29" s="71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45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46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47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48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49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XD4'!$A$2:$G$60,7,0)&amp;VLOOKUP(AZ2,'[1]Tuyến XD4'!$A$2:$G$60,4,0)</f>
        <v xml:space="preserve">Kèm theo BBNT số: 63.NĐXD4/CVXD ngày 16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63</v>
      </c>
    </row>
    <row r="3" s="30" customFormat="true" ht="37.5" hidden="false" customHeight="true" outlineLevel="0" collapsed="false">
      <c r="A3" s="28" t="s">
        <v>25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26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27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28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29</v>
      </c>
      <c r="B7" s="32"/>
      <c r="D7" s="33" t="str">
        <f>VLOOKUP(AZ2,'[1]Tuyến XD4'!$A$2:$B$60,2,0)</f>
        <v xml:space="preserve">Đắp cát nền đường lớp 4 đoạn từ Km0+672,28 - Km0+746,82,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33</v>
      </c>
      <c r="C9" s="35" t="s">
        <v>34</v>
      </c>
      <c r="D9" s="36" t="s">
        <v>50</v>
      </c>
      <c r="E9" s="37"/>
      <c r="F9" s="37"/>
      <c r="G9" s="36"/>
      <c r="H9" s="37"/>
      <c r="I9" s="37"/>
      <c r="J9" s="37"/>
      <c r="K9" s="37"/>
      <c r="L9" s="37"/>
      <c r="M9" s="38" t="s">
        <v>51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38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52</v>
      </c>
      <c r="O10" s="38" t="s">
        <v>53</v>
      </c>
      <c r="P10" s="38" t="s">
        <v>52</v>
      </c>
      <c r="Q10" s="38" t="s">
        <v>52</v>
      </c>
      <c r="R10" s="38"/>
      <c r="S10" s="38"/>
      <c r="T10" s="38"/>
      <c r="U10" s="38" t="s">
        <v>54</v>
      </c>
      <c r="V10" s="38" t="s">
        <v>54</v>
      </c>
      <c r="W10" s="38" t="s">
        <v>55</v>
      </c>
      <c r="X10" s="38" t="s">
        <v>54</v>
      </c>
      <c r="Y10" s="38" t="s">
        <v>54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38</v>
      </c>
      <c r="C11" s="16" t="n">
        <f aca="false">'4.KTHH L4'!C23</f>
        <v>672.28</v>
      </c>
      <c r="D11" s="14" t="n">
        <f aca="false">'4.KTHH L4'!T23</f>
        <v>17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7.69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108.8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39</v>
      </c>
      <c r="C12" s="16" t="n">
        <f aca="false">'4.KTHH L4'!C24</f>
        <v>689.28</v>
      </c>
      <c r="D12" s="14" t="n">
        <f aca="false">'4.KTHH L4'!T24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5.11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30.02125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F2</v>
      </c>
      <c r="C13" s="16" t="n">
        <f aca="false">'4.KTHH L4'!C25</f>
        <v>701.03</v>
      </c>
      <c r="D13" s="14" t="n">
        <f aca="false">'4.KTHH L4'!T25</f>
        <v>11.75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/>
      <c r="P13" s="47"/>
      <c r="Q13" s="47"/>
      <c r="R13" s="50"/>
      <c r="S13" s="50"/>
      <c r="T13" s="50"/>
      <c r="U13" s="50"/>
      <c r="V13" s="50"/>
      <c r="W13" s="50" t="n">
        <f aca="false">(O13+O14)*D13/2</f>
        <v>29.9625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40</v>
      </c>
      <c r="C14" s="16" t="n">
        <f aca="false">'4.KTHH L4'!C26</f>
        <v>712.78</v>
      </c>
      <c r="D14" s="14" t="n">
        <f aca="false">'4.KTHH L4'!T26</f>
        <v>17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5.1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74.46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41</v>
      </c>
      <c r="C15" s="16" t="n">
        <f aca="false">'4.KTHH L4'!C27</f>
        <v>729.78</v>
      </c>
      <c r="D15" s="14" t="n">
        <f aca="false">'4.KTHH L4'!T27</f>
        <v>17.04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3.66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67.5636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42</v>
      </c>
      <c r="C16" s="16" t="n">
        <f aca="false">'4.KTHH L4'!C28</f>
        <v>746.82</v>
      </c>
      <c r="D16" s="14"/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4.27</v>
      </c>
      <c r="P16" s="47"/>
      <c r="Q16" s="47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1"/>
      <c r="AC16" s="50"/>
      <c r="AE16" s="52"/>
    </row>
    <row r="17" s="45" customFormat="true" ht="15" hidden="true" customHeight="true" outlineLevel="0" collapsed="false">
      <c r="A17" s="14"/>
      <c r="B17" s="14"/>
      <c r="C17" s="16"/>
      <c r="D17" s="14"/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/>
      <c r="P17" s="47"/>
      <c r="Q17" s="47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1"/>
      <c r="AC17" s="50"/>
      <c r="AE17" s="52"/>
    </row>
    <row r="18" s="45" customFormat="true" ht="15" hidden="true" customHeight="true" outlineLevel="0" collapsed="false">
      <c r="A18" s="14"/>
      <c r="B18" s="14"/>
      <c r="C18" s="16"/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/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56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SUM(W11:W16)</f>
        <v>310.80735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45</v>
      </c>
      <c r="B38" s="20"/>
      <c r="C38" s="20"/>
      <c r="D38" s="65" t="s">
        <v>57</v>
      </c>
      <c r="E38" s="20" t="s">
        <v>46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47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48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2026-10-13T10:12:56Z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