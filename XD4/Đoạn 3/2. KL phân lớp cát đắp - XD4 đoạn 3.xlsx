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hạy" sheetId="1" state="visible" r:id="rId3"/>
    <sheet name="1.KTHH L1" sheetId="2" state="visible" r:id="rId4"/>
    <sheet name="1.KL lớp 1" sheetId="3" state="visible" r:id="rId5"/>
    <sheet name="2.KTHH L2" sheetId="4" state="visible" r:id="rId6"/>
    <sheet name="2.KL lớp 2" sheetId="5" state="visible" r:id="rId7"/>
    <sheet name="3.KTHH L3" sheetId="6" state="visible" r:id="rId8"/>
    <sheet name="3.KL lớp 3" sheetId="7" state="visible" r:id="rId9"/>
    <sheet name="4.KTHH L4" sheetId="8" state="visible" r:id="rId10"/>
    <sheet name="4.KL lớp 4" sheetId="9" state="visible" r:id="rId11"/>
  </sheets>
  <externalReferences>
    <externalReference r:id="rIdExt1"/>
  </externalReferences>
  <definedNames>
    <definedName function="false" hidden="false" localSheetId="2" name="_xlnm.Print_Area" vbProcedure="false">'1.KL lớp 1'!$A$1:$AB$60</definedName>
    <definedName function="false" hidden="false" localSheetId="1" name="_xlnm.Print_Area" vbProcedure="false">'1.KTHH L1'!$A$1:$S$71</definedName>
    <definedName function="false" hidden="false" localSheetId="1" name="_xlnm.Print_Titles" vbProcedure="false">'1.KTHH L1'!$21:$22</definedName>
    <definedName function="false" hidden="false" localSheetId="4" name="_xlnm.Print_Area" vbProcedure="false">'2.KL lớp 2'!$A$1:$AB$60</definedName>
    <definedName function="false" hidden="false" localSheetId="3" name="_xlnm.Print_Area" vbProcedure="false">'2.KTHH L2'!$A$1:$S$71</definedName>
    <definedName function="false" hidden="false" localSheetId="3" name="_xlnm.Print_Titles" vbProcedure="false">'2.KTHH L2'!$21:$22</definedName>
    <definedName function="false" hidden="false" localSheetId="6" name="_xlnm.Print_Area" vbProcedure="false">'3.KL lớp 3'!$A$1:$AB$45</definedName>
    <definedName function="false" hidden="false" localSheetId="5" name="_xlnm.Print_Area" vbProcedure="false">'3.KTHH L3'!$A$1:$S$55</definedName>
    <definedName function="false" hidden="false" localSheetId="5" name="_xlnm.Print_Titles" vbProcedure="false">'3.KTHH L3'!$20:$21</definedName>
    <definedName function="false" hidden="false" localSheetId="8" name="_xlnm.Print_Area" vbProcedure="false">'4.KL lớp 4'!$A$1:$AB$45</definedName>
    <definedName function="false" hidden="false" localSheetId="7" name="_xlnm.Print_Area" vbProcedure="false">'4.KTHH L4'!$A$1:$S$56</definedName>
    <definedName function="false" hidden="false" localSheetId="7" name="_xlnm.Print_Titles" vbProcedure="false">'4.KTHH L4'!$21:$22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<sst xmlns="http://schemas.openxmlformats.org/spreadsheetml/2006/main" count="303" uniqueCount="64">
  <si>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</si>
  <si>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</si>
  <si>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</si>
  <si>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</si>
  <si>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</si>
  <si>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</si>
  <si>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</si>
  <si>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</si>
  <si>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</si>
  <si>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</si>
  <si>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</si>
  <si>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</si>
  <si>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</si>
  <si>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</si>
  <si>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</si>
  <si>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</si>
  <si>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</si>
  <si>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38</t>
  </si>
  <si>
    <t xml:space="preserve">39</t>
  </si>
  <si>
    <t xml:space="preserve">F2</t>
  </si>
  <si>
    <t xml:space="preserve">40</t>
  </si>
  <si>
    <t xml:space="preserve">41</t>
  </si>
  <si>
    <t xml:space="preserve">42</t>
  </si>
  <si>
    <t xml:space="preserve">PHỤ LỤC KIỂM TRA CAO ĐỘ, KÍCH THƯỚC HÌNH HỌC ĐẮP CÁT</t>
  </si>
  <si>
    <t xml:space="preserve">Kèm theo BBNT số: 60.NĐXD4/CVXD ngày 14 tháng 09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</si>
  <si>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</si>
  <si>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</si>
  <si>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</si>
  <si>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XD4</t>
  </si>
  <si>
    <t xml:space="preserve">- Đối tượng nghiệm thu:</t>
  </si>
  <si>
    <t xml:space="preserve">Đắp cát nền đường lớp 1 đoạn từ Km0+672,28 - Km0+746,82, độ chặt K&gt;=0,95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</si>
  <si>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</si>
  <si>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</si>
  <si>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</si>
  <si>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</si>
  <si>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</si>
  <si>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</si>
  <si>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</si>
  <si>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</si>
  <si>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</si>
  <si>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</si>
  <si>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</si>
  <si>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</si>
  <si>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</si>
  <si>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</si>
  <si>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</si>
  <si>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</si>
  <si>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</si>
  <si>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</si>
  <si>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</si>
  <si>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K/c lẻ</t>
  </si>
  <si>
    <t xml:space="preserve">Khối lượng đắp cát</t>
  </si>
  <si>
    <t xml:space="preserve">Diện tích</t>
  </si>
  <si>
    <t xml:space="preserve">Diện tích
 (m2)</t>
  </si>
  <si>
    <t xml:space="preserve">Khối lượng</t>
  </si>
  <si>
    <t xml:space="preserve">Khối lượng (m3)</t>
  </si>
  <si>
    <t xml:space="preserve">Tổng cộng (m3)</t>
  </si>
  <si>
    <t xml:space="preserve">                 </t>
  </si>
  <si>
    <t xml:space="preserve">Kèm theo BBNT số: 61.NĐXD4/CVXD ngày 15 tháng 09 năm 2026</t>
  </si>
  <si>
    <t xml:space="preserve">Đắp cát nền đường lớp 2 đoạn từ Km0+672,28 - Km0+746,82, độ chặt K&gt;=0,95</t>
  </si>
  <si>
    <t xml:space="preserve">Kèm theo BBNT số: 62.NĐXD4/CVXD ngày 15 tháng 09 năm 2026</t>
  </si>
  <si>
    <t xml:space="preserve">Đắp cát nền đường lớp 3 đoạn từ Km0+672,28 - Km0+746,82, độ chặt K&gt;=0,95</t>
  </si>
  <si>
    <t xml:space="preserve">Kèm theo BBNT số: 63.NĐXD4/CVXD ngày 16 tháng 09 năm 2026</t>
  </si>
  <si>
    <t xml:space="preserve">Đắp cát nền đường lớp 4 đoạn từ Km0+672,28 - Km0+746,82, độ chặt K&gt;=0,95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</si>
</sst>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0.00_);\(0.00\)"/>
    <numFmt numFmtId="171" formatCode="_-* #,##0.00\ _₫_-;\-* #,##0.00\ _₫_-;_-* \-??\ _₫_-;_-@_-"/>
    <numFmt numFmtId="172" formatCode="_(* #,##0.000_);_(* \(#,##0.000\);_(* \-??_);_(@_)"/>
    <numFmt numFmtId="173" formatCode="_-* #,##0\ _₫_-;\-* #,##0\ _₫_-;_-* \-??\ _₫_-;_-@_-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0"/>
      <name val="Arial"/>
      <family val="2"/>
      <charset val="1"/>
    </font>
    <font>
      <b val="true"/>
      <sz val="12"/>
      <name val="Times New Roman"/>
      <family val="1"/>
      <charset val="1"/>
    </font>
    <font>
      <sz val="11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3"/>
      <color theme="1"/>
      <name val="Calibri"/>
      <family val="2"/>
      <charset val="163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color theme="1"/>
      <name val="Times New Roman"/>
      <family val="1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2.5"/>
      <name val="Times New Roman"/>
      <family val="1"/>
      <charset val="1"/>
    </font>
    <font>
      <sz val="14"/>
      <color theme="1"/>
      <name val="Calibri"/>
      <family val="2"/>
      <charset val="163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3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  <cellStyle name="Normal 24 2" xfId="24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851760</xdr:colOff>
      <xdr:row>7</xdr:row>
      <xdr:rowOff>190440</xdr:rowOff>
    </xdr:from>
    <xdr:to>
      <xdr:col>15</xdr:col>
      <xdr:colOff>380880</xdr:colOff>
      <xdr:row>18</xdr:row>
      <xdr:rowOff>73080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1767600" y="1876320"/>
          <a:ext cx="5680080" cy="2025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705960</xdr:colOff>
      <xdr:row>7</xdr:row>
      <xdr:rowOff>224280</xdr:rowOff>
    </xdr:from>
    <xdr:to>
      <xdr:col>15</xdr:col>
      <xdr:colOff>358200</xdr:colOff>
      <xdr:row>18</xdr:row>
      <xdr:rowOff>107280</xdr:rowOff>
    </xdr:to>
    <xdr:pic>
      <xdr:nvPicPr>
        <xdr:cNvPr id="1" name="Picture 2" descr=""/>
        <xdr:cNvPicPr/>
      </xdr:nvPicPr>
      <xdr:blipFill>
        <a:blip r:embed="rId1"/>
        <a:stretch/>
      </xdr:blipFill>
      <xdr:spPr>
        <a:xfrm>
          <a:off x="1682640" y="1910160"/>
          <a:ext cx="5793120" cy="202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481680</xdr:colOff>
      <xdr:row>7</xdr:row>
      <xdr:rowOff>201600</xdr:rowOff>
    </xdr:from>
    <xdr:to>
      <xdr:col>15</xdr:col>
      <xdr:colOff>402840</xdr:colOff>
      <xdr:row>18</xdr:row>
      <xdr:rowOff>42120</xdr:rowOff>
    </xdr:to>
    <xdr:pic>
      <xdr:nvPicPr>
        <xdr:cNvPr id="2" name="Picture 4" descr=""/>
        <xdr:cNvPicPr/>
      </xdr:nvPicPr>
      <xdr:blipFill>
        <a:blip r:embed="rId1"/>
        <a:stretch/>
      </xdr:blipFill>
      <xdr:spPr>
        <a:xfrm>
          <a:off x="1467720" y="1887480"/>
          <a:ext cx="5731560" cy="198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705960</xdr:colOff>
      <xdr:row>7</xdr:row>
      <xdr:rowOff>134640</xdr:rowOff>
    </xdr:from>
    <xdr:to>
      <xdr:col>15</xdr:col>
      <xdr:colOff>639360</xdr:colOff>
      <xdr:row>18</xdr:row>
      <xdr:rowOff>33480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602000" y="1820520"/>
          <a:ext cx="6174000" cy="204192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4%20%C4%91o%E1%BA%A1n%20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4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57</v>
          </cell>
          <cell r="B3" t="str">
            <v xml:space="preserve">Kiểm tra cao độ đường đen đoạn từ Km0+672,28 -:- Km0+746,82</v>
          </cell>
          <cell r="D3" t="str">
            <v xml:space="preserve">ngày 12 tháng 09 năm 2026</v>
          </cell>
          <cell r="G3" t="str">
            <v xml:space="preserve">57.NĐXD4/CVXD </v>
          </cell>
        </row>
        <row r="4">
          <cell r="A4">
            <v>58</v>
          </cell>
          <cell r="B4" t="str">
            <v xml:space="preserve">Đào đất xử lý nền đường đoạn từ Km0+672,28 - Km0+746,82</v>
          </cell>
          <cell r="D4" t="str">
            <v xml:space="preserve">ngày 13 tháng 09 năm 2026</v>
          </cell>
          <cell r="G4" t="str">
            <v xml:space="preserve">58.NĐXD4/CVXD </v>
          </cell>
        </row>
        <row r="5">
          <cell r="A5">
            <v>59</v>
          </cell>
          <cell r="B5" t="str">
            <v xml:space="preserve">Rải vải địa kỹ thuật đoạn từ Km0+672,28 - Km0+746,82</v>
          </cell>
          <cell r="D5" t="str">
            <v xml:space="preserve">ngày 14 tháng 09 năm 2026</v>
          </cell>
          <cell r="G5" t="str">
            <v xml:space="preserve">59.NĐXD4/CVXD </v>
          </cell>
        </row>
        <row r="6">
          <cell r="A6">
            <v>60</v>
          </cell>
          <cell r="B6" t="str">
            <v xml:space="preserve">Đắp cát nền đường lớp 1 đoạn từ Km0+672,28 - Km0+746,82, độ chặt K&gt;=0,95</v>
          </cell>
          <cell r="D6" t="str">
            <v xml:space="preserve">ngày 14 tháng 09 năm 2026</v>
          </cell>
          <cell r="G6" t="str">
            <v xml:space="preserve">60.NĐXD4/CVXD </v>
          </cell>
        </row>
        <row r="7">
          <cell r="A7">
            <v>61</v>
          </cell>
          <cell r="B7" t="str">
            <v xml:space="preserve">Đắp cát nền đường lớp 2 đoạn từ Km0+672,28 - Km0+746,82, độ chặt K&gt;=0,95</v>
          </cell>
          <cell r="D7" t="str">
            <v xml:space="preserve">ngày 15 tháng 09 năm 2026</v>
          </cell>
          <cell r="G7" t="str">
            <v xml:space="preserve">61.NĐXD4/CVXD </v>
          </cell>
        </row>
        <row r="8">
          <cell r="A8">
            <v>62</v>
          </cell>
          <cell r="B8" t="str">
            <v xml:space="preserve">Đắp cát nền đường lớp 3 đoạn từ Km0+672,28 - Km0+746,82, độ chặt K&gt;=0,95</v>
          </cell>
          <cell r="D8" t="str">
            <v xml:space="preserve">ngày 15 tháng 09 năm 2026</v>
          </cell>
          <cell r="G8" t="str">
            <v xml:space="preserve">62.NĐXD4/CVXD </v>
          </cell>
        </row>
        <row r="9">
          <cell r="A9">
            <v>63</v>
          </cell>
          <cell r="B9" t="str">
            <v xml:space="preserve">Đắp cát nền đường lớp 4 đoạn từ Km0+672,28 - Km0+746,82, độ chặt K&gt;=0,95</v>
          </cell>
          <cell r="D9" t="str">
            <v xml:space="preserve">ngày 16 tháng 09 năm 2026</v>
          </cell>
          <cell r="G9" t="str">
            <v xml:space="preserve">63.NĐXD4/CVXD </v>
          </cell>
        </row>
        <row r="10">
          <cell r="A10">
            <v>64</v>
          </cell>
          <cell r="B10" t="str">
            <v xml:space="preserve">Đắp đất nền đường lớp 1 đoạn từ Km0+672,28 - Km0+746,82, độ chặt K&gt;=0,95</v>
          </cell>
          <cell r="D10" t="str">
            <v xml:space="preserve">ngày 16 tháng 09 năm 2026</v>
          </cell>
          <cell r="G10" t="str">
            <v xml:space="preserve">64.NĐXD4/CVXD </v>
          </cell>
        </row>
        <row r="11">
          <cell r="A11">
            <v>65</v>
          </cell>
          <cell r="B11" t="str">
            <v xml:space="preserve">Đắp đất nền đường lớp 2 đoạn từ Km0+672,28 - Km0+746,82, độ chặt K&gt;=0,95</v>
          </cell>
          <cell r="D11" t="str">
            <v xml:space="preserve">ngày 17 tháng 09 năm 2026</v>
          </cell>
          <cell r="G11" t="str">
            <v xml:space="preserve">65.NĐXD4/CVXD </v>
          </cell>
        </row>
        <row r="12">
          <cell r="A12">
            <v>66</v>
          </cell>
          <cell r="B12" t="str">
            <v xml:space="preserve">Đắp đất nền đường lớp 3 đoạn từ Km0+672,28 - Km0+746,82, độ chặt K&gt;=0,95</v>
          </cell>
          <cell r="D12" t="str">
            <v xml:space="preserve">ngày 17 tháng 09 năm 2026</v>
          </cell>
          <cell r="G12" t="str">
            <v xml:space="preserve">66.NĐXD4/CVXD </v>
          </cell>
        </row>
        <row r="13">
          <cell r="A13">
            <v>67</v>
          </cell>
          <cell r="B13" t="str">
            <v xml:space="preserve">Đắp đất nền đường lớp 4 đoạn từ Km0+672,28 - Km0+746,82, độ chặt K&gt;=0,95</v>
          </cell>
          <cell r="D13" t="str">
            <v xml:space="preserve">ngày 18 tháng 09 năm 2026</v>
          </cell>
          <cell r="G13" t="str">
            <v xml:space="preserve">67.NĐXD4/CVXD </v>
          </cell>
        </row>
        <row r="14">
          <cell r="A14">
            <v>68</v>
          </cell>
          <cell r="B14" t="str">
            <v xml:space="preserve">Đắp đất nền đường lớp 5 đoạn từ Km0+672,28 - Km0+746,82, độ chặt K&gt;=0,95</v>
          </cell>
          <cell r="D14" t="str">
            <v xml:space="preserve">ngày 18 tháng 09 năm 2026</v>
          </cell>
          <cell r="G14" t="str">
            <v xml:space="preserve">68.NĐXD4/CVXD </v>
          </cell>
        </row>
        <row r="15">
          <cell r="A15">
            <v>69</v>
          </cell>
          <cell r="B15" t="str">
            <v xml:space="preserve">Đắp đất nền đường lớp 6 đoạn từ Km0+672,28 - Km0+746,82, độ chặt K&gt;=0,95</v>
          </cell>
          <cell r="D15" t="str">
            <v xml:space="preserve">ngày 19 tháng 09 năm 2026</v>
          </cell>
          <cell r="G15" t="str">
            <v xml:space="preserve">69.NĐXD4/CVXD </v>
          </cell>
        </row>
        <row r="16">
          <cell r="A16">
            <v>70</v>
          </cell>
          <cell r="B16" t="str">
            <v xml:space="preserve">Đắp đất nền đường lớp 7 đoạn từ Km0+672,28 - Km0+746,82, độ chặt K&gt;=0,95</v>
          </cell>
          <cell r="D16" t="str">
            <v xml:space="preserve">ngày 19 tháng 09 năm 2026</v>
          </cell>
          <cell r="G16" t="str">
            <v xml:space="preserve">70.NĐXD4/CVXD </v>
          </cell>
        </row>
        <row r="17">
          <cell r="A17">
            <v>71</v>
          </cell>
          <cell r="B17" t="str">
            <v xml:space="preserve">Đắp đất nền đường lớp 8 đoạn từ Km0+672,28 - Km0+746,82, độ chặt K&gt;=0,95</v>
          </cell>
          <cell r="D17" t="str">
            <v xml:space="preserve">ngày 20 tháng 09 năm 2026</v>
          </cell>
          <cell r="G17" t="str">
            <v xml:space="preserve">71.NĐXD4/CVXD </v>
          </cell>
        </row>
        <row r="18">
          <cell r="A18">
            <v>72</v>
          </cell>
          <cell r="B18" t="str">
            <v xml:space="preserve">Đắp đất nền đường lớp 9 đoạn từ Km0+672,28 - Km0+746,82, độ chặt K&gt;=0,95</v>
          </cell>
          <cell r="D18" t="str">
            <v xml:space="preserve">ngày 20 tháng 09 năm 2026</v>
          </cell>
          <cell r="G18" t="str">
            <v xml:space="preserve">72.NĐXD4/CVXD </v>
          </cell>
        </row>
        <row r="19">
          <cell r="A19">
            <v>73</v>
          </cell>
          <cell r="B19" t="str">
            <v xml:space="preserve">Đắp đất nền đường lớp 1, độ chặt K&gt;=0,98 đoạn từ Km0+672,28 - Km0+746,82</v>
          </cell>
          <cell r="D19" t="str">
            <v xml:space="preserve">ngày 21 tháng 09 năm 2026</v>
          </cell>
          <cell r="G19" t="str">
            <v xml:space="preserve">73.NĐXD4/CVXD </v>
          </cell>
        </row>
        <row r="20">
          <cell r="A20">
            <v>74</v>
          </cell>
          <cell r="B20" t="str">
            <v xml:space="preserve">Đắp đất lề đường lớp 1, độ chặt K&gt;=0,95 đoạn từ Km0+672,28 - Km0+746,82</v>
          </cell>
          <cell r="D20" t="str">
            <v xml:space="preserve">ngày 21 tháng 09 năm 2026</v>
          </cell>
          <cell r="G20" t="str">
            <v xml:space="preserve">74.NĐXD4/CVXD </v>
          </cell>
        </row>
        <row r="21">
          <cell r="A21">
            <v>75</v>
          </cell>
          <cell r="B21" t="str">
            <v xml:space="preserve">Đắp đất nền đường lớp 2, độ chặt K&gt;=0,98 đoạn từ Km0+672,28 - Km0+746,82</v>
          </cell>
          <cell r="D21" t="str">
            <v xml:space="preserve">ngày 22 tháng 09 năm 2026</v>
          </cell>
          <cell r="G21" t="str">
            <v xml:space="preserve">75.NĐXD4/CVXD </v>
          </cell>
        </row>
        <row r="22">
          <cell r="A22">
            <v>76</v>
          </cell>
          <cell r="B22" t="str">
            <v xml:space="preserve">Đắp đất lề đường lớp 2, độ chặt K&gt;=0,95 đoạn từ Km0+672,28 - Km0+746,82</v>
          </cell>
          <cell r="D22" t="str">
            <v xml:space="preserve">ngày 22 tháng 09 năm 2026</v>
          </cell>
          <cell r="G22" t="str">
            <v xml:space="preserve">76.NĐXD4/CVXD </v>
          </cell>
        </row>
        <row r="23">
          <cell r="A23">
            <v>77</v>
          </cell>
          <cell r="B23" t="str">
            <v xml:space="preserve">Đắp cấp phối đá dăm loại 2 đoạn từ Km0+672,28 - Km0+746,82</v>
          </cell>
          <cell r="D23" t="str">
            <v xml:space="preserve">ngày 23 tháng 09 năm 2026</v>
          </cell>
          <cell r="G23" t="str">
            <v xml:space="preserve">77.NĐXD4/CVXD </v>
          </cell>
        </row>
        <row r="24">
          <cell r="A24">
            <v>78</v>
          </cell>
          <cell r="B24" t="str">
            <v xml:space="preserve">Đắp đất lề đường lớp 3, độ chặt K&gt;=0,95 đoạn từ Km0+672,28 - Km0+746,82</v>
          </cell>
          <cell r="D24" t="str">
            <v xml:space="preserve">ngày 23 tháng 09 năm 2026</v>
          </cell>
          <cell r="G24" t="str">
            <v xml:space="preserve">78.NĐXD4/CVXD </v>
          </cell>
        </row>
        <row r="25">
          <cell r="A25">
            <v>79</v>
          </cell>
          <cell r="B25" t="str">
            <v xml:space="preserve">Đắp đất lề đường lớp 4, độ chặt K&gt;=0,95 đoạn từ Km0+672,28 - Km0+746,82</v>
          </cell>
          <cell r="D25" t="str">
            <v xml:space="preserve">ngày 24 tháng 09 năm 2026</v>
          </cell>
          <cell r="G25" t="str">
            <v xml:space="preserve">79.NĐXD4/CVXD </v>
          </cell>
        </row>
        <row r="26">
          <cell r="A26">
            <v>80</v>
          </cell>
          <cell r="B26" t="str">
            <v xml:space="preserve">Đắp cấp phối đá dăm loại 1 đoạn từ Km0+672,28 - Km0+746,82</v>
          </cell>
          <cell r="D26" t="str">
            <v xml:space="preserve">ngày 24 tháng 09 năm 2026</v>
          </cell>
          <cell r="G26" t="str">
            <v xml:space="preserve">80.NĐXD4/CVXD </v>
          </cell>
        </row>
        <row r="27">
          <cell r="A27">
            <v>81</v>
          </cell>
          <cell r="B27" t="str">
            <v xml:space="preserve">Vệ sinh, thổi bụi mặt đường </v>
          </cell>
          <cell r="D27" t="str">
            <v xml:space="preserve">ngày 26 tháng 09 năm 2026</v>
          </cell>
          <cell r="G27" t="str">
            <v xml:space="preserve">81.NĐXD4/CVXD </v>
          </cell>
        </row>
        <row r="28">
          <cell r="A28">
            <v>82</v>
          </cell>
          <cell r="B28" t="str">
            <v xml:space="preserve">Tưới lớp thấm bám mặt đường, nhựa MC70, lượng nhựa 1kg/m2</v>
          </cell>
          <cell r="D28" t="str">
            <v xml:space="preserve">ngày 28 tháng 09 năm 2026</v>
          </cell>
          <cell r="G28" t="str">
            <v xml:space="preserve">82.NĐXD4/CVXD </v>
          </cell>
        </row>
        <row r="29">
          <cell r="A29">
            <v>83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01 tháng 10 năm 2026</v>
          </cell>
          <cell r="G29" t="str">
            <v xml:space="preserve">83.NĐXD4/CVXD </v>
          </cell>
        </row>
        <row r="30">
          <cell r="A30">
            <v>84</v>
          </cell>
          <cell r="B30" t="str">
            <v xml:space="preserve">Bê tông nhựa C16 - Chiều dày mặt đường đã lèn ép 6cm</v>
          </cell>
          <cell r="D30" t="str">
            <v xml:space="preserve">ngày 03 tháng 10 năm 2026</v>
          </cell>
          <cell r="G30" t="str">
            <v xml:space="preserve">84.NĐXD4/CVXD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S92" activeCellId="0" sqref="S92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.57"/>
    <col collapsed="false" customWidth="true" hidden="true" outlineLevel="0" max="9" min="8" style="1" width="13"/>
    <col collapsed="false" customWidth="true" hidden="true" outlineLevel="0" max="13" min="12" style="1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1" t="s">
        <v>17</v>
      </c>
      <c r="C2" s="0" t="n">
        <v>672.28</v>
      </c>
      <c r="D2" s="0" t="n">
        <v>4</v>
      </c>
      <c r="E2" s="0" t="n">
        <v>7.69</v>
      </c>
      <c r="F2" s="0" t="n">
        <v>-9.78</v>
      </c>
      <c r="G2" s="0" t="n">
        <v>-0.62</v>
      </c>
      <c r="H2" s="1" t="n">
        <v>0</v>
      </c>
      <c r="I2" s="1" t="n">
        <v>-0.62</v>
      </c>
      <c r="J2" s="0" t="n">
        <v>0</v>
      </c>
      <c r="K2" s="0" t="n">
        <v>-0.62</v>
      </c>
      <c r="L2" s="1" t="n">
        <v>0</v>
      </c>
      <c r="M2" s="1" t="n">
        <v>-0.62</v>
      </c>
      <c r="N2" s="0" t="n">
        <v>15.79</v>
      </c>
      <c r="O2" s="0" t="n">
        <v>-0.62</v>
      </c>
      <c r="P2" s="0" t="n">
        <v>29.74</v>
      </c>
      <c r="Q2" s="0" t="n">
        <v>0</v>
      </c>
    </row>
    <row r="3" customFormat="false" ht="15" hidden="false" customHeight="false" outlineLevel="0" collapsed="false">
      <c r="D3" s="0" t="n">
        <v>3</v>
      </c>
      <c r="E3" s="0" t="n">
        <v>7.74</v>
      </c>
      <c r="F3" s="0" t="n">
        <v>-9.48</v>
      </c>
      <c r="G3" s="0" t="n">
        <v>-0.92</v>
      </c>
      <c r="H3" s="1" t="n">
        <v>0</v>
      </c>
      <c r="I3" s="1" t="n">
        <v>-0.92</v>
      </c>
      <c r="J3" s="0" t="n">
        <v>0</v>
      </c>
      <c r="K3" s="0" t="n">
        <v>-0.92</v>
      </c>
      <c r="L3" s="1" t="n">
        <v>0</v>
      </c>
      <c r="M3" s="1" t="n">
        <v>-0.92</v>
      </c>
      <c r="N3" s="0" t="n">
        <v>16.24</v>
      </c>
      <c r="O3" s="0" t="n">
        <v>-0.92</v>
      </c>
    </row>
    <row r="4" customFormat="false" ht="15" hidden="false" customHeight="false" outlineLevel="0" collapsed="false">
      <c r="D4" s="0" t="n">
        <v>2</v>
      </c>
      <c r="E4" s="0" t="n">
        <v>7.78</v>
      </c>
      <c r="F4" s="0" t="n">
        <v>-9.18</v>
      </c>
      <c r="G4" s="0" t="n">
        <v>-1.22</v>
      </c>
      <c r="H4" s="1" t="n">
        <v>0</v>
      </c>
      <c r="I4" s="1" t="n">
        <v>-1.22</v>
      </c>
      <c r="J4" s="0" t="n">
        <v>0</v>
      </c>
      <c r="K4" s="0" t="n">
        <v>-1.22</v>
      </c>
      <c r="L4" s="1" t="n">
        <v>0</v>
      </c>
      <c r="M4" s="1" t="n">
        <v>-1.22</v>
      </c>
      <c r="N4" s="0" t="n">
        <v>16.69</v>
      </c>
      <c r="O4" s="0" t="n">
        <v>-1.22</v>
      </c>
    </row>
    <row r="5" customFormat="false" ht="15" hidden="false" customHeight="false" outlineLevel="0" collapsed="false">
      <c r="D5" s="0" t="n">
        <v>1</v>
      </c>
      <c r="E5" s="0" t="n">
        <v>6.52</v>
      </c>
      <c r="F5" s="0" t="n">
        <v>-8.88</v>
      </c>
      <c r="G5" s="0" t="n">
        <v>-1.52</v>
      </c>
      <c r="H5" s="1" t="n">
        <v>0</v>
      </c>
      <c r="I5" s="1" t="n">
        <v>-1.52</v>
      </c>
      <c r="J5" s="0" t="n">
        <v>0</v>
      </c>
      <c r="K5" s="0" t="n">
        <v>-1.52</v>
      </c>
      <c r="L5" s="1" t="n">
        <v>0</v>
      </c>
      <c r="M5" s="1" t="n">
        <v>-1.52</v>
      </c>
      <c r="N5" s="0" t="n">
        <v>17.14</v>
      </c>
      <c r="O5" s="0" t="n">
        <v>-1.52</v>
      </c>
    </row>
    <row r="6" customFormat="false" ht="15" hidden="false" customHeight="false" outlineLevel="0" collapsed="false">
      <c r="A6" s="1" t="n">
        <v>2</v>
      </c>
      <c r="B6" s="1" t="s">
        <v>18</v>
      </c>
      <c r="C6" s="0" t="n">
        <v>689.28</v>
      </c>
      <c r="D6" s="0" t="n">
        <v>4</v>
      </c>
      <c r="E6" s="0" t="n">
        <v>5.11</v>
      </c>
      <c r="F6" s="0" t="n">
        <v>-9.04</v>
      </c>
      <c r="G6" s="0" t="n">
        <v>-0.62</v>
      </c>
      <c r="H6" s="1" t="n">
        <v>0</v>
      </c>
      <c r="I6" s="1" t="n">
        <v>-0.62</v>
      </c>
      <c r="J6" s="0" t="n">
        <v>0</v>
      </c>
      <c r="K6" s="0" t="n">
        <v>-0.62</v>
      </c>
      <c r="L6" s="1" t="n">
        <v>0</v>
      </c>
      <c r="M6" s="1" t="n">
        <v>-0.62</v>
      </c>
      <c r="N6" s="0" t="n">
        <v>8.28</v>
      </c>
      <c r="O6" s="0" t="n">
        <v>-0.62</v>
      </c>
      <c r="P6" s="0" t="n">
        <v>16.32</v>
      </c>
      <c r="Q6" s="0" t="n">
        <v>0</v>
      </c>
    </row>
    <row r="7" customFormat="false" ht="15" hidden="false" customHeight="false" outlineLevel="0" collapsed="false">
      <c r="D7" s="0" t="n">
        <v>3</v>
      </c>
      <c r="E7" s="0" t="n">
        <v>4.93</v>
      </c>
      <c r="F7" s="0" t="n">
        <v>-8.74</v>
      </c>
      <c r="G7" s="0" t="n">
        <v>-0.92</v>
      </c>
      <c r="H7" s="1" t="n">
        <v>0</v>
      </c>
      <c r="I7" s="1" t="n">
        <v>-0.92</v>
      </c>
      <c r="J7" s="0" t="n">
        <v>0</v>
      </c>
      <c r="K7" s="0" t="n">
        <v>-0.92</v>
      </c>
      <c r="L7" s="1" t="n">
        <v>0</v>
      </c>
      <c r="M7" s="1" t="n">
        <v>-0.92</v>
      </c>
      <c r="N7" s="0" t="n">
        <v>7.98</v>
      </c>
      <c r="O7" s="0" t="n">
        <v>-0.92</v>
      </c>
    </row>
    <row r="8" customFormat="false" ht="15" hidden="false" customHeight="false" outlineLevel="0" collapsed="false">
      <c r="D8" s="0" t="n">
        <v>2</v>
      </c>
      <c r="E8" s="0" t="n">
        <v>4.75</v>
      </c>
      <c r="F8" s="0" t="n">
        <v>-8.44</v>
      </c>
      <c r="G8" s="0" t="n">
        <v>-1.22</v>
      </c>
      <c r="H8" s="1" t="n">
        <v>0</v>
      </c>
      <c r="I8" s="1" t="n">
        <v>-1.22</v>
      </c>
      <c r="J8" s="0" t="n">
        <v>0</v>
      </c>
      <c r="K8" s="0" t="n">
        <v>-1.22</v>
      </c>
      <c r="L8" s="1" t="n">
        <v>0</v>
      </c>
      <c r="M8" s="1" t="n">
        <v>-1.22</v>
      </c>
      <c r="N8" s="0" t="n">
        <v>7.68</v>
      </c>
      <c r="O8" s="0" t="n">
        <v>-1.22</v>
      </c>
    </row>
    <row r="9" customFormat="false" ht="15" hidden="false" customHeight="false" outlineLevel="0" collapsed="false">
      <c r="D9" s="0" t="n">
        <v>1</v>
      </c>
      <c r="E9" s="0" t="n">
        <v>1.54</v>
      </c>
      <c r="F9" s="0" t="n">
        <v>-8.14</v>
      </c>
      <c r="G9" s="0" t="n">
        <v>-1.52</v>
      </c>
      <c r="H9" s="1" t="n">
        <v>0</v>
      </c>
      <c r="I9" s="1" t="n">
        <v>-1.52</v>
      </c>
      <c r="J9" s="0" t="n">
        <v>0</v>
      </c>
      <c r="K9" s="0" t="n">
        <v>-1.52</v>
      </c>
      <c r="L9" s="1" t="n">
        <v>0</v>
      </c>
      <c r="M9" s="1" t="n">
        <v>-1.52</v>
      </c>
      <c r="N9" s="0" t="n">
        <v>7.38</v>
      </c>
      <c r="O9" s="0" t="n">
        <v>-1.52</v>
      </c>
    </row>
    <row r="10" customFormat="false" ht="15" hidden="false" customHeight="false" outlineLevel="0" collapsed="false">
      <c r="A10" s="1" t="n">
        <v>3</v>
      </c>
      <c r="B10" s="1" t="s">
        <v>19</v>
      </c>
      <c r="C10" s="0" t="n">
        <v>701.03</v>
      </c>
      <c r="D10" s="0" t="n">
        <v>4</v>
      </c>
      <c r="E10" s="0" t="n">
        <v>0</v>
      </c>
      <c r="P10" s="0" t="n">
        <v>0</v>
      </c>
      <c r="Q10" s="0" t="n">
        <v>0</v>
      </c>
    </row>
    <row r="11" customFormat="false" ht="15" hidden="false" customHeight="false" outlineLevel="0" collapsed="false">
      <c r="D11" s="0" t="n">
        <v>3</v>
      </c>
      <c r="E11" s="0" t="n">
        <v>0</v>
      </c>
    </row>
    <row r="12" customFormat="false" ht="15" hidden="false" customHeight="false" outlineLevel="0" collapsed="false">
      <c r="D12" s="0" t="n">
        <v>2</v>
      </c>
      <c r="E12" s="0" t="n">
        <v>0</v>
      </c>
    </row>
    <row r="13" customFormat="false" ht="15" hidden="false" customHeight="false" outlineLevel="0" collapsed="false">
      <c r="D13" s="0" t="n">
        <v>1</v>
      </c>
      <c r="E13" s="0" t="n">
        <v>0</v>
      </c>
    </row>
    <row r="14" customFormat="false" ht="15" hidden="false" customHeight="false" outlineLevel="0" collapsed="false">
      <c r="A14" s="1" t="n">
        <v>4</v>
      </c>
      <c r="B14" s="1" t="s">
        <v>20</v>
      </c>
      <c r="C14" s="0" t="n">
        <v>712.78</v>
      </c>
      <c r="D14" s="0" t="n">
        <v>4</v>
      </c>
      <c r="E14" s="0" t="n">
        <v>5.1</v>
      </c>
      <c r="F14" s="0" t="n">
        <v>-9.18</v>
      </c>
      <c r="G14" s="0" t="n">
        <v>-0.62</v>
      </c>
      <c r="H14" s="1" t="n">
        <v>0</v>
      </c>
      <c r="I14" s="1" t="n">
        <v>-0.62</v>
      </c>
      <c r="J14" s="0" t="n">
        <v>0</v>
      </c>
      <c r="K14" s="0" t="n">
        <v>-0.62</v>
      </c>
      <c r="L14" s="1" t="n">
        <v>0</v>
      </c>
      <c r="M14" s="1" t="n">
        <v>-0.62</v>
      </c>
      <c r="N14" s="0" t="n">
        <v>8.14</v>
      </c>
      <c r="O14" s="0" t="n">
        <v>-0.62</v>
      </c>
      <c r="P14" s="0" t="n">
        <v>16.32</v>
      </c>
      <c r="Q14" s="0" t="n">
        <v>0</v>
      </c>
    </row>
    <row r="15" customFormat="false" ht="15" hidden="false" customHeight="false" outlineLevel="0" collapsed="false">
      <c r="D15" s="0" t="n">
        <v>3</v>
      </c>
      <c r="E15" s="0" t="n">
        <v>4.92</v>
      </c>
      <c r="F15" s="0" t="n">
        <v>-8.88</v>
      </c>
      <c r="G15" s="0" t="n">
        <v>-0.92</v>
      </c>
      <c r="H15" s="1" t="n">
        <v>0</v>
      </c>
      <c r="I15" s="1" t="n">
        <v>-0.92</v>
      </c>
      <c r="J15" s="0" t="n">
        <v>0</v>
      </c>
      <c r="K15" s="0" t="n">
        <v>-0.92</v>
      </c>
      <c r="L15" s="1" t="n">
        <v>0</v>
      </c>
      <c r="M15" s="1" t="n">
        <v>-0.92</v>
      </c>
      <c r="N15" s="0" t="n">
        <v>7.84</v>
      </c>
      <c r="O15" s="0" t="n">
        <v>-0.92</v>
      </c>
    </row>
    <row r="16" customFormat="false" ht="15" hidden="false" customHeight="false" outlineLevel="0" collapsed="false">
      <c r="D16" s="0" t="n">
        <v>2</v>
      </c>
      <c r="E16" s="0" t="n">
        <v>4.74</v>
      </c>
      <c r="F16" s="0" t="n">
        <v>-8.58</v>
      </c>
      <c r="G16" s="0" t="n">
        <v>-1.22</v>
      </c>
      <c r="H16" s="1" t="n">
        <v>0</v>
      </c>
      <c r="I16" s="1" t="n">
        <v>-1.22</v>
      </c>
      <c r="J16" s="0" t="n">
        <v>0</v>
      </c>
      <c r="K16" s="0" t="n">
        <v>-1.22</v>
      </c>
      <c r="L16" s="1" t="n">
        <v>0</v>
      </c>
      <c r="M16" s="1" t="n">
        <v>-1.22</v>
      </c>
      <c r="N16" s="0" t="n">
        <v>7.54</v>
      </c>
      <c r="O16" s="0" t="n">
        <v>-1.22</v>
      </c>
    </row>
    <row r="17" customFormat="false" ht="15" hidden="false" customHeight="false" outlineLevel="0" collapsed="false">
      <c r="D17" s="0" t="n">
        <v>1</v>
      </c>
      <c r="E17" s="0" t="n">
        <v>1.54</v>
      </c>
      <c r="F17" s="0" t="n">
        <v>-8.28</v>
      </c>
      <c r="G17" s="0" t="n">
        <v>-1.52</v>
      </c>
      <c r="H17" s="1" t="n">
        <v>0</v>
      </c>
      <c r="I17" s="1" t="n">
        <v>-1.52</v>
      </c>
      <c r="J17" s="0" t="n">
        <v>0</v>
      </c>
      <c r="K17" s="0" t="n">
        <v>-1.52</v>
      </c>
      <c r="L17" s="1" t="n">
        <v>0</v>
      </c>
      <c r="M17" s="1" t="n">
        <v>-1.52</v>
      </c>
      <c r="N17" s="0" t="n">
        <v>7.24</v>
      </c>
      <c r="O17" s="0" t="n">
        <v>-1.52</v>
      </c>
    </row>
    <row r="18" customFormat="false" ht="15" hidden="false" customHeight="false" outlineLevel="0" collapsed="false">
      <c r="A18" s="1" t="n">
        <v>5</v>
      </c>
      <c r="B18" s="1" t="s">
        <v>21</v>
      </c>
      <c r="C18" s="0" t="n">
        <v>729.78</v>
      </c>
      <c r="D18" s="0" t="n">
        <v>4</v>
      </c>
      <c r="E18" s="0" t="n">
        <v>3.66</v>
      </c>
      <c r="F18" s="0" t="n">
        <v>-6.25</v>
      </c>
      <c r="G18" s="0" t="n">
        <v>-0.62</v>
      </c>
      <c r="H18" s="1" t="n">
        <v>0</v>
      </c>
      <c r="I18" s="1" t="n">
        <v>-0.62</v>
      </c>
      <c r="J18" s="0" t="n">
        <v>0</v>
      </c>
      <c r="K18" s="0" t="n">
        <v>-0.62</v>
      </c>
      <c r="L18" s="1" t="n">
        <v>0</v>
      </c>
      <c r="M18" s="1" t="n">
        <v>-0.62</v>
      </c>
      <c r="N18" s="0" t="n">
        <v>6.25</v>
      </c>
      <c r="O18" s="0" t="n">
        <v>-0.62</v>
      </c>
      <c r="P18" s="0" t="n">
        <v>11.5</v>
      </c>
      <c r="Q18" s="0" t="n">
        <v>0</v>
      </c>
    </row>
    <row r="19" customFormat="false" ht="15" hidden="false" customHeight="false" outlineLevel="0" collapsed="false">
      <c r="D19" s="0" t="n">
        <v>3</v>
      </c>
      <c r="E19" s="0" t="n">
        <v>3.48</v>
      </c>
      <c r="F19" s="0" t="n">
        <v>-5.95</v>
      </c>
      <c r="G19" s="0" t="n">
        <v>-0.92</v>
      </c>
      <c r="H19" s="1" t="n">
        <v>0</v>
      </c>
      <c r="I19" s="1" t="n">
        <v>-0.92</v>
      </c>
      <c r="J19" s="0" t="n">
        <v>0</v>
      </c>
      <c r="K19" s="0" t="n">
        <v>-0.92</v>
      </c>
      <c r="L19" s="1" t="n">
        <v>0</v>
      </c>
      <c r="M19" s="1" t="n">
        <v>-0.92</v>
      </c>
      <c r="N19" s="0" t="n">
        <v>5.95</v>
      </c>
      <c r="O19" s="0" t="n">
        <v>-0.92</v>
      </c>
    </row>
    <row r="20" customFormat="false" ht="15" hidden="false" customHeight="false" outlineLevel="0" collapsed="false">
      <c r="D20" s="0" t="n">
        <v>2</v>
      </c>
      <c r="E20" s="0" t="n">
        <v>3.3</v>
      </c>
      <c r="F20" s="0" t="n">
        <v>-5.65</v>
      </c>
      <c r="G20" s="0" t="n">
        <v>-1.22</v>
      </c>
      <c r="H20" s="1" t="n">
        <v>0</v>
      </c>
      <c r="I20" s="1" t="n">
        <v>-1.22</v>
      </c>
      <c r="J20" s="0" t="n">
        <v>0</v>
      </c>
      <c r="K20" s="0" t="n">
        <v>-1.22</v>
      </c>
      <c r="L20" s="1" t="n">
        <v>0</v>
      </c>
      <c r="M20" s="1" t="n">
        <v>-1.22</v>
      </c>
      <c r="N20" s="0" t="n">
        <v>5.65</v>
      </c>
      <c r="O20" s="0" t="n">
        <v>-1.22</v>
      </c>
    </row>
    <row r="21" customFormat="false" ht="15" hidden="false" customHeight="false" outlineLevel="0" collapsed="false">
      <c r="D21" s="0" t="n">
        <v>1</v>
      </c>
      <c r="E21" s="0" t="n">
        <v>1.06</v>
      </c>
      <c r="F21" s="0" t="n">
        <v>-5.35</v>
      </c>
      <c r="G21" s="0" t="n">
        <v>-1.52</v>
      </c>
      <c r="H21" s="1" t="n">
        <v>0</v>
      </c>
      <c r="I21" s="1" t="n">
        <v>-1.52</v>
      </c>
      <c r="J21" s="0" t="n">
        <v>0</v>
      </c>
      <c r="K21" s="0" t="n">
        <v>-1.52</v>
      </c>
      <c r="L21" s="1" t="n">
        <v>0</v>
      </c>
      <c r="M21" s="1" t="n">
        <v>-1.52</v>
      </c>
      <c r="N21" s="0" t="n">
        <v>5.35</v>
      </c>
      <c r="O21" s="0" t="n">
        <v>-1.52</v>
      </c>
    </row>
    <row r="22" customFormat="false" ht="15" hidden="false" customHeight="false" outlineLevel="0" collapsed="false">
      <c r="A22" s="1" t="n">
        <v>6</v>
      </c>
      <c r="B22" s="1" t="s">
        <v>22</v>
      </c>
      <c r="C22" s="0" t="n">
        <v>746.82</v>
      </c>
      <c r="D22" s="0" t="n">
        <v>4</v>
      </c>
      <c r="E22" s="0" t="n">
        <v>4.27</v>
      </c>
      <c r="F22" s="0" t="n">
        <v>-6.69</v>
      </c>
      <c r="G22" s="0" t="n">
        <v>-0.62</v>
      </c>
      <c r="H22" s="1" t="n">
        <v>0</v>
      </c>
      <c r="I22" s="1" t="n">
        <v>-0.62</v>
      </c>
      <c r="J22" s="0" t="n">
        <v>0</v>
      </c>
      <c r="K22" s="0" t="n">
        <v>-0.62</v>
      </c>
      <c r="L22" s="1" t="n">
        <v>0</v>
      </c>
      <c r="M22" s="1" t="n">
        <v>-0.62</v>
      </c>
      <c r="N22" s="0" t="n">
        <v>7.85</v>
      </c>
      <c r="O22" s="0" t="n">
        <v>-0.62</v>
      </c>
      <c r="P22" s="0" t="n">
        <v>13.54</v>
      </c>
      <c r="Q22" s="0" t="n">
        <v>0</v>
      </c>
    </row>
    <row r="23" customFormat="false" ht="15" hidden="false" customHeight="false" outlineLevel="0" collapsed="false">
      <c r="D23" s="0" t="n">
        <v>3</v>
      </c>
      <c r="E23" s="0" t="n">
        <v>4.09</v>
      </c>
      <c r="F23" s="0" t="n">
        <v>-6.39</v>
      </c>
      <c r="G23" s="0" t="n">
        <v>-0.92</v>
      </c>
      <c r="H23" s="1" t="n">
        <v>0</v>
      </c>
      <c r="I23" s="1" t="n">
        <v>-0.92</v>
      </c>
      <c r="J23" s="0" t="n">
        <v>0</v>
      </c>
      <c r="K23" s="0" t="n">
        <v>-0.92</v>
      </c>
      <c r="L23" s="1" t="n">
        <v>0</v>
      </c>
      <c r="M23" s="1" t="n">
        <v>-0.92</v>
      </c>
      <c r="N23" s="0" t="n">
        <v>7.55</v>
      </c>
      <c r="O23" s="0" t="n">
        <v>-0.92</v>
      </c>
    </row>
    <row r="24" customFormat="false" ht="15" hidden="false" customHeight="false" outlineLevel="0" collapsed="false">
      <c r="D24" s="0" t="n">
        <v>2</v>
      </c>
      <c r="E24" s="0" t="n">
        <v>3.91</v>
      </c>
      <c r="F24" s="0" t="n">
        <v>-6.09</v>
      </c>
      <c r="G24" s="0" t="n">
        <v>-1.22</v>
      </c>
      <c r="H24" s="1" t="n">
        <v>0</v>
      </c>
      <c r="I24" s="1" t="n">
        <v>-1.22</v>
      </c>
      <c r="J24" s="0" t="n">
        <v>0</v>
      </c>
      <c r="K24" s="0" t="n">
        <v>-1.22</v>
      </c>
      <c r="L24" s="1" t="n">
        <v>0</v>
      </c>
      <c r="M24" s="1" t="n">
        <v>-1.22</v>
      </c>
      <c r="N24" s="0" t="n">
        <v>7.25</v>
      </c>
      <c r="O24" s="0" t="n">
        <v>-1.22</v>
      </c>
    </row>
    <row r="25" customFormat="false" ht="15" hidden="false" customHeight="false" outlineLevel="0" collapsed="false">
      <c r="D25" s="0" t="n">
        <v>1</v>
      </c>
      <c r="E25" s="0" t="n">
        <v>1.26</v>
      </c>
      <c r="F25" s="0" t="n">
        <v>-5.79</v>
      </c>
      <c r="G25" s="0" t="n">
        <v>-1.52</v>
      </c>
      <c r="H25" s="1" t="n">
        <v>0</v>
      </c>
      <c r="I25" s="1" t="n">
        <v>-1.52</v>
      </c>
      <c r="J25" s="0" t="n">
        <v>0</v>
      </c>
      <c r="K25" s="0" t="n">
        <v>-1.52</v>
      </c>
      <c r="L25" s="1" t="n">
        <v>0</v>
      </c>
      <c r="M25" s="1" t="n">
        <v>-1.52</v>
      </c>
      <c r="N25" s="0" t="n">
        <v>6.95</v>
      </c>
      <c r="O25" s="0" t="n">
        <v>-1.52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3" colorId="64" zoomScale="55" zoomScaleNormal="55" zoomScalePageLayoutView="100" workbookViewId="0">
      <selection pane="topLeft" activeCell="K46" activeCellId="0" sqref="K4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7.42"/>
    <col collapsed="false" customWidth="true" hidden="false" outlineLevel="0" max="3" min="3" style="1" width="17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60.NĐXD4/CVXD ngày 14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  <c r="AZ2">
        <v>60</v>
      </c>
    </row>
    <row r="3" customFormat="false" ht="18.75" hidden="false" customHeight="true" outlineLevel="0" collapsed="false">
      <c r="A3" s="8" t="s">
        <v>25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26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27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29</v>
      </c>
      <c r="C7" s="8"/>
      <c r="D7" s="8"/>
      <c r="E7" s="8"/>
      <c r="F7" s="8"/>
      <c r="G7" s="8" t="str">
        <f>VLOOKUP(AZ2,'[1]Tuyến XD4'!$A$2:$B$60,2,0)</f>
        <v xml:space="preserve">Đắp cát nền đường lớp 1 đoạn từ Km0+672,28 - Km0+746,82,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19" customFormat="false" ht="8.25" hidden="false" customHeight="true" outlineLevel="0" collapsed="false"/>
    <row r="21" customFormat="false" ht="15" hidden="false" customHeight="true" outlineLevel="0" collapsed="false">
      <c r="A21" s="10" t="s">
        <v>32</v>
      </c>
      <c r="B21" s="10" t="s">
        <v>33</v>
      </c>
      <c r="C21" s="10" t="s">
        <v>34</v>
      </c>
      <c r="D21" s="11" t="s">
        <v>35</v>
      </c>
      <c r="E21" s="11"/>
      <c r="F21" s="11"/>
      <c r="G21" s="11"/>
      <c r="H21" s="11"/>
      <c r="I21" s="11"/>
      <c r="J21" s="11" t="s">
        <v>36</v>
      </c>
      <c r="K21" s="11"/>
      <c r="L21" s="11"/>
      <c r="M21" s="11" t="s">
        <v>37</v>
      </c>
      <c r="N21" s="11"/>
      <c r="O21" s="11"/>
      <c r="P21" s="11"/>
      <c r="Q21" s="11"/>
      <c r="R21" s="11"/>
      <c r="S21" s="10" t="s">
        <v>38</v>
      </c>
    </row>
    <row r="22" customFormat="false" ht="30" hidden="false" customHeight="true" outlineLevel="0" collapsed="false">
      <c r="A22" s="10"/>
      <c r="B22" s="10"/>
      <c r="C22" s="10"/>
      <c r="D22" s="12" t="s">
        <v>39</v>
      </c>
      <c r="E22" s="12" t="s">
        <v>40</v>
      </c>
      <c r="F22" s="12" t="s">
        <v>41</v>
      </c>
      <c r="G22" s="12" t="s">
        <v>42</v>
      </c>
      <c r="H22" s="12" t="s">
        <v>43</v>
      </c>
      <c r="I22" s="12" t="s">
        <v>44</v>
      </c>
      <c r="J22" s="12" t="s">
        <v>42</v>
      </c>
      <c r="K22" s="12" t="s">
        <v>43</v>
      </c>
      <c r="L22" s="12" t="s">
        <v>44</v>
      </c>
      <c r="M22" s="12" t="s">
        <v>39</v>
      </c>
      <c r="N22" s="12" t="s">
        <v>40</v>
      </c>
      <c r="O22" s="12" t="s">
        <v>41</v>
      </c>
      <c r="P22" s="12" t="s">
        <v>42</v>
      </c>
      <c r="Q22" s="12" t="s">
        <v>43</v>
      </c>
      <c r="R22" s="12" t="s">
        <v>44</v>
      </c>
      <c r="S22" s="10"/>
      <c r="T22" s="13"/>
    </row>
    <row r="23" customFormat="false" ht="15" hidden="false" customHeight="false" outlineLevel="0" collapsed="false">
      <c r="A23" s="14" t="n">
        <v>1</v>
      </c>
      <c r="B23" s="15" t="s">
        <v>17</v>
      </c>
      <c r="C23" s="16" t="n">
        <v>672.28</v>
      </c>
      <c r="D23" s="17" t="n">
        <f aca="false">+Chạy!F5</f>
        <v>-8.88</v>
      </c>
      <c r="E23" s="17" t="n">
        <f aca="false">+D23+F23</f>
        <v>-8.8902</v>
      </c>
      <c r="F23" s="17" t="n">
        <f aca="false">RANDBETWEEN(-105,115)/10000</f>
        <v>-0.0102</v>
      </c>
      <c r="G23" s="17" t="n">
        <f aca="false">+Chạy!G5</f>
        <v>-1.52</v>
      </c>
      <c r="H23" s="17" t="n">
        <f aca="false">G23+I23</f>
        <v>-1.447</v>
      </c>
      <c r="I23" s="17" t="n">
        <f aca="false">RANDBETWEEN(-30,90)/1000</f>
        <v>0.073</v>
      </c>
      <c r="J23" s="17" t="n">
        <f aca="false">+Chạy!K5</f>
        <v>-1.52</v>
      </c>
      <c r="K23" s="17" t="n">
        <f aca="false">J23+L23</f>
        <v>-1.547</v>
      </c>
      <c r="L23" s="17" t="n">
        <f aca="false">RANDBETWEEN(-30,90)/1000</f>
        <v>-0.027</v>
      </c>
      <c r="M23" s="17" t="n">
        <f aca="false">+Chạy!N5</f>
        <v>17.14</v>
      </c>
      <c r="N23" s="17" t="n">
        <f aca="false">+M23+O23</f>
        <v>17.1514</v>
      </c>
      <c r="O23" s="17" t="n">
        <f aca="false">RANDBETWEEN(-105,115)/10000</f>
        <v>0.0114</v>
      </c>
      <c r="P23" s="17" t="n">
        <f aca="false">+Chạy!O5</f>
        <v>-1.52</v>
      </c>
      <c r="Q23" s="17" t="n">
        <f aca="false">P23+R23</f>
        <v>-1.504</v>
      </c>
      <c r="R23" s="17" t="n">
        <f aca="false">RANDBETWEEN(-30,90)/1000</f>
        <v>0.016</v>
      </c>
      <c r="S23" s="18"/>
      <c r="T23" s="19" t="n">
        <v>17</v>
      </c>
    </row>
    <row r="24" customFormat="false" ht="15" hidden="false" customHeight="false" outlineLevel="0" collapsed="false">
      <c r="A24" s="14" t="n">
        <v>2</v>
      </c>
      <c r="B24" s="15" t="s">
        <v>18</v>
      </c>
      <c r="C24" s="16" t="n">
        <f aca="false">+C23+T23</f>
        <v>689.28</v>
      </c>
      <c r="D24" s="17" t="n">
        <f aca="false">+Chạy!F9</f>
        <v>-8.14</v>
      </c>
      <c r="E24" s="17" t="n">
        <f aca="false">+D24+F24</f>
        <v>-8.1309</v>
      </c>
      <c r="F24" s="17" t="n">
        <f aca="false">RANDBETWEEN(-105,115)/10000</f>
        <v>0.0091</v>
      </c>
      <c r="G24" s="17" t="n">
        <f aca="false">+Chạy!G9</f>
        <v>-1.52</v>
      </c>
      <c r="H24" s="17" t="n">
        <f aca="false">G24+I24</f>
        <v>-1.512</v>
      </c>
      <c r="I24" s="17" t="n">
        <f aca="false">RANDBETWEEN(-30,90)/1000</f>
        <v>0.008</v>
      </c>
      <c r="J24" s="17" t="n">
        <f aca="false">+Chạy!K9</f>
        <v>-1.52</v>
      </c>
      <c r="K24" s="17" t="n">
        <f aca="false">J24+L24</f>
        <v>-1.503</v>
      </c>
      <c r="L24" s="17" t="n">
        <f aca="false">RANDBETWEEN(-30,90)/1000</f>
        <v>0.017</v>
      </c>
      <c r="M24" s="17" t="n">
        <f aca="false">+Chạy!N9</f>
        <v>7.38</v>
      </c>
      <c r="N24" s="17" t="n">
        <f aca="false">+M24+O24</f>
        <v>7.3834</v>
      </c>
      <c r="O24" s="17" t="n">
        <f aca="false">RANDBETWEEN(-105,115)/10000</f>
        <v>0.0034</v>
      </c>
      <c r="P24" s="17" t="n">
        <f aca="false">+Chạy!O9</f>
        <v>-1.52</v>
      </c>
      <c r="Q24" s="17" t="n">
        <f aca="false">P24+R24</f>
        <v>-1.453</v>
      </c>
      <c r="R24" s="17" t="n">
        <f aca="false">RANDBETWEEN(-30,90)/1000</f>
        <v>0.067</v>
      </c>
      <c r="S24" s="18"/>
      <c r="T24" s="19" t="n">
        <v>11.75</v>
      </c>
    </row>
    <row r="25" customFormat="false" ht="15" hidden="false" customHeight="false" outlineLevel="0" collapsed="false">
      <c r="A25" s="14" t="n">
        <v>3</v>
      </c>
      <c r="B25" s="15" t="s">
        <v>19</v>
      </c>
      <c r="C25" s="16" t="n">
        <f aca="false">+C24+T24</f>
        <v>701.03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8"/>
      <c r="T25" s="19" t="n">
        <v>11.75</v>
      </c>
    </row>
    <row r="26" customFormat="false" ht="15" hidden="false" customHeight="false" outlineLevel="0" collapsed="false">
      <c r="A26" s="14" t="n">
        <v>4</v>
      </c>
      <c r="B26" s="15" t="s">
        <v>20</v>
      </c>
      <c r="C26" s="16" t="n">
        <f aca="false">+C25+T25</f>
        <v>712.78</v>
      </c>
      <c r="D26" s="17" t="n">
        <f aca="false">+Chạy!F17</f>
        <v>-8.28</v>
      </c>
      <c r="E26" s="17" t="n">
        <f aca="false">+D26+F26</f>
        <v>-8.2831</v>
      </c>
      <c r="F26" s="17" t="n">
        <f aca="false">RANDBETWEEN(-105,115)/10000</f>
        <v>-0.0031</v>
      </c>
      <c r="G26" s="17" t="n">
        <f aca="false">+Chạy!G17</f>
        <v>-1.52</v>
      </c>
      <c r="H26" s="17" t="n">
        <f aca="false">G26+I26</f>
        <v>-1.459</v>
      </c>
      <c r="I26" s="17" t="n">
        <f aca="false">RANDBETWEEN(-30,90)/1000</f>
        <v>0.061</v>
      </c>
      <c r="J26" s="17" t="n">
        <f aca="false">+Chạy!K17</f>
        <v>-1.52</v>
      </c>
      <c r="K26" s="17" t="n">
        <f aca="false">J26+L26</f>
        <v>-1.462</v>
      </c>
      <c r="L26" s="17" t="n">
        <f aca="false">RANDBETWEEN(-30,90)/1000</f>
        <v>0.058</v>
      </c>
      <c r="M26" s="17" t="n">
        <f aca="false">+Chạy!N17</f>
        <v>7.24</v>
      </c>
      <c r="N26" s="17" t="n">
        <f aca="false">+M26+O26</f>
        <v>7.2411</v>
      </c>
      <c r="O26" s="17" t="n">
        <f aca="false">RANDBETWEEN(-105,115)/10000</f>
        <v>0.0011</v>
      </c>
      <c r="P26" s="17" t="n">
        <f aca="false">+Chạy!O17</f>
        <v>-1.52</v>
      </c>
      <c r="Q26" s="17" t="n">
        <f aca="false">P26+R26</f>
        <v>-1.459</v>
      </c>
      <c r="R26" s="17" t="n">
        <f aca="false">RANDBETWEEN(-30,90)/1000</f>
        <v>0.061</v>
      </c>
      <c r="S26" s="18"/>
      <c r="T26" s="19" t="n">
        <v>17</v>
      </c>
    </row>
    <row r="27" customFormat="false" ht="15" hidden="false" customHeight="false" outlineLevel="0" collapsed="false">
      <c r="A27" s="14" t="n">
        <v>5</v>
      </c>
      <c r="B27" s="15" t="s">
        <v>21</v>
      </c>
      <c r="C27" s="16" t="n">
        <f aca="false">+C26+T26</f>
        <v>729.78</v>
      </c>
      <c r="D27" s="17" t="n">
        <f aca="false">+Chạy!F21</f>
        <v>-5.35</v>
      </c>
      <c r="E27" s="17" t="n">
        <f aca="false">+D27+F27</f>
        <v>-5.3393</v>
      </c>
      <c r="F27" s="17" t="n">
        <f aca="false">RANDBETWEEN(-105,115)/10000</f>
        <v>0.0107</v>
      </c>
      <c r="G27" s="17" t="n">
        <f aca="false">+Chạy!G21</f>
        <v>-1.52</v>
      </c>
      <c r="H27" s="17" t="n">
        <f aca="false">G27+I27</f>
        <v>-1.536</v>
      </c>
      <c r="I27" s="17" t="n">
        <f aca="false">RANDBETWEEN(-30,90)/1000</f>
        <v>-0.016</v>
      </c>
      <c r="J27" s="17" t="n">
        <f aca="false">+Chạy!K21</f>
        <v>-1.52</v>
      </c>
      <c r="K27" s="17" t="n">
        <f aca="false">J27+L27</f>
        <v>-1.481</v>
      </c>
      <c r="L27" s="17" t="n">
        <f aca="false">RANDBETWEEN(-30,90)/1000</f>
        <v>0.039</v>
      </c>
      <c r="M27" s="17" t="n">
        <f aca="false">+Chạy!N21</f>
        <v>5.35</v>
      </c>
      <c r="N27" s="17" t="n">
        <f aca="false">+M27+O27</f>
        <v>5.3452</v>
      </c>
      <c r="O27" s="17" t="n">
        <f aca="false">RANDBETWEEN(-105,115)/10000</f>
        <v>-0.0048</v>
      </c>
      <c r="P27" s="17" t="n">
        <f aca="false">+Chạy!O21</f>
        <v>-1.52</v>
      </c>
      <c r="Q27" s="17" t="n">
        <f aca="false">P27+R27</f>
        <v>-1.439</v>
      </c>
      <c r="R27" s="17" t="n">
        <f aca="false">RANDBETWEEN(-30,90)/1000</f>
        <v>0.081</v>
      </c>
      <c r="S27" s="18"/>
      <c r="T27" s="19" t="n">
        <v>17.04</v>
      </c>
    </row>
    <row r="28" customFormat="false" ht="15" hidden="false" customHeight="false" outlineLevel="0" collapsed="false">
      <c r="A28" s="14" t="n">
        <v>6</v>
      </c>
      <c r="B28" s="15" t="s">
        <v>22</v>
      </c>
      <c r="C28" s="16" t="n">
        <f aca="false">+C27+T27</f>
        <v>746.82</v>
      </c>
      <c r="D28" s="17" t="n">
        <f aca="false">+Chạy!F25</f>
        <v>-5.79</v>
      </c>
      <c r="E28" s="17" t="n">
        <f aca="false">+D28+F28</f>
        <v>-5.7934</v>
      </c>
      <c r="F28" s="17" t="n">
        <f aca="false">RANDBETWEEN(-105,115)/10000</f>
        <v>-0.0034</v>
      </c>
      <c r="G28" s="17" t="n">
        <f aca="false">+Chạy!G25</f>
        <v>-1.52</v>
      </c>
      <c r="H28" s="17" t="n">
        <f aca="false">G28+I28</f>
        <v>-1.483</v>
      </c>
      <c r="I28" s="17" t="n">
        <f aca="false">RANDBETWEEN(-30,90)/1000</f>
        <v>0.037</v>
      </c>
      <c r="J28" s="17" t="n">
        <f aca="false">+Chạy!K25</f>
        <v>-1.52</v>
      </c>
      <c r="K28" s="17" t="n">
        <f aca="false">J28+L28</f>
        <v>-1.483</v>
      </c>
      <c r="L28" s="17" t="n">
        <f aca="false">RANDBETWEEN(-30,90)/1000</f>
        <v>0.037</v>
      </c>
      <c r="M28" s="17" t="n">
        <f aca="false">+Chạy!N25</f>
        <v>6.95</v>
      </c>
      <c r="N28" s="17" t="n">
        <f aca="false">+M28+O28</f>
        <v>6.9593</v>
      </c>
      <c r="O28" s="17" t="n">
        <f aca="false">RANDBETWEEN(-105,115)/10000</f>
        <v>0.0093</v>
      </c>
      <c r="P28" s="17" t="n">
        <f aca="false">+Chạy!O25</f>
        <v>-1.52</v>
      </c>
      <c r="Q28" s="17" t="n">
        <f aca="false">P28+R28</f>
        <v>-1.501</v>
      </c>
      <c r="R28" s="17" t="n">
        <f aca="false">RANDBETWEEN(-30,90)/1000</f>
        <v>0.019</v>
      </c>
      <c r="S28" s="18"/>
      <c r="T28" s="19"/>
    </row>
    <row r="29" customFormat="false" ht="15" hidden="true" customHeight="false" outlineLevel="0" collapsed="false">
      <c r="A29" s="14"/>
      <c r="B29" s="15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  <c r="T29" s="19"/>
    </row>
    <row r="30" customFormat="false" ht="15" hidden="true" customHeight="false" outlineLevel="0" collapsed="false">
      <c r="A30" s="14"/>
      <c r="B30" s="15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  <c r="T30" s="19"/>
    </row>
    <row r="31" customFormat="false" ht="15" hidden="true" customHeight="false" outlineLevel="0" collapsed="false">
      <c r="A31" s="14"/>
      <c r="B31" s="15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  <c r="T31" s="19"/>
    </row>
    <row r="32" customFormat="false" ht="15" hidden="true" customHeight="false" outlineLevel="0" collapsed="false">
      <c r="A32" s="14"/>
      <c r="B32" s="15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  <c r="T32" s="19"/>
    </row>
    <row r="33" customFormat="false" ht="15" hidden="true" customHeight="false" outlineLevel="0" collapsed="false">
      <c r="A33" s="14"/>
      <c r="B33" s="15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  <c r="T33" s="19"/>
    </row>
    <row r="34" customFormat="false" ht="15" hidden="true" customHeight="false" outlineLevel="0" collapsed="false">
      <c r="A34" s="14"/>
      <c r="B34" s="15"/>
      <c r="C34" s="1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  <c r="T34" s="19"/>
    </row>
    <row r="35" customFormat="false" ht="15" hidden="true" customHeight="false" outlineLevel="0" collapsed="false">
      <c r="A35" s="14"/>
      <c r="B35" s="15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  <c r="T35" s="19"/>
    </row>
    <row r="36" customFormat="false" ht="15" hidden="true" customHeight="false" outlineLevel="0" collapsed="false">
      <c r="A36" s="14"/>
      <c r="B36" s="15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  <c r="T36" s="19"/>
    </row>
    <row r="37" customFormat="false" ht="15" hidden="true" customHeight="false" outlineLevel="0" collapsed="false">
      <c r="A37" s="14"/>
      <c r="B37" s="15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  <c r="T37" s="19"/>
    </row>
    <row r="38" customFormat="false" ht="15" hidden="true" customHeight="false" outlineLevel="0" collapsed="false">
      <c r="A38" s="14"/>
      <c r="B38" s="15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  <c r="T38" s="19"/>
    </row>
    <row r="39" customFormat="false" ht="15" hidden="true" customHeight="false" outlineLevel="0" collapsed="false">
      <c r="A39" s="14"/>
      <c r="B39" s="15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  <c r="T39" s="19"/>
    </row>
    <row r="40" customFormat="false" ht="15" hidden="true" customHeight="false" outlineLevel="0" collapsed="false">
      <c r="A40" s="14"/>
      <c r="B40" s="15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  <c r="T40" s="19"/>
    </row>
    <row r="41" customFormat="false" ht="15" hidden="true" customHeight="false" outlineLevel="0" collapsed="false">
      <c r="A41" s="14"/>
      <c r="B41" s="15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  <c r="T41" s="19"/>
    </row>
    <row r="42" customFormat="false" ht="15" hidden="true" customHeight="false" outlineLevel="0" collapsed="false">
      <c r="A42" s="14"/>
      <c r="B42" s="15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  <c r="T42" s="19"/>
    </row>
    <row r="43" customFormat="false" ht="15" hidden="true" customHeight="false" outlineLevel="0" collapsed="false">
      <c r="A43" s="14"/>
      <c r="B43" s="15"/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  <c r="T43" s="19"/>
    </row>
    <row r="44" customFormat="false" ht="15" hidden="true" customHeight="false" outlineLevel="0" collapsed="false">
      <c r="A44" s="14"/>
      <c r="B44" s="15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  <c r="T44" s="19"/>
    </row>
    <row r="45" customFormat="false" ht="15" hidden="true" customHeight="false" outlineLevel="0" collapsed="false">
      <c r="A45" s="14"/>
      <c r="B45" s="15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  <c r="T45" s="19"/>
    </row>
    <row r="46" customFormat="false" ht="15" hidden="true" customHeight="false" outlineLevel="0" collapsed="false">
      <c r="A46" s="14"/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  <c r="T46" s="19"/>
    </row>
    <row r="47" customFormat="false" ht="15" hidden="true" customHeight="false" outlineLevel="0" collapsed="false">
      <c r="A47" s="14"/>
      <c r="B47" s="15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  <c r="T47" s="19"/>
    </row>
    <row r="48" customFormat="false" ht="15" hidden="true" customHeight="false" outlineLevel="0" collapsed="false">
      <c r="A48" s="14"/>
      <c r="B48" s="15"/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8"/>
      <c r="T48" s="19"/>
    </row>
    <row r="49" customFormat="false" ht="15" hidden="true" customHeight="false" outlineLevel="0" collapsed="false">
      <c r="A49" s="14"/>
      <c r="B49" s="15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8"/>
      <c r="T49" s="19"/>
    </row>
    <row r="50" customFormat="false" ht="15" hidden="true" customHeight="false" outlineLevel="0" collapsed="false">
      <c r="A50" s="14"/>
      <c r="B50" s="15"/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8"/>
      <c r="T50" s="19"/>
    </row>
    <row r="51" customFormat="false" ht="15" hidden="true" customHeight="false" outlineLevel="0" collapsed="false">
      <c r="A51" s="14"/>
      <c r="B51" s="15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  <c r="T51" s="19"/>
    </row>
    <row r="52" customFormat="false" ht="15" hidden="true" customHeight="false" outlineLevel="0" collapsed="false">
      <c r="A52" s="14"/>
      <c r="B52" s="15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8"/>
      <c r="T52" s="19"/>
    </row>
    <row r="53" customFormat="false" ht="15" hidden="true" customHeight="false" outlineLevel="0" collapsed="false">
      <c r="A53" s="14"/>
      <c r="B53" s="15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8"/>
      <c r="T53" s="19"/>
    </row>
    <row r="54" customFormat="false" ht="15" hidden="true" customHeight="false" outlineLevel="0" collapsed="false">
      <c r="A54" s="14"/>
      <c r="B54" s="15"/>
      <c r="C54" s="16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8"/>
      <c r="T54" s="19"/>
    </row>
    <row r="55" customFormat="false" ht="15" hidden="true" customHeight="false" outlineLevel="0" collapsed="false">
      <c r="A55" s="14"/>
      <c r="B55" s="15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  <c r="T55" s="19"/>
    </row>
    <row r="56" customFormat="false" ht="15" hidden="true" customHeight="false" outlineLevel="0" collapsed="false">
      <c r="A56" s="14"/>
      <c r="B56" s="15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  <c r="T56" s="19"/>
    </row>
    <row r="57" customFormat="false" ht="15" hidden="true" customHeight="false" outlineLevel="0" collapsed="false">
      <c r="A57" s="14"/>
      <c r="B57" s="15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8"/>
      <c r="T57" s="19"/>
    </row>
    <row r="58" customFormat="false" ht="15" hidden="true" customHeight="false" outlineLevel="0" collapsed="false">
      <c r="A58" s="14"/>
      <c r="B58" s="15"/>
      <c r="C58" s="16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8"/>
      <c r="T58" s="19"/>
    </row>
    <row r="59" customFormat="false" ht="15" hidden="true" customHeight="false" outlineLevel="0" collapsed="false">
      <c r="A59" s="14"/>
      <c r="B59" s="15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  <c r="T59" s="19"/>
    </row>
    <row r="60" customFormat="false" ht="15" hidden="true" customHeight="false" outlineLevel="0" collapsed="false">
      <c r="A60" s="14"/>
      <c r="B60" s="15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  <c r="T60" s="19"/>
    </row>
    <row r="61" customFormat="false" ht="15" hidden="true" customHeight="false" outlineLevel="0" collapsed="false">
      <c r="A61" s="14"/>
      <c r="B61" s="15"/>
      <c r="C61" s="1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  <c r="T61" s="19"/>
    </row>
    <row r="62" customFormat="false" ht="15" hidden="true" customHeight="false" outlineLevel="0" collapsed="false">
      <c r="A62" s="14"/>
      <c r="B62" s="15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  <c r="T62" s="19"/>
    </row>
    <row r="64" customFormat="false" ht="15" hidden="false" customHeight="false" outlineLevel="0" collapsed="false">
      <c r="C64" s="20" t="s">
        <v>45</v>
      </c>
      <c r="D64" s="20"/>
      <c r="E64" s="20"/>
      <c r="F64" s="20"/>
      <c r="G64" s="20"/>
      <c r="H64" s="20"/>
      <c r="I64" s="20"/>
      <c r="K64" s="21"/>
      <c r="L64" s="21"/>
      <c r="M64" s="21"/>
      <c r="N64" s="21"/>
      <c r="O64" s="20" t="s">
        <v>46</v>
      </c>
      <c r="P64" s="20"/>
      <c r="Q64" s="20"/>
      <c r="R64" s="20"/>
    </row>
    <row r="65" customFormat="false" ht="15" hidden="false" customHeight="false" outlineLevel="0" collapsed="false">
      <c r="E65" s="22"/>
      <c r="F65" s="22"/>
      <c r="G65" s="22"/>
      <c r="H65" s="22"/>
      <c r="K65" s="22"/>
      <c r="L65" s="22"/>
      <c r="M65" s="22"/>
      <c r="N65" s="22"/>
      <c r="O65" s="22"/>
      <c r="P65" s="22"/>
      <c r="Q65" s="22"/>
      <c r="R65" s="22"/>
    </row>
    <row r="66" customFormat="false" ht="15" hidden="false" customHeight="false" outlineLevel="0" collapsed="false">
      <c r="E66" s="22"/>
      <c r="F66" s="22"/>
      <c r="G66" s="22"/>
      <c r="H66" s="22"/>
      <c r="K66" s="22"/>
      <c r="L66" s="22"/>
      <c r="M66" s="22"/>
      <c r="N66" s="22"/>
      <c r="O66" s="22"/>
      <c r="P66" s="22"/>
      <c r="Q66" s="22"/>
      <c r="R66" s="22"/>
    </row>
    <row r="67" customFormat="false" ht="15" hidden="false" customHeight="false" outlineLevel="0" collapsed="false">
      <c r="E67" s="22"/>
      <c r="F67" s="22"/>
      <c r="G67" s="22"/>
      <c r="H67" s="22"/>
      <c r="K67" s="22"/>
      <c r="L67" s="22"/>
      <c r="M67" s="22"/>
      <c r="N67" s="22"/>
      <c r="O67" s="22"/>
      <c r="P67" s="22"/>
      <c r="Q67" s="22"/>
      <c r="R67" s="22"/>
    </row>
    <row r="68" customFormat="false" ht="15" hidden="false" customHeight="false" outlineLevel="0" collapsed="false">
      <c r="E68" s="22"/>
      <c r="F68" s="22"/>
      <c r="G68" s="22"/>
      <c r="H68" s="22"/>
      <c r="K68" s="22"/>
      <c r="L68" s="22"/>
      <c r="M68" s="22"/>
      <c r="N68" s="22"/>
      <c r="O68" s="22"/>
      <c r="P68" s="22"/>
      <c r="Q68" s="22"/>
      <c r="R68" s="22"/>
    </row>
    <row r="69" customFormat="false" ht="15" hidden="false" customHeight="false" outlineLevel="0" collapsed="false">
      <c r="C69" s="20" t="s">
        <v>47</v>
      </c>
      <c r="D69" s="20"/>
      <c r="E69" s="20"/>
      <c r="F69" s="20"/>
      <c r="G69" s="20"/>
      <c r="H69" s="20"/>
      <c r="I69" s="20"/>
      <c r="K69" s="21"/>
      <c r="L69" s="21"/>
      <c r="M69" s="21"/>
      <c r="N69" s="21"/>
      <c r="O69" s="20" t="s">
        <v>48</v>
      </c>
      <c r="P69" s="20"/>
      <c r="Q69" s="20"/>
      <c r="R69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4:I64"/>
    <mergeCell ref="O64:R64"/>
    <mergeCell ref="C69:I69"/>
    <mergeCell ref="O69:R69"/>
  </mergeCells>
  <printOptions headings="false" gridLines="false" gridLinesSet="true" horizontalCentered="true" verticalCentered="false"/>
  <pageMargins left="0.196527777777778" right="0.157638888888889" top="0.472222222222222" bottom="0.433333333333333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O20" activeCellId="0" sqref="O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10.29"/>
    <col collapsed="false" customWidth="false" hidden="false" outlineLevel="0" max="33" min="33" style="23" width="9.29"/>
    <col collapsed="false" customWidth="true" hidden="false" outlineLevel="0" max="34" min="34" style="23" width="11.85"/>
    <col collapsed="false" customWidth="false" hidden="false" outlineLevel="0" max="16384" min="35" style="23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60.NĐXD4/CVXD ngày 14 tháng 09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D2" s="6"/>
      <c r="AE2" s="7"/>
      <c r="AZ2">
        <v>60</v>
      </c>
    </row>
    <row r="3" s="30" customFormat="true" ht="37.5" hidden="false" customHeight="true" outlineLevel="0" collapsed="false">
      <c r="A3" s="28" t="s">
        <v>25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26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27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28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29</v>
      </c>
      <c r="B7" s="32"/>
      <c r="D7" s="33" t="str">
        <f>VLOOKUP(AZ2,'[1]Tuyến XD4'!$A$2:$B$60,2,0)</f>
        <v xml:space="preserve">Đắp cát nền đường lớp 1 đoạn từ Km0+672,28 - Km0+746,82,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33</v>
      </c>
      <c r="C9" s="35" t="s">
        <v>34</v>
      </c>
      <c r="D9" s="36" t="s">
        <v>50</v>
      </c>
      <c r="E9" s="37"/>
      <c r="F9" s="37"/>
      <c r="G9" s="36"/>
      <c r="H9" s="37"/>
      <c r="I9" s="37"/>
      <c r="J9" s="37"/>
      <c r="K9" s="37"/>
      <c r="L9" s="37"/>
      <c r="M9" s="38" t="s">
        <v>51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38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52</v>
      </c>
      <c r="O10" s="38" t="s">
        <v>53</v>
      </c>
      <c r="P10" s="38" t="s">
        <v>52</v>
      </c>
      <c r="Q10" s="38" t="s">
        <v>52</v>
      </c>
      <c r="R10" s="38"/>
      <c r="S10" s="38"/>
      <c r="T10" s="38"/>
      <c r="U10" s="38" t="s">
        <v>54</v>
      </c>
      <c r="V10" s="38" t="s">
        <v>54</v>
      </c>
      <c r="W10" s="38" t="s">
        <v>55</v>
      </c>
      <c r="X10" s="38" t="s">
        <v>54</v>
      </c>
      <c r="Y10" s="38" t="s">
        <v>54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'1.KTHH L1'!B23</f>
        <v>38</v>
      </c>
      <c r="C11" s="16" t="n">
        <f aca="false">'1.KTHH L1'!C23</f>
        <v>672.28</v>
      </c>
      <c r="D11" s="14" t="n">
        <f aca="false">'1.KTHH L1'!T23</f>
        <v>17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 t="n">
        <f aca="false">Chạy!E5</f>
        <v>6.52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68.51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'1.KTHH L1'!B24</f>
        <v>39</v>
      </c>
      <c r="C12" s="16" t="n">
        <f aca="false">'1.KTHH L1'!C24</f>
        <v>689.28</v>
      </c>
      <c r="D12" s="14" t="n">
        <f aca="false">'1.KTHH L1'!T24</f>
        <v>11.75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Chạy!E9</f>
        <v>1.54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9.0475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'1.KTHH L1'!B25</f>
        <v>F2</v>
      </c>
      <c r="C13" s="16" t="n">
        <f aca="false">'1.KTHH L1'!C25</f>
        <v>701.03</v>
      </c>
      <c r="D13" s="14" t="n">
        <f aca="false">'1.KTHH L1'!T25</f>
        <v>11.75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/>
      <c r="P13" s="47"/>
      <c r="Q13" s="47"/>
      <c r="R13" s="50"/>
      <c r="S13" s="50"/>
      <c r="T13" s="50"/>
      <c r="U13" s="50"/>
      <c r="V13" s="50"/>
      <c r="W13" s="50" t="n">
        <f aca="false">(O13+O14)*D13/2</f>
        <v>9.0475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'1.KTHH L1'!B26</f>
        <v>40</v>
      </c>
      <c r="C14" s="16" t="n">
        <f aca="false">'1.KTHH L1'!C26</f>
        <v>712.78</v>
      </c>
      <c r="D14" s="14" t="n">
        <f aca="false">'1.KTHH L1'!T26</f>
        <v>17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Chạy!E17</f>
        <v>1.54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22.1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'1.KTHH L1'!B27</f>
        <v>41</v>
      </c>
      <c r="C15" s="16" t="n">
        <f aca="false">'1.KTHH L1'!C27</f>
        <v>729.78</v>
      </c>
      <c r="D15" s="14" t="n">
        <f aca="false">'1.KTHH L1'!T27</f>
        <v>17.04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 t="n">
        <f aca="false">Chạy!E21</f>
        <v>1.06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19.7664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'1.KTHH L1'!B28</f>
        <v>42</v>
      </c>
      <c r="C16" s="16" t="n">
        <f aca="false">'1.KTHH L1'!C28</f>
        <v>746.82</v>
      </c>
      <c r="D16" s="14"/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Chạy!E25</f>
        <v>1.26</v>
      </c>
      <c r="P16" s="47"/>
      <c r="Q16" s="47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1"/>
      <c r="AC16" s="50"/>
      <c r="AE16" s="52"/>
    </row>
    <row r="17" s="45" customFormat="true" ht="15" hidden="true" customHeight="true" outlineLevel="0" collapsed="false">
      <c r="A17" s="14"/>
      <c r="B17" s="14"/>
      <c r="C17" s="16"/>
      <c r="D17" s="14"/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/>
      <c r="P17" s="47"/>
      <c r="Q17" s="47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1"/>
      <c r="AC17" s="50"/>
      <c r="AE17" s="52"/>
    </row>
    <row r="18" s="45" customFormat="true" ht="15" hidden="true" customHeight="true" outlineLevel="0" collapsed="false">
      <c r="A18" s="14"/>
      <c r="B18" s="14"/>
      <c r="C18" s="16"/>
      <c r="D18" s="14"/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/>
      <c r="P18" s="47"/>
      <c r="Q18" s="47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1"/>
      <c r="AC18" s="50"/>
      <c r="AE18" s="52"/>
    </row>
    <row r="19" s="45" customFormat="true" ht="15" hidden="true" customHeight="true" outlineLevel="0" collapsed="false">
      <c r="A19" s="14"/>
      <c r="B19" s="14"/>
      <c r="C19" s="16"/>
      <c r="D19" s="14"/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/>
      <c r="P19" s="47"/>
      <c r="Q19" s="47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1"/>
      <c r="AC19" s="50"/>
      <c r="AE19" s="52"/>
    </row>
    <row r="20" s="45" customFormat="true" ht="15" hidden="true" customHeight="true" outlineLevel="0" collapsed="false">
      <c r="A20" s="14"/>
      <c r="B20" s="14"/>
      <c r="C20" s="16"/>
      <c r="D20" s="14"/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9"/>
      <c r="P20" s="47"/>
      <c r="Q20" s="47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1"/>
      <c r="AC20" s="50"/>
      <c r="AE20" s="52"/>
    </row>
    <row r="21" s="45" customFormat="true" ht="15" hidden="true" customHeight="true" outlineLevel="0" collapsed="false">
      <c r="A21" s="14"/>
      <c r="B21" s="14"/>
      <c r="C21" s="16"/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9"/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9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9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9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9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9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9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9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9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9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9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9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9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9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9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45" customFormat="true" ht="15" hidden="true" customHeight="true" outlineLevel="0" collapsed="false">
      <c r="A36" s="14"/>
      <c r="B36" s="14"/>
      <c r="C36" s="16"/>
      <c r="D36" s="14"/>
      <c r="E36" s="46"/>
      <c r="F36" s="46"/>
      <c r="G36" s="46"/>
      <c r="H36" s="46"/>
      <c r="I36" s="46"/>
      <c r="J36" s="46"/>
      <c r="K36" s="47"/>
      <c r="L36" s="17"/>
      <c r="M36" s="18"/>
      <c r="N36" s="48"/>
      <c r="O36" s="49"/>
      <c r="P36" s="47"/>
      <c r="Q36" s="47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1"/>
      <c r="AC36" s="50"/>
      <c r="AE36" s="52"/>
    </row>
    <row r="37" s="45" customFormat="true" ht="15" hidden="true" customHeight="true" outlineLevel="0" collapsed="false">
      <c r="A37" s="14"/>
      <c r="B37" s="14"/>
      <c r="C37" s="16"/>
      <c r="D37" s="14"/>
      <c r="E37" s="46"/>
      <c r="F37" s="46"/>
      <c r="G37" s="46"/>
      <c r="H37" s="46"/>
      <c r="I37" s="46"/>
      <c r="J37" s="46"/>
      <c r="K37" s="47"/>
      <c r="L37" s="17"/>
      <c r="M37" s="18"/>
      <c r="N37" s="48"/>
      <c r="O37" s="49"/>
      <c r="P37" s="47"/>
      <c r="Q37" s="47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1"/>
      <c r="AC37" s="50"/>
      <c r="AE37" s="52"/>
    </row>
    <row r="38" s="45" customFormat="true" ht="15" hidden="true" customHeight="true" outlineLevel="0" collapsed="false">
      <c r="A38" s="14"/>
      <c r="B38" s="14"/>
      <c r="C38" s="16"/>
      <c r="D38" s="14"/>
      <c r="E38" s="46"/>
      <c r="F38" s="46"/>
      <c r="G38" s="46"/>
      <c r="H38" s="46"/>
      <c r="I38" s="46"/>
      <c r="J38" s="46"/>
      <c r="K38" s="47"/>
      <c r="L38" s="17"/>
      <c r="M38" s="18"/>
      <c r="N38" s="48"/>
      <c r="O38" s="49"/>
      <c r="P38" s="47"/>
      <c r="Q38" s="47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1"/>
      <c r="AC38" s="50"/>
      <c r="AE38" s="52"/>
    </row>
    <row r="39" s="45" customFormat="true" ht="15" hidden="true" customHeight="true" outlineLevel="0" collapsed="false">
      <c r="A39" s="14"/>
      <c r="B39" s="14"/>
      <c r="C39" s="16"/>
      <c r="D39" s="14"/>
      <c r="E39" s="46"/>
      <c r="F39" s="46"/>
      <c r="G39" s="46"/>
      <c r="H39" s="46"/>
      <c r="I39" s="46"/>
      <c r="J39" s="46"/>
      <c r="K39" s="47"/>
      <c r="L39" s="17"/>
      <c r="M39" s="18"/>
      <c r="N39" s="48"/>
      <c r="O39" s="49"/>
      <c r="P39" s="47"/>
      <c r="Q39" s="47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1"/>
      <c r="AC39" s="50"/>
      <c r="AE39" s="52"/>
    </row>
    <row r="40" s="45" customFormat="true" ht="15" hidden="true" customHeight="true" outlineLevel="0" collapsed="false">
      <c r="A40" s="14"/>
      <c r="B40" s="14"/>
      <c r="C40" s="16"/>
      <c r="D40" s="14"/>
      <c r="E40" s="46"/>
      <c r="F40" s="46"/>
      <c r="G40" s="46"/>
      <c r="H40" s="46"/>
      <c r="I40" s="46"/>
      <c r="J40" s="46"/>
      <c r="K40" s="47"/>
      <c r="L40" s="17"/>
      <c r="M40" s="18"/>
      <c r="N40" s="48"/>
      <c r="O40" s="49"/>
      <c r="P40" s="47"/>
      <c r="Q40" s="47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1"/>
      <c r="AC40" s="50"/>
      <c r="AE40" s="52"/>
    </row>
    <row r="41" s="45" customFormat="true" ht="15" hidden="true" customHeight="true" outlineLevel="0" collapsed="false">
      <c r="A41" s="14"/>
      <c r="B41" s="14"/>
      <c r="C41" s="16"/>
      <c r="D41" s="14"/>
      <c r="E41" s="46"/>
      <c r="F41" s="46"/>
      <c r="G41" s="46"/>
      <c r="H41" s="46"/>
      <c r="I41" s="46"/>
      <c r="J41" s="46"/>
      <c r="K41" s="47"/>
      <c r="L41" s="17"/>
      <c r="M41" s="18"/>
      <c r="N41" s="48"/>
      <c r="O41" s="49"/>
      <c r="P41" s="47"/>
      <c r="Q41" s="47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1"/>
      <c r="AC41" s="50"/>
      <c r="AE41" s="52"/>
    </row>
    <row r="42" s="45" customFormat="true" ht="15" hidden="true" customHeight="true" outlineLevel="0" collapsed="false">
      <c r="A42" s="14"/>
      <c r="B42" s="14"/>
      <c r="C42" s="16"/>
      <c r="D42" s="14"/>
      <c r="E42" s="46"/>
      <c r="F42" s="46"/>
      <c r="G42" s="46"/>
      <c r="H42" s="46"/>
      <c r="I42" s="46"/>
      <c r="J42" s="46"/>
      <c r="K42" s="47"/>
      <c r="L42" s="17"/>
      <c r="M42" s="18"/>
      <c r="N42" s="48"/>
      <c r="O42" s="49"/>
      <c r="P42" s="47"/>
      <c r="Q42" s="47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1"/>
      <c r="AC42" s="50"/>
      <c r="AE42" s="52"/>
    </row>
    <row r="43" s="45" customFormat="true" ht="15" hidden="true" customHeight="true" outlineLevel="0" collapsed="false">
      <c r="A43" s="14"/>
      <c r="B43" s="14"/>
      <c r="C43" s="16"/>
      <c r="D43" s="14"/>
      <c r="E43" s="46"/>
      <c r="F43" s="46"/>
      <c r="G43" s="46"/>
      <c r="H43" s="46"/>
      <c r="I43" s="46"/>
      <c r="J43" s="46"/>
      <c r="K43" s="47"/>
      <c r="L43" s="17"/>
      <c r="M43" s="18"/>
      <c r="N43" s="48"/>
      <c r="O43" s="49"/>
      <c r="P43" s="47"/>
      <c r="Q43" s="47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1"/>
      <c r="AC43" s="50"/>
      <c r="AE43" s="52"/>
    </row>
    <row r="44" s="45" customFormat="true" ht="15" hidden="true" customHeight="true" outlineLevel="0" collapsed="false">
      <c r="A44" s="14"/>
      <c r="B44" s="14"/>
      <c r="C44" s="16"/>
      <c r="D44" s="14"/>
      <c r="E44" s="46"/>
      <c r="F44" s="46"/>
      <c r="G44" s="46"/>
      <c r="H44" s="46"/>
      <c r="I44" s="46"/>
      <c r="J44" s="46"/>
      <c r="K44" s="47"/>
      <c r="L44" s="17"/>
      <c r="M44" s="18"/>
      <c r="N44" s="48"/>
      <c r="O44" s="49"/>
      <c r="P44" s="47"/>
      <c r="Q44" s="47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1"/>
      <c r="AC44" s="50"/>
      <c r="AE44" s="52"/>
    </row>
    <row r="45" s="45" customFormat="true" ht="15" hidden="true" customHeight="true" outlineLevel="0" collapsed="false">
      <c r="A45" s="14"/>
      <c r="B45" s="14"/>
      <c r="C45" s="16"/>
      <c r="D45" s="14"/>
      <c r="E45" s="46"/>
      <c r="F45" s="46"/>
      <c r="G45" s="46"/>
      <c r="H45" s="46"/>
      <c r="I45" s="46"/>
      <c r="J45" s="46"/>
      <c r="K45" s="47"/>
      <c r="L45" s="17"/>
      <c r="M45" s="18"/>
      <c r="N45" s="48"/>
      <c r="O45" s="49"/>
      <c r="P45" s="47"/>
      <c r="Q45" s="47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/>
      <c r="AC45" s="50"/>
      <c r="AE45" s="52"/>
    </row>
    <row r="46" s="45" customFormat="true" ht="15" hidden="true" customHeight="true" outlineLevel="0" collapsed="false">
      <c r="A46" s="14"/>
      <c r="B46" s="14"/>
      <c r="C46" s="16"/>
      <c r="D46" s="14"/>
      <c r="E46" s="46"/>
      <c r="F46" s="46"/>
      <c r="G46" s="46"/>
      <c r="H46" s="46"/>
      <c r="I46" s="46"/>
      <c r="J46" s="46"/>
      <c r="K46" s="47"/>
      <c r="L46" s="17"/>
      <c r="M46" s="18"/>
      <c r="N46" s="48"/>
      <c r="O46" s="49"/>
      <c r="P46" s="47"/>
      <c r="Q46" s="47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0"/>
      <c r="AE46" s="52"/>
    </row>
    <row r="47" s="45" customFormat="true" ht="15" hidden="true" customHeight="true" outlineLevel="0" collapsed="false">
      <c r="A47" s="14"/>
      <c r="B47" s="14"/>
      <c r="C47" s="16"/>
      <c r="D47" s="14"/>
      <c r="E47" s="46"/>
      <c r="F47" s="46"/>
      <c r="G47" s="46"/>
      <c r="H47" s="46"/>
      <c r="I47" s="46"/>
      <c r="J47" s="46"/>
      <c r="K47" s="47"/>
      <c r="L47" s="17"/>
      <c r="M47" s="18"/>
      <c r="N47" s="48"/>
      <c r="O47" s="49"/>
      <c r="P47" s="47"/>
      <c r="Q47" s="47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0"/>
      <c r="AE47" s="52"/>
    </row>
    <row r="48" s="45" customFormat="true" ht="15" hidden="true" customHeight="true" outlineLevel="0" collapsed="false">
      <c r="A48" s="14"/>
      <c r="B48" s="14"/>
      <c r="C48" s="16"/>
      <c r="D48" s="14"/>
      <c r="E48" s="46"/>
      <c r="F48" s="46"/>
      <c r="G48" s="46"/>
      <c r="H48" s="46"/>
      <c r="I48" s="46"/>
      <c r="J48" s="46"/>
      <c r="K48" s="47"/>
      <c r="L48" s="17"/>
      <c r="M48" s="18"/>
      <c r="N48" s="48"/>
      <c r="O48" s="49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0"/>
      <c r="AE48" s="52"/>
    </row>
    <row r="49" s="45" customFormat="true" ht="15" hidden="true" customHeight="true" outlineLevel="0" collapsed="false">
      <c r="A49" s="14"/>
      <c r="B49" s="14"/>
      <c r="C49" s="16"/>
      <c r="D49" s="14"/>
      <c r="E49" s="46"/>
      <c r="F49" s="46"/>
      <c r="G49" s="46"/>
      <c r="H49" s="46"/>
      <c r="I49" s="46"/>
      <c r="J49" s="46"/>
      <c r="K49" s="47"/>
      <c r="L49" s="17"/>
      <c r="M49" s="18"/>
      <c r="N49" s="48"/>
      <c r="O49" s="49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0"/>
      <c r="AE49" s="52"/>
    </row>
    <row r="50" s="45" customFormat="true" ht="15" hidden="true" customHeight="true" outlineLevel="0" collapsed="false">
      <c r="A50" s="14"/>
      <c r="B50" s="14"/>
      <c r="C50" s="16"/>
      <c r="D50" s="14"/>
      <c r="E50" s="46"/>
      <c r="F50" s="46"/>
      <c r="G50" s="46"/>
      <c r="H50" s="46"/>
      <c r="I50" s="46"/>
      <c r="J50" s="46"/>
      <c r="K50" s="47"/>
      <c r="L50" s="17"/>
      <c r="M50" s="18"/>
      <c r="N50" s="48"/>
      <c r="O50" s="49"/>
      <c r="P50" s="47"/>
      <c r="Q50" s="47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0"/>
      <c r="AE50" s="52"/>
    </row>
    <row r="51" s="60" customFormat="true" ht="15" hidden="false" customHeight="true" outlineLevel="0" collapsed="false">
      <c r="A51" s="53" t="s">
        <v>56</v>
      </c>
      <c r="B51" s="53"/>
      <c r="C51" s="53"/>
      <c r="D51" s="53"/>
      <c r="E51" s="54"/>
      <c r="F51" s="54"/>
      <c r="G51" s="54"/>
      <c r="H51" s="54"/>
      <c r="I51" s="54"/>
      <c r="J51" s="54"/>
      <c r="K51" s="54"/>
      <c r="L51" s="54"/>
      <c r="M51" s="55"/>
      <c r="N51" s="55"/>
      <c r="O51" s="56"/>
      <c r="P51" s="56"/>
      <c r="Q51" s="56"/>
      <c r="R51" s="57" t="n">
        <f aca="false">SUM(R11:R50)</f>
        <v>0</v>
      </c>
      <c r="S51" s="57" t="n">
        <f aca="false">SUM(S11:S50)</f>
        <v>0</v>
      </c>
      <c r="T51" s="57"/>
      <c r="U51" s="58" t="n">
        <f aca="false">SUM(U11:U50)</f>
        <v>0</v>
      </c>
      <c r="V51" s="58" t="n">
        <f aca="false">SUM(V11:V50)</f>
        <v>0</v>
      </c>
      <c r="W51" s="59" t="n">
        <f aca="false">SUM(W11:W16)</f>
        <v>128.4714</v>
      </c>
      <c r="X51" s="58" t="n">
        <f aca="false">SUM(X11:X50)</f>
        <v>0</v>
      </c>
      <c r="Y51" s="58" t="n">
        <f aca="false">SUM(Y11:Y50)</f>
        <v>0</v>
      </c>
      <c r="Z51" s="58" t="n">
        <f aca="false">SUM(Z11:Z50)</f>
        <v>0</v>
      </c>
      <c r="AA51" s="58" t="n">
        <f aca="false">SUM(AA11:AA50)</f>
        <v>0</v>
      </c>
      <c r="AB51" s="58"/>
      <c r="AE51" s="61"/>
      <c r="AH51" s="62"/>
    </row>
    <row r="52" s="60" customFormat="true" ht="14.25" hidden="false" customHeight="true" outlineLevel="0" collapsed="false">
      <c r="A52" s="63"/>
      <c r="B52" s="63"/>
      <c r="C52" s="63"/>
      <c r="D52" s="63"/>
      <c r="R52" s="64"/>
      <c r="S52" s="64"/>
      <c r="T52" s="64"/>
      <c r="U52" s="61"/>
      <c r="V52" s="61"/>
      <c r="W52" s="61"/>
      <c r="X52" s="61"/>
      <c r="Y52" s="61"/>
      <c r="Z52" s="61"/>
      <c r="AA52" s="61"/>
      <c r="AB52" s="61"/>
    </row>
    <row r="53" s="60" customFormat="true" ht="15" hidden="false" customHeight="true" outlineLevel="0" collapsed="false">
      <c r="A53" s="20" t="s">
        <v>45</v>
      </c>
      <c r="B53" s="20"/>
      <c r="C53" s="20"/>
      <c r="D53" s="65" t="s">
        <v>57</v>
      </c>
      <c r="E53" s="20" t="s">
        <v>46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H53" s="61"/>
    </row>
    <row r="54" s="60" customFormat="true" ht="14.25" hidden="false" customHeight="true" outlineLevel="0" collapsed="false">
      <c r="A54" s="66"/>
      <c r="B54" s="66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="60" customFormat="true" ht="15" hidden="false" customHeight="true" outlineLevel="0" collapsed="false">
      <c r="A55" s="66"/>
      <c r="B55" s="66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AF55" s="69"/>
    </row>
    <row r="56" s="60" customFormat="true" ht="14.25" hidden="false" customHeight="true" outlineLevel="0" collapsed="false">
      <c r="A56" s="66"/>
      <c r="B56" s="66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 s="60" customFormat="true" ht="14.25" hidden="false" customHeight="true" outlineLevel="0" collapsed="false">
      <c r="A57" s="66"/>
      <c r="B57" s="66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 s="60" customFormat="true" ht="14.25" hidden="false" customHeight="true" outlineLevel="0" collapsed="false">
      <c r="A58" s="66"/>
      <c r="B58" s="66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 s="60" customFormat="true" ht="14.25" hidden="false" customHeight="true" outlineLevel="0" collapsed="false">
      <c r="A59" s="20" t="s">
        <v>47</v>
      </c>
      <c r="B59" s="20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0" t="s">
        <v>48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customFormat="fals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 customFormat="fals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 customFormat="fals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 customFormat="fals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 customFormat="fals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 customFormat="fals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 customFormat="fals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 customFormat="fals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 customFormat="fals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 customFormat="fals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 customFormat="fals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 customFormat="fals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  <row r="106" customFormat="fals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</row>
    <row r="107" customFormat="fals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</row>
    <row r="108" customFormat="fals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  <row r="122" s="24" customFormat="true" ht="12.7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23"/>
      <c r="AE122" s="23"/>
      <c r="AF122" s="23"/>
      <c r="AG122" s="23"/>
    </row>
    <row r="123" s="24" customFormat="true" ht="12.7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23"/>
      <c r="AE123" s="23"/>
      <c r="AF123" s="23"/>
      <c r="AG123" s="23"/>
    </row>
    <row r="124" s="24" customFormat="true" ht="12.7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23"/>
      <c r="AE124" s="23"/>
      <c r="AF124" s="23"/>
      <c r="AG124" s="23"/>
    </row>
    <row r="125" s="24" customFormat="true" ht="12.7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23"/>
      <c r="AE125" s="23"/>
      <c r="AF125" s="23"/>
      <c r="AG125" s="23"/>
    </row>
    <row r="126" s="24" customFormat="true" ht="12.7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23"/>
      <c r="AE126" s="23"/>
      <c r="AF126" s="23"/>
      <c r="AG126" s="23"/>
    </row>
    <row r="127" s="24" customFormat="true" ht="12.7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23"/>
      <c r="AE127" s="23"/>
      <c r="AF127" s="23"/>
      <c r="AG127" s="23"/>
    </row>
    <row r="128" s="24" customFormat="true" ht="12.7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23"/>
      <c r="AE128" s="23"/>
      <c r="AF128" s="23"/>
      <c r="AG128" s="23"/>
    </row>
    <row r="129" s="24" customFormat="true" ht="12.7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23"/>
      <c r="AE129" s="23"/>
      <c r="AF129" s="23"/>
      <c r="AG129" s="23"/>
    </row>
    <row r="130" s="24" customFormat="true" ht="12.7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23"/>
      <c r="AE130" s="23"/>
      <c r="AF130" s="23"/>
      <c r="AG130" s="23"/>
    </row>
    <row r="131" s="24" customFormat="true" ht="12.7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23"/>
      <c r="AE131" s="23"/>
      <c r="AF131" s="23"/>
      <c r="AG131" s="23"/>
    </row>
    <row r="132" s="24" customFormat="true" ht="12.7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23"/>
      <c r="AE132" s="23"/>
      <c r="AF132" s="23"/>
      <c r="AG132" s="23"/>
    </row>
    <row r="133" s="24" customFormat="true" ht="12.7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23"/>
      <c r="AE133" s="23"/>
      <c r="AF133" s="23"/>
      <c r="AG133" s="23"/>
    </row>
    <row r="134" s="24" customFormat="true" ht="12.7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23"/>
      <c r="AE134" s="23"/>
      <c r="AF134" s="23"/>
      <c r="AG134" s="23"/>
    </row>
    <row r="135" s="24" customFormat="true" ht="12.7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23"/>
      <c r="AE135" s="23"/>
      <c r="AF135" s="23"/>
      <c r="AG135" s="23"/>
    </row>
    <row r="136" s="24" customFormat="true" ht="12.7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23"/>
      <c r="AE136" s="23"/>
      <c r="AF136" s="23"/>
      <c r="AG136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2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J32" activeCellId="0" sqref="J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.86"/>
    <col collapsed="false" customWidth="true" hidden="false" outlineLevel="0" max="3" min="3" style="1" width="16.85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61.NĐXD4/CVXD ngày 15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  <c r="AZ2">
        <v>61</v>
      </c>
    </row>
    <row r="3" customFormat="false" ht="18.75" hidden="false" customHeight="true" outlineLevel="0" collapsed="false">
      <c r="A3" s="8" t="s">
        <v>25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26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27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29</v>
      </c>
      <c r="C7" s="8"/>
      <c r="D7" s="8"/>
      <c r="E7" s="8"/>
      <c r="F7" s="8"/>
      <c r="G7" s="8" t="str">
        <f>VLOOKUP(AZ2,'[1]Tuyến XD4'!$A$2:$B$60,2,0)</f>
        <v xml:space="preserve">Đắp cát nền đường lớp 2 đoạn từ Km0+672,28 - Km0+746,82,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1" customFormat="false" ht="15" hidden="false" customHeight="true" outlineLevel="0" collapsed="false">
      <c r="A21" s="10" t="s">
        <v>32</v>
      </c>
      <c r="B21" s="10" t="s">
        <v>33</v>
      </c>
      <c r="C21" s="10" t="s">
        <v>34</v>
      </c>
      <c r="D21" s="11" t="s">
        <v>35</v>
      </c>
      <c r="E21" s="11"/>
      <c r="F21" s="11"/>
      <c r="G21" s="11"/>
      <c r="H21" s="11"/>
      <c r="I21" s="11"/>
      <c r="J21" s="11" t="s">
        <v>36</v>
      </c>
      <c r="K21" s="11"/>
      <c r="L21" s="11"/>
      <c r="M21" s="11" t="s">
        <v>37</v>
      </c>
      <c r="N21" s="11"/>
      <c r="O21" s="11"/>
      <c r="P21" s="11"/>
      <c r="Q21" s="11"/>
      <c r="R21" s="11"/>
      <c r="S21" s="10" t="s">
        <v>38</v>
      </c>
    </row>
    <row r="22" customFormat="false" ht="30" hidden="false" customHeight="true" outlineLevel="0" collapsed="false">
      <c r="A22" s="10"/>
      <c r="B22" s="10"/>
      <c r="C22" s="10"/>
      <c r="D22" s="12" t="s">
        <v>39</v>
      </c>
      <c r="E22" s="12" t="s">
        <v>40</v>
      </c>
      <c r="F22" s="12" t="s">
        <v>41</v>
      </c>
      <c r="G22" s="12" t="s">
        <v>42</v>
      </c>
      <c r="H22" s="12" t="s">
        <v>43</v>
      </c>
      <c r="I22" s="12" t="s">
        <v>44</v>
      </c>
      <c r="J22" s="12" t="s">
        <v>42</v>
      </c>
      <c r="K22" s="12" t="s">
        <v>43</v>
      </c>
      <c r="L22" s="12" t="s">
        <v>44</v>
      </c>
      <c r="M22" s="12" t="s">
        <v>39</v>
      </c>
      <c r="N22" s="12" t="s">
        <v>40</v>
      </c>
      <c r="O22" s="12" t="s">
        <v>41</v>
      </c>
      <c r="P22" s="12" t="s">
        <v>42</v>
      </c>
      <c r="Q22" s="12" t="s">
        <v>43</v>
      </c>
      <c r="R22" s="12" t="s">
        <v>44</v>
      </c>
      <c r="S22" s="10"/>
      <c r="T22" s="13"/>
    </row>
    <row r="23" customFormat="false" ht="15" hidden="false" customHeight="false" outlineLevel="0" collapsed="false">
      <c r="A23" s="14" t="n">
        <v>1</v>
      </c>
      <c r="B23" s="14" t="s">
        <v>17</v>
      </c>
      <c r="C23" s="71" t="n">
        <v>672.28</v>
      </c>
      <c r="D23" s="17" t="n">
        <f aca="false">+Chạy!F4</f>
        <v>-9.18</v>
      </c>
      <c r="E23" s="17" t="n">
        <f aca="false">+D23+F23</f>
        <v>-9.1781</v>
      </c>
      <c r="F23" s="17" t="n">
        <f aca="false">RANDBETWEEN(-105,115)/10000</f>
        <v>0.0019</v>
      </c>
      <c r="G23" s="17" t="n">
        <f aca="false">+Chạy!G4</f>
        <v>-1.22</v>
      </c>
      <c r="H23" s="17" t="n">
        <f aca="false">G23+I23</f>
        <v>-1.147</v>
      </c>
      <c r="I23" s="17" t="n">
        <f aca="false">RANDBETWEEN(-30,90)/1000</f>
        <v>0.073</v>
      </c>
      <c r="J23" s="17" t="n">
        <f aca="false">+Chạy!K4</f>
        <v>-1.22</v>
      </c>
      <c r="K23" s="17" t="n">
        <f aca="false">J23+L23</f>
        <v>-1.139</v>
      </c>
      <c r="L23" s="17" t="n">
        <f aca="false">RANDBETWEEN(-30,90)/1000</f>
        <v>0.081</v>
      </c>
      <c r="M23" s="17" t="n">
        <f aca="false">+Chạy!N4</f>
        <v>16.69</v>
      </c>
      <c r="N23" s="17" t="n">
        <f aca="false">+M23+O23</f>
        <v>16.6969</v>
      </c>
      <c r="O23" s="17" t="n">
        <f aca="false">RANDBETWEEN(-105,115)/10000</f>
        <v>0.0069</v>
      </c>
      <c r="P23" s="17" t="n">
        <f aca="false">+Chạy!O4</f>
        <v>-1.22</v>
      </c>
      <c r="Q23" s="17" t="n">
        <f aca="false">P23+R23</f>
        <v>-1.139</v>
      </c>
      <c r="R23" s="17" t="n">
        <f aca="false">RANDBETWEEN(-30,90)/1000</f>
        <v>0.081</v>
      </c>
      <c r="S23" s="18"/>
      <c r="T23" s="0" t="n">
        <v>17</v>
      </c>
    </row>
    <row r="24" customFormat="false" ht="15" hidden="false" customHeight="false" outlineLevel="0" collapsed="false">
      <c r="A24" s="14" t="n">
        <v>2</v>
      </c>
      <c r="B24" s="14" t="s">
        <v>18</v>
      </c>
      <c r="C24" s="71" t="n">
        <f aca="false">+C23+T23</f>
        <v>689.28</v>
      </c>
      <c r="D24" s="17" t="n">
        <f aca="false">+Chạy!F8</f>
        <v>-8.44</v>
      </c>
      <c r="E24" s="17" t="n">
        <f aca="false">+D24+F24</f>
        <v>-8.4366</v>
      </c>
      <c r="F24" s="17" t="n">
        <f aca="false">RANDBETWEEN(-105,115)/10000</f>
        <v>0.0034</v>
      </c>
      <c r="G24" s="17" t="n">
        <f aca="false">+Chạy!G8</f>
        <v>-1.22</v>
      </c>
      <c r="H24" s="17" t="n">
        <f aca="false">G24+I24</f>
        <v>-1.218</v>
      </c>
      <c r="I24" s="17" t="n">
        <f aca="false">RANDBETWEEN(-30,90)/1000</f>
        <v>0.002</v>
      </c>
      <c r="J24" s="17" t="n">
        <f aca="false">+Chạy!K8</f>
        <v>-1.22</v>
      </c>
      <c r="K24" s="17" t="n">
        <f aca="false">J24+L24</f>
        <v>-1.218</v>
      </c>
      <c r="L24" s="17" t="n">
        <f aca="false">RANDBETWEEN(-30,90)/1000</f>
        <v>0.002</v>
      </c>
      <c r="M24" s="17" t="n">
        <f aca="false">+Chạy!N8</f>
        <v>7.68</v>
      </c>
      <c r="N24" s="17" t="n">
        <f aca="false">+M24+O24</f>
        <v>7.6798</v>
      </c>
      <c r="O24" s="17" t="n">
        <f aca="false">RANDBETWEEN(-105,115)/10000</f>
        <v>-0.0002</v>
      </c>
      <c r="P24" s="17" t="n">
        <f aca="false">+Chạy!O8</f>
        <v>-1.22</v>
      </c>
      <c r="Q24" s="17" t="n">
        <f aca="false">P24+R24</f>
        <v>-1.245</v>
      </c>
      <c r="R24" s="17" t="n">
        <f aca="false">RANDBETWEEN(-30,90)/1000</f>
        <v>-0.025</v>
      </c>
      <c r="S24" s="18"/>
      <c r="T24" s="0" t="n">
        <v>11.75</v>
      </c>
    </row>
    <row r="25" customFormat="false" ht="15" hidden="false" customHeight="false" outlineLevel="0" collapsed="false">
      <c r="A25" s="14" t="n">
        <v>3</v>
      </c>
      <c r="B25" s="14" t="s">
        <v>19</v>
      </c>
      <c r="C25" s="71" t="n">
        <f aca="false">+C24+T24</f>
        <v>701.03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8"/>
      <c r="T25" s="0" t="n">
        <v>11.75</v>
      </c>
    </row>
    <row r="26" customFormat="false" ht="15" hidden="false" customHeight="false" outlineLevel="0" collapsed="false">
      <c r="A26" s="14" t="n">
        <v>4</v>
      </c>
      <c r="B26" s="14" t="s">
        <v>20</v>
      </c>
      <c r="C26" s="71" t="n">
        <f aca="false">+C25+T25</f>
        <v>712.78</v>
      </c>
      <c r="D26" s="17" t="n">
        <f aca="false">+Chạy!F16</f>
        <v>-8.58</v>
      </c>
      <c r="E26" s="17" t="n">
        <f aca="false">+D26+F26</f>
        <v>-8.5768</v>
      </c>
      <c r="F26" s="17" t="n">
        <f aca="false">RANDBETWEEN(-105,115)/10000</f>
        <v>0.0032</v>
      </c>
      <c r="G26" s="17" t="n">
        <f aca="false">+Chạy!G16</f>
        <v>-1.22</v>
      </c>
      <c r="H26" s="17" t="n">
        <f aca="false">G26+I26</f>
        <v>-1.188</v>
      </c>
      <c r="I26" s="17" t="n">
        <f aca="false">RANDBETWEEN(-30,90)/1000</f>
        <v>0.032</v>
      </c>
      <c r="J26" s="17" t="n">
        <f aca="false">+Chạy!K16</f>
        <v>-1.22</v>
      </c>
      <c r="K26" s="17" t="n">
        <f aca="false">J26+L26</f>
        <v>-1.187</v>
      </c>
      <c r="L26" s="17" t="n">
        <f aca="false">RANDBETWEEN(-30,90)/1000</f>
        <v>0.033</v>
      </c>
      <c r="M26" s="17" t="n">
        <f aca="false">+Chạy!N16</f>
        <v>7.54</v>
      </c>
      <c r="N26" s="17" t="n">
        <f aca="false">+M26+O26</f>
        <v>7.5322</v>
      </c>
      <c r="O26" s="17" t="n">
        <f aca="false">RANDBETWEEN(-105,115)/10000</f>
        <v>-0.0078</v>
      </c>
      <c r="P26" s="17" t="n">
        <f aca="false">+Chạy!O16</f>
        <v>-1.22</v>
      </c>
      <c r="Q26" s="17" t="n">
        <f aca="false">P26+R26</f>
        <v>-1.232</v>
      </c>
      <c r="R26" s="17" t="n">
        <f aca="false">RANDBETWEEN(-30,90)/1000</f>
        <v>-0.012</v>
      </c>
      <c r="S26" s="18"/>
      <c r="T26" s="0" t="n">
        <v>17</v>
      </c>
    </row>
    <row r="27" customFormat="false" ht="15" hidden="false" customHeight="false" outlineLevel="0" collapsed="false">
      <c r="A27" s="14" t="n">
        <v>5</v>
      </c>
      <c r="B27" s="14" t="s">
        <v>21</v>
      </c>
      <c r="C27" s="71" t="n">
        <f aca="false">+C26+T26</f>
        <v>729.78</v>
      </c>
      <c r="D27" s="17" t="n">
        <f aca="false">+Chạy!F20</f>
        <v>-5.65</v>
      </c>
      <c r="E27" s="17" t="n">
        <f aca="false">+D27+F27</f>
        <v>-5.6583</v>
      </c>
      <c r="F27" s="17" t="n">
        <f aca="false">RANDBETWEEN(-105,115)/10000</f>
        <v>-0.0083</v>
      </c>
      <c r="G27" s="17" t="n">
        <f aca="false">+Chạy!G20</f>
        <v>-1.22</v>
      </c>
      <c r="H27" s="17" t="n">
        <f aca="false">G27+I27</f>
        <v>-1.13</v>
      </c>
      <c r="I27" s="17" t="n">
        <f aca="false">RANDBETWEEN(-30,90)/1000</f>
        <v>0.09</v>
      </c>
      <c r="J27" s="17" t="n">
        <f aca="false">+Chạy!K20</f>
        <v>-1.22</v>
      </c>
      <c r="K27" s="17" t="n">
        <f aca="false">J27+L27</f>
        <v>-1.248</v>
      </c>
      <c r="L27" s="17" t="n">
        <f aca="false">RANDBETWEEN(-30,90)/1000</f>
        <v>-0.028</v>
      </c>
      <c r="M27" s="17" t="n">
        <f aca="false">+Chạy!N20</f>
        <v>5.65</v>
      </c>
      <c r="N27" s="17" t="n">
        <f aca="false">+M27+O27</f>
        <v>5.652</v>
      </c>
      <c r="O27" s="17" t="n">
        <f aca="false">RANDBETWEEN(-105,115)/10000</f>
        <v>0.002</v>
      </c>
      <c r="P27" s="17" t="n">
        <f aca="false">+Chạy!O20</f>
        <v>-1.22</v>
      </c>
      <c r="Q27" s="17" t="n">
        <f aca="false">P27+R27</f>
        <v>-1.171</v>
      </c>
      <c r="R27" s="17" t="n">
        <f aca="false">RANDBETWEEN(-30,90)/1000</f>
        <v>0.049</v>
      </c>
      <c r="S27" s="18"/>
      <c r="T27" s="0" t="n">
        <v>17.04</v>
      </c>
    </row>
    <row r="28" customFormat="false" ht="15" hidden="false" customHeight="false" outlineLevel="0" collapsed="false">
      <c r="A28" s="14" t="n">
        <v>6</v>
      </c>
      <c r="B28" s="14" t="s">
        <v>22</v>
      </c>
      <c r="C28" s="71" t="n">
        <f aca="false">+C27+T27</f>
        <v>746.82</v>
      </c>
      <c r="D28" s="17" t="n">
        <f aca="false">+Chạy!F24</f>
        <v>-6.09</v>
      </c>
      <c r="E28" s="17" t="n">
        <f aca="false">+D28+F28</f>
        <v>-6.0847</v>
      </c>
      <c r="F28" s="17" t="n">
        <f aca="false">RANDBETWEEN(-105,115)/10000</f>
        <v>0.0053</v>
      </c>
      <c r="G28" s="17" t="n">
        <f aca="false">+Chạy!G24</f>
        <v>-1.22</v>
      </c>
      <c r="H28" s="17" t="n">
        <f aca="false">G28+I28</f>
        <v>-1.163</v>
      </c>
      <c r="I28" s="17" t="n">
        <f aca="false">RANDBETWEEN(-30,90)/1000</f>
        <v>0.057</v>
      </c>
      <c r="J28" s="17" t="n">
        <f aca="false">+Chạy!K24</f>
        <v>-1.22</v>
      </c>
      <c r="K28" s="17" t="n">
        <f aca="false">J28+L28</f>
        <v>-1.237</v>
      </c>
      <c r="L28" s="17" t="n">
        <f aca="false">RANDBETWEEN(-30,90)/1000</f>
        <v>-0.017</v>
      </c>
      <c r="M28" s="17" t="n">
        <f aca="false">+Chạy!N24</f>
        <v>7.25</v>
      </c>
      <c r="N28" s="17" t="n">
        <f aca="false">+M28+O28</f>
        <v>7.2459</v>
      </c>
      <c r="O28" s="17" t="n">
        <f aca="false">RANDBETWEEN(-105,115)/10000</f>
        <v>-0.0041</v>
      </c>
      <c r="P28" s="17" t="n">
        <f aca="false">+Chạy!O24</f>
        <v>-1.22</v>
      </c>
      <c r="Q28" s="17" t="n">
        <f aca="false">P28+R28</f>
        <v>-1.172</v>
      </c>
      <c r="R28" s="17" t="n">
        <f aca="false">RANDBETWEEN(-30,90)/1000</f>
        <v>0.048</v>
      </c>
      <c r="S28" s="18"/>
    </row>
    <row r="29" customFormat="false" ht="15" hidden="true" customHeight="false" outlineLevel="0" collapsed="false">
      <c r="A29" s="14"/>
      <c r="B29" s="14"/>
      <c r="C29" s="71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</row>
    <row r="30" customFormat="false" ht="15" hidden="true" customHeight="false" outlineLevel="0" collapsed="false">
      <c r="A30" s="14"/>
      <c r="B30" s="14"/>
      <c r="C30" s="7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</row>
    <row r="31" customFormat="false" ht="15" hidden="true" customHeight="false" outlineLevel="0" collapsed="false">
      <c r="A31" s="14"/>
      <c r="B31" s="14"/>
      <c r="C31" s="71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</row>
    <row r="32" customFormat="false" ht="15" hidden="true" customHeight="false" outlineLevel="0" collapsed="false">
      <c r="A32" s="14"/>
      <c r="B32" s="14"/>
      <c r="C32" s="71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</row>
    <row r="33" customFormat="false" ht="15" hidden="true" customHeight="false" outlineLevel="0" collapsed="false">
      <c r="A33" s="14"/>
      <c r="B33" s="14"/>
      <c r="C33" s="7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</row>
    <row r="34" customFormat="false" ht="15" hidden="true" customHeight="false" outlineLevel="0" collapsed="false">
      <c r="A34" s="14"/>
      <c r="B34" s="14"/>
      <c r="C34" s="7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7" customFormat="false" ht="15" hidden="true" customHeight="false" outlineLevel="0" collapsed="false">
      <c r="A47" s="14"/>
      <c r="B47" s="14"/>
      <c r="C47" s="71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</row>
    <row r="48" customFormat="false" ht="15" hidden="true" customHeight="false" outlineLevel="0" collapsed="false">
      <c r="A48" s="14"/>
      <c r="B48" s="14"/>
      <c r="C48" s="71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8"/>
    </row>
    <row r="49" customFormat="false" ht="15" hidden="true" customHeight="false" outlineLevel="0" collapsed="false">
      <c r="A49" s="14"/>
      <c r="B49" s="14"/>
      <c r="C49" s="71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8"/>
    </row>
    <row r="50" customFormat="false" ht="15" hidden="true" customHeight="false" outlineLevel="0" collapsed="false">
      <c r="A50" s="14"/>
      <c r="B50" s="14"/>
      <c r="C50" s="7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8"/>
    </row>
    <row r="51" customFormat="false" ht="15" hidden="true" customHeight="false" outlineLevel="0" collapsed="false">
      <c r="A51" s="14"/>
      <c r="B51" s="14"/>
      <c r="C51" s="71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</row>
    <row r="52" customFormat="false" ht="15" hidden="true" customHeight="false" outlineLevel="0" collapsed="false">
      <c r="A52" s="14"/>
      <c r="B52" s="14"/>
      <c r="C52" s="71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8"/>
    </row>
    <row r="53" customFormat="false" ht="15" hidden="true" customHeight="false" outlineLevel="0" collapsed="false">
      <c r="A53" s="14"/>
      <c r="B53" s="14"/>
      <c r="C53" s="71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8"/>
    </row>
    <row r="54" customFormat="false" ht="15" hidden="true" customHeight="false" outlineLevel="0" collapsed="false">
      <c r="A54" s="14"/>
      <c r="B54" s="14"/>
      <c r="C54" s="71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8"/>
    </row>
    <row r="55" customFormat="false" ht="15" hidden="true" customHeight="false" outlineLevel="0" collapsed="false">
      <c r="A55" s="14"/>
      <c r="B55" s="14"/>
      <c r="C55" s="71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</row>
    <row r="56" customFormat="false" ht="15" hidden="true" customHeight="false" outlineLevel="0" collapsed="false">
      <c r="A56" s="14"/>
      <c r="B56" s="14"/>
      <c r="C56" s="71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</row>
    <row r="57" customFormat="false" ht="15" hidden="true" customHeight="false" outlineLevel="0" collapsed="false">
      <c r="A57" s="14"/>
      <c r="B57" s="14"/>
      <c r="C57" s="71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8"/>
    </row>
    <row r="58" customFormat="false" ht="15" hidden="true" customHeight="false" outlineLevel="0" collapsed="false">
      <c r="A58" s="14"/>
      <c r="B58" s="14"/>
      <c r="C58" s="7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8"/>
    </row>
    <row r="59" customFormat="false" ht="15" hidden="true" customHeight="false" outlineLevel="0" collapsed="false">
      <c r="A59" s="14"/>
      <c r="B59" s="14"/>
      <c r="C59" s="71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</row>
    <row r="60" customFormat="false" ht="15" hidden="true" customHeight="false" outlineLevel="0" collapsed="false">
      <c r="A60" s="14"/>
      <c r="B60" s="14"/>
      <c r="C60" s="71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</row>
    <row r="61" customFormat="false" ht="15" hidden="true" customHeight="false" outlineLevel="0" collapsed="false">
      <c r="A61" s="14"/>
      <c r="B61" s="14"/>
      <c r="C61" s="71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</row>
    <row r="62" customFormat="false" ht="15" hidden="true" customHeight="false" outlineLevel="0" collapsed="false">
      <c r="A62" s="14"/>
      <c r="B62" s="14"/>
      <c r="C62" s="71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</row>
    <row r="64" customFormat="false" ht="15" hidden="false" customHeight="false" outlineLevel="0" collapsed="false">
      <c r="C64" s="20" t="s">
        <v>45</v>
      </c>
      <c r="D64" s="20"/>
      <c r="E64" s="20"/>
      <c r="F64" s="20"/>
      <c r="G64" s="20"/>
      <c r="H64" s="20"/>
      <c r="I64" s="20"/>
      <c r="K64" s="21"/>
      <c r="L64" s="21"/>
      <c r="M64" s="21"/>
      <c r="N64" s="21"/>
      <c r="O64" s="20" t="s">
        <v>46</v>
      </c>
      <c r="P64" s="20"/>
      <c r="Q64" s="20"/>
      <c r="R64" s="20"/>
    </row>
    <row r="65" customFormat="false" ht="15" hidden="false" customHeight="false" outlineLevel="0" collapsed="false">
      <c r="E65" s="22"/>
      <c r="F65" s="22"/>
      <c r="G65" s="22"/>
      <c r="H65" s="22"/>
      <c r="K65" s="22"/>
      <c r="L65" s="22"/>
      <c r="M65" s="22"/>
      <c r="N65" s="22"/>
      <c r="O65" s="22"/>
      <c r="P65" s="22"/>
      <c r="Q65" s="22"/>
      <c r="R65" s="22"/>
    </row>
    <row r="66" customFormat="false" ht="15" hidden="false" customHeight="false" outlineLevel="0" collapsed="false">
      <c r="E66" s="22"/>
      <c r="F66" s="22"/>
      <c r="G66" s="22"/>
      <c r="H66" s="22"/>
      <c r="K66" s="22"/>
      <c r="L66" s="22"/>
      <c r="M66" s="22"/>
      <c r="N66" s="22"/>
      <c r="O66" s="22"/>
      <c r="P66" s="22"/>
      <c r="Q66" s="22"/>
      <c r="R66" s="22"/>
    </row>
    <row r="67" customFormat="false" ht="15" hidden="false" customHeight="false" outlineLevel="0" collapsed="false">
      <c r="E67" s="22"/>
      <c r="F67" s="22"/>
      <c r="G67" s="22"/>
      <c r="H67" s="22"/>
      <c r="K67" s="22"/>
      <c r="L67" s="22"/>
      <c r="M67" s="22"/>
      <c r="N67" s="22"/>
      <c r="O67" s="22"/>
      <c r="P67" s="22"/>
      <c r="Q67" s="22"/>
      <c r="R67" s="22"/>
    </row>
    <row r="68" customFormat="false" ht="15" hidden="false" customHeight="false" outlineLevel="0" collapsed="false">
      <c r="E68" s="22"/>
      <c r="F68" s="22"/>
      <c r="G68" s="22"/>
      <c r="H68" s="22"/>
      <c r="K68" s="22"/>
      <c r="L68" s="22"/>
      <c r="M68" s="22"/>
      <c r="N68" s="22"/>
      <c r="O68" s="22"/>
      <c r="P68" s="22"/>
      <c r="Q68" s="22"/>
      <c r="R68" s="22"/>
    </row>
    <row r="69" customFormat="false" ht="15" hidden="false" customHeight="false" outlineLevel="0" collapsed="false">
      <c r="C69" s="20" t="s">
        <v>47</v>
      </c>
      <c r="D69" s="20"/>
      <c r="E69" s="20"/>
      <c r="F69" s="20"/>
      <c r="G69" s="20"/>
      <c r="H69" s="20"/>
      <c r="I69" s="20"/>
      <c r="K69" s="21"/>
      <c r="L69" s="21"/>
      <c r="M69" s="21"/>
      <c r="N69" s="21"/>
      <c r="O69" s="20" t="s">
        <v>48</v>
      </c>
      <c r="P69" s="20"/>
      <c r="Q69" s="20"/>
      <c r="R69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4:I64"/>
    <mergeCell ref="O64:R64"/>
    <mergeCell ref="C69:I69"/>
    <mergeCell ref="O69:R69"/>
  </mergeCells>
  <printOptions headings="false" gridLines="false" gridLinesSet="true" horizontalCentered="true" verticalCentered="false"/>
  <pageMargins left="0.196527777777778" right="0.157638888888889" top="0.511805555555556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O16" activeCellId="0" sqref="O16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6.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61.NĐXD4/CVXD ngày 15 tháng 09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Z2">
        <v>61</v>
      </c>
    </row>
    <row r="3" s="30" customFormat="true" ht="37.5" hidden="false" customHeight="true" outlineLevel="0" collapsed="false">
      <c r="A3" s="28" t="s">
        <v>25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26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27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28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29</v>
      </c>
      <c r="B7" s="32"/>
      <c r="D7" s="33" t="str">
        <f>VLOOKUP(AZ2,'[1]Tuyến XD4'!$A$2:$B$60,2,0)</f>
        <v xml:space="preserve">Đắp cát nền đường lớp 2 đoạn từ Km0+672,28 - Km0+746,82,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33</v>
      </c>
      <c r="C9" s="35" t="s">
        <v>34</v>
      </c>
      <c r="D9" s="36" t="s">
        <v>50</v>
      </c>
      <c r="E9" s="37"/>
      <c r="F9" s="37"/>
      <c r="G9" s="36"/>
      <c r="H9" s="37"/>
      <c r="I9" s="37"/>
      <c r="J9" s="37"/>
      <c r="K9" s="37"/>
      <c r="L9" s="37"/>
      <c r="M9" s="38" t="s">
        <v>51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38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52</v>
      </c>
      <c r="O10" s="38" t="s">
        <v>53</v>
      </c>
      <c r="P10" s="38" t="s">
        <v>52</v>
      </c>
      <c r="Q10" s="38" t="s">
        <v>52</v>
      </c>
      <c r="R10" s="38"/>
      <c r="S10" s="38"/>
      <c r="T10" s="38"/>
      <c r="U10" s="38" t="s">
        <v>54</v>
      </c>
      <c r="V10" s="38" t="s">
        <v>54</v>
      </c>
      <c r="W10" s="38" t="s">
        <v>55</v>
      </c>
      <c r="X10" s="38" t="s">
        <v>54</v>
      </c>
      <c r="Y10" s="38" t="s">
        <v>54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'2.KTHH L2'!B23</f>
        <v>38</v>
      </c>
      <c r="C11" s="16" t="n">
        <f aca="false">'2.KTHH L2'!C23</f>
        <v>672.28</v>
      </c>
      <c r="D11" s="14" t="n">
        <f aca="false">'2.KTHH L2'!T23</f>
        <v>17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7" t="n">
        <f aca="false">Chạy!E4</f>
        <v>7.78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106.505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'2.KTHH L2'!B24</f>
        <v>39</v>
      </c>
      <c r="C12" s="16" t="n">
        <f aca="false">'2.KTHH L2'!C24</f>
        <v>689.28</v>
      </c>
      <c r="D12" s="14" t="n">
        <f aca="false">'2.KTHH L2'!T24</f>
        <v>11.75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7" t="n">
        <f aca="false">Chạy!E8</f>
        <v>4.75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27.90625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'2.KTHH L2'!B25</f>
        <v>F2</v>
      </c>
      <c r="C13" s="16" t="n">
        <f aca="false">'2.KTHH L2'!C25</f>
        <v>701.03</v>
      </c>
      <c r="D13" s="14" t="n">
        <f aca="false">'2.KTHH L2'!T25</f>
        <v>11.75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7"/>
      <c r="P13" s="47"/>
      <c r="Q13" s="47"/>
      <c r="R13" s="50"/>
      <c r="S13" s="50"/>
      <c r="T13" s="50"/>
      <c r="U13" s="50"/>
      <c r="V13" s="50"/>
      <c r="W13" s="50" t="n">
        <f aca="false">(O13+O14)*D13/2</f>
        <v>27.8475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'2.KTHH L2'!B26</f>
        <v>40</v>
      </c>
      <c r="C14" s="16" t="n">
        <f aca="false">'2.KTHH L2'!C26</f>
        <v>712.78</v>
      </c>
      <c r="D14" s="14" t="n">
        <f aca="false">'2.KTHH L2'!T26</f>
        <v>17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7" t="n">
        <f aca="false">Chạy!E16</f>
        <v>4.74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68.34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'2.KTHH L2'!B27</f>
        <v>41</v>
      </c>
      <c r="C15" s="16" t="n">
        <f aca="false">'2.KTHH L2'!C27</f>
        <v>729.78</v>
      </c>
      <c r="D15" s="14" t="n">
        <f aca="false">'2.KTHH L2'!T27</f>
        <v>17.04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7" t="n">
        <f aca="false">Chạy!E20</f>
        <v>3.3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61.4292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'2.KTHH L2'!B28</f>
        <v>42</v>
      </c>
      <c r="C16" s="16" t="n">
        <f aca="false">'2.KTHH L2'!C28</f>
        <v>746.82</v>
      </c>
      <c r="D16" s="14"/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7" t="n">
        <f aca="false">Chạy!E24</f>
        <v>3.91</v>
      </c>
      <c r="P16" s="47"/>
      <c r="Q16" s="47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1"/>
      <c r="AC16" s="50"/>
      <c r="AE16" s="52"/>
    </row>
    <row r="17" s="45" customFormat="true" ht="15" hidden="true" customHeight="true" outlineLevel="0" collapsed="false">
      <c r="A17" s="14"/>
      <c r="B17" s="14"/>
      <c r="C17" s="16"/>
      <c r="D17" s="14"/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7"/>
      <c r="P17" s="47"/>
      <c r="Q17" s="47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1"/>
      <c r="AC17" s="50"/>
      <c r="AE17" s="52"/>
    </row>
    <row r="18" s="45" customFormat="true" ht="15" hidden="true" customHeight="true" outlineLevel="0" collapsed="false">
      <c r="A18" s="14"/>
      <c r="B18" s="14"/>
      <c r="C18" s="16"/>
      <c r="D18" s="14"/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7"/>
      <c r="P18" s="47"/>
      <c r="Q18" s="47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1"/>
      <c r="AC18" s="50"/>
      <c r="AE18" s="52"/>
    </row>
    <row r="19" s="45" customFormat="true" ht="15" hidden="true" customHeight="true" outlineLevel="0" collapsed="false">
      <c r="A19" s="14"/>
      <c r="B19" s="14"/>
      <c r="C19" s="16"/>
      <c r="D19" s="14"/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7"/>
      <c r="P19" s="47"/>
      <c r="Q19" s="47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1"/>
      <c r="AC19" s="50"/>
      <c r="AE19" s="52"/>
    </row>
    <row r="20" s="45" customFormat="true" ht="15" hidden="true" customHeight="true" outlineLevel="0" collapsed="false">
      <c r="A20" s="14"/>
      <c r="B20" s="14"/>
      <c r="C20" s="16"/>
      <c r="D20" s="14"/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7"/>
      <c r="P20" s="47"/>
      <c r="Q20" s="47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1"/>
      <c r="AC20" s="50"/>
      <c r="AE20" s="52"/>
    </row>
    <row r="21" s="45" customFormat="true" ht="15" hidden="true" customHeight="true" outlineLevel="0" collapsed="false">
      <c r="A21" s="14"/>
      <c r="B21" s="14"/>
      <c r="C21" s="16"/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7"/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7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7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7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7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7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7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7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7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7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7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7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7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7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7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45" customFormat="true" ht="15" hidden="true" customHeight="true" outlineLevel="0" collapsed="false">
      <c r="A36" s="14"/>
      <c r="B36" s="14"/>
      <c r="C36" s="16"/>
      <c r="D36" s="14"/>
      <c r="E36" s="46"/>
      <c r="F36" s="46"/>
      <c r="G36" s="46"/>
      <c r="H36" s="46"/>
      <c r="I36" s="46"/>
      <c r="J36" s="46"/>
      <c r="K36" s="47"/>
      <c r="L36" s="17"/>
      <c r="M36" s="18"/>
      <c r="N36" s="48"/>
      <c r="O36" s="47"/>
      <c r="P36" s="47"/>
      <c r="Q36" s="47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1"/>
      <c r="AC36" s="50"/>
      <c r="AE36" s="52"/>
    </row>
    <row r="37" s="45" customFormat="true" ht="15" hidden="true" customHeight="true" outlineLevel="0" collapsed="false">
      <c r="A37" s="14"/>
      <c r="B37" s="14"/>
      <c r="C37" s="16"/>
      <c r="D37" s="14"/>
      <c r="E37" s="46"/>
      <c r="F37" s="46"/>
      <c r="G37" s="46"/>
      <c r="H37" s="46"/>
      <c r="I37" s="46"/>
      <c r="J37" s="46"/>
      <c r="K37" s="47"/>
      <c r="L37" s="17"/>
      <c r="M37" s="18"/>
      <c r="N37" s="48"/>
      <c r="O37" s="47"/>
      <c r="P37" s="47"/>
      <c r="Q37" s="47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1"/>
      <c r="AC37" s="50"/>
      <c r="AE37" s="52"/>
    </row>
    <row r="38" s="45" customFormat="true" ht="15" hidden="true" customHeight="true" outlineLevel="0" collapsed="false">
      <c r="A38" s="14"/>
      <c r="B38" s="14"/>
      <c r="C38" s="16"/>
      <c r="D38" s="14"/>
      <c r="E38" s="46"/>
      <c r="F38" s="46"/>
      <c r="G38" s="46"/>
      <c r="H38" s="46"/>
      <c r="I38" s="46"/>
      <c r="J38" s="46"/>
      <c r="K38" s="47"/>
      <c r="L38" s="17"/>
      <c r="M38" s="18"/>
      <c r="N38" s="48"/>
      <c r="O38" s="47"/>
      <c r="P38" s="47"/>
      <c r="Q38" s="47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1"/>
      <c r="AC38" s="50"/>
      <c r="AE38" s="52"/>
    </row>
    <row r="39" s="45" customFormat="true" ht="15" hidden="true" customHeight="true" outlineLevel="0" collapsed="false">
      <c r="A39" s="14"/>
      <c r="B39" s="14"/>
      <c r="C39" s="16"/>
      <c r="D39" s="14"/>
      <c r="E39" s="46"/>
      <c r="F39" s="46"/>
      <c r="G39" s="46"/>
      <c r="H39" s="46"/>
      <c r="I39" s="46"/>
      <c r="J39" s="46"/>
      <c r="K39" s="47"/>
      <c r="L39" s="17"/>
      <c r="M39" s="18"/>
      <c r="N39" s="48"/>
      <c r="O39" s="47"/>
      <c r="P39" s="47"/>
      <c r="Q39" s="47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1"/>
      <c r="AC39" s="50"/>
      <c r="AE39" s="52"/>
    </row>
    <row r="40" s="45" customFormat="true" ht="15" hidden="true" customHeight="true" outlineLevel="0" collapsed="false">
      <c r="A40" s="14"/>
      <c r="B40" s="14"/>
      <c r="C40" s="16"/>
      <c r="D40" s="14"/>
      <c r="E40" s="46"/>
      <c r="F40" s="46"/>
      <c r="G40" s="46"/>
      <c r="H40" s="46"/>
      <c r="I40" s="46"/>
      <c r="J40" s="46"/>
      <c r="K40" s="47"/>
      <c r="L40" s="17"/>
      <c r="M40" s="18"/>
      <c r="N40" s="48"/>
      <c r="O40" s="47"/>
      <c r="P40" s="47"/>
      <c r="Q40" s="47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1"/>
      <c r="AC40" s="50"/>
      <c r="AE40" s="52"/>
    </row>
    <row r="41" s="45" customFormat="true" ht="15" hidden="true" customHeight="true" outlineLevel="0" collapsed="false">
      <c r="A41" s="14"/>
      <c r="B41" s="14"/>
      <c r="C41" s="16"/>
      <c r="D41" s="14"/>
      <c r="E41" s="46"/>
      <c r="F41" s="46"/>
      <c r="G41" s="46"/>
      <c r="H41" s="46"/>
      <c r="I41" s="46"/>
      <c r="J41" s="46"/>
      <c r="K41" s="47"/>
      <c r="L41" s="17"/>
      <c r="M41" s="18"/>
      <c r="N41" s="48"/>
      <c r="O41" s="47"/>
      <c r="P41" s="47"/>
      <c r="Q41" s="47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1"/>
      <c r="AC41" s="50"/>
      <c r="AE41" s="52"/>
    </row>
    <row r="42" s="45" customFormat="true" ht="15" hidden="true" customHeight="true" outlineLevel="0" collapsed="false">
      <c r="A42" s="14"/>
      <c r="B42" s="14"/>
      <c r="C42" s="16"/>
      <c r="D42" s="14"/>
      <c r="E42" s="46"/>
      <c r="F42" s="46"/>
      <c r="G42" s="46"/>
      <c r="H42" s="46"/>
      <c r="I42" s="46"/>
      <c r="J42" s="46"/>
      <c r="K42" s="47"/>
      <c r="L42" s="17"/>
      <c r="M42" s="18"/>
      <c r="N42" s="48"/>
      <c r="O42" s="47"/>
      <c r="P42" s="47"/>
      <c r="Q42" s="47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1"/>
      <c r="AC42" s="50"/>
      <c r="AE42" s="52"/>
    </row>
    <row r="43" s="45" customFormat="true" ht="15" hidden="true" customHeight="true" outlineLevel="0" collapsed="false">
      <c r="A43" s="14"/>
      <c r="B43" s="14"/>
      <c r="C43" s="16"/>
      <c r="D43" s="14"/>
      <c r="E43" s="46"/>
      <c r="F43" s="46"/>
      <c r="G43" s="46"/>
      <c r="H43" s="46"/>
      <c r="I43" s="46"/>
      <c r="J43" s="46"/>
      <c r="K43" s="47"/>
      <c r="L43" s="17"/>
      <c r="M43" s="18"/>
      <c r="N43" s="48"/>
      <c r="O43" s="47"/>
      <c r="P43" s="47"/>
      <c r="Q43" s="47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1"/>
      <c r="AC43" s="50"/>
      <c r="AE43" s="52"/>
    </row>
    <row r="44" s="45" customFormat="true" ht="15" hidden="true" customHeight="true" outlineLevel="0" collapsed="false">
      <c r="A44" s="14"/>
      <c r="B44" s="14"/>
      <c r="C44" s="16"/>
      <c r="D44" s="14"/>
      <c r="E44" s="46"/>
      <c r="F44" s="46"/>
      <c r="G44" s="46"/>
      <c r="H44" s="46"/>
      <c r="I44" s="46"/>
      <c r="J44" s="46"/>
      <c r="K44" s="47"/>
      <c r="L44" s="17"/>
      <c r="M44" s="18"/>
      <c r="N44" s="48"/>
      <c r="O44" s="47"/>
      <c r="P44" s="47"/>
      <c r="Q44" s="47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1"/>
      <c r="AC44" s="50"/>
      <c r="AE44" s="52"/>
    </row>
    <row r="45" s="45" customFormat="true" ht="15" hidden="true" customHeight="true" outlineLevel="0" collapsed="false">
      <c r="A45" s="14"/>
      <c r="B45" s="14"/>
      <c r="C45" s="16"/>
      <c r="D45" s="14"/>
      <c r="E45" s="46"/>
      <c r="F45" s="46"/>
      <c r="G45" s="46"/>
      <c r="H45" s="46"/>
      <c r="I45" s="46"/>
      <c r="J45" s="46"/>
      <c r="K45" s="47"/>
      <c r="L45" s="17"/>
      <c r="M45" s="18"/>
      <c r="N45" s="48"/>
      <c r="O45" s="47"/>
      <c r="P45" s="47"/>
      <c r="Q45" s="47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/>
      <c r="AC45" s="50"/>
      <c r="AE45" s="52"/>
    </row>
    <row r="46" s="45" customFormat="true" ht="15" hidden="true" customHeight="true" outlineLevel="0" collapsed="false">
      <c r="A46" s="14"/>
      <c r="B46" s="14"/>
      <c r="C46" s="16"/>
      <c r="D46" s="14"/>
      <c r="E46" s="46"/>
      <c r="F46" s="46"/>
      <c r="G46" s="46"/>
      <c r="H46" s="46"/>
      <c r="I46" s="46"/>
      <c r="J46" s="46"/>
      <c r="K46" s="47"/>
      <c r="L46" s="17"/>
      <c r="M46" s="18"/>
      <c r="N46" s="48"/>
      <c r="O46" s="47"/>
      <c r="P46" s="47"/>
      <c r="Q46" s="47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0"/>
      <c r="AE46" s="52"/>
    </row>
    <row r="47" s="45" customFormat="true" ht="15" hidden="true" customHeight="true" outlineLevel="0" collapsed="false">
      <c r="A47" s="14"/>
      <c r="B47" s="14"/>
      <c r="C47" s="16"/>
      <c r="D47" s="14"/>
      <c r="E47" s="46"/>
      <c r="F47" s="46"/>
      <c r="G47" s="46"/>
      <c r="H47" s="46"/>
      <c r="I47" s="46"/>
      <c r="J47" s="46"/>
      <c r="K47" s="47"/>
      <c r="L47" s="17"/>
      <c r="M47" s="18"/>
      <c r="N47" s="48"/>
      <c r="O47" s="47"/>
      <c r="P47" s="47"/>
      <c r="Q47" s="47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0"/>
      <c r="AE47" s="52"/>
    </row>
    <row r="48" s="45" customFormat="true" ht="15" hidden="true" customHeight="true" outlineLevel="0" collapsed="false">
      <c r="A48" s="14"/>
      <c r="B48" s="14"/>
      <c r="C48" s="16"/>
      <c r="D48" s="14"/>
      <c r="E48" s="46"/>
      <c r="F48" s="46"/>
      <c r="G48" s="46"/>
      <c r="H48" s="46"/>
      <c r="I48" s="46"/>
      <c r="J48" s="46"/>
      <c r="K48" s="47"/>
      <c r="L48" s="17"/>
      <c r="M48" s="18"/>
      <c r="N48" s="48"/>
      <c r="O48" s="47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0"/>
      <c r="AE48" s="52"/>
    </row>
    <row r="49" s="45" customFormat="true" ht="15" hidden="true" customHeight="true" outlineLevel="0" collapsed="false">
      <c r="A49" s="14"/>
      <c r="B49" s="14"/>
      <c r="C49" s="16"/>
      <c r="D49" s="14"/>
      <c r="E49" s="46"/>
      <c r="F49" s="46"/>
      <c r="G49" s="46"/>
      <c r="H49" s="46"/>
      <c r="I49" s="46"/>
      <c r="J49" s="46"/>
      <c r="K49" s="47"/>
      <c r="L49" s="17"/>
      <c r="M49" s="18"/>
      <c r="N49" s="48"/>
      <c r="O49" s="47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0"/>
      <c r="AE49" s="52"/>
    </row>
    <row r="50" s="45" customFormat="true" ht="15" hidden="true" customHeight="true" outlineLevel="0" collapsed="false">
      <c r="A50" s="14"/>
      <c r="B50" s="14"/>
      <c r="C50" s="16"/>
      <c r="D50" s="14"/>
      <c r="E50" s="46"/>
      <c r="F50" s="46"/>
      <c r="G50" s="46"/>
      <c r="H50" s="46"/>
      <c r="I50" s="46"/>
      <c r="J50" s="46"/>
      <c r="K50" s="47"/>
      <c r="L50" s="17"/>
      <c r="M50" s="18"/>
      <c r="N50" s="48"/>
      <c r="O50" s="47"/>
      <c r="P50" s="47"/>
      <c r="Q50" s="47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0"/>
      <c r="AE50" s="52"/>
    </row>
    <row r="51" s="60" customFormat="true" ht="14.25" hidden="false" customHeight="true" outlineLevel="0" collapsed="false">
      <c r="A51" s="35" t="s">
        <v>56</v>
      </c>
      <c r="B51" s="35"/>
      <c r="C51" s="35"/>
      <c r="D51" s="35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7" t="n">
        <f aca="false">SUM(R11:R50)</f>
        <v>0</v>
      </c>
      <c r="S51" s="57" t="n">
        <f aca="false">SUM(S11:S50)</f>
        <v>0</v>
      </c>
      <c r="T51" s="57"/>
      <c r="U51" s="58" t="n">
        <f aca="false">SUM(U11:U50)</f>
        <v>0</v>
      </c>
      <c r="V51" s="58" t="n">
        <f aca="false">SUM(V11:V50)</f>
        <v>0</v>
      </c>
      <c r="W51" s="59" t="n">
        <f aca="false">SUM(W11:W16)</f>
        <v>292.02795</v>
      </c>
      <c r="X51" s="58" t="n">
        <f aca="false">SUM(X11:X50)</f>
        <v>0</v>
      </c>
      <c r="Y51" s="58" t="n">
        <f aca="false">SUM(Y11:Y50)</f>
        <v>0</v>
      </c>
      <c r="Z51" s="58" t="n">
        <f aca="false">SUM(Z11:Z50)</f>
        <v>0</v>
      </c>
      <c r="AA51" s="58" t="n">
        <f aca="false">SUM(AA11:AA50)</f>
        <v>0</v>
      </c>
      <c r="AB51" s="58"/>
      <c r="AE51" s="61"/>
    </row>
    <row r="52" s="60" customFormat="true" ht="14.25" hidden="false" customHeight="true" outlineLevel="0" collapsed="false">
      <c r="A52" s="63"/>
      <c r="B52" s="63"/>
      <c r="C52" s="63"/>
      <c r="D52" s="63"/>
      <c r="R52" s="64"/>
      <c r="S52" s="64"/>
      <c r="T52" s="64"/>
      <c r="U52" s="61"/>
      <c r="V52" s="61"/>
      <c r="W52" s="61"/>
      <c r="X52" s="61"/>
      <c r="Y52" s="61"/>
      <c r="Z52" s="61"/>
      <c r="AA52" s="61"/>
      <c r="AB52" s="61"/>
    </row>
    <row r="53" s="60" customFormat="true" ht="15" hidden="false" customHeight="true" outlineLevel="0" collapsed="false">
      <c r="A53" s="20" t="s">
        <v>45</v>
      </c>
      <c r="B53" s="20"/>
      <c r="C53" s="20"/>
      <c r="D53" s="65" t="s">
        <v>57</v>
      </c>
      <c r="E53" s="20" t="s">
        <v>46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="60" customFormat="true" ht="14.25" hidden="false" customHeight="true" outlineLevel="0" collapsed="false">
      <c r="A54" s="66"/>
      <c r="B54" s="66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="60" customFormat="true" ht="15" hidden="false" customHeight="true" outlineLevel="0" collapsed="false">
      <c r="A55" s="66"/>
      <c r="B55" s="66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AF55" s="69"/>
    </row>
    <row r="56" s="60" customFormat="true" ht="14.25" hidden="false" customHeight="true" outlineLevel="0" collapsed="false">
      <c r="A56" s="66"/>
      <c r="B56" s="66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 s="60" customFormat="true" ht="14.25" hidden="false" customHeight="true" outlineLevel="0" collapsed="false">
      <c r="A57" s="66"/>
      <c r="B57" s="66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 s="60" customFormat="true" ht="14.25" hidden="false" customHeight="true" outlineLevel="0" collapsed="false">
      <c r="A58" s="66"/>
      <c r="B58" s="66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 s="60" customFormat="true" ht="14.25" hidden="false" customHeight="true" outlineLevel="0" collapsed="false">
      <c r="A59" s="20" t="s">
        <v>47</v>
      </c>
      <c r="B59" s="20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0" t="s">
        <v>48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6.5" hidden="false" customHeight="true" outlineLevel="0" collapsed="false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0"/>
    </row>
    <row r="61" customFormat="false" ht="16.5" hidden="false" customHeight="true" outlineLevel="0" collapsed="false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0"/>
    </row>
    <row r="62" customFormat="false" ht="16.5" hidden="false" customHeight="true" outlineLevel="0" collapsed="false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0"/>
    </row>
    <row r="63" customFormat="false" ht="16.5" hidden="false" customHeight="true" outlineLevel="0" collapsed="false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0"/>
    </row>
    <row r="64" customFormat="false" ht="16.5" hidden="false" customHeight="true" outlineLevel="0" collapsed="false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0"/>
    </row>
    <row r="65" customFormat="false" ht="16.5" hidden="false" customHeight="true" outlineLevel="0" collapsed="false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0"/>
    </row>
    <row r="66" customFormat="false" ht="16.5" hidden="false" customHeight="true" outlineLevel="0" collapsed="false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0"/>
    </row>
    <row r="67" customFormat="false" ht="16.5" hidden="false" customHeight="true" outlineLevel="0" collapsed="false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0"/>
    </row>
    <row r="68" customFormat="false" ht="16.5" hidden="false" customHeight="true" outlineLevel="0" collapsed="false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0"/>
    </row>
    <row r="69" customFormat="false" ht="16.5" hidden="false" customHeight="true" outlineLevel="0" collapsed="false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0"/>
    </row>
    <row r="70" customFormat="false" ht="16.5" hidden="false" customHeight="true" outlineLevel="0" collapsed="false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0"/>
    </row>
    <row r="71" customFormat="false" ht="16.5" hidden="false" customHeight="true" outlineLevel="0" collapsed="false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0"/>
    </row>
    <row r="72" customFormat="false" ht="16.5" hidden="false" customHeight="true" outlineLevel="0" collapsed="false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0"/>
    </row>
    <row r="73" customFormat="false" ht="16.5" hidden="false" customHeight="true" outlineLevel="0" collapsed="false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0"/>
    </row>
    <row r="74" customFormat="false" ht="16.5" hidden="false" customHeight="true" outlineLevel="0" collapsed="false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0"/>
    </row>
    <row r="75" customFormat="false" ht="16.5" hidden="false" customHeight="true" outlineLevel="0" collapsed="false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0"/>
    </row>
    <row r="76" customFormat="false" ht="16.5" hidden="false" customHeight="true" outlineLevel="0" collapsed="false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0"/>
    </row>
    <row r="77" customFormat="false" ht="16.5" hidden="false" customHeight="true" outlineLevel="0" collapsed="false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0"/>
    </row>
    <row r="78" customFormat="false" ht="16.5" hidden="false" customHeight="true" outlineLevel="0" collapsed="false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0"/>
    </row>
    <row r="79" customFormat="false" ht="16.5" hidden="false" customHeight="true" outlineLevel="0" collapsed="false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0"/>
    </row>
    <row r="80" customFormat="false" ht="16.5" hidden="false" customHeight="true" outlineLevel="0" collapsed="false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0"/>
    </row>
    <row r="81" customFormat="false" ht="16.5" hidden="false" customHeight="true" outlineLevel="0" collapsed="false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0"/>
    </row>
    <row r="82" customFormat="false" ht="16.5" hidden="false" customHeight="true" outlineLevel="0" collapsed="false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0"/>
    </row>
    <row r="83" customFormat="false" ht="16.5" hidden="false" customHeight="true" outlineLevel="0" collapsed="false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0"/>
    </row>
    <row r="84" customFormat="false" ht="16.5" hidden="false" customHeight="true" outlineLevel="0" collapsed="false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0"/>
    </row>
    <row r="85" customFormat="false" ht="16.5" hidden="false" customHeight="true" outlineLevel="0" collapsed="false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0"/>
    </row>
    <row r="86" customFormat="false" ht="16.5" hidden="false" customHeight="true" outlineLevel="0" collapsed="false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0"/>
    </row>
    <row r="87" customFormat="false" ht="16.5" hidden="false" customHeight="true" outlineLevel="0" collapsed="false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0"/>
    </row>
    <row r="88" customFormat="false" ht="16.5" hidden="false" customHeight="true" outlineLevel="0" collapsed="false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0"/>
    </row>
    <row r="89" customFormat="false" ht="16.5" hidden="false" customHeight="true" outlineLevel="0" collapsed="false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0"/>
    </row>
    <row r="90" customFormat="false" ht="16.5" hidden="false" customHeight="true" outlineLevel="0" collapsed="false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0"/>
    </row>
    <row r="91" customFormat="false" ht="16.5" hidden="false" customHeight="true" outlineLevel="0" collapsed="false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0"/>
    </row>
    <row r="92" customFormat="false" ht="16.5" hidden="false" customHeight="true" outlineLevel="0" collapsed="false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0"/>
    </row>
    <row r="93" customFormat="false" ht="16.5" hidden="false" customHeight="true" outlineLevel="0" collapsed="false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0"/>
    </row>
    <row r="94" customFormat="false" ht="16.5" hidden="false" customHeight="true" outlineLevel="0" collapsed="false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0"/>
    </row>
    <row r="95" customFormat="false" ht="16.5" hidden="false" customHeight="true" outlineLevel="0" collapsed="false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0"/>
    </row>
    <row r="96" customFormat="false" ht="16.5" hidden="false" customHeight="true" outlineLevel="0" collapsed="false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0"/>
    </row>
    <row r="97" customFormat="false" ht="16.5" hidden="false" customHeight="true" outlineLevel="0" collapsed="false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0"/>
    </row>
    <row r="98" customFormat="false" ht="16.5" hidden="false" customHeight="true" outlineLevel="0" collapsed="false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0"/>
    </row>
    <row r="99" customFormat="false" ht="16.5" hidden="false" customHeight="true" outlineLevel="0" collapsed="false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0"/>
    </row>
    <row r="100" customFormat="false" ht="16.5" hidden="false" customHeight="true" outlineLevel="0" collapsed="false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0"/>
    </row>
    <row r="101" customFormat="false" ht="16.5" hidden="false" customHeight="true" outlineLevel="0" collapsed="false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0"/>
    </row>
    <row r="102" customFormat="false" ht="16.5" hidden="false" customHeight="true" outlineLevel="0" collapsed="false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0"/>
    </row>
    <row r="103" customFormat="false" ht="16.5" hidden="false" customHeight="true" outlineLevel="0" collapsed="false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0"/>
    </row>
    <row r="104" customFormat="false" ht="16.5" hidden="false" customHeight="true" outlineLevel="0" collapsed="false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0"/>
    </row>
    <row r="105" customFormat="false" ht="16.5" hidden="false" customHeight="true" outlineLevel="0" collapsed="false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0"/>
    </row>
    <row r="106" customFormat="false" ht="16.5" hidden="false" customHeight="true" outlineLevel="0" collapsed="false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0"/>
    </row>
    <row r="107" customFormat="false" ht="16.5" hidden="false" customHeight="true" outlineLevel="0" collapsed="false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0"/>
    </row>
    <row r="108" customFormat="false" ht="16.5" hidden="false" customHeight="true" outlineLevel="0" collapsed="false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0"/>
    </row>
    <row r="109" s="24" customFormat="true" ht="16.5" hidden="false" customHeight="true" outlineLevel="0" collapsed="false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0"/>
      <c r="AD109" s="23"/>
      <c r="AE109" s="23"/>
      <c r="AF109" s="23"/>
      <c r="AG109" s="23"/>
    </row>
    <row r="110" s="24" customFormat="true" ht="16.5" hidden="false" customHeight="true" outlineLevel="0" collapsed="false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0"/>
      <c r="AD110" s="23"/>
      <c r="AE110" s="23"/>
      <c r="AF110" s="23"/>
      <c r="AG110" s="23"/>
    </row>
    <row r="111" s="24" customFormat="true" ht="16.5" hidden="false" customHeight="true" outlineLevel="0" collapsed="false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0"/>
      <c r="AD111" s="23"/>
      <c r="AE111" s="23"/>
      <c r="AF111" s="23"/>
      <c r="AG111" s="23"/>
    </row>
    <row r="112" s="24" customFormat="true" ht="16.5" hidden="false" customHeight="true" outlineLevel="0" collapsed="false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  <row r="122" s="24" customFormat="true" ht="12.7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23"/>
      <c r="AE122" s="23"/>
      <c r="AF122" s="23"/>
      <c r="AG122" s="23"/>
    </row>
    <row r="123" s="24" customFormat="true" ht="12.7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23"/>
      <c r="AE123" s="23"/>
      <c r="AF123" s="23"/>
      <c r="AG123" s="23"/>
    </row>
    <row r="124" s="24" customFormat="true" ht="12.7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23"/>
      <c r="AE124" s="23"/>
      <c r="AF124" s="23"/>
      <c r="AG124" s="23"/>
    </row>
    <row r="125" s="24" customFormat="true" ht="12.7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23"/>
      <c r="AE125" s="23"/>
      <c r="AF125" s="23"/>
      <c r="AG125" s="23"/>
    </row>
    <row r="126" s="24" customFormat="true" ht="12.7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23"/>
      <c r="AE126" s="23"/>
      <c r="AF126" s="23"/>
      <c r="AG126" s="23"/>
    </row>
    <row r="127" s="24" customFormat="true" ht="12.7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23"/>
      <c r="AE127" s="23"/>
      <c r="AF127" s="23"/>
      <c r="AG127" s="23"/>
    </row>
    <row r="128" s="24" customFormat="true" ht="12.7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23"/>
      <c r="AE128" s="23"/>
      <c r="AF128" s="23"/>
      <c r="AG128" s="23"/>
    </row>
    <row r="129" s="24" customFormat="true" ht="12.7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23"/>
      <c r="AE129" s="23"/>
      <c r="AF129" s="23"/>
      <c r="AG129" s="23"/>
    </row>
    <row r="130" s="24" customFormat="true" ht="12.7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23"/>
      <c r="AE130" s="23"/>
      <c r="AF130" s="23"/>
      <c r="AG130" s="23"/>
    </row>
    <row r="131" s="24" customFormat="true" ht="12.7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23"/>
      <c r="AE131" s="23"/>
      <c r="AF131" s="23"/>
      <c r="AG131" s="23"/>
    </row>
    <row r="132" s="24" customFormat="true" ht="12.7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23"/>
      <c r="AE132" s="23"/>
      <c r="AF132" s="23"/>
      <c r="AG132" s="23"/>
    </row>
    <row r="133" s="24" customFormat="true" ht="12.7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23"/>
      <c r="AE133" s="23"/>
      <c r="AF133" s="23"/>
      <c r="AG133" s="23"/>
    </row>
    <row r="134" s="24" customFormat="true" ht="12.7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23"/>
      <c r="AE134" s="23"/>
      <c r="AF134" s="23"/>
      <c r="AG134" s="23"/>
    </row>
    <row r="135" s="24" customFormat="true" ht="12.7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23"/>
      <c r="AE135" s="23"/>
      <c r="AF135" s="23"/>
      <c r="AG135" s="23"/>
    </row>
    <row r="136" s="24" customFormat="true" ht="12.7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23"/>
      <c r="AE136" s="23"/>
      <c r="AF136" s="23"/>
      <c r="AG136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3"/>
  <sheetViews>
    <sheetView showFormulas="false" showGridLines="tru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I32" activeCellId="0" sqref="I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57"/>
    <col collapsed="false" customWidth="true" hidden="false" outlineLevel="0" max="3" min="3" style="1" width="15.5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14"/>
    <col collapsed="false" customWidth="true" hidden="true" outlineLevel="0" max="15" min="13" style="1" width="8.57"/>
    <col collapsed="false" customWidth="true" hidden="false" outlineLevel="0" max="18" min="16" style="1" width="11.14"/>
    <col collapsed="false" customWidth="true" hidden="false" outlineLevel="0" max="19" min="19" style="1" width="7.15"/>
  </cols>
  <sheetData>
    <row r="1" customFormat="false" ht="20.2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62.NĐXD4/CVXD ngày 15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7"/>
      <c r="V2" s="7"/>
      <c r="W2" s="7"/>
      <c r="AZ2">
        <v>62</v>
      </c>
    </row>
    <row r="3" customFormat="false" ht="18.75" hidden="false" customHeight="true" outlineLevel="0" collapsed="false">
      <c r="A3" s="8" t="s">
        <v>25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26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27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29</v>
      </c>
      <c r="C7" s="8"/>
      <c r="D7" s="8"/>
      <c r="E7" s="8"/>
      <c r="F7" s="8"/>
      <c r="G7" s="8" t="str">
        <f>VLOOKUP(AZ2,'[1]Tuyến XD4'!$A$2:$B$60,2,0)</f>
        <v xml:space="preserve">Đắp cát nền đường lớp 3 đoạn từ Km0+672,28 - Km0+746,82,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0" customFormat="false" ht="15" hidden="false" customHeight="true" outlineLevel="0" collapsed="false">
      <c r="A20" s="10" t="s">
        <v>32</v>
      </c>
      <c r="B20" s="10" t="s">
        <v>33</v>
      </c>
      <c r="C20" s="10" t="s">
        <v>34</v>
      </c>
      <c r="D20" s="11" t="s">
        <v>35</v>
      </c>
      <c r="E20" s="11"/>
      <c r="F20" s="11"/>
      <c r="G20" s="11"/>
      <c r="H20" s="11"/>
      <c r="I20" s="11"/>
      <c r="J20" s="11" t="s">
        <v>36</v>
      </c>
      <c r="K20" s="11"/>
      <c r="L20" s="11"/>
      <c r="M20" s="11" t="s">
        <v>37</v>
      </c>
      <c r="N20" s="11"/>
      <c r="O20" s="11"/>
      <c r="P20" s="11"/>
      <c r="Q20" s="11"/>
      <c r="R20" s="11"/>
      <c r="S20" s="10" t="s">
        <v>38</v>
      </c>
    </row>
    <row r="21" customFormat="false" ht="30" hidden="false" customHeight="true" outlineLevel="0" collapsed="false">
      <c r="A21" s="10"/>
      <c r="B21" s="10"/>
      <c r="C21" s="10"/>
      <c r="D21" s="12" t="s">
        <v>39</v>
      </c>
      <c r="E21" s="12" t="s">
        <v>40</v>
      </c>
      <c r="F21" s="12" t="s">
        <v>41</v>
      </c>
      <c r="G21" s="12" t="s">
        <v>42</v>
      </c>
      <c r="H21" s="12" t="s">
        <v>43</v>
      </c>
      <c r="I21" s="12" t="s">
        <v>44</v>
      </c>
      <c r="J21" s="12" t="s">
        <v>42</v>
      </c>
      <c r="K21" s="12" t="s">
        <v>43</v>
      </c>
      <c r="L21" s="12" t="s">
        <v>44</v>
      </c>
      <c r="M21" s="12" t="s">
        <v>39</v>
      </c>
      <c r="N21" s="12" t="s">
        <v>40</v>
      </c>
      <c r="O21" s="12" t="s">
        <v>41</v>
      </c>
      <c r="P21" s="12" t="s">
        <v>42</v>
      </c>
      <c r="Q21" s="12" t="s">
        <v>43</v>
      </c>
      <c r="R21" s="12" t="s">
        <v>44</v>
      </c>
      <c r="S21" s="10"/>
      <c r="T21" s="13"/>
    </row>
    <row r="22" customFormat="false" ht="15" hidden="false" customHeight="false" outlineLevel="0" collapsed="false">
      <c r="A22" s="14" t="n">
        <v>1</v>
      </c>
      <c r="B22" s="14" t="s">
        <v>17</v>
      </c>
      <c r="C22" s="71" t="n">
        <v>672.28</v>
      </c>
      <c r="D22" s="17" t="n">
        <f aca="false">+Chạy!F3</f>
        <v>-9.48</v>
      </c>
      <c r="E22" s="17" t="n">
        <f aca="false">+D22+F22</f>
        <v>-9.4901</v>
      </c>
      <c r="F22" s="17" t="n">
        <f aca="false">RANDBETWEEN(-105,115)/10000</f>
        <v>-0.0101</v>
      </c>
      <c r="G22" s="17" t="n">
        <f aca="false">+Chạy!G3</f>
        <v>-0.92</v>
      </c>
      <c r="H22" s="17" t="n">
        <f aca="false">G22+I22</f>
        <v>-0.832</v>
      </c>
      <c r="I22" s="17" t="n">
        <f aca="false">RANDBETWEEN(-30,90)/1000</f>
        <v>0.088</v>
      </c>
      <c r="J22" s="17" t="n">
        <f aca="false">+Chạy!K3</f>
        <v>-0.92</v>
      </c>
      <c r="K22" s="17" t="n">
        <f aca="false">J22+L22</f>
        <v>-0.832</v>
      </c>
      <c r="L22" s="17" t="n">
        <f aca="false">RANDBETWEEN(-30,90)/1000</f>
        <v>0.088</v>
      </c>
      <c r="M22" s="17" t="n">
        <f aca="false">+Chạy!N3</f>
        <v>16.24</v>
      </c>
      <c r="N22" s="17" t="n">
        <f aca="false">+M22+O22</f>
        <v>16.2494</v>
      </c>
      <c r="O22" s="17" t="n">
        <f aca="false">RANDBETWEEN(-105,115)/10000</f>
        <v>0.0094</v>
      </c>
      <c r="P22" s="17" t="n">
        <f aca="false">+Chạy!O3</f>
        <v>-0.92</v>
      </c>
      <c r="Q22" s="17" t="n">
        <f aca="false">P22+R22</f>
        <v>-0.893</v>
      </c>
      <c r="R22" s="17" t="n">
        <f aca="false">RANDBETWEEN(-30,90)/1000</f>
        <v>0.027</v>
      </c>
      <c r="S22" s="18"/>
      <c r="T22" s="0" t="n">
        <v>17</v>
      </c>
    </row>
    <row r="23" customFormat="false" ht="15" hidden="false" customHeight="false" outlineLevel="0" collapsed="false">
      <c r="A23" s="14" t="n">
        <v>2</v>
      </c>
      <c r="B23" s="14" t="s">
        <v>18</v>
      </c>
      <c r="C23" s="71" t="n">
        <f aca="false">+C22+T22</f>
        <v>689.28</v>
      </c>
      <c r="D23" s="17" t="n">
        <f aca="false">+Chạy!F7</f>
        <v>-8.74</v>
      </c>
      <c r="E23" s="17" t="n">
        <f aca="false">+D23+F23</f>
        <v>-8.7447</v>
      </c>
      <c r="F23" s="17" t="n">
        <f aca="false">RANDBETWEEN(-105,115)/10000</f>
        <v>-0.0047</v>
      </c>
      <c r="G23" s="17" t="n">
        <f aca="false">+Chạy!G7</f>
        <v>-0.92</v>
      </c>
      <c r="H23" s="17" t="n">
        <f aca="false">G23+I23</f>
        <v>-0.928</v>
      </c>
      <c r="I23" s="17" t="n">
        <f aca="false">RANDBETWEEN(-30,90)/1000</f>
        <v>-0.008</v>
      </c>
      <c r="J23" s="17" t="n">
        <f aca="false">+Chạy!K7</f>
        <v>-0.92</v>
      </c>
      <c r="K23" s="17" t="n">
        <f aca="false">J23+L23</f>
        <v>-0.946</v>
      </c>
      <c r="L23" s="17" t="n">
        <f aca="false">RANDBETWEEN(-30,90)/1000</f>
        <v>-0.026</v>
      </c>
      <c r="M23" s="17" t="n">
        <f aca="false">+Chạy!N7</f>
        <v>7.98</v>
      </c>
      <c r="N23" s="17" t="n">
        <f aca="false">+M23+O23</f>
        <v>7.9902</v>
      </c>
      <c r="O23" s="17" t="n">
        <f aca="false">RANDBETWEEN(-105,115)/10000</f>
        <v>0.0102</v>
      </c>
      <c r="P23" s="17" t="n">
        <f aca="false">+Chạy!O7</f>
        <v>-0.92</v>
      </c>
      <c r="Q23" s="17" t="n">
        <f aca="false">P23+R23</f>
        <v>-0.939</v>
      </c>
      <c r="R23" s="17" t="n">
        <f aca="false">RANDBETWEEN(-30,90)/1000</f>
        <v>-0.019</v>
      </c>
      <c r="S23" s="18"/>
      <c r="T23" s="0" t="n">
        <v>11.75</v>
      </c>
    </row>
    <row r="24" customFormat="false" ht="15" hidden="false" customHeight="false" outlineLevel="0" collapsed="false">
      <c r="A24" s="14" t="n">
        <v>3</v>
      </c>
      <c r="B24" s="14" t="s">
        <v>19</v>
      </c>
      <c r="C24" s="71" t="n">
        <f aca="false">+C23+T23</f>
        <v>701.03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8"/>
      <c r="T24" s="0" t="n">
        <v>11.75</v>
      </c>
    </row>
    <row r="25" customFormat="false" ht="15" hidden="false" customHeight="false" outlineLevel="0" collapsed="false">
      <c r="A25" s="14" t="n">
        <v>4</v>
      </c>
      <c r="B25" s="14" t="s">
        <v>20</v>
      </c>
      <c r="C25" s="71" t="n">
        <f aca="false">+C24+T24</f>
        <v>712.78</v>
      </c>
      <c r="D25" s="17" t="n">
        <f aca="false">+Chạy!F15</f>
        <v>-8.88</v>
      </c>
      <c r="E25" s="17" t="n">
        <f aca="false">+D25+F25</f>
        <v>-8.8886</v>
      </c>
      <c r="F25" s="17" t="n">
        <f aca="false">RANDBETWEEN(-105,115)/10000</f>
        <v>-0.0086</v>
      </c>
      <c r="G25" s="17" t="n">
        <f aca="false">+Chạy!G15</f>
        <v>-0.92</v>
      </c>
      <c r="H25" s="17" t="n">
        <f aca="false">G25+I25</f>
        <v>-0.89</v>
      </c>
      <c r="I25" s="17" t="n">
        <f aca="false">RANDBETWEEN(-30,90)/1000</f>
        <v>0.03</v>
      </c>
      <c r="J25" s="17" t="n">
        <f aca="false">+Chạy!K15</f>
        <v>-0.92</v>
      </c>
      <c r="K25" s="17" t="n">
        <f aca="false">J25+L25</f>
        <v>-0.883</v>
      </c>
      <c r="L25" s="17" t="n">
        <f aca="false">RANDBETWEEN(-30,90)/1000</f>
        <v>0.037</v>
      </c>
      <c r="M25" s="17" t="n">
        <f aca="false">+Chạy!N15</f>
        <v>7.84</v>
      </c>
      <c r="N25" s="17" t="n">
        <f aca="false">+M25+O25</f>
        <v>7.8313</v>
      </c>
      <c r="O25" s="17" t="n">
        <f aca="false">RANDBETWEEN(-105,115)/10000</f>
        <v>-0.0087</v>
      </c>
      <c r="P25" s="17" t="n">
        <f aca="false">+Chạy!O15</f>
        <v>-0.92</v>
      </c>
      <c r="Q25" s="17" t="n">
        <f aca="false">P25+R25</f>
        <v>-0.874</v>
      </c>
      <c r="R25" s="17" t="n">
        <f aca="false">RANDBETWEEN(-30,90)/1000</f>
        <v>0.046</v>
      </c>
      <c r="S25" s="18"/>
      <c r="T25" s="0" t="n">
        <v>17</v>
      </c>
    </row>
    <row r="26" customFormat="false" ht="15" hidden="false" customHeight="false" outlineLevel="0" collapsed="false">
      <c r="A26" s="14" t="n">
        <v>5</v>
      </c>
      <c r="B26" s="14" t="s">
        <v>21</v>
      </c>
      <c r="C26" s="71" t="n">
        <f aca="false">+C25+T25</f>
        <v>729.78</v>
      </c>
      <c r="D26" s="17" t="n">
        <f aca="false">+Chạy!F19</f>
        <v>-5.95</v>
      </c>
      <c r="E26" s="17" t="n">
        <f aca="false">+D26+F26</f>
        <v>-5.9559</v>
      </c>
      <c r="F26" s="17" t="n">
        <f aca="false">RANDBETWEEN(-105,115)/10000</f>
        <v>-0.0059</v>
      </c>
      <c r="G26" s="17" t="n">
        <f aca="false">+Chạy!G19</f>
        <v>-0.92</v>
      </c>
      <c r="H26" s="17" t="n">
        <f aca="false">G26+I26</f>
        <v>-0.847</v>
      </c>
      <c r="I26" s="17" t="n">
        <f aca="false">RANDBETWEEN(-30,90)/1000</f>
        <v>0.073</v>
      </c>
      <c r="J26" s="17" t="n">
        <f aca="false">+Chạy!K19</f>
        <v>-0.92</v>
      </c>
      <c r="K26" s="17" t="n">
        <f aca="false">J26+L26</f>
        <v>-0.84</v>
      </c>
      <c r="L26" s="17" t="n">
        <f aca="false">RANDBETWEEN(-30,90)/1000</f>
        <v>0.08</v>
      </c>
      <c r="M26" s="17" t="n">
        <f aca="false">+Chạy!N19</f>
        <v>5.95</v>
      </c>
      <c r="N26" s="17" t="n">
        <f aca="false">+M26+O26</f>
        <v>5.9602</v>
      </c>
      <c r="O26" s="17" t="n">
        <f aca="false">RANDBETWEEN(-105,115)/10000</f>
        <v>0.0102</v>
      </c>
      <c r="P26" s="17" t="n">
        <f aca="false">+Chạy!O19</f>
        <v>-0.92</v>
      </c>
      <c r="Q26" s="17" t="n">
        <f aca="false">P26+R26</f>
        <v>-0.854</v>
      </c>
      <c r="R26" s="17" t="n">
        <f aca="false">RANDBETWEEN(-30,90)/1000</f>
        <v>0.066</v>
      </c>
      <c r="S26" s="18"/>
      <c r="T26" s="0" t="n">
        <v>17.04</v>
      </c>
    </row>
    <row r="27" customFormat="false" ht="15" hidden="false" customHeight="false" outlineLevel="0" collapsed="false">
      <c r="A27" s="14" t="n">
        <v>6</v>
      </c>
      <c r="B27" s="14" t="s">
        <v>22</v>
      </c>
      <c r="C27" s="71" t="n">
        <f aca="false">+C26+T26</f>
        <v>746.82</v>
      </c>
      <c r="D27" s="17" t="n">
        <f aca="false">+Chạy!F23</f>
        <v>-6.39</v>
      </c>
      <c r="E27" s="17" t="n">
        <f aca="false">+D27+F27</f>
        <v>-6.3809</v>
      </c>
      <c r="F27" s="17" t="n">
        <f aca="false">RANDBETWEEN(-105,115)/10000</f>
        <v>0.0091</v>
      </c>
      <c r="G27" s="17" t="n">
        <f aca="false">+Chạy!G23</f>
        <v>-0.92</v>
      </c>
      <c r="H27" s="17" t="n">
        <f aca="false">G27+I27</f>
        <v>-0.865</v>
      </c>
      <c r="I27" s="17" t="n">
        <f aca="false">RANDBETWEEN(-30,90)/1000</f>
        <v>0.055</v>
      </c>
      <c r="J27" s="17" t="n">
        <f aca="false">+Chạy!K23</f>
        <v>-0.92</v>
      </c>
      <c r="K27" s="17" t="n">
        <f aca="false">J27+L27</f>
        <v>-0.866</v>
      </c>
      <c r="L27" s="17" t="n">
        <f aca="false">RANDBETWEEN(-30,90)/1000</f>
        <v>0.054</v>
      </c>
      <c r="M27" s="17" t="n">
        <f aca="false">+Chạy!N23</f>
        <v>7.55</v>
      </c>
      <c r="N27" s="17" t="n">
        <f aca="false">+M27+O27</f>
        <v>7.5589</v>
      </c>
      <c r="O27" s="17" t="n">
        <f aca="false">RANDBETWEEN(-105,115)/10000</f>
        <v>0.0089</v>
      </c>
      <c r="P27" s="17" t="n">
        <f aca="false">+Chạy!O23</f>
        <v>-0.92</v>
      </c>
      <c r="Q27" s="17" t="n">
        <f aca="false">P27+R27</f>
        <v>-0.853</v>
      </c>
      <c r="R27" s="17" t="n">
        <f aca="false">RANDBETWEEN(-30,90)/1000</f>
        <v>0.067</v>
      </c>
      <c r="S27" s="18"/>
    </row>
    <row r="28" customFormat="false" ht="15" hidden="true" customHeight="false" outlineLevel="0" collapsed="false">
      <c r="A28" s="14"/>
      <c r="B28" s="14"/>
      <c r="C28" s="71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8"/>
    </row>
    <row r="29" customFormat="false" ht="15" hidden="true" customHeight="false" outlineLevel="0" collapsed="false">
      <c r="A29" s="14"/>
      <c r="B29" s="14"/>
      <c r="C29" s="71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</row>
    <row r="30" customFormat="false" ht="15" hidden="true" customHeight="false" outlineLevel="0" collapsed="false">
      <c r="A30" s="14"/>
      <c r="B30" s="14"/>
      <c r="C30" s="7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</row>
    <row r="31" customFormat="false" ht="15" hidden="true" customHeight="false" outlineLevel="0" collapsed="false">
      <c r="A31" s="14"/>
      <c r="B31" s="14"/>
      <c r="C31" s="71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</row>
    <row r="32" customFormat="false" ht="15" hidden="true" customHeight="false" outlineLevel="0" collapsed="false">
      <c r="A32" s="14"/>
      <c r="B32" s="14"/>
      <c r="C32" s="71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</row>
    <row r="33" customFormat="false" ht="15" hidden="true" customHeight="false" outlineLevel="0" collapsed="false">
      <c r="A33" s="14"/>
      <c r="B33" s="14"/>
      <c r="C33" s="7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</row>
    <row r="34" customFormat="false" ht="15" hidden="true" customHeight="false" outlineLevel="0" collapsed="false">
      <c r="A34" s="14"/>
      <c r="B34" s="14"/>
      <c r="C34" s="7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8" customFormat="false" ht="15" hidden="false" customHeight="false" outlineLevel="0" collapsed="false">
      <c r="C48" s="20" t="s">
        <v>45</v>
      </c>
      <c r="D48" s="20"/>
      <c r="E48" s="20"/>
      <c r="F48" s="20"/>
      <c r="G48" s="20"/>
      <c r="H48" s="20"/>
      <c r="I48" s="20"/>
      <c r="K48" s="21"/>
      <c r="L48" s="21"/>
      <c r="M48" s="21"/>
      <c r="N48" s="21"/>
      <c r="O48" s="20" t="s">
        <v>46</v>
      </c>
      <c r="P48" s="20"/>
      <c r="Q48" s="20"/>
      <c r="R48" s="20"/>
    </row>
    <row r="49" customFormat="false" ht="15" hidden="false" customHeight="false" outlineLevel="0" collapsed="false">
      <c r="E49" s="22"/>
      <c r="F49" s="22"/>
      <c r="G49" s="22"/>
      <c r="H49" s="22"/>
      <c r="K49" s="22"/>
      <c r="L49" s="22"/>
      <c r="M49" s="22"/>
      <c r="N49" s="22"/>
      <c r="O49" s="22"/>
      <c r="P49" s="22"/>
      <c r="Q49" s="22"/>
      <c r="R49" s="22"/>
    </row>
    <row r="50" customFormat="false" ht="15" hidden="false" customHeight="false" outlineLevel="0" collapsed="false">
      <c r="E50" s="22"/>
      <c r="F50" s="22"/>
      <c r="G50" s="22"/>
      <c r="H50" s="22"/>
      <c r="K50" s="22"/>
      <c r="L50" s="22"/>
      <c r="M50" s="22"/>
      <c r="N50" s="22"/>
      <c r="O50" s="22"/>
      <c r="P50" s="22"/>
      <c r="Q50" s="22"/>
      <c r="R50" s="22"/>
    </row>
    <row r="51" customFormat="false" ht="15" hidden="false" customHeight="false" outlineLevel="0" collapsed="false">
      <c r="E51" s="22"/>
      <c r="F51" s="22"/>
      <c r="G51" s="22"/>
      <c r="H51" s="22"/>
      <c r="K51" s="22"/>
      <c r="L51" s="22"/>
      <c r="M51" s="22"/>
      <c r="N51" s="22"/>
      <c r="O51" s="22"/>
      <c r="P51" s="22"/>
      <c r="Q51" s="22"/>
      <c r="R51" s="22"/>
    </row>
    <row r="52" customFormat="false" ht="15" hidden="false" customHeight="false" outlineLevel="0" collapsed="false">
      <c r="E52" s="22"/>
      <c r="F52" s="22"/>
      <c r="G52" s="22"/>
      <c r="H52" s="22"/>
      <c r="K52" s="22"/>
      <c r="L52" s="22"/>
      <c r="M52" s="22"/>
      <c r="N52" s="22"/>
      <c r="O52" s="22"/>
      <c r="P52" s="22"/>
      <c r="Q52" s="22"/>
      <c r="R52" s="22"/>
    </row>
    <row r="53" customFormat="false" ht="15" hidden="false" customHeight="false" outlineLevel="0" collapsed="false">
      <c r="C53" s="20" t="s">
        <v>47</v>
      </c>
      <c r="D53" s="20"/>
      <c r="E53" s="20"/>
      <c r="F53" s="20"/>
      <c r="G53" s="20"/>
      <c r="H53" s="20"/>
      <c r="I53" s="20"/>
      <c r="K53" s="21"/>
      <c r="L53" s="21"/>
      <c r="M53" s="21"/>
      <c r="N53" s="21"/>
      <c r="O53" s="20" t="s">
        <v>48</v>
      </c>
      <c r="P53" s="20"/>
      <c r="Q53" s="20"/>
      <c r="R53" s="20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48:I48"/>
    <mergeCell ref="O48:R48"/>
    <mergeCell ref="C53:I53"/>
    <mergeCell ref="O53:R53"/>
  </mergeCells>
  <printOptions headings="false" gridLines="false" gridLinesSet="true" horizontalCentered="true" verticalCentered="false"/>
  <pageMargins left="0.157638888888889" right="0.157638888888889" top="0.472222222222222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21"/>
  <sheetViews>
    <sheetView showFormulas="false" showGridLines="tru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AB20" activeCellId="0" sqref="AB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62.NĐXD4/CVXD ngày 15 tháng 09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E2" s="7"/>
      <c r="AZ2">
        <v>62</v>
      </c>
    </row>
    <row r="3" s="30" customFormat="true" ht="37.5" hidden="false" customHeight="true" outlineLevel="0" collapsed="false">
      <c r="A3" s="28" t="s">
        <v>25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26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27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28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29</v>
      </c>
      <c r="B7" s="32"/>
      <c r="D7" s="33" t="str">
        <f>VLOOKUP(AZ2,'[1]Tuyến XD4'!$A$2:$B$60,2,0)</f>
        <v xml:space="preserve">Đắp cát nền đường lớp 3 đoạn từ Km0+672,28 - Km0+746,82,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33</v>
      </c>
      <c r="C9" s="35" t="s">
        <v>34</v>
      </c>
      <c r="D9" s="36" t="s">
        <v>50</v>
      </c>
      <c r="E9" s="37"/>
      <c r="F9" s="37"/>
      <c r="G9" s="36"/>
      <c r="H9" s="37"/>
      <c r="I9" s="37"/>
      <c r="J9" s="37"/>
      <c r="K9" s="37"/>
      <c r="L9" s="37"/>
      <c r="M9" s="38" t="s">
        <v>51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38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52</v>
      </c>
      <c r="O10" s="38" t="s">
        <v>53</v>
      </c>
      <c r="P10" s="38" t="s">
        <v>52</v>
      </c>
      <c r="Q10" s="38" t="s">
        <v>52</v>
      </c>
      <c r="R10" s="38"/>
      <c r="S10" s="38"/>
      <c r="T10" s="38"/>
      <c r="U10" s="38" t="s">
        <v>54</v>
      </c>
      <c r="V10" s="38" t="s">
        <v>54</v>
      </c>
      <c r="W10" s="38" t="s">
        <v>55</v>
      </c>
      <c r="X10" s="38" t="s">
        <v>54</v>
      </c>
      <c r="Y10" s="38" t="s">
        <v>54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'3.KTHH L3'!B22</f>
        <v>38</v>
      </c>
      <c r="C11" s="16" t="n">
        <f aca="false">'3.KTHH L3'!C22</f>
        <v>672.28</v>
      </c>
      <c r="D11" s="14" t="n">
        <f aca="false">'3.KTHH L3'!T22</f>
        <v>17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7" t="n">
        <f aca="false">Chạy!E3</f>
        <v>7.74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107.695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'3.KTHH L3'!B23</f>
        <v>39</v>
      </c>
      <c r="C12" s="16" t="n">
        <f aca="false">'3.KTHH L3'!C23</f>
        <v>689.28</v>
      </c>
      <c r="D12" s="14" t="n">
        <f aca="false">'3.KTHH L3'!T23</f>
        <v>11.75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7" t="n">
        <f aca="false">Chạy!E7</f>
        <v>4.93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28.96375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'3.KTHH L3'!B24</f>
        <v>F2</v>
      </c>
      <c r="C13" s="16" t="n">
        <f aca="false">'3.KTHH L3'!C24</f>
        <v>701.03</v>
      </c>
      <c r="D13" s="14" t="n">
        <f aca="false">'3.KTHH L3'!T24</f>
        <v>11.75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7"/>
      <c r="P13" s="47"/>
      <c r="Q13" s="47"/>
      <c r="R13" s="50"/>
      <c r="S13" s="50"/>
      <c r="T13" s="50"/>
      <c r="U13" s="50"/>
      <c r="V13" s="50"/>
      <c r="W13" s="50" t="n">
        <f aca="false">(O13+O14)*D13/2</f>
        <v>28.905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'3.KTHH L3'!B25</f>
        <v>40</v>
      </c>
      <c r="C14" s="16" t="n">
        <f aca="false">'3.KTHH L3'!C25</f>
        <v>712.78</v>
      </c>
      <c r="D14" s="14" t="n">
        <f aca="false">'3.KTHH L3'!T25</f>
        <v>17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7" t="n">
        <f aca="false">Chạy!E15</f>
        <v>4.92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71.4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'3.KTHH L3'!B26</f>
        <v>41</v>
      </c>
      <c r="C15" s="16" t="n">
        <f aca="false">'3.KTHH L3'!C26</f>
        <v>729.78</v>
      </c>
      <c r="D15" s="14" t="n">
        <f aca="false">'3.KTHH L3'!T26</f>
        <v>17.04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7" t="n">
        <f aca="false">Chạy!E19</f>
        <v>3.48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64.4964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'3.KTHH L3'!B27</f>
        <v>42</v>
      </c>
      <c r="C16" s="16" t="n">
        <f aca="false">'3.KTHH L3'!C27</f>
        <v>746.82</v>
      </c>
      <c r="D16" s="14"/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7" t="n">
        <f aca="false">Chạy!E23</f>
        <v>4.09</v>
      </c>
      <c r="P16" s="47"/>
      <c r="Q16" s="47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1"/>
      <c r="AC16" s="50"/>
      <c r="AE16" s="52"/>
    </row>
    <row r="17" s="45" customFormat="true" ht="15" hidden="true" customHeight="true" outlineLevel="0" collapsed="false">
      <c r="A17" s="14"/>
      <c r="B17" s="14"/>
      <c r="C17" s="16"/>
      <c r="D17" s="14"/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7"/>
      <c r="P17" s="47"/>
      <c r="Q17" s="47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1"/>
      <c r="AC17" s="50"/>
      <c r="AE17" s="52"/>
    </row>
    <row r="18" s="45" customFormat="true" ht="15" hidden="true" customHeight="true" outlineLevel="0" collapsed="false">
      <c r="A18" s="14"/>
      <c r="B18" s="14"/>
      <c r="C18" s="16"/>
      <c r="D18" s="14"/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7"/>
      <c r="P18" s="47"/>
      <c r="Q18" s="47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1"/>
      <c r="AC18" s="50"/>
      <c r="AE18" s="52"/>
    </row>
    <row r="19" s="45" customFormat="true" ht="15" hidden="true" customHeight="true" outlineLevel="0" collapsed="false">
      <c r="A19" s="14"/>
      <c r="B19" s="14"/>
      <c r="C19" s="16"/>
      <c r="D19" s="14"/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7"/>
      <c r="P19" s="47"/>
      <c r="Q19" s="47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1"/>
      <c r="AC19" s="50"/>
      <c r="AE19" s="52"/>
    </row>
    <row r="20" s="45" customFormat="true" ht="15" hidden="true" customHeight="true" outlineLevel="0" collapsed="false">
      <c r="A20" s="14"/>
      <c r="B20" s="14"/>
      <c r="C20" s="16"/>
      <c r="D20" s="14"/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7"/>
      <c r="P20" s="47"/>
      <c r="Q20" s="47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1"/>
      <c r="AC20" s="50"/>
      <c r="AE20" s="52"/>
    </row>
    <row r="21" s="45" customFormat="true" ht="15" hidden="true" customHeight="true" outlineLevel="0" collapsed="false">
      <c r="A21" s="14"/>
      <c r="B21" s="14"/>
      <c r="C21" s="16"/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7"/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7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7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7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7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7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7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7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7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7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7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7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7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7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7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60" customFormat="true" ht="14.25" hidden="false" customHeight="true" outlineLevel="0" collapsed="false">
      <c r="A36" s="35" t="s">
        <v>56</v>
      </c>
      <c r="B36" s="35"/>
      <c r="C36" s="35"/>
      <c r="D36" s="35"/>
      <c r="E36" s="73"/>
      <c r="F36" s="73"/>
      <c r="G36" s="73"/>
      <c r="H36" s="73"/>
      <c r="I36" s="73"/>
      <c r="J36" s="73"/>
      <c r="K36" s="73"/>
      <c r="L36" s="73"/>
      <c r="M36" s="56"/>
      <c r="N36" s="56"/>
      <c r="O36" s="56"/>
      <c r="P36" s="56"/>
      <c r="Q36" s="56"/>
      <c r="R36" s="57" t="n">
        <f aca="false">SUM(R11:R30)</f>
        <v>0</v>
      </c>
      <c r="S36" s="57" t="n">
        <f aca="false">SUM(S11:S30)</f>
        <v>0</v>
      </c>
      <c r="T36" s="57"/>
      <c r="U36" s="58" t="n">
        <f aca="false">SUM(U11:U30)</f>
        <v>0</v>
      </c>
      <c r="V36" s="58" t="n">
        <f aca="false">SUM(V11:V30)</f>
        <v>0</v>
      </c>
      <c r="W36" s="59" t="n">
        <f aca="false">SUM(W11:W16)</f>
        <v>301.46015</v>
      </c>
      <c r="X36" s="58" t="n">
        <f aca="false">SUM(X11:X30)</f>
        <v>0</v>
      </c>
      <c r="Y36" s="58" t="n">
        <f aca="false">SUM(Y11:Y30)</f>
        <v>0</v>
      </c>
      <c r="Z36" s="58" t="n">
        <f aca="false">SUM(Z11:Z30)</f>
        <v>0</v>
      </c>
      <c r="AA36" s="58" t="n">
        <f aca="false">SUM(AA11:AA30)</f>
        <v>0</v>
      </c>
      <c r="AB36" s="58"/>
      <c r="AE36" s="61"/>
    </row>
    <row r="37" s="60" customFormat="true" ht="10.5" hidden="false" customHeight="true" outlineLevel="0" collapsed="false">
      <c r="A37" s="63"/>
      <c r="B37" s="63"/>
      <c r="C37" s="63"/>
      <c r="D37" s="63"/>
      <c r="R37" s="64"/>
      <c r="S37" s="64"/>
      <c r="T37" s="64"/>
      <c r="U37" s="61"/>
      <c r="V37" s="61"/>
      <c r="W37" s="61"/>
      <c r="X37" s="61"/>
      <c r="Y37" s="61"/>
      <c r="Z37" s="61"/>
      <c r="AA37" s="61"/>
      <c r="AB37" s="61"/>
    </row>
    <row r="38" s="60" customFormat="true" ht="15" hidden="false" customHeight="true" outlineLevel="0" collapsed="false">
      <c r="A38" s="20" t="s">
        <v>45</v>
      </c>
      <c r="B38" s="20"/>
      <c r="C38" s="20"/>
      <c r="D38" s="65" t="s">
        <v>57</v>
      </c>
      <c r="E38" s="20" t="s">
        <v>46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="60" customFormat="true" ht="14.25" hidden="false" customHeight="true" outlineLevel="0" collapsed="false">
      <c r="A39" s="66"/>
      <c r="B39" s="66"/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s="60" customFormat="true" ht="15" hidden="false" customHeight="true" outlineLevel="0" collapsed="false">
      <c r="A40" s="66"/>
      <c r="B40" s="66"/>
      <c r="C40" s="68"/>
      <c r="D40" s="68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AF40" s="69"/>
    </row>
    <row r="41" s="60" customFormat="true" ht="14.25" hidden="false" customHeight="true" outlineLevel="0" collapsed="false">
      <c r="A41" s="66"/>
      <c r="B41" s="66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 s="60" customFormat="true" ht="14.25" hidden="false" customHeight="true" outlineLevel="0" collapsed="false">
      <c r="A42" s="66"/>
      <c r="B42" s="66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 s="60" customFormat="true" ht="14.25" hidden="false" customHeight="true" outlineLevel="0" collapsed="false">
      <c r="A43" s="66"/>
      <c r="B43" s="66"/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 s="60" customFormat="true" ht="14.25" hidden="false" customHeight="true" outlineLevel="0" collapsed="false">
      <c r="A44" s="20" t="s">
        <v>47</v>
      </c>
      <c r="B44" s="20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0" t="s">
        <v>48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="41" customFormat="true" ht="15" hidden="false" customHeight="true" outlineLevel="0" collapsed="false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</row>
    <row r="46" s="41" customFormat="true" ht="15" hidden="false" customHeight="true" outlineLevel="0" collapsed="false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</row>
    <row r="47" s="41" customFormat="true" ht="15" hidden="false" customHeight="true" outlineLevel="0" collapsed="false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</row>
    <row r="48" s="41" customFormat="true" ht="15" hidden="false" customHeight="true" outlineLevel="0" collapsed="false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</row>
    <row r="49" s="41" customFormat="true" ht="15" hidden="false" customHeight="true" outlineLevel="0" collapsed="false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</row>
    <row r="50" s="41" customFormat="true" ht="15" hidden="false" customHeight="true" outlineLevel="0" collapsed="false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 s="41" customFormat="true" ht="15" hidden="false" customHeight="true" outlineLevel="0" collapsed="false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</row>
    <row r="52" s="41" customFormat="true" ht="15" hidden="false" customHeight="true" outlineLevel="0" collapsed="false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</row>
    <row r="53" s="41" customFormat="true" ht="15" hidden="false" customHeight="true" outlineLevel="0" collapsed="false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 s="41" customFormat="true" ht="15" hidden="false" customHeight="true" outlineLevel="0" collapsed="false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</row>
    <row r="55" s="41" customFormat="true" ht="15" hidden="false" customHeight="true" outlineLevel="0" collapsed="false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</row>
    <row r="56" s="41" customFormat="true" ht="15" hidden="false" customHeight="true" outlineLevel="0" collapsed="false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</row>
    <row r="57" s="41" customFormat="true" ht="15" hidden="false" customHeight="true" outlineLevel="0" collapsed="false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 s="41" customFormat="true" ht="15" hidden="false" customHeight="true" outlineLevel="0" collapsed="false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</row>
    <row r="59" s="41" customFormat="true" ht="15" hidden="false" customHeight="true" outlineLevel="0" collapsed="false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</row>
    <row r="60" s="41" customFormat="true" ht="15" hidden="false" customHeight="true" outlineLevel="0" collapsed="false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</row>
    <row r="61" s="41" customFormat="true" ht="15" hidden="false" customHeight="true" outlineLevel="0" collapsed="false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s="24" customFormat="tru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23"/>
      <c r="AE94" s="23"/>
      <c r="AF94" s="23"/>
      <c r="AG94" s="23"/>
    </row>
    <row r="95" s="24" customFormat="tru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23"/>
      <c r="AE95" s="23"/>
      <c r="AF95" s="23"/>
      <c r="AG95" s="23"/>
    </row>
    <row r="96" s="24" customFormat="tru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23"/>
      <c r="AE96" s="23"/>
      <c r="AF96" s="23"/>
      <c r="AG96" s="23"/>
    </row>
    <row r="97" s="24" customFormat="tru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23"/>
      <c r="AE97" s="23"/>
      <c r="AF97" s="23"/>
      <c r="AG97" s="23"/>
    </row>
    <row r="98" s="24" customFormat="tru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23"/>
      <c r="AE98" s="23"/>
      <c r="AF98" s="23"/>
      <c r="AG98" s="23"/>
    </row>
    <row r="99" s="24" customFormat="tru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23"/>
      <c r="AE99" s="23"/>
      <c r="AF99" s="23"/>
      <c r="AG99" s="23"/>
    </row>
    <row r="100" s="24" customFormat="tru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23"/>
      <c r="AE100" s="23"/>
      <c r="AF100" s="23"/>
      <c r="AG100" s="23"/>
    </row>
    <row r="101" s="24" customFormat="tru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23"/>
      <c r="AE101" s="23"/>
      <c r="AF101" s="23"/>
      <c r="AG101" s="23"/>
    </row>
    <row r="102" s="24" customFormat="tru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23"/>
      <c r="AE102" s="23"/>
      <c r="AF102" s="23"/>
      <c r="AG102" s="23"/>
    </row>
    <row r="103" s="24" customFormat="tru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23"/>
      <c r="AE103" s="23"/>
      <c r="AF103" s="23"/>
      <c r="AG103" s="23"/>
    </row>
    <row r="104" s="24" customFormat="tru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23"/>
      <c r="AE104" s="23"/>
      <c r="AF104" s="23"/>
      <c r="AG104" s="23"/>
    </row>
    <row r="105" s="24" customFormat="tru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23"/>
      <c r="AE105" s="23"/>
      <c r="AF105" s="23"/>
      <c r="AG105" s="23"/>
    </row>
    <row r="106" s="24" customFormat="tru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23"/>
      <c r="AE106" s="23"/>
      <c r="AF106" s="23"/>
      <c r="AG106" s="23"/>
    </row>
    <row r="107" s="24" customFormat="tru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23"/>
      <c r="AE107" s="23"/>
      <c r="AF107" s="23"/>
      <c r="AG107" s="23"/>
    </row>
    <row r="108" s="24" customFormat="tru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23"/>
      <c r="AE108" s="23"/>
      <c r="AF108" s="23"/>
      <c r="AG108" s="23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36:D36"/>
    <mergeCell ref="A38:C38"/>
    <mergeCell ref="E38:AB38"/>
    <mergeCell ref="A44:C44"/>
    <mergeCell ref="M44:AB44"/>
  </mergeCells>
  <printOptions headings="false" gridLines="false" gridLinesSet="true" horizontalCentered="false" verticalCentered="false"/>
  <pageMargins left="0.7" right="0.209722222222222" top="0.459722222222222" bottom="0.32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5"/>
  <sheetViews>
    <sheetView showFormulas="false" showGridLines="true" showRowColHeaders="true" showZeros="true" rightToLeft="false" tabSelected="false" showOutlineSymbols="true" defaultGridColor="true" view="normal" topLeftCell="A15" colorId="64" zoomScale="55" zoomScaleNormal="55" zoomScalePageLayoutView="100" workbookViewId="0">
      <selection pane="topLeft" activeCell="P47" activeCellId="0" sqref="P4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7.29"/>
    <col collapsed="false" customWidth="true" hidden="false" outlineLevel="0" max="3" min="3" style="1" width="20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43"/>
    <col collapsed="false" customWidth="true" hidden="true" outlineLevel="0" max="15" min="13" style="1" width="8.57"/>
    <col collapsed="false" customWidth="true" hidden="false" outlineLevel="0" max="18" min="16" style="1" width="11.43"/>
    <col collapsed="false" customWidth="true" hidden="false" outlineLevel="0" max="19" min="19" style="1" width="6.85"/>
  </cols>
  <sheetData>
    <row r="1" customFormat="false" ht="20.2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63.NĐXD4/CVXD ngày 16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74"/>
      <c r="U2" s="74"/>
      <c r="V2" s="7"/>
      <c r="W2" s="7"/>
      <c r="AZ2">
        <v>63</v>
      </c>
    </row>
    <row r="3" customFormat="false" ht="18.75" hidden="false" customHeight="true" outlineLevel="0" collapsed="false">
      <c r="A3" s="8" t="s">
        <v>25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26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27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29</v>
      </c>
      <c r="C7" s="8"/>
      <c r="D7" s="8"/>
      <c r="E7" s="8"/>
      <c r="F7" s="8"/>
      <c r="G7" s="8" t="str">
        <f>VLOOKUP(AZ2,'[1]Tuyến XD4'!$A$2:$B$60,2,0)</f>
        <v xml:space="preserve">Đắp cát nền đường lớp 4 đoạn từ Km0+672,28 - Km0+746,82,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0" customFormat="false" ht="6.75" hidden="false" customHeight="true" outlineLevel="0" collapsed="false"/>
    <row r="21" customFormat="false" ht="17.25" hidden="false" customHeight="true" outlineLevel="0" collapsed="false">
      <c r="A21" s="10" t="s">
        <v>32</v>
      </c>
      <c r="B21" s="10" t="s">
        <v>33</v>
      </c>
      <c r="C21" s="10" t="s">
        <v>34</v>
      </c>
      <c r="D21" s="11" t="s">
        <v>35</v>
      </c>
      <c r="E21" s="11"/>
      <c r="F21" s="11"/>
      <c r="G21" s="11"/>
      <c r="H21" s="11"/>
      <c r="I21" s="11"/>
      <c r="J21" s="11" t="s">
        <v>36</v>
      </c>
      <c r="K21" s="11"/>
      <c r="L21" s="11"/>
      <c r="M21" s="11" t="s">
        <v>37</v>
      </c>
      <c r="N21" s="11"/>
      <c r="O21" s="11"/>
      <c r="P21" s="11"/>
      <c r="Q21" s="11"/>
      <c r="R21" s="11"/>
      <c r="S21" s="10" t="s">
        <v>38</v>
      </c>
    </row>
    <row r="22" customFormat="false" ht="30" hidden="false" customHeight="true" outlineLevel="0" collapsed="false">
      <c r="A22" s="10"/>
      <c r="B22" s="10"/>
      <c r="C22" s="10"/>
      <c r="D22" s="12" t="s">
        <v>39</v>
      </c>
      <c r="E22" s="12" t="s">
        <v>40</v>
      </c>
      <c r="F22" s="12" t="s">
        <v>41</v>
      </c>
      <c r="G22" s="12" t="s">
        <v>42</v>
      </c>
      <c r="H22" s="12" t="s">
        <v>43</v>
      </c>
      <c r="I22" s="12" t="s">
        <v>44</v>
      </c>
      <c r="J22" s="12" t="s">
        <v>42</v>
      </c>
      <c r="K22" s="12" t="s">
        <v>43</v>
      </c>
      <c r="L22" s="12" t="s">
        <v>44</v>
      </c>
      <c r="M22" s="12" t="s">
        <v>39</v>
      </c>
      <c r="N22" s="12" t="s">
        <v>40</v>
      </c>
      <c r="O22" s="12" t="s">
        <v>41</v>
      </c>
      <c r="P22" s="12" t="s">
        <v>42</v>
      </c>
      <c r="Q22" s="12" t="s">
        <v>43</v>
      </c>
      <c r="R22" s="12" t="s">
        <v>44</v>
      </c>
      <c r="S22" s="10"/>
      <c r="T22" s="13"/>
    </row>
    <row r="23" customFormat="false" ht="15" hidden="false" customHeight="false" outlineLevel="0" collapsed="false">
      <c r="A23" s="14" t="n">
        <v>1</v>
      </c>
      <c r="B23" s="14" t="s">
        <v>17</v>
      </c>
      <c r="C23" s="71" t="n">
        <v>672.28</v>
      </c>
      <c r="D23" s="17" t="n">
        <f aca="false">+Chạy!F2</f>
        <v>-9.78</v>
      </c>
      <c r="E23" s="17" t="n">
        <f aca="false">+D23+F23</f>
        <v>-9.775</v>
      </c>
      <c r="F23" s="17" t="n">
        <f aca="false">RANDBETWEEN(-105,115)/10000</f>
        <v>0.005</v>
      </c>
      <c r="G23" s="17" t="n">
        <f aca="false">+Chạy!G2</f>
        <v>-0.62</v>
      </c>
      <c r="H23" s="17" t="n">
        <f aca="false">G23+I23</f>
        <v>-0.607</v>
      </c>
      <c r="I23" s="17" t="n">
        <f aca="false">RANDBETWEEN(-30,90)/1000</f>
        <v>0.013</v>
      </c>
      <c r="J23" s="17" t="n">
        <f aca="false">+Chạy!K2</f>
        <v>-0.62</v>
      </c>
      <c r="K23" s="17" t="n">
        <f aca="false">J23+L23</f>
        <v>-0.531</v>
      </c>
      <c r="L23" s="17" t="n">
        <f aca="false">RANDBETWEEN(-30,90)/1000</f>
        <v>0.089</v>
      </c>
      <c r="M23" s="17" t="n">
        <f aca="false">+Chạy!N2</f>
        <v>15.79</v>
      </c>
      <c r="N23" s="17" t="n">
        <f aca="false">+M23+O23</f>
        <v>15.7816</v>
      </c>
      <c r="O23" s="17" t="n">
        <f aca="false">RANDBETWEEN(-105,115)/10000</f>
        <v>-0.0084</v>
      </c>
      <c r="P23" s="17" t="n">
        <f aca="false">+Chạy!O2</f>
        <v>-0.62</v>
      </c>
      <c r="Q23" s="17" t="n">
        <f aca="false">P23+R23</f>
        <v>-0.639</v>
      </c>
      <c r="R23" s="17" t="n">
        <f aca="false">RANDBETWEEN(-30,90)/1000</f>
        <v>-0.019</v>
      </c>
      <c r="S23" s="18"/>
      <c r="T23" s="0" t="n">
        <v>17</v>
      </c>
    </row>
    <row r="24" customFormat="false" ht="15" hidden="false" customHeight="false" outlineLevel="0" collapsed="false">
      <c r="A24" s="14" t="n">
        <v>2</v>
      </c>
      <c r="B24" s="14" t="s">
        <v>18</v>
      </c>
      <c r="C24" s="71" t="n">
        <f aca="false">+C23+T23</f>
        <v>689.28</v>
      </c>
      <c r="D24" s="17" t="n">
        <f aca="false">+Chạy!F6</f>
        <v>-9.04</v>
      </c>
      <c r="E24" s="17" t="n">
        <f aca="false">+D24+F24</f>
        <v>-9.0389</v>
      </c>
      <c r="F24" s="17" t="n">
        <f aca="false">RANDBETWEEN(-105,115)/10000</f>
        <v>0.0011</v>
      </c>
      <c r="G24" s="17" t="n">
        <f aca="false">+Chạy!G6</f>
        <v>-0.62</v>
      </c>
      <c r="H24" s="17" t="n">
        <f aca="false">G24+I24</f>
        <v>-0.62</v>
      </c>
      <c r="I24" s="17" t="n">
        <f aca="false">RANDBETWEEN(-30,90)/1000</f>
        <v>0</v>
      </c>
      <c r="J24" s="17" t="n">
        <f aca="false">+Chạy!K6</f>
        <v>-0.62</v>
      </c>
      <c r="K24" s="17" t="n">
        <f aca="false">J24+L24</f>
        <v>-0.557</v>
      </c>
      <c r="L24" s="17" t="n">
        <f aca="false">RANDBETWEEN(-30,90)/1000</f>
        <v>0.063</v>
      </c>
      <c r="M24" s="17" t="n">
        <f aca="false">+Chạy!N6</f>
        <v>8.28</v>
      </c>
      <c r="N24" s="17" t="n">
        <f aca="false">+M24+O24</f>
        <v>8.2881</v>
      </c>
      <c r="O24" s="17" t="n">
        <f aca="false">RANDBETWEEN(-105,115)/10000</f>
        <v>0.0081</v>
      </c>
      <c r="P24" s="17" t="n">
        <f aca="false">+Chạy!O6</f>
        <v>-0.62</v>
      </c>
      <c r="Q24" s="17" t="n">
        <f aca="false">P24+R24</f>
        <v>-0.549</v>
      </c>
      <c r="R24" s="17" t="n">
        <f aca="false">RANDBETWEEN(-30,90)/1000</f>
        <v>0.071</v>
      </c>
      <c r="S24" s="18"/>
      <c r="T24" s="0" t="n">
        <v>11.75</v>
      </c>
    </row>
    <row r="25" customFormat="false" ht="15" hidden="false" customHeight="false" outlineLevel="0" collapsed="false">
      <c r="A25" s="14" t="n">
        <v>3</v>
      </c>
      <c r="B25" s="14" t="s">
        <v>19</v>
      </c>
      <c r="C25" s="71" t="n">
        <f aca="false">+C24+T24</f>
        <v>701.03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8"/>
      <c r="T25" s="0" t="n">
        <v>11.75</v>
      </c>
    </row>
    <row r="26" customFormat="false" ht="15" hidden="false" customHeight="false" outlineLevel="0" collapsed="false">
      <c r="A26" s="14" t="n">
        <v>4</v>
      </c>
      <c r="B26" s="14" t="s">
        <v>20</v>
      </c>
      <c r="C26" s="71" t="n">
        <f aca="false">+C25+T25</f>
        <v>712.78</v>
      </c>
      <c r="D26" s="17" t="n">
        <f aca="false">+Chạy!F14</f>
        <v>-9.18</v>
      </c>
      <c r="E26" s="17" t="n">
        <f aca="false">+D26+F26</f>
        <v>-9.1697</v>
      </c>
      <c r="F26" s="17" t="n">
        <f aca="false">RANDBETWEEN(-105,115)/10000</f>
        <v>0.0103</v>
      </c>
      <c r="G26" s="17" t="n">
        <f aca="false">+Chạy!G14</f>
        <v>-0.62</v>
      </c>
      <c r="H26" s="17" t="n">
        <f aca="false">G26+I26</f>
        <v>-0.606</v>
      </c>
      <c r="I26" s="17" t="n">
        <f aca="false">RANDBETWEEN(-30,90)/1000</f>
        <v>0.014</v>
      </c>
      <c r="J26" s="17" t="n">
        <f aca="false">+Chạy!K14</f>
        <v>-0.62</v>
      </c>
      <c r="K26" s="17" t="n">
        <f aca="false">J26+L26</f>
        <v>-0.603</v>
      </c>
      <c r="L26" s="17" t="n">
        <f aca="false">RANDBETWEEN(-30,90)/1000</f>
        <v>0.017</v>
      </c>
      <c r="M26" s="17" t="n">
        <f aca="false">+Chạy!N14</f>
        <v>8.14</v>
      </c>
      <c r="N26" s="17" t="n">
        <f aca="false">+M26+O26</f>
        <v>8.1439</v>
      </c>
      <c r="O26" s="17" t="n">
        <f aca="false">RANDBETWEEN(-105,115)/10000</f>
        <v>0.0039</v>
      </c>
      <c r="P26" s="17" t="n">
        <f aca="false">+Chạy!O14</f>
        <v>-0.62</v>
      </c>
      <c r="Q26" s="17" t="n">
        <f aca="false">P26+R26</f>
        <v>-0.632</v>
      </c>
      <c r="R26" s="17" t="n">
        <f aca="false">RANDBETWEEN(-30,90)/1000</f>
        <v>-0.012</v>
      </c>
      <c r="S26" s="18"/>
      <c r="T26" s="0" t="n">
        <v>17</v>
      </c>
    </row>
    <row r="27" customFormat="false" ht="15" hidden="false" customHeight="false" outlineLevel="0" collapsed="false">
      <c r="A27" s="14" t="n">
        <v>5</v>
      </c>
      <c r="B27" s="14" t="s">
        <v>21</v>
      </c>
      <c r="C27" s="71" t="n">
        <f aca="false">+C26+T26</f>
        <v>729.78</v>
      </c>
      <c r="D27" s="17" t="n">
        <f aca="false">+Chạy!F18</f>
        <v>-6.25</v>
      </c>
      <c r="E27" s="17" t="n">
        <f aca="false">+D27+F27</f>
        <v>-6.2565</v>
      </c>
      <c r="F27" s="17" t="n">
        <f aca="false">RANDBETWEEN(-105,115)/10000</f>
        <v>-0.0065</v>
      </c>
      <c r="G27" s="17" t="n">
        <f aca="false">+Chạy!G18</f>
        <v>-0.62</v>
      </c>
      <c r="H27" s="17" t="n">
        <f aca="false">G27+I27</f>
        <v>-0.617</v>
      </c>
      <c r="I27" s="17" t="n">
        <f aca="false">RANDBETWEEN(-30,90)/1000</f>
        <v>0.003</v>
      </c>
      <c r="J27" s="17" t="n">
        <f aca="false">+Chạy!K18</f>
        <v>-0.62</v>
      </c>
      <c r="K27" s="17" t="n">
        <f aca="false">J27+L27</f>
        <v>-0.58</v>
      </c>
      <c r="L27" s="17" t="n">
        <f aca="false">RANDBETWEEN(-30,90)/1000</f>
        <v>0.04</v>
      </c>
      <c r="M27" s="17" t="n">
        <f aca="false">+Chạy!N18</f>
        <v>6.25</v>
      </c>
      <c r="N27" s="17" t="n">
        <f aca="false">+M27+O27</f>
        <v>6.2554</v>
      </c>
      <c r="O27" s="17" t="n">
        <f aca="false">RANDBETWEEN(-105,115)/10000</f>
        <v>0.0054</v>
      </c>
      <c r="P27" s="17" t="n">
        <f aca="false">+Chạy!O18</f>
        <v>-0.62</v>
      </c>
      <c r="Q27" s="17" t="n">
        <f aca="false">P27+R27</f>
        <v>-0.633</v>
      </c>
      <c r="R27" s="17" t="n">
        <f aca="false">RANDBETWEEN(-30,90)/1000</f>
        <v>-0.013</v>
      </c>
      <c r="S27" s="18"/>
      <c r="T27" s="0" t="n">
        <v>17.04</v>
      </c>
    </row>
    <row r="28" customFormat="false" ht="15" hidden="false" customHeight="false" outlineLevel="0" collapsed="false">
      <c r="A28" s="14" t="n">
        <v>6</v>
      </c>
      <c r="B28" s="14" t="s">
        <v>22</v>
      </c>
      <c r="C28" s="71" t="n">
        <f aca="false">+C27+T27</f>
        <v>746.82</v>
      </c>
      <c r="D28" s="17" t="n">
        <f aca="false">+Chạy!F22</f>
        <v>-6.69</v>
      </c>
      <c r="E28" s="17" t="n">
        <f aca="false">+D28+F28</f>
        <v>-6.6962</v>
      </c>
      <c r="F28" s="17" t="n">
        <f aca="false">RANDBETWEEN(-105,115)/10000</f>
        <v>-0.0062</v>
      </c>
      <c r="G28" s="17" t="n">
        <f aca="false">+Chạy!G22</f>
        <v>-0.62</v>
      </c>
      <c r="H28" s="17" t="n">
        <f aca="false">G28+I28</f>
        <v>-0.556</v>
      </c>
      <c r="I28" s="17" t="n">
        <f aca="false">RANDBETWEEN(-30,90)/1000</f>
        <v>0.064</v>
      </c>
      <c r="J28" s="17" t="n">
        <f aca="false">+Chạy!K22</f>
        <v>-0.62</v>
      </c>
      <c r="K28" s="17" t="n">
        <f aca="false">J28+L28</f>
        <v>-0.595</v>
      </c>
      <c r="L28" s="17" t="n">
        <f aca="false">RANDBETWEEN(-30,90)/1000</f>
        <v>0.025</v>
      </c>
      <c r="M28" s="17" t="n">
        <f aca="false">+Chạy!N22</f>
        <v>7.85</v>
      </c>
      <c r="N28" s="17" t="n">
        <f aca="false">+M28+O28</f>
        <v>7.8541</v>
      </c>
      <c r="O28" s="17" t="n">
        <f aca="false">RANDBETWEEN(-105,115)/10000</f>
        <v>0.0041</v>
      </c>
      <c r="P28" s="17" t="n">
        <f aca="false">+Chạy!O22</f>
        <v>-0.62</v>
      </c>
      <c r="Q28" s="17" t="n">
        <f aca="false">P28+R28</f>
        <v>-0.557</v>
      </c>
      <c r="R28" s="17" t="n">
        <f aca="false">RANDBETWEEN(-30,90)/1000</f>
        <v>0.063</v>
      </c>
      <c r="S28" s="18"/>
    </row>
    <row r="29" customFormat="false" ht="15" hidden="true" customHeight="false" outlineLevel="0" collapsed="false">
      <c r="A29" s="14"/>
      <c r="B29" s="14"/>
      <c r="C29" s="71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</row>
    <row r="30" customFormat="false" ht="15" hidden="true" customHeight="false" outlineLevel="0" collapsed="false">
      <c r="A30" s="14"/>
      <c r="B30" s="14"/>
      <c r="C30" s="7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</row>
    <row r="31" customFormat="false" ht="15" hidden="true" customHeight="false" outlineLevel="0" collapsed="false">
      <c r="A31" s="14"/>
      <c r="B31" s="14"/>
      <c r="C31" s="71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</row>
    <row r="32" customFormat="false" ht="15" hidden="true" customHeight="false" outlineLevel="0" collapsed="false">
      <c r="A32" s="14"/>
      <c r="B32" s="14"/>
      <c r="C32" s="71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</row>
    <row r="33" customFormat="false" ht="15" hidden="true" customHeight="false" outlineLevel="0" collapsed="false">
      <c r="A33" s="14"/>
      <c r="B33" s="14"/>
      <c r="C33" s="7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</row>
    <row r="34" customFormat="false" ht="15" hidden="true" customHeight="false" outlineLevel="0" collapsed="false">
      <c r="A34" s="14"/>
      <c r="B34" s="14"/>
      <c r="C34" s="7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7" customFormat="false" ht="15" hidden="true" customHeight="false" outlineLevel="0" collapsed="false">
      <c r="A47" s="14"/>
      <c r="B47" s="14"/>
      <c r="C47" s="71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</row>
    <row r="49" customFormat="false" ht="15" hidden="false" customHeight="false" outlineLevel="0" collapsed="false">
      <c r="C49" s="20" t="s">
        <v>45</v>
      </c>
      <c r="D49" s="20"/>
      <c r="E49" s="20"/>
      <c r="F49" s="20"/>
      <c r="G49" s="20"/>
      <c r="H49" s="20"/>
      <c r="I49" s="20"/>
      <c r="K49" s="21"/>
      <c r="L49" s="21"/>
      <c r="M49" s="21"/>
      <c r="N49" s="21"/>
      <c r="O49" s="20" t="s">
        <v>46</v>
      </c>
      <c r="P49" s="20"/>
      <c r="Q49" s="20"/>
      <c r="R49" s="20"/>
    </row>
    <row r="50" customFormat="false" ht="15" hidden="false" customHeight="false" outlineLevel="0" collapsed="false">
      <c r="E50" s="22"/>
      <c r="F50" s="22"/>
      <c r="G50" s="22"/>
      <c r="H50" s="22"/>
      <c r="K50" s="22"/>
      <c r="L50" s="22"/>
      <c r="M50" s="22"/>
      <c r="N50" s="22"/>
      <c r="O50" s="22"/>
      <c r="P50" s="22"/>
      <c r="Q50" s="22"/>
      <c r="R50" s="22"/>
    </row>
    <row r="51" customFormat="false" ht="15" hidden="false" customHeight="false" outlineLevel="0" collapsed="false">
      <c r="E51" s="22"/>
      <c r="F51" s="22"/>
      <c r="G51" s="22"/>
      <c r="H51" s="22"/>
      <c r="K51" s="22"/>
      <c r="L51" s="22"/>
      <c r="M51" s="22"/>
      <c r="N51" s="22"/>
      <c r="O51" s="22"/>
      <c r="P51" s="22"/>
      <c r="Q51" s="22"/>
      <c r="R51" s="22"/>
    </row>
    <row r="52" customFormat="false" ht="15" hidden="false" customHeight="false" outlineLevel="0" collapsed="false">
      <c r="E52" s="22"/>
      <c r="F52" s="22"/>
      <c r="G52" s="22"/>
      <c r="H52" s="22"/>
      <c r="K52" s="22"/>
      <c r="L52" s="22"/>
      <c r="M52" s="22"/>
      <c r="N52" s="22"/>
      <c r="O52" s="22"/>
      <c r="P52" s="22"/>
      <c r="Q52" s="22"/>
      <c r="R52" s="22"/>
    </row>
    <row r="53" customFormat="false" ht="15" hidden="false" customHeight="false" outlineLevel="0" collapsed="false">
      <c r="E53" s="22"/>
      <c r="F53" s="22"/>
      <c r="G53" s="22"/>
      <c r="H53" s="22"/>
      <c r="K53" s="22"/>
      <c r="L53" s="22"/>
      <c r="M53" s="22"/>
      <c r="N53" s="22"/>
      <c r="O53" s="22"/>
      <c r="P53" s="22"/>
      <c r="Q53" s="22"/>
      <c r="R53" s="22"/>
    </row>
    <row r="54" customFormat="false" ht="15" hidden="false" customHeight="false" outlineLevel="0" collapsed="false">
      <c r="C54" s="20" t="s">
        <v>47</v>
      </c>
      <c r="D54" s="20"/>
      <c r="E54" s="20"/>
      <c r="F54" s="20"/>
      <c r="G54" s="20"/>
      <c r="H54" s="20"/>
      <c r="I54" s="20"/>
      <c r="K54" s="21"/>
      <c r="L54" s="21"/>
      <c r="M54" s="21"/>
      <c r="N54" s="21"/>
      <c r="O54" s="20" t="s">
        <v>48</v>
      </c>
      <c r="P54" s="20"/>
      <c r="Q54" s="20"/>
      <c r="R54" s="20"/>
    </row>
    <row r="55" customFormat="false" ht="15.75" hidden="false" customHeight="true" outlineLevel="0" collapsed="false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49:I49"/>
    <mergeCell ref="O49:R49"/>
    <mergeCell ref="C54:I54"/>
    <mergeCell ref="O54:R54"/>
  </mergeCells>
  <printOptions headings="false" gridLines="false" gridLinesSet="true" horizontalCentered="true" verticalCentered="false"/>
  <pageMargins left="0.157638888888889" right="0.196527777777778" top="0.511805555555556" bottom="0.433333333333333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2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D17" activeCellId="0" sqref="AD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6.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63.NĐXD4/CVXD ngày 16 tháng 09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Z2">
        <v>63</v>
      </c>
    </row>
    <row r="3" s="30" customFormat="true" ht="37.5" hidden="false" customHeight="true" outlineLevel="0" collapsed="false">
      <c r="A3" s="28" t="s">
        <v>25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26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27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28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29</v>
      </c>
      <c r="B7" s="32"/>
      <c r="D7" s="33" t="str">
        <f>VLOOKUP(AZ2,'[1]Tuyến XD4'!$A$2:$B$60,2,0)</f>
        <v xml:space="preserve">Đắp cát nền đường lớp 4 đoạn từ Km0+672,28 - Km0+746,82,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13.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33</v>
      </c>
      <c r="C9" s="35" t="s">
        <v>34</v>
      </c>
      <c r="D9" s="36" t="s">
        <v>50</v>
      </c>
      <c r="E9" s="37"/>
      <c r="F9" s="37"/>
      <c r="G9" s="36"/>
      <c r="H9" s="37"/>
      <c r="I9" s="37"/>
      <c r="J9" s="37"/>
      <c r="K9" s="37"/>
      <c r="L9" s="37"/>
      <c r="M9" s="38" t="s">
        <v>51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38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52</v>
      </c>
      <c r="O10" s="38" t="s">
        <v>53</v>
      </c>
      <c r="P10" s="38" t="s">
        <v>52</v>
      </c>
      <c r="Q10" s="38" t="s">
        <v>52</v>
      </c>
      <c r="R10" s="38"/>
      <c r="S10" s="38"/>
      <c r="T10" s="38"/>
      <c r="U10" s="38" t="s">
        <v>54</v>
      </c>
      <c r="V10" s="38" t="s">
        <v>54</v>
      </c>
      <c r="W10" s="38" t="s">
        <v>55</v>
      </c>
      <c r="X10" s="38" t="s">
        <v>54</v>
      </c>
      <c r="Y10" s="38" t="s">
        <v>54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'4.KTHH L4'!B23</f>
        <v>38</v>
      </c>
      <c r="C11" s="16" t="n">
        <f aca="false">'4.KTHH L4'!C23</f>
        <v>672.28</v>
      </c>
      <c r="D11" s="14" t="n">
        <f aca="false">'4.KTHH L4'!T23</f>
        <v>17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 t="n">
        <f aca="false">Chạy!E2</f>
        <v>7.69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108.8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'4.KTHH L4'!B24</f>
        <v>39</v>
      </c>
      <c r="C12" s="16" t="n">
        <f aca="false">'4.KTHH L4'!C24</f>
        <v>689.28</v>
      </c>
      <c r="D12" s="14" t="n">
        <f aca="false">'4.KTHH L4'!T24</f>
        <v>11.75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Chạy!E6</f>
        <v>5.11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30.02125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'4.KTHH L4'!B25</f>
        <v>F2</v>
      </c>
      <c r="C13" s="16" t="n">
        <f aca="false">'4.KTHH L4'!C25</f>
        <v>701.03</v>
      </c>
      <c r="D13" s="14" t="n">
        <f aca="false">'4.KTHH L4'!T25</f>
        <v>11.75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/>
      <c r="P13" s="47"/>
      <c r="Q13" s="47"/>
      <c r="R13" s="50"/>
      <c r="S13" s="50"/>
      <c r="T13" s="50"/>
      <c r="U13" s="50"/>
      <c r="V13" s="50"/>
      <c r="W13" s="50" t="n">
        <f aca="false">(O13+O14)*D13/2</f>
        <v>29.9625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'4.KTHH L4'!B26</f>
        <v>40</v>
      </c>
      <c r="C14" s="16" t="n">
        <f aca="false">'4.KTHH L4'!C26</f>
        <v>712.78</v>
      </c>
      <c r="D14" s="14" t="n">
        <f aca="false">'4.KTHH L4'!T26</f>
        <v>17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Chạy!E14</f>
        <v>5.1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74.46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'4.KTHH L4'!B27</f>
        <v>41</v>
      </c>
      <c r="C15" s="16" t="n">
        <f aca="false">'4.KTHH L4'!C27</f>
        <v>729.78</v>
      </c>
      <c r="D15" s="14" t="n">
        <f aca="false">'4.KTHH L4'!T27</f>
        <v>17.04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 t="n">
        <f aca="false">Chạy!E18</f>
        <v>3.66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67.5636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'4.KTHH L4'!B28</f>
        <v>42</v>
      </c>
      <c r="C16" s="16" t="n">
        <f aca="false">'4.KTHH L4'!C28</f>
        <v>746.82</v>
      </c>
      <c r="D16" s="14"/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Chạy!E22</f>
        <v>4.27</v>
      </c>
      <c r="P16" s="47"/>
      <c r="Q16" s="47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1"/>
      <c r="AC16" s="50"/>
      <c r="AE16" s="52"/>
    </row>
    <row r="17" s="45" customFormat="true" ht="15" hidden="true" customHeight="true" outlineLevel="0" collapsed="false">
      <c r="A17" s="14"/>
      <c r="B17" s="14"/>
      <c r="C17" s="16"/>
      <c r="D17" s="14"/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/>
      <c r="P17" s="47"/>
      <c r="Q17" s="47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1"/>
      <c r="AC17" s="50"/>
      <c r="AE17" s="52"/>
    </row>
    <row r="18" s="45" customFormat="true" ht="15" hidden="true" customHeight="true" outlineLevel="0" collapsed="false">
      <c r="A18" s="14"/>
      <c r="B18" s="14"/>
      <c r="C18" s="16"/>
      <c r="D18" s="14"/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/>
      <c r="P18" s="47"/>
      <c r="Q18" s="47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1"/>
      <c r="AC18" s="50"/>
      <c r="AE18" s="52"/>
    </row>
    <row r="19" s="45" customFormat="true" ht="15" hidden="true" customHeight="true" outlineLevel="0" collapsed="false">
      <c r="A19" s="14"/>
      <c r="B19" s="14"/>
      <c r="C19" s="16"/>
      <c r="D19" s="14"/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/>
      <c r="P19" s="47"/>
      <c r="Q19" s="47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1"/>
      <c r="AC19" s="50"/>
      <c r="AE19" s="52"/>
    </row>
    <row r="20" s="45" customFormat="true" ht="15" hidden="true" customHeight="true" outlineLevel="0" collapsed="false">
      <c r="A20" s="14"/>
      <c r="B20" s="14"/>
      <c r="C20" s="16"/>
      <c r="D20" s="14"/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9"/>
      <c r="P20" s="47"/>
      <c r="Q20" s="47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1"/>
      <c r="AC20" s="50"/>
      <c r="AE20" s="52"/>
    </row>
    <row r="21" s="45" customFormat="true" ht="15" hidden="true" customHeight="true" outlineLevel="0" collapsed="false">
      <c r="A21" s="14"/>
      <c r="B21" s="14"/>
      <c r="C21" s="16"/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9"/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9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9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9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9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9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9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9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9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9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9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9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9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9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9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60" customFormat="true" ht="14.25" hidden="false" customHeight="true" outlineLevel="0" collapsed="false">
      <c r="A36" s="35" t="s">
        <v>56</v>
      </c>
      <c r="B36" s="35"/>
      <c r="C36" s="35"/>
      <c r="D36" s="35"/>
      <c r="E36" s="73"/>
      <c r="F36" s="73"/>
      <c r="G36" s="73"/>
      <c r="H36" s="73"/>
      <c r="I36" s="73"/>
      <c r="J36" s="73"/>
      <c r="K36" s="73"/>
      <c r="L36" s="73"/>
      <c r="M36" s="56"/>
      <c r="N36" s="56"/>
      <c r="O36" s="56"/>
      <c r="P36" s="56"/>
      <c r="Q36" s="56"/>
      <c r="R36" s="57" t="n">
        <f aca="false">SUM(R11:R30)</f>
        <v>0</v>
      </c>
      <c r="S36" s="57" t="n">
        <f aca="false">SUM(S11:S30)</f>
        <v>0</v>
      </c>
      <c r="T36" s="57"/>
      <c r="U36" s="58" t="n">
        <f aca="false">SUM(U11:U30)</f>
        <v>0</v>
      </c>
      <c r="V36" s="58" t="n">
        <f aca="false">SUM(V11:V30)</f>
        <v>0</v>
      </c>
      <c r="W36" s="59" t="n">
        <f aca="false">SUM(W11:W16)</f>
        <v>310.80735</v>
      </c>
      <c r="X36" s="58" t="n">
        <f aca="false">SUM(X11:X30)</f>
        <v>0</v>
      </c>
      <c r="Y36" s="58" t="n">
        <f aca="false">SUM(Y11:Y30)</f>
        <v>0</v>
      </c>
      <c r="Z36" s="58" t="n">
        <f aca="false">SUM(Z11:Z30)</f>
        <v>0</v>
      </c>
      <c r="AA36" s="58" t="n">
        <f aca="false">SUM(AA11:AA30)</f>
        <v>0</v>
      </c>
      <c r="AB36" s="58"/>
      <c r="AE36" s="61"/>
    </row>
    <row r="37" s="60" customFormat="true" ht="14.25" hidden="false" customHeight="true" outlineLevel="0" collapsed="false">
      <c r="A37" s="63"/>
      <c r="B37" s="63"/>
      <c r="C37" s="63"/>
      <c r="D37" s="63"/>
      <c r="R37" s="64"/>
      <c r="S37" s="64"/>
      <c r="T37" s="64"/>
      <c r="U37" s="61"/>
      <c r="V37" s="61"/>
      <c r="W37" s="61"/>
      <c r="X37" s="61"/>
      <c r="Y37" s="61"/>
      <c r="Z37" s="61"/>
      <c r="AA37" s="61"/>
      <c r="AB37" s="61"/>
    </row>
    <row r="38" s="60" customFormat="true" ht="15" hidden="false" customHeight="true" outlineLevel="0" collapsed="false">
      <c r="A38" s="20" t="s">
        <v>45</v>
      </c>
      <c r="B38" s="20"/>
      <c r="C38" s="20"/>
      <c r="D38" s="65" t="s">
        <v>57</v>
      </c>
      <c r="E38" s="20" t="s">
        <v>46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="60" customFormat="true" ht="14.25" hidden="false" customHeight="true" outlineLevel="0" collapsed="false">
      <c r="A39" s="66"/>
      <c r="B39" s="66"/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s="60" customFormat="true" ht="14.25" hidden="false" customHeight="true" outlineLevel="0" collapsed="false">
      <c r="A40" s="66"/>
      <c r="B40" s="66"/>
      <c r="C40" s="68"/>
      <c r="D40" s="68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AF40" s="69"/>
    </row>
    <row r="41" s="60" customFormat="true" ht="14.25" hidden="false" customHeight="true" outlineLevel="0" collapsed="false">
      <c r="A41" s="66"/>
      <c r="B41" s="66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 s="60" customFormat="true" ht="14.25" hidden="false" customHeight="true" outlineLevel="0" collapsed="false">
      <c r="A42" s="66"/>
      <c r="B42" s="66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 s="60" customFormat="true" ht="14.25" hidden="false" customHeight="true" outlineLevel="0" collapsed="false">
      <c r="A43" s="66"/>
      <c r="B43" s="66"/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 s="60" customFormat="true" ht="14.25" hidden="false" customHeight="true" outlineLevel="0" collapsed="false">
      <c r="A44" s="20" t="s">
        <v>47</v>
      </c>
      <c r="B44" s="20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0" t="s">
        <v>48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customFormat="false" ht="15.75" hidden="false" customHeight="true" outlineLevel="0" collapsed="false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0"/>
    </row>
    <row r="46" customFormat="false" ht="12.75" hidden="false" customHeight="false" outlineLevel="0" collapsed="false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</row>
    <row r="47" customFormat="false" ht="12.75" hidden="false" customHeight="false" outlineLevel="0" collapsed="false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</row>
    <row r="48" customFormat="false" ht="12.75" hidden="false" customHeight="false" outlineLevel="0" collapsed="false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</row>
    <row r="49" customFormat="false" ht="12.75" hidden="false" customHeight="false" outlineLevel="0" collapsed="false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</row>
    <row r="50" customFormat="false" ht="12.75" hidden="false" customHeight="false" outlineLevel="0" collapsed="false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</row>
    <row r="51" customFormat="false" ht="12.75" hidden="false" customHeight="false" outlineLevel="0" collapsed="false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</row>
    <row r="52" customFormat="false" ht="12.75" hidden="false" customHeight="false" outlineLevel="0" collapsed="false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 customFormat="false" ht="12.75" hidden="false" customHeight="false" outlineLevel="0" collapsed="false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</row>
    <row r="54" customFormat="false" ht="12.75" hidden="false" customHeight="false" outlineLevel="0" collapsed="false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</row>
    <row r="55" customFormat="false" ht="12.75" hidden="false" customHeight="false" outlineLevel="0" collapsed="false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</row>
    <row r="56" customFormat="false" ht="12.75" hidden="false" customHeight="false" outlineLevel="0" collapsed="false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</row>
    <row r="57" customFormat="false" ht="12.75" hidden="false" customHeight="false" outlineLevel="0" collapsed="false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</row>
    <row r="58" customFormat="false" ht="12.75" hidden="false" customHeight="false" outlineLevel="0" collapsed="false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</row>
    <row r="59" customFormat="false" ht="12.75" hidden="false" customHeight="false" outlineLevel="0" collapsed="false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s="24" customFormat="tru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23"/>
      <c r="AE94" s="23"/>
      <c r="AF94" s="23"/>
      <c r="AG94" s="23"/>
    </row>
    <row r="95" s="24" customFormat="tru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23"/>
      <c r="AE95" s="23"/>
      <c r="AF95" s="23"/>
      <c r="AG95" s="23"/>
    </row>
    <row r="96" s="24" customFormat="tru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23"/>
      <c r="AE96" s="23"/>
      <c r="AF96" s="23"/>
      <c r="AG96" s="23"/>
    </row>
    <row r="97" s="24" customFormat="tru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23"/>
      <c r="AE97" s="23"/>
      <c r="AF97" s="23"/>
      <c r="AG97" s="23"/>
    </row>
    <row r="98" s="24" customFormat="tru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23"/>
      <c r="AE98" s="23"/>
      <c r="AF98" s="23"/>
      <c r="AG98" s="23"/>
    </row>
    <row r="99" s="24" customFormat="tru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23"/>
      <c r="AE99" s="23"/>
      <c r="AF99" s="23"/>
      <c r="AG99" s="23"/>
    </row>
    <row r="100" s="24" customFormat="tru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23"/>
      <c r="AE100" s="23"/>
      <c r="AF100" s="23"/>
      <c r="AG100" s="23"/>
    </row>
    <row r="101" s="24" customFormat="tru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23"/>
      <c r="AE101" s="23"/>
      <c r="AF101" s="23"/>
      <c r="AG101" s="23"/>
    </row>
    <row r="102" s="24" customFormat="tru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23"/>
      <c r="AE102" s="23"/>
      <c r="AF102" s="23"/>
      <c r="AG102" s="23"/>
    </row>
    <row r="103" s="24" customFormat="tru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23"/>
      <c r="AE103" s="23"/>
      <c r="AF103" s="23"/>
      <c r="AG103" s="23"/>
    </row>
    <row r="104" s="24" customFormat="tru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23"/>
      <c r="AE104" s="23"/>
      <c r="AF104" s="23"/>
      <c r="AG104" s="23"/>
    </row>
    <row r="105" s="24" customFormat="tru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23"/>
      <c r="AE105" s="23"/>
      <c r="AF105" s="23"/>
      <c r="AG105" s="23"/>
    </row>
    <row r="106" s="24" customFormat="tru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23"/>
      <c r="AE106" s="23"/>
      <c r="AF106" s="23"/>
      <c r="AG106" s="23"/>
    </row>
    <row r="107" s="24" customFormat="tru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23"/>
      <c r="AE107" s="23"/>
      <c r="AF107" s="23"/>
      <c r="AG107" s="23"/>
    </row>
    <row r="108" s="24" customFormat="tru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23"/>
      <c r="AE108" s="23"/>
      <c r="AF108" s="23"/>
      <c r="AG108" s="23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36:D36"/>
    <mergeCell ref="A38:C38"/>
    <mergeCell ref="E38:AB38"/>
    <mergeCell ref="A44:C44"/>
    <mergeCell ref="M44:AB44"/>
  </mergeCells>
  <printOptions headings="false" gridLines="false" gridLinesSet="true" horizontalCentered="false" verticalCentered="false"/>
  <pageMargins left="0.7" right="0.159722222222222" top="0.340277777777778" bottom="0.3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2024-09-12T03:39:04Z</dcterms:created>
  <dc:creator>Microsoft Cop.</dc:creator>
  <dc:description/>
  <dc:language>en-US</dc:language>
  <cp:lastModifiedBy>Microsoft Cop.</cp:lastModifiedBy>
  <cp:lastPrinted>2025-01-03T10:09:51Z</cp:lastPrinted>
  <dcterms:modified xsi:type="dcterms:W3CDTF">2026-10-13T10:12:56Z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