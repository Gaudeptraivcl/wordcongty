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<sst xmlns="http://schemas.openxmlformats.org/spreadsheetml/2006/main" count="880" uniqueCount="66">
  <si>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</si>
  <si>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</si>
  <si>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</si>
  <si>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</si>
  <si>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</si>
  <si>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</si>
  <si>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</si>
  <si>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</si>
  <si>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</si>
  <si>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</si>
  <si>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</si>
  <si>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</si>
  <si>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</si>
  <si>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</si>
  <si>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</si>
  <si>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</si>
  <si>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</si>
  <si>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32</t>
  </si>
  <si>
    <t xml:space="preserve">-</t>
  </si>
  <si>
    <t xml:space="preserve">33</t>
  </si>
  <si>
    <t xml:space="preserve">TD</t>
  </si>
  <si>
    <t xml:space="preserve">P</t>
  </si>
  <si>
    <t xml:space="preserve">E2</t>
  </si>
  <si>
    <t xml:space="preserve">34</t>
  </si>
  <si>
    <t xml:space="preserve">35</t>
  </si>
  <si>
    <t xml:space="preserve">36</t>
  </si>
  <si>
    <t xml:space="preserve">E9</t>
  </si>
  <si>
    <t xml:space="preserve">37</t>
  </si>
  <si>
    <t xml:space="preserve">38</t>
  </si>
  <si>
    <t xml:space="preserve">PHỤ LỤC KIỂM TRA CAO ĐỘ, KÍCH THƯỚC HÌNH HỌC</t>
  </si>
  <si>
    <t xml:space="preserve">Kèm theo BBNT số: 46.NĐXD4/CVXD ngày 07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</si>
  <si>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</si>
  <si>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</si>
  <si>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</si>
  <si>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</si>
  <si>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</si>
  <si>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đất lề đường lớp 1, độ chặt K&gt;=0,95 đoạn từ Km0+554,08 - Km0+672,28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</si>
  <si>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</si>
  <si>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</si>
  <si>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</si>
  <si>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</si>
  <si>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</si>
  <si>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</si>
  <si>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</si>
  <si>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</si>
  <si>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</si>
  <si>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</si>
  <si>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</si>
  <si>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</si>
  <si>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</si>
  <si>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</si>
  <si>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</si>
  <si>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</si>
  <si>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</si>
  <si>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</si>
  <si>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</si>
  <si>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</si>
  <si>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</si>
  <si>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</si>
  <si>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48.NĐXD4/CVXD ngày 08 tháng 09 năm 2026</t>
  </si>
  <si>
    <t xml:space="preserve">Đắp đất lề đường lớp 2, độ chặt K&gt;=0,95 đoạn từ Km0+554,08 - Km0+672,28</t>
  </si>
  <si>
    <t xml:space="preserve">Kèm theo BBNT số: 50.NĐXD4/CVXD ngày 09 tháng 09 năm 2026</t>
  </si>
  <si>
    <t xml:space="preserve">Đắp đất lề đường lớp 3, độ chặt K&gt;=0,95 đoạn từ Km0+554,08 - Km0+672,28</t>
  </si>
  <si>
    <t xml:space="preserve">Kèm theo BBNT số: 51.NĐXD4/CVXD ngày 10 tháng 09 năm 2026</t>
  </si>
  <si>
    <t xml:space="preserve">Đắp đất lề đường lớp 4, độ chặt K&gt;=0,95 đoạn từ Km0+554,08 - Km0+672,28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</si>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</sst>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29</v>
          </cell>
          <cell r="B3" t="str">
            <v xml:space="preserve">Kiểm tra cao độ đường đen đoạn từ Km0+554,08 -:- Km0+672,28</v>
          </cell>
          <cell r="D3" t="str">
            <v xml:space="preserve">ngày 29 tháng 08 năm 2026</v>
          </cell>
          <cell r="G3" t="str">
            <v xml:space="preserve">29.NĐXD4/CVXD </v>
          </cell>
        </row>
        <row r="4">
          <cell r="A4">
            <v>30</v>
          </cell>
          <cell r="B4" t="str">
            <v xml:space="preserve">Đào đất xử lý nền đường đoạn từ Km0+554,08 - Km0+672,28</v>
          </cell>
          <cell r="D4" t="str">
            <v xml:space="preserve">ngày 30 tháng 08 năm 2026</v>
          </cell>
          <cell r="G4" t="str">
            <v xml:space="preserve">30.NĐXD4/CVXD </v>
          </cell>
        </row>
        <row r="5">
          <cell r="A5">
            <v>31</v>
          </cell>
          <cell r="B5" t="str">
            <v xml:space="preserve">Rải vải địa kỹ thuật đoạn từ Km0+554,08 - Km0+672,28</v>
          </cell>
          <cell r="D5" t="str">
            <v xml:space="preserve">ngày 31 tháng 08 năm 2026</v>
          </cell>
          <cell r="G5" t="str">
            <v xml:space="preserve">31.NĐXD4/CVXD </v>
          </cell>
        </row>
        <row r="6">
          <cell r="A6">
            <v>32</v>
          </cell>
          <cell r="B6" t="str">
            <v xml:space="preserve">Đắp cát nền đường lớp 1 đoạn từ Km0+554,08 - Km0+672,28, độ chặt K&gt;=0,95</v>
          </cell>
          <cell r="D6" t="str">
            <v xml:space="preserve">ngày 31 tháng 08 năm 2026</v>
          </cell>
          <cell r="G6" t="str">
            <v xml:space="preserve">32.NĐXD4/CVXD </v>
          </cell>
        </row>
        <row r="7">
          <cell r="A7">
            <v>33</v>
          </cell>
          <cell r="B7" t="str">
            <v xml:space="preserve">Đắp cát nền đường lớp 2 đoạn từ Km0+554,08 - Km0+672,28, độ chặt K&gt;=0,95</v>
          </cell>
          <cell r="D7" t="str">
            <v xml:space="preserve">ngày 03 tháng 09 năm 2026</v>
          </cell>
          <cell r="G7" t="str">
            <v xml:space="preserve">33.NĐXD4/CVXD </v>
          </cell>
        </row>
        <row r="8">
          <cell r="A8">
            <v>34</v>
          </cell>
          <cell r="B8" t="str">
            <v xml:space="preserve">Đắp cát nền đường lớp 3 đoạn từ Km0+554,08 - Km0+672,28, độ chặt K&gt;=0,95</v>
          </cell>
          <cell r="D8" t="str">
            <v xml:space="preserve">ngày 03 tháng 09 năm 2026</v>
          </cell>
          <cell r="G8" t="str">
            <v xml:space="preserve">34.NĐXD4/CVXD </v>
          </cell>
        </row>
        <row r="9">
          <cell r="A9">
            <v>35</v>
          </cell>
          <cell r="B9" t="str">
            <v xml:space="preserve">Đắp cát nền đường lớp 4 đoạn từ Km0+554,08 - Km0+672,28, độ chặt K&gt;=0,95</v>
          </cell>
          <cell r="D9" t="str">
            <v xml:space="preserve">ngày 03 tháng 09 năm 2026</v>
          </cell>
          <cell r="G9" t="str">
            <v xml:space="preserve">35.NĐXD4/CVXD </v>
          </cell>
        </row>
        <row r="10">
          <cell r="A10">
            <v>36</v>
          </cell>
          <cell r="B10" t="str">
            <v xml:space="preserve">Đắp đất nền đường lớp 1 đoạn từ Km0+554,08 - Km0+672,28, độ chặt K&gt;=0,95</v>
          </cell>
          <cell r="D10" t="str">
            <v xml:space="preserve">ngày 03 tháng 09 năm 2026</v>
          </cell>
          <cell r="G10" t="str">
            <v xml:space="preserve">36.NĐXD4/CVXD </v>
          </cell>
        </row>
        <row r="11">
          <cell r="A11">
            <v>37</v>
          </cell>
          <cell r="B11" t="str">
            <v xml:space="preserve">Đắp đất nền đường lớp 2 đoạn từ Km0+554,08 - Km0+672,28, độ chặt K&gt;=0,95</v>
          </cell>
          <cell r="D11" t="str">
            <v xml:space="preserve">ngày 03 tháng 09 năm 2026</v>
          </cell>
          <cell r="G11" t="str">
            <v xml:space="preserve">37.NĐXD4/CVXD </v>
          </cell>
        </row>
        <row r="12">
          <cell r="A12">
            <v>38</v>
          </cell>
          <cell r="B12" t="str">
            <v xml:space="preserve">Đắp đất nền đường lớp 3 đoạn từ Km0+554,08 - Km0+672,28, độ chặt K&gt;=0,95</v>
          </cell>
          <cell r="D12" t="str">
            <v xml:space="preserve">ngày 03 tháng 09 năm 2026</v>
          </cell>
          <cell r="G12" t="str">
            <v xml:space="preserve">38.NĐXD4/CVXD </v>
          </cell>
        </row>
        <row r="13">
          <cell r="A13">
            <v>39</v>
          </cell>
          <cell r="B13" t="str">
            <v xml:space="preserve">Đắp đất nền đường lớp 4 đoạn từ Km0+554,08 - Km0+672,28, độ chặt K&gt;=0,95</v>
          </cell>
          <cell r="D13" t="str">
            <v xml:space="preserve">ngày 04 tháng 09 năm 2026</v>
          </cell>
          <cell r="G13" t="str">
            <v xml:space="preserve">39.NĐXD4/CVXD </v>
          </cell>
        </row>
        <row r="14">
          <cell r="A14">
            <v>40</v>
          </cell>
          <cell r="B14" t="str">
            <v xml:space="preserve">Đắp đất nền đường lớp 5 đoạn từ Km0+554,08 - Km0+672,28, độ chặt K&gt;=0,95</v>
          </cell>
          <cell r="D14" t="str">
            <v xml:space="preserve">ngày 04 tháng 09 năm 2026</v>
          </cell>
          <cell r="G14" t="str">
            <v xml:space="preserve">40.NĐXD4/CVXD </v>
          </cell>
        </row>
        <row r="15">
          <cell r="A15">
            <v>41</v>
          </cell>
          <cell r="B15" t="str">
            <v xml:space="preserve">Đắp đất nền đường lớp 6 đoạn từ Km0+554,08 - Km0+672,28, độ chặt K&gt;=0,95</v>
          </cell>
          <cell r="D15" t="str">
            <v xml:space="preserve">ngày 05 tháng 09 năm 2026</v>
          </cell>
          <cell r="G15" t="str">
            <v xml:space="preserve">41.NĐXD4/CVXD </v>
          </cell>
        </row>
        <row r="16">
          <cell r="A16">
            <v>42</v>
          </cell>
          <cell r="B16" t="str">
            <v xml:space="preserve">Đắp đất nền đường lớp 7 đoạn từ Km0+554,08 - Km0+672,28, độ chặt K&gt;=0,95</v>
          </cell>
          <cell r="D16" t="str">
            <v xml:space="preserve">ngày 05 tháng 09 năm 2026</v>
          </cell>
          <cell r="G16" t="str">
            <v xml:space="preserve">42.NĐXD4/CVXD </v>
          </cell>
        </row>
        <row r="17">
          <cell r="A17">
            <v>43</v>
          </cell>
          <cell r="B17" t="str">
            <v xml:space="preserve">Đắp đất nền đường lớp 8 đoạn từ Km0+554,08 - Km0+672,28, độ chặt K&gt;=0,95</v>
          </cell>
          <cell r="D17" t="str">
            <v xml:space="preserve">ngày 06 tháng 09 năm 2026</v>
          </cell>
          <cell r="G17" t="str">
            <v xml:space="preserve">43.NĐXD4/CVXD </v>
          </cell>
        </row>
        <row r="18">
          <cell r="A18">
            <v>44</v>
          </cell>
          <cell r="B18" t="str">
            <v xml:space="preserve">Đắp đất nền đường lớp 9 đoạn từ Km0+554,08 - Km0+672,28, độ chặt K&gt;=0,95</v>
          </cell>
          <cell r="D18" t="str">
            <v xml:space="preserve">ngày 06 tháng 09 năm 2026</v>
          </cell>
          <cell r="G18" t="str">
            <v xml:space="preserve">44.NĐXD4/CVXD </v>
          </cell>
        </row>
        <row r="19">
          <cell r="A19">
            <v>45</v>
          </cell>
          <cell r="B19" t="str">
            <v xml:space="preserve">Đắp đất nền đường lớp 1, độ chặt K&gt;=0,98 đoạn từ Km0+554,08 - Km0+672,28</v>
          </cell>
          <cell r="D19" t="str">
            <v xml:space="preserve">ngày 07 tháng 09 năm 2026</v>
          </cell>
          <cell r="G19" t="str">
            <v xml:space="preserve">45.NĐXD4/CVXD </v>
          </cell>
        </row>
        <row r="20">
          <cell r="A20">
            <v>46</v>
          </cell>
          <cell r="B20" t="str">
            <v xml:space="preserve">Đắp đất lề đường lớp 1, độ chặt K&gt;=0,95 đoạn từ Km0+554,08 - Km0+672,28</v>
          </cell>
          <cell r="D20" t="str">
            <v xml:space="preserve">ngày 07 tháng 09 năm 2026</v>
          </cell>
          <cell r="G20" t="str">
            <v xml:space="preserve">46.NĐXD4/CVXD </v>
          </cell>
        </row>
        <row r="21">
          <cell r="A21">
            <v>47</v>
          </cell>
          <cell r="B21" t="str">
            <v xml:space="preserve">Đắp đất nền đường lớp 2, độ chặt K&gt;=0,98 đoạn từ Km0+554,08 - Km0+672,28</v>
          </cell>
          <cell r="D21" t="str">
            <v xml:space="preserve">ngày 08 tháng 09 năm 2026</v>
          </cell>
          <cell r="G21" t="str">
            <v xml:space="preserve">47.NĐXD4/CVXD </v>
          </cell>
        </row>
        <row r="22">
          <cell r="A22">
            <v>48</v>
          </cell>
          <cell r="B22" t="str">
            <v xml:space="preserve">Đắp đất lề đường lớp 2, độ chặt K&gt;=0,95 đoạn từ Km0+554,08 - Km0+672,28</v>
          </cell>
          <cell r="D22" t="str">
            <v xml:space="preserve">ngày 08 tháng 09 năm 2026</v>
          </cell>
          <cell r="G22" t="str">
            <v xml:space="preserve">48.NĐXD4/CVXD </v>
          </cell>
        </row>
        <row r="23">
          <cell r="A23">
            <v>49</v>
          </cell>
          <cell r="B23" t="str">
            <v xml:space="preserve">Đắp cấp phối đá dăm loại 2 đoạn từ Km0+554,08 - Km0+672,28</v>
          </cell>
          <cell r="D23" t="str">
            <v xml:space="preserve">ngày 09 tháng 09 năm 2026</v>
          </cell>
          <cell r="G23" t="str">
            <v xml:space="preserve">49.NĐXD4/CVXD </v>
          </cell>
        </row>
        <row r="24">
          <cell r="A24">
            <v>50</v>
          </cell>
          <cell r="B24" t="str">
            <v xml:space="preserve">Đắp đất lề đường lớp 3, độ chặt K&gt;=0,95 đoạn từ Km0+554,08 - Km0+672,28</v>
          </cell>
          <cell r="D24" t="str">
            <v xml:space="preserve">ngày 09 tháng 09 năm 2026</v>
          </cell>
          <cell r="G24" t="str">
            <v xml:space="preserve">50.NĐXD4/CVXD </v>
          </cell>
        </row>
        <row r="25">
          <cell r="A25">
            <v>51</v>
          </cell>
          <cell r="B25" t="str">
            <v xml:space="preserve">Đắp đất lề đường lớp 4, độ chặt K&gt;=0,95 đoạn từ Km0+554,08 - Km0+672,28</v>
          </cell>
          <cell r="D25" t="str">
            <v xml:space="preserve">ngày 10 tháng 09 năm 2026</v>
          </cell>
          <cell r="G25" t="str">
            <v xml:space="preserve">51.NĐXD4/CVXD </v>
          </cell>
        </row>
        <row r="26">
          <cell r="A26">
            <v>52</v>
          </cell>
          <cell r="B26" t="str">
            <v xml:space="preserve">Đắp cấp phối đá dăm loại 1 đoạn từ Km0+554,08 - Km0+672,28</v>
          </cell>
          <cell r="D26" t="str">
            <v xml:space="preserve">ngày 10 tháng 09 năm 2026</v>
          </cell>
          <cell r="G26" t="str">
            <v xml:space="preserve">52.NĐXD4/CVXD </v>
          </cell>
        </row>
        <row r="27">
          <cell r="A27">
            <v>53</v>
          </cell>
          <cell r="B27" t="str">
            <v xml:space="preserve">Vệ sinh, thổi bụi mặt đường </v>
          </cell>
          <cell r="D27" t="str">
            <v xml:space="preserve">ngày 12 tháng 09 năm 2026</v>
          </cell>
          <cell r="G27" t="str">
            <v xml:space="preserve">53.NĐXD4/CVXD </v>
          </cell>
        </row>
        <row r="28">
          <cell r="A28">
            <v>54</v>
          </cell>
          <cell r="B28" t="str">
            <v xml:space="preserve">Tưới lớp thấm bám mặt đường, nhựa MC70, lượng nhựa 1kg/m2</v>
          </cell>
          <cell r="D28" t="str">
            <v xml:space="preserve">ngày 14 tháng 09 năm 2026</v>
          </cell>
          <cell r="G28" t="str">
            <v xml:space="preserve">54.NĐXD4/CVXD </v>
          </cell>
        </row>
        <row r="29">
          <cell r="A29">
            <v>55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17 tháng 09 năm 2026</v>
          </cell>
          <cell r="G29" t="str">
            <v xml:space="preserve">55.NĐXD4/CVXD </v>
          </cell>
        </row>
        <row r="30">
          <cell r="A30">
            <v>56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56.NĐXD4/CVXD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7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554.08</v>
      </c>
      <c r="D2" s="0" t="n">
        <v>4</v>
      </c>
      <c r="E2" s="0" t="n">
        <v>1.56</v>
      </c>
      <c r="F2" s="0" t="n">
        <v>-10.12</v>
      </c>
      <c r="G2" s="2" t="n">
        <v>2.96</v>
      </c>
      <c r="H2" s="0" t="n">
        <v>-5.51</v>
      </c>
      <c r="I2" s="2" t="n">
        <v>2.68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2.62</v>
      </c>
      <c r="H3" s="0" t="n">
        <v>-5.25</v>
      </c>
      <c r="I3" s="2" t="n">
        <v>2.62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2.44</v>
      </c>
      <c r="H4" s="0" t="n">
        <v>-5.25</v>
      </c>
      <c r="I4" s="2" t="n">
        <v>2.44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2.19</v>
      </c>
      <c r="H5" s="0" t="n">
        <v>-5.25</v>
      </c>
      <c r="I5" s="2" t="n">
        <v>2.19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554.08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2.87</v>
      </c>
      <c r="N6" s="0" t="n">
        <v>10.12</v>
      </c>
      <c r="O6" s="2" t="n">
        <v>2.86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2.62</v>
      </c>
      <c r="N7" s="0" t="n">
        <v>10.93</v>
      </c>
      <c r="O7" s="2" t="n">
        <v>2.62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2.44</v>
      </c>
      <c r="N8" s="0" t="n">
        <v>11.2</v>
      </c>
      <c r="O8" s="2" t="n">
        <v>2.44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2.19</v>
      </c>
      <c r="N9" s="0" t="n">
        <v>11.58</v>
      </c>
      <c r="O9" s="2" t="n">
        <v>2.19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569.48</v>
      </c>
      <c r="D10" s="0" t="n">
        <v>4</v>
      </c>
      <c r="E10" s="0" t="n">
        <v>1.56</v>
      </c>
      <c r="F10" s="0" t="n">
        <v>-10.12</v>
      </c>
      <c r="G10" s="2" t="n">
        <v>3</v>
      </c>
      <c r="H10" s="0" t="n">
        <v>-5.51</v>
      </c>
      <c r="I10" s="2" t="n">
        <v>2.72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2.66</v>
      </c>
      <c r="H11" s="0" t="n">
        <v>-5.25</v>
      </c>
      <c r="I11" s="2" t="n">
        <v>2.66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2.48</v>
      </c>
      <c r="H12" s="0" t="n">
        <v>-5.25</v>
      </c>
      <c r="I12" s="2" t="n">
        <v>2.48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2.23</v>
      </c>
      <c r="H13" s="0" t="n">
        <v>-5.25</v>
      </c>
      <c r="I13" s="2" t="n">
        <v>2.23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569.48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2.86</v>
      </c>
      <c r="N14" s="0" t="n">
        <v>10.12</v>
      </c>
      <c r="O14" s="2" t="n">
        <v>2.85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2.61</v>
      </c>
      <c r="N15" s="0" t="n">
        <v>10.93</v>
      </c>
      <c r="O15" s="2" t="n">
        <v>2.61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2.43</v>
      </c>
      <c r="N16" s="0" t="n">
        <v>11.2</v>
      </c>
      <c r="O16" s="2" t="n">
        <v>2.43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2.18</v>
      </c>
      <c r="N17" s="0" t="n">
        <v>11.58</v>
      </c>
      <c r="O17" s="2" t="n">
        <v>2.18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573.12</v>
      </c>
      <c r="D18" s="0" t="n">
        <v>4</v>
      </c>
      <c r="E18" s="0" t="n">
        <v>1.56</v>
      </c>
      <c r="F18" s="0" t="n">
        <v>-10.12</v>
      </c>
      <c r="G18" s="2" t="n">
        <v>3</v>
      </c>
      <c r="H18" s="0" t="n">
        <v>-5.51</v>
      </c>
      <c r="I18" s="2" t="n">
        <v>2.72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2.66</v>
      </c>
      <c r="H19" s="0" t="n">
        <v>-5.25</v>
      </c>
      <c r="I19" s="2" t="n">
        <v>2.66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2.48</v>
      </c>
      <c r="H20" s="0" t="n">
        <v>-5.25</v>
      </c>
      <c r="I20" s="2" t="n">
        <v>2.48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2.23</v>
      </c>
      <c r="H21" s="0" t="n">
        <v>-5.25</v>
      </c>
      <c r="I21" s="2" t="n">
        <v>2.23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573.12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2.86</v>
      </c>
      <c r="N22" s="0" t="n">
        <v>10.12</v>
      </c>
      <c r="O22" s="2" t="n">
        <v>2.85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2.61</v>
      </c>
      <c r="N23" s="0" t="n">
        <v>10.93</v>
      </c>
      <c r="O23" s="2" t="n">
        <v>2.61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5.25</v>
      </c>
      <c r="M24" s="2" t="n">
        <v>2.43</v>
      </c>
      <c r="N24" s="0" t="n">
        <v>11.2</v>
      </c>
      <c r="O24" s="2" t="n">
        <v>2.43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5.25</v>
      </c>
      <c r="M25" s="2" t="n">
        <v>2.18</v>
      </c>
      <c r="N25" s="0" t="n">
        <v>11.58</v>
      </c>
      <c r="O25" s="2" t="n">
        <v>2.18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579.68</v>
      </c>
      <c r="D26" s="0" t="n">
        <v>4</v>
      </c>
      <c r="E26" s="0" t="n">
        <v>1.56</v>
      </c>
      <c r="F26" s="0" t="n">
        <v>-10.12</v>
      </c>
      <c r="G26" s="2" t="n">
        <v>3</v>
      </c>
      <c r="H26" s="0" t="n">
        <v>-5.51</v>
      </c>
      <c r="I26" s="2" t="n">
        <v>2.72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2.66</v>
      </c>
      <c r="H27" s="0" t="n">
        <v>-5.25</v>
      </c>
      <c r="I27" s="2" t="n">
        <v>2.66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2.48</v>
      </c>
      <c r="H28" s="0" t="n">
        <v>-5.25</v>
      </c>
      <c r="I28" s="2" t="n">
        <v>2.48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2.23</v>
      </c>
      <c r="H29" s="0" t="n">
        <v>-5.25</v>
      </c>
      <c r="I29" s="2" t="n">
        <v>2.23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579.68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2.86</v>
      </c>
      <c r="N30" s="0" t="n">
        <v>10.12</v>
      </c>
      <c r="O30" s="2" t="n">
        <v>2.85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2.61</v>
      </c>
      <c r="N31" s="0" t="n">
        <v>10.93</v>
      </c>
      <c r="O31" s="2" t="n">
        <v>2.61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2.43</v>
      </c>
      <c r="N32" s="0" t="n">
        <v>11.2</v>
      </c>
      <c r="O32" s="2" t="n">
        <v>2.43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2.18</v>
      </c>
      <c r="N33" s="0" t="n">
        <v>11.58</v>
      </c>
      <c r="O33" s="2" t="n">
        <v>2.18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584.52</v>
      </c>
      <c r="D34" s="0" t="n">
        <v>4</v>
      </c>
      <c r="E34" s="0" t="n">
        <v>1.56</v>
      </c>
      <c r="F34" s="0" t="n">
        <v>-10.12</v>
      </c>
      <c r="G34" s="2" t="n">
        <v>3</v>
      </c>
      <c r="H34" s="0" t="n">
        <v>-5.51</v>
      </c>
      <c r="I34" s="2" t="n">
        <v>2.72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2.66</v>
      </c>
      <c r="H35" s="0" t="n">
        <v>-5.25</v>
      </c>
      <c r="I35" s="2" t="n">
        <v>2.66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2.48</v>
      </c>
      <c r="H36" s="0" t="n">
        <v>-5.25</v>
      </c>
      <c r="I36" s="2" t="n">
        <v>2.48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2.23</v>
      </c>
      <c r="H37" s="0" t="n">
        <v>-5.25</v>
      </c>
      <c r="I37" s="2" t="n">
        <v>2.23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584.52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2.86</v>
      </c>
      <c r="N38" s="0" t="n">
        <v>10.12</v>
      </c>
      <c r="O38" s="2" t="n">
        <v>2.85</v>
      </c>
      <c r="P38" s="0" t="n">
        <v>5.77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2.61</v>
      </c>
      <c r="N39" s="0" t="n">
        <v>10.93</v>
      </c>
      <c r="O39" s="2" t="n">
        <v>2.61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2.43</v>
      </c>
      <c r="N40" s="0" t="n">
        <v>11.2</v>
      </c>
      <c r="O40" s="2" t="n">
        <v>2.43</v>
      </c>
    </row>
    <row r="41" customFormat="false" ht="15" hidden="false" customHeight="false" outlineLevel="0" collapsed="false">
      <c r="D41" s="0" t="n">
        <v>1</v>
      </c>
      <c r="E41" s="0" t="n">
        <v>1.63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2.18</v>
      </c>
      <c r="N41" s="0" t="n">
        <v>11.58</v>
      </c>
      <c r="O41" s="2" t="n">
        <v>2.18</v>
      </c>
    </row>
    <row r="42" customFormat="false" ht="15" hidden="false" customHeight="false" outlineLevel="0" collapsed="false">
      <c r="A42" s="1" t="n">
        <v>6</v>
      </c>
      <c r="B42" s="2" t="s">
        <v>1</v>
      </c>
      <c r="C42" s="0" t="n">
        <v>586.23</v>
      </c>
      <c r="D42" s="0" t="n">
        <v>4</v>
      </c>
      <c r="E42" s="0" t="n">
        <v>1.56</v>
      </c>
      <c r="F42" s="0" t="n">
        <v>-10.12</v>
      </c>
      <c r="G42" s="2" t="n">
        <v>3</v>
      </c>
      <c r="H42" s="0" t="n">
        <v>-5.51</v>
      </c>
      <c r="I42" s="2" t="n">
        <v>2.72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2.66</v>
      </c>
      <c r="H43" s="0" t="n">
        <v>-5.25</v>
      </c>
      <c r="I43" s="2" t="n">
        <v>2.66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2.48</v>
      </c>
      <c r="H44" s="0" t="n">
        <v>-5.25</v>
      </c>
      <c r="I44" s="2" t="n">
        <v>2.48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-11.58</v>
      </c>
      <c r="G45" s="2" t="n">
        <v>2.23</v>
      </c>
      <c r="H45" s="0" t="n">
        <v>-5.25</v>
      </c>
      <c r="I45" s="2" t="n">
        <v>2.23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1</v>
      </c>
      <c r="C46" s="0" t="n">
        <v>586.23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2.86</v>
      </c>
      <c r="N46" s="0" t="n">
        <v>10.12</v>
      </c>
      <c r="O46" s="2" t="n">
        <v>2.85</v>
      </c>
      <c r="P46" s="0" t="n">
        <v>5.77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2.61</v>
      </c>
      <c r="N47" s="0" t="n">
        <v>10.93</v>
      </c>
      <c r="O47" s="2" t="n">
        <v>2.61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2.43</v>
      </c>
      <c r="N48" s="0" t="n">
        <v>11.2</v>
      </c>
      <c r="O48" s="2" t="n">
        <v>2.43</v>
      </c>
    </row>
    <row r="49" customFormat="false" ht="15" hidden="false" customHeight="false" outlineLevel="0" collapsed="false">
      <c r="D49" s="0" t="n">
        <v>1</v>
      </c>
      <c r="E49" s="0" t="n">
        <v>1.63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2.18</v>
      </c>
      <c r="N49" s="0" t="n">
        <v>11.58</v>
      </c>
      <c r="O49" s="2" t="n">
        <v>2.18</v>
      </c>
    </row>
    <row r="50" customFormat="false" ht="15" hidden="false" customHeight="false" outlineLevel="0" collapsed="false">
      <c r="A50" s="1" t="n">
        <v>7</v>
      </c>
      <c r="B50" s="2" t="s">
        <v>23</v>
      </c>
      <c r="C50" s="0" t="n">
        <v>597.78</v>
      </c>
      <c r="D50" s="0" t="n">
        <v>4</v>
      </c>
      <c r="E50" s="0" t="n">
        <v>1.56</v>
      </c>
      <c r="F50" s="0" t="n">
        <v>-10.12</v>
      </c>
      <c r="G50" s="2" t="n">
        <v>2.95</v>
      </c>
      <c r="H50" s="0" t="n">
        <v>-5.51</v>
      </c>
      <c r="I50" s="2" t="n">
        <v>2.66</v>
      </c>
      <c r="J50" s="1" t="s">
        <v>18</v>
      </c>
      <c r="K50" s="1" t="s">
        <v>18</v>
      </c>
      <c r="L50" s="1" t="s">
        <v>18</v>
      </c>
      <c r="M50" s="2" t="s">
        <v>18</v>
      </c>
      <c r="N50" s="1" t="s">
        <v>18</v>
      </c>
      <c r="O50" s="2" t="s">
        <v>18</v>
      </c>
      <c r="P50" s="0" t="n">
        <v>5.77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1.05</v>
      </c>
      <c r="F51" s="0" t="n">
        <v>-10.93</v>
      </c>
      <c r="G51" s="2" t="n">
        <v>2.61</v>
      </c>
      <c r="H51" s="0" t="n">
        <v>-5.25</v>
      </c>
      <c r="I51" s="2" t="n">
        <v>2.61</v>
      </c>
      <c r="J51" s="1" t="s">
        <v>18</v>
      </c>
      <c r="K51" s="1" t="s">
        <v>18</v>
      </c>
      <c r="L51" s="1" t="s">
        <v>18</v>
      </c>
      <c r="M51" s="2" t="s">
        <v>18</v>
      </c>
      <c r="N51" s="1" t="s">
        <v>18</v>
      </c>
      <c r="O51" s="2" t="s">
        <v>18</v>
      </c>
    </row>
    <row r="52" customFormat="false" ht="15" hidden="false" customHeight="false" outlineLevel="0" collapsed="false">
      <c r="D52" s="0" t="n">
        <v>2</v>
      </c>
      <c r="E52" s="0" t="n">
        <v>1.53</v>
      </c>
      <c r="F52" s="0" t="n">
        <v>-11.2</v>
      </c>
      <c r="G52" s="2" t="n">
        <v>2.43</v>
      </c>
      <c r="H52" s="0" t="n">
        <v>-5.25</v>
      </c>
      <c r="I52" s="2" t="n">
        <v>2.43</v>
      </c>
      <c r="J52" s="1" t="s">
        <v>18</v>
      </c>
      <c r="K52" s="1" t="s">
        <v>18</v>
      </c>
      <c r="L52" s="1" t="s">
        <v>18</v>
      </c>
      <c r="M52" s="2" t="s">
        <v>18</v>
      </c>
      <c r="N52" s="1" t="s">
        <v>18</v>
      </c>
      <c r="O52" s="2" t="s">
        <v>18</v>
      </c>
    </row>
    <row r="53" customFormat="false" ht="15" hidden="false" customHeight="false" outlineLevel="0" collapsed="false">
      <c r="D53" s="0" t="n">
        <v>1</v>
      </c>
      <c r="E53" s="0" t="n">
        <v>1.63</v>
      </c>
      <c r="F53" s="0" t="n">
        <v>-11.58</v>
      </c>
      <c r="G53" s="2" t="n">
        <v>2.18</v>
      </c>
      <c r="H53" s="0" t="n">
        <v>-5.25</v>
      </c>
      <c r="I53" s="2" t="n">
        <v>2.18</v>
      </c>
      <c r="J53" s="1" t="s">
        <v>18</v>
      </c>
      <c r="K53" s="1" t="s">
        <v>18</v>
      </c>
      <c r="L53" s="1" t="s">
        <v>18</v>
      </c>
      <c r="M53" s="2" t="s">
        <v>18</v>
      </c>
      <c r="N53" s="1" t="s">
        <v>18</v>
      </c>
      <c r="O53" s="2" t="s">
        <v>18</v>
      </c>
    </row>
    <row r="54" customFormat="false" ht="15" hidden="false" customHeight="false" outlineLevel="0" collapsed="false">
      <c r="A54" s="1" t="n">
        <v>7</v>
      </c>
      <c r="B54" s="2" t="s">
        <v>23</v>
      </c>
      <c r="C54" s="0" t="n">
        <v>597.78</v>
      </c>
      <c r="D54" s="0" t="n">
        <v>4</v>
      </c>
      <c r="E54" s="0" t="n">
        <v>1.56</v>
      </c>
      <c r="F54" s="1" t="s">
        <v>18</v>
      </c>
      <c r="G54" s="2" t="s">
        <v>18</v>
      </c>
      <c r="H54" s="1" t="s">
        <v>18</v>
      </c>
      <c r="I54" s="2" t="s">
        <v>18</v>
      </c>
      <c r="J54" s="1" t="s">
        <v>18</v>
      </c>
      <c r="K54" s="1" t="s">
        <v>18</v>
      </c>
      <c r="L54" s="0" t="n">
        <v>5.51</v>
      </c>
      <c r="M54" s="2" t="n">
        <v>2.85</v>
      </c>
      <c r="N54" s="0" t="n">
        <v>10.12</v>
      </c>
      <c r="O54" s="2" t="n">
        <v>2.85</v>
      </c>
      <c r="P54" s="0" t="n">
        <v>5.77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1.05</v>
      </c>
      <c r="F55" s="1" t="s">
        <v>18</v>
      </c>
      <c r="G55" s="2" t="s">
        <v>18</v>
      </c>
      <c r="H55" s="1" t="s">
        <v>18</v>
      </c>
      <c r="I55" s="2" t="s">
        <v>18</v>
      </c>
      <c r="J55" s="1" t="s">
        <v>18</v>
      </c>
      <c r="K55" s="1" t="s">
        <v>18</v>
      </c>
      <c r="L55" s="0" t="n">
        <v>5.25</v>
      </c>
      <c r="M55" s="2" t="n">
        <v>2.61</v>
      </c>
      <c r="N55" s="0" t="n">
        <v>10.93</v>
      </c>
      <c r="O55" s="2" t="n">
        <v>2.61</v>
      </c>
    </row>
    <row r="56" customFormat="false" ht="15" hidden="false" customHeight="false" outlineLevel="0" collapsed="false">
      <c r="D56" s="0" t="n">
        <v>2</v>
      </c>
      <c r="E56" s="0" t="n">
        <v>1.53</v>
      </c>
      <c r="F56" s="1" t="s">
        <v>18</v>
      </c>
      <c r="G56" s="2" t="s">
        <v>18</v>
      </c>
      <c r="H56" s="1" t="s">
        <v>18</v>
      </c>
      <c r="I56" s="2" t="s">
        <v>18</v>
      </c>
      <c r="J56" s="1" t="s">
        <v>18</v>
      </c>
      <c r="K56" s="1" t="s">
        <v>18</v>
      </c>
      <c r="L56" s="0" t="n">
        <v>5.25</v>
      </c>
      <c r="M56" s="2" t="n">
        <v>2.43</v>
      </c>
      <c r="N56" s="0" t="n">
        <v>11.2</v>
      </c>
      <c r="O56" s="2" t="n">
        <v>2.43</v>
      </c>
    </row>
    <row r="57" customFormat="false" ht="15" hidden="false" customHeight="false" outlineLevel="0" collapsed="false">
      <c r="D57" s="0" t="n">
        <v>1</v>
      </c>
      <c r="E57" s="0" t="n">
        <v>1.63</v>
      </c>
      <c r="F57" s="1" t="s">
        <v>18</v>
      </c>
      <c r="G57" s="2" t="s">
        <v>18</v>
      </c>
      <c r="H57" s="1" t="s">
        <v>18</v>
      </c>
      <c r="I57" s="2" t="s">
        <v>18</v>
      </c>
      <c r="J57" s="1" t="s">
        <v>18</v>
      </c>
      <c r="K57" s="1" t="s">
        <v>18</v>
      </c>
      <c r="L57" s="0" t="n">
        <v>5.25</v>
      </c>
      <c r="M57" s="2" t="n">
        <v>2.18</v>
      </c>
      <c r="N57" s="0" t="n">
        <v>11.58</v>
      </c>
      <c r="O57" s="2" t="n">
        <v>2.18</v>
      </c>
    </row>
    <row r="58" customFormat="false" ht="15" hidden="false" customHeight="false" outlineLevel="0" collapsed="false">
      <c r="A58" s="1" t="n">
        <v>8</v>
      </c>
      <c r="B58" s="2" t="s">
        <v>24</v>
      </c>
      <c r="C58" s="0" t="n">
        <v>614.78</v>
      </c>
      <c r="D58" s="0" t="n">
        <v>4</v>
      </c>
      <c r="E58" s="0" t="n">
        <v>1.56</v>
      </c>
      <c r="F58" s="0" t="n">
        <v>-10.12</v>
      </c>
      <c r="G58" s="2" t="n">
        <v>2.95</v>
      </c>
      <c r="H58" s="0" t="n">
        <v>-5.51</v>
      </c>
      <c r="I58" s="2" t="n">
        <v>2.67</v>
      </c>
      <c r="J58" s="1" t="s">
        <v>18</v>
      </c>
      <c r="K58" s="1" t="s">
        <v>18</v>
      </c>
      <c r="L58" s="1" t="s">
        <v>18</v>
      </c>
      <c r="M58" s="2" t="s">
        <v>18</v>
      </c>
      <c r="N58" s="1" t="s">
        <v>18</v>
      </c>
      <c r="O58" s="2" t="s">
        <v>18</v>
      </c>
      <c r="P58" s="0" t="n">
        <v>5.77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1.05</v>
      </c>
      <c r="F59" s="0" t="n">
        <v>-10.93</v>
      </c>
      <c r="G59" s="2" t="n">
        <v>2.61</v>
      </c>
      <c r="H59" s="0" t="n">
        <v>-5.25</v>
      </c>
      <c r="I59" s="2" t="n">
        <v>2.61</v>
      </c>
      <c r="J59" s="1" t="s">
        <v>18</v>
      </c>
      <c r="K59" s="1" t="s">
        <v>18</v>
      </c>
      <c r="L59" s="1" t="s">
        <v>18</v>
      </c>
      <c r="M59" s="2" t="s">
        <v>18</v>
      </c>
      <c r="N59" s="1" t="s">
        <v>18</v>
      </c>
      <c r="O59" s="2" t="s">
        <v>18</v>
      </c>
    </row>
    <row r="60" customFormat="false" ht="15" hidden="false" customHeight="false" outlineLevel="0" collapsed="false">
      <c r="D60" s="0" t="n">
        <v>2</v>
      </c>
      <c r="E60" s="0" t="n">
        <v>1.53</v>
      </c>
      <c r="F60" s="0" t="n">
        <v>-11.2</v>
      </c>
      <c r="G60" s="2" t="n">
        <v>2.43</v>
      </c>
      <c r="H60" s="0" t="n">
        <v>-5.25</v>
      </c>
      <c r="I60" s="2" t="n">
        <v>2.43</v>
      </c>
      <c r="J60" s="1" t="s">
        <v>18</v>
      </c>
      <c r="K60" s="1" t="s">
        <v>18</v>
      </c>
      <c r="L60" s="1" t="s">
        <v>18</v>
      </c>
      <c r="M60" s="2" t="s">
        <v>18</v>
      </c>
      <c r="N60" s="1" t="s">
        <v>18</v>
      </c>
      <c r="O60" s="2" t="s">
        <v>18</v>
      </c>
    </row>
    <row r="61" customFormat="false" ht="15" hidden="false" customHeight="false" outlineLevel="0" collapsed="false">
      <c r="D61" s="0" t="n">
        <v>1</v>
      </c>
      <c r="E61" s="0" t="n">
        <v>1.63</v>
      </c>
      <c r="F61" s="0" t="n">
        <v>-11.58</v>
      </c>
      <c r="G61" s="2" t="n">
        <v>2.18</v>
      </c>
      <c r="H61" s="0" t="n">
        <v>-5.25</v>
      </c>
      <c r="I61" s="2" t="n">
        <v>2.18</v>
      </c>
      <c r="J61" s="1" t="s">
        <v>18</v>
      </c>
      <c r="K61" s="1" t="s">
        <v>18</v>
      </c>
      <c r="L61" s="1" t="s">
        <v>18</v>
      </c>
      <c r="M61" s="2" t="s">
        <v>18</v>
      </c>
      <c r="N61" s="1" t="s">
        <v>18</v>
      </c>
      <c r="O61" s="2" t="s">
        <v>18</v>
      </c>
    </row>
    <row r="62" customFormat="false" ht="15" hidden="false" customHeight="false" outlineLevel="0" collapsed="false">
      <c r="A62" s="1" t="n">
        <v>8</v>
      </c>
      <c r="B62" s="2" t="s">
        <v>24</v>
      </c>
      <c r="C62" s="0" t="n">
        <v>614.78</v>
      </c>
      <c r="D62" s="0" t="n">
        <v>4</v>
      </c>
      <c r="E62" s="0" t="n">
        <v>1.56</v>
      </c>
      <c r="F62" s="1" t="s">
        <v>18</v>
      </c>
      <c r="G62" s="2" t="s">
        <v>18</v>
      </c>
      <c r="H62" s="1" t="s">
        <v>18</v>
      </c>
      <c r="I62" s="2" t="s">
        <v>18</v>
      </c>
      <c r="J62" s="1" t="s">
        <v>18</v>
      </c>
      <c r="K62" s="1" t="s">
        <v>18</v>
      </c>
      <c r="L62" s="0" t="n">
        <v>5.51</v>
      </c>
      <c r="M62" s="2" t="n">
        <v>2.86</v>
      </c>
      <c r="N62" s="0" t="n">
        <v>10.12</v>
      </c>
      <c r="O62" s="2" t="n">
        <v>2.85</v>
      </c>
      <c r="P62" s="0" t="n">
        <v>5.77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1.05</v>
      </c>
      <c r="F63" s="1" t="s">
        <v>18</v>
      </c>
      <c r="G63" s="2" t="s">
        <v>18</v>
      </c>
      <c r="H63" s="1" t="s">
        <v>18</v>
      </c>
      <c r="I63" s="2" t="s">
        <v>18</v>
      </c>
      <c r="J63" s="1" t="s">
        <v>18</v>
      </c>
      <c r="K63" s="1" t="s">
        <v>18</v>
      </c>
      <c r="L63" s="0" t="n">
        <v>5.25</v>
      </c>
      <c r="M63" s="2" t="n">
        <v>2.61</v>
      </c>
      <c r="N63" s="0" t="n">
        <v>10.93</v>
      </c>
      <c r="O63" s="2" t="n">
        <v>2.61</v>
      </c>
    </row>
    <row r="64" customFormat="false" ht="15" hidden="false" customHeight="false" outlineLevel="0" collapsed="false">
      <c r="D64" s="0" t="n">
        <v>2</v>
      </c>
      <c r="E64" s="0" t="n">
        <v>1.53</v>
      </c>
      <c r="F64" s="1" t="s">
        <v>18</v>
      </c>
      <c r="G64" s="2" t="s">
        <v>18</v>
      </c>
      <c r="H64" s="1" t="s">
        <v>18</v>
      </c>
      <c r="I64" s="2" t="s">
        <v>18</v>
      </c>
      <c r="J64" s="1" t="s">
        <v>18</v>
      </c>
      <c r="K64" s="1" t="s">
        <v>18</v>
      </c>
      <c r="L64" s="0" t="n">
        <v>5.25</v>
      </c>
      <c r="M64" s="2" t="n">
        <v>2.43</v>
      </c>
      <c r="N64" s="0" t="n">
        <v>11.2</v>
      </c>
      <c r="O64" s="2" t="n">
        <v>2.43</v>
      </c>
    </row>
    <row r="65" customFormat="false" ht="15" hidden="false" customHeight="false" outlineLevel="0" collapsed="false">
      <c r="D65" s="0" t="n">
        <v>1</v>
      </c>
      <c r="E65" s="0" t="n">
        <v>1.63</v>
      </c>
      <c r="F65" s="1" t="s">
        <v>18</v>
      </c>
      <c r="G65" s="2" t="s">
        <v>18</v>
      </c>
      <c r="H65" s="1" t="s">
        <v>18</v>
      </c>
      <c r="I65" s="2" t="s">
        <v>18</v>
      </c>
      <c r="J65" s="1" t="s">
        <v>18</v>
      </c>
      <c r="K65" s="1" t="s">
        <v>18</v>
      </c>
      <c r="L65" s="0" t="n">
        <v>5.25</v>
      </c>
      <c r="M65" s="2" t="n">
        <v>2.18</v>
      </c>
      <c r="N65" s="0" t="n">
        <v>11.58</v>
      </c>
      <c r="O65" s="2" t="n">
        <v>2.18</v>
      </c>
    </row>
    <row r="66" customFormat="false" ht="15" hidden="false" customHeight="false" outlineLevel="0" collapsed="false">
      <c r="A66" s="1" t="n">
        <v>9</v>
      </c>
      <c r="B66" s="2" t="s">
        <v>25</v>
      </c>
      <c r="C66" s="0" t="n">
        <v>631.83</v>
      </c>
      <c r="D66" s="0" t="n">
        <v>4</v>
      </c>
      <c r="E66" s="0" t="n">
        <v>1.56</v>
      </c>
      <c r="F66" s="0" t="n">
        <v>-10.12</v>
      </c>
      <c r="G66" s="2" t="n">
        <v>2.95</v>
      </c>
      <c r="H66" s="0" t="n">
        <v>-5.51</v>
      </c>
      <c r="I66" s="2" t="n">
        <v>2.67</v>
      </c>
      <c r="J66" s="1" t="s">
        <v>18</v>
      </c>
      <c r="K66" s="1" t="s">
        <v>18</v>
      </c>
      <c r="L66" s="1" t="s">
        <v>18</v>
      </c>
      <c r="M66" s="2" t="s">
        <v>18</v>
      </c>
      <c r="N66" s="1" t="s">
        <v>18</v>
      </c>
      <c r="O66" s="2" t="s">
        <v>18</v>
      </c>
      <c r="P66" s="0" t="n">
        <v>5.77</v>
      </c>
      <c r="Q66" s="0" t="n">
        <v>0</v>
      </c>
    </row>
    <row r="67" customFormat="false" ht="15" hidden="false" customHeight="false" outlineLevel="0" collapsed="false">
      <c r="D67" s="0" t="n">
        <v>3</v>
      </c>
      <c r="E67" s="0" t="n">
        <v>1.05</v>
      </c>
      <c r="F67" s="0" t="n">
        <v>-10.93</v>
      </c>
      <c r="G67" s="2" t="n">
        <v>2.61</v>
      </c>
      <c r="H67" s="0" t="n">
        <v>-5.25</v>
      </c>
      <c r="I67" s="2" t="n">
        <v>2.61</v>
      </c>
      <c r="J67" s="1" t="s">
        <v>18</v>
      </c>
      <c r="K67" s="1" t="s">
        <v>18</v>
      </c>
      <c r="L67" s="1" t="s">
        <v>18</v>
      </c>
      <c r="M67" s="2" t="s">
        <v>18</v>
      </c>
      <c r="N67" s="1" t="s">
        <v>18</v>
      </c>
      <c r="O67" s="2" t="s">
        <v>18</v>
      </c>
    </row>
    <row r="68" customFormat="false" ht="15" hidden="false" customHeight="false" outlineLevel="0" collapsed="false">
      <c r="D68" s="0" t="n">
        <v>2</v>
      </c>
      <c r="E68" s="0" t="n">
        <v>1.53</v>
      </c>
      <c r="F68" s="0" t="n">
        <v>-11.2</v>
      </c>
      <c r="G68" s="2" t="n">
        <v>2.43</v>
      </c>
      <c r="H68" s="0" t="n">
        <v>-5.25</v>
      </c>
      <c r="I68" s="2" t="n">
        <v>2.43</v>
      </c>
      <c r="J68" s="1" t="s">
        <v>18</v>
      </c>
      <c r="K68" s="1" t="s">
        <v>18</v>
      </c>
      <c r="L68" s="1" t="s">
        <v>18</v>
      </c>
      <c r="M68" s="2" t="s">
        <v>18</v>
      </c>
      <c r="N68" s="1" t="s">
        <v>18</v>
      </c>
      <c r="O68" s="2" t="s">
        <v>18</v>
      </c>
    </row>
    <row r="69" customFormat="false" ht="15" hidden="false" customHeight="false" outlineLevel="0" collapsed="false">
      <c r="D69" s="0" t="n">
        <v>1</v>
      </c>
      <c r="E69" s="0" t="n">
        <v>1.63</v>
      </c>
      <c r="F69" s="0" t="n">
        <v>-11.58</v>
      </c>
      <c r="G69" s="2" t="n">
        <v>2.18</v>
      </c>
      <c r="H69" s="0" t="n">
        <v>-5.25</v>
      </c>
      <c r="I69" s="2" t="n">
        <v>2.18</v>
      </c>
      <c r="J69" s="1" t="s">
        <v>18</v>
      </c>
      <c r="K69" s="1" t="s">
        <v>18</v>
      </c>
      <c r="L69" s="1" t="s">
        <v>18</v>
      </c>
      <c r="M69" s="2" t="s">
        <v>18</v>
      </c>
      <c r="N69" s="1" t="s">
        <v>18</v>
      </c>
      <c r="O69" s="2" t="s">
        <v>18</v>
      </c>
    </row>
    <row r="70" customFormat="false" ht="15" hidden="false" customHeight="false" outlineLevel="0" collapsed="false">
      <c r="A70" s="1" t="n">
        <v>9</v>
      </c>
      <c r="B70" s="2" t="s">
        <v>25</v>
      </c>
      <c r="C70" s="0" t="n">
        <v>631.83</v>
      </c>
      <c r="D70" s="0" t="n">
        <v>4</v>
      </c>
      <c r="E70" s="0" t="n">
        <v>1.56</v>
      </c>
      <c r="F70" s="1" t="s">
        <v>18</v>
      </c>
      <c r="G70" s="2" t="s">
        <v>18</v>
      </c>
      <c r="H70" s="1" t="s">
        <v>18</v>
      </c>
      <c r="I70" s="2" t="s">
        <v>18</v>
      </c>
      <c r="J70" s="1" t="s">
        <v>18</v>
      </c>
      <c r="K70" s="1" t="s">
        <v>18</v>
      </c>
      <c r="L70" s="0" t="n">
        <v>5.51</v>
      </c>
      <c r="M70" s="2" t="n">
        <v>2.86</v>
      </c>
      <c r="N70" s="0" t="n">
        <v>10.12</v>
      </c>
      <c r="O70" s="2" t="n">
        <v>2.86</v>
      </c>
      <c r="P70" s="0" t="n">
        <v>5.77</v>
      </c>
      <c r="Q70" s="0" t="n">
        <v>0</v>
      </c>
    </row>
    <row r="71" customFormat="false" ht="15" hidden="false" customHeight="false" outlineLevel="0" collapsed="false">
      <c r="D71" s="0" t="n">
        <v>3</v>
      </c>
      <c r="E71" s="0" t="n">
        <v>1.05</v>
      </c>
      <c r="F71" s="1" t="s">
        <v>18</v>
      </c>
      <c r="G71" s="2" t="s">
        <v>18</v>
      </c>
      <c r="H71" s="1" t="s">
        <v>18</v>
      </c>
      <c r="I71" s="2" t="s">
        <v>18</v>
      </c>
      <c r="J71" s="1" t="s">
        <v>18</v>
      </c>
      <c r="K71" s="1" t="s">
        <v>18</v>
      </c>
      <c r="L71" s="0" t="n">
        <v>5.25</v>
      </c>
      <c r="M71" s="2" t="n">
        <v>2.61</v>
      </c>
      <c r="N71" s="0" t="n">
        <v>10.93</v>
      </c>
      <c r="O71" s="2" t="n">
        <v>2.61</v>
      </c>
    </row>
    <row r="72" customFormat="false" ht="15" hidden="false" customHeight="false" outlineLevel="0" collapsed="false">
      <c r="D72" s="0" t="n">
        <v>2</v>
      </c>
      <c r="E72" s="0" t="n">
        <v>1.53</v>
      </c>
      <c r="F72" s="1" t="s">
        <v>18</v>
      </c>
      <c r="G72" s="2" t="s">
        <v>18</v>
      </c>
      <c r="H72" s="1" t="s">
        <v>18</v>
      </c>
      <c r="I72" s="2" t="s">
        <v>18</v>
      </c>
      <c r="J72" s="1" t="s">
        <v>18</v>
      </c>
      <c r="K72" s="1" t="s">
        <v>18</v>
      </c>
      <c r="L72" s="0" t="n">
        <v>5.25</v>
      </c>
      <c r="M72" s="2" t="n">
        <v>2.43</v>
      </c>
      <c r="N72" s="0" t="n">
        <v>11.2</v>
      </c>
      <c r="O72" s="2" t="n">
        <v>2.43</v>
      </c>
    </row>
    <row r="73" customFormat="false" ht="15" hidden="false" customHeight="false" outlineLevel="0" collapsed="false">
      <c r="D73" s="0" t="n">
        <v>1</v>
      </c>
      <c r="E73" s="0" t="n">
        <v>1.63</v>
      </c>
      <c r="F73" s="1" t="s">
        <v>18</v>
      </c>
      <c r="G73" s="2" t="s">
        <v>18</v>
      </c>
      <c r="H73" s="1" t="s">
        <v>18</v>
      </c>
      <c r="I73" s="2" t="s">
        <v>18</v>
      </c>
      <c r="J73" s="1" t="s">
        <v>18</v>
      </c>
      <c r="K73" s="1" t="s">
        <v>18</v>
      </c>
      <c r="L73" s="0" t="n">
        <v>5.25</v>
      </c>
      <c r="M73" s="2" t="n">
        <v>2.18</v>
      </c>
      <c r="N73" s="0" t="n">
        <v>11.58</v>
      </c>
      <c r="O73" s="2" t="n">
        <v>2.18</v>
      </c>
    </row>
    <row r="74" customFormat="false" ht="15" hidden="false" customHeight="false" outlineLevel="0" collapsed="false">
      <c r="A74" s="1" t="n">
        <v>10</v>
      </c>
      <c r="B74" s="2" t="s">
        <v>26</v>
      </c>
      <c r="C74" s="0" t="n">
        <v>643.53</v>
      </c>
      <c r="D74" s="0" t="n">
        <v>4</v>
      </c>
      <c r="E74" s="0" t="n">
        <v>1.56</v>
      </c>
      <c r="F74" s="0" t="n">
        <v>-10.12</v>
      </c>
      <c r="G74" s="2" t="n">
        <v>2.95</v>
      </c>
      <c r="H74" s="0" t="n">
        <v>-5.51</v>
      </c>
      <c r="I74" s="2" t="n">
        <v>2.67</v>
      </c>
      <c r="J74" s="1" t="s">
        <v>18</v>
      </c>
      <c r="K74" s="1" t="s">
        <v>18</v>
      </c>
      <c r="L74" s="1" t="s">
        <v>18</v>
      </c>
      <c r="M74" s="2" t="s">
        <v>18</v>
      </c>
      <c r="N74" s="1" t="s">
        <v>18</v>
      </c>
      <c r="O74" s="2" t="s">
        <v>18</v>
      </c>
      <c r="P74" s="0" t="n">
        <v>5.77</v>
      </c>
      <c r="Q74" s="0" t="n">
        <v>0</v>
      </c>
    </row>
    <row r="75" customFormat="false" ht="15" hidden="false" customHeight="false" outlineLevel="0" collapsed="false">
      <c r="D75" s="0" t="n">
        <v>3</v>
      </c>
      <c r="E75" s="0" t="n">
        <v>1.05</v>
      </c>
      <c r="F75" s="0" t="n">
        <v>-10.93</v>
      </c>
      <c r="G75" s="2" t="n">
        <v>2.61</v>
      </c>
      <c r="H75" s="0" t="n">
        <v>-5.25</v>
      </c>
      <c r="I75" s="2" t="n">
        <v>2.61</v>
      </c>
      <c r="J75" s="1" t="s">
        <v>18</v>
      </c>
      <c r="K75" s="1" t="s">
        <v>18</v>
      </c>
      <c r="L75" s="1" t="s">
        <v>18</v>
      </c>
      <c r="M75" s="2" t="s">
        <v>18</v>
      </c>
      <c r="N75" s="1" t="s">
        <v>18</v>
      </c>
      <c r="O75" s="2" t="s">
        <v>18</v>
      </c>
    </row>
    <row r="76" customFormat="false" ht="15" hidden="false" customHeight="false" outlineLevel="0" collapsed="false">
      <c r="D76" s="0" t="n">
        <v>2</v>
      </c>
      <c r="E76" s="0" t="n">
        <v>1.53</v>
      </c>
      <c r="F76" s="0" t="n">
        <v>-11.2</v>
      </c>
      <c r="G76" s="2" t="n">
        <v>2.43</v>
      </c>
      <c r="H76" s="0" t="n">
        <v>-5.25</v>
      </c>
      <c r="I76" s="2" t="n">
        <v>2.43</v>
      </c>
      <c r="J76" s="1" t="s">
        <v>18</v>
      </c>
      <c r="K76" s="1" t="s">
        <v>18</v>
      </c>
      <c r="L76" s="1" t="s">
        <v>18</v>
      </c>
      <c r="M76" s="2" t="s">
        <v>18</v>
      </c>
      <c r="N76" s="1" t="s">
        <v>18</v>
      </c>
      <c r="O76" s="2" t="s">
        <v>18</v>
      </c>
    </row>
    <row r="77" customFormat="false" ht="15" hidden="false" customHeight="false" outlineLevel="0" collapsed="false">
      <c r="D77" s="0" t="n">
        <v>1</v>
      </c>
      <c r="E77" s="0" t="n">
        <v>1.63</v>
      </c>
      <c r="F77" s="0" t="n">
        <v>-11.58</v>
      </c>
      <c r="G77" s="2" t="n">
        <v>2.18</v>
      </c>
      <c r="H77" s="0" t="n">
        <v>-5.25</v>
      </c>
      <c r="I77" s="2" t="n">
        <v>2.18</v>
      </c>
      <c r="J77" s="1" t="s">
        <v>18</v>
      </c>
      <c r="K77" s="1" t="s">
        <v>18</v>
      </c>
      <c r="L77" s="1" t="s">
        <v>18</v>
      </c>
      <c r="M77" s="2" t="s">
        <v>18</v>
      </c>
      <c r="N77" s="1" t="s">
        <v>18</v>
      </c>
      <c r="O77" s="2" t="s">
        <v>18</v>
      </c>
    </row>
    <row r="78" customFormat="false" ht="15" hidden="false" customHeight="false" outlineLevel="0" collapsed="false">
      <c r="A78" s="1" t="n">
        <v>10</v>
      </c>
      <c r="B78" s="2" t="s">
        <v>26</v>
      </c>
      <c r="C78" s="0" t="n">
        <v>643.53</v>
      </c>
      <c r="D78" s="0" t="n">
        <v>4</v>
      </c>
      <c r="E78" s="0" t="n">
        <v>1.56</v>
      </c>
      <c r="F78" s="1" t="s">
        <v>18</v>
      </c>
      <c r="G78" s="2" t="s">
        <v>18</v>
      </c>
      <c r="H78" s="1" t="s">
        <v>18</v>
      </c>
      <c r="I78" s="2" t="s">
        <v>18</v>
      </c>
      <c r="J78" s="1" t="s">
        <v>18</v>
      </c>
      <c r="K78" s="1" t="s">
        <v>18</v>
      </c>
      <c r="L78" s="0" t="n">
        <v>5.51</v>
      </c>
      <c r="M78" s="2" t="n">
        <v>2.86</v>
      </c>
      <c r="N78" s="0" t="n">
        <v>10.12</v>
      </c>
      <c r="O78" s="2" t="n">
        <v>2.86</v>
      </c>
      <c r="P78" s="0" t="n">
        <v>5.77</v>
      </c>
      <c r="Q78" s="0" t="n">
        <v>0</v>
      </c>
    </row>
    <row r="79" customFormat="false" ht="15" hidden="false" customHeight="false" outlineLevel="0" collapsed="false">
      <c r="D79" s="0" t="n">
        <v>3</v>
      </c>
      <c r="E79" s="0" t="n">
        <v>1.05</v>
      </c>
      <c r="F79" s="1" t="s">
        <v>18</v>
      </c>
      <c r="G79" s="2" t="s">
        <v>18</v>
      </c>
      <c r="H79" s="1" t="s">
        <v>18</v>
      </c>
      <c r="I79" s="2" t="s">
        <v>18</v>
      </c>
      <c r="J79" s="1" t="s">
        <v>18</v>
      </c>
      <c r="K79" s="1" t="s">
        <v>18</v>
      </c>
      <c r="L79" s="0" t="n">
        <v>5.25</v>
      </c>
      <c r="M79" s="2" t="n">
        <v>2.61</v>
      </c>
      <c r="N79" s="0" t="n">
        <v>10.93</v>
      </c>
      <c r="O79" s="2" t="n">
        <v>2.61</v>
      </c>
    </row>
    <row r="80" customFormat="false" ht="15" hidden="false" customHeight="false" outlineLevel="0" collapsed="false">
      <c r="D80" s="0" t="n">
        <v>2</v>
      </c>
      <c r="E80" s="0" t="n">
        <v>1.53</v>
      </c>
      <c r="F80" s="1" t="s">
        <v>18</v>
      </c>
      <c r="G80" s="2" t="s">
        <v>18</v>
      </c>
      <c r="H80" s="1" t="s">
        <v>18</v>
      </c>
      <c r="I80" s="2" t="s">
        <v>18</v>
      </c>
      <c r="J80" s="1" t="s">
        <v>18</v>
      </c>
      <c r="K80" s="1" t="s">
        <v>18</v>
      </c>
      <c r="L80" s="0" t="n">
        <v>5.25</v>
      </c>
      <c r="M80" s="2" t="n">
        <v>2.43</v>
      </c>
      <c r="N80" s="0" t="n">
        <v>11.2</v>
      </c>
      <c r="O80" s="2" t="n">
        <v>2.43</v>
      </c>
    </row>
    <row r="81" customFormat="false" ht="15" hidden="false" customHeight="false" outlineLevel="0" collapsed="false">
      <c r="D81" s="0" t="n">
        <v>1</v>
      </c>
      <c r="E81" s="0" t="n">
        <v>1.63</v>
      </c>
      <c r="F81" s="1" t="s">
        <v>18</v>
      </c>
      <c r="G81" s="2" t="s">
        <v>18</v>
      </c>
      <c r="H81" s="1" t="s">
        <v>18</v>
      </c>
      <c r="I81" s="2" t="s">
        <v>18</v>
      </c>
      <c r="J81" s="1" t="s">
        <v>18</v>
      </c>
      <c r="K81" s="1" t="s">
        <v>18</v>
      </c>
      <c r="L81" s="0" t="n">
        <v>5.25</v>
      </c>
      <c r="M81" s="2" t="n">
        <v>2.18</v>
      </c>
      <c r="N81" s="0" t="n">
        <v>11.58</v>
      </c>
      <c r="O81" s="2" t="n">
        <v>2.18</v>
      </c>
    </row>
    <row r="82" customFormat="false" ht="15" hidden="false" customHeight="false" outlineLevel="0" collapsed="false">
      <c r="A82" s="1" t="n">
        <v>11</v>
      </c>
      <c r="B82" s="2" t="s">
        <v>27</v>
      </c>
      <c r="C82" s="0" t="n">
        <v>655.28</v>
      </c>
      <c r="D82" s="0" t="n">
        <v>4</v>
      </c>
      <c r="E82" s="0" t="n">
        <v>1.56</v>
      </c>
      <c r="F82" s="0" t="n">
        <v>-10.12</v>
      </c>
      <c r="G82" s="2" t="n">
        <v>2.96</v>
      </c>
      <c r="H82" s="0" t="n">
        <v>-5.51</v>
      </c>
      <c r="I82" s="2" t="n">
        <v>2.67</v>
      </c>
      <c r="J82" s="1" t="s">
        <v>18</v>
      </c>
      <c r="K82" s="1" t="s">
        <v>18</v>
      </c>
      <c r="L82" s="1" t="s">
        <v>18</v>
      </c>
      <c r="M82" s="2" t="s">
        <v>18</v>
      </c>
      <c r="N82" s="1" t="s">
        <v>18</v>
      </c>
      <c r="O82" s="2" t="s">
        <v>18</v>
      </c>
      <c r="P82" s="0" t="n">
        <v>5.77</v>
      </c>
      <c r="Q82" s="0" t="n">
        <v>0</v>
      </c>
    </row>
    <row r="83" customFormat="false" ht="15" hidden="false" customHeight="false" outlineLevel="0" collapsed="false">
      <c r="D83" s="0" t="n">
        <v>3</v>
      </c>
      <c r="E83" s="0" t="n">
        <v>1.05</v>
      </c>
      <c r="F83" s="0" t="n">
        <v>-10.93</v>
      </c>
      <c r="G83" s="2" t="n">
        <v>2.62</v>
      </c>
      <c r="H83" s="0" t="n">
        <v>-5.25</v>
      </c>
      <c r="I83" s="2" t="n">
        <v>2.62</v>
      </c>
      <c r="J83" s="1" t="s">
        <v>18</v>
      </c>
      <c r="K83" s="1" t="s">
        <v>18</v>
      </c>
      <c r="L83" s="1" t="s">
        <v>18</v>
      </c>
      <c r="M83" s="2" t="s">
        <v>18</v>
      </c>
      <c r="N83" s="1" t="s">
        <v>18</v>
      </c>
      <c r="O83" s="2" t="s">
        <v>18</v>
      </c>
    </row>
    <row r="84" customFormat="false" ht="15" hidden="false" customHeight="false" outlineLevel="0" collapsed="false">
      <c r="D84" s="0" t="n">
        <v>2</v>
      </c>
      <c r="E84" s="0" t="n">
        <v>1.53</v>
      </c>
      <c r="F84" s="0" t="n">
        <v>-11.2</v>
      </c>
      <c r="G84" s="2" t="n">
        <v>2.44</v>
      </c>
      <c r="H84" s="0" t="n">
        <v>-5.25</v>
      </c>
      <c r="I84" s="2" t="n">
        <v>2.44</v>
      </c>
      <c r="J84" s="1" t="s">
        <v>18</v>
      </c>
      <c r="K84" s="1" t="s">
        <v>18</v>
      </c>
      <c r="L84" s="1" t="s">
        <v>18</v>
      </c>
      <c r="M84" s="2" t="s">
        <v>18</v>
      </c>
      <c r="N84" s="1" t="s">
        <v>18</v>
      </c>
      <c r="O84" s="2" t="s">
        <v>18</v>
      </c>
    </row>
    <row r="85" customFormat="false" ht="15" hidden="false" customHeight="false" outlineLevel="0" collapsed="false">
      <c r="D85" s="0" t="n">
        <v>1</v>
      </c>
      <c r="E85" s="0" t="n">
        <v>1.63</v>
      </c>
      <c r="F85" s="0" t="n">
        <v>-11.58</v>
      </c>
      <c r="G85" s="2" t="n">
        <v>2.19</v>
      </c>
      <c r="H85" s="0" t="n">
        <v>-5.25</v>
      </c>
      <c r="I85" s="2" t="n">
        <v>2.19</v>
      </c>
      <c r="J85" s="1" t="s">
        <v>18</v>
      </c>
      <c r="K85" s="1" t="s">
        <v>18</v>
      </c>
      <c r="L85" s="1" t="s">
        <v>18</v>
      </c>
      <c r="M85" s="2" t="s">
        <v>18</v>
      </c>
      <c r="N85" s="1" t="s">
        <v>18</v>
      </c>
      <c r="O85" s="2" t="s">
        <v>18</v>
      </c>
    </row>
    <row r="86" customFormat="false" ht="15" hidden="false" customHeight="false" outlineLevel="0" collapsed="false">
      <c r="A86" s="1" t="n">
        <v>11</v>
      </c>
      <c r="B86" s="2" t="s">
        <v>27</v>
      </c>
      <c r="C86" s="0" t="n">
        <v>655.28</v>
      </c>
      <c r="D86" s="0" t="n">
        <v>4</v>
      </c>
      <c r="E86" s="0" t="n">
        <v>1.56</v>
      </c>
      <c r="F86" s="1" t="s">
        <v>18</v>
      </c>
      <c r="G86" s="2" t="s">
        <v>18</v>
      </c>
      <c r="H86" s="1" t="s">
        <v>18</v>
      </c>
      <c r="I86" s="2" t="s">
        <v>18</v>
      </c>
      <c r="J86" s="1" t="s">
        <v>18</v>
      </c>
      <c r="K86" s="1" t="s">
        <v>18</v>
      </c>
      <c r="L86" s="0" t="n">
        <v>5.51</v>
      </c>
      <c r="M86" s="2" t="n">
        <v>2.86</v>
      </c>
      <c r="N86" s="0" t="n">
        <v>10.12</v>
      </c>
      <c r="O86" s="2" t="n">
        <v>2.86</v>
      </c>
      <c r="P86" s="0" t="n">
        <v>5.77</v>
      </c>
      <c r="Q86" s="0" t="n">
        <v>0</v>
      </c>
    </row>
    <row r="87" customFormat="false" ht="15" hidden="false" customHeight="false" outlineLevel="0" collapsed="false">
      <c r="D87" s="0" t="n">
        <v>3</v>
      </c>
      <c r="E87" s="0" t="n">
        <v>1.05</v>
      </c>
      <c r="F87" s="1" t="s">
        <v>18</v>
      </c>
      <c r="G87" s="2" t="s">
        <v>18</v>
      </c>
      <c r="H87" s="1" t="s">
        <v>18</v>
      </c>
      <c r="I87" s="2" t="s">
        <v>18</v>
      </c>
      <c r="J87" s="1" t="s">
        <v>18</v>
      </c>
      <c r="K87" s="1" t="s">
        <v>18</v>
      </c>
      <c r="L87" s="0" t="n">
        <v>5.25</v>
      </c>
      <c r="M87" s="2" t="n">
        <v>2.62</v>
      </c>
      <c r="N87" s="0" t="n">
        <v>10.93</v>
      </c>
      <c r="O87" s="2" t="n">
        <v>2.62</v>
      </c>
    </row>
    <row r="88" customFormat="false" ht="15" hidden="false" customHeight="false" outlineLevel="0" collapsed="false">
      <c r="D88" s="0" t="n">
        <v>2</v>
      </c>
      <c r="E88" s="0" t="n">
        <v>1.53</v>
      </c>
      <c r="F88" s="1" t="s">
        <v>18</v>
      </c>
      <c r="G88" s="2" t="s">
        <v>18</v>
      </c>
      <c r="H88" s="1" t="s">
        <v>18</v>
      </c>
      <c r="I88" s="2" t="s">
        <v>18</v>
      </c>
      <c r="J88" s="1" t="s">
        <v>18</v>
      </c>
      <c r="K88" s="1" t="s">
        <v>18</v>
      </c>
      <c r="L88" s="0" t="n">
        <v>5.25</v>
      </c>
      <c r="M88" s="2" t="n">
        <v>2.44</v>
      </c>
      <c r="N88" s="0" t="n">
        <v>11.2</v>
      </c>
      <c r="O88" s="2" t="n">
        <v>2.44</v>
      </c>
    </row>
    <row r="89" customFormat="false" ht="15" hidden="false" customHeight="false" outlineLevel="0" collapsed="false">
      <c r="D89" s="0" t="n">
        <v>1</v>
      </c>
      <c r="E89" s="0" t="n">
        <v>1.63</v>
      </c>
      <c r="F89" s="1" t="s">
        <v>18</v>
      </c>
      <c r="G89" s="2" t="s">
        <v>18</v>
      </c>
      <c r="H89" s="1" t="s">
        <v>18</v>
      </c>
      <c r="I89" s="2" t="s">
        <v>18</v>
      </c>
      <c r="J89" s="1" t="s">
        <v>18</v>
      </c>
      <c r="K89" s="1" t="s">
        <v>18</v>
      </c>
      <c r="L89" s="0" t="n">
        <v>5.25</v>
      </c>
      <c r="M89" s="2" t="n">
        <v>2.19</v>
      </c>
      <c r="N89" s="0" t="n">
        <v>11.58</v>
      </c>
      <c r="O89" s="2" t="n">
        <v>2.19</v>
      </c>
    </row>
    <row r="90" customFormat="false" ht="15" hidden="false" customHeight="false" outlineLevel="0" collapsed="false">
      <c r="A90" s="1" t="n">
        <v>12</v>
      </c>
      <c r="B90" s="2" t="s">
        <v>28</v>
      </c>
      <c r="C90" s="0" t="n">
        <v>672.28</v>
      </c>
      <c r="D90" s="0" t="n">
        <v>4</v>
      </c>
      <c r="E90" s="0" t="n">
        <v>1.56</v>
      </c>
      <c r="F90" s="0" t="n">
        <v>-10.12</v>
      </c>
      <c r="G90" s="2" t="n">
        <v>2.96</v>
      </c>
      <c r="H90" s="0" t="n">
        <v>-5.51</v>
      </c>
      <c r="I90" s="2" t="n">
        <v>2.68</v>
      </c>
      <c r="J90" s="1" t="s">
        <v>18</v>
      </c>
      <c r="K90" s="1" t="s">
        <v>18</v>
      </c>
      <c r="L90" s="1" t="s">
        <v>18</v>
      </c>
      <c r="M90" s="2" t="s">
        <v>18</v>
      </c>
      <c r="N90" s="1" t="s">
        <v>18</v>
      </c>
      <c r="O90" s="2" t="s">
        <v>18</v>
      </c>
      <c r="P90" s="0" t="n">
        <v>5.77</v>
      </c>
      <c r="Q90" s="0" t="n">
        <v>0</v>
      </c>
    </row>
    <row r="91" customFormat="false" ht="15" hidden="false" customHeight="false" outlineLevel="0" collapsed="false">
      <c r="D91" s="0" t="n">
        <v>3</v>
      </c>
      <c r="E91" s="0" t="n">
        <v>1.05</v>
      </c>
      <c r="F91" s="0" t="n">
        <v>-10.93</v>
      </c>
      <c r="G91" s="2" t="n">
        <v>2.62</v>
      </c>
      <c r="H91" s="0" t="n">
        <v>-5.25</v>
      </c>
      <c r="I91" s="2" t="n">
        <v>2.62</v>
      </c>
      <c r="J91" s="1" t="s">
        <v>18</v>
      </c>
      <c r="K91" s="1" t="s">
        <v>18</v>
      </c>
      <c r="L91" s="1" t="s">
        <v>18</v>
      </c>
      <c r="M91" s="2" t="s">
        <v>18</v>
      </c>
      <c r="N91" s="1" t="s">
        <v>18</v>
      </c>
      <c r="O91" s="2" t="s">
        <v>18</v>
      </c>
    </row>
    <row r="92" customFormat="false" ht="15" hidden="false" customHeight="false" outlineLevel="0" collapsed="false">
      <c r="D92" s="0" t="n">
        <v>2</v>
      </c>
      <c r="E92" s="0" t="n">
        <v>1.53</v>
      </c>
      <c r="F92" s="0" t="n">
        <v>-11.2</v>
      </c>
      <c r="G92" s="2" t="n">
        <v>2.44</v>
      </c>
      <c r="H92" s="0" t="n">
        <v>-5.25</v>
      </c>
      <c r="I92" s="2" t="n">
        <v>2.44</v>
      </c>
      <c r="J92" s="1" t="s">
        <v>18</v>
      </c>
      <c r="K92" s="1" t="s">
        <v>18</v>
      </c>
      <c r="L92" s="1" t="s">
        <v>18</v>
      </c>
      <c r="M92" s="2" t="s">
        <v>18</v>
      </c>
      <c r="N92" s="1" t="s">
        <v>18</v>
      </c>
      <c r="O92" s="2" t="s">
        <v>18</v>
      </c>
    </row>
    <row r="93" customFormat="false" ht="15" hidden="false" customHeight="false" outlineLevel="0" collapsed="false">
      <c r="D93" s="0" t="n">
        <v>1</v>
      </c>
      <c r="E93" s="0" t="n">
        <v>1.63</v>
      </c>
      <c r="F93" s="0" t="n">
        <v>-11.58</v>
      </c>
      <c r="G93" s="2" t="n">
        <v>2.19</v>
      </c>
      <c r="H93" s="0" t="n">
        <v>-5.25</v>
      </c>
      <c r="I93" s="2" t="n">
        <v>2.19</v>
      </c>
      <c r="J93" s="1" t="s">
        <v>18</v>
      </c>
      <c r="K93" s="1" t="s">
        <v>18</v>
      </c>
      <c r="L93" s="1" t="s">
        <v>18</v>
      </c>
      <c r="M93" s="2" t="s">
        <v>18</v>
      </c>
      <c r="N93" s="1" t="s">
        <v>18</v>
      </c>
      <c r="O93" s="2" t="s">
        <v>18</v>
      </c>
    </row>
    <row r="94" customFormat="false" ht="15" hidden="false" customHeight="false" outlineLevel="0" collapsed="false">
      <c r="A94" s="1" t="n">
        <v>12</v>
      </c>
      <c r="B94" s="2" t="s">
        <v>28</v>
      </c>
      <c r="C94" s="0" t="n">
        <v>672.28</v>
      </c>
      <c r="D94" s="0" t="n">
        <v>4</v>
      </c>
      <c r="E94" s="0" t="n">
        <v>1.56</v>
      </c>
      <c r="F94" s="1" t="s">
        <v>18</v>
      </c>
      <c r="G94" s="2" t="s">
        <v>18</v>
      </c>
      <c r="H94" s="1" t="s">
        <v>18</v>
      </c>
      <c r="I94" s="2" t="s">
        <v>18</v>
      </c>
      <c r="J94" s="1" t="s">
        <v>18</v>
      </c>
      <c r="K94" s="1" t="s">
        <v>18</v>
      </c>
      <c r="L94" s="0" t="n">
        <v>5.51</v>
      </c>
      <c r="M94" s="2" t="n">
        <v>2.87</v>
      </c>
      <c r="N94" s="0" t="n">
        <v>10.12</v>
      </c>
      <c r="O94" s="2" t="n">
        <v>2.86</v>
      </c>
      <c r="P94" s="0" t="n">
        <v>5.77</v>
      </c>
      <c r="Q94" s="0" t="n">
        <v>0</v>
      </c>
    </row>
    <row r="95" customFormat="false" ht="15" hidden="false" customHeight="false" outlineLevel="0" collapsed="false">
      <c r="D95" s="0" t="n">
        <v>3</v>
      </c>
      <c r="E95" s="0" t="n">
        <v>1.05</v>
      </c>
      <c r="F95" s="1" t="s">
        <v>18</v>
      </c>
      <c r="G95" s="2" t="s">
        <v>18</v>
      </c>
      <c r="H95" s="1" t="s">
        <v>18</v>
      </c>
      <c r="I95" s="2" t="s">
        <v>18</v>
      </c>
      <c r="J95" s="1" t="s">
        <v>18</v>
      </c>
      <c r="K95" s="1" t="s">
        <v>18</v>
      </c>
      <c r="L95" s="0" t="n">
        <v>5.25</v>
      </c>
      <c r="M95" s="2" t="n">
        <v>2.62</v>
      </c>
      <c r="N95" s="0" t="n">
        <v>10.93</v>
      </c>
      <c r="O95" s="2" t="n">
        <v>2.62</v>
      </c>
    </row>
    <row r="96" customFormat="false" ht="15" hidden="false" customHeight="false" outlineLevel="0" collapsed="false">
      <c r="D96" s="0" t="n">
        <v>2</v>
      </c>
      <c r="E96" s="0" t="n">
        <v>1.53</v>
      </c>
      <c r="F96" s="1" t="s">
        <v>18</v>
      </c>
      <c r="G96" s="2" t="s">
        <v>18</v>
      </c>
      <c r="H96" s="1" t="s">
        <v>18</v>
      </c>
      <c r="I96" s="2" t="s">
        <v>18</v>
      </c>
      <c r="J96" s="1" t="s">
        <v>18</v>
      </c>
      <c r="K96" s="1" t="s">
        <v>18</v>
      </c>
      <c r="L96" s="0" t="n">
        <v>5.25</v>
      </c>
      <c r="M96" s="2" t="n">
        <v>2.44</v>
      </c>
      <c r="N96" s="0" t="n">
        <v>11.2</v>
      </c>
      <c r="O96" s="2" t="n">
        <v>2.44</v>
      </c>
    </row>
    <row r="97" customFormat="false" ht="15" hidden="false" customHeight="false" outlineLevel="0" collapsed="false">
      <c r="D97" s="0" t="n">
        <v>1</v>
      </c>
      <c r="E97" s="0" t="n">
        <v>1.63</v>
      </c>
      <c r="F97" s="1" t="s">
        <v>18</v>
      </c>
      <c r="G97" s="2" t="s">
        <v>18</v>
      </c>
      <c r="H97" s="1" t="s">
        <v>18</v>
      </c>
      <c r="I97" s="2" t="s">
        <v>18</v>
      </c>
      <c r="J97" s="1" t="s">
        <v>18</v>
      </c>
      <c r="K97" s="1" t="s">
        <v>18</v>
      </c>
      <c r="L97" s="0" t="n">
        <v>5.25</v>
      </c>
      <c r="M97" s="2" t="n">
        <v>2.19</v>
      </c>
      <c r="N97" s="0" t="n">
        <v>11.58</v>
      </c>
      <c r="O97" s="2" t="n">
        <v>2.19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46.NĐXD4/CVXD ngày 07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46</v>
      </c>
    </row>
    <row r="3" customFormat="false" ht="18.75" hidden="false" customHeight="true" outlineLevel="0" collapsed="false">
      <c r="A3" s="6" t="s">
        <v>31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32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33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34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35</v>
      </c>
      <c r="B7" s="7"/>
      <c r="C7" s="6"/>
      <c r="D7" s="6" t="str">
        <f>VLOOKUP(AZ2,'[1]Tuyến XD4'!$A$2:$B$60,2,0)</f>
        <v xml:space="preserve">Đắp đất lề đường lớp 1, độ chặt K&gt;=0,95 đoạn từ Km0+554,08 - Km0+672,28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37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0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554.08</v>
      </c>
      <c r="D21" s="16" t="n">
        <f aca="false">Chạy!G5</f>
        <v>2.19</v>
      </c>
      <c r="E21" s="16" t="n">
        <f aca="false">D21+F21</f>
        <v>2.254</v>
      </c>
      <c r="F21" s="16" t="n">
        <f aca="false">RANDBETWEEN(-30,100)/1000</f>
        <v>0.064</v>
      </c>
      <c r="G21" s="16" t="n">
        <f aca="false">Chạy!I5</f>
        <v>2.19</v>
      </c>
      <c r="H21" s="16" t="n">
        <f aca="false">G21+I21</f>
        <v>2.238</v>
      </c>
      <c r="I21" s="16" t="n">
        <f aca="false">RANDBETWEEN(-30,100)/1000</f>
        <v>0.048</v>
      </c>
      <c r="J21" s="16" t="n">
        <f aca="false">Chạy!M9</f>
        <v>2.19</v>
      </c>
      <c r="K21" s="16" t="n">
        <f aca="false">J21+L21</f>
        <v>2.162</v>
      </c>
      <c r="L21" s="16" t="n">
        <f aca="false">RANDBETWEEN(-30,100)/1000</f>
        <v>-0.028</v>
      </c>
      <c r="M21" s="16" t="n">
        <f aca="false">Chạy!O9</f>
        <v>2.19</v>
      </c>
      <c r="N21" s="16" t="n">
        <f aca="false">M21+O21</f>
        <v>2.255</v>
      </c>
      <c r="O21" s="16" t="n">
        <f aca="false">RANDBETWEEN(-30,100)/1000</f>
        <v>0.065</v>
      </c>
      <c r="P21" s="17"/>
      <c r="Q21" s="18" t="n">
        <v>15.4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569.48</v>
      </c>
      <c r="D22" s="16" t="n">
        <f aca="false">Chạy!G13</f>
        <v>2.23</v>
      </c>
      <c r="E22" s="16" t="n">
        <f aca="false">D22+F22</f>
        <v>2.224</v>
      </c>
      <c r="F22" s="16" t="n">
        <f aca="false">RANDBETWEEN(-30,100)/1000</f>
        <v>-0.006</v>
      </c>
      <c r="G22" s="16" t="n">
        <f aca="false">Chạy!I13</f>
        <v>2.23</v>
      </c>
      <c r="H22" s="16" t="n">
        <f aca="false">G22+I22</f>
        <v>2.221</v>
      </c>
      <c r="I22" s="16" t="n">
        <f aca="false">RANDBETWEEN(-30,100)/1000</f>
        <v>-0.009</v>
      </c>
      <c r="J22" s="16" t="n">
        <f aca="false">Chạy!M17</f>
        <v>2.18</v>
      </c>
      <c r="K22" s="16" t="n">
        <f aca="false">J22+L22</f>
        <v>2.17</v>
      </c>
      <c r="L22" s="16" t="n">
        <f aca="false">RANDBETWEEN(-30,100)/1000</f>
        <v>-0.01</v>
      </c>
      <c r="M22" s="16" t="n">
        <f aca="false">Chạy!O17</f>
        <v>2.18</v>
      </c>
      <c r="N22" s="16" t="n">
        <f aca="false">M22+O22</f>
        <v>2.224</v>
      </c>
      <c r="O22" s="16" t="n">
        <f aca="false">RANDBETWEEN(-30,100)/1000</f>
        <v>0.044</v>
      </c>
      <c r="P22" s="17"/>
      <c r="Q22" s="18" t="n">
        <v>3.64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573.12</v>
      </c>
      <c r="D23" s="16" t="n">
        <f aca="false">Chạy!G21</f>
        <v>2.23</v>
      </c>
      <c r="E23" s="16" t="n">
        <f aca="false">D23+F23</f>
        <v>2.275</v>
      </c>
      <c r="F23" s="16" t="n">
        <f aca="false">RANDBETWEEN(-30,100)/1000</f>
        <v>0.045</v>
      </c>
      <c r="G23" s="16" t="n">
        <f aca="false">Chạy!I21</f>
        <v>2.23</v>
      </c>
      <c r="H23" s="16" t="n">
        <f aca="false">G23+I23</f>
        <v>2.294</v>
      </c>
      <c r="I23" s="16" t="n">
        <f aca="false">RANDBETWEEN(-30,100)/1000</f>
        <v>0.064</v>
      </c>
      <c r="J23" s="16" t="n">
        <f aca="false">Chạy!M25</f>
        <v>2.18</v>
      </c>
      <c r="K23" s="16" t="n">
        <f aca="false">J23+L23</f>
        <v>2.251</v>
      </c>
      <c r="L23" s="16" t="n">
        <f aca="false">RANDBETWEEN(-30,100)/1000</f>
        <v>0.071</v>
      </c>
      <c r="M23" s="16" t="n">
        <f aca="false">Chạy!O25</f>
        <v>2.18</v>
      </c>
      <c r="N23" s="16" t="n">
        <f aca="false">M23+O23</f>
        <v>2.269</v>
      </c>
      <c r="O23" s="16" t="n">
        <f aca="false">RANDBETWEEN(-30,100)/1000</f>
        <v>0.089</v>
      </c>
      <c r="P23" s="17"/>
      <c r="Q23" s="18" t="n">
        <v>6.56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579.68</v>
      </c>
      <c r="D24" s="16" t="n">
        <f aca="false">Chạy!G29</f>
        <v>2.23</v>
      </c>
      <c r="E24" s="16" t="n">
        <f aca="false">D24+F24</f>
        <v>2.286</v>
      </c>
      <c r="F24" s="16" t="n">
        <f aca="false">RANDBETWEEN(-30,100)/1000</f>
        <v>0.056</v>
      </c>
      <c r="G24" s="16" t="n">
        <f aca="false">Chạy!I29</f>
        <v>2.23</v>
      </c>
      <c r="H24" s="16" t="n">
        <f aca="false">G24+I24</f>
        <v>2.301</v>
      </c>
      <c r="I24" s="16" t="n">
        <f aca="false">RANDBETWEEN(-30,100)/1000</f>
        <v>0.071</v>
      </c>
      <c r="J24" s="16" t="n">
        <f aca="false">Chạy!M33</f>
        <v>2.18</v>
      </c>
      <c r="K24" s="16" t="n">
        <f aca="false">J24+L24</f>
        <v>2.273</v>
      </c>
      <c r="L24" s="16" t="n">
        <f aca="false">RANDBETWEEN(-30,100)/1000</f>
        <v>0.093</v>
      </c>
      <c r="M24" s="16" t="n">
        <f aca="false">Chạy!O33</f>
        <v>2.18</v>
      </c>
      <c r="N24" s="16" t="n">
        <f aca="false">M24+O24</f>
        <v>2.2</v>
      </c>
      <c r="O24" s="16" t="n">
        <f aca="false">RANDBETWEEN(-30,100)/1000</f>
        <v>0.02</v>
      </c>
      <c r="P24" s="17"/>
      <c r="Q24" s="18" t="n">
        <v>4.84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584.52</v>
      </c>
      <c r="D25" s="16" t="n">
        <f aca="false">Chạy!G37</f>
        <v>2.23</v>
      </c>
      <c r="E25" s="16" t="n">
        <f aca="false">D25+F25</f>
        <v>2.221</v>
      </c>
      <c r="F25" s="16" t="n">
        <f aca="false">RANDBETWEEN(-30,100)/1000</f>
        <v>-0.009</v>
      </c>
      <c r="G25" s="16" t="n">
        <f aca="false">Chạy!I37</f>
        <v>2.23</v>
      </c>
      <c r="H25" s="16" t="n">
        <f aca="false">G25+I25</f>
        <v>2.311</v>
      </c>
      <c r="I25" s="16" t="n">
        <f aca="false">RANDBETWEEN(-30,100)/1000</f>
        <v>0.081</v>
      </c>
      <c r="J25" s="16" t="n">
        <f aca="false">Chạy!M41</f>
        <v>2.18</v>
      </c>
      <c r="K25" s="16" t="n">
        <f aca="false">J25+L25</f>
        <v>2.216</v>
      </c>
      <c r="L25" s="16" t="n">
        <f aca="false">RANDBETWEEN(-30,100)/1000</f>
        <v>0.036</v>
      </c>
      <c r="M25" s="16" t="n">
        <f aca="false">Chạy!O41</f>
        <v>2.18</v>
      </c>
      <c r="N25" s="16" t="n">
        <f aca="false">M25+O25</f>
        <v>2.23</v>
      </c>
      <c r="O25" s="16" t="n">
        <f aca="false">RANDBETWEEN(-30,100)/1000</f>
        <v>0.05</v>
      </c>
      <c r="P25" s="17"/>
      <c r="Q25" s="18" t="n">
        <v>1.71</v>
      </c>
    </row>
    <row r="26" customFormat="false" ht="15" hidden="false" customHeight="false" outlineLevel="0" collapsed="false">
      <c r="A26" s="13" t="n">
        <v>6</v>
      </c>
      <c r="B26" s="14" t="s">
        <v>1</v>
      </c>
      <c r="C26" s="15" t="n">
        <f aca="false">C25+Q25</f>
        <v>586.23</v>
      </c>
      <c r="D26" s="16" t="n">
        <f aca="false">Chạy!G45</f>
        <v>2.23</v>
      </c>
      <c r="E26" s="16" t="n">
        <f aca="false">D26+F26</f>
        <v>2.325</v>
      </c>
      <c r="F26" s="16" t="n">
        <f aca="false">RANDBETWEEN(-30,100)/1000</f>
        <v>0.095</v>
      </c>
      <c r="G26" s="16" t="n">
        <f aca="false">Chạy!I45</f>
        <v>2.23</v>
      </c>
      <c r="H26" s="16" t="n">
        <f aca="false">G26+I26</f>
        <v>2.281</v>
      </c>
      <c r="I26" s="16" t="n">
        <f aca="false">RANDBETWEEN(-30,100)/1000</f>
        <v>0.051</v>
      </c>
      <c r="J26" s="16" t="n">
        <f aca="false">Chạy!M49</f>
        <v>2.18</v>
      </c>
      <c r="K26" s="16" t="n">
        <f aca="false">J26+L26</f>
        <v>2.262</v>
      </c>
      <c r="L26" s="16" t="n">
        <f aca="false">RANDBETWEEN(-30,100)/1000</f>
        <v>0.082</v>
      </c>
      <c r="M26" s="16" t="n">
        <f aca="false">Chạy!O49</f>
        <v>2.18</v>
      </c>
      <c r="N26" s="16" t="n">
        <f aca="false">M26+O26</f>
        <v>2.166</v>
      </c>
      <c r="O26" s="16" t="n">
        <f aca="false">RANDBETWEEN(-30,100)/1000</f>
        <v>-0.014</v>
      </c>
      <c r="P26" s="17"/>
      <c r="Q26" s="18" t="n">
        <v>11.55</v>
      </c>
    </row>
    <row r="27" customFormat="false" ht="15" hidden="false" customHeight="false" outlineLevel="0" collapsed="false">
      <c r="A27" s="13" t="n">
        <v>7</v>
      </c>
      <c r="B27" s="14" t="s">
        <v>23</v>
      </c>
      <c r="C27" s="15" t="n">
        <f aca="false">C26+Q26</f>
        <v>597.78</v>
      </c>
      <c r="D27" s="16" t="n">
        <f aca="false">Chạy!G53</f>
        <v>2.18</v>
      </c>
      <c r="E27" s="16" t="n">
        <f aca="false">D27+F27</f>
        <v>2.178</v>
      </c>
      <c r="F27" s="16" t="n">
        <f aca="false">RANDBETWEEN(-30,100)/1000</f>
        <v>-0.002</v>
      </c>
      <c r="G27" s="16" t="n">
        <f aca="false">Chạy!I53</f>
        <v>2.18</v>
      </c>
      <c r="H27" s="16" t="n">
        <f aca="false">G27+I27</f>
        <v>2.204</v>
      </c>
      <c r="I27" s="16" t="n">
        <f aca="false">RANDBETWEEN(-30,100)/1000</f>
        <v>0.024</v>
      </c>
      <c r="J27" s="16" t="n">
        <f aca="false">Chạy!M57</f>
        <v>2.18</v>
      </c>
      <c r="K27" s="16" t="n">
        <f aca="false">J27+L27</f>
        <v>2.251</v>
      </c>
      <c r="L27" s="16" t="n">
        <f aca="false">RANDBETWEEN(-30,100)/1000</f>
        <v>0.071</v>
      </c>
      <c r="M27" s="16" t="n">
        <f aca="false">Chạy!O57</f>
        <v>2.18</v>
      </c>
      <c r="N27" s="16" t="n">
        <f aca="false">M27+O27</f>
        <v>2.275</v>
      </c>
      <c r="O27" s="16" t="n">
        <f aca="false">RANDBETWEEN(-30,100)/1000</f>
        <v>0.095</v>
      </c>
      <c r="P27" s="17"/>
      <c r="Q27" s="18" t="n">
        <v>17</v>
      </c>
    </row>
    <row r="28" customFormat="false" ht="15" hidden="false" customHeight="false" outlineLevel="0" collapsed="false">
      <c r="A28" s="13" t="n">
        <v>8</v>
      </c>
      <c r="B28" s="14" t="s">
        <v>24</v>
      </c>
      <c r="C28" s="15" t="n">
        <f aca="false">C27+Q27</f>
        <v>614.78</v>
      </c>
      <c r="D28" s="16" t="n">
        <f aca="false">Chạy!G61</f>
        <v>2.18</v>
      </c>
      <c r="E28" s="16" t="n">
        <f aca="false">D28+F28</f>
        <v>2.159</v>
      </c>
      <c r="F28" s="16" t="n">
        <f aca="false">RANDBETWEEN(-30,100)/1000</f>
        <v>-0.021</v>
      </c>
      <c r="G28" s="16" t="n">
        <f aca="false">Chạy!I61</f>
        <v>2.18</v>
      </c>
      <c r="H28" s="16" t="n">
        <f aca="false">G28+I28</f>
        <v>2.244</v>
      </c>
      <c r="I28" s="16" t="n">
        <f aca="false">RANDBETWEEN(-30,100)/1000</f>
        <v>0.064</v>
      </c>
      <c r="J28" s="16" t="n">
        <f aca="false">Chạy!M65</f>
        <v>2.18</v>
      </c>
      <c r="K28" s="16" t="n">
        <f aca="false">J28+L28</f>
        <v>2.247</v>
      </c>
      <c r="L28" s="16" t="n">
        <f aca="false">RANDBETWEEN(-30,100)/1000</f>
        <v>0.067</v>
      </c>
      <c r="M28" s="16" t="n">
        <f aca="false">Chạy!O65</f>
        <v>2.18</v>
      </c>
      <c r="N28" s="16" t="n">
        <f aca="false">M28+O28</f>
        <v>2.267</v>
      </c>
      <c r="O28" s="16" t="n">
        <f aca="false">RANDBETWEEN(-30,100)/1000</f>
        <v>0.087</v>
      </c>
      <c r="P28" s="17"/>
      <c r="Q28" s="18" t="n">
        <v>17.05</v>
      </c>
    </row>
    <row r="29" customFormat="false" ht="15" hidden="false" customHeight="false" outlineLevel="0" collapsed="false">
      <c r="A29" s="13" t="n">
        <v>9</v>
      </c>
      <c r="B29" s="14" t="s">
        <v>25</v>
      </c>
      <c r="C29" s="15" t="n">
        <f aca="false">C28+Q28</f>
        <v>631.83</v>
      </c>
      <c r="D29" s="16" t="n">
        <f aca="false">Chạy!G69</f>
        <v>2.18</v>
      </c>
      <c r="E29" s="16" t="n">
        <f aca="false">D29+F29</f>
        <v>2.253</v>
      </c>
      <c r="F29" s="16" t="n">
        <f aca="false">RANDBETWEEN(-30,100)/1000</f>
        <v>0.073</v>
      </c>
      <c r="G29" s="16" t="n">
        <f aca="false">Chạy!I69</f>
        <v>2.18</v>
      </c>
      <c r="H29" s="16" t="n">
        <f aca="false">G29+I29</f>
        <v>2.17</v>
      </c>
      <c r="I29" s="16" t="n">
        <f aca="false">RANDBETWEEN(-30,100)/1000</f>
        <v>-0.01</v>
      </c>
      <c r="J29" s="16" t="n">
        <f aca="false">Chạy!M73</f>
        <v>2.18</v>
      </c>
      <c r="K29" s="16" t="n">
        <f aca="false">J29+L29</f>
        <v>2.259</v>
      </c>
      <c r="L29" s="16" t="n">
        <f aca="false">RANDBETWEEN(-30,100)/1000</f>
        <v>0.079</v>
      </c>
      <c r="M29" s="16" t="n">
        <f aca="false">Chạy!O73</f>
        <v>2.18</v>
      </c>
      <c r="N29" s="16" t="n">
        <f aca="false">M29+O29</f>
        <v>2.217</v>
      </c>
      <c r="O29" s="16" t="n">
        <f aca="false">RANDBETWEEN(-30,100)/1000</f>
        <v>0.037</v>
      </c>
      <c r="P29" s="17"/>
      <c r="Q29" s="18" t="n">
        <v>11.7</v>
      </c>
    </row>
    <row r="30" customFormat="false" ht="15" hidden="false" customHeight="false" outlineLevel="0" collapsed="false">
      <c r="A30" s="13" t="n">
        <v>10</v>
      </c>
      <c r="B30" s="14" t="s">
        <v>26</v>
      </c>
      <c r="C30" s="15" t="n">
        <f aca="false">C29+Q29</f>
        <v>643.53</v>
      </c>
      <c r="D30" s="16" t="n">
        <f aca="false">Chạy!G77</f>
        <v>2.18</v>
      </c>
      <c r="E30" s="16" t="n">
        <f aca="false">D30+F30</f>
        <v>2.253</v>
      </c>
      <c r="F30" s="16" t="n">
        <f aca="false">RANDBETWEEN(-30,100)/1000</f>
        <v>0.073</v>
      </c>
      <c r="G30" s="16" t="n">
        <f aca="false">Chạy!I77</f>
        <v>2.18</v>
      </c>
      <c r="H30" s="16" t="n">
        <f aca="false">G30+I30</f>
        <v>2.276</v>
      </c>
      <c r="I30" s="16" t="n">
        <f aca="false">RANDBETWEEN(-30,100)/1000</f>
        <v>0.096</v>
      </c>
      <c r="J30" s="16" t="n">
        <f aca="false">Chạy!M81</f>
        <v>2.18</v>
      </c>
      <c r="K30" s="16" t="n">
        <f aca="false">J30+L30</f>
        <v>2.243</v>
      </c>
      <c r="L30" s="16" t="n">
        <f aca="false">RANDBETWEEN(-30,100)/1000</f>
        <v>0.063</v>
      </c>
      <c r="M30" s="16" t="n">
        <f aca="false">Chạy!O81</f>
        <v>2.18</v>
      </c>
      <c r="N30" s="16" t="n">
        <f aca="false">M30+O30</f>
        <v>2.194</v>
      </c>
      <c r="O30" s="16" t="n">
        <f aca="false">RANDBETWEEN(-30,100)/1000</f>
        <v>0.014</v>
      </c>
      <c r="P30" s="17"/>
      <c r="Q30" s="18" t="n">
        <v>11.75</v>
      </c>
    </row>
    <row r="31" customFormat="false" ht="15" hidden="false" customHeight="false" outlineLevel="0" collapsed="false">
      <c r="A31" s="13" t="n">
        <v>11</v>
      </c>
      <c r="B31" s="14" t="s">
        <v>27</v>
      </c>
      <c r="C31" s="15" t="n">
        <f aca="false">C30+Q30</f>
        <v>655.28</v>
      </c>
      <c r="D31" s="16" t="n">
        <f aca="false">Chạy!G85</f>
        <v>2.19</v>
      </c>
      <c r="E31" s="16" t="n">
        <f aca="false">D31+F31</f>
        <v>2.199</v>
      </c>
      <c r="F31" s="16" t="n">
        <f aca="false">RANDBETWEEN(-30,100)/1000</f>
        <v>0.009</v>
      </c>
      <c r="G31" s="16" t="n">
        <f aca="false">Chạy!I85</f>
        <v>2.19</v>
      </c>
      <c r="H31" s="16" t="n">
        <f aca="false">G31+I31</f>
        <v>2.285</v>
      </c>
      <c r="I31" s="16" t="n">
        <f aca="false">RANDBETWEEN(-30,100)/1000</f>
        <v>0.095</v>
      </c>
      <c r="J31" s="16" t="n">
        <f aca="false">Chạy!M89</f>
        <v>2.19</v>
      </c>
      <c r="K31" s="16" t="n">
        <f aca="false">J31+L31</f>
        <v>2.263</v>
      </c>
      <c r="L31" s="16" t="n">
        <f aca="false">RANDBETWEEN(-30,100)/1000</f>
        <v>0.073</v>
      </c>
      <c r="M31" s="16" t="n">
        <f aca="false">Chạy!O89</f>
        <v>2.19</v>
      </c>
      <c r="N31" s="16" t="n">
        <f aca="false">M31+O31</f>
        <v>2.283</v>
      </c>
      <c r="O31" s="16" t="n">
        <f aca="false">RANDBETWEEN(-30,100)/1000</f>
        <v>0.093</v>
      </c>
      <c r="P31" s="17"/>
      <c r="Q31" s="18" t="n">
        <v>17</v>
      </c>
    </row>
    <row r="32" customFormat="false" ht="15" hidden="false" customHeight="false" outlineLevel="0" collapsed="false">
      <c r="A32" s="13" t="n">
        <v>12</v>
      </c>
      <c r="B32" s="14" t="s">
        <v>28</v>
      </c>
      <c r="C32" s="15" t="n">
        <f aca="false">C31+Q31</f>
        <v>672.28</v>
      </c>
      <c r="D32" s="16" t="n">
        <f aca="false">Chạy!G93</f>
        <v>2.19</v>
      </c>
      <c r="E32" s="16" t="n">
        <f aca="false">D32+F32</f>
        <v>2.199</v>
      </c>
      <c r="F32" s="16" t="n">
        <f aca="false">RANDBETWEEN(-30,100)/1000</f>
        <v>0.009</v>
      </c>
      <c r="G32" s="16" t="n">
        <f aca="false">Chạy!I93</f>
        <v>2.19</v>
      </c>
      <c r="H32" s="16" t="n">
        <f aca="false">G32+I32</f>
        <v>2.225</v>
      </c>
      <c r="I32" s="16" t="n">
        <f aca="false">RANDBETWEEN(-30,100)/1000</f>
        <v>0.035</v>
      </c>
      <c r="J32" s="16" t="n">
        <f aca="false">Chạy!M97</f>
        <v>2.19</v>
      </c>
      <c r="K32" s="16" t="n">
        <f aca="false">J32+L32</f>
        <v>2.187</v>
      </c>
      <c r="L32" s="16" t="n">
        <f aca="false">RANDBETWEEN(-30,100)/1000</f>
        <v>-0.003</v>
      </c>
      <c r="M32" s="16" t="n">
        <f aca="false">Chạy!O97</f>
        <v>2.19</v>
      </c>
      <c r="N32" s="16" t="n">
        <f aca="false">M32+O32</f>
        <v>2.274</v>
      </c>
      <c r="O32" s="16" t="n">
        <f aca="false">RANDBETWEEN(-30,100)/1000</f>
        <v>0.084</v>
      </c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46.NĐXD4/CVXD ngày 07 tháng 09 năm 2026</v>
      </c>
      <c r="B2" s="27"/>
      <c r="C2" s="27"/>
      <c r="D2" s="27"/>
      <c r="E2" s="27"/>
      <c r="F2" s="27"/>
      <c r="G2" s="27"/>
      <c r="AZ2">
        <v>46</v>
      </c>
    </row>
    <row r="3" s="3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35</v>
      </c>
      <c r="B7" s="32"/>
      <c r="C7" s="33"/>
      <c r="D7" s="34" t="str">
        <f>VLOOKUP(AZ2,'[1]Tuyến XD4'!$A$2:$B$60,2,0)</f>
        <v xml:space="preserve">Đắp đất lề đường lớp 1, độ chặt K&gt;=0,95 đoạn từ Km0+554,08 - Km0+672,28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32</v>
      </c>
      <c r="C11" s="15" t="n">
        <f aca="false">'1. KTHH L1'!C21</f>
        <v>554.08</v>
      </c>
      <c r="D11" s="13" t="n">
        <f aca="false">'1. KTHH L1'!Q21</f>
        <v>15.4</v>
      </c>
      <c r="E11" s="42" t="n">
        <f aca="false">Chạy!E5+Chạy!E9</f>
        <v>3.26</v>
      </c>
      <c r="F11" s="43" t="n">
        <f aca="false">(E11+E12)*D11/2</f>
        <v>50.204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33</v>
      </c>
      <c r="C12" s="15" t="n">
        <f aca="false">'1. KTHH L1'!C22</f>
        <v>569.48</v>
      </c>
      <c r="D12" s="13" t="n">
        <f aca="false">'1. KTHH L1'!Q22</f>
        <v>3.64</v>
      </c>
      <c r="E12" s="42" t="n">
        <f aca="false">Chạy!E13+Chạy!E17</f>
        <v>3.26</v>
      </c>
      <c r="F12" s="43" t="n">
        <f aca="false">(E12+E13)*D12/2</f>
        <v>11.8664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TD</v>
      </c>
      <c r="C13" s="15" t="n">
        <f aca="false">'1. KTHH L1'!C23</f>
        <v>573.12</v>
      </c>
      <c r="D13" s="13" t="n">
        <f aca="false">'1. KTHH L1'!Q23</f>
        <v>6.56</v>
      </c>
      <c r="E13" s="42" t="n">
        <f aca="false">Chạy!E21+Chạy!E25</f>
        <v>3.26</v>
      </c>
      <c r="F13" s="43" t="n">
        <f aca="false">(E13+E14)*D13/2</f>
        <v>21.3856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P</v>
      </c>
      <c r="C14" s="15" t="n">
        <f aca="false">'1. KTHH L1'!C24</f>
        <v>579.68</v>
      </c>
      <c r="D14" s="13" t="n">
        <f aca="false">'1. KTHH L1'!Q24</f>
        <v>4.84</v>
      </c>
      <c r="E14" s="42" t="n">
        <f aca="false">Chạy!E29+Chạy!E33</f>
        <v>3.26</v>
      </c>
      <c r="F14" s="43" t="n">
        <f aca="false">(E14+E15)*D14/2</f>
        <v>15.7784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E2</v>
      </c>
      <c r="C15" s="15" t="n">
        <f aca="false">'1. KTHH L1'!C25</f>
        <v>584.52</v>
      </c>
      <c r="D15" s="13" t="n">
        <f aca="false">'1. KTHH L1'!Q25</f>
        <v>1.71</v>
      </c>
      <c r="E15" s="42" t="n">
        <f aca="false">Chạy!E37+Chạy!E41</f>
        <v>3.26</v>
      </c>
      <c r="F15" s="43" t="n">
        <f aca="false">(E15+E16)*D15/2</f>
        <v>5.5746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TC</v>
      </c>
      <c r="C16" s="15" t="n">
        <f aca="false">'1. KTHH L1'!C26</f>
        <v>586.23</v>
      </c>
      <c r="D16" s="13" t="n">
        <f aca="false">'1. KTHH L1'!Q26</f>
        <v>11.55</v>
      </c>
      <c r="E16" s="42" t="n">
        <f aca="false">Chạy!E45+Chạy!E49</f>
        <v>3.26</v>
      </c>
      <c r="F16" s="43" t="n">
        <f aca="false">(E16+E17)*D16/2</f>
        <v>37.653</v>
      </c>
      <c r="G16" s="44"/>
      <c r="I16" s="45"/>
      <c r="J16" s="45"/>
    </row>
    <row r="17" s="41" customFormat="true" ht="15" hidden="false" customHeight="true" outlineLevel="0" collapsed="false">
      <c r="A17" s="13" t="n">
        <v>7</v>
      </c>
      <c r="B17" s="14" t="str">
        <f aca="false">'1. KTHH L1'!B27</f>
        <v>34</v>
      </c>
      <c r="C17" s="15" t="n">
        <f aca="false">'1. KTHH L1'!C27</f>
        <v>597.78</v>
      </c>
      <c r="D17" s="13" t="n">
        <f aca="false">'1. KTHH L1'!Q27</f>
        <v>17</v>
      </c>
      <c r="E17" s="42" t="n">
        <f aca="false">Chạy!E53+Chạy!E57</f>
        <v>3.26</v>
      </c>
      <c r="F17" s="43" t="n">
        <f aca="false">(E17+E18)*D17/2</f>
        <v>55.42</v>
      </c>
      <c r="G17" s="44"/>
      <c r="I17" s="45"/>
      <c r="J17" s="45"/>
    </row>
    <row r="18" s="41" customFormat="true" ht="15" hidden="false" customHeight="true" outlineLevel="0" collapsed="false">
      <c r="A18" s="13" t="n">
        <v>8</v>
      </c>
      <c r="B18" s="14" t="str">
        <f aca="false">'1. KTHH L1'!B28</f>
        <v>35</v>
      </c>
      <c r="C18" s="15" t="n">
        <f aca="false">'1. KTHH L1'!C28</f>
        <v>614.78</v>
      </c>
      <c r="D18" s="13" t="n">
        <f aca="false">'1. KTHH L1'!Q28</f>
        <v>17.05</v>
      </c>
      <c r="E18" s="42" t="n">
        <f aca="false">Chạy!E61+Chạy!E65</f>
        <v>3.26</v>
      </c>
      <c r="F18" s="43" t="n">
        <f aca="false">(E18+E19)*D18/2</f>
        <v>55.583</v>
      </c>
      <c r="G18" s="44"/>
      <c r="I18" s="45"/>
      <c r="J18" s="45"/>
    </row>
    <row r="19" s="41" customFormat="true" ht="15" hidden="false" customHeight="true" outlineLevel="0" collapsed="false">
      <c r="A19" s="13" t="n">
        <v>9</v>
      </c>
      <c r="B19" s="14" t="str">
        <f aca="false">'1. KTHH L1'!B29</f>
        <v>36</v>
      </c>
      <c r="C19" s="15" t="n">
        <f aca="false">'1. KTHH L1'!C29</f>
        <v>631.83</v>
      </c>
      <c r="D19" s="13" t="n">
        <f aca="false">'1. KTHH L1'!Q29</f>
        <v>11.7</v>
      </c>
      <c r="E19" s="42" t="n">
        <f aca="false">Chạy!E69+Chạy!E73</f>
        <v>3.26</v>
      </c>
      <c r="F19" s="43" t="n">
        <f aca="false">(E19+E20)*D19/2</f>
        <v>38.142</v>
      </c>
      <c r="G19" s="44"/>
      <c r="I19" s="45"/>
      <c r="J19" s="45"/>
    </row>
    <row r="20" s="41" customFormat="true" ht="15" hidden="false" customHeight="true" outlineLevel="0" collapsed="false">
      <c r="A20" s="13" t="n">
        <v>10</v>
      </c>
      <c r="B20" s="14" t="str">
        <f aca="false">'1. KTHH L1'!B30</f>
        <v>E9</v>
      </c>
      <c r="C20" s="15" t="n">
        <f aca="false">'1. KTHH L1'!C30</f>
        <v>643.53</v>
      </c>
      <c r="D20" s="13" t="n">
        <f aca="false">'1. KTHH L1'!Q30</f>
        <v>11.75</v>
      </c>
      <c r="E20" s="42" t="n">
        <f aca="false">Chạy!E77+Chạy!E81</f>
        <v>3.26</v>
      </c>
      <c r="F20" s="43" t="n">
        <f aca="false">(E20+E21)*D20/2</f>
        <v>38.305</v>
      </c>
      <c r="G20" s="44"/>
      <c r="I20" s="45"/>
      <c r="J20" s="45"/>
    </row>
    <row r="21" s="41" customFormat="true" ht="15" hidden="false" customHeight="true" outlineLevel="0" collapsed="false">
      <c r="A21" s="13" t="n">
        <v>11</v>
      </c>
      <c r="B21" s="14" t="str">
        <f aca="false">'1. KTHH L1'!B31</f>
        <v>37</v>
      </c>
      <c r="C21" s="15" t="n">
        <f aca="false">'1. KTHH L1'!C31</f>
        <v>655.28</v>
      </c>
      <c r="D21" s="13" t="n">
        <f aca="false">'1. KTHH L1'!Q31</f>
        <v>17</v>
      </c>
      <c r="E21" s="42" t="n">
        <f aca="false">Chạy!E85+Chạy!E89</f>
        <v>3.26</v>
      </c>
      <c r="F21" s="43" t="n">
        <f aca="false">(E21+E22)*D21/2</f>
        <v>55.42</v>
      </c>
      <c r="G21" s="44"/>
      <c r="I21" s="45"/>
      <c r="J21" s="45"/>
    </row>
    <row r="22" s="41" customFormat="true" ht="15" hidden="false" customHeight="true" outlineLevel="0" collapsed="false">
      <c r="A22" s="13" t="n">
        <v>12</v>
      </c>
      <c r="B22" s="14" t="str">
        <f aca="false">'1. KTHH L1'!B32</f>
        <v>38</v>
      </c>
      <c r="C22" s="15" t="n">
        <f aca="false">'1. KTHH L1'!C32</f>
        <v>672.28</v>
      </c>
      <c r="D22" s="13"/>
      <c r="E22" s="42" t="n">
        <f aca="false">Chạy!E93+Chạy!E97</f>
        <v>3.26</v>
      </c>
      <c r="F22" s="43"/>
      <c r="G22" s="44"/>
      <c r="I22" s="45"/>
      <c r="J22" s="45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I23" s="45"/>
      <c r="J23" s="45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I24" s="45"/>
      <c r="J24" s="45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I25" s="45"/>
      <c r="J25" s="45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I26" s="45"/>
      <c r="J26" s="45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I27" s="45"/>
      <c r="J27" s="45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I28" s="45"/>
      <c r="J28" s="45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I29" s="45"/>
      <c r="J29" s="45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I30" s="45"/>
      <c r="J30" s="45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I31" s="45"/>
      <c r="J31" s="45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I32" s="45"/>
      <c r="J32" s="45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I33" s="45"/>
      <c r="J33" s="45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I34" s="45"/>
      <c r="J34" s="45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I35" s="45"/>
      <c r="J35" s="45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I36" s="45"/>
      <c r="J36" s="45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I37" s="45"/>
      <c r="J37" s="45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I38" s="45"/>
      <c r="J38" s="45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I39" s="45"/>
      <c r="J39" s="45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I40" s="45"/>
      <c r="J40" s="45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I41" s="45"/>
      <c r="J41" s="45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I42" s="45"/>
      <c r="J42" s="45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I43" s="45"/>
      <c r="J43" s="45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I44" s="45"/>
      <c r="J44" s="45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I45" s="45"/>
      <c r="J45" s="45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57</v>
      </c>
      <c r="B49" s="46"/>
      <c r="C49" s="46"/>
      <c r="D49" s="46"/>
      <c r="E49" s="47"/>
      <c r="F49" s="48" t="n">
        <f aca="false">SUM(F11:F22)</f>
        <v>385.332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48.NĐXD4/CVXD ngày 08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48</v>
      </c>
    </row>
    <row r="3" customFormat="false" ht="18.75" hidden="false" customHeight="true" outlineLevel="0" collapsed="false">
      <c r="A3" s="6" t="s">
        <v>31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32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33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34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35</v>
      </c>
      <c r="B7" s="7"/>
      <c r="C7" s="6"/>
      <c r="D7" s="6" t="str">
        <f>VLOOKUP(AZ2,'[1]Tuyến XD4'!$A$2:$B$60,2,0)</f>
        <v xml:space="preserve">Đắp đất lề đường lớp 2, độ chặt K&gt;=0,95 đoạn từ Km0+554,08 - Km0+672,28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37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3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554.08</v>
      </c>
      <c r="D21" s="16" t="n">
        <f aca="false">Chạy!G4</f>
        <v>2.44</v>
      </c>
      <c r="E21" s="16" t="n">
        <f aca="false">D21+F21</f>
        <v>2.43</v>
      </c>
      <c r="F21" s="16" t="n">
        <f aca="false">RANDBETWEEN(-30,100)/1000</f>
        <v>-0.01</v>
      </c>
      <c r="G21" s="16" t="n">
        <f aca="false">Chạy!I4</f>
        <v>2.44</v>
      </c>
      <c r="H21" s="16" t="n">
        <f aca="false">G21+I21</f>
        <v>2.539</v>
      </c>
      <c r="I21" s="16" t="n">
        <f aca="false">RANDBETWEEN(-30,100)/1000</f>
        <v>0.099</v>
      </c>
      <c r="J21" s="16" t="n">
        <f aca="false">Chạy!M8</f>
        <v>2.44</v>
      </c>
      <c r="K21" s="16" t="n">
        <f aca="false">J21+L21</f>
        <v>2.435</v>
      </c>
      <c r="L21" s="16" t="n">
        <f aca="false">RANDBETWEEN(-30,100)/1000</f>
        <v>-0.005</v>
      </c>
      <c r="M21" s="16" t="n">
        <f aca="false">Chạy!O8</f>
        <v>2.44</v>
      </c>
      <c r="N21" s="16" t="n">
        <f aca="false">M21+O21</f>
        <v>2.517</v>
      </c>
      <c r="O21" s="16" t="n">
        <f aca="false">RANDBETWEEN(-30,100)/1000</f>
        <v>0.077</v>
      </c>
      <c r="P21" s="17"/>
      <c r="Q21" s="18" t="n">
        <v>15.4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569.48</v>
      </c>
      <c r="D22" s="16" t="n">
        <f aca="false">Chạy!G12</f>
        <v>2.48</v>
      </c>
      <c r="E22" s="16" t="n">
        <f aca="false">D22+F22</f>
        <v>2.515</v>
      </c>
      <c r="F22" s="16" t="n">
        <f aca="false">RANDBETWEEN(-30,100)/1000</f>
        <v>0.035</v>
      </c>
      <c r="G22" s="16" t="n">
        <f aca="false">Chạy!I12</f>
        <v>2.48</v>
      </c>
      <c r="H22" s="16" t="n">
        <f aca="false">G22+I22</f>
        <v>2.499</v>
      </c>
      <c r="I22" s="16" t="n">
        <f aca="false">RANDBETWEEN(-30,100)/1000</f>
        <v>0.019</v>
      </c>
      <c r="J22" s="16" t="n">
        <f aca="false">Chạy!M16</f>
        <v>2.43</v>
      </c>
      <c r="K22" s="16" t="n">
        <f aca="false">J22+L22</f>
        <v>2.415</v>
      </c>
      <c r="L22" s="16" t="n">
        <f aca="false">RANDBETWEEN(-30,100)/1000</f>
        <v>-0.015</v>
      </c>
      <c r="M22" s="16" t="n">
        <f aca="false">Chạy!O16</f>
        <v>2.43</v>
      </c>
      <c r="N22" s="16" t="n">
        <f aca="false">M22+O22</f>
        <v>2.501</v>
      </c>
      <c r="O22" s="16" t="n">
        <f aca="false">RANDBETWEEN(-30,100)/1000</f>
        <v>0.071</v>
      </c>
      <c r="P22" s="17"/>
      <c r="Q22" s="18" t="n">
        <v>3.64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573.12</v>
      </c>
      <c r="D23" s="16" t="n">
        <f aca="false">Chạy!G20</f>
        <v>2.48</v>
      </c>
      <c r="E23" s="16" t="n">
        <f aca="false">D23+F23</f>
        <v>2.557</v>
      </c>
      <c r="F23" s="16" t="n">
        <f aca="false">RANDBETWEEN(-30,100)/1000</f>
        <v>0.077</v>
      </c>
      <c r="G23" s="16" t="n">
        <f aca="false">Chạy!I20</f>
        <v>2.48</v>
      </c>
      <c r="H23" s="16" t="n">
        <f aca="false">G23+I23</f>
        <v>2.539</v>
      </c>
      <c r="I23" s="16" t="n">
        <f aca="false">RANDBETWEEN(-30,100)/1000</f>
        <v>0.059</v>
      </c>
      <c r="J23" s="16" t="n">
        <f aca="false">Chạy!M24</f>
        <v>2.43</v>
      </c>
      <c r="K23" s="16" t="n">
        <f aca="false">J23+L23</f>
        <v>2.458</v>
      </c>
      <c r="L23" s="16" t="n">
        <f aca="false">RANDBETWEEN(-30,100)/1000</f>
        <v>0.028</v>
      </c>
      <c r="M23" s="16" t="n">
        <f aca="false">Chạy!O24</f>
        <v>2.43</v>
      </c>
      <c r="N23" s="16" t="n">
        <f aca="false">M23+O23</f>
        <v>2.413</v>
      </c>
      <c r="O23" s="16" t="n">
        <f aca="false">RANDBETWEEN(-30,100)/1000</f>
        <v>-0.017</v>
      </c>
      <c r="P23" s="17"/>
      <c r="Q23" s="18" t="n">
        <v>6.56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579.68</v>
      </c>
      <c r="D24" s="16" t="n">
        <f aca="false">Chạy!G28</f>
        <v>2.48</v>
      </c>
      <c r="E24" s="16" t="n">
        <f aca="false">D24+F24</f>
        <v>2.54</v>
      </c>
      <c r="F24" s="16" t="n">
        <f aca="false">RANDBETWEEN(-30,100)/1000</f>
        <v>0.06</v>
      </c>
      <c r="G24" s="16" t="n">
        <f aca="false">Chạy!I28</f>
        <v>2.48</v>
      </c>
      <c r="H24" s="16" t="n">
        <f aca="false">G24+I24</f>
        <v>2.555</v>
      </c>
      <c r="I24" s="16" t="n">
        <f aca="false">RANDBETWEEN(-30,100)/1000</f>
        <v>0.075</v>
      </c>
      <c r="J24" s="16" t="n">
        <f aca="false">Chạy!M32</f>
        <v>2.43</v>
      </c>
      <c r="K24" s="16" t="n">
        <f aca="false">J24+L24</f>
        <v>2.524</v>
      </c>
      <c r="L24" s="16" t="n">
        <f aca="false">RANDBETWEEN(-30,100)/1000</f>
        <v>0.094</v>
      </c>
      <c r="M24" s="16" t="n">
        <f aca="false">Chạy!O32</f>
        <v>2.43</v>
      </c>
      <c r="N24" s="16" t="n">
        <f aca="false">M24+O24</f>
        <v>2.526</v>
      </c>
      <c r="O24" s="16" t="n">
        <f aca="false">RANDBETWEEN(-30,100)/1000</f>
        <v>0.096</v>
      </c>
      <c r="P24" s="17"/>
      <c r="Q24" s="18" t="n">
        <v>4.84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584.52</v>
      </c>
      <c r="D25" s="16" t="n">
        <f aca="false">Chạy!G36</f>
        <v>2.48</v>
      </c>
      <c r="E25" s="16" t="n">
        <f aca="false">D25+F25</f>
        <v>2.543</v>
      </c>
      <c r="F25" s="16" t="n">
        <f aca="false">RANDBETWEEN(-30,100)/1000</f>
        <v>0.063</v>
      </c>
      <c r="G25" s="16" t="n">
        <f aca="false">Chạy!I36</f>
        <v>2.48</v>
      </c>
      <c r="H25" s="16" t="n">
        <f aca="false">G25+I25</f>
        <v>2.48</v>
      </c>
      <c r="I25" s="16" t="n">
        <f aca="false">RANDBETWEEN(-30,100)/1000</f>
        <v>0</v>
      </c>
      <c r="J25" s="16" t="n">
        <f aca="false">Chạy!M40</f>
        <v>2.43</v>
      </c>
      <c r="K25" s="16" t="n">
        <f aca="false">J25+L25</f>
        <v>2.49</v>
      </c>
      <c r="L25" s="16" t="n">
        <f aca="false">RANDBETWEEN(-30,100)/1000</f>
        <v>0.06</v>
      </c>
      <c r="M25" s="16" t="n">
        <f aca="false">Chạy!O40</f>
        <v>2.43</v>
      </c>
      <c r="N25" s="16" t="n">
        <f aca="false">M25+O25</f>
        <v>2.4</v>
      </c>
      <c r="O25" s="16" t="n">
        <f aca="false">RANDBETWEEN(-30,100)/1000</f>
        <v>-0.03</v>
      </c>
      <c r="P25" s="17"/>
      <c r="Q25" s="18" t="n">
        <v>1.71</v>
      </c>
    </row>
    <row r="26" customFormat="false" ht="15" hidden="false" customHeight="false" outlineLevel="0" collapsed="false">
      <c r="A26" s="13" t="n">
        <v>6</v>
      </c>
      <c r="B26" s="14" t="s">
        <v>1</v>
      </c>
      <c r="C26" s="15" t="n">
        <f aca="false">C25+Q25</f>
        <v>586.23</v>
      </c>
      <c r="D26" s="16" t="n">
        <f aca="false">Chạy!G44</f>
        <v>2.48</v>
      </c>
      <c r="E26" s="16" t="n">
        <f aca="false">D26+F26</f>
        <v>2.453</v>
      </c>
      <c r="F26" s="16" t="n">
        <f aca="false">RANDBETWEEN(-30,100)/1000</f>
        <v>-0.027</v>
      </c>
      <c r="G26" s="16" t="n">
        <f aca="false">Chạy!I44</f>
        <v>2.48</v>
      </c>
      <c r="H26" s="16" t="n">
        <f aca="false">G26+I26</f>
        <v>2.537</v>
      </c>
      <c r="I26" s="16" t="n">
        <f aca="false">RANDBETWEEN(-30,100)/1000</f>
        <v>0.057</v>
      </c>
      <c r="J26" s="16" t="n">
        <f aca="false">Chạy!M48</f>
        <v>2.43</v>
      </c>
      <c r="K26" s="16" t="n">
        <f aca="false">J26+L26</f>
        <v>2.5</v>
      </c>
      <c r="L26" s="16" t="n">
        <f aca="false">RANDBETWEEN(-30,100)/1000</f>
        <v>0.07</v>
      </c>
      <c r="M26" s="16" t="n">
        <f aca="false">Chạy!O48</f>
        <v>2.43</v>
      </c>
      <c r="N26" s="16" t="n">
        <f aca="false">M26+O26</f>
        <v>2.51</v>
      </c>
      <c r="O26" s="16" t="n">
        <f aca="false">RANDBETWEEN(-30,100)/1000</f>
        <v>0.08</v>
      </c>
      <c r="P26" s="17"/>
      <c r="Q26" s="18" t="n">
        <v>11.55</v>
      </c>
    </row>
    <row r="27" customFormat="false" ht="15" hidden="false" customHeight="false" outlineLevel="0" collapsed="false">
      <c r="A27" s="13" t="n">
        <v>7</v>
      </c>
      <c r="B27" s="14" t="s">
        <v>23</v>
      </c>
      <c r="C27" s="15" t="n">
        <f aca="false">C26+Q26</f>
        <v>597.78</v>
      </c>
      <c r="D27" s="16" t="n">
        <f aca="false">Chạy!G52</f>
        <v>2.43</v>
      </c>
      <c r="E27" s="16" t="n">
        <f aca="false">D27+F27</f>
        <v>2.512</v>
      </c>
      <c r="F27" s="16" t="n">
        <f aca="false">RANDBETWEEN(-30,100)/1000</f>
        <v>0.082</v>
      </c>
      <c r="G27" s="16" t="n">
        <f aca="false">Chạy!I52</f>
        <v>2.43</v>
      </c>
      <c r="H27" s="16" t="n">
        <f aca="false">G27+I27</f>
        <v>2.473</v>
      </c>
      <c r="I27" s="16" t="n">
        <f aca="false">RANDBETWEEN(-30,100)/1000</f>
        <v>0.043</v>
      </c>
      <c r="J27" s="16" t="n">
        <f aca="false">Chạy!M56</f>
        <v>2.43</v>
      </c>
      <c r="K27" s="16" t="n">
        <f aca="false">J27+L27</f>
        <v>2.414</v>
      </c>
      <c r="L27" s="16" t="n">
        <f aca="false">RANDBETWEEN(-30,100)/1000</f>
        <v>-0.016</v>
      </c>
      <c r="M27" s="16" t="n">
        <f aca="false">Chạy!O56</f>
        <v>2.43</v>
      </c>
      <c r="N27" s="16" t="n">
        <f aca="false">M27+O27</f>
        <v>2.513</v>
      </c>
      <c r="O27" s="16" t="n">
        <f aca="false">RANDBETWEEN(-30,100)/1000</f>
        <v>0.083</v>
      </c>
      <c r="P27" s="17"/>
      <c r="Q27" s="18" t="n">
        <v>17</v>
      </c>
    </row>
    <row r="28" customFormat="false" ht="15" hidden="false" customHeight="false" outlineLevel="0" collapsed="false">
      <c r="A28" s="13" t="n">
        <v>8</v>
      </c>
      <c r="B28" s="14" t="s">
        <v>24</v>
      </c>
      <c r="C28" s="15" t="n">
        <f aca="false">C27+Q27</f>
        <v>614.78</v>
      </c>
      <c r="D28" s="16" t="n">
        <f aca="false">Chạy!G60</f>
        <v>2.43</v>
      </c>
      <c r="E28" s="16" t="n">
        <f aca="false">D28+F28</f>
        <v>2.499</v>
      </c>
      <c r="F28" s="16" t="n">
        <f aca="false">RANDBETWEEN(-30,100)/1000</f>
        <v>0.069</v>
      </c>
      <c r="G28" s="16" t="n">
        <f aca="false">Chạy!I60</f>
        <v>2.43</v>
      </c>
      <c r="H28" s="16" t="n">
        <f aca="false">G28+I28</f>
        <v>2.51</v>
      </c>
      <c r="I28" s="16" t="n">
        <f aca="false">RANDBETWEEN(-30,100)/1000</f>
        <v>0.08</v>
      </c>
      <c r="J28" s="16" t="n">
        <f aca="false">Chạy!M64</f>
        <v>2.43</v>
      </c>
      <c r="K28" s="16" t="n">
        <f aca="false">J28+L28</f>
        <v>2.452</v>
      </c>
      <c r="L28" s="16" t="n">
        <f aca="false">RANDBETWEEN(-30,100)/1000</f>
        <v>0.022</v>
      </c>
      <c r="M28" s="16" t="n">
        <f aca="false">Chạy!O64</f>
        <v>2.43</v>
      </c>
      <c r="N28" s="16" t="n">
        <f aca="false">M28+O28</f>
        <v>2.485</v>
      </c>
      <c r="O28" s="16" t="n">
        <f aca="false">RANDBETWEEN(-30,100)/1000</f>
        <v>0.055</v>
      </c>
      <c r="P28" s="17"/>
      <c r="Q28" s="18" t="n">
        <v>17.05</v>
      </c>
    </row>
    <row r="29" customFormat="false" ht="15" hidden="false" customHeight="false" outlineLevel="0" collapsed="false">
      <c r="A29" s="13" t="n">
        <v>9</v>
      </c>
      <c r="B29" s="14" t="s">
        <v>25</v>
      </c>
      <c r="C29" s="15" t="n">
        <f aca="false">C28+Q28</f>
        <v>631.83</v>
      </c>
      <c r="D29" s="16" t="n">
        <f aca="false">Chạy!G68</f>
        <v>2.43</v>
      </c>
      <c r="E29" s="16" t="n">
        <f aca="false">D29+F29</f>
        <v>2.521</v>
      </c>
      <c r="F29" s="16" t="n">
        <f aca="false">RANDBETWEEN(-30,100)/1000</f>
        <v>0.091</v>
      </c>
      <c r="G29" s="16" t="n">
        <f aca="false">Chạy!I68</f>
        <v>2.43</v>
      </c>
      <c r="H29" s="16" t="n">
        <f aca="false">G29+I29</f>
        <v>2.46</v>
      </c>
      <c r="I29" s="16" t="n">
        <f aca="false">RANDBETWEEN(-30,100)/1000</f>
        <v>0.03</v>
      </c>
      <c r="J29" s="16" t="n">
        <f aca="false">Chạy!M72</f>
        <v>2.43</v>
      </c>
      <c r="K29" s="16" t="n">
        <f aca="false">J29+L29</f>
        <v>2.462</v>
      </c>
      <c r="L29" s="16" t="n">
        <f aca="false">RANDBETWEEN(-30,100)/1000</f>
        <v>0.032</v>
      </c>
      <c r="M29" s="16" t="n">
        <f aca="false">Chạy!O72</f>
        <v>2.43</v>
      </c>
      <c r="N29" s="16" t="n">
        <f aca="false">M29+O29</f>
        <v>2.442</v>
      </c>
      <c r="O29" s="16" t="n">
        <f aca="false">RANDBETWEEN(-30,100)/1000</f>
        <v>0.012</v>
      </c>
      <c r="P29" s="17"/>
      <c r="Q29" s="18" t="n">
        <v>11.7</v>
      </c>
    </row>
    <row r="30" customFormat="false" ht="15" hidden="false" customHeight="false" outlineLevel="0" collapsed="false">
      <c r="A30" s="13" t="n">
        <v>10</v>
      </c>
      <c r="B30" s="14" t="s">
        <v>26</v>
      </c>
      <c r="C30" s="15" t="n">
        <f aca="false">C29+Q29</f>
        <v>643.53</v>
      </c>
      <c r="D30" s="16" t="n">
        <f aca="false">Chạy!G76</f>
        <v>2.43</v>
      </c>
      <c r="E30" s="16" t="n">
        <f aca="false">D30+F30</f>
        <v>2.427</v>
      </c>
      <c r="F30" s="16" t="n">
        <f aca="false">RANDBETWEEN(-30,100)/1000</f>
        <v>-0.003</v>
      </c>
      <c r="G30" s="16" t="n">
        <f aca="false">Chạy!I76</f>
        <v>2.43</v>
      </c>
      <c r="H30" s="16" t="n">
        <f aca="false">G30+I30</f>
        <v>2.471</v>
      </c>
      <c r="I30" s="16" t="n">
        <f aca="false">RANDBETWEEN(-30,100)/1000</f>
        <v>0.041</v>
      </c>
      <c r="J30" s="16" t="n">
        <f aca="false">Chạy!M80</f>
        <v>2.43</v>
      </c>
      <c r="K30" s="16" t="n">
        <f aca="false">J30+L30</f>
        <v>2.435</v>
      </c>
      <c r="L30" s="16" t="n">
        <f aca="false">RANDBETWEEN(-30,100)/1000</f>
        <v>0.005</v>
      </c>
      <c r="M30" s="16" t="n">
        <f aca="false">Chạy!O80</f>
        <v>2.43</v>
      </c>
      <c r="N30" s="16" t="n">
        <f aca="false">M30+O30</f>
        <v>2.438</v>
      </c>
      <c r="O30" s="16" t="n">
        <f aca="false">RANDBETWEEN(-30,100)/1000</f>
        <v>0.008</v>
      </c>
      <c r="P30" s="17"/>
      <c r="Q30" s="18" t="n">
        <v>11.75</v>
      </c>
    </row>
    <row r="31" customFormat="false" ht="15" hidden="false" customHeight="false" outlineLevel="0" collapsed="false">
      <c r="A31" s="13" t="n">
        <v>11</v>
      </c>
      <c r="B31" s="14" t="s">
        <v>27</v>
      </c>
      <c r="C31" s="15" t="n">
        <f aca="false">C30+Q30</f>
        <v>655.28</v>
      </c>
      <c r="D31" s="16" t="n">
        <f aca="false">Chạy!G84</f>
        <v>2.44</v>
      </c>
      <c r="E31" s="16" t="n">
        <f aca="false">D31+F31</f>
        <v>2.42</v>
      </c>
      <c r="F31" s="16" t="n">
        <f aca="false">RANDBETWEEN(-30,100)/1000</f>
        <v>-0.02</v>
      </c>
      <c r="G31" s="16" t="n">
        <f aca="false">Chạy!I84</f>
        <v>2.44</v>
      </c>
      <c r="H31" s="16" t="n">
        <f aca="false">G31+I31</f>
        <v>2.433</v>
      </c>
      <c r="I31" s="16" t="n">
        <f aca="false">RANDBETWEEN(-30,100)/1000</f>
        <v>-0.007</v>
      </c>
      <c r="J31" s="16" t="n">
        <f aca="false">Chạy!M88</f>
        <v>2.44</v>
      </c>
      <c r="K31" s="16" t="n">
        <f aca="false">J31+L31</f>
        <v>2.523</v>
      </c>
      <c r="L31" s="16" t="n">
        <f aca="false">RANDBETWEEN(-30,100)/1000</f>
        <v>0.083</v>
      </c>
      <c r="M31" s="16" t="n">
        <f aca="false">Chạy!O88</f>
        <v>2.44</v>
      </c>
      <c r="N31" s="16" t="n">
        <f aca="false">M31+O31</f>
        <v>2.533</v>
      </c>
      <c r="O31" s="16" t="n">
        <f aca="false">RANDBETWEEN(-30,100)/1000</f>
        <v>0.093</v>
      </c>
      <c r="P31" s="17"/>
      <c r="Q31" s="18" t="n">
        <v>17</v>
      </c>
    </row>
    <row r="32" customFormat="false" ht="15" hidden="false" customHeight="false" outlineLevel="0" collapsed="false">
      <c r="A32" s="13" t="n">
        <v>12</v>
      </c>
      <c r="B32" s="14" t="s">
        <v>28</v>
      </c>
      <c r="C32" s="15" t="n">
        <f aca="false">C31+Q31</f>
        <v>672.28</v>
      </c>
      <c r="D32" s="16" t="n">
        <f aca="false">Chạy!G92</f>
        <v>2.44</v>
      </c>
      <c r="E32" s="16" t="n">
        <f aca="false">D32+F32</f>
        <v>2.496</v>
      </c>
      <c r="F32" s="16" t="n">
        <f aca="false">RANDBETWEEN(-30,100)/1000</f>
        <v>0.056</v>
      </c>
      <c r="G32" s="16" t="n">
        <f aca="false">Chạy!I92</f>
        <v>2.44</v>
      </c>
      <c r="H32" s="16" t="n">
        <f aca="false">G32+I32</f>
        <v>2.481</v>
      </c>
      <c r="I32" s="16" t="n">
        <f aca="false">RANDBETWEEN(-30,100)/1000</f>
        <v>0.041</v>
      </c>
      <c r="J32" s="16" t="n">
        <f aca="false">Chạy!M96</f>
        <v>2.44</v>
      </c>
      <c r="K32" s="16" t="n">
        <f aca="false">J32+L32</f>
        <v>2.465</v>
      </c>
      <c r="L32" s="16" t="n">
        <f aca="false">RANDBETWEEN(-30,100)/1000</f>
        <v>0.025</v>
      </c>
      <c r="M32" s="16" t="n">
        <f aca="false">Chạy!O96</f>
        <v>2.44</v>
      </c>
      <c r="N32" s="16" t="n">
        <f aca="false">M32+O32</f>
        <v>2.539</v>
      </c>
      <c r="O32" s="16" t="n">
        <f aca="false">RANDBETWEEN(-30,100)/1000</f>
        <v>0.099</v>
      </c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48.NĐXD4/CVXD ngày 08 tháng 09 năm 2026</v>
      </c>
      <c r="B2" s="27"/>
      <c r="C2" s="27"/>
      <c r="D2" s="27"/>
      <c r="E2" s="27"/>
      <c r="F2" s="27"/>
      <c r="G2" s="27"/>
      <c r="AZ2">
        <v>48</v>
      </c>
    </row>
    <row r="3" s="3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35</v>
      </c>
      <c r="B7" s="32"/>
      <c r="C7" s="33"/>
      <c r="D7" s="34" t="str">
        <f>VLOOKUP(AZ2,'[1]Tuyến XD4'!$A$2:$B$60,2,0)</f>
        <v xml:space="preserve">Đắp đất lề đường lớp 2, độ chặt K&gt;=0,95 đoạn từ Km0+554,08 - Km0+672,28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32</v>
      </c>
      <c r="C11" s="15" t="n">
        <f aca="false">'1. KTHH L2'!C21</f>
        <v>554.08</v>
      </c>
      <c r="D11" s="13" t="n">
        <f aca="false">'1. KTHH L2'!Q21</f>
        <v>15.4</v>
      </c>
      <c r="E11" s="42" t="n">
        <f aca="false">Chạy!E4+Chạy!E8</f>
        <v>3.06</v>
      </c>
      <c r="F11" s="43" t="n">
        <f aca="false">(E11+E12)*D11/2</f>
        <v>47.124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33</v>
      </c>
      <c r="C12" s="15" t="n">
        <f aca="false">'1. KTHH L2'!C22</f>
        <v>569.48</v>
      </c>
      <c r="D12" s="13" t="n">
        <f aca="false">'1. KTHH L2'!Q22</f>
        <v>3.64</v>
      </c>
      <c r="E12" s="42" t="n">
        <f aca="false">Chạy!E12+Chạy!E16</f>
        <v>3.06</v>
      </c>
      <c r="F12" s="43" t="n">
        <f aca="false">(E12+E13)*D12/2</f>
        <v>11.1384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TD</v>
      </c>
      <c r="C13" s="15" t="n">
        <f aca="false">'1. KTHH L2'!C23</f>
        <v>573.12</v>
      </c>
      <c r="D13" s="13" t="n">
        <f aca="false">'1. KTHH L2'!Q23</f>
        <v>6.56</v>
      </c>
      <c r="E13" s="42" t="n">
        <f aca="false">Chạy!E20+Chạy!E24</f>
        <v>3.06</v>
      </c>
      <c r="F13" s="43" t="n">
        <f aca="false">(E13+E14)*D13/2</f>
        <v>20.0736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P</v>
      </c>
      <c r="C14" s="15" t="n">
        <f aca="false">'1. KTHH L2'!C24</f>
        <v>579.68</v>
      </c>
      <c r="D14" s="13" t="n">
        <f aca="false">'1. KTHH L2'!Q24</f>
        <v>4.84</v>
      </c>
      <c r="E14" s="42" t="n">
        <f aca="false">Chạy!E28+Chạy!E32</f>
        <v>3.06</v>
      </c>
      <c r="F14" s="43" t="n">
        <f aca="false">(E14+E15)*D14/2</f>
        <v>14.8104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E2</v>
      </c>
      <c r="C15" s="15" t="n">
        <f aca="false">'1. KTHH L2'!C25</f>
        <v>584.52</v>
      </c>
      <c r="D15" s="13" t="n">
        <f aca="false">'1. KTHH L2'!Q25</f>
        <v>1.71</v>
      </c>
      <c r="E15" s="42" t="n">
        <f aca="false">Chạy!E36+Chạy!E40</f>
        <v>3.06</v>
      </c>
      <c r="F15" s="43" t="n">
        <f aca="false">(E15+E16)*D15/2</f>
        <v>5.2326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TC</v>
      </c>
      <c r="C16" s="15" t="n">
        <f aca="false">'1. KTHH L2'!C26</f>
        <v>586.23</v>
      </c>
      <c r="D16" s="13" t="n">
        <f aca="false">'1. KTHH L2'!Q26</f>
        <v>11.55</v>
      </c>
      <c r="E16" s="42" t="n">
        <f aca="false">Chạy!E44+Chạy!E48</f>
        <v>3.06</v>
      </c>
      <c r="F16" s="43" t="n">
        <f aca="false">(E16+E17)*D16/2</f>
        <v>35.343</v>
      </c>
      <c r="G16" s="44"/>
      <c r="H16" s="40"/>
      <c r="I16" s="40"/>
    </row>
    <row r="17" s="41" customFormat="true" ht="15" hidden="false" customHeight="true" outlineLevel="0" collapsed="false">
      <c r="A17" s="13" t="n">
        <v>7</v>
      </c>
      <c r="B17" s="14" t="str">
        <f aca="false">'1. KTHH L2'!B27</f>
        <v>34</v>
      </c>
      <c r="C17" s="15" t="n">
        <f aca="false">'1. KTHH L2'!C27</f>
        <v>597.78</v>
      </c>
      <c r="D17" s="13" t="n">
        <f aca="false">'1. KTHH L2'!Q27</f>
        <v>17</v>
      </c>
      <c r="E17" s="42" t="n">
        <f aca="false">Chạy!E52+Chạy!E56</f>
        <v>3.06</v>
      </c>
      <c r="F17" s="43" t="n">
        <f aca="false">(E17+E18)*D17/2</f>
        <v>52.02</v>
      </c>
      <c r="G17" s="44"/>
      <c r="H17" s="40"/>
      <c r="I17" s="40"/>
    </row>
    <row r="18" s="41" customFormat="true" ht="15" hidden="false" customHeight="true" outlineLevel="0" collapsed="false">
      <c r="A18" s="13" t="n">
        <v>8</v>
      </c>
      <c r="B18" s="14" t="str">
        <f aca="false">'1. KTHH L2'!B28</f>
        <v>35</v>
      </c>
      <c r="C18" s="15" t="n">
        <f aca="false">'1. KTHH L2'!C28</f>
        <v>614.78</v>
      </c>
      <c r="D18" s="13" t="n">
        <f aca="false">'1. KTHH L2'!Q28</f>
        <v>17.05</v>
      </c>
      <c r="E18" s="42" t="n">
        <f aca="false">Chạy!E60+Chạy!E64</f>
        <v>3.06</v>
      </c>
      <c r="F18" s="43" t="n">
        <f aca="false">(E18+E19)*D18/2</f>
        <v>52.173</v>
      </c>
      <c r="G18" s="44"/>
      <c r="H18" s="40"/>
      <c r="I18" s="40"/>
    </row>
    <row r="19" s="41" customFormat="true" ht="15" hidden="false" customHeight="true" outlineLevel="0" collapsed="false">
      <c r="A19" s="13" t="n">
        <v>9</v>
      </c>
      <c r="B19" s="14" t="str">
        <f aca="false">'1. KTHH L2'!B29</f>
        <v>36</v>
      </c>
      <c r="C19" s="15" t="n">
        <f aca="false">'1. KTHH L2'!C29</f>
        <v>631.83</v>
      </c>
      <c r="D19" s="13" t="n">
        <f aca="false">'1. KTHH L2'!Q29</f>
        <v>11.7</v>
      </c>
      <c r="E19" s="42" t="n">
        <f aca="false">Chạy!E68+Chạy!E72</f>
        <v>3.06</v>
      </c>
      <c r="F19" s="43" t="n">
        <f aca="false">(E19+E20)*D19/2</f>
        <v>35.802</v>
      </c>
      <c r="G19" s="44"/>
      <c r="H19" s="40"/>
      <c r="I19" s="40"/>
    </row>
    <row r="20" s="41" customFormat="true" ht="15" hidden="false" customHeight="true" outlineLevel="0" collapsed="false">
      <c r="A20" s="13" t="n">
        <v>10</v>
      </c>
      <c r="B20" s="14" t="str">
        <f aca="false">'1. KTHH L2'!B30</f>
        <v>E9</v>
      </c>
      <c r="C20" s="15" t="n">
        <f aca="false">'1. KTHH L2'!C30</f>
        <v>643.53</v>
      </c>
      <c r="D20" s="13" t="n">
        <f aca="false">'1. KTHH L2'!Q30</f>
        <v>11.75</v>
      </c>
      <c r="E20" s="42" t="n">
        <f aca="false">Chạy!E76+Chạy!E80</f>
        <v>3.06</v>
      </c>
      <c r="F20" s="43" t="n">
        <f aca="false">(E20+E21)*D20/2</f>
        <v>35.955</v>
      </c>
      <c r="G20" s="44"/>
      <c r="H20" s="40"/>
      <c r="I20" s="40"/>
    </row>
    <row r="21" s="41" customFormat="true" ht="15" hidden="false" customHeight="true" outlineLevel="0" collapsed="false">
      <c r="A21" s="13" t="n">
        <v>11</v>
      </c>
      <c r="B21" s="14" t="str">
        <f aca="false">'1. KTHH L2'!B31</f>
        <v>37</v>
      </c>
      <c r="C21" s="15" t="n">
        <f aca="false">'1. KTHH L2'!C31</f>
        <v>655.28</v>
      </c>
      <c r="D21" s="13" t="n">
        <f aca="false">'1. KTHH L2'!Q31</f>
        <v>17</v>
      </c>
      <c r="E21" s="42" t="n">
        <f aca="false">Chạy!E84+Chạy!E88</f>
        <v>3.06</v>
      </c>
      <c r="F21" s="43" t="n">
        <f aca="false">(E21+E22)*D21/2</f>
        <v>52.02</v>
      </c>
      <c r="G21" s="44"/>
      <c r="H21" s="40"/>
      <c r="I21" s="40"/>
    </row>
    <row r="22" s="41" customFormat="true" ht="15" hidden="false" customHeight="true" outlineLevel="0" collapsed="false">
      <c r="A22" s="13" t="n">
        <v>12</v>
      </c>
      <c r="B22" s="14" t="str">
        <f aca="false">'1. KTHH L2'!B32</f>
        <v>38</v>
      </c>
      <c r="C22" s="15" t="n">
        <f aca="false">'1. KTHH L2'!C32</f>
        <v>672.28</v>
      </c>
      <c r="D22" s="13"/>
      <c r="E22" s="42" t="n">
        <f aca="false">Chạy!E92+Chạy!E96</f>
        <v>3.06</v>
      </c>
      <c r="F22" s="43"/>
      <c r="G22" s="44"/>
      <c r="H22" s="40"/>
      <c r="I22" s="40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40"/>
      <c r="I23" s="40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40"/>
      <c r="I24" s="40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40"/>
      <c r="I25" s="40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40"/>
      <c r="I26" s="40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40"/>
      <c r="I27" s="40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40"/>
      <c r="I28" s="40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40"/>
      <c r="I29" s="40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40"/>
      <c r="I30" s="40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40"/>
      <c r="I31" s="40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40"/>
      <c r="I32" s="40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40"/>
      <c r="I33" s="40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40"/>
      <c r="I34" s="40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40"/>
      <c r="I35" s="40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40"/>
      <c r="I36" s="40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40"/>
      <c r="I37" s="40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40"/>
      <c r="I38" s="40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40"/>
      <c r="I39" s="40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40"/>
      <c r="I40" s="40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40"/>
      <c r="I41" s="40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40"/>
      <c r="I42" s="40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40"/>
      <c r="I43" s="40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40"/>
      <c r="I44" s="40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40"/>
      <c r="I45" s="40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57</v>
      </c>
      <c r="B49" s="46"/>
      <c r="C49" s="46"/>
      <c r="D49" s="46"/>
      <c r="E49" s="66"/>
      <c r="F49" s="67" t="n">
        <f aca="false">SUM(F11:F22)</f>
        <v>361.692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50.NĐXD4/CVXD ngày 09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50</v>
      </c>
    </row>
    <row r="3" customFormat="false" ht="15" hidden="false" customHeight="false" outlineLevel="0" collapsed="false">
      <c r="A3" s="22" t="s">
        <v>31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35</v>
      </c>
      <c r="C7" s="22"/>
      <c r="D7" s="22" t="str">
        <f>VLOOKUP(AZ2,'[1]Tuyến XD4'!$A$2:$B$60,2,0)</f>
        <v xml:space="preserve">Đắp đất lề đường lớp 3, độ chặt K&gt;=0,95 đoạn từ Km0+554,08 - Km0+672,28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38</v>
      </c>
      <c r="B19" s="10" t="s">
        <v>39</v>
      </c>
      <c r="C19" s="10" t="s">
        <v>40</v>
      </c>
      <c r="D19" s="11" t="s">
        <v>41</v>
      </c>
      <c r="E19" s="11"/>
      <c r="F19" s="11"/>
      <c r="G19" s="11" t="s">
        <v>42</v>
      </c>
      <c r="H19" s="11"/>
      <c r="I19" s="11"/>
      <c r="J19" s="11" t="s">
        <v>43</v>
      </c>
      <c r="K19" s="11"/>
      <c r="L19" s="11"/>
      <c r="M19" s="11" t="s">
        <v>44</v>
      </c>
      <c r="N19" s="11"/>
      <c r="O19" s="11"/>
      <c r="P19" s="10" t="s">
        <v>45</v>
      </c>
    </row>
    <row r="20" customFormat="false" ht="30" hidden="false" customHeight="true" outlineLevel="0" collapsed="false">
      <c r="A20" s="10"/>
      <c r="B20" s="10"/>
      <c r="C20" s="10"/>
      <c r="D20" s="11" t="s">
        <v>46</v>
      </c>
      <c r="E20" s="11" t="s">
        <v>47</v>
      </c>
      <c r="F20" s="11" t="s">
        <v>48</v>
      </c>
      <c r="G20" s="11" t="s">
        <v>46</v>
      </c>
      <c r="H20" s="11" t="s">
        <v>47</v>
      </c>
      <c r="I20" s="11" t="s">
        <v>48</v>
      </c>
      <c r="J20" s="11" t="s">
        <v>46</v>
      </c>
      <c r="K20" s="11" t="s">
        <v>47</v>
      </c>
      <c r="L20" s="11" t="s">
        <v>48</v>
      </c>
      <c r="M20" s="11" t="s">
        <v>46</v>
      </c>
      <c r="N20" s="11" t="s">
        <v>47</v>
      </c>
      <c r="O20" s="11" t="s">
        <v>48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554.08</v>
      </c>
      <c r="D21" s="16" t="n">
        <f aca="false">Chạy!G3</f>
        <v>2.62</v>
      </c>
      <c r="E21" s="16" t="n">
        <f aca="false">D21+F21</f>
        <v>2.718</v>
      </c>
      <c r="F21" s="16" t="n">
        <f aca="false">RANDBETWEEN(-30,100)/1000</f>
        <v>0.098</v>
      </c>
      <c r="G21" s="16" t="n">
        <f aca="false">Chạy!I3</f>
        <v>2.62</v>
      </c>
      <c r="H21" s="16" t="n">
        <f aca="false">G21+I21</f>
        <v>2.609</v>
      </c>
      <c r="I21" s="16" t="n">
        <f aca="false">RANDBETWEEN(-30,100)/1000</f>
        <v>-0.011</v>
      </c>
      <c r="J21" s="16" t="n">
        <f aca="false">Chạy!M7</f>
        <v>2.62</v>
      </c>
      <c r="K21" s="16" t="n">
        <f aca="false">J21+L21</f>
        <v>2.603</v>
      </c>
      <c r="L21" s="16" t="n">
        <f aca="false">RANDBETWEEN(-30,100)/1000</f>
        <v>-0.017</v>
      </c>
      <c r="M21" s="16" t="n">
        <f aca="false">Chạy!O7</f>
        <v>2.62</v>
      </c>
      <c r="N21" s="16" t="n">
        <f aca="false">M21+O21</f>
        <v>2.591</v>
      </c>
      <c r="O21" s="16" t="n">
        <f aca="false">RANDBETWEEN(-30,100)/1000</f>
        <v>-0.029</v>
      </c>
      <c r="P21" s="17"/>
      <c r="Q21" s="18" t="n">
        <v>15.4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569.48</v>
      </c>
      <c r="D22" s="16" t="n">
        <f aca="false">Chạy!G11</f>
        <v>2.66</v>
      </c>
      <c r="E22" s="16" t="n">
        <f aca="false">D22+F22</f>
        <v>2.649</v>
      </c>
      <c r="F22" s="16" t="n">
        <f aca="false">RANDBETWEEN(-30,100)/1000</f>
        <v>-0.011</v>
      </c>
      <c r="G22" s="16" t="n">
        <f aca="false">Chạy!I11</f>
        <v>2.66</v>
      </c>
      <c r="H22" s="16" t="n">
        <f aca="false">G22+I22</f>
        <v>2.721</v>
      </c>
      <c r="I22" s="16" t="n">
        <f aca="false">RANDBETWEEN(-30,100)/1000</f>
        <v>0.061</v>
      </c>
      <c r="J22" s="16" t="n">
        <f aca="false">Chạy!M15</f>
        <v>2.61</v>
      </c>
      <c r="K22" s="16" t="n">
        <f aca="false">J22+L22</f>
        <v>2.603</v>
      </c>
      <c r="L22" s="16" t="n">
        <f aca="false">RANDBETWEEN(-30,100)/1000</f>
        <v>-0.007</v>
      </c>
      <c r="M22" s="16" t="n">
        <f aca="false">Chạy!O15</f>
        <v>2.61</v>
      </c>
      <c r="N22" s="16" t="n">
        <f aca="false">M22+O22</f>
        <v>2.583</v>
      </c>
      <c r="O22" s="16" t="n">
        <f aca="false">RANDBETWEEN(-30,100)/1000</f>
        <v>-0.027</v>
      </c>
      <c r="P22" s="17"/>
      <c r="Q22" s="18" t="n">
        <v>3.64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573.12</v>
      </c>
      <c r="D23" s="16" t="n">
        <f aca="false">Chạy!G19</f>
        <v>2.66</v>
      </c>
      <c r="E23" s="16" t="n">
        <f aca="false">D23+F23</f>
        <v>2.744</v>
      </c>
      <c r="F23" s="16" t="n">
        <f aca="false">RANDBETWEEN(-30,100)/1000</f>
        <v>0.084</v>
      </c>
      <c r="G23" s="16" t="n">
        <f aca="false">Chạy!I19</f>
        <v>2.66</v>
      </c>
      <c r="H23" s="16" t="n">
        <f aca="false">G23+I23</f>
        <v>2.745</v>
      </c>
      <c r="I23" s="16" t="n">
        <f aca="false">RANDBETWEEN(-30,100)/1000</f>
        <v>0.085</v>
      </c>
      <c r="J23" s="16" t="n">
        <f aca="false">Chạy!M23</f>
        <v>2.61</v>
      </c>
      <c r="K23" s="16" t="n">
        <f aca="false">J23+L23</f>
        <v>2.653</v>
      </c>
      <c r="L23" s="16" t="n">
        <f aca="false">RANDBETWEEN(-30,100)/1000</f>
        <v>0.043</v>
      </c>
      <c r="M23" s="16" t="n">
        <f aca="false">Chạy!O23</f>
        <v>2.61</v>
      </c>
      <c r="N23" s="16" t="n">
        <f aca="false">M23+O23</f>
        <v>2.61</v>
      </c>
      <c r="O23" s="16" t="n">
        <f aca="false">RANDBETWEEN(-30,100)/1000</f>
        <v>0</v>
      </c>
      <c r="P23" s="17"/>
      <c r="Q23" s="18" t="n">
        <v>6.56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579.68</v>
      </c>
      <c r="D24" s="16" t="n">
        <f aca="false">Chạy!G27</f>
        <v>2.66</v>
      </c>
      <c r="E24" s="16" t="n">
        <f aca="false">D24+F24</f>
        <v>2.728</v>
      </c>
      <c r="F24" s="16" t="n">
        <f aca="false">RANDBETWEEN(-30,100)/1000</f>
        <v>0.068</v>
      </c>
      <c r="G24" s="16" t="n">
        <f aca="false">Chạy!I27</f>
        <v>2.66</v>
      </c>
      <c r="H24" s="16" t="n">
        <f aca="false">G24+I24</f>
        <v>2.678</v>
      </c>
      <c r="I24" s="16" t="n">
        <f aca="false">RANDBETWEEN(-30,100)/1000</f>
        <v>0.018</v>
      </c>
      <c r="J24" s="16" t="n">
        <f aca="false">Chạy!M31</f>
        <v>2.61</v>
      </c>
      <c r="K24" s="16" t="n">
        <f aca="false">J24+L24</f>
        <v>2.616</v>
      </c>
      <c r="L24" s="16" t="n">
        <f aca="false">RANDBETWEEN(-30,100)/1000</f>
        <v>0.006</v>
      </c>
      <c r="M24" s="16" t="n">
        <f aca="false">Chạy!O31</f>
        <v>2.61</v>
      </c>
      <c r="N24" s="16" t="n">
        <f aca="false">M24+O24</f>
        <v>2.606</v>
      </c>
      <c r="O24" s="16" t="n">
        <f aca="false">RANDBETWEEN(-30,100)/1000</f>
        <v>-0.004</v>
      </c>
      <c r="P24" s="17"/>
      <c r="Q24" s="18" t="n">
        <v>4.84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584.52</v>
      </c>
      <c r="D25" s="16" t="n">
        <f aca="false">Chạy!G35</f>
        <v>2.66</v>
      </c>
      <c r="E25" s="16" t="n">
        <f aca="false">D25+F25</f>
        <v>2.666</v>
      </c>
      <c r="F25" s="16" t="n">
        <f aca="false">RANDBETWEEN(-30,100)/1000</f>
        <v>0.006</v>
      </c>
      <c r="G25" s="16" t="n">
        <f aca="false">Chạy!I35</f>
        <v>2.66</v>
      </c>
      <c r="H25" s="16" t="n">
        <f aca="false">G25+I25</f>
        <v>2.73</v>
      </c>
      <c r="I25" s="16" t="n">
        <f aca="false">RANDBETWEEN(-30,100)/1000</f>
        <v>0.07</v>
      </c>
      <c r="J25" s="16" t="n">
        <f aca="false">Chạy!M39</f>
        <v>2.61</v>
      </c>
      <c r="K25" s="16" t="n">
        <f aca="false">J25+L25</f>
        <v>2.655</v>
      </c>
      <c r="L25" s="16" t="n">
        <f aca="false">RANDBETWEEN(-30,100)/1000</f>
        <v>0.045</v>
      </c>
      <c r="M25" s="16" t="n">
        <f aca="false">Chạy!O39</f>
        <v>2.61</v>
      </c>
      <c r="N25" s="16" t="n">
        <f aca="false">M25+O25</f>
        <v>2.709</v>
      </c>
      <c r="O25" s="16" t="n">
        <f aca="false">RANDBETWEEN(-30,100)/1000</f>
        <v>0.099</v>
      </c>
      <c r="P25" s="17"/>
      <c r="Q25" s="18" t="n">
        <v>1.71</v>
      </c>
    </row>
    <row r="26" customFormat="false" ht="15" hidden="false" customHeight="false" outlineLevel="0" collapsed="false">
      <c r="A26" s="13" t="n">
        <v>6</v>
      </c>
      <c r="B26" s="14" t="s">
        <v>1</v>
      </c>
      <c r="C26" s="15" t="n">
        <f aca="false">C25+Q25</f>
        <v>586.23</v>
      </c>
      <c r="D26" s="16" t="n">
        <f aca="false">Chạy!G43</f>
        <v>2.66</v>
      </c>
      <c r="E26" s="16" t="n">
        <f aca="false">D26+F26</f>
        <v>2.744</v>
      </c>
      <c r="F26" s="16" t="n">
        <f aca="false">RANDBETWEEN(-30,100)/1000</f>
        <v>0.084</v>
      </c>
      <c r="G26" s="16" t="n">
        <f aca="false">Chạy!I43</f>
        <v>2.66</v>
      </c>
      <c r="H26" s="16" t="n">
        <f aca="false">G26+I26</f>
        <v>2.65</v>
      </c>
      <c r="I26" s="16" t="n">
        <f aca="false">RANDBETWEEN(-30,100)/1000</f>
        <v>-0.01</v>
      </c>
      <c r="J26" s="16" t="n">
        <f aca="false">Chạy!M47</f>
        <v>2.61</v>
      </c>
      <c r="K26" s="16" t="n">
        <f aca="false">J26+L26</f>
        <v>2.606</v>
      </c>
      <c r="L26" s="16" t="n">
        <f aca="false">RANDBETWEEN(-30,100)/1000</f>
        <v>-0.004</v>
      </c>
      <c r="M26" s="16" t="n">
        <f aca="false">Chạy!O47</f>
        <v>2.61</v>
      </c>
      <c r="N26" s="16" t="n">
        <f aca="false">M26+O26</f>
        <v>2.599</v>
      </c>
      <c r="O26" s="16" t="n">
        <f aca="false">RANDBETWEEN(-30,100)/1000</f>
        <v>-0.011</v>
      </c>
      <c r="P26" s="17"/>
      <c r="Q26" s="18" t="n">
        <v>11.55</v>
      </c>
    </row>
    <row r="27" customFormat="false" ht="15" hidden="false" customHeight="false" outlineLevel="0" collapsed="false">
      <c r="A27" s="13" t="n">
        <v>7</v>
      </c>
      <c r="B27" s="14" t="s">
        <v>23</v>
      </c>
      <c r="C27" s="15" t="n">
        <f aca="false">C26+Q26</f>
        <v>597.78</v>
      </c>
      <c r="D27" s="16" t="n">
        <f aca="false">Chạy!G51</f>
        <v>2.61</v>
      </c>
      <c r="E27" s="16" t="n">
        <f aca="false">D27+F27</f>
        <v>2.69</v>
      </c>
      <c r="F27" s="16" t="n">
        <f aca="false">RANDBETWEEN(-30,100)/1000</f>
        <v>0.08</v>
      </c>
      <c r="G27" s="16" t="n">
        <f aca="false">Chạy!I51</f>
        <v>2.61</v>
      </c>
      <c r="H27" s="16" t="n">
        <f aca="false">G27+I27</f>
        <v>2.65</v>
      </c>
      <c r="I27" s="16" t="n">
        <f aca="false">RANDBETWEEN(-30,100)/1000</f>
        <v>0.04</v>
      </c>
      <c r="J27" s="16" t="n">
        <f aca="false">Chạy!M55</f>
        <v>2.61</v>
      </c>
      <c r="K27" s="16" t="n">
        <f aca="false">J27+L27</f>
        <v>2.676</v>
      </c>
      <c r="L27" s="16" t="n">
        <f aca="false">RANDBETWEEN(-30,100)/1000</f>
        <v>0.066</v>
      </c>
      <c r="M27" s="16" t="n">
        <f aca="false">Chạy!O55</f>
        <v>2.61</v>
      </c>
      <c r="N27" s="16" t="n">
        <f aca="false">M27+O27</f>
        <v>2.694</v>
      </c>
      <c r="O27" s="16" t="n">
        <f aca="false">RANDBETWEEN(-30,100)/1000</f>
        <v>0.084</v>
      </c>
      <c r="P27" s="17"/>
      <c r="Q27" s="18" t="n">
        <v>17</v>
      </c>
    </row>
    <row r="28" customFormat="false" ht="15" hidden="false" customHeight="false" outlineLevel="0" collapsed="false">
      <c r="A28" s="13" t="n">
        <v>8</v>
      </c>
      <c r="B28" s="14" t="s">
        <v>24</v>
      </c>
      <c r="C28" s="15" t="n">
        <f aca="false">C27+Q27</f>
        <v>614.78</v>
      </c>
      <c r="D28" s="16" t="n">
        <f aca="false">Chạy!G59</f>
        <v>2.61</v>
      </c>
      <c r="E28" s="16" t="n">
        <f aca="false">D28+F28</f>
        <v>2.581</v>
      </c>
      <c r="F28" s="16" t="n">
        <f aca="false">RANDBETWEEN(-30,100)/1000</f>
        <v>-0.029</v>
      </c>
      <c r="G28" s="16" t="n">
        <f aca="false">Chạy!I59</f>
        <v>2.61</v>
      </c>
      <c r="H28" s="16" t="n">
        <f aca="false">G28+I28</f>
        <v>2.627</v>
      </c>
      <c r="I28" s="16" t="n">
        <f aca="false">RANDBETWEEN(-30,100)/1000</f>
        <v>0.017</v>
      </c>
      <c r="J28" s="16" t="n">
        <f aca="false">Chạy!M63</f>
        <v>2.61</v>
      </c>
      <c r="K28" s="16" t="n">
        <f aca="false">J28+L28</f>
        <v>2.622</v>
      </c>
      <c r="L28" s="16" t="n">
        <f aca="false">RANDBETWEEN(-30,100)/1000</f>
        <v>0.012</v>
      </c>
      <c r="M28" s="16" t="n">
        <f aca="false">Chạy!O63</f>
        <v>2.61</v>
      </c>
      <c r="N28" s="16" t="n">
        <f aca="false">M28+O28</f>
        <v>2.602</v>
      </c>
      <c r="O28" s="16" t="n">
        <f aca="false">RANDBETWEEN(-30,100)/1000</f>
        <v>-0.008</v>
      </c>
      <c r="P28" s="17"/>
      <c r="Q28" s="18" t="n">
        <v>17.05</v>
      </c>
    </row>
    <row r="29" customFormat="false" ht="15" hidden="false" customHeight="false" outlineLevel="0" collapsed="false">
      <c r="A29" s="13" t="n">
        <v>9</v>
      </c>
      <c r="B29" s="14" t="s">
        <v>25</v>
      </c>
      <c r="C29" s="15" t="n">
        <f aca="false">C28+Q28</f>
        <v>631.83</v>
      </c>
      <c r="D29" s="16" t="n">
        <f aca="false">Chạy!G67</f>
        <v>2.61</v>
      </c>
      <c r="E29" s="16" t="n">
        <f aca="false">D29+F29</f>
        <v>2.607</v>
      </c>
      <c r="F29" s="16" t="n">
        <f aca="false">RANDBETWEEN(-30,100)/1000</f>
        <v>-0.003</v>
      </c>
      <c r="G29" s="16" t="n">
        <f aca="false">Chạy!I67</f>
        <v>2.61</v>
      </c>
      <c r="H29" s="16" t="n">
        <f aca="false">G29+I29</f>
        <v>2.602</v>
      </c>
      <c r="I29" s="16" t="n">
        <f aca="false">RANDBETWEEN(-30,100)/1000</f>
        <v>-0.008</v>
      </c>
      <c r="J29" s="16" t="n">
        <f aca="false">Chạy!M71</f>
        <v>2.61</v>
      </c>
      <c r="K29" s="16" t="n">
        <f aca="false">J29+L29</f>
        <v>2.691</v>
      </c>
      <c r="L29" s="16" t="n">
        <f aca="false">RANDBETWEEN(-30,100)/1000</f>
        <v>0.081</v>
      </c>
      <c r="M29" s="16" t="n">
        <f aca="false">Chạy!O71</f>
        <v>2.61</v>
      </c>
      <c r="N29" s="16" t="n">
        <f aca="false">M29+O29</f>
        <v>2.658</v>
      </c>
      <c r="O29" s="16" t="n">
        <f aca="false">RANDBETWEEN(-30,100)/1000</f>
        <v>0.048</v>
      </c>
      <c r="P29" s="17"/>
      <c r="Q29" s="18" t="n">
        <v>11.7</v>
      </c>
    </row>
    <row r="30" customFormat="false" ht="15" hidden="false" customHeight="false" outlineLevel="0" collapsed="false">
      <c r="A30" s="13" t="n">
        <v>10</v>
      </c>
      <c r="B30" s="14" t="s">
        <v>26</v>
      </c>
      <c r="C30" s="15" t="n">
        <f aca="false">C29+Q29</f>
        <v>643.53</v>
      </c>
      <c r="D30" s="16" t="n">
        <f aca="false">Chạy!G75</f>
        <v>2.61</v>
      </c>
      <c r="E30" s="16" t="n">
        <f aca="false">D30+F30</f>
        <v>2.67</v>
      </c>
      <c r="F30" s="16" t="n">
        <f aca="false">RANDBETWEEN(-30,100)/1000</f>
        <v>0.06</v>
      </c>
      <c r="G30" s="16" t="n">
        <f aca="false">Chạy!I75</f>
        <v>2.61</v>
      </c>
      <c r="H30" s="16" t="n">
        <f aca="false">G30+I30</f>
        <v>2.682</v>
      </c>
      <c r="I30" s="16" t="n">
        <f aca="false">RANDBETWEEN(-30,100)/1000</f>
        <v>0.072</v>
      </c>
      <c r="J30" s="16" t="n">
        <f aca="false">Chạy!M79</f>
        <v>2.61</v>
      </c>
      <c r="K30" s="16" t="n">
        <f aca="false">J30+L30</f>
        <v>2.612</v>
      </c>
      <c r="L30" s="16" t="n">
        <f aca="false">RANDBETWEEN(-30,100)/1000</f>
        <v>0.002</v>
      </c>
      <c r="M30" s="16" t="n">
        <f aca="false">Chạy!O79</f>
        <v>2.61</v>
      </c>
      <c r="N30" s="16" t="n">
        <f aca="false">M30+O30</f>
        <v>2.702</v>
      </c>
      <c r="O30" s="16" t="n">
        <f aca="false">RANDBETWEEN(-30,100)/1000</f>
        <v>0.092</v>
      </c>
      <c r="P30" s="17"/>
      <c r="Q30" s="18" t="n">
        <v>11.75</v>
      </c>
    </row>
    <row r="31" customFormat="false" ht="15" hidden="false" customHeight="false" outlineLevel="0" collapsed="false">
      <c r="A31" s="13" t="n">
        <v>11</v>
      </c>
      <c r="B31" s="14" t="s">
        <v>27</v>
      </c>
      <c r="C31" s="15" t="n">
        <f aca="false">C30+Q30</f>
        <v>655.28</v>
      </c>
      <c r="D31" s="16" t="n">
        <f aca="false">Chạy!G83</f>
        <v>2.62</v>
      </c>
      <c r="E31" s="16" t="n">
        <f aca="false">D31+F31</f>
        <v>2.715</v>
      </c>
      <c r="F31" s="16" t="n">
        <f aca="false">RANDBETWEEN(-30,100)/1000</f>
        <v>0.095</v>
      </c>
      <c r="G31" s="16" t="n">
        <f aca="false">Chạy!I83</f>
        <v>2.62</v>
      </c>
      <c r="H31" s="16" t="n">
        <f aca="false">G31+I31</f>
        <v>2.682</v>
      </c>
      <c r="I31" s="16" t="n">
        <f aca="false">RANDBETWEEN(-30,100)/1000</f>
        <v>0.062</v>
      </c>
      <c r="J31" s="16" t="n">
        <f aca="false">Chạy!M87</f>
        <v>2.62</v>
      </c>
      <c r="K31" s="16" t="n">
        <f aca="false">J31+L31</f>
        <v>2.647</v>
      </c>
      <c r="L31" s="16" t="n">
        <f aca="false">RANDBETWEEN(-30,100)/1000</f>
        <v>0.027</v>
      </c>
      <c r="M31" s="16" t="n">
        <f aca="false">Chạy!O87</f>
        <v>2.62</v>
      </c>
      <c r="N31" s="16" t="n">
        <f aca="false">M31+O31</f>
        <v>2.658</v>
      </c>
      <c r="O31" s="16" t="n">
        <f aca="false">RANDBETWEEN(-30,100)/1000</f>
        <v>0.038</v>
      </c>
      <c r="P31" s="17"/>
      <c r="Q31" s="18" t="n">
        <v>17</v>
      </c>
    </row>
    <row r="32" customFormat="false" ht="15" hidden="false" customHeight="false" outlineLevel="0" collapsed="false">
      <c r="A32" s="13" t="n">
        <v>12</v>
      </c>
      <c r="B32" s="14" t="s">
        <v>28</v>
      </c>
      <c r="C32" s="15" t="n">
        <f aca="false">C31+Q31</f>
        <v>672.28</v>
      </c>
      <c r="D32" s="16" t="n">
        <f aca="false">Chạy!G91</f>
        <v>2.62</v>
      </c>
      <c r="E32" s="16" t="n">
        <f aca="false">D32+F32</f>
        <v>2.59</v>
      </c>
      <c r="F32" s="16" t="n">
        <f aca="false">RANDBETWEEN(-30,100)/1000</f>
        <v>-0.03</v>
      </c>
      <c r="G32" s="16" t="n">
        <f aca="false">Chạy!I91</f>
        <v>2.62</v>
      </c>
      <c r="H32" s="16" t="n">
        <f aca="false">G32+I32</f>
        <v>2.632</v>
      </c>
      <c r="I32" s="16" t="n">
        <f aca="false">RANDBETWEEN(-30,100)/1000</f>
        <v>0.012</v>
      </c>
      <c r="J32" s="16" t="n">
        <f aca="false">Chạy!M95</f>
        <v>2.62</v>
      </c>
      <c r="K32" s="16" t="n">
        <f aca="false">J32+L32</f>
        <v>2.662</v>
      </c>
      <c r="L32" s="16" t="n">
        <f aca="false">RANDBETWEEN(-30,100)/1000</f>
        <v>0.042</v>
      </c>
      <c r="M32" s="16" t="n">
        <f aca="false">Chạy!O95</f>
        <v>2.62</v>
      </c>
      <c r="N32" s="16" t="n">
        <f aca="false">M32+O32</f>
        <v>2.653</v>
      </c>
      <c r="O32" s="16" t="n">
        <f aca="false">RANDBETWEEN(-30,100)/1000</f>
        <v>0.033</v>
      </c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49</v>
      </c>
      <c r="D60" s="19"/>
      <c r="E60" s="19"/>
      <c r="F60" s="19"/>
      <c r="G60" s="20"/>
      <c r="H60" s="20"/>
      <c r="I60" s="20"/>
      <c r="K60" s="19" t="s">
        <v>50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51</v>
      </c>
      <c r="D65" s="19"/>
      <c r="E65" s="19"/>
      <c r="F65" s="19"/>
      <c r="G65" s="20"/>
      <c r="H65" s="20"/>
      <c r="I65" s="20"/>
      <c r="J65" s="21"/>
      <c r="K65" s="19" t="s">
        <v>52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50.NĐXD4/CVXD ngày 09 tháng 09 năm 2026</v>
      </c>
      <c r="B2" s="27"/>
      <c r="C2" s="27"/>
      <c r="D2" s="27"/>
      <c r="E2" s="27"/>
      <c r="F2" s="27"/>
      <c r="G2" s="27"/>
      <c r="AZ2">
        <v>50</v>
      </c>
    </row>
    <row r="3" s="50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35</v>
      </c>
      <c r="B7" s="32"/>
      <c r="C7" s="33"/>
      <c r="D7" s="34" t="str">
        <f>VLOOKUP(AZ2,'[1]Tuyến XD4'!$A$2:$B$60,2,0)</f>
        <v xml:space="preserve">Đắp đất lề đường lớp 3, độ chặt K&gt;=0,95 đoạn từ Km0+554,08 - Km0+672,28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32</v>
      </c>
      <c r="C11" s="15" t="n">
        <f aca="false">'1. KTHH L3'!C21</f>
        <v>554.08</v>
      </c>
      <c r="D11" s="13" t="n">
        <f aca="false">'1. KTHH L3'!Q21</f>
        <v>15.4</v>
      </c>
      <c r="E11" s="42" t="n">
        <f aca="false">Chạy!E3+Chạy!E7</f>
        <v>2.1</v>
      </c>
      <c r="F11" s="43" t="n">
        <f aca="false">(E11+E12)*D11/2</f>
        <v>32.34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33</v>
      </c>
      <c r="C12" s="15" t="n">
        <f aca="false">'1. KTHH L3'!C22</f>
        <v>569.48</v>
      </c>
      <c r="D12" s="13" t="n">
        <f aca="false">'1. KTHH L3'!Q22</f>
        <v>3.64</v>
      </c>
      <c r="E12" s="42" t="n">
        <f aca="false">Chạy!E11+Chạy!E15</f>
        <v>2.1</v>
      </c>
      <c r="F12" s="43" t="n">
        <f aca="false">(E12+E13)*D12/2</f>
        <v>7.644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TD</v>
      </c>
      <c r="C13" s="15" t="n">
        <f aca="false">'1. KTHH L3'!C23</f>
        <v>573.12</v>
      </c>
      <c r="D13" s="13" t="n">
        <f aca="false">'1. KTHH L3'!Q23</f>
        <v>6.56</v>
      </c>
      <c r="E13" s="42" t="n">
        <f aca="false">Chạy!E19+Chạy!E23</f>
        <v>2.1</v>
      </c>
      <c r="F13" s="43" t="n">
        <f aca="false">(E13+E14)*D13/2</f>
        <v>13.776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P</v>
      </c>
      <c r="C14" s="15" t="n">
        <f aca="false">'1. KTHH L3'!C24</f>
        <v>579.68</v>
      </c>
      <c r="D14" s="13" t="n">
        <f aca="false">'1. KTHH L3'!Q24</f>
        <v>4.84</v>
      </c>
      <c r="E14" s="42" t="n">
        <f aca="false">Chạy!E27+Chạy!E31</f>
        <v>2.1</v>
      </c>
      <c r="F14" s="43" t="n">
        <f aca="false">(E14+E15)*D14/2</f>
        <v>10.164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E2</v>
      </c>
      <c r="C15" s="15" t="n">
        <f aca="false">'1. KTHH L3'!C25</f>
        <v>584.52</v>
      </c>
      <c r="D15" s="13" t="n">
        <f aca="false">'1. KTHH L3'!Q25</f>
        <v>1.71</v>
      </c>
      <c r="E15" s="42" t="n">
        <f aca="false">Chạy!E35+Chạy!E39</f>
        <v>2.1</v>
      </c>
      <c r="F15" s="43" t="n">
        <f aca="false">(E15+E16)*D15/2</f>
        <v>3.591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TC</v>
      </c>
      <c r="C16" s="15" t="n">
        <f aca="false">'1. KTHH L3'!C26</f>
        <v>586.23</v>
      </c>
      <c r="D16" s="13" t="n">
        <f aca="false">'1. KTHH L3'!Q26</f>
        <v>11.55</v>
      </c>
      <c r="E16" s="42" t="n">
        <f aca="false">Chạy!E43+Chạy!E47</f>
        <v>2.1</v>
      </c>
      <c r="F16" s="43" t="n">
        <f aca="false">(E16+E17)*D16/2</f>
        <v>24.255</v>
      </c>
      <c r="G16" s="44"/>
      <c r="H16" s="39"/>
      <c r="I16" s="39"/>
      <c r="K16" s="39"/>
      <c r="L16" s="65"/>
    </row>
    <row r="17" s="41" customFormat="true" ht="22.5" hidden="false" customHeight="true" outlineLevel="0" collapsed="false">
      <c r="A17" s="13" t="n">
        <v>7</v>
      </c>
      <c r="B17" s="14" t="str">
        <f aca="false">'1. KTHH L3'!B27</f>
        <v>34</v>
      </c>
      <c r="C17" s="15" t="n">
        <f aca="false">'1. KTHH L3'!C27</f>
        <v>597.78</v>
      </c>
      <c r="D17" s="13" t="n">
        <f aca="false">'1. KTHH L3'!Q27</f>
        <v>17</v>
      </c>
      <c r="E17" s="42" t="n">
        <f aca="false">Chạy!E51+Chạy!E55</f>
        <v>2.1</v>
      </c>
      <c r="F17" s="43" t="n">
        <f aca="false">(E17+E18)*D17/2</f>
        <v>35.7</v>
      </c>
      <c r="G17" s="44"/>
      <c r="H17" s="39"/>
      <c r="I17" s="39"/>
      <c r="K17" s="39"/>
      <c r="L17" s="65"/>
    </row>
    <row r="18" s="41" customFormat="true" ht="22.5" hidden="false" customHeight="true" outlineLevel="0" collapsed="false">
      <c r="A18" s="13" t="n">
        <v>8</v>
      </c>
      <c r="B18" s="14" t="str">
        <f aca="false">'1. KTHH L3'!B28</f>
        <v>35</v>
      </c>
      <c r="C18" s="15" t="n">
        <f aca="false">'1. KTHH L3'!C28</f>
        <v>614.78</v>
      </c>
      <c r="D18" s="13" t="n">
        <f aca="false">'1. KTHH L3'!Q28</f>
        <v>17.05</v>
      </c>
      <c r="E18" s="42" t="n">
        <f aca="false">Chạy!E59+Chạy!E63</f>
        <v>2.1</v>
      </c>
      <c r="F18" s="43" t="n">
        <f aca="false">(E18+E19)*D18/2</f>
        <v>35.805</v>
      </c>
      <c r="G18" s="44"/>
      <c r="H18" s="39"/>
      <c r="I18" s="39"/>
      <c r="K18" s="39"/>
      <c r="L18" s="65"/>
    </row>
    <row r="19" s="41" customFormat="true" ht="22.5" hidden="false" customHeight="true" outlineLevel="0" collapsed="false">
      <c r="A19" s="13" t="n">
        <v>9</v>
      </c>
      <c r="B19" s="14" t="str">
        <f aca="false">'1. KTHH L3'!B29</f>
        <v>36</v>
      </c>
      <c r="C19" s="15" t="n">
        <f aca="false">'1. KTHH L3'!C29</f>
        <v>631.83</v>
      </c>
      <c r="D19" s="13" t="n">
        <f aca="false">'1. KTHH L3'!Q29</f>
        <v>11.7</v>
      </c>
      <c r="E19" s="42" t="n">
        <f aca="false">Chạy!E67+Chạy!E71</f>
        <v>2.1</v>
      </c>
      <c r="F19" s="43" t="n">
        <f aca="false">(E19+E20)*D19/2</f>
        <v>24.57</v>
      </c>
      <c r="G19" s="44"/>
      <c r="H19" s="39"/>
      <c r="I19" s="39"/>
      <c r="K19" s="39"/>
      <c r="L19" s="65"/>
    </row>
    <row r="20" s="41" customFormat="true" ht="22.5" hidden="false" customHeight="true" outlineLevel="0" collapsed="false">
      <c r="A20" s="13" t="n">
        <v>10</v>
      </c>
      <c r="B20" s="14" t="str">
        <f aca="false">'1. KTHH L3'!B30</f>
        <v>E9</v>
      </c>
      <c r="C20" s="15" t="n">
        <f aca="false">'1. KTHH L3'!C30</f>
        <v>643.53</v>
      </c>
      <c r="D20" s="13" t="n">
        <f aca="false">'1. KTHH L3'!Q30</f>
        <v>11.75</v>
      </c>
      <c r="E20" s="42" t="n">
        <f aca="false">Chạy!E75+Chạy!E79</f>
        <v>2.1</v>
      </c>
      <c r="F20" s="43" t="n">
        <f aca="false">(E20+E21)*D20/2</f>
        <v>24.675</v>
      </c>
      <c r="G20" s="44"/>
      <c r="H20" s="39"/>
      <c r="I20" s="39"/>
      <c r="K20" s="39"/>
      <c r="L20" s="65"/>
    </row>
    <row r="21" s="41" customFormat="true" ht="22.5" hidden="false" customHeight="true" outlineLevel="0" collapsed="false">
      <c r="A21" s="13" t="n">
        <v>11</v>
      </c>
      <c r="B21" s="14" t="str">
        <f aca="false">'1. KTHH L3'!B31</f>
        <v>37</v>
      </c>
      <c r="C21" s="15" t="n">
        <f aca="false">'1. KTHH L3'!C31</f>
        <v>655.28</v>
      </c>
      <c r="D21" s="13" t="n">
        <f aca="false">'1. KTHH L3'!Q31</f>
        <v>17</v>
      </c>
      <c r="E21" s="42" t="n">
        <f aca="false">Chạy!E83+Chạy!E87</f>
        <v>2.1</v>
      </c>
      <c r="F21" s="43" t="n">
        <f aca="false">(E21+E22)*D21/2</f>
        <v>35.7</v>
      </c>
      <c r="G21" s="44"/>
      <c r="H21" s="39"/>
      <c r="I21" s="39"/>
      <c r="K21" s="39"/>
      <c r="L21" s="65"/>
    </row>
    <row r="22" s="41" customFormat="true" ht="22.5" hidden="false" customHeight="true" outlineLevel="0" collapsed="false">
      <c r="A22" s="13" t="n">
        <v>12</v>
      </c>
      <c r="B22" s="14" t="str">
        <f aca="false">'1. KTHH L3'!B32</f>
        <v>38</v>
      </c>
      <c r="C22" s="15" t="n">
        <f aca="false">'1. KTHH L3'!C32</f>
        <v>672.28</v>
      </c>
      <c r="D22" s="13"/>
      <c r="E22" s="42" t="n">
        <f aca="false">Chạy!E91+Chạy!E95</f>
        <v>2.1</v>
      </c>
      <c r="F22" s="43"/>
      <c r="G22" s="44"/>
      <c r="H22" s="39"/>
      <c r="I22" s="39"/>
      <c r="K22" s="39"/>
      <c r="L22" s="65"/>
    </row>
    <row r="23" s="41" customFormat="true" ht="22.5" hidden="true" customHeight="true" outlineLevel="0" collapsed="false">
      <c r="A23" s="13"/>
      <c r="B23" s="14"/>
      <c r="C23" s="15"/>
      <c r="D23" s="13"/>
      <c r="E23" s="42"/>
      <c r="F23" s="43"/>
      <c r="G23" s="44"/>
      <c r="H23" s="39"/>
      <c r="I23" s="39"/>
      <c r="K23" s="39"/>
      <c r="L23" s="65"/>
    </row>
    <row r="24" s="41" customFormat="true" ht="22.5" hidden="true" customHeight="true" outlineLevel="0" collapsed="false">
      <c r="A24" s="13"/>
      <c r="B24" s="14"/>
      <c r="C24" s="15"/>
      <c r="D24" s="13"/>
      <c r="E24" s="42"/>
      <c r="F24" s="43"/>
      <c r="G24" s="44"/>
      <c r="H24" s="39"/>
      <c r="I24" s="39"/>
      <c r="K24" s="39"/>
      <c r="L24" s="65"/>
    </row>
    <row r="25" s="41" customFormat="true" ht="22.5" hidden="true" customHeight="true" outlineLevel="0" collapsed="false">
      <c r="A25" s="13"/>
      <c r="B25" s="14"/>
      <c r="C25" s="15"/>
      <c r="D25" s="13"/>
      <c r="E25" s="42"/>
      <c r="F25" s="43"/>
      <c r="G25" s="44"/>
      <c r="H25" s="39"/>
      <c r="I25" s="39"/>
      <c r="K25" s="39"/>
      <c r="L25" s="65"/>
    </row>
    <row r="26" s="41" customFormat="true" ht="22.5" hidden="true" customHeight="true" outlineLevel="0" collapsed="false">
      <c r="A26" s="13"/>
      <c r="B26" s="14"/>
      <c r="C26" s="15"/>
      <c r="D26" s="13"/>
      <c r="E26" s="42"/>
      <c r="F26" s="43"/>
      <c r="G26" s="44"/>
      <c r="H26" s="39"/>
      <c r="I26" s="39"/>
      <c r="K26" s="39"/>
      <c r="L26" s="65"/>
    </row>
    <row r="27" s="41" customFormat="true" ht="22.5" hidden="true" customHeight="true" outlineLevel="0" collapsed="false">
      <c r="A27" s="13"/>
      <c r="B27" s="14"/>
      <c r="C27" s="15"/>
      <c r="D27" s="13"/>
      <c r="E27" s="42"/>
      <c r="F27" s="43"/>
      <c r="G27" s="44"/>
      <c r="H27" s="39"/>
      <c r="I27" s="39"/>
      <c r="K27" s="39"/>
      <c r="L27" s="65"/>
    </row>
    <row r="28" s="41" customFormat="true" ht="22.5" hidden="true" customHeight="true" outlineLevel="0" collapsed="false">
      <c r="A28" s="13"/>
      <c r="B28" s="14"/>
      <c r="C28" s="15"/>
      <c r="D28" s="13"/>
      <c r="E28" s="42"/>
      <c r="F28" s="43"/>
      <c r="G28" s="44"/>
      <c r="H28" s="39"/>
      <c r="I28" s="39"/>
      <c r="K28" s="39"/>
      <c r="L28" s="65"/>
    </row>
    <row r="29" s="41" customFormat="true" ht="22.5" hidden="true" customHeight="true" outlineLevel="0" collapsed="false">
      <c r="A29" s="13"/>
      <c r="B29" s="14"/>
      <c r="C29" s="15"/>
      <c r="D29" s="13"/>
      <c r="E29" s="42"/>
      <c r="F29" s="43"/>
      <c r="G29" s="44"/>
      <c r="H29" s="39"/>
      <c r="I29" s="39"/>
      <c r="K29" s="39"/>
      <c r="L29" s="65"/>
    </row>
    <row r="30" s="41" customFormat="true" ht="22.5" hidden="true" customHeight="true" outlineLevel="0" collapsed="false">
      <c r="A30" s="13"/>
      <c r="B30" s="14"/>
      <c r="C30" s="15"/>
      <c r="D30" s="13"/>
      <c r="E30" s="42"/>
      <c r="F30" s="43"/>
      <c r="G30" s="44"/>
      <c r="H30" s="39"/>
      <c r="I30" s="39"/>
      <c r="K30" s="39"/>
      <c r="L30" s="65"/>
    </row>
    <row r="31" s="41" customFormat="true" ht="22.5" hidden="true" customHeight="true" outlineLevel="0" collapsed="false">
      <c r="A31" s="13"/>
      <c r="B31" s="14"/>
      <c r="C31" s="15"/>
      <c r="D31" s="13"/>
      <c r="E31" s="42"/>
      <c r="F31" s="43"/>
      <c r="G31" s="44"/>
      <c r="H31" s="39"/>
      <c r="I31" s="39"/>
      <c r="K31" s="39"/>
      <c r="L31" s="65"/>
    </row>
    <row r="32" s="41" customFormat="true" ht="22.5" hidden="true" customHeight="true" outlineLevel="0" collapsed="false">
      <c r="A32" s="13"/>
      <c r="B32" s="14"/>
      <c r="C32" s="15"/>
      <c r="D32" s="13"/>
      <c r="E32" s="42"/>
      <c r="F32" s="43"/>
      <c r="G32" s="44"/>
      <c r="H32" s="39"/>
      <c r="I32" s="39"/>
      <c r="K32" s="39"/>
      <c r="L32" s="65"/>
    </row>
    <row r="33" s="41" customFormat="true" ht="22.5" hidden="true" customHeight="true" outlineLevel="0" collapsed="false">
      <c r="A33" s="13"/>
      <c r="B33" s="14"/>
      <c r="C33" s="15"/>
      <c r="D33" s="13"/>
      <c r="E33" s="42"/>
      <c r="F33" s="43"/>
      <c r="G33" s="44"/>
      <c r="H33" s="39"/>
      <c r="I33" s="39"/>
      <c r="K33" s="39"/>
      <c r="L33" s="65"/>
    </row>
    <row r="34" s="41" customFormat="true" ht="22.5" hidden="true" customHeight="true" outlineLevel="0" collapsed="false">
      <c r="A34" s="13"/>
      <c r="B34" s="14"/>
      <c r="C34" s="15"/>
      <c r="D34" s="13"/>
      <c r="E34" s="42"/>
      <c r="F34" s="43"/>
      <c r="G34" s="44"/>
      <c r="H34" s="39"/>
      <c r="I34" s="39"/>
      <c r="K34" s="39"/>
      <c r="L34" s="65"/>
    </row>
    <row r="35" s="41" customFormat="true" ht="22.5" hidden="true" customHeight="true" outlineLevel="0" collapsed="false">
      <c r="A35" s="13"/>
      <c r="B35" s="14"/>
      <c r="C35" s="15"/>
      <c r="D35" s="13"/>
      <c r="E35" s="42"/>
      <c r="F35" s="43"/>
      <c r="G35" s="44"/>
      <c r="H35" s="39"/>
      <c r="I35" s="39"/>
      <c r="K35" s="39"/>
      <c r="L35" s="65"/>
    </row>
    <row r="36" s="41" customFormat="true" ht="22.5" hidden="true" customHeight="true" outlineLevel="0" collapsed="false">
      <c r="A36" s="13"/>
      <c r="B36" s="14"/>
      <c r="C36" s="15"/>
      <c r="D36" s="13"/>
      <c r="E36" s="42"/>
      <c r="F36" s="43"/>
      <c r="G36" s="44"/>
      <c r="H36" s="39"/>
      <c r="I36" s="39"/>
      <c r="K36" s="39"/>
      <c r="L36" s="65"/>
    </row>
    <row r="37" s="41" customFormat="true" ht="22.5" hidden="true" customHeight="true" outlineLevel="0" collapsed="false">
      <c r="A37" s="13"/>
      <c r="B37" s="14"/>
      <c r="C37" s="15"/>
      <c r="D37" s="13"/>
      <c r="E37" s="42"/>
      <c r="F37" s="43"/>
      <c r="G37" s="44"/>
      <c r="H37" s="39"/>
      <c r="I37" s="39"/>
      <c r="K37" s="39"/>
      <c r="L37" s="65"/>
    </row>
    <row r="38" s="41" customFormat="true" ht="22.5" hidden="true" customHeight="true" outlineLevel="0" collapsed="false">
      <c r="A38" s="13"/>
      <c r="B38" s="14"/>
      <c r="C38" s="15"/>
      <c r="D38" s="13"/>
      <c r="E38" s="42"/>
      <c r="F38" s="43"/>
      <c r="G38" s="44"/>
      <c r="H38" s="39"/>
      <c r="I38" s="39"/>
      <c r="K38" s="39"/>
      <c r="L38" s="65"/>
    </row>
    <row r="39" s="41" customFormat="true" ht="22.5" hidden="true" customHeight="true" outlineLevel="0" collapsed="false">
      <c r="A39" s="13"/>
      <c r="B39" s="14"/>
      <c r="C39" s="15"/>
      <c r="D39" s="13"/>
      <c r="E39" s="42"/>
      <c r="F39" s="43"/>
      <c r="G39" s="44"/>
      <c r="H39" s="39"/>
      <c r="I39" s="39"/>
      <c r="K39" s="39"/>
      <c r="L39" s="65"/>
    </row>
    <row r="40" s="41" customFormat="true" ht="22.5" hidden="true" customHeight="true" outlineLevel="0" collapsed="false">
      <c r="A40" s="13"/>
      <c r="B40" s="14"/>
      <c r="C40" s="15"/>
      <c r="D40" s="13"/>
      <c r="E40" s="42"/>
      <c r="F40" s="43"/>
      <c r="G40" s="44"/>
      <c r="H40" s="39"/>
      <c r="I40" s="39"/>
      <c r="K40" s="39"/>
      <c r="L40" s="65"/>
    </row>
    <row r="41" s="41" customFormat="true" ht="22.5" hidden="true" customHeight="true" outlineLevel="0" collapsed="false">
      <c r="A41" s="13"/>
      <c r="B41" s="14"/>
      <c r="C41" s="15"/>
      <c r="D41" s="13"/>
      <c r="E41" s="42"/>
      <c r="F41" s="43"/>
      <c r="G41" s="44"/>
      <c r="H41" s="39"/>
      <c r="I41" s="39"/>
      <c r="K41" s="39"/>
      <c r="L41" s="65"/>
    </row>
    <row r="42" s="41" customFormat="true" ht="22.5" hidden="true" customHeight="true" outlineLevel="0" collapsed="false">
      <c r="A42" s="13"/>
      <c r="B42" s="14"/>
      <c r="C42" s="15"/>
      <c r="D42" s="13"/>
      <c r="E42" s="42"/>
      <c r="F42" s="43"/>
      <c r="G42" s="44"/>
      <c r="H42" s="39"/>
      <c r="I42" s="39"/>
      <c r="K42" s="39"/>
      <c r="L42" s="65"/>
    </row>
    <row r="43" s="41" customFormat="true" ht="22.5" hidden="true" customHeight="true" outlineLevel="0" collapsed="false">
      <c r="A43" s="13"/>
      <c r="B43" s="14"/>
      <c r="C43" s="15"/>
      <c r="D43" s="13"/>
      <c r="E43" s="42"/>
      <c r="F43" s="43"/>
      <c r="G43" s="44"/>
      <c r="H43" s="39"/>
      <c r="I43" s="39"/>
      <c r="K43" s="39"/>
      <c r="L43" s="65"/>
    </row>
    <row r="44" s="41" customFormat="true" ht="22.5" hidden="true" customHeight="true" outlineLevel="0" collapsed="false">
      <c r="A44" s="13"/>
      <c r="B44" s="14"/>
      <c r="C44" s="15"/>
      <c r="D44" s="13"/>
      <c r="E44" s="42"/>
      <c r="F44" s="43"/>
      <c r="G44" s="44"/>
      <c r="H44" s="39"/>
      <c r="I44" s="39"/>
      <c r="K44" s="39"/>
      <c r="L44" s="65"/>
    </row>
    <row r="45" s="41" customFormat="true" ht="22.5" hidden="true" customHeight="true" outlineLevel="0" collapsed="false">
      <c r="A45" s="13"/>
      <c r="B45" s="14"/>
      <c r="C45" s="15"/>
      <c r="D45" s="13"/>
      <c r="E45" s="42"/>
      <c r="F45" s="43"/>
      <c r="G45" s="44"/>
      <c r="H45" s="39"/>
      <c r="I45" s="39"/>
      <c r="K45" s="39"/>
      <c r="L45" s="65"/>
    </row>
    <row r="46" s="41" customFormat="true" ht="22.5" hidden="true" customHeight="true" outlineLevel="0" collapsed="false">
      <c r="A46" s="13"/>
      <c r="B46" s="14"/>
      <c r="C46" s="15"/>
      <c r="D46" s="13"/>
      <c r="E46" s="42"/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57</v>
      </c>
      <c r="B49" s="36"/>
      <c r="C49" s="36"/>
      <c r="D49" s="36"/>
      <c r="E49" s="47"/>
      <c r="F49" s="48" t="n">
        <f aca="false">SUM(F11:F22)</f>
        <v>248.22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51</v>
      </c>
      <c r="B57" s="19"/>
      <c r="C57" s="19"/>
      <c r="D57" s="21"/>
      <c r="E57" s="19" t="s">
        <v>52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XD4'!$A$2:$G$60,7,0)&amp;VLOOKUP(AZ2,'[1]Tuyến XD4'!$A$2:$G$60,4,0)</f>
        <v xml:space="preserve">Kèm theo BBNT số: 51.NĐXD4/CVXD ngày 10 tháng 09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51</v>
      </c>
    </row>
    <row r="3" customFormat="false" ht="15" hidden="false" customHeight="false" outlineLevel="0" collapsed="false">
      <c r="A3" s="22" t="s">
        <v>31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35</v>
      </c>
      <c r="C7" s="22"/>
      <c r="D7" s="22" t="str">
        <f>VLOOKUP(AZ2,'[1]Tuyến XD4'!$A$2:$B$60,2,0)</f>
        <v xml:space="preserve">Đắp đất lề đường lớp 4, độ chặt K&gt;=0,95 đoạn từ Km0+554,08 - Km0+672,28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38</v>
      </c>
      <c r="B18" s="10" t="s">
        <v>39</v>
      </c>
      <c r="C18" s="10" t="s">
        <v>40</v>
      </c>
      <c r="D18" s="11" t="s">
        <v>41</v>
      </c>
      <c r="E18" s="11"/>
      <c r="F18" s="11"/>
      <c r="G18" s="11" t="s">
        <v>42</v>
      </c>
      <c r="H18" s="11"/>
      <c r="I18" s="11"/>
      <c r="J18" s="11" t="s">
        <v>43</v>
      </c>
      <c r="K18" s="11"/>
      <c r="L18" s="11"/>
      <c r="M18" s="11" t="s">
        <v>44</v>
      </c>
      <c r="N18" s="11"/>
      <c r="O18" s="11"/>
      <c r="P18" s="10" t="s">
        <v>45</v>
      </c>
    </row>
    <row r="19" customFormat="false" ht="30" hidden="false" customHeight="true" outlineLevel="0" collapsed="false">
      <c r="A19" s="10"/>
      <c r="B19" s="10"/>
      <c r="C19" s="10"/>
      <c r="D19" s="11" t="s">
        <v>46</v>
      </c>
      <c r="E19" s="11" t="s">
        <v>47</v>
      </c>
      <c r="F19" s="11" t="s">
        <v>48</v>
      </c>
      <c r="G19" s="11" t="s">
        <v>46</v>
      </c>
      <c r="H19" s="11" t="s">
        <v>47</v>
      </c>
      <c r="I19" s="11" t="s">
        <v>48</v>
      </c>
      <c r="J19" s="11" t="s">
        <v>46</v>
      </c>
      <c r="K19" s="11" t="s">
        <v>47</v>
      </c>
      <c r="L19" s="11" t="s">
        <v>48</v>
      </c>
      <c r="M19" s="11" t="s">
        <v>46</v>
      </c>
      <c r="N19" s="11" t="s">
        <v>47</v>
      </c>
      <c r="O19" s="11" t="s">
        <v>48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554.08</v>
      </c>
      <c r="D20" s="16" t="n">
        <f aca="false">Chạy!G2</f>
        <v>2.96</v>
      </c>
      <c r="E20" s="16" t="n">
        <f aca="false">D20+F20</f>
        <v>2.969</v>
      </c>
      <c r="F20" s="16" t="n">
        <f aca="false">RANDBETWEEN(-30,100)/1000</f>
        <v>0.009</v>
      </c>
      <c r="G20" s="16" t="n">
        <f aca="false">Chạy!I2</f>
        <v>2.68</v>
      </c>
      <c r="H20" s="16" t="n">
        <f aca="false">G20+I20</f>
        <v>2.691</v>
      </c>
      <c r="I20" s="16" t="n">
        <f aca="false">RANDBETWEEN(-30,100)/1000</f>
        <v>0.011</v>
      </c>
      <c r="J20" s="16" t="n">
        <f aca="false">Chạy!M6</f>
        <v>2.87</v>
      </c>
      <c r="K20" s="16" t="n">
        <f aca="false">J20+L20</f>
        <v>2.857</v>
      </c>
      <c r="L20" s="16" t="n">
        <f aca="false">RANDBETWEEN(-30,100)/1000</f>
        <v>-0.013</v>
      </c>
      <c r="M20" s="16" t="n">
        <f aca="false">Chạy!O6</f>
        <v>2.86</v>
      </c>
      <c r="N20" s="16" t="n">
        <f aca="false">M20+O20</f>
        <v>2.898</v>
      </c>
      <c r="O20" s="16" t="n">
        <f aca="false">RANDBETWEEN(-30,100)/1000</f>
        <v>0.038</v>
      </c>
      <c r="P20" s="17"/>
      <c r="Q20" s="18" t="n">
        <v>15.4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569.48</v>
      </c>
      <c r="D21" s="16" t="n">
        <f aca="false">Chạy!G10</f>
        <v>3</v>
      </c>
      <c r="E21" s="16" t="n">
        <f aca="false">D21+F21</f>
        <v>3.022</v>
      </c>
      <c r="F21" s="16" t="n">
        <f aca="false">RANDBETWEEN(-30,100)/1000</f>
        <v>0.022</v>
      </c>
      <c r="G21" s="16" t="n">
        <f aca="false">Chạy!I10</f>
        <v>2.72</v>
      </c>
      <c r="H21" s="16" t="n">
        <f aca="false">G21+I21</f>
        <v>2.722</v>
      </c>
      <c r="I21" s="16" t="n">
        <f aca="false">RANDBETWEEN(-30,100)/1000</f>
        <v>0.002</v>
      </c>
      <c r="J21" s="16" t="n">
        <f aca="false">Chạy!M14</f>
        <v>2.86</v>
      </c>
      <c r="K21" s="16" t="n">
        <f aca="false">J21+L21</f>
        <v>2.838</v>
      </c>
      <c r="L21" s="16" t="n">
        <f aca="false">RANDBETWEEN(-30,100)/1000</f>
        <v>-0.022</v>
      </c>
      <c r="M21" s="16" t="n">
        <f aca="false">Chạy!O14</f>
        <v>2.85</v>
      </c>
      <c r="N21" s="16" t="n">
        <f aca="false">M21+O21</f>
        <v>2.922</v>
      </c>
      <c r="O21" s="16" t="n">
        <f aca="false">RANDBETWEEN(-30,100)/1000</f>
        <v>0.072</v>
      </c>
      <c r="P21" s="17"/>
      <c r="Q21" s="18" t="n">
        <v>3.64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573.12</v>
      </c>
      <c r="D22" s="16" t="n">
        <f aca="false">Chạy!G18</f>
        <v>3</v>
      </c>
      <c r="E22" s="16" t="n">
        <f aca="false">D22+F22</f>
        <v>3.045</v>
      </c>
      <c r="F22" s="16" t="n">
        <f aca="false">RANDBETWEEN(-30,100)/1000</f>
        <v>0.045</v>
      </c>
      <c r="G22" s="16" t="n">
        <f aca="false">Chạy!I18</f>
        <v>2.72</v>
      </c>
      <c r="H22" s="16" t="n">
        <f aca="false">G22+I22</f>
        <v>2.755</v>
      </c>
      <c r="I22" s="16" t="n">
        <f aca="false">RANDBETWEEN(-30,100)/1000</f>
        <v>0.035</v>
      </c>
      <c r="J22" s="16" t="n">
        <f aca="false">Chạy!M22</f>
        <v>2.86</v>
      </c>
      <c r="K22" s="16" t="n">
        <f aca="false">J22+L22</f>
        <v>2.887</v>
      </c>
      <c r="L22" s="16" t="n">
        <f aca="false">RANDBETWEEN(-30,100)/1000</f>
        <v>0.027</v>
      </c>
      <c r="M22" s="16" t="n">
        <f aca="false">Chạy!O22</f>
        <v>2.85</v>
      </c>
      <c r="N22" s="16" t="n">
        <f aca="false">M22+O22</f>
        <v>2.859</v>
      </c>
      <c r="O22" s="16" t="n">
        <f aca="false">RANDBETWEEN(-30,100)/1000</f>
        <v>0.009</v>
      </c>
      <c r="P22" s="17"/>
      <c r="Q22" s="18" t="n">
        <v>6.56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579.68</v>
      </c>
      <c r="D23" s="16" t="n">
        <f aca="false">Chạy!G26</f>
        <v>3</v>
      </c>
      <c r="E23" s="16" t="n">
        <f aca="false">D23+F23</f>
        <v>2.994</v>
      </c>
      <c r="F23" s="16" t="n">
        <f aca="false">RANDBETWEEN(-30,100)/1000</f>
        <v>-0.006</v>
      </c>
      <c r="G23" s="16" t="n">
        <f aca="false">Chạy!I26</f>
        <v>2.72</v>
      </c>
      <c r="H23" s="16" t="n">
        <f aca="false">G23+I23</f>
        <v>2.756</v>
      </c>
      <c r="I23" s="16" t="n">
        <f aca="false">RANDBETWEEN(-30,100)/1000</f>
        <v>0.036</v>
      </c>
      <c r="J23" s="16" t="n">
        <f aca="false">Chạy!M30</f>
        <v>2.86</v>
      </c>
      <c r="K23" s="16" t="n">
        <f aca="false">J23+L23</f>
        <v>2.9</v>
      </c>
      <c r="L23" s="16" t="n">
        <f aca="false">RANDBETWEEN(-30,100)/1000</f>
        <v>0.04</v>
      </c>
      <c r="M23" s="16" t="n">
        <f aca="false">Chạy!O30</f>
        <v>2.85</v>
      </c>
      <c r="N23" s="16" t="n">
        <f aca="false">M23+O23</f>
        <v>2.872</v>
      </c>
      <c r="O23" s="16" t="n">
        <f aca="false">RANDBETWEEN(-30,100)/1000</f>
        <v>0.022</v>
      </c>
      <c r="P23" s="17"/>
      <c r="Q23" s="18" t="n">
        <v>4.84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584.52</v>
      </c>
      <c r="D24" s="16" t="n">
        <f aca="false">Chạy!G34</f>
        <v>3</v>
      </c>
      <c r="E24" s="16" t="n">
        <f aca="false">D24+F24</f>
        <v>3.078</v>
      </c>
      <c r="F24" s="16" t="n">
        <f aca="false">RANDBETWEEN(-30,100)/1000</f>
        <v>0.078</v>
      </c>
      <c r="G24" s="16" t="n">
        <f aca="false">Chạy!I34</f>
        <v>2.72</v>
      </c>
      <c r="H24" s="16" t="n">
        <f aca="false">G24+I24</f>
        <v>2.79</v>
      </c>
      <c r="I24" s="16" t="n">
        <f aca="false">RANDBETWEEN(-30,100)/1000</f>
        <v>0.07</v>
      </c>
      <c r="J24" s="16" t="n">
        <f aca="false">Chạy!M38</f>
        <v>2.86</v>
      </c>
      <c r="K24" s="16" t="n">
        <f aca="false">J24+L24</f>
        <v>2.96</v>
      </c>
      <c r="L24" s="16" t="n">
        <f aca="false">RANDBETWEEN(-30,100)/1000</f>
        <v>0.1</v>
      </c>
      <c r="M24" s="16" t="n">
        <f aca="false">Chạy!O38</f>
        <v>2.85</v>
      </c>
      <c r="N24" s="16" t="n">
        <f aca="false">M24+O24</f>
        <v>2.87</v>
      </c>
      <c r="O24" s="16" t="n">
        <f aca="false">RANDBETWEEN(-30,100)/1000</f>
        <v>0.02</v>
      </c>
      <c r="P24" s="17"/>
      <c r="Q24" s="18" t="n">
        <v>1.71</v>
      </c>
    </row>
    <row r="25" customFormat="false" ht="15" hidden="false" customHeight="false" outlineLevel="0" collapsed="false">
      <c r="A25" s="13" t="n">
        <v>6</v>
      </c>
      <c r="B25" s="14" t="s">
        <v>1</v>
      </c>
      <c r="C25" s="15" t="n">
        <f aca="false">C24+Q24</f>
        <v>586.23</v>
      </c>
      <c r="D25" s="16" t="n">
        <f aca="false">Chạy!G42</f>
        <v>3</v>
      </c>
      <c r="E25" s="16" t="n">
        <f aca="false">D25+F25</f>
        <v>3.001</v>
      </c>
      <c r="F25" s="16" t="n">
        <f aca="false">RANDBETWEEN(-30,100)/1000</f>
        <v>0.001</v>
      </c>
      <c r="G25" s="16" t="n">
        <f aca="false">Chạy!I42</f>
        <v>2.72</v>
      </c>
      <c r="H25" s="16" t="n">
        <f aca="false">G25+I25</f>
        <v>2.809</v>
      </c>
      <c r="I25" s="16" t="n">
        <f aca="false">RANDBETWEEN(-30,100)/1000</f>
        <v>0.089</v>
      </c>
      <c r="J25" s="16" t="n">
        <f aca="false">Chạy!M46</f>
        <v>2.86</v>
      </c>
      <c r="K25" s="16" t="n">
        <f aca="false">J25+L25</f>
        <v>2.907</v>
      </c>
      <c r="L25" s="16" t="n">
        <f aca="false">RANDBETWEEN(-30,100)/1000</f>
        <v>0.047</v>
      </c>
      <c r="M25" s="16" t="n">
        <f aca="false">Chạy!O46</f>
        <v>2.85</v>
      </c>
      <c r="N25" s="16" t="n">
        <f aca="false">M25+O25</f>
        <v>2.926</v>
      </c>
      <c r="O25" s="16" t="n">
        <f aca="false">RANDBETWEEN(-30,100)/1000</f>
        <v>0.076</v>
      </c>
      <c r="P25" s="17"/>
      <c r="Q25" s="18" t="n">
        <v>11.55</v>
      </c>
    </row>
    <row r="26" customFormat="false" ht="15" hidden="false" customHeight="false" outlineLevel="0" collapsed="false">
      <c r="A26" s="13" t="n">
        <v>7</v>
      </c>
      <c r="B26" s="14" t="s">
        <v>23</v>
      </c>
      <c r="C26" s="15" t="n">
        <f aca="false">C25+Q25</f>
        <v>597.78</v>
      </c>
      <c r="D26" s="16" t="n">
        <f aca="false">Chạy!G50</f>
        <v>2.95</v>
      </c>
      <c r="E26" s="16" t="n">
        <f aca="false">D26+F26</f>
        <v>3.02</v>
      </c>
      <c r="F26" s="16" t="n">
        <f aca="false">RANDBETWEEN(-30,100)/1000</f>
        <v>0.07</v>
      </c>
      <c r="G26" s="16" t="n">
        <f aca="false">Chạy!I50</f>
        <v>2.66</v>
      </c>
      <c r="H26" s="16" t="n">
        <f aca="false">G26+I26</f>
        <v>2.704</v>
      </c>
      <c r="I26" s="16" t="n">
        <f aca="false">RANDBETWEEN(-30,100)/1000</f>
        <v>0.044</v>
      </c>
      <c r="J26" s="16" t="n">
        <f aca="false">Chạy!M54</f>
        <v>2.85</v>
      </c>
      <c r="K26" s="16" t="n">
        <f aca="false">J26+L26</f>
        <v>2.854</v>
      </c>
      <c r="L26" s="16" t="n">
        <f aca="false">RANDBETWEEN(-30,100)/1000</f>
        <v>0.004</v>
      </c>
      <c r="M26" s="16" t="n">
        <f aca="false">Chạy!O54</f>
        <v>2.85</v>
      </c>
      <c r="N26" s="16" t="n">
        <f aca="false">M26+O26</f>
        <v>2.833</v>
      </c>
      <c r="O26" s="16" t="n">
        <f aca="false">RANDBETWEEN(-30,100)/1000</f>
        <v>-0.017</v>
      </c>
      <c r="P26" s="17"/>
      <c r="Q26" s="18" t="n">
        <v>17</v>
      </c>
    </row>
    <row r="27" customFormat="false" ht="15" hidden="false" customHeight="false" outlineLevel="0" collapsed="false">
      <c r="A27" s="13" t="n">
        <v>8</v>
      </c>
      <c r="B27" s="14" t="s">
        <v>24</v>
      </c>
      <c r="C27" s="15" t="n">
        <f aca="false">C26+Q26</f>
        <v>614.78</v>
      </c>
      <c r="D27" s="16" t="n">
        <f aca="false">Chạy!G58</f>
        <v>2.95</v>
      </c>
      <c r="E27" s="16" t="n">
        <f aca="false">D27+F27</f>
        <v>2.941</v>
      </c>
      <c r="F27" s="16" t="n">
        <f aca="false">RANDBETWEEN(-30,100)/1000</f>
        <v>-0.009</v>
      </c>
      <c r="G27" s="16" t="n">
        <f aca="false">Chạy!I58</f>
        <v>2.67</v>
      </c>
      <c r="H27" s="16" t="n">
        <f aca="false">G27+I27</f>
        <v>2.683</v>
      </c>
      <c r="I27" s="16" t="n">
        <f aca="false">RANDBETWEEN(-30,100)/1000</f>
        <v>0.013</v>
      </c>
      <c r="J27" s="16" t="n">
        <f aca="false">Chạy!M62</f>
        <v>2.86</v>
      </c>
      <c r="K27" s="16" t="n">
        <f aca="false">J27+L27</f>
        <v>2.92</v>
      </c>
      <c r="L27" s="16" t="n">
        <f aca="false">RANDBETWEEN(-30,100)/1000</f>
        <v>0.06</v>
      </c>
      <c r="M27" s="16" t="n">
        <f aca="false">Chạy!O62</f>
        <v>2.85</v>
      </c>
      <c r="N27" s="16" t="n">
        <f aca="false">M27+O27</f>
        <v>2.94</v>
      </c>
      <c r="O27" s="16" t="n">
        <f aca="false">RANDBETWEEN(-30,100)/1000</f>
        <v>0.09</v>
      </c>
      <c r="P27" s="17"/>
      <c r="Q27" s="18" t="n">
        <v>17.05</v>
      </c>
    </row>
    <row r="28" customFormat="false" ht="15" hidden="false" customHeight="false" outlineLevel="0" collapsed="false">
      <c r="A28" s="13" t="n">
        <v>9</v>
      </c>
      <c r="B28" s="14" t="s">
        <v>25</v>
      </c>
      <c r="C28" s="15" t="n">
        <f aca="false">C27+Q27</f>
        <v>631.83</v>
      </c>
      <c r="D28" s="16" t="n">
        <f aca="false">Chạy!G66</f>
        <v>2.95</v>
      </c>
      <c r="E28" s="16" t="n">
        <f aca="false">D28+F28</f>
        <v>2.976</v>
      </c>
      <c r="F28" s="16" t="n">
        <f aca="false">RANDBETWEEN(-30,100)/1000</f>
        <v>0.026</v>
      </c>
      <c r="G28" s="16" t="n">
        <f aca="false">Chạy!I66</f>
        <v>2.67</v>
      </c>
      <c r="H28" s="16" t="n">
        <f aca="false">G28+I28</f>
        <v>2.706</v>
      </c>
      <c r="I28" s="16" t="n">
        <f aca="false">RANDBETWEEN(-30,100)/1000</f>
        <v>0.036</v>
      </c>
      <c r="J28" s="16" t="n">
        <f aca="false">Chạy!M70</f>
        <v>2.86</v>
      </c>
      <c r="K28" s="16" t="n">
        <f aca="false">J28+L28</f>
        <v>2.878</v>
      </c>
      <c r="L28" s="16" t="n">
        <f aca="false">RANDBETWEEN(-30,100)/1000</f>
        <v>0.018</v>
      </c>
      <c r="M28" s="16" t="n">
        <f aca="false">Chạy!O70</f>
        <v>2.86</v>
      </c>
      <c r="N28" s="16" t="n">
        <f aca="false">M28+O28</f>
        <v>2.846</v>
      </c>
      <c r="O28" s="16" t="n">
        <f aca="false">RANDBETWEEN(-30,100)/1000</f>
        <v>-0.014</v>
      </c>
      <c r="P28" s="17"/>
      <c r="Q28" s="18" t="n">
        <v>11.7</v>
      </c>
    </row>
    <row r="29" customFormat="false" ht="15" hidden="false" customHeight="false" outlineLevel="0" collapsed="false">
      <c r="A29" s="13" t="n">
        <v>10</v>
      </c>
      <c r="B29" s="14" t="s">
        <v>26</v>
      </c>
      <c r="C29" s="15" t="n">
        <f aca="false">C28+Q28</f>
        <v>643.53</v>
      </c>
      <c r="D29" s="16" t="n">
        <f aca="false">Chạy!G74</f>
        <v>2.95</v>
      </c>
      <c r="E29" s="16" t="n">
        <f aca="false">D29+F29</f>
        <v>3.012</v>
      </c>
      <c r="F29" s="16" t="n">
        <f aca="false">RANDBETWEEN(-30,100)/1000</f>
        <v>0.062</v>
      </c>
      <c r="G29" s="16" t="n">
        <f aca="false">Chạy!I74</f>
        <v>2.67</v>
      </c>
      <c r="H29" s="16" t="n">
        <f aca="false">G29+I29</f>
        <v>2.669</v>
      </c>
      <c r="I29" s="16" t="n">
        <f aca="false">RANDBETWEEN(-30,100)/1000</f>
        <v>-0.001</v>
      </c>
      <c r="J29" s="16" t="n">
        <f aca="false">Chạy!M78</f>
        <v>2.86</v>
      </c>
      <c r="K29" s="16" t="n">
        <f aca="false">J29+L29</f>
        <v>2.906</v>
      </c>
      <c r="L29" s="16" t="n">
        <f aca="false">RANDBETWEEN(-30,100)/1000</f>
        <v>0.046</v>
      </c>
      <c r="M29" s="16" t="n">
        <f aca="false">Chạy!O78</f>
        <v>2.86</v>
      </c>
      <c r="N29" s="16" t="n">
        <f aca="false">M29+O29</f>
        <v>2.885</v>
      </c>
      <c r="O29" s="16" t="n">
        <f aca="false">RANDBETWEEN(-30,100)/1000</f>
        <v>0.025</v>
      </c>
      <c r="P29" s="17"/>
      <c r="Q29" s="18" t="n">
        <v>11.75</v>
      </c>
    </row>
    <row r="30" customFormat="false" ht="15" hidden="false" customHeight="false" outlineLevel="0" collapsed="false">
      <c r="A30" s="13" t="n">
        <v>11</v>
      </c>
      <c r="B30" s="14" t="s">
        <v>27</v>
      </c>
      <c r="C30" s="15" t="n">
        <f aca="false">C29+Q29</f>
        <v>655.28</v>
      </c>
      <c r="D30" s="16" t="n">
        <f aca="false">Chạy!G82</f>
        <v>2.96</v>
      </c>
      <c r="E30" s="16" t="n">
        <f aca="false">D30+F30</f>
        <v>2.951</v>
      </c>
      <c r="F30" s="16" t="n">
        <f aca="false">RANDBETWEEN(-30,100)/1000</f>
        <v>-0.009</v>
      </c>
      <c r="G30" s="16" t="n">
        <f aca="false">Chạy!I82</f>
        <v>2.67</v>
      </c>
      <c r="H30" s="16" t="n">
        <f aca="false">G30+I30</f>
        <v>2.739</v>
      </c>
      <c r="I30" s="16" t="n">
        <f aca="false">RANDBETWEEN(-30,100)/1000</f>
        <v>0.069</v>
      </c>
      <c r="J30" s="16" t="n">
        <f aca="false">Chạy!M86</f>
        <v>2.86</v>
      </c>
      <c r="K30" s="16" t="n">
        <f aca="false">J30+L30</f>
        <v>2.923</v>
      </c>
      <c r="L30" s="16" t="n">
        <f aca="false">RANDBETWEEN(-30,100)/1000</f>
        <v>0.063</v>
      </c>
      <c r="M30" s="16" t="n">
        <f aca="false">Chạy!O86</f>
        <v>2.86</v>
      </c>
      <c r="N30" s="16" t="n">
        <f aca="false">M30+O30</f>
        <v>2.912</v>
      </c>
      <c r="O30" s="16" t="n">
        <f aca="false">RANDBETWEEN(-30,100)/1000</f>
        <v>0.052</v>
      </c>
      <c r="P30" s="17"/>
      <c r="Q30" s="18" t="n">
        <v>17</v>
      </c>
    </row>
    <row r="31" customFormat="false" ht="15" hidden="false" customHeight="false" outlineLevel="0" collapsed="false">
      <c r="A31" s="13" t="n">
        <v>12</v>
      </c>
      <c r="B31" s="14" t="s">
        <v>28</v>
      </c>
      <c r="C31" s="15" t="n">
        <f aca="false">C30+Q30</f>
        <v>672.28</v>
      </c>
      <c r="D31" s="16" t="n">
        <f aca="false">Chạy!G90</f>
        <v>2.96</v>
      </c>
      <c r="E31" s="16" t="n">
        <f aca="false">D31+F31</f>
        <v>2.984</v>
      </c>
      <c r="F31" s="16" t="n">
        <f aca="false">RANDBETWEEN(-30,100)/1000</f>
        <v>0.024</v>
      </c>
      <c r="G31" s="16" t="n">
        <f aca="false">Chạy!I90</f>
        <v>2.68</v>
      </c>
      <c r="H31" s="16" t="n">
        <f aca="false">G31+I31</f>
        <v>2.727</v>
      </c>
      <c r="I31" s="16" t="n">
        <f aca="false">RANDBETWEEN(-30,100)/1000</f>
        <v>0.047</v>
      </c>
      <c r="J31" s="16" t="n">
        <f aca="false">Chạy!M94</f>
        <v>2.87</v>
      </c>
      <c r="K31" s="16" t="n">
        <f aca="false">J31+L31</f>
        <v>2.908</v>
      </c>
      <c r="L31" s="16" t="n">
        <f aca="false">RANDBETWEEN(-30,100)/1000</f>
        <v>0.038</v>
      </c>
      <c r="M31" s="16" t="n">
        <f aca="false">Chạy!O94</f>
        <v>2.86</v>
      </c>
      <c r="N31" s="16" t="n">
        <f aca="false">M31+O31</f>
        <v>2.904</v>
      </c>
      <c r="O31" s="16" t="n">
        <f aca="false">RANDBETWEEN(-30,100)/1000</f>
        <v>0.044</v>
      </c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49</v>
      </c>
      <c r="D59" s="19"/>
      <c r="E59" s="19"/>
      <c r="F59" s="19"/>
      <c r="G59" s="20"/>
      <c r="H59" s="20"/>
      <c r="I59" s="20"/>
      <c r="K59" s="19" t="s">
        <v>50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51</v>
      </c>
      <c r="D64" s="19"/>
      <c r="E64" s="19"/>
      <c r="F64" s="19"/>
      <c r="G64" s="20"/>
      <c r="H64" s="20"/>
      <c r="I64" s="20"/>
      <c r="J64" s="21"/>
      <c r="K64" s="19" t="s">
        <v>65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53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51.NĐXD4/CVXD ngày 10 tháng 09 năm 2026</v>
      </c>
      <c r="B2" s="27"/>
      <c r="C2" s="27"/>
      <c r="D2" s="27"/>
      <c r="E2" s="27"/>
      <c r="F2" s="27"/>
      <c r="G2" s="27"/>
      <c r="AZ2">
        <v>51</v>
      </c>
    </row>
    <row r="3" s="33" customFormat="true" ht="37.5" hidden="false" customHeight="true" outlineLevel="0" collapsed="false">
      <c r="A3" s="28" t="s">
        <v>31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32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33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34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35</v>
      </c>
      <c r="B7" s="32"/>
      <c r="D7" s="34" t="str">
        <f>VLOOKUP(AZ2,'[1]Tuyến XD4'!$A$2:$B$60,2,0)</f>
        <v xml:space="preserve">Đắp đất lề đường lớp 4, độ chặt K&gt;=0,95 đoạn từ Km0+554,08 - Km0+672,28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39</v>
      </c>
      <c r="C9" s="36" t="s">
        <v>40</v>
      </c>
      <c r="D9" s="37" t="s">
        <v>54</v>
      </c>
      <c r="E9" s="38"/>
      <c r="F9" s="38"/>
      <c r="G9" s="37" t="s">
        <v>45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55</v>
      </c>
      <c r="F10" s="38" t="s">
        <v>56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32</v>
      </c>
      <c r="C11" s="15" t="n">
        <f aca="false">'1. KTHH L4'!C20</f>
        <v>554.08</v>
      </c>
      <c r="D11" s="13" t="n">
        <f aca="false">'1. KTHH L4'!Q20</f>
        <v>15.4</v>
      </c>
      <c r="E11" s="42" t="n">
        <f aca="false">Chạy!E2+Chạy!E6</f>
        <v>3.12</v>
      </c>
      <c r="F11" s="43" t="n">
        <f aca="false">(E11+E12)*D11/2</f>
        <v>48.048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33</v>
      </c>
      <c r="C12" s="15" t="n">
        <f aca="false">'1. KTHH L4'!C21</f>
        <v>569.48</v>
      </c>
      <c r="D12" s="13" t="n">
        <f aca="false">'1. KTHH L4'!Q21</f>
        <v>3.64</v>
      </c>
      <c r="E12" s="42" t="n">
        <f aca="false">Chạy!E10+Chạy!E14</f>
        <v>3.12</v>
      </c>
      <c r="F12" s="43" t="n">
        <f aca="false">(E12+E13)*D12/2</f>
        <v>11.3568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TD</v>
      </c>
      <c r="C13" s="15" t="n">
        <f aca="false">'1. KTHH L4'!C22</f>
        <v>573.12</v>
      </c>
      <c r="D13" s="13" t="n">
        <f aca="false">'1. KTHH L4'!Q22</f>
        <v>6.56</v>
      </c>
      <c r="E13" s="42" t="n">
        <f aca="false">Chạy!E18+Chạy!E22</f>
        <v>3.12</v>
      </c>
      <c r="F13" s="43" t="n">
        <f aca="false">(E13+E14)*D13/2</f>
        <v>20.4672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P</v>
      </c>
      <c r="C14" s="15" t="n">
        <f aca="false">'1. KTHH L4'!C23</f>
        <v>579.68</v>
      </c>
      <c r="D14" s="13" t="n">
        <f aca="false">'1. KTHH L4'!Q23</f>
        <v>4.84</v>
      </c>
      <c r="E14" s="42" t="n">
        <f aca="false">Chạy!E26+Chạy!E30</f>
        <v>3.12</v>
      </c>
      <c r="F14" s="43" t="n">
        <f aca="false">(E14+E15)*D14/2</f>
        <v>15.1008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E2</v>
      </c>
      <c r="C15" s="15" t="n">
        <f aca="false">'1. KTHH L4'!C24</f>
        <v>584.52</v>
      </c>
      <c r="D15" s="13" t="n">
        <f aca="false">'1. KTHH L4'!Q24</f>
        <v>1.71</v>
      </c>
      <c r="E15" s="42" t="n">
        <f aca="false">Chạy!E34+Chạy!E38</f>
        <v>3.12</v>
      </c>
      <c r="F15" s="43" t="n">
        <f aca="false">(E15+E16)*D15/2</f>
        <v>5.3352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TC</v>
      </c>
      <c r="C16" s="15" t="n">
        <f aca="false">'1. KTHH L4'!C25</f>
        <v>586.23</v>
      </c>
      <c r="D16" s="13" t="n">
        <f aca="false">'1. KTHH L4'!Q25</f>
        <v>11.55</v>
      </c>
      <c r="E16" s="42" t="n">
        <f aca="false">Chạy!E42+Chạy!E46</f>
        <v>3.12</v>
      </c>
      <c r="F16" s="43" t="n">
        <f aca="false">(E16+E17)*D16/2</f>
        <v>36.036</v>
      </c>
      <c r="G16" s="44"/>
      <c r="H16" s="54"/>
      <c r="I16" s="69"/>
    </row>
    <row r="17" s="41" customFormat="true" ht="15" hidden="false" customHeight="true" outlineLevel="0" collapsed="false">
      <c r="A17" s="13" t="n">
        <v>7</v>
      </c>
      <c r="B17" s="14" t="str">
        <f aca="false">'1. KTHH L4'!B26</f>
        <v>34</v>
      </c>
      <c r="C17" s="15" t="n">
        <f aca="false">'1. KTHH L4'!C26</f>
        <v>597.78</v>
      </c>
      <c r="D17" s="13" t="n">
        <f aca="false">'1. KTHH L4'!Q26</f>
        <v>17</v>
      </c>
      <c r="E17" s="42" t="n">
        <f aca="false">Chạy!E50+Chạy!E54</f>
        <v>3.12</v>
      </c>
      <c r="F17" s="43" t="n">
        <f aca="false">(E17+E18)*D17/2</f>
        <v>53.04</v>
      </c>
      <c r="G17" s="44"/>
      <c r="H17" s="54"/>
      <c r="I17" s="69"/>
    </row>
    <row r="18" s="41" customFormat="true" ht="15" hidden="false" customHeight="true" outlineLevel="0" collapsed="false">
      <c r="A18" s="13" t="n">
        <v>8</v>
      </c>
      <c r="B18" s="14" t="str">
        <f aca="false">'1. KTHH L4'!B27</f>
        <v>35</v>
      </c>
      <c r="C18" s="15" t="n">
        <f aca="false">'1. KTHH L4'!C27</f>
        <v>614.78</v>
      </c>
      <c r="D18" s="13" t="n">
        <f aca="false">'1. KTHH L4'!Q27</f>
        <v>17.05</v>
      </c>
      <c r="E18" s="42" t="n">
        <f aca="false">Chạy!E58+Chạy!E62</f>
        <v>3.12</v>
      </c>
      <c r="F18" s="43" t="n">
        <f aca="false">(E18+E19)*D18/2</f>
        <v>53.196</v>
      </c>
      <c r="G18" s="44"/>
      <c r="H18" s="54"/>
      <c r="I18" s="69"/>
    </row>
    <row r="19" s="41" customFormat="true" ht="15" hidden="false" customHeight="true" outlineLevel="0" collapsed="false">
      <c r="A19" s="13" t="n">
        <v>9</v>
      </c>
      <c r="B19" s="14" t="str">
        <f aca="false">'1. KTHH L4'!B28</f>
        <v>36</v>
      </c>
      <c r="C19" s="15" t="n">
        <f aca="false">'1. KTHH L4'!C28</f>
        <v>631.83</v>
      </c>
      <c r="D19" s="13" t="n">
        <f aca="false">'1. KTHH L4'!Q28</f>
        <v>11.7</v>
      </c>
      <c r="E19" s="42" t="n">
        <f aca="false">Chạy!E66+Chạy!E70</f>
        <v>3.12</v>
      </c>
      <c r="F19" s="43" t="n">
        <f aca="false">(E19+E20)*D19/2</f>
        <v>36.504</v>
      </c>
      <c r="G19" s="44"/>
      <c r="H19" s="54"/>
      <c r="I19" s="69"/>
    </row>
    <row r="20" s="41" customFormat="true" ht="15" hidden="false" customHeight="true" outlineLevel="0" collapsed="false">
      <c r="A20" s="13" t="n">
        <v>10</v>
      </c>
      <c r="B20" s="14" t="str">
        <f aca="false">'1. KTHH L4'!B29</f>
        <v>E9</v>
      </c>
      <c r="C20" s="15" t="n">
        <f aca="false">'1. KTHH L4'!C29</f>
        <v>643.53</v>
      </c>
      <c r="D20" s="13" t="n">
        <f aca="false">'1. KTHH L4'!Q29</f>
        <v>11.75</v>
      </c>
      <c r="E20" s="42" t="n">
        <f aca="false">Chạy!E74+Chạy!E78</f>
        <v>3.12</v>
      </c>
      <c r="F20" s="43" t="n">
        <f aca="false">(E20+E21)*D20/2</f>
        <v>36.66</v>
      </c>
      <c r="G20" s="44"/>
      <c r="H20" s="54"/>
      <c r="I20" s="69"/>
    </row>
    <row r="21" s="41" customFormat="true" ht="15" hidden="false" customHeight="true" outlineLevel="0" collapsed="false">
      <c r="A21" s="13" t="n">
        <v>11</v>
      </c>
      <c r="B21" s="14" t="str">
        <f aca="false">'1. KTHH L4'!B30</f>
        <v>37</v>
      </c>
      <c r="C21" s="15" t="n">
        <f aca="false">'1. KTHH L4'!C30</f>
        <v>655.28</v>
      </c>
      <c r="D21" s="13" t="n">
        <f aca="false">'1. KTHH L4'!Q30</f>
        <v>17</v>
      </c>
      <c r="E21" s="42" t="n">
        <f aca="false">Chạy!E82+Chạy!E86</f>
        <v>3.12</v>
      </c>
      <c r="F21" s="43" t="n">
        <f aca="false">(E21+E22)*D21/2</f>
        <v>53.04</v>
      </c>
      <c r="G21" s="44"/>
      <c r="H21" s="54"/>
      <c r="I21" s="69"/>
    </row>
    <row r="22" s="41" customFormat="true" ht="15" hidden="false" customHeight="true" outlineLevel="0" collapsed="false">
      <c r="A22" s="13" t="n">
        <v>12</v>
      </c>
      <c r="B22" s="14" t="str">
        <f aca="false">'1. KTHH L4'!B31</f>
        <v>38</v>
      </c>
      <c r="C22" s="15" t="n">
        <f aca="false">'1. KTHH L4'!C31</f>
        <v>672.28</v>
      </c>
      <c r="D22" s="13"/>
      <c r="E22" s="42" t="n">
        <f aca="false">Chạy!E90+Chạy!E94</f>
        <v>3.12</v>
      </c>
      <c r="F22" s="43"/>
      <c r="G22" s="44"/>
      <c r="H22" s="54"/>
      <c r="I22" s="69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54"/>
      <c r="I23" s="69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54"/>
      <c r="I24" s="69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54"/>
      <c r="I25" s="69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54"/>
      <c r="I26" s="69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54"/>
      <c r="I27" s="69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54"/>
      <c r="I28" s="69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54"/>
      <c r="I29" s="69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54"/>
      <c r="I30" s="69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54"/>
      <c r="I31" s="69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54"/>
      <c r="I32" s="69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54"/>
      <c r="I33" s="69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54"/>
      <c r="I34" s="69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54"/>
      <c r="I35" s="69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54"/>
      <c r="I36" s="69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54"/>
      <c r="I37" s="69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54"/>
      <c r="I38" s="69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54"/>
      <c r="I39" s="69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54"/>
      <c r="I40" s="69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54"/>
      <c r="I41" s="69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54"/>
      <c r="I42" s="69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54"/>
      <c r="I43" s="69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54"/>
      <c r="I44" s="69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54"/>
      <c r="I45" s="69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57</v>
      </c>
      <c r="B49" s="36"/>
      <c r="C49" s="36"/>
      <c r="D49" s="36"/>
      <c r="E49" s="47"/>
      <c r="F49" s="48" t="n">
        <f aca="false">SUM(F11:F22)</f>
        <v>368.784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49</v>
      </c>
      <c r="B51" s="19"/>
      <c r="C51" s="19"/>
      <c r="D51" s="57" t="s">
        <v>58</v>
      </c>
      <c r="E51" s="19" t="s">
        <v>50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51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2026-10-13T10:12:23Z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