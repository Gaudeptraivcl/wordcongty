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externalReferences>
    <externalReference r:id="rIdExt1"/>
  </externalReference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3'!$A$1:$AB$45</definedName>
    <definedName function="false" hidden="false" localSheetId="5" name="_xlnm.Print_Area" vbProcedure="false">'3.KTHH L3'!$A$1:$S$55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4'!$A$1:$AB$45</definedName>
    <definedName function="false" hidden="false" localSheetId="7" name="_xlnm.Print_Area" vbProcedure="false">'4.KTHH L4'!$A$1:$S$56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<sst xmlns="http://schemas.openxmlformats.org/spreadsheetml/2006/main" count="333" uniqueCount="69">
  <si>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</si>
  <si>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</si>
  <si>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</si>
  <si>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</si>
  <si>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</si>
  <si>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</si>
  <si>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</si>
  <si>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</si>
  <si>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</si>
  <si>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</si>
  <si>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</si>
  <si>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</si>
  <si>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</si>
  <si>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</si>
  <si>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</si>
  <si>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</si>
  <si>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</si>
  <si>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32</t>
  </si>
  <si>
    <t xml:space="preserve">33</t>
  </si>
  <si>
    <t xml:space="preserve">TD</t>
  </si>
  <si>
    <t xml:space="preserve">P</t>
  </si>
  <si>
    <t xml:space="preserve">E2</t>
  </si>
  <si>
    <t xml:space="preserve">34</t>
  </si>
  <si>
    <t xml:space="preserve">35</t>
  </si>
  <si>
    <t xml:space="preserve">36</t>
  </si>
  <si>
    <t xml:space="preserve">E9</t>
  </si>
  <si>
    <t xml:space="preserve">37</t>
  </si>
  <si>
    <t xml:space="preserve">38</t>
  </si>
  <si>
    <t xml:space="preserve">PHỤ LỤC KIỂM TRA CAO ĐỘ, KÍCH THƯỚC HÌNH HỌC ĐẮP CÁT</t>
  </si>
  <si>
    <t xml:space="preserve">Kèm theo BBNT số: 32.NĐXD4/CVXD ngày 31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</si>
  <si>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</si>
  <si>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</si>
  <si>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</si>
  <si>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</si>
  <si>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</si>
  <si>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cát nền đường lớp 1 đoạn từ Km0+554,08 - Km0+672,28,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</si>
  <si>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</si>
  <si>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</si>
  <si>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</si>
  <si>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</si>
  <si>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</si>
  <si>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</si>
  <si>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</si>
  <si>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</si>
  <si>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</si>
  <si>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</si>
  <si>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</si>
  <si>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</si>
  <si>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</si>
  <si>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</si>
  <si>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</si>
  <si>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</si>
  <si>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</si>
  <si>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</si>
  <si>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</si>
  <si>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</si>
  <si>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</si>
  <si>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</si>
  <si>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</si>
  <si>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</si>
  <si>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</si>
  <si>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</si>
  <si>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</si>
  <si>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33.NĐXD4/CVXD ngày 03 tháng 09 năm 2026</t>
  </si>
  <si>
    <t xml:space="preserve">Đắp cát nền đường lớp 2 đoạn từ Km0+554,08 - Km0+672,28, độ chặt K&gt;=0,95</t>
  </si>
  <si>
    <t xml:space="preserve">Kèm theo BBNT số: 34.NĐXD4/CVXD ngày 03 tháng 09 năm 2026</t>
  </si>
  <si>
    <t xml:space="preserve">Đắp cát nền đường lớp 3 đoạn từ Km0+554,08 - Km0+672,28, độ chặt K&gt;=0,95</t>
  </si>
  <si>
    <t xml:space="preserve">Kèm theo BBNT số: 35.NĐXD4/CVXD ngày 03 tháng 09 năm 2026</t>
  </si>
  <si>
    <t xml:space="preserve">Đắp cát nền đường lớp 4 đoạn từ Km0+554,08 - Km0+672,28,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</si>
</sst>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29</v>
          </cell>
          <cell r="B3" t="str">
            <v xml:space="preserve">Kiểm tra cao độ đường đen đoạn từ Km0+554,08 -:- Km0+672,28</v>
          </cell>
          <cell r="D3" t="str">
            <v xml:space="preserve">ngày 29 tháng 08 năm 2026</v>
          </cell>
          <cell r="G3" t="str">
            <v xml:space="preserve">29.NĐXD4/CVXD </v>
          </cell>
        </row>
        <row r="4">
          <cell r="A4">
            <v>30</v>
          </cell>
          <cell r="B4" t="str">
            <v xml:space="preserve">Đào đất xử lý nền đường đoạn từ Km0+554,08 - Km0+672,28</v>
          </cell>
          <cell r="D4" t="str">
            <v xml:space="preserve">ngày 30 tháng 08 năm 2026</v>
          </cell>
          <cell r="G4" t="str">
            <v xml:space="preserve">30.NĐXD4/CVXD </v>
          </cell>
        </row>
        <row r="5">
          <cell r="A5">
            <v>31</v>
          </cell>
          <cell r="B5" t="str">
            <v xml:space="preserve">Rải vải địa kỹ thuật đoạn từ Km0+554,08 - Km0+672,28</v>
          </cell>
          <cell r="D5" t="str">
            <v xml:space="preserve">ngày 31 tháng 08 năm 2026</v>
          </cell>
          <cell r="G5" t="str">
            <v xml:space="preserve">31.NĐXD4/CVXD </v>
          </cell>
        </row>
        <row r="6">
          <cell r="A6">
            <v>32</v>
          </cell>
          <cell r="B6" t="str">
            <v xml:space="preserve">Đắp cát nền đường lớp 1 đoạn từ Km0+554,08 - Km0+672,28, độ chặt K&gt;=0,95</v>
          </cell>
          <cell r="D6" t="str">
            <v xml:space="preserve">ngày 31 tháng 08 năm 2026</v>
          </cell>
          <cell r="G6" t="str">
            <v xml:space="preserve">32.NĐXD4/CVXD </v>
          </cell>
        </row>
        <row r="7">
          <cell r="A7">
            <v>33</v>
          </cell>
          <cell r="B7" t="str">
            <v xml:space="preserve">Đắp cát nền đường lớp 2 đoạn từ Km0+554,08 - Km0+672,28, độ chặt K&gt;=0,95</v>
          </cell>
          <cell r="D7" t="str">
            <v xml:space="preserve">ngày 03 tháng 09 năm 2026</v>
          </cell>
          <cell r="G7" t="str">
            <v xml:space="preserve">33.NĐXD4/CVXD </v>
          </cell>
        </row>
        <row r="8">
          <cell r="A8">
            <v>34</v>
          </cell>
          <cell r="B8" t="str">
            <v xml:space="preserve">Đắp cát nền đường lớp 3 đoạn từ Km0+554,08 - Km0+672,28, độ chặt K&gt;=0,95</v>
          </cell>
          <cell r="D8" t="str">
            <v xml:space="preserve">ngày 03 tháng 09 năm 2026</v>
          </cell>
          <cell r="G8" t="str">
            <v xml:space="preserve">34.NĐXD4/CVXD </v>
          </cell>
        </row>
        <row r="9">
          <cell r="A9">
            <v>35</v>
          </cell>
          <cell r="B9" t="str">
            <v xml:space="preserve">Đắp cát nền đường lớp 4 đoạn từ Km0+554,08 - Km0+672,28, độ chặt K&gt;=0,95</v>
          </cell>
          <cell r="D9" t="str">
            <v xml:space="preserve">ngày 03 tháng 09 năm 2026</v>
          </cell>
          <cell r="G9" t="str">
            <v xml:space="preserve">35.NĐXD4/CVXD </v>
          </cell>
        </row>
        <row r="10">
          <cell r="A10">
            <v>36</v>
          </cell>
          <cell r="B10" t="str">
            <v xml:space="preserve">Đắp đất nền đường lớp 1 đoạn từ Km0+554,08 - Km0+672,28, độ chặt K&gt;=0,95</v>
          </cell>
          <cell r="D10" t="str">
            <v xml:space="preserve">ngày 03 tháng 09 năm 2026</v>
          </cell>
          <cell r="G10" t="str">
            <v xml:space="preserve">36.NĐXD4/CVXD </v>
          </cell>
        </row>
        <row r="11">
          <cell r="A11">
            <v>37</v>
          </cell>
          <cell r="B11" t="str">
            <v xml:space="preserve">Đắp đất nền đường lớp 2 đoạn từ Km0+554,08 - Km0+672,28, độ chặt K&gt;=0,95</v>
          </cell>
          <cell r="D11" t="str">
            <v xml:space="preserve">ngày 03 tháng 09 năm 2026</v>
          </cell>
          <cell r="G11" t="str">
            <v xml:space="preserve">37.NĐXD4/CVXD </v>
          </cell>
        </row>
        <row r="12">
          <cell r="A12">
            <v>38</v>
          </cell>
          <cell r="B12" t="str">
            <v xml:space="preserve">Đắp đất nền đường lớp 3 đoạn từ Km0+554,08 - Km0+672,28, độ chặt K&gt;=0,95</v>
          </cell>
          <cell r="D12" t="str">
            <v xml:space="preserve">ngày 03 tháng 09 năm 2026</v>
          </cell>
          <cell r="G12" t="str">
            <v xml:space="preserve">38.NĐXD4/CVXD </v>
          </cell>
        </row>
        <row r="13">
          <cell r="A13">
            <v>39</v>
          </cell>
          <cell r="B13" t="str">
            <v xml:space="preserve">Đắp đất nền đường lớp 4 đoạn từ Km0+554,08 - Km0+672,28, độ chặt K&gt;=0,95</v>
          </cell>
          <cell r="D13" t="str">
            <v xml:space="preserve">ngày 04 tháng 09 năm 2026</v>
          </cell>
          <cell r="G13" t="str">
            <v xml:space="preserve">39.NĐXD4/CVXD </v>
          </cell>
        </row>
        <row r="14">
          <cell r="A14">
            <v>40</v>
          </cell>
          <cell r="B14" t="str">
            <v xml:space="preserve">Đắp đất nền đường lớp 5 đoạn từ Km0+554,08 - Km0+672,28, độ chặt K&gt;=0,95</v>
          </cell>
          <cell r="D14" t="str">
            <v xml:space="preserve">ngày 04 tháng 09 năm 2026</v>
          </cell>
          <cell r="G14" t="str">
            <v xml:space="preserve">40.NĐXD4/CVXD </v>
          </cell>
        </row>
        <row r="15">
          <cell r="A15">
            <v>41</v>
          </cell>
          <cell r="B15" t="str">
            <v xml:space="preserve">Đắp đất nền đường lớp 6 đoạn từ Km0+554,08 - Km0+672,28, độ chặt K&gt;=0,95</v>
          </cell>
          <cell r="D15" t="str">
            <v xml:space="preserve">ngày 05 tháng 09 năm 2026</v>
          </cell>
          <cell r="G15" t="str">
            <v xml:space="preserve">41.NĐXD4/CVXD </v>
          </cell>
        </row>
        <row r="16">
          <cell r="A16">
            <v>42</v>
          </cell>
          <cell r="B16" t="str">
            <v xml:space="preserve">Đắp đất nền đường lớp 7 đoạn từ Km0+554,08 - Km0+672,28, độ chặt K&gt;=0,95</v>
          </cell>
          <cell r="D16" t="str">
            <v xml:space="preserve">ngày 05 tháng 09 năm 2026</v>
          </cell>
          <cell r="G16" t="str">
            <v xml:space="preserve">42.NĐXD4/CVXD </v>
          </cell>
        </row>
        <row r="17">
          <cell r="A17">
            <v>43</v>
          </cell>
          <cell r="B17" t="str">
            <v xml:space="preserve">Đắp đất nền đường lớp 8 đoạn từ Km0+554,08 - Km0+672,28, độ chặt K&gt;=0,95</v>
          </cell>
          <cell r="D17" t="str">
            <v xml:space="preserve">ngày 06 tháng 09 năm 2026</v>
          </cell>
          <cell r="G17" t="str">
            <v xml:space="preserve">43.NĐXD4/CVXD </v>
          </cell>
        </row>
        <row r="18">
          <cell r="A18">
            <v>44</v>
          </cell>
          <cell r="B18" t="str">
            <v xml:space="preserve">Đắp đất nền đường lớp 9 đoạn từ Km0+554,08 - Km0+672,28, độ chặt K&gt;=0,95</v>
          </cell>
          <cell r="D18" t="str">
            <v xml:space="preserve">ngày 06 tháng 09 năm 2026</v>
          </cell>
          <cell r="G18" t="str">
            <v xml:space="preserve">44.NĐXD4/CVXD </v>
          </cell>
        </row>
        <row r="19">
          <cell r="A19">
            <v>45</v>
          </cell>
          <cell r="B19" t="str">
            <v xml:space="preserve">Đắp đất nền đường lớp 1, độ chặt K&gt;=0,98 đoạn từ Km0+554,08 - Km0+672,28</v>
          </cell>
          <cell r="D19" t="str">
            <v xml:space="preserve">ngày 07 tháng 09 năm 2026</v>
          </cell>
          <cell r="G19" t="str">
            <v xml:space="preserve">45.NĐXD4/CVXD </v>
          </cell>
        </row>
        <row r="20">
          <cell r="A20">
            <v>46</v>
          </cell>
          <cell r="B20" t="str">
            <v xml:space="preserve">Đắp đất lề đường lớp 1, độ chặt K&gt;=0,95 đoạn từ Km0+554,08 - Km0+672,28</v>
          </cell>
          <cell r="D20" t="str">
            <v xml:space="preserve">ngày 07 tháng 09 năm 2026</v>
          </cell>
          <cell r="G20" t="str">
            <v xml:space="preserve">46.NĐXD4/CVXD </v>
          </cell>
        </row>
        <row r="21">
          <cell r="A21">
            <v>47</v>
          </cell>
          <cell r="B21" t="str">
            <v xml:space="preserve">Đắp đất nền đường lớp 2, độ chặt K&gt;=0,98 đoạn từ Km0+554,08 - Km0+672,28</v>
          </cell>
          <cell r="D21" t="str">
            <v xml:space="preserve">ngày 08 tháng 09 năm 2026</v>
          </cell>
          <cell r="G21" t="str">
            <v xml:space="preserve">47.NĐXD4/CVXD </v>
          </cell>
        </row>
        <row r="22">
          <cell r="A22">
            <v>48</v>
          </cell>
          <cell r="B22" t="str">
            <v xml:space="preserve">Đắp đất lề đường lớp 2, độ chặt K&gt;=0,95 đoạn từ Km0+554,08 - Km0+672,28</v>
          </cell>
          <cell r="D22" t="str">
            <v xml:space="preserve">ngày 08 tháng 09 năm 2026</v>
          </cell>
          <cell r="G22" t="str">
            <v xml:space="preserve">48.NĐXD4/CVXD </v>
          </cell>
        </row>
        <row r="23">
          <cell r="A23">
            <v>49</v>
          </cell>
          <cell r="B23" t="str">
            <v xml:space="preserve">Đắp cấp phối đá dăm loại 2 đoạn từ Km0+554,08 - Km0+672,28</v>
          </cell>
          <cell r="D23" t="str">
            <v xml:space="preserve">ngày 09 tháng 09 năm 2026</v>
          </cell>
          <cell r="G23" t="str">
            <v xml:space="preserve">49.NĐXD4/CVXD </v>
          </cell>
        </row>
        <row r="24">
          <cell r="A24">
            <v>50</v>
          </cell>
          <cell r="B24" t="str">
            <v xml:space="preserve">Đắp đất lề đường lớp 3, độ chặt K&gt;=0,95 đoạn từ Km0+554,08 - Km0+672,28</v>
          </cell>
          <cell r="D24" t="str">
            <v xml:space="preserve">ngày 09 tháng 09 năm 2026</v>
          </cell>
          <cell r="G24" t="str">
            <v xml:space="preserve">50.NĐXD4/CVXD </v>
          </cell>
        </row>
        <row r="25">
          <cell r="A25">
            <v>51</v>
          </cell>
          <cell r="B25" t="str">
            <v xml:space="preserve">Đắp đất lề đường lớp 4, độ chặt K&gt;=0,95 đoạn từ Km0+554,08 - Km0+672,28</v>
          </cell>
          <cell r="D25" t="str">
            <v xml:space="preserve">ngày 10 tháng 09 năm 2026</v>
          </cell>
          <cell r="G25" t="str">
            <v xml:space="preserve">51.NĐXD4/CVXD </v>
          </cell>
        </row>
        <row r="26">
          <cell r="A26">
            <v>52</v>
          </cell>
          <cell r="B26" t="str">
            <v xml:space="preserve">Đắp cấp phối đá dăm loại 1 đoạn từ Km0+554,08 - Km0+672,28</v>
          </cell>
          <cell r="D26" t="str">
            <v xml:space="preserve">ngày 10 tháng 09 năm 2026</v>
          </cell>
          <cell r="G26" t="str">
            <v xml:space="preserve">52.NĐXD4/CVXD </v>
          </cell>
        </row>
        <row r="27">
          <cell r="A27">
            <v>53</v>
          </cell>
          <cell r="B27" t="str">
            <v xml:space="preserve">Vệ sinh, thổi bụi mặt đường </v>
          </cell>
          <cell r="D27" t="str">
            <v xml:space="preserve">ngày 12 tháng 09 năm 2026</v>
          </cell>
          <cell r="G27" t="str">
            <v xml:space="preserve">53.NĐXD4/CVXD </v>
          </cell>
        </row>
        <row r="28">
          <cell r="A28">
            <v>54</v>
          </cell>
          <cell r="B28" t="str">
            <v xml:space="preserve">Tưới lớp thấm bám mặt đường, nhựa MC70, lượng nhựa 1kg/m2</v>
          </cell>
          <cell r="D28" t="str">
            <v xml:space="preserve">ngày 14 tháng 09 năm 2026</v>
          </cell>
          <cell r="G28" t="str">
            <v xml:space="preserve">54.NĐXD4/CVXD </v>
          </cell>
        </row>
        <row r="29">
          <cell r="A29">
            <v>55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17 tháng 09 năm 2026</v>
          </cell>
          <cell r="G29" t="str">
            <v xml:space="preserve">55.NĐXD4/CVXD </v>
          </cell>
        </row>
        <row r="30">
          <cell r="A30">
            <v>56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56.NĐXD4/CVXD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3"/>
    <col collapsed="false" customWidth="true" hidden="true" outlineLevel="0" max="13" min="12" style="1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554.08</v>
      </c>
      <c r="D2" s="0" t="n">
        <v>4</v>
      </c>
      <c r="E2" s="0" t="n">
        <v>4.73</v>
      </c>
      <c r="F2" s="0" t="n">
        <v>-6.42</v>
      </c>
      <c r="G2" s="0" t="n">
        <v>-0.61</v>
      </c>
      <c r="H2" s="1" t="n">
        <v>0</v>
      </c>
      <c r="I2" s="1" t="n">
        <v>-0.61</v>
      </c>
      <c r="J2" s="0" t="n">
        <v>0</v>
      </c>
      <c r="K2" s="0" t="n">
        <v>-0.61</v>
      </c>
      <c r="L2" s="1" t="n">
        <v>0</v>
      </c>
      <c r="M2" s="1" t="n">
        <v>-0.61</v>
      </c>
      <c r="N2" s="0" t="n">
        <v>9.66</v>
      </c>
      <c r="O2" s="0" t="n">
        <v>-0.61</v>
      </c>
      <c r="P2" s="0" t="n">
        <v>15.08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4.55</v>
      </c>
      <c r="F3" s="0" t="n">
        <v>-6.12</v>
      </c>
      <c r="G3" s="0" t="n">
        <v>-0.91</v>
      </c>
      <c r="H3" s="1" t="n">
        <v>0</v>
      </c>
      <c r="I3" s="1" t="n">
        <v>-0.91</v>
      </c>
      <c r="J3" s="0" t="n">
        <v>0</v>
      </c>
      <c r="K3" s="0" t="n">
        <v>-0.91</v>
      </c>
      <c r="L3" s="1" t="n">
        <v>0</v>
      </c>
      <c r="M3" s="1" t="n">
        <v>-0.91</v>
      </c>
      <c r="N3" s="0" t="n">
        <v>9.36</v>
      </c>
      <c r="O3" s="0" t="n">
        <v>-0.91</v>
      </c>
    </row>
    <row r="4" customFormat="false" ht="15" hidden="false" customHeight="false" outlineLevel="0" collapsed="false">
      <c r="D4" s="0" t="n">
        <v>2</v>
      </c>
      <c r="E4" s="0" t="n">
        <v>4.37</v>
      </c>
      <c r="F4" s="0" t="n">
        <v>-5.82</v>
      </c>
      <c r="G4" s="0" t="n">
        <v>-1.21</v>
      </c>
      <c r="H4" s="1" t="n">
        <v>0</v>
      </c>
      <c r="I4" s="1" t="n">
        <v>-1.21</v>
      </c>
      <c r="J4" s="0" t="n">
        <v>0</v>
      </c>
      <c r="K4" s="0" t="n">
        <v>-1.21</v>
      </c>
      <c r="L4" s="1" t="n">
        <v>0</v>
      </c>
      <c r="M4" s="1" t="n">
        <v>-1.21</v>
      </c>
      <c r="N4" s="0" t="n">
        <v>9.06</v>
      </c>
      <c r="O4" s="0" t="n">
        <v>-1.21</v>
      </c>
    </row>
    <row r="5" customFormat="false" ht="15" hidden="false" customHeight="false" outlineLevel="0" collapsed="false">
      <c r="D5" s="0" t="n">
        <v>1</v>
      </c>
      <c r="E5" s="0" t="n">
        <v>1.42</v>
      </c>
      <c r="F5" s="0" t="n">
        <v>-5.52</v>
      </c>
      <c r="G5" s="0" t="n">
        <v>-1.51</v>
      </c>
      <c r="H5" s="1" t="n">
        <v>0</v>
      </c>
      <c r="I5" s="1" t="n">
        <v>-1.51</v>
      </c>
      <c r="J5" s="0" t="n">
        <v>0</v>
      </c>
      <c r="K5" s="0" t="n">
        <v>-1.51</v>
      </c>
      <c r="L5" s="1" t="n">
        <v>0</v>
      </c>
      <c r="M5" s="1" t="n">
        <v>-1.51</v>
      </c>
      <c r="N5" s="0" t="n">
        <v>8.76</v>
      </c>
      <c r="O5" s="0" t="n">
        <v>-1.51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569.48</v>
      </c>
      <c r="D6" s="0" t="n">
        <v>4</v>
      </c>
      <c r="E6" s="0" t="n">
        <v>6.01</v>
      </c>
      <c r="F6" s="0" t="n">
        <v>-9.97</v>
      </c>
      <c r="G6" s="0" t="n">
        <v>-0.61</v>
      </c>
      <c r="H6" s="1" t="n">
        <v>0</v>
      </c>
      <c r="I6" s="1" t="n">
        <v>-0.61</v>
      </c>
      <c r="J6" s="0" t="n">
        <v>0</v>
      </c>
      <c r="K6" s="0" t="n">
        <v>-0.61</v>
      </c>
      <c r="L6" s="1" t="n">
        <v>0</v>
      </c>
      <c r="M6" s="1" t="n">
        <v>-0.61</v>
      </c>
      <c r="N6" s="0" t="n">
        <v>10.34</v>
      </c>
      <c r="O6" s="0" t="n">
        <v>-0.61</v>
      </c>
      <c r="P6" s="0" t="n">
        <v>19.33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5.83</v>
      </c>
      <c r="F7" s="0" t="n">
        <v>-9.67</v>
      </c>
      <c r="G7" s="0" t="n">
        <v>-0.91</v>
      </c>
      <c r="H7" s="1" t="n">
        <v>0</v>
      </c>
      <c r="I7" s="1" t="n">
        <v>-0.91</v>
      </c>
      <c r="J7" s="0" t="n">
        <v>0</v>
      </c>
      <c r="K7" s="0" t="n">
        <v>-0.91</v>
      </c>
      <c r="L7" s="1" t="n">
        <v>0</v>
      </c>
      <c r="M7" s="1" t="n">
        <v>-0.91</v>
      </c>
      <c r="N7" s="0" t="n">
        <v>10.04</v>
      </c>
      <c r="O7" s="0" t="n">
        <v>-0.91</v>
      </c>
    </row>
    <row r="8" customFormat="false" ht="15" hidden="false" customHeight="false" outlineLevel="0" collapsed="false">
      <c r="D8" s="0" t="n">
        <v>2</v>
      </c>
      <c r="E8" s="0" t="n">
        <v>5.65</v>
      </c>
      <c r="F8" s="0" t="n">
        <v>-9.37</v>
      </c>
      <c r="G8" s="0" t="n">
        <v>-1.21</v>
      </c>
      <c r="H8" s="1" t="n">
        <v>0</v>
      </c>
      <c r="I8" s="1" t="n">
        <v>-1.21</v>
      </c>
      <c r="J8" s="0" t="n">
        <v>0</v>
      </c>
      <c r="K8" s="0" t="n">
        <v>-1.21</v>
      </c>
      <c r="L8" s="1" t="n">
        <v>0</v>
      </c>
      <c r="M8" s="1" t="n">
        <v>-1.21</v>
      </c>
      <c r="N8" s="0" t="n">
        <v>9.74</v>
      </c>
      <c r="O8" s="0" t="n">
        <v>-1.21</v>
      </c>
    </row>
    <row r="9" customFormat="false" ht="15" hidden="false" customHeight="false" outlineLevel="0" collapsed="false">
      <c r="D9" s="0" t="n">
        <v>1</v>
      </c>
      <c r="E9" s="0" t="n">
        <v>1.85</v>
      </c>
      <c r="F9" s="0" t="n">
        <v>-9.07</v>
      </c>
      <c r="G9" s="0" t="n">
        <v>-1.51</v>
      </c>
      <c r="H9" s="1" t="n">
        <v>0</v>
      </c>
      <c r="I9" s="1" t="n">
        <v>-1.51</v>
      </c>
      <c r="J9" s="0" t="n">
        <v>0</v>
      </c>
      <c r="K9" s="0" t="n">
        <v>-1.51</v>
      </c>
      <c r="L9" s="1" t="n">
        <v>0</v>
      </c>
      <c r="M9" s="1" t="n">
        <v>-1.51</v>
      </c>
      <c r="N9" s="0" t="n">
        <v>9.44</v>
      </c>
      <c r="O9" s="0" t="n">
        <v>-1.51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573.12</v>
      </c>
      <c r="D10" s="0" t="n">
        <v>4</v>
      </c>
      <c r="E10" s="0" t="n">
        <v>6.5</v>
      </c>
      <c r="F10" s="0" t="n">
        <v>-11.66</v>
      </c>
      <c r="G10" s="0" t="n">
        <v>-0.61</v>
      </c>
      <c r="H10" s="1" t="n">
        <v>0</v>
      </c>
      <c r="I10" s="1" t="n">
        <v>-0.61</v>
      </c>
      <c r="J10" s="0" t="n">
        <v>0</v>
      </c>
      <c r="K10" s="0" t="n">
        <v>-0.61</v>
      </c>
      <c r="L10" s="1" t="n">
        <v>0</v>
      </c>
      <c r="M10" s="1" t="n">
        <v>-0.61</v>
      </c>
      <c r="N10" s="0" t="n">
        <v>10.31</v>
      </c>
      <c r="O10" s="0" t="n">
        <v>-0.61</v>
      </c>
      <c r="P10" s="0" t="n">
        <v>20.97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6.32</v>
      </c>
      <c r="F11" s="0" t="n">
        <v>-11.36</v>
      </c>
      <c r="G11" s="0" t="n">
        <v>-0.91</v>
      </c>
      <c r="H11" s="1" t="n">
        <v>0</v>
      </c>
      <c r="I11" s="1" t="n">
        <v>-0.91</v>
      </c>
      <c r="J11" s="0" t="n">
        <v>0</v>
      </c>
      <c r="K11" s="0" t="n">
        <v>-0.91</v>
      </c>
      <c r="L11" s="1" t="n">
        <v>0</v>
      </c>
      <c r="M11" s="1" t="n">
        <v>-0.91</v>
      </c>
      <c r="N11" s="0" t="n">
        <v>10.01</v>
      </c>
      <c r="O11" s="0" t="n">
        <v>-0.91</v>
      </c>
    </row>
    <row r="12" customFormat="false" ht="15" hidden="false" customHeight="false" outlineLevel="0" collapsed="false">
      <c r="D12" s="0" t="n">
        <v>2</v>
      </c>
      <c r="E12" s="0" t="n">
        <v>6.14</v>
      </c>
      <c r="F12" s="0" t="n">
        <v>-11.06</v>
      </c>
      <c r="G12" s="0" t="n">
        <v>-1.21</v>
      </c>
      <c r="H12" s="1" t="n">
        <v>0</v>
      </c>
      <c r="I12" s="1" t="n">
        <v>-1.21</v>
      </c>
      <c r="J12" s="0" t="n">
        <v>0</v>
      </c>
      <c r="K12" s="0" t="n">
        <v>-1.21</v>
      </c>
      <c r="L12" s="1" t="n">
        <v>0</v>
      </c>
      <c r="M12" s="1" t="n">
        <v>-1.21</v>
      </c>
      <c r="N12" s="0" t="n">
        <v>9.71</v>
      </c>
      <c r="O12" s="0" t="n">
        <v>-1.21</v>
      </c>
    </row>
    <row r="13" customFormat="false" ht="15" hidden="false" customHeight="false" outlineLevel="0" collapsed="false">
      <c r="D13" s="0" t="n">
        <v>1</v>
      </c>
      <c r="E13" s="0" t="n">
        <v>2.01</v>
      </c>
      <c r="F13" s="0" t="n">
        <v>-10.76</v>
      </c>
      <c r="G13" s="0" t="n">
        <v>-1.51</v>
      </c>
      <c r="H13" s="1" t="n">
        <v>0</v>
      </c>
      <c r="I13" s="1" t="n">
        <v>-1.51</v>
      </c>
      <c r="J13" s="0" t="n">
        <v>0</v>
      </c>
      <c r="K13" s="0" t="n">
        <v>-1.51</v>
      </c>
      <c r="L13" s="1" t="n">
        <v>0</v>
      </c>
      <c r="M13" s="1" t="n">
        <v>-1.51</v>
      </c>
      <c r="N13" s="0" t="n">
        <v>9.41</v>
      </c>
      <c r="O13" s="0" t="n">
        <v>-1.51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579.68</v>
      </c>
      <c r="D14" s="0" t="n">
        <v>4</v>
      </c>
      <c r="E14" s="0" t="n">
        <v>7.66</v>
      </c>
      <c r="F14" s="0" t="n">
        <v>-10.58</v>
      </c>
      <c r="G14" s="0" t="n">
        <v>-0.61</v>
      </c>
      <c r="H14" s="1" t="n">
        <v>0</v>
      </c>
      <c r="I14" s="1" t="n">
        <v>-0.61</v>
      </c>
      <c r="J14" s="0" t="n">
        <v>0</v>
      </c>
      <c r="K14" s="0" t="n">
        <v>-0.61</v>
      </c>
      <c r="L14" s="1" t="n">
        <v>0</v>
      </c>
      <c r="M14" s="1" t="n">
        <v>-0.61</v>
      </c>
      <c r="N14" s="0" t="n">
        <v>15.26</v>
      </c>
      <c r="O14" s="0" t="n">
        <v>-0.61</v>
      </c>
      <c r="P14" s="0" t="n">
        <v>24.84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7.48</v>
      </c>
      <c r="F15" s="0" t="n">
        <v>-10.28</v>
      </c>
      <c r="G15" s="0" t="n">
        <v>-0.91</v>
      </c>
      <c r="H15" s="1" t="n">
        <v>0</v>
      </c>
      <c r="I15" s="1" t="n">
        <v>-0.91</v>
      </c>
      <c r="J15" s="0" t="n">
        <v>0</v>
      </c>
      <c r="K15" s="0" t="n">
        <v>-0.91</v>
      </c>
      <c r="L15" s="1" t="n">
        <v>0</v>
      </c>
      <c r="M15" s="1" t="n">
        <v>-0.91</v>
      </c>
      <c r="N15" s="0" t="n">
        <v>14.96</v>
      </c>
      <c r="O15" s="0" t="n">
        <v>-0.91</v>
      </c>
    </row>
    <row r="16" customFormat="false" ht="15" hidden="false" customHeight="false" outlineLevel="0" collapsed="false">
      <c r="D16" s="0" t="n">
        <v>2</v>
      </c>
      <c r="E16" s="0" t="n">
        <v>7.3</v>
      </c>
      <c r="F16" s="0" t="n">
        <v>-9.98</v>
      </c>
      <c r="G16" s="0" t="n">
        <v>-1.21</v>
      </c>
      <c r="H16" s="1" t="n">
        <v>0</v>
      </c>
      <c r="I16" s="1" t="n">
        <v>-1.21</v>
      </c>
      <c r="J16" s="0" t="n">
        <v>0</v>
      </c>
      <c r="K16" s="0" t="n">
        <v>-1.21</v>
      </c>
      <c r="L16" s="1" t="n">
        <v>0</v>
      </c>
      <c r="M16" s="1" t="n">
        <v>-1.21</v>
      </c>
      <c r="N16" s="0" t="n">
        <v>14.66</v>
      </c>
      <c r="O16" s="0" t="n">
        <v>-1.21</v>
      </c>
    </row>
    <row r="17" customFormat="false" ht="15" hidden="false" customHeight="false" outlineLevel="0" collapsed="false">
      <c r="D17" s="0" t="n">
        <v>1</v>
      </c>
      <c r="E17" s="0" t="n">
        <v>2.39</v>
      </c>
      <c r="F17" s="0" t="n">
        <v>-9.68</v>
      </c>
      <c r="G17" s="0" t="n">
        <v>-1.51</v>
      </c>
      <c r="H17" s="1" t="n">
        <v>0</v>
      </c>
      <c r="I17" s="1" t="n">
        <v>-1.51</v>
      </c>
      <c r="J17" s="0" t="n">
        <v>0</v>
      </c>
      <c r="K17" s="0" t="n">
        <v>-1.51</v>
      </c>
      <c r="L17" s="1" t="n">
        <v>0</v>
      </c>
      <c r="M17" s="1" t="n">
        <v>-1.51</v>
      </c>
      <c r="N17" s="0" t="n">
        <v>14.36</v>
      </c>
      <c r="O17" s="0" t="n">
        <v>-1.51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584.52</v>
      </c>
      <c r="D18" s="0" t="n">
        <v>4</v>
      </c>
      <c r="E18" s="0" t="n">
        <v>7.77</v>
      </c>
      <c r="F18" s="0" t="n">
        <v>-10.91</v>
      </c>
      <c r="G18" s="0" t="n">
        <v>-0.61</v>
      </c>
      <c r="H18" s="1" t="n">
        <v>0</v>
      </c>
      <c r="I18" s="1" t="n">
        <v>-0.61</v>
      </c>
      <c r="J18" s="0" t="n">
        <v>0</v>
      </c>
      <c r="K18" s="0" t="n">
        <v>-0.61</v>
      </c>
      <c r="L18" s="1" t="n">
        <v>0</v>
      </c>
      <c r="M18" s="1" t="n">
        <v>-0.61</v>
      </c>
      <c r="N18" s="0" t="n">
        <v>15.28</v>
      </c>
      <c r="O18" s="0" t="n">
        <v>-0.61</v>
      </c>
      <c r="P18" s="0" t="n">
        <v>25.19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7.59</v>
      </c>
      <c r="F19" s="0" t="n">
        <v>-10.61</v>
      </c>
      <c r="G19" s="0" t="n">
        <v>-0.91</v>
      </c>
      <c r="H19" s="1" t="n">
        <v>0</v>
      </c>
      <c r="I19" s="1" t="n">
        <v>-0.91</v>
      </c>
      <c r="J19" s="0" t="n">
        <v>0</v>
      </c>
      <c r="K19" s="0" t="n">
        <v>-0.91</v>
      </c>
      <c r="L19" s="1" t="n">
        <v>0</v>
      </c>
      <c r="M19" s="1" t="n">
        <v>-0.91</v>
      </c>
      <c r="N19" s="0" t="n">
        <v>14.98</v>
      </c>
      <c r="O19" s="0" t="n">
        <v>-0.91</v>
      </c>
    </row>
    <row r="20" customFormat="false" ht="15" hidden="false" customHeight="false" outlineLevel="0" collapsed="false">
      <c r="D20" s="0" t="n">
        <v>2</v>
      </c>
      <c r="E20" s="0" t="n">
        <v>7.41</v>
      </c>
      <c r="F20" s="0" t="n">
        <v>-10.31</v>
      </c>
      <c r="G20" s="0" t="n">
        <v>-1.21</v>
      </c>
      <c r="H20" s="1" t="n">
        <v>0</v>
      </c>
      <c r="I20" s="1" t="n">
        <v>-1.21</v>
      </c>
      <c r="J20" s="0" t="n">
        <v>0</v>
      </c>
      <c r="K20" s="0" t="n">
        <v>-1.21</v>
      </c>
      <c r="L20" s="1" t="n">
        <v>0</v>
      </c>
      <c r="M20" s="1" t="n">
        <v>-1.21</v>
      </c>
      <c r="N20" s="0" t="n">
        <v>14.68</v>
      </c>
      <c r="O20" s="0" t="n">
        <v>-1.21</v>
      </c>
    </row>
    <row r="21" customFormat="false" ht="15" hidden="false" customHeight="false" outlineLevel="0" collapsed="false">
      <c r="D21" s="0" t="n">
        <v>1</v>
      </c>
      <c r="E21" s="0" t="n">
        <v>2.43</v>
      </c>
      <c r="F21" s="0" t="n">
        <v>-10.01</v>
      </c>
      <c r="G21" s="0" t="n">
        <v>-1.51</v>
      </c>
      <c r="H21" s="1" t="n">
        <v>0</v>
      </c>
      <c r="I21" s="1" t="n">
        <v>-1.51</v>
      </c>
      <c r="J21" s="0" t="n">
        <v>0</v>
      </c>
      <c r="K21" s="0" t="n">
        <v>-1.51</v>
      </c>
      <c r="L21" s="1" t="n">
        <v>0</v>
      </c>
      <c r="M21" s="1" t="n">
        <v>-1.51</v>
      </c>
      <c r="N21" s="0" t="n">
        <v>14.38</v>
      </c>
      <c r="O21" s="0" t="n">
        <v>-1.51</v>
      </c>
    </row>
    <row r="22" customFormat="false" ht="15" hidden="false" customHeight="false" outlineLevel="0" collapsed="false">
      <c r="A22" s="1" t="n">
        <v>6</v>
      </c>
      <c r="B22" s="1" t="s">
        <v>1</v>
      </c>
      <c r="C22" s="0" t="n">
        <v>586.23</v>
      </c>
      <c r="D22" s="0" t="n">
        <v>4</v>
      </c>
      <c r="E22" s="0" t="n">
        <v>7.74</v>
      </c>
      <c r="F22" s="0" t="n">
        <v>-10.91</v>
      </c>
      <c r="G22" s="0" t="n">
        <v>-0.61</v>
      </c>
      <c r="H22" s="1" t="n">
        <v>0</v>
      </c>
      <c r="I22" s="1" t="n">
        <v>-0.61</v>
      </c>
      <c r="J22" s="0" t="n">
        <v>0</v>
      </c>
      <c r="K22" s="0" t="n">
        <v>-0.61</v>
      </c>
      <c r="L22" s="1" t="n">
        <v>0</v>
      </c>
      <c r="M22" s="1" t="n">
        <v>-0.61</v>
      </c>
      <c r="N22" s="0" t="n">
        <v>15.21</v>
      </c>
      <c r="O22" s="0" t="n">
        <v>-0.61</v>
      </c>
      <c r="P22" s="0" t="n">
        <v>25.12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7.56</v>
      </c>
      <c r="F23" s="0" t="n">
        <v>-10.61</v>
      </c>
      <c r="G23" s="0" t="n">
        <v>-0.91</v>
      </c>
      <c r="H23" s="1" t="n">
        <v>0</v>
      </c>
      <c r="I23" s="1" t="n">
        <v>-0.91</v>
      </c>
      <c r="J23" s="0" t="n">
        <v>0</v>
      </c>
      <c r="K23" s="0" t="n">
        <v>-0.91</v>
      </c>
      <c r="L23" s="1" t="n">
        <v>0</v>
      </c>
      <c r="M23" s="1" t="n">
        <v>-0.91</v>
      </c>
      <c r="N23" s="0" t="n">
        <v>14.91</v>
      </c>
      <c r="O23" s="0" t="n">
        <v>-0.91</v>
      </c>
    </row>
    <row r="24" customFormat="false" ht="15" hidden="false" customHeight="false" outlineLevel="0" collapsed="false">
      <c r="D24" s="0" t="n">
        <v>2</v>
      </c>
      <c r="E24" s="0" t="n">
        <v>7.38</v>
      </c>
      <c r="F24" s="0" t="n">
        <v>-10.31</v>
      </c>
      <c r="G24" s="0" t="n">
        <v>-1.21</v>
      </c>
      <c r="H24" s="1" t="n">
        <v>0</v>
      </c>
      <c r="I24" s="1" t="n">
        <v>-1.21</v>
      </c>
      <c r="J24" s="0" t="n">
        <v>0</v>
      </c>
      <c r="K24" s="0" t="n">
        <v>-1.21</v>
      </c>
      <c r="L24" s="1" t="n">
        <v>0</v>
      </c>
      <c r="M24" s="1" t="n">
        <v>-1.21</v>
      </c>
      <c r="N24" s="0" t="n">
        <v>14.61</v>
      </c>
      <c r="O24" s="0" t="n">
        <v>-1.21</v>
      </c>
    </row>
    <row r="25" customFormat="false" ht="15" hidden="false" customHeight="false" outlineLevel="0" collapsed="false">
      <c r="D25" s="0" t="n">
        <v>1</v>
      </c>
      <c r="E25" s="0" t="n">
        <v>2.42</v>
      </c>
      <c r="F25" s="0" t="n">
        <v>-10.01</v>
      </c>
      <c r="G25" s="0" t="n">
        <v>-1.51</v>
      </c>
      <c r="H25" s="1" t="n">
        <v>0</v>
      </c>
      <c r="I25" s="1" t="n">
        <v>-1.51</v>
      </c>
      <c r="J25" s="0" t="n">
        <v>0</v>
      </c>
      <c r="K25" s="0" t="n">
        <v>-1.51</v>
      </c>
      <c r="L25" s="1" t="n">
        <v>0</v>
      </c>
      <c r="M25" s="1" t="n">
        <v>-1.51</v>
      </c>
      <c r="N25" s="0" t="n">
        <v>14.3</v>
      </c>
      <c r="O25" s="0" t="n">
        <v>-1.51</v>
      </c>
    </row>
    <row r="26" customFormat="false" ht="15" hidden="false" customHeight="false" outlineLevel="0" collapsed="false">
      <c r="A26" s="1" t="n">
        <v>7</v>
      </c>
      <c r="B26" s="1" t="s">
        <v>22</v>
      </c>
      <c r="C26" s="0" t="n">
        <v>597.78</v>
      </c>
      <c r="D26" s="0" t="n">
        <v>4</v>
      </c>
      <c r="E26" s="0" t="n">
        <v>4.7</v>
      </c>
      <c r="F26" s="0" t="n">
        <v>-5.5</v>
      </c>
      <c r="G26" s="0" t="n">
        <v>-0.61</v>
      </c>
      <c r="H26" s="1" t="n">
        <v>0</v>
      </c>
      <c r="I26" s="1" t="n">
        <v>-0.61</v>
      </c>
      <c r="J26" s="0" t="n">
        <v>0</v>
      </c>
      <c r="K26" s="0" t="n">
        <v>-0.61</v>
      </c>
      <c r="L26" s="1" t="n">
        <v>0</v>
      </c>
      <c r="M26" s="1" t="n">
        <v>-0.61</v>
      </c>
      <c r="N26" s="0" t="n">
        <v>10.3</v>
      </c>
      <c r="O26" s="0" t="n">
        <v>-0.61</v>
      </c>
      <c r="P26" s="0" t="n">
        <v>15.3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4.61</v>
      </c>
      <c r="F27" s="0" t="n">
        <v>-5.5</v>
      </c>
      <c r="G27" s="0" t="n">
        <v>-0.91</v>
      </c>
      <c r="H27" s="1" t="n">
        <v>0</v>
      </c>
      <c r="I27" s="1" t="n">
        <v>-0.91</v>
      </c>
      <c r="J27" s="0" t="n">
        <v>0</v>
      </c>
      <c r="K27" s="0" t="n">
        <v>-0.91</v>
      </c>
      <c r="L27" s="1" t="n">
        <v>0</v>
      </c>
      <c r="M27" s="1" t="n">
        <v>-0.91</v>
      </c>
      <c r="N27" s="0" t="n">
        <v>10</v>
      </c>
      <c r="O27" s="0" t="n">
        <v>-0.91</v>
      </c>
    </row>
    <row r="28" customFormat="false" ht="15" hidden="false" customHeight="false" outlineLevel="0" collapsed="false">
      <c r="D28" s="0" t="n">
        <v>2</v>
      </c>
      <c r="E28" s="0" t="n">
        <v>4.52</v>
      </c>
      <c r="F28" s="0" t="n">
        <v>-5.5</v>
      </c>
      <c r="G28" s="0" t="n">
        <v>-1.21</v>
      </c>
      <c r="H28" s="1" t="n">
        <v>0</v>
      </c>
      <c r="I28" s="1" t="n">
        <v>-1.21</v>
      </c>
      <c r="J28" s="0" t="n">
        <v>0</v>
      </c>
      <c r="K28" s="0" t="n">
        <v>-1.21</v>
      </c>
      <c r="L28" s="1" t="n">
        <v>0</v>
      </c>
      <c r="M28" s="1" t="n">
        <v>-1.21</v>
      </c>
      <c r="N28" s="0" t="n">
        <v>9.7</v>
      </c>
      <c r="O28" s="0" t="n">
        <v>-1.21</v>
      </c>
    </row>
    <row r="29" customFormat="false" ht="15" hidden="false" customHeight="false" outlineLevel="0" collapsed="false">
      <c r="D29" s="0" t="n">
        <v>1</v>
      </c>
      <c r="E29" s="0" t="n">
        <v>1.49</v>
      </c>
      <c r="F29" s="0" t="n">
        <v>-5.5</v>
      </c>
      <c r="G29" s="0" t="n">
        <v>-1.51</v>
      </c>
      <c r="H29" s="1" t="n">
        <v>0</v>
      </c>
      <c r="I29" s="1" t="n">
        <v>-1.51</v>
      </c>
      <c r="J29" s="0" t="n">
        <v>0</v>
      </c>
      <c r="K29" s="0" t="n">
        <v>-1.51</v>
      </c>
      <c r="L29" s="1" t="n">
        <v>0</v>
      </c>
      <c r="M29" s="1" t="n">
        <v>-1.51</v>
      </c>
      <c r="N29" s="0" t="n">
        <v>9.4</v>
      </c>
      <c r="O29" s="0" t="n">
        <v>-1.51</v>
      </c>
    </row>
    <row r="30" customFormat="false" ht="15" hidden="false" customHeight="false" outlineLevel="0" collapsed="false">
      <c r="A30" s="1" t="n">
        <v>8</v>
      </c>
      <c r="B30" s="1" t="s">
        <v>23</v>
      </c>
      <c r="C30" s="0" t="n">
        <v>614.78</v>
      </c>
      <c r="D30" s="0" t="n">
        <v>4</v>
      </c>
      <c r="E30" s="0" t="n">
        <v>4.69</v>
      </c>
      <c r="F30" s="0" t="n">
        <v>-6</v>
      </c>
      <c r="G30" s="0" t="n">
        <v>-0.61</v>
      </c>
      <c r="H30" s="1" t="n">
        <v>0</v>
      </c>
      <c r="I30" s="1" t="n">
        <v>-0.61</v>
      </c>
      <c r="J30" s="0" t="n">
        <v>0</v>
      </c>
      <c r="K30" s="0" t="n">
        <v>-0.61</v>
      </c>
      <c r="L30" s="1" t="n">
        <v>0</v>
      </c>
      <c r="M30" s="1" t="n">
        <v>-0.61</v>
      </c>
      <c r="N30" s="0" t="n">
        <v>9.78</v>
      </c>
      <c r="O30" s="0" t="n">
        <v>-0.61</v>
      </c>
      <c r="P30" s="0" t="n">
        <v>15.28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4.6</v>
      </c>
      <c r="F31" s="0" t="n">
        <v>-6</v>
      </c>
      <c r="G31" s="0" t="n">
        <v>-0.91</v>
      </c>
      <c r="H31" s="1" t="n">
        <v>0</v>
      </c>
      <c r="I31" s="1" t="n">
        <v>-0.91</v>
      </c>
      <c r="J31" s="0" t="n">
        <v>0</v>
      </c>
      <c r="K31" s="0" t="n">
        <v>-0.91</v>
      </c>
      <c r="L31" s="1" t="n">
        <v>0</v>
      </c>
      <c r="M31" s="1" t="n">
        <v>-0.91</v>
      </c>
      <c r="N31" s="0" t="n">
        <v>9.48</v>
      </c>
      <c r="O31" s="0" t="n">
        <v>-0.91</v>
      </c>
    </row>
    <row r="32" customFormat="false" ht="15" hidden="false" customHeight="false" outlineLevel="0" collapsed="false">
      <c r="D32" s="0" t="n">
        <v>2</v>
      </c>
      <c r="E32" s="0" t="n">
        <v>4.51</v>
      </c>
      <c r="F32" s="0" t="n">
        <v>-6</v>
      </c>
      <c r="G32" s="0" t="n">
        <v>-1.21</v>
      </c>
      <c r="H32" s="1" t="n">
        <v>0</v>
      </c>
      <c r="I32" s="1" t="n">
        <v>-1.21</v>
      </c>
      <c r="J32" s="0" t="n">
        <v>0</v>
      </c>
      <c r="K32" s="0" t="n">
        <v>-1.21</v>
      </c>
      <c r="L32" s="1" t="n">
        <v>0</v>
      </c>
      <c r="M32" s="1" t="n">
        <v>-1.21</v>
      </c>
      <c r="N32" s="0" t="n">
        <v>9.18</v>
      </c>
      <c r="O32" s="0" t="n">
        <v>-1.21</v>
      </c>
    </row>
    <row r="33" customFormat="false" ht="15" hidden="false" customHeight="false" outlineLevel="0" collapsed="false">
      <c r="D33" s="0" t="n">
        <v>1</v>
      </c>
      <c r="E33" s="0" t="n">
        <v>1.48</v>
      </c>
      <c r="F33" s="0" t="n">
        <v>-6</v>
      </c>
      <c r="G33" s="0" t="n">
        <v>-1.51</v>
      </c>
      <c r="H33" s="1" t="n">
        <v>0</v>
      </c>
      <c r="I33" s="1" t="n">
        <v>-1.51</v>
      </c>
      <c r="J33" s="0" t="n">
        <v>0</v>
      </c>
      <c r="K33" s="0" t="n">
        <v>-1.51</v>
      </c>
      <c r="L33" s="1" t="n">
        <v>0</v>
      </c>
      <c r="M33" s="1" t="n">
        <v>-1.51</v>
      </c>
      <c r="N33" s="0" t="n">
        <v>8.88</v>
      </c>
      <c r="O33" s="0" t="n">
        <v>-1.51</v>
      </c>
    </row>
    <row r="34" customFormat="false" ht="15" hidden="false" customHeight="false" outlineLevel="0" collapsed="false">
      <c r="A34" s="1" t="n">
        <v>9</v>
      </c>
      <c r="B34" s="1" t="s">
        <v>24</v>
      </c>
      <c r="C34" s="0" t="n">
        <v>631.83</v>
      </c>
      <c r="D34" s="0" t="n">
        <v>4</v>
      </c>
      <c r="E34" s="0" t="n">
        <v>5.55</v>
      </c>
      <c r="F34" s="0" t="n">
        <v>-9.19</v>
      </c>
      <c r="G34" s="0" t="n">
        <v>-0.62</v>
      </c>
      <c r="H34" s="1" t="n">
        <v>0</v>
      </c>
      <c r="I34" s="1" t="n">
        <v>-0.62</v>
      </c>
      <c r="J34" s="0" t="n">
        <v>0</v>
      </c>
      <c r="K34" s="0" t="n">
        <v>-0.62</v>
      </c>
      <c r="L34" s="1" t="n">
        <v>0</v>
      </c>
      <c r="M34" s="1" t="n">
        <v>-0.62</v>
      </c>
      <c r="N34" s="0" t="n">
        <v>9.61</v>
      </c>
      <c r="O34" s="0" t="n">
        <v>-0.62</v>
      </c>
      <c r="P34" s="0" t="n">
        <v>17.8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5.37</v>
      </c>
      <c r="F35" s="0" t="n">
        <v>-8.89</v>
      </c>
      <c r="G35" s="0" t="n">
        <v>-0.92</v>
      </c>
      <c r="H35" s="1" t="n">
        <v>0</v>
      </c>
      <c r="I35" s="1" t="n">
        <v>-0.92</v>
      </c>
      <c r="J35" s="0" t="n">
        <v>0</v>
      </c>
      <c r="K35" s="0" t="n">
        <v>-0.92</v>
      </c>
      <c r="L35" s="1" t="n">
        <v>0</v>
      </c>
      <c r="M35" s="1" t="n">
        <v>-0.92</v>
      </c>
      <c r="N35" s="0" t="n">
        <v>9.31</v>
      </c>
      <c r="O35" s="0" t="n">
        <v>-0.92</v>
      </c>
    </row>
    <row r="36" customFormat="false" ht="15" hidden="false" customHeight="false" outlineLevel="0" collapsed="false">
      <c r="D36" s="0" t="n">
        <v>2</v>
      </c>
      <c r="E36" s="0" t="n">
        <v>5.19</v>
      </c>
      <c r="F36" s="0" t="n">
        <v>-8.59</v>
      </c>
      <c r="G36" s="0" t="n">
        <v>-1.22</v>
      </c>
      <c r="H36" s="1" t="n">
        <v>0</v>
      </c>
      <c r="I36" s="1" t="n">
        <v>-1.22</v>
      </c>
      <c r="J36" s="0" t="n">
        <v>0</v>
      </c>
      <c r="K36" s="0" t="n">
        <v>-1.22</v>
      </c>
      <c r="L36" s="1" t="n">
        <v>0</v>
      </c>
      <c r="M36" s="1" t="n">
        <v>-1.22</v>
      </c>
      <c r="N36" s="0" t="n">
        <v>9.01</v>
      </c>
      <c r="O36" s="0" t="n">
        <v>-1.22</v>
      </c>
    </row>
    <row r="37" customFormat="false" ht="15" hidden="false" customHeight="false" outlineLevel="0" collapsed="false">
      <c r="D37" s="0" t="n">
        <v>1</v>
      </c>
      <c r="E37" s="0" t="n">
        <v>1.69</v>
      </c>
      <c r="F37" s="0" t="n">
        <v>-8.29</v>
      </c>
      <c r="G37" s="0" t="n">
        <v>-1.52</v>
      </c>
      <c r="H37" s="1" t="n">
        <v>0</v>
      </c>
      <c r="I37" s="1" t="n">
        <v>-1.52</v>
      </c>
      <c r="J37" s="0" t="n">
        <v>0</v>
      </c>
      <c r="K37" s="0" t="n">
        <v>-1.52</v>
      </c>
      <c r="L37" s="1" t="n">
        <v>0</v>
      </c>
      <c r="M37" s="1" t="n">
        <v>-1.52</v>
      </c>
      <c r="N37" s="0" t="n">
        <v>8.71</v>
      </c>
      <c r="O37" s="0" t="n">
        <v>-1.52</v>
      </c>
    </row>
    <row r="38" customFormat="false" ht="15" hidden="false" customHeight="false" outlineLevel="0" collapsed="false">
      <c r="A38" s="1" t="n">
        <v>10</v>
      </c>
      <c r="B38" s="1" t="s">
        <v>25</v>
      </c>
      <c r="C38" s="0" t="n">
        <v>643.53</v>
      </c>
      <c r="D38" s="0" t="n">
        <v>4</v>
      </c>
      <c r="E38" s="0" t="n">
        <v>7.39</v>
      </c>
      <c r="F38" s="0" t="n">
        <v>-10.26</v>
      </c>
      <c r="G38" s="0" t="n">
        <v>-0.62</v>
      </c>
      <c r="H38" s="1" t="n">
        <v>0</v>
      </c>
      <c r="I38" s="1" t="n">
        <v>-0.62</v>
      </c>
      <c r="J38" s="0" t="n">
        <v>0</v>
      </c>
      <c r="K38" s="0" t="n">
        <v>-0.62</v>
      </c>
      <c r="L38" s="1" t="n">
        <v>0</v>
      </c>
      <c r="M38" s="1" t="n">
        <v>-0.62</v>
      </c>
      <c r="N38" s="0" t="n">
        <v>14.66</v>
      </c>
      <c r="O38" s="0" t="n">
        <v>-0.62</v>
      </c>
      <c r="P38" s="0" t="n">
        <v>23.92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7.21</v>
      </c>
      <c r="F39" s="0" t="n">
        <v>-9.96</v>
      </c>
      <c r="G39" s="0" t="n">
        <v>-0.92</v>
      </c>
      <c r="H39" s="1" t="n">
        <v>0</v>
      </c>
      <c r="I39" s="1" t="n">
        <v>-0.92</v>
      </c>
      <c r="J39" s="0" t="n">
        <v>0</v>
      </c>
      <c r="K39" s="0" t="n">
        <v>-0.92</v>
      </c>
      <c r="L39" s="1" t="n">
        <v>0</v>
      </c>
      <c r="M39" s="1" t="n">
        <v>-0.92</v>
      </c>
      <c r="N39" s="0" t="n">
        <v>14.36</v>
      </c>
      <c r="O39" s="0" t="n">
        <v>-0.92</v>
      </c>
    </row>
    <row r="40" customFormat="false" ht="15" hidden="false" customHeight="false" outlineLevel="0" collapsed="false">
      <c r="D40" s="0" t="n">
        <v>2</v>
      </c>
      <c r="E40" s="0" t="n">
        <v>7.03</v>
      </c>
      <c r="F40" s="0" t="n">
        <v>-9.66</v>
      </c>
      <c r="G40" s="0" t="n">
        <v>-1.22</v>
      </c>
      <c r="H40" s="1" t="n">
        <v>0</v>
      </c>
      <c r="I40" s="1" t="n">
        <v>-1.22</v>
      </c>
      <c r="J40" s="0" t="n">
        <v>0</v>
      </c>
      <c r="K40" s="0" t="n">
        <v>-1.22</v>
      </c>
      <c r="L40" s="1" t="n">
        <v>0</v>
      </c>
      <c r="M40" s="1" t="n">
        <v>-1.22</v>
      </c>
      <c r="N40" s="0" t="n">
        <v>14.06</v>
      </c>
      <c r="O40" s="0" t="n">
        <v>-1.22</v>
      </c>
    </row>
    <row r="41" customFormat="false" ht="15" hidden="false" customHeight="false" outlineLevel="0" collapsed="false">
      <c r="D41" s="0" t="n">
        <v>1</v>
      </c>
      <c r="E41" s="0" t="n">
        <v>2.3</v>
      </c>
      <c r="F41" s="0" t="n">
        <v>-9.36</v>
      </c>
      <c r="G41" s="0" t="n">
        <v>-1.52</v>
      </c>
      <c r="H41" s="1" t="n">
        <v>0</v>
      </c>
      <c r="I41" s="1" t="n">
        <v>-1.52</v>
      </c>
      <c r="J41" s="0" t="n">
        <v>0</v>
      </c>
      <c r="K41" s="0" t="n">
        <v>-1.52</v>
      </c>
      <c r="L41" s="1" t="n">
        <v>0</v>
      </c>
      <c r="M41" s="1" t="n">
        <v>-1.52</v>
      </c>
      <c r="N41" s="0" t="n">
        <v>13.76</v>
      </c>
      <c r="O41" s="0" t="n">
        <v>-1.52</v>
      </c>
    </row>
    <row r="42" customFormat="false" ht="15" hidden="false" customHeight="false" outlineLevel="0" collapsed="false">
      <c r="A42" s="1" t="n">
        <v>11</v>
      </c>
      <c r="B42" s="1" t="s">
        <v>26</v>
      </c>
      <c r="C42" s="0" t="n">
        <v>655.28</v>
      </c>
      <c r="D42" s="0" t="n">
        <v>4</v>
      </c>
      <c r="E42" s="0" t="n">
        <v>5.7</v>
      </c>
      <c r="F42" s="0" t="n">
        <v>-8.85</v>
      </c>
      <c r="G42" s="0" t="n">
        <v>-0.62</v>
      </c>
      <c r="H42" s="1" t="n">
        <v>0</v>
      </c>
      <c r="I42" s="1" t="n">
        <v>-0.62</v>
      </c>
      <c r="J42" s="0" t="n">
        <v>0</v>
      </c>
      <c r="K42" s="0" t="n">
        <v>-0.62</v>
      </c>
      <c r="L42" s="1" t="n">
        <v>0</v>
      </c>
      <c r="M42" s="1" t="n">
        <v>-0.62</v>
      </c>
      <c r="N42" s="0" t="n">
        <v>10.44</v>
      </c>
      <c r="O42" s="0" t="n">
        <v>-0.62</v>
      </c>
      <c r="P42" s="0" t="n">
        <v>18.29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5.52</v>
      </c>
      <c r="F43" s="0" t="n">
        <v>-8.55</v>
      </c>
      <c r="G43" s="0" t="n">
        <v>-0.92</v>
      </c>
      <c r="H43" s="1" t="n">
        <v>0</v>
      </c>
      <c r="I43" s="1" t="n">
        <v>-0.92</v>
      </c>
      <c r="J43" s="0" t="n">
        <v>0</v>
      </c>
      <c r="K43" s="0" t="n">
        <v>-0.92</v>
      </c>
      <c r="L43" s="1" t="n">
        <v>0</v>
      </c>
      <c r="M43" s="1" t="n">
        <v>-0.92</v>
      </c>
      <c r="N43" s="0" t="n">
        <v>10.14</v>
      </c>
      <c r="O43" s="0" t="n">
        <v>-0.92</v>
      </c>
    </row>
    <row r="44" customFormat="false" ht="15" hidden="false" customHeight="false" outlineLevel="0" collapsed="false">
      <c r="D44" s="0" t="n">
        <v>2</v>
      </c>
      <c r="E44" s="0" t="n">
        <v>5.34</v>
      </c>
      <c r="F44" s="0" t="n">
        <v>-8.25</v>
      </c>
      <c r="G44" s="0" t="n">
        <v>-1.22</v>
      </c>
      <c r="H44" s="1" t="n">
        <v>0</v>
      </c>
      <c r="I44" s="1" t="n">
        <v>-1.22</v>
      </c>
      <c r="J44" s="0" t="n">
        <v>0</v>
      </c>
      <c r="K44" s="0" t="n">
        <v>-1.22</v>
      </c>
      <c r="L44" s="1" t="n">
        <v>0</v>
      </c>
      <c r="M44" s="1" t="n">
        <v>-1.22</v>
      </c>
      <c r="N44" s="0" t="n">
        <v>9.84</v>
      </c>
      <c r="O44" s="0" t="n">
        <v>-1.22</v>
      </c>
    </row>
    <row r="45" customFormat="false" ht="15" hidden="false" customHeight="false" outlineLevel="0" collapsed="false">
      <c r="D45" s="0" t="n">
        <v>1</v>
      </c>
      <c r="E45" s="0" t="n">
        <v>1.74</v>
      </c>
      <c r="F45" s="0" t="n">
        <v>-7.95</v>
      </c>
      <c r="G45" s="0" t="n">
        <v>-1.52</v>
      </c>
      <c r="H45" s="1" t="n">
        <v>0</v>
      </c>
      <c r="I45" s="1" t="n">
        <v>-1.52</v>
      </c>
      <c r="J45" s="0" t="n">
        <v>0</v>
      </c>
      <c r="K45" s="0" t="n">
        <v>-1.52</v>
      </c>
      <c r="L45" s="1" t="n">
        <v>0</v>
      </c>
      <c r="M45" s="1" t="n">
        <v>-1.52</v>
      </c>
      <c r="N45" s="0" t="n">
        <v>9.54</v>
      </c>
      <c r="O45" s="0" t="n">
        <v>-1.52</v>
      </c>
    </row>
    <row r="46" customFormat="false" ht="15" hidden="false" customHeight="false" outlineLevel="0" collapsed="false">
      <c r="A46" s="1" t="n">
        <v>12</v>
      </c>
      <c r="B46" s="1" t="s">
        <v>27</v>
      </c>
      <c r="C46" s="0" t="n">
        <v>672.28</v>
      </c>
      <c r="D46" s="0" t="n">
        <v>4</v>
      </c>
      <c r="E46" s="0" t="n">
        <v>7.69</v>
      </c>
      <c r="F46" s="0" t="n">
        <v>-9.78</v>
      </c>
      <c r="G46" s="0" t="n">
        <v>-0.62</v>
      </c>
      <c r="H46" s="1" t="n">
        <v>0</v>
      </c>
      <c r="I46" s="1" t="n">
        <v>-0.62</v>
      </c>
      <c r="J46" s="0" t="n">
        <v>0</v>
      </c>
      <c r="K46" s="0" t="n">
        <v>-0.62</v>
      </c>
      <c r="L46" s="1" t="n">
        <v>0</v>
      </c>
      <c r="M46" s="1" t="n">
        <v>-0.62</v>
      </c>
      <c r="N46" s="0" t="n">
        <v>15.79</v>
      </c>
      <c r="O46" s="0" t="n">
        <v>-0.62</v>
      </c>
      <c r="P46" s="0" t="n">
        <v>29.74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7.74</v>
      </c>
      <c r="F47" s="0" t="n">
        <v>-9.48</v>
      </c>
      <c r="G47" s="0" t="n">
        <v>-0.92</v>
      </c>
      <c r="H47" s="1" t="n">
        <v>0</v>
      </c>
      <c r="I47" s="1" t="n">
        <v>-0.92</v>
      </c>
      <c r="J47" s="0" t="n">
        <v>0</v>
      </c>
      <c r="K47" s="0" t="n">
        <v>-0.92</v>
      </c>
      <c r="L47" s="1" t="n">
        <v>0</v>
      </c>
      <c r="M47" s="1" t="n">
        <v>-0.92</v>
      </c>
      <c r="N47" s="0" t="n">
        <v>16.24</v>
      </c>
      <c r="O47" s="0" t="n">
        <v>-0.92</v>
      </c>
    </row>
    <row r="48" customFormat="false" ht="15" hidden="false" customHeight="false" outlineLevel="0" collapsed="false">
      <c r="D48" s="0" t="n">
        <v>2</v>
      </c>
      <c r="E48" s="0" t="n">
        <v>7.78</v>
      </c>
      <c r="F48" s="0" t="n">
        <v>-9.18</v>
      </c>
      <c r="G48" s="0" t="n">
        <v>-1.22</v>
      </c>
      <c r="H48" s="1" t="n">
        <v>0</v>
      </c>
      <c r="I48" s="1" t="n">
        <v>-1.22</v>
      </c>
      <c r="J48" s="0" t="n">
        <v>0</v>
      </c>
      <c r="K48" s="0" t="n">
        <v>-1.22</v>
      </c>
      <c r="L48" s="1" t="n">
        <v>0</v>
      </c>
      <c r="M48" s="1" t="n">
        <v>-1.22</v>
      </c>
      <c r="N48" s="0" t="n">
        <v>16.69</v>
      </c>
      <c r="O48" s="0" t="n">
        <v>-1.22</v>
      </c>
    </row>
    <row r="49" customFormat="false" ht="15" hidden="false" customHeight="false" outlineLevel="0" collapsed="false">
      <c r="D49" s="0" t="n">
        <v>1</v>
      </c>
      <c r="E49" s="0" t="n">
        <v>6.52</v>
      </c>
      <c r="F49" s="0" t="n">
        <v>-8.88</v>
      </c>
      <c r="G49" s="0" t="n">
        <v>-1.52</v>
      </c>
      <c r="H49" s="1" t="n">
        <v>0</v>
      </c>
      <c r="I49" s="1" t="n">
        <v>-1.52</v>
      </c>
      <c r="J49" s="0" t="n">
        <v>0</v>
      </c>
      <c r="K49" s="0" t="n">
        <v>-1.52</v>
      </c>
      <c r="L49" s="1" t="n">
        <v>0</v>
      </c>
      <c r="M49" s="1" t="n">
        <v>-1.52</v>
      </c>
      <c r="N49" s="0" t="n">
        <v>17.14</v>
      </c>
      <c r="O49" s="0" t="n">
        <v>-1.52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32.NĐXD4/CVXD ngày 31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32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XD4'!$A$2:$B$60,2,0)</f>
        <v xml:space="preserve">Đắp cát nền đường lớp 1 đoạn từ Km0+554,08 - Km0+672,28,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554.08</v>
      </c>
      <c r="D23" s="17" t="n">
        <f aca="false">+Chạy!F5</f>
        <v>-5.52</v>
      </c>
      <c r="E23" s="17" t="n">
        <f aca="false">+D23+F23</f>
        <v>-5.5187</v>
      </c>
      <c r="F23" s="17" t="n">
        <f aca="false">RANDBETWEEN(-105,115)/10000</f>
        <v>0.0013</v>
      </c>
      <c r="G23" s="17" t="n">
        <f aca="false">+Chạy!G5</f>
        <v>-1.51</v>
      </c>
      <c r="H23" s="17" t="n">
        <f aca="false">G23+I23</f>
        <v>-1.516</v>
      </c>
      <c r="I23" s="17" t="n">
        <f aca="false">RANDBETWEEN(-30,90)/1000</f>
        <v>-0.006</v>
      </c>
      <c r="J23" s="17" t="n">
        <f aca="false">+Chạy!K5</f>
        <v>-1.51</v>
      </c>
      <c r="K23" s="17" t="n">
        <f aca="false">J23+L23</f>
        <v>-1.427</v>
      </c>
      <c r="L23" s="17" t="n">
        <f aca="false">RANDBETWEEN(-30,90)/1000</f>
        <v>0.083</v>
      </c>
      <c r="M23" s="17" t="n">
        <f aca="false">+Chạy!N5</f>
        <v>8.76</v>
      </c>
      <c r="N23" s="17" t="n">
        <f aca="false">+M23+O23</f>
        <v>8.7501</v>
      </c>
      <c r="O23" s="17" t="n">
        <f aca="false">RANDBETWEEN(-105,115)/10000</f>
        <v>-0.0099</v>
      </c>
      <c r="P23" s="17" t="n">
        <f aca="false">+Chạy!O5</f>
        <v>-1.51</v>
      </c>
      <c r="Q23" s="17" t="n">
        <f aca="false">P23+R23</f>
        <v>-1.452</v>
      </c>
      <c r="R23" s="17" t="n">
        <f aca="false">RANDBETWEEN(-30,90)/1000</f>
        <v>0.058</v>
      </c>
      <c r="S23" s="18"/>
      <c r="T23" s="19" t="n">
        <v>15.4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569.48</v>
      </c>
      <c r="D24" s="17" t="n">
        <f aca="false">+Chạy!F9</f>
        <v>-9.07</v>
      </c>
      <c r="E24" s="17" t="n">
        <f aca="false">+D24+F24</f>
        <v>-9.0741</v>
      </c>
      <c r="F24" s="17" t="n">
        <f aca="false">RANDBETWEEN(-105,115)/10000</f>
        <v>-0.0041</v>
      </c>
      <c r="G24" s="17" t="n">
        <f aca="false">+Chạy!G9</f>
        <v>-1.51</v>
      </c>
      <c r="H24" s="17" t="n">
        <f aca="false">G24+I24</f>
        <v>-1.471</v>
      </c>
      <c r="I24" s="17" t="n">
        <f aca="false">RANDBETWEEN(-30,90)/1000</f>
        <v>0.039</v>
      </c>
      <c r="J24" s="17" t="n">
        <f aca="false">+Chạy!K9</f>
        <v>-1.51</v>
      </c>
      <c r="K24" s="17" t="n">
        <f aca="false">J24+L24</f>
        <v>-1.501</v>
      </c>
      <c r="L24" s="17" t="n">
        <f aca="false">RANDBETWEEN(-30,90)/1000</f>
        <v>0.009</v>
      </c>
      <c r="M24" s="17" t="n">
        <f aca="false">+Chạy!N9</f>
        <v>9.44</v>
      </c>
      <c r="N24" s="17" t="n">
        <f aca="false">+M24+O24</f>
        <v>9.4352</v>
      </c>
      <c r="O24" s="17" t="n">
        <f aca="false">RANDBETWEEN(-105,115)/10000</f>
        <v>-0.0048</v>
      </c>
      <c r="P24" s="17" t="n">
        <f aca="false">+Chạy!O9</f>
        <v>-1.51</v>
      </c>
      <c r="Q24" s="17" t="n">
        <f aca="false">P24+R24</f>
        <v>-1.494</v>
      </c>
      <c r="R24" s="17" t="n">
        <f aca="false">RANDBETWEEN(-30,90)/1000</f>
        <v>0.016</v>
      </c>
      <c r="S24" s="18"/>
      <c r="T24" s="19" t="n">
        <v>3.64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573.12</v>
      </c>
      <c r="D25" s="17" t="n">
        <f aca="false">+Chạy!F13</f>
        <v>-10.76</v>
      </c>
      <c r="E25" s="17" t="n">
        <f aca="false">+D25+F25</f>
        <v>-10.757</v>
      </c>
      <c r="F25" s="17" t="n">
        <f aca="false">RANDBETWEEN(-105,115)/10000</f>
        <v>0.003</v>
      </c>
      <c r="G25" s="17" t="n">
        <f aca="false">+Chạy!G13</f>
        <v>-1.51</v>
      </c>
      <c r="H25" s="17" t="n">
        <f aca="false">G25+I25</f>
        <v>-1.5</v>
      </c>
      <c r="I25" s="17" t="n">
        <f aca="false">RANDBETWEEN(-30,90)/1000</f>
        <v>0.01</v>
      </c>
      <c r="J25" s="17" t="n">
        <f aca="false">+Chạy!K13</f>
        <v>-1.51</v>
      </c>
      <c r="K25" s="17" t="n">
        <f aca="false">J25+L25</f>
        <v>-1.528</v>
      </c>
      <c r="L25" s="17" t="n">
        <f aca="false">RANDBETWEEN(-30,90)/1000</f>
        <v>-0.018</v>
      </c>
      <c r="M25" s="17" t="n">
        <f aca="false">+Chạy!N13</f>
        <v>9.41</v>
      </c>
      <c r="N25" s="17" t="n">
        <f aca="false">+M25+O25</f>
        <v>9.4063</v>
      </c>
      <c r="O25" s="17" t="n">
        <f aca="false">RANDBETWEEN(-105,115)/10000</f>
        <v>-0.0037</v>
      </c>
      <c r="P25" s="17" t="n">
        <f aca="false">+Chạy!O13</f>
        <v>-1.51</v>
      </c>
      <c r="Q25" s="17" t="n">
        <f aca="false">P25+R25</f>
        <v>-1.456</v>
      </c>
      <c r="R25" s="17" t="n">
        <f aca="false">RANDBETWEEN(-30,90)/1000</f>
        <v>0.054</v>
      </c>
      <c r="S25" s="18"/>
      <c r="T25" s="19" t="n">
        <v>6.56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579.68</v>
      </c>
      <c r="D26" s="17" t="n">
        <f aca="false">+Chạy!F17</f>
        <v>-9.68</v>
      </c>
      <c r="E26" s="17" t="n">
        <f aca="false">+D26+F26</f>
        <v>-9.6732</v>
      </c>
      <c r="F26" s="17" t="n">
        <f aca="false">RANDBETWEEN(-105,115)/10000</f>
        <v>0.0068</v>
      </c>
      <c r="G26" s="17" t="n">
        <f aca="false">+Chạy!G17</f>
        <v>-1.51</v>
      </c>
      <c r="H26" s="17" t="n">
        <f aca="false">G26+I26</f>
        <v>-1.531</v>
      </c>
      <c r="I26" s="17" t="n">
        <f aca="false">RANDBETWEEN(-30,90)/1000</f>
        <v>-0.021</v>
      </c>
      <c r="J26" s="17" t="n">
        <f aca="false">+Chạy!K17</f>
        <v>-1.51</v>
      </c>
      <c r="K26" s="17" t="n">
        <f aca="false">J26+L26</f>
        <v>-1.485</v>
      </c>
      <c r="L26" s="17" t="n">
        <f aca="false">RANDBETWEEN(-30,90)/1000</f>
        <v>0.025</v>
      </c>
      <c r="M26" s="17" t="n">
        <f aca="false">+Chạy!N17</f>
        <v>14.36</v>
      </c>
      <c r="N26" s="17" t="n">
        <f aca="false">+M26+O26</f>
        <v>14.3608</v>
      </c>
      <c r="O26" s="17" t="n">
        <f aca="false">RANDBETWEEN(-105,115)/10000</f>
        <v>0.0008</v>
      </c>
      <c r="P26" s="17" t="n">
        <f aca="false">+Chạy!O17</f>
        <v>-1.51</v>
      </c>
      <c r="Q26" s="17" t="n">
        <f aca="false">P26+R26</f>
        <v>-1.481</v>
      </c>
      <c r="R26" s="17" t="n">
        <f aca="false">RANDBETWEEN(-30,90)/1000</f>
        <v>0.029</v>
      </c>
      <c r="S26" s="18"/>
      <c r="T26" s="19" t="n">
        <v>4.84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584.52</v>
      </c>
      <c r="D27" s="17" t="n">
        <f aca="false">+Chạy!F21</f>
        <v>-10.01</v>
      </c>
      <c r="E27" s="17" t="n">
        <f aca="false">+D27+F27</f>
        <v>-10.0016</v>
      </c>
      <c r="F27" s="17" t="n">
        <f aca="false">RANDBETWEEN(-105,115)/10000</f>
        <v>0.0084</v>
      </c>
      <c r="G27" s="17" t="n">
        <f aca="false">+Chạy!G21</f>
        <v>-1.51</v>
      </c>
      <c r="H27" s="17" t="n">
        <f aca="false">G27+I27</f>
        <v>-1.457</v>
      </c>
      <c r="I27" s="17" t="n">
        <f aca="false">RANDBETWEEN(-30,90)/1000</f>
        <v>0.053</v>
      </c>
      <c r="J27" s="17" t="n">
        <f aca="false">+Chạy!K21</f>
        <v>-1.51</v>
      </c>
      <c r="K27" s="17" t="n">
        <f aca="false">J27+L27</f>
        <v>-1.508</v>
      </c>
      <c r="L27" s="17" t="n">
        <f aca="false">RANDBETWEEN(-30,90)/1000</f>
        <v>0.002</v>
      </c>
      <c r="M27" s="17" t="n">
        <f aca="false">+Chạy!N21</f>
        <v>14.38</v>
      </c>
      <c r="N27" s="17" t="n">
        <f aca="false">+M27+O27</f>
        <v>14.3892</v>
      </c>
      <c r="O27" s="17" t="n">
        <f aca="false">RANDBETWEEN(-105,115)/10000</f>
        <v>0.0092</v>
      </c>
      <c r="P27" s="17" t="n">
        <f aca="false">+Chạy!O21</f>
        <v>-1.51</v>
      </c>
      <c r="Q27" s="17" t="n">
        <f aca="false">P27+R27</f>
        <v>-1.501</v>
      </c>
      <c r="R27" s="17" t="n">
        <f aca="false">RANDBETWEEN(-30,90)/1000</f>
        <v>0.009</v>
      </c>
      <c r="S27" s="18"/>
      <c r="T27" s="19" t="n">
        <v>1.71</v>
      </c>
    </row>
    <row r="28" customFormat="false" ht="15" hidden="false" customHeight="false" outlineLevel="0" collapsed="false">
      <c r="A28" s="14" t="n">
        <v>6</v>
      </c>
      <c r="B28" s="15" t="s">
        <v>1</v>
      </c>
      <c r="C28" s="16" t="n">
        <f aca="false">+C27+T27</f>
        <v>586.23</v>
      </c>
      <c r="D28" s="17" t="n">
        <f aca="false">+Chạy!F25</f>
        <v>-10.01</v>
      </c>
      <c r="E28" s="17" t="n">
        <f aca="false">+D28+F28</f>
        <v>-10.0119</v>
      </c>
      <c r="F28" s="17" t="n">
        <f aca="false">RANDBETWEEN(-105,115)/10000</f>
        <v>-0.0019</v>
      </c>
      <c r="G28" s="17" t="n">
        <f aca="false">+Chạy!G25</f>
        <v>-1.51</v>
      </c>
      <c r="H28" s="17" t="n">
        <f aca="false">G28+I28</f>
        <v>-1.52</v>
      </c>
      <c r="I28" s="17" t="n">
        <f aca="false">RANDBETWEEN(-30,90)/1000</f>
        <v>-0.01</v>
      </c>
      <c r="J28" s="17" t="n">
        <f aca="false">+Chạy!K25</f>
        <v>-1.51</v>
      </c>
      <c r="K28" s="17" t="n">
        <f aca="false">J28+L28</f>
        <v>-1.48</v>
      </c>
      <c r="L28" s="17" t="n">
        <f aca="false">RANDBETWEEN(-30,90)/1000</f>
        <v>0.03</v>
      </c>
      <c r="M28" s="17" t="n">
        <f aca="false">+Chạy!N25</f>
        <v>14.3</v>
      </c>
      <c r="N28" s="17" t="n">
        <f aca="false">+M28+O28</f>
        <v>14.2986</v>
      </c>
      <c r="O28" s="17" t="n">
        <f aca="false">RANDBETWEEN(-105,115)/10000</f>
        <v>-0.0014</v>
      </c>
      <c r="P28" s="17" t="n">
        <f aca="false">+Chạy!O25</f>
        <v>-1.51</v>
      </c>
      <c r="Q28" s="17" t="n">
        <f aca="false">P28+R28</f>
        <v>-1.422</v>
      </c>
      <c r="R28" s="17" t="n">
        <f aca="false">RANDBETWEEN(-30,90)/1000</f>
        <v>0.088</v>
      </c>
      <c r="S28" s="18"/>
      <c r="T28" s="19" t="n">
        <v>11.55</v>
      </c>
    </row>
    <row r="29" customFormat="false" ht="15" hidden="false" customHeight="false" outlineLevel="0" collapsed="false">
      <c r="A29" s="14" t="n">
        <v>7</v>
      </c>
      <c r="B29" s="15" t="s">
        <v>22</v>
      </c>
      <c r="C29" s="16" t="n">
        <f aca="false">+C28+T28</f>
        <v>597.78</v>
      </c>
      <c r="D29" s="17" t="n">
        <f aca="false">+Chạy!F29</f>
        <v>-5.5</v>
      </c>
      <c r="E29" s="17" t="n">
        <f aca="false">+D29+F29</f>
        <v>-5.5009</v>
      </c>
      <c r="F29" s="17" t="n">
        <f aca="false">RANDBETWEEN(-105,115)/10000</f>
        <v>-0.0009</v>
      </c>
      <c r="G29" s="17" t="n">
        <f aca="false">+Chạy!G29</f>
        <v>-1.51</v>
      </c>
      <c r="H29" s="17" t="n">
        <f aca="false">G29+I29</f>
        <v>-1.515</v>
      </c>
      <c r="I29" s="17" t="n">
        <f aca="false">RANDBETWEEN(-30,90)/1000</f>
        <v>-0.005</v>
      </c>
      <c r="J29" s="17" t="n">
        <f aca="false">+Chạy!K29</f>
        <v>-1.51</v>
      </c>
      <c r="K29" s="17" t="n">
        <f aca="false">J29+L29</f>
        <v>-1.49</v>
      </c>
      <c r="L29" s="17" t="n">
        <f aca="false">RANDBETWEEN(-30,90)/1000</f>
        <v>0.02</v>
      </c>
      <c r="M29" s="17" t="n">
        <f aca="false">+Chạy!N29</f>
        <v>9.4</v>
      </c>
      <c r="N29" s="17" t="n">
        <f aca="false">+M29+O29</f>
        <v>9.4097</v>
      </c>
      <c r="O29" s="17" t="n">
        <f aca="false">RANDBETWEEN(-105,115)/10000</f>
        <v>0.0097</v>
      </c>
      <c r="P29" s="17" t="n">
        <f aca="false">+Chạy!O29</f>
        <v>-1.51</v>
      </c>
      <c r="Q29" s="17" t="n">
        <f aca="false">P29+R29</f>
        <v>-1.5</v>
      </c>
      <c r="R29" s="17" t="n">
        <f aca="false">RANDBETWEEN(-30,90)/1000</f>
        <v>0.01</v>
      </c>
      <c r="S29" s="18"/>
      <c r="T29" s="19" t="n">
        <v>17</v>
      </c>
    </row>
    <row r="30" customFormat="false" ht="15" hidden="false" customHeight="false" outlineLevel="0" collapsed="false">
      <c r="A30" s="14" t="n">
        <v>8</v>
      </c>
      <c r="B30" s="15" t="s">
        <v>23</v>
      </c>
      <c r="C30" s="16" t="n">
        <f aca="false">+C29+T29</f>
        <v>614.78</v>
      </c>
      <c r="D30" s="17" t="n">
        <f aca="false">+Chạy!F33</f>
        <v>-6</v>
      </c>
      <c r="E30" s="17" t="n">
        <f aca="false">+D30+F30</f>
        <v>-6.0018</v>
      </c>
      <c r="F30" s="17" t="n">
        <f aca="false">RANDBETWEEN(-105,115)/10000</f>
        <v>-0.0018</v>
      </c>
      <c r="G30" s="17" t="n">
        <f aca="false">+Chạy!G33</f>
        <v>-1.51</v>
      </c>
      <c r="H30" s="17" t="n">
        <f aca="false">G30+I30</f>
        <v>-1.446</v>
      </c>
      <c r="I30" s="17" t="n">
        <f aca="false">RANDBETWEEN(-30,90)/1000</f>
        <v>0.064</v>
      </c>
      <c r="J30" s="17" t="n">
        <f aca="false">+Chạy!K33</f>
        <v>-1.51</v>
      </c>
      <c r="K30" s="17" t="n">
        <f aca="false">J30+L30</f>
        <v>-1.512</v>
      </c>
      <c r="L30" s="17" t="n">
        <f aca="false">RANDBETWEEN(-30,90)/1000</f>
        <v>-0.002</v>
      </c>
      <c r="M30" s="17" t="n">
        <f aca="false">+Chạy!N33</f>
        <v>8.88</v>
      </c>
      <c r="N30" s="17" t="n">
        <f aca="false">+M30+O30</f>
        <v>8.874</v>
      </c>
      <c r="O30" s="17" t="n">
        <f aca="false">RANDBETWEEN(-105,115)/10000</f>
        <v>-0.006</v>
      </c>
      <c r="P30" s="17" t="n">
        <f aca="false">+Chạy!O33</f>
        <v>-1.51</v>
      </c>
      <c r="Q30" s="17" t="n">
        <f aca="false">P30+R30</f>
        <v>-1.482</v>
      </c>
      <c r="R30" s="17" t="n">
        <f aca="false">RANDBETWEEN(-30,90)/1000</f>
        <v>0.028</v>
      </c>
      <c r="S30" s="18"/>
      <c r="T30" s="19" t="n">
        <v>17.05</v>
      </c>
    </row>
    <row r="31" customFormat="false" ht="15" hidden="false" customHeight="false" outlineLevel="0" collapsed="false">
      <c r="A31" s="14" t="n">
        <v>9</v>
      </c>
      <c r="B31" s="15" t="s">
        <v>24</v>
      </c>
      <c r="C31" s="16" t="n">
        <f aca="false">+C30+T30</f>
        <v>631.83</v>
      </c>
      <c r="D31" s="17" t="n">
        <f aca="false">+Chạy!F37</f>
        <v>-8.29</v>
      </c>
      <c r="E31" s="17" t="n">
        <f aca="false">+D31+F31</f>
        <v>-8.2805</v>
      </c>
      <c r="F31" s="17" t="n">
        <f aca="false">RANDBETWEEN(-105,115)/10000</f>
        <v>0.0095</v>
      </c>
      <c r="G31" s="17" t="n">
        <f aca="false">+Chạy!G37</f>
        <v>-1.52</v>
      </c>
      <c r="H31" s="17" t="n">
        <f aca="false">G31+I31</f>
        <v>-1.521</v>
      </c>
      <c r="I31" s="17" t="n">
        <f aca="false">RANDBETWEEN(-30,90)/1000</f>
        <v>-0.001</v>
      </c>
      <c r="J31" s="17" t="n">
        <f aca="false">+Chạy!K37</f>
        <v>-1.52</v>
      </c>
      <c r="K31" s="17" t="n">
        <f aca="false">J31+L31</f>
        <v>-1.435</v>
      </c>
      <c r="L31" s="17" t="n">
        <f aca="false">RANDBETWEEN(-30,90)/1000</f>
        <v>0.085</v>
      </c>
      <c r="M31" s="17" t="n">
        <f aca="false">+Chạy!N37</f>
        <v>8.71</v>
      </c>
      <c r="N31" s="17" t="n">
        <f aca="false">+M31+O31</f>
        <v>8.7172</v>
      </c>
      <c r="O31" s="17" t="n">
        <f aca="false">RANDBETWEEN(-105,115)/10000</f>
        <v>0.0072</v>
      </c>
      <c r="P31" s="17" t="n">
        <f aca="false">+Chạy!O37</f>
        <v>-1.52</v>
      </c>
      <c r="Q31" s="17" t="n">
        <f aca="false">P31+R31</f>
        <v>-1.475</v>
      </c>
      <c r="R31" s="17" t="n">
        <f aca="false">RANDBETWEEN(-30,90)/1000</f>
        <v>0.045</v>
      </c>
      <c r="S31" s="18"/>
      <c r="T31" s="19" t="n">
        <v>11.7</v>
      </c>
    </row>
    <row r="32" customFormat="false" ht="15" hidden="false" customHeight="false" outlineLevel="0" collapsed="false">
      <c r="A32" s="14" t="n">
        <v>10</v>
      </c>
      <c r="B32" s="15" t="s">
        <v>25</v>
      </c>
      <c r="C32" s="16" t="n">
        <f aca="false">+C31+T31</f>
        <v>643.53</v>
      </c>
      <c r="D32" s="17" t="n">
        <f aca="false">+Chạy!F41</f>
        <v>-9.36</v>
      </c>
      <c r="E32" s="17" t="n">
        <f aca="false">+D32+F32</f>
        <v>-9.3579</v>
      </c>
      <c r="F32" s="17" t="n">
        <f aca="false">RANDBETWEEN(-105,115)/10000</f>
        <v>0.0021</v>
      </c>
      <c r="G32" s="17" t="n">
        <f aca="false">+Chạy!G41</f>
        <v>-1.52</v>
      </c>
      <c r="H32" s="17" t="n">
        <f aca="false">G32+I32</f>
        <v>-1.483</v>
      </c>
      <c r="I32" s="17" t="n">
        <f aca="false">RANDBETWEEN(-30,90)/1000</f>
        <v>0.037</v>
      </c>
      <c r="J32" s="17" t="n">
        <f aca="false">+Chạy!K41</f>
        <v>-1.52</v>
      </c>
      <c r="K32" s="17" t="n">
        <f aca="false">J32+L32</f>
        <v>-1.473</v>
      </c>
      <c r="L32" s="17" t="n">
        <f aca="false">RANDBETWEEN(-30,90)/1000</f>
        <v>0.047</v>
      </c>
      <c r="M32" s="17" t="n">
        <f aca="false">+Chạy!N41</f>
        <v>13.76</v>
      </c>
      <c r="N32" s="17" t="n">
        <f aca="false">+M32+O32</f>
        <v>13.7532</v>
      </c>
      <c r="O32" s="17" t="n">
        <f aca="false">RANDBETWEEN(-105,115)/10000</f>
        <v>-0.0068</v>
      </c>
      <c r="P32" s="17" t="n">
        <f aca="false">+Chạy!O41</f>
        <v>-1.52</v>
      </c>
      <c r="Q32" s="17" t="n">
        <f aca="false">P32+R32</f>
        <v>-1.477</v>
      </c>
      <c r="R32" s="17" t="n">
        <f aca="false">RANDBETWEEN(-30,90)/1000</f>
        <v>0.043</v>
      </c>
      <c r="S32" s="18"/>
      <c r="T32" s="19" t="n">
        <v>11.75</v>
      </c>
    </row>
    <row r="33" customFormat="false" ht="15" hidden="false" customHeight="false" outlineLevel="0" collapsed="false">
      <c r="A33" s="14" t="n">
        <v>11</v>
      </c>
      <c r="B33" s="15" t="s">
        <v>26</v>
      </c>
      <c r="C33" s="16" t="n">
        <f aca="false">+C32+T32</f>
        <v>655.28</v>
      </c>
      <c r="D33" s="17" t="n">
        <f aca="false">+Chạy!F45</f>
        <v>-7.95</v>
      </c>
      <c r="E33" s="17" t="n">
        <f aca="false">+D33+F33</f>
        <v>-7.9509</v>
      </c>
      <c r="F33" s="17" t="n">
        <f aca="false">RANDBETWEEN(-105,115)/10000</f>
        <v>-0.0009</v>
      </c>
      <c r="G33" s="17" t="n">
        <f aca="false">+Chạy!G45</f>
        <v>-1.52</v>
      </c>
      <c r="H33" s="17" t="n">
        <f aca="false">G33+I33</f>
        <v>-1.45</v>
      </c>
      <c r="I33" s="17" t="n">
        <f aca="false">RANDBETWEEN(-30,90)/1000</f>
        <v>0.07</v>
      </c>
      <c r="J33" s="17" t="n">
        <f aca="false">+Chạy!K45</f>
        <v>-1.52</v>
      </c>
      <c r="K33" s="17" t="n">
        <f aca="false">J33+L33</f>
        <v>-1.541</v>
      </c>
      <c r="L33" s="17" t="n">
        <f aca="false">RANDBETWEEN(-30,90)/1000</f>
        <v>-0.021</v>
      </c>
      <c r="M33" s="17" t="n">
        <f aca="false">+Chạy!N45</f>
        <v>9.54</v>
      </c>
      <c r="N33" s="17" t="n">
        <f aca="false">+M33+O33</f>
        <v>9.551</v>
      </c>
      <c r="O33" s="17" t="n">
        <f aca="false">RANDBETWEEN(-105,115)/10000</f>
        <v>0.011</v>
      </c>
      <c r="P33" s="17" t="n">
        <f aca="false">+Chạy!O45</f>
        <v>-1.52</v>
      </c>
      <c r="Q33" s="17" t="n">
        <f aca="false">P33+R33</f>
        <v>-1.485</v>
      </c>
      <c r="R33" s="17" t="n">
        <f aca="false">RANDBETWEEN(-30,90)/1000</f>
        <v>0.035</v>
      </c>
      <c r="S33" s="18"/>
      <c r="T33" s="19" t="n">
        <v>17</v>
      </c>
    </row>
    <row r="34" customFormat="false" ht="15" hidden="false" customHeight="false" outlineLevel="0" collapsed="false">
      <c r="A34" s="14" t="n">
        <v>12</v>
      </c>
      <c r="B34" s="15" t="s">
        <v>27</v>
      </c>
      <c r="C34" s="16" t="n">
        <f aca="false">+C33+T33</f>
        <v>672.28</v>
      </c>
      <c r="D34" s="17" t="n">
        <f aca="false">+Chạy!F49</f>
        <v>-8.88</v>
      </c>
      <c r="E34" s="17" t="n">
        <f aca="false">+D34+F34</f>
        <v>-8.8797</v>
      </c>
      <c r="F34" s="17" t="n">
        <f aca="false">RANDBETWEEN(-105,115)/10000</f>
        <v>0.0003</v>
      </c>
      <c r="G34" s="17" t="n">
        <f aca="false">+Chạy!G49</f>
        <v>-1.52</v>
      </c>
      <c r="H34" s="17" t="n">
        <f aca="false">G34+I34</f>
        <v>-1.48</v>
      </c>
      <c r="I34" s="17" t="n">
        <f aca="false">RANDBETWEEN(-30,90)/1000</f>
        <v>0.04</v>
      </c>
      <c r="J34" s="17" t="n">
        <f aca="false">+Chạy!K49</f>
        <v>-1.52</v>
      </c>
      <c r="K34" s="17" t="n">
        <f aca="false">J34+L34</f>
        <v>-1.545</v>
      </c>
      <c r="L34" s="17" t="n">
        <f aca="false">RANDBETWEEN(-30,90)/1000</f>
        <v>-0.025</v>
      </c>
      <c r="M34" s="17" t="n">
        <f aca="false">+Chạy!N49</f>
        <v>17.14</v>
      </c>
      <c r="N34" s="17" t="n">
        <f aca="false">+M34+O34</f>
        <v>17.1376</v>
      </c>
      <c r="O34" s="17" t="n">
        <f aca="false">RANDBETWEEN(-105,115)/10000</f>
        <v>-0.0024</v>
      </c>
      <c r="P34" s="17" t="n">
        <f aca="false">+Chạy!O49</f>
        <v>-1.52</v>
      </c>
      <c r="Q34" s="17" t="n">
        <f aca="false">P34+R34</f>
        <v>-1.436</v>
      </c>
      <c r="R34" s="17" t="n">
        <f aca="false">RANDBETWEEN(-30,90)/1000</f>
        <v>0.084</v>
      </c>
      <c r="S34" s="18"/>
      <c r="T34" s="19"/>
    </row>
    <row r="35" customFormat="false" ht="15" hidden="true" customHeight="false" outlineLevel="0" collapsed="false">
      <c r="A35" s="14"/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</row>
    <row r="36" customFormat="false" ht="15" hidden="true" customHeight="false" outlineLevel="0" collapsed="false">
      <c r="A36" s="14"/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/>
    </row>
    <row r="37" customFormat="false" ht="15" hidden="true" customHeight="false" outlineLevel="0" collapsed="false">
      <c r="A37" s="14"/>
      <c r="B37" s="15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9"/>
    </row>
    <row r="38" customFormat="false" ht="15" hidden="true" customHeight="false" outlineLevel="0" collapsed="false">
      <c r="A38" s="14"/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9"/>
    </row>
    <row r="39" customFormat="false" ht="15" hidden="true" customHeight="false" outlineLevel="0" collapsed="false">
      <c r="A39" s="14"/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9"/>
    </row>
    <row r="40" customFormat="false" ht="15" hidden="true" customHeight="false" outlineLevel="0" collapsed="false">
      <c r="A40" s="14"/>
      <c r="B40" s="15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9"/>
    </row>
    <row r="41" customFormat="false" ht="15" hidden="true" customHeight="false" outlineLevel="0" collapsed="false">
      <c r="A41" s="14"/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9"/>
    </row>
    <row r="42" customFormat="false" ht="15" hidden="true" customHeight="false" outlineLevel="0" collapsed="false">
      <c r="A42" s="14"/>
      <c r="B42" s="15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9"/>
    </row>
    <row r="43" customFormat="false" ht="15" hidden="true" customHeight="false" outlineLevel="0" collapsed="false">
      <c r="A43" s="14"/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9"/>
    </row>
    <row r="44" customFormat="false" ht="15" hidden="true" customHeight="false" outlineLevel="0" collapsed="false">
      <c r="A44" s="14"/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9"/>
    </row>
    <row r="45" customFormat="false" ht="15" hidden="true" customHeight="false" outlineLevel="0" collapsed="false">
      <c r="A45" s="14"/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9"/>
    </row>
    <row r="46" customFormat="false" ht="15" hidden="true" customHeight="false" outlineLevel="0" collapsed="false">
      <c r="A46" s="14"/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9"/>
    </row>
    <row r="47" customFormat="false" ht="15" hidden="true" customHeight="false" outlineLevel="0" collapsed="false">
      <c r="A47" s="14"/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9"/>
    </row>
    <row r="48" customFormat="false" ht="15" hidden="true" customHeight="false" outlineLevel="0" collapsed="false">
      <c r="A48" s="14"/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9"/>
    </row>
    <row r="49" customFormat="false" ht="15" hidden="true" customHeight="false" outlineLevel="0" collapsed="false">
      <c r="A49" s="14"/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9"/>
    </row>
    <row r="50" customFormat="false" ht="15" hidden="true" customHeight="false" outlineLevel="0" collapsed="false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9"/>
    </row>
    <row r="51" customFormat="false" ht="15" hidden="true" customHeight="false" outlineLevel="0" collapsed="false">
      <c r="A51" s="14"/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9"/>
    </row>
    <row r="52" customFormat="false" ht="15" hidden="true" customHeight="false" outlineLevel="0" collapsed="false">
      <c r="A52" s="14"/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9"/>
    </row>
    <row r="53" customFormat="false" ht="15" hidden="true" customHeight="false" outlineLevel="0" collapsed="false">
      <c r="A53" s="14"/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9"/>
    </row>
    <row r="54" customFormat="false" ht="15" hidden="true" customHeight="false" outlineLevel="0" collapsed="false">
      <c r="A54" s="14"/>
      <c r="B54" s="15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9"/>
    </row>
    <row r="55" customFormat="false" ht="15" hidden="true" customHeight="false" outlineLevel="0" collapsed="false">
      <c r="A55" s="14"/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9"/>
    </row>
    <row r="56" customFormat="false" ht="15" hidden="true" customHeight="false" outlineLevel="0" collapsed="false">
      <c r="A56" s="14"/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9"/>
    </row>
    <row r="57" customFormat="false" ht="15" hidden="true" customHeight="false" outlineLevel="0" collapsed="false">
      <c r="A57" s="14"/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9"/>
    </row>
    <row r="58" customFormat="false" ht="15" hidden="true" customHeight="false" outlineLevel="0" collapsed="false">
      <c r="A58" s="14"/>
      <c r="B58" s="15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50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51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52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53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32.NĐXD4/CVXD ngày 31 tháng 08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  <c r="AZ2">
        <v>32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XD4'!$A$2:$B$60,2,0)</f>
        <v xml:space="preserve">Đắp cát nền đường lớp 1 đoạn từ Km0+554,08 - Km0+672,28,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32</v>
      </c>
      <c r="C11" s="16" t="n">
        <f aca="false">'1.KTHH L1'!C23</f>
        <v>554.08</v>
      </c>
      <c r="D11" s="14" t="n">
        <f aca="false">'1.KTHH L1'!T23</f>
        <v>15.4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1.42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25.179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33</v>
      </c>
      <c r="C12" s="16" t="n">
        <f aca="false">'1.KTHH L1'!C24</f>
        <v>569.48</v>
      </c>
      <c r="D12" s="14" t="n">
        <f aca="false">'1.KTHH L1'!T24</f>
        <v>3.64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1.85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7.0252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TD</v>
      </c>
      <c r="C13" s="16" t="n">
        <f aca="false">'1.KTHH L1'!C25</f>
        <v>573.12</v>
      </c>
      <c r="D13" s="14" t="n">
        <f aca="false">'1.KTHH L1'!T25</f>
        <v>6.56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2.01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14.432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P</v>
      </c>
      <c r="C14" s="16" t="n">
        <f aca="false">'1.KTHH L1'!C26</f>
        <v>579.68</v>
      </c>
      <c r="D14" s="14" t="n">
        <f aca="false">'1.KTHH L1'!T26</f>
        <v>4.84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2.39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11.6644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E2</v>
      </c>
      <c r="C15" s="16" t="n">
        <f aca="false">'1.KTHH L1'!C27</f>
        <v>584.52</v>
      </c>
      <c r="D15" s="14" t="n">
        <f aca="false">'1.KTHH L1'!T27</f>
        <v>1.71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2.43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4.14675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TC</v>
      </c>
      <c r="C16" s="16" t="n">
        <f aca="false">'1.KTHH L1'!C28</f>
        <v>586.23</v>
      </c>
      <c r="D16" s="14" t="n">
        <f aca="false">'1.KTHH L1'!T28</f>
        <v>11.55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2.42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22.58025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'1.KTHH L1'!B29</f>
        <v>34</v>
      </c>
      <c r="C17" s="16" t="n">
        <f aca="false">'1.KTHH L1'!C29</f>
        <v>597.78</v>
      </c>
      <c r="D17" s="14" t="n">
        <f aca="false">'1.KTHH L1'!T29</f>
        <v>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Chạy!E29</f>
        <v>1.49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25.245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'1.KTHH L1'!B30</f>
        <v>35</v>
      </c>
      <c r="C18" s="16" t="n">
        <f aca="false">'1.KTHH L1'!C30</f>
        <v>614.78</v>
      </c>
      <c r="D18" s="14" t="n">
        <f aca="false">'1.KTHH L1'!T30</f>
        <v>17.05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Chạy!E33</f>
        <v>1.48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27.02425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'1.KTHH L1'!B31</f>
        <v>36</v>
      </c>
      <c r="C19" s="16" t="n">
        <f aca="false">'1.KTHH L1'!C31</f>
        <v>631.83</v>
      </c>
      <c r="D19" s="14" t="n">
        <f aca="false">'1.KTHH L1'!T31</f>
        <v>11.7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Chạy!E37</f>
        <v>1.69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23.3415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'1.KTHH L1'!B32</f>
        <v>E9</v>
      </c>
      <c r="C20" s="16" t="n">
        <f aca="false">'1.KTHH L1'!C32</f>
        <v>643.53</v>
      </c>
      <c r="D20" s="14" t="n">
        <f aca="false">'1.KTHH L1'!T32</f>
        <v>11.75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Chạy!E41</f>
        <v>2.3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23.735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'1.KTHH L1'!B33</f>
        <v>37</v>
      </c>
      <c r="C21" s="16" t="n">
        <f aca="false">'1.KTHH L1'!C33</f>
        <v>655.28</v>
      </c>
      <c r="D21" s="14" t="n">
        <f aca="false">'1.KTHH L1'!T33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Chạy!E45</f>
        <v>1.74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70.21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'1.KTHH L1'!B34</f>
        <v>38</v>
      </c>
      <c r="C22" s="16" t="n">
        <f aca="false">'1.KTHH L1'!C34</f>
        <v>672.28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 t="n">
        <f aca="false">Chạy!E49</f>
        <v>6.52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61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SUM(W11:W22)</f>
        <v>254.58335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50</v>
      </c>
      <c r="B53" s="20"/>
      <c r="C53" s="20"/>
      <c r="D53" s="65" t="s">
        <v>62</v>
      </c>
      <c r="E53" s="20" t="s">
        <v>51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52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53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33.NĐXD4/CVXD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33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XD4'!$A$2:$B$60,2,0)</f>
        <v xml:space="preserve">Đắp cát nền đường lớp 2 đoạn từ Km0+554,08 - Km0+672,28,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554.08</v>
      </c>
      <c r="D23" s="17" t="n">
        <f aca="false">+Chạy!F4</f>
        <v>-5.82</v>
      </c>
      <c r="E23" s="17" t="n">
        <f aca="false">+D23+F23</f>
        <v>-5.8295</v>
      </c>
      <c r="F23" s="17" t="n">
        <f aca="false">RANDBETWEEN(-105,115)/10000</f>
        <v>-0.0095</v>
      </c>
      <c r="G23" s="17" t="n">
        <f aca="false">+Chạy!G4</f>
        <v>-1.21</v>
      </c>
      <c r="H23" s="17" t="n">
        <f aca="false">G23+I23</f>
        <v>-1.148</v>
      </c>
      <c r="I23" s="17" t="n">
        <f aca="false">RANDBETWEEN(-30,90)/1000</f>
        <v>0.062</v>
      </c>
      <c r="J23" s="17" t="n">
        <f aca="false">+Chạy!K4</f>
        <v>-1.21</v>
      </c>
      <c r="K23" s="17" t="n">
        <f aca="false">J23+L23</f>
        <v>-1.171</v>
      </c>
      <c r="L23" s="17" t="n">
        <f aca="false">RANDBETWEEN(-30,90)/1000</f>
        <v>0.039</v>
      </c>
      <c r="M23" s="17" t="n">
        <f aca="false">+Chạy!N4</f>
        <v>9.06</v>
      </c>
      <c r="N23" s="17" t="n">
        <f aca="false">+M23+O23</f>
        <v>9.0618</v>
      </c>
      <c r="O23" s="17" t="n">
        <f aca="false">RANDBETWEEN(-105,115)/10000</f>
        <v>0.0018</v>
      </c>
      <c r="P23" s="17" t="n">
        <f aca="false">+Chạy!O4</f>
        <v>-1.21</v>
      </c>
      <c r="Q23" s="17" t="n">
        <f aca="false">P23+R23</f>
        <v>-1.179</v>
      </c>
      <c r="R23" s="17" t="n">
        <f aca="false">RANDBETWEEN(-30,90)/1000</f>
        <v>0.031</v>
      </c>
      <c r="S23" s="18"/>
      <c r="T23" s="0" t="n">
        <v>15.4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569.48</v>
      </c>
      <c r="D24" s="17" t="n">
        <f aca="false">+Chạy!F8</f>
        <v>-9.37</v>
      </c>
      <c r="E24" s="17" t="n">
        <f aca="false">+D24+F24</f>
        <v>-9.3687</v>
      </c>
      <c r="F24" s="17" t="n">
        <f aca="false">RANDBETWEEN(-105,115)/10000</f>
        <v>0.0013</v>
      </c>
      <c r="G24" s="17" t="n">
        <f aca="false">+Chạy!G8</f>
        <v>-1.21</v>
      </c>
      <c r="H24" s="17" t="n">
        <f aca="false">G24+I24</f>
        <v>-1.123</v>
      </c>
      <c r="I24" s="17" t="n">
        <f aca="false">RANDBETWEEN(-30,90)/1000</f>
        <v>0.087</v>
      </c>
      <c r="J24" s="17" t="n">
        <f aca="false">+Chạy!K8</f>
        <v>-1.21</v>
      </c>
      <c r="K24" s="17" t="n">
        <f aca="false">J24+L24</f>
        <v>-1.2</v>
      </c>
      <c r="L24" s="17" t="n">
        <f aca="false">RANDBETWEEN(-30,90)/1000</f>
        <v>0.01</v>
      </c>
      <c r="M24" s="17" t="n">
        <f aca="false">+Chạy!N8</f>
        <v>9.74</v>
      </c>
      <c r="N24" s="17" t="n">
        <f aca="false">+M24+O24</f>
        <v>9.7344</v>
      </c>
      <c r="O24" s="17" t="n">
        <f aca="false">RANDBETWEEN(-105,115)/10000</f>
        <v>-0.0056</v>
      </c>
      <c r="P24" s="17" t="n">
        <f aca="false">+Chạy!O8</f>
        <v>-1.21</v>
      </c>
      <c r="Q24" s="17" t="n">
        <f aca="false">P24+R24</f>
        <v>-1.121</v>
      </c>
      <c r="R24" s="17" t="n">
        <f aca="false">RANDBETWEEN(-30,90)/1000</f>
        <v>0.089</v>
      </c>
      <c r="S24" s="18"/>
      <c r="T24" s="0" t="n">
        <v>3.64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573.12</v>
      </c>
      <c r="D25" s="17" t="n">
        <f aca="false">+Chạy!F12</f>
        <v>-11.06</v>
      </c>
      <c r="E25" s="17" t="n">
        <f aca="false">+D25+F25</f>
        <v>-11.0659</v>
      </c>
      <c r="F25" s="17" t="n">
        <f aca="false">RANDBETWEEN(-105,115)/10000</f>
        <v>-0.0059</v>
      </c>
      <c r="G25" s="17" t="n">
        <f aca="false">+Chạy!G12</f>
        <v>-1.21</v>
      </c>
      <c r="H25" s="17" t="n">
        <f aca="false">G25+I25</f>
        <v>-1.2</v>
      </c>
      <c r="I25" s="17" t="n">
        <f aca="false">RANDBETWEEN(-30,90)/1000</f>
        <v>0.01</v>
      </c>
      <c r="J25" s="17" t="n">
        <f aca="false">+Chạy!K12</f>
        <v>-1.21</v>
      </c>
      <c r="K25" s="17" t="n">
        <f aca="false">J25+L25</f>
        <v>-1.191</v>
      </c>
      <c r="L25" s="17" t="n">
        <f aca="false">RANDBETWEEN(-30,90)/1000</f>
        <v>0.019</v>
      </c>
      <c r="M25" s="17" t="n">
        <f aca="false">+Chạy!N12</f>
        <v>9.71</v>
      </c>
      <c r="N25" s="17" t="n">
        <f aca="false">+M25+O25</f>
        <v>9.7051</v>
      </c>
      <c r="O25" s="17" t="n">
        <f aca="false">RANDBETWEEN(-105,115)/10000</f>
        <v>-0.0049</v>
      </c>
      <c r="P25" s="17" t="n">
        <f aca="false">+Chạy!O12</f>
        <v>-1.21</v>
      </c>
      <c r="Q25" s="17" t="n">
        <f aca="false">P25+R25</f>
        <v>-1.2</v>
      </c>
      <c r="R25" s="17" t="n">
        <f aca="false">RANDBETWEEN(-30,90)/1000</f>
        <v>0.01</v>
      </c>
      <c r="S25" s="18"/>
      <c r="T25" s="0" t="n">
        <v>6.56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579.68</v>
      </c>
      <c r="D26" s="17" t="n">
        <f aca="false">+Chạy!F16</f>
        <v>-9.98</v>
      </c>
      <c r="E26" s="17" t="n">
        <f aca="false">+D26+F26</f>
        <v>-9.9698</v>
      </c>
      <c r="F26" s="17" t="n">
        <f aca="false">RANDBETWEEN(-105,115)/10000</f>
        <v>0.0102</v>
      </c>
      <c r="G26" s="17" t="n">
        <f aca="false">+Chạy!G16</f>
        <v>-1.21</v>
      </c>
      <c r="H26" s="17" t="n">
        <f aca="false">G26+I26</f>
        <v>-1.211</v>
      </c>
      <c r="I26" s="17" t="n">
        <f aca="false">RANDBETWEEN(-30,90)/1000</f>
        <v>-0.001</v>
      </c>
      <c r="J26" s="17" t="n">
        <f aca="false">+Chạy!K16</f>
        <v>-1.21</v>
      </c>
      <c r="K26" s="17" t="n">
        <f aca="false">J26+L26</f>
        <v>-1.209</v>
      </c>
      <c r="L26" s="17" t="n">
        <f aca="false">RANDBETWEEN(-30,90)/1000</f>
        <v>0.001</v>
      </c>
      <c r="M26" s="17" t="n">
        <f aca="false">+Chạy!N16</f>
        <v>14.66</v>
      </c>
      <c r="N26" s="17" t="n">
        <f aca="false">+M26+O26</f>
        <v>14.6526</v>
      </c>
      <c r="O26" s="17" t="n">
        <f aca="false">RANDBETWEEN(-105,115)/10000</f>
        <v>-0.0074</v>
      </c>
      <c r="P26" s="17" t="n">
        <f aca="false">+Chạy!O16</f>
        <v>-1.21</v>
      </c>
      <c r="Q26" s="17" t="n">
        <f aca="false">P26+R26</f>
        <v>-1.126</v>
      </c>
      <c r="R26" s="17" t="n">
        <f aca="false">RANDBETWEEN(-30,90)/1000</f>
        <v>0.084</v>
      </c>
      <c r="S26" s="18"/>
      <c r="T26" s="0" t="n">
        <v>4.84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584.52</v>
      </c>
      <c r="D27" s="17" t="n">
        <f aca="false">+Chạy!F20</f>
        <v>-10.31</v>
      </c>
      <c r="E27" s="17" t="n">
        <f aca="false">+D27+F27</f>
        <v>-10.3149</v>
      </c>
      <c r="F27" s="17" t="n">
        <f aca="false">RANDBETWEEN(-105,115)/10000</f>
        <v>-0.0049</v>
      </c>
      <c r="G27" s="17" t="n">
        <f aca="false">+Chạy!G20</f>
        <v>-1.21</v>
      </c>
      <c r="H27" s="17" t="n">
        <f aca="false">G27+I27</f>
        <v>-1.178</v>
      </c>
      <c r="I27" s="17" t="n">
        <f aca="false">RANDBETWEEN(-30,90)/1000</f>
        <v>0.032</v>
      </c>
      <c r="J27" s="17" t="n">
        <f aca="false">+Chạy!K20</f>
        <v>-1.21</v>
      </c>
      <c r="K27" s="17" t="n">
        <f aca="false">J27+L27</f>
        <v>-1.197</v>
      </c>
      <c r="L27" s="17" t="n">
        <f aca="false">RANDBETWEEN(-30,90)/1000</f>
        <v>0.013</v>
      </c>
      <c r="M27" s="17" t="n">
        <f aca="false">+Chạy!N20</f>
        <v>14.68</v>
      </c>
      <c r="N27" s="17" t="n">
        <f aca="false">+M27+O27</f>
        <v>14.6835</v>
      </c>
      <c r="O27" s="17" t="n">
        <f aca="false">RANDBETWEEN(-105,115)/10000</f>
        <v>0.0035</v>
      </c>
      <c r="P27" s="17" t="n">
        <f aca="false">+Chạy!O20</f>
        <v>-1.21</v>
      </c>
      <c r="Q27" s="17" t="n">
        <f aca="false">P27+R27</f>
        <v>-1.213</v>
      </c>
      <c r="R27" s="17" t="n">
        <f aca="false">RANDBETWEEN(-30,90)/1000</f>
        <v>-0.003</v>
      </c>
      <c r="S27" s="18"/>
      <c r="T27" s="0" t="n">
        <v>1.71</v>
      </c>
    </row>
    <row r="28" customFormat="false" ht="15" hidden="false" customHeight="false" outlineLevel="0" collapsed="false">
      <c r="A28" s="14" t="n">
        <v>6</v>
      </c>
      <c r="B28" s="14" t="s">
        <v>1</v>
      </c>
      <c r="C28" s="71" t="n">
        <f aca="false">+C27+T27</f>
        <v>586.23</v>
      </c>
      <c r="D28" s="17" t="n">
        <f aca="false">+Chạy!F24</f>
        <v>-10.31</v>
      </c>
      <c r="E28" s="17" t="n">
        <f aca="false">+D28+F28</f>
        <v>-10.2988</v>
      </c>
      <c r="F28" s="17" t="n">
        <f aca="false">RANDBETWEEN(-105,115)/10000</f>
        <v>0.0112</v>
      </c>
      <c r="G28" s="17" t="n">
        <f aca="false">+Chạy!G24</f>
        <v>-1.21</v>
      </c>
      <c r="H28" s="17" t="n">
        <f aca="false">G28+I28</f>
        <v>-1.164</v>
      </c>
      <c r="I28" s="17" t="n">
        <f aca="false">RANDBETWEEN(-30,90)/1000</f>
        <v>0.046</v>
      </c>
      <c r="J28" s="17" t="n">
        <f aca="false">+Chạy!K24</f>
        <v>-1.21</v>
      </c>
      <c r="K28" s="17" t="n">
        <f aca="false">J28+L28</f>
        <v>-1.208</v>
      </c>
      <c r="L28" s="17" t="n">
        <f aca="false">RANDBETWEEN(-30,90)/1000</f>
        <v>0.002</v>
      </c>
      <c r="M28" s="17" t="n">
        <f aca="false">+Chạy!N24</f>
        <v>14.61</v>
      </c>
      <c r="N28" s="17" t="n">
        <f aca="false">+M28+O28</f>
        <v>14.5999</v>
      </c>
      <c r="O28" s="17" t="n">
        <f aca="false">RANDBETWEEN(-105,115)/10000</f>
        <v>-0.0101</v>
      </c>
      <c r="P28" s="17" t="n">
        <f aca="false">+Chạy!O24</f>
        <v>-1.21</v>
      </c>
      <c r="Q28" s="17" t="n">
        <f aca="false">P28+R28</f>
        <v>-1.142</v>
      </c>
      <c r="R28" s="17" t="n">
        <f aca="false">RANDBETWEEN(-30,90)/1000</f>
        <v>0.068</v>
      </c>
      <c r="S28" s="18"/>
      <c r="T28" s="0" t="n">
        <v>11.55</v>
      </c>
    </row>
    <row r="29" customFormat="false" ht="15" hidden="false" customHeight="false" outlineLevel="0" collapsed="false">
      <c r="A29" s="14" t="n">
        <v>7</v>
      </c>
      <c r="B29" s="14" t="s">
        <v>22</v>
      </c>
      <c r="C29" s="71" t="n">
        <f aca="false">+C28+T28</f>
        <v>597.78</v>
      </c>
      <c r="D29" s="17" t="n">
        <f aca="false">+Chạy!F28</f>
        <v>-5.5</v>
      </c>
      <c r="E29" s="17" t="n">
        <f aca="false">+D29+F29</f>
        <v>-5.4992</v>
      </c>
      <c r="F29" s="17" t="n">
        <f aca="false">RANDBETWEEN(-105,115)/10000</f>
        <v>0.0008</v>
      </c>
      <c r="G29" s="17" t="n">
        <f aca="false">+Chạy!G28</f>
        <v>-1.21</v>
      </c>
      <c r="H29" s="17" t="n">
        <f aca="false">G29+I29</f>
        <v>-1.126</v>
      </c>
      <c r="I29" s="17" t="n">
        <f aca="false">RANDBETWEEN(-30,90)/1000</f>
        <v>0.084</v>
      </c>
      <c r="J29" s="17" t="n">
        <f aca="false">+Chạy!K28</f>
        <v>-1.21</v>
      </c>
      <c r="K29" s="17" t="n">
        <f aca="false">J29+L29</f>
        <v>-1.22</v>
      </c>
      <c r="L29" s="17" t="n">
        <f aca="false">RANDBETWEEN(-30,90)/1000</f>
        <v>-0.01</v>
      </c>
      <c r="M29" s="17" t="n">
        <f aca="false">+Chạy!N28</f>
        <v>9.7</v>
      </c>
      <c r="N29" s="17" t="n">
        <f aca="false">+M29+O29</f>
        <v>9.6941</v>
      </c>
      <c r="O29" s="17" t="n">
        <f aca="false">RANDBETWEEN(-105,115)/10000</f>
        <v>-0.0059</v>
      </c>
      <c r="P29" s="17" t="n">
        <f aca="false">+Chạy!O28</f>
        <v>-1.21</v>
      </c>
      <c r="Q29" s="17" t="n">
        <f aca="false">P29+R29</f>
        <v>-1.124</v>
      </c>
      <c r="R29" s="17" t="n">
        <f aca="false">RANDBETWEEN(-30,90)/1000</f>
        <v>0.086</v>
      </c>
      <c r="S29" s="18"/>
      <c r="T29" s="0" t="n">
        <v>17</v>
      </c>
    </row>
    <row r="30" customFormat="false" ht="15" hidden="false" customHeight="false" outlineLevel="0" collapsed="false">
      <c r="A30" s="14" t="n">
        <v>8</v>
      </c>
      <c r="B30" s="14" t="s">
        <v>23</v>
      </c>
      <c r="C30" s="71" t="n">
        <f aca="false">+C29+T29</f>
        <v>614.78</v>
      </c>
      <c r="D30" s="17" t="n">
        <f aca="false">+Chạy!F32</f>
        <v>-6</v>
      </c>
      <c r="E30" s="17" t="n">
        <f aca="false">+D30+F30</f>
        <v>-5.9928</v>
      </c>
      <c r="F30" s="17" t="n">
        <f aca="false">RANDBETWEEN(-105,115)/10000</f>
        <v>0.0072</v>
      </c>
      <c r="G30" s="17" t="n">
        <f aca="false">+Chạy!G32</f>
        <v>-1.21</v>
      </c>
      <c r="H30" s="17" t="n">
        <f aca="false">G30+I30</f>
        <v>-1.122</v>
      </c>
      <c r="I30" s="17" t="n">
        <f aca="false">RANDBETWEEN(-30,90)/1000</f>
        <v>0.088</v>
      </c>
      <c r="J30" s="17" t="n">
        <f aca="false">+Chạy!K32</f>
        <v>-1.21</v>
      </c>
      <c r="K30" s="17" t="n">
        <f aca="false">J30+L30</f>
        <v>-1.121</v>
      </c>
      <c r="L30" s="17" t="n">
        <f aca="false">RANDBETWEEN(-30,90)/1000</f>
        <v>0.089</v>
      </c>
      <c r="M30" s="17" t="n">
        <f aca="false">+Chạy!N32</f>
        <v>9.18</v>
      </c>
      <c r="N30" s="17" t="n">
        <f aca="false">+M30+O30</f>
        <v>9.185</v>
      </c>
      <c r="O30" s="17" t="n">
        <f aca="false">RANDBETWEEN(-105,115)/10000</f>
        <v>0.005</v>
      </c>
      <c r="P30" s="17" t="n">
        <f aca="false">+Chạy!O32</f>
        <v>-1.21</v>
      </c>
      <c r="Q30" s="17" t="n">
        <f aca="false">P30+R30</f>
        <v>-1.23</v>
      </c>
      <c r="R30" s="17" t="n">
        <f aca="false">RANDBETWEEN(-30,90)/1000</f>
        <v>-0.02</v>
      </c>
      <c r="S30" s="18"/>
      <c r="T30" s="0" t="n">
        <v>17.05</v>
      </c>
    </row>
    <row r="31" customFormat="false" ht="15" hidden="false" customHeight="false" outlineLevel="0" collapsed="false">
      <c r="A31" s="14" t="n">
        <v>9</v>
      </c>
      <c r="B31" s="14" t="s">
        <v>24</v>
      </c>
      <c r="C31" s="71" t="n">
        <f aca="false">+C30+T30</f>
        <v>631.83</v>
      </c>
      <c r="D31" s="17" t="n">
        <f aca="false">+Chạy!F36</f>
        <v>-8.59</v>
      </c>
      <c r="E31" s="17" t="n">
        <f aca="false">+D31+F31</f>
        <v>-8.5934</v>
      </c>
      <c r="F31" s="17" t="n">
        <f aca="false">RANDBETWEEN(-105,115)/10000</f>
        <v>-0.0034</v>
      </c>
      <c r="G31" s="17" t="n">
        <f aca="false">+Chạy!G36</f>
        <v>-1.22</v>
      </c>
      <c r="H31" s="17" t="n">
        <f aca="false">G31+I31</f>
        <v>-1.147</v>
      </c>
      <c r="I31" s="17" t="n">
        <f aca="false">RANDBETWEEN(-30,90)/1000</f>
        <v>0.073</v>
      </c>
      <c r="J31" s="17" t="n">
        <f aca="false">+Chạy!K36</f>
        <v>-1.22</v>
      </c>
      <c r="K31" s="17" t="n">
        <f aca="false">J31+L31</f>
        <v>-1.21</v>
      </c>
      <c r="L31" s="17" t="n">
        <f aca="false">RANDBETWEEN(-30,90)/1000</f>
        <v>0.01</v>
      </c>
      <c r="M31" s="17" t="n">
        <f aca="false">+Chạy!N36</f>
        <v>9.01</v>
      </c>
      <c r="N31" s="17" t="n">
        <f aca="false">+M31+O31</f>
        <v>9.013</v>
      </c>
      <c r="O31" s="17" t="n">
        <f aca="false">RANDBETWEEN(-105,115)/10000</f>
        <v>0.003</v>
      </c>
      <c r="P31" s="17" t="n">
        <f aca="false">+Chạy!O36</f>
        <v>-1.22</v>
      </c>
      <c r="Q31" s="17" t="n">
        <f aca="false">P31+R31</f>
        <v>-1.216</v>
      </c>
      <c r="R31" s="17" t="n">
        <f aca="false">RANDBETWEEN(-30,90)/1000</f>
        <v>0.004</v>
      </c>
      <c r="S31" s="18"/>
      <c r="T31" s="0" t="n">
        <v>11.7</v>
      </c>
    </row>
    <row r="32" customFormat="false" ht="15" hidden="false" customHeight="false" outlineLevel="0" collapsed="false">
      <c r="A32" s="14" t="n">
        <v>10</v>
      </c>
      <c r="B32" s="14" t="s">
        <v>25</v>
      </c>
      <c r="C32" s="71" t="n">
        <f aca="false">+C31+T31</f>
        <v>643.53</v>
      </c>
      <c r="D32" s="17" t="n">
        <f aca="false">+Chạy!F40</f>
        <v>-9.66</v>
      </c>
      <c r="E32" s="17" t="n">
        <f aca="false">+D32+F32</f>
        <v>-9.6584</v>
      </c>
      <c r="F32" s="17" t="n">
        <f aca="false">RANDBETWEEN(-105,115)/10000</f>
        <v>0.0016</v>
      </c>
      <c r="G32" s="17" t="n">
        <f aca="false">+Chạy!G40</f>
        <v>-1.22</v>
      </c>
      <c r="H32" s="17" t="n">
        <f aca="false">G32+I32</f>
        <v>-1.145</v>
      </c>
      <c r="I32" s="17" t="n">
        <f aca="false">RANDBETWEEN(-30,90)/1000</f>
        <v>0.075</v>
      </c>
      <c r="J32" s="17" t="n">
        <f aca="false">+Chạy!K40</f>
        <v>-1.22</v>
      </c>
      <c r="K32" s="17" t="n">
        <f aca="false">J32+L32</f>
        <v>-1.163</v>
      </c>
      <c r="L32" s="17" t="n">
        <f aca="false">RANDBETWEEN(-30,90)/1000</f>
        <v>0.057</v>
      </c>
      <c r="M32" s="17" t="n">
        <f aca="false">+Chạy!N40</f>
        <v>14.06</v>
      </c>
      <c r="N32" s="17" t="n">
        <f aca="false">+M32+O32</f>
        <v>14.0683</v>
      </c>
      <c r="O32" s="17" t="n">
        <f aca="false">RANDBETWEEN(-105,115)/10000</f>
        <v>0.0083</v>
      </c>
      <c r="P32" s="17" t="n">
        <f aca="false">+Chạy!O40</f>
        <v>-1.22</v>
      </c>
      <c r="Q32" s="17" t="n">
        <f aca="false">P32+R32</f>
        <v>-1.247</v>
      </c>
      <c r="R32" s="17" t="n">
        <f aca="false">RANDBETWEEN(-30,90)/1000</f>
        <v>-0.027</v>
      </c>
      <c r="S32" s="18"/>
      <c r="T32" s="0" t="n">
        <v>11.75</v>
      </c>
    </row>
    <row r="33" customFormat="false" ht="15" hidden="false" customHeight="false" outlineLevel="0" collapsed="false">
      <c r="A33" s="14" t="n">
        <v>11</v>
      </c>
      <c r="B33" s="14" t="s">
        <v>26</v>
      </c>
      <c r="C33" s="71" t="n">
        <f aca="false">+C32+T32</f>
        <v>655.28</v>
      </c>
      <c r="D33" s="17" t="n">
        <f aca="false">+Chạy!F44</f>
        <v>-8.25</v>
      </c>
      <c r="E33" s="17" t="n">
        <f aca="false">+D33+F33</f>
        <v>-8.2565</v>
      </c>
      <c r="F33" s="17" t="n">
        <f aca="false">RANDBETWEEN(-105,115)/10000</f>
        <v>-0.0065</v>
      </c>
      <c r="G33" s="17" t="n">
        <f aca="false">+Chạy!G44</f>
        <v>-1.22</v>
      </c>
      <c r="H33" s="17" t="n">
        <f aca="false">G33+I33</f>
        <v>-1.233</v>
      </c>
      <c r="I33" s="17" t="n">
        <f aca="false">RANDBETWEEN(-30,90)/1000</f>
        <v>-0.013</v>
      </c>
      <c r="J33" s="17" t="n">
        <f aca="false">+Chạy!K44</f>
        <v>-1.22</v>
      </c>
      <c r="K33" s="17" t="n">
        <f aca="false">J33+L33</f>
        <v>-1.19</v>
      </c>
      <c r="L33" s="17" t="n">
        <f aca="false">RANDBETWEEN(-30,90)/1000</f>
        <v>0.03</v>
      </c>
      <c r="M33" s="17" t="n">
        <f aca="false">+Chạy!N44</f>
        <v>9.84</v>
      </c>
      <c r="N33" s="17" t="n">
        <f aca="false">+M33+O33</f>
        <v>9.8475</v>
      </c>
      <c r="O33" s="17" t="n">
        <f aca="false">RANDBETWEEN(-105,115)/10000</f>
        <v>0.0075</v>
      </c>
      <c r="P33" s="17" t="n">
        <f aca="false">+Chạy!O44</f>
        <v>-1.22</v>
      </c>
      <c r="Q33" s="17" t="n">
        <f aca="false">P33+R33</f>
        <v>-1.193</v>
      </c>
      <c r="R33" s="17" t="n">
        <f aca="false">RANDBETWEEN(-30,90)/1000</f>
        <v>0.027</v>
      </c>
      <c r="S33" s="18"/>
      <c r="T33" s="0" t="n">
        <v>17</v>
      </c>
    </row>
    <row r="34" customFormat="false" ht="15" hidden="false" customHeight="false" outlineLevel="0" collapsed="false">
      <c r="A34" s="14" t="n">
        <v>12</v>
      </c>
      <c r="B34" s="14" t="s">
        <v>27</v>
      </c>
      <c r="C34" s="71" t="n">
        <f aca="false">+C33+T33</f>
        <v>672.28</v>
      </c>
      <c r="D34" s="17" t="n">
        <f aca="false">+Chạy!F48</f>
        <v>-9.18</v>
      </c>
      <c r="E34" s="17" t="n">
        <f aca="false">+D34+F34</f>
        <v>-9.1745</v>
      </c>
      <c r="F34" s="17" t="n">
        <f aca="false">RANDBETWEEN(-105,115)/10000</f>
        <v>0.0055</v>
      </c>
      <c r="G34" s="17" t="n">
        <f aca="false">+Chạy!G48</f>
        <v>-1.22</v>
      </c>
      <c r="H34" s="17" t="n">
        <f aca="false">G34+I34</f>
        <v>-1.205</v>
      </c>
      <c r="I34" s="17" t="n">
        <f aca="false">RANDBETWEEN(-30,90)/1000</f>
        <v>0.015</v>
      </c>
      <c r="J34" s="17" t="n">
        <f aca="false">+Chạy!K48</f>
        <v>-1.22</v>
      </c>
      <c r="K34" s="17" t="n">
        <f aca="false">J34+L34</f>
        <v>-1.219</v>
      </c>
      <c r="L34" s="17" t="n">
        <f aca="false">RANDBETWEEN(-30,90)/1000</f>
        <v>0.001</v>
      </c>
      <c r="M34" s="17" t="n">
        <f aca="false">+Chạy!N48</f>
        <v>16.69</v>
      </c>
      <c r="N34" s="17" t="n">
        <f aca="false">+M34+O34</f>
        <v>16.6858</v>
      </c>
      <c r="O34" s="17" t="n">
        <f aca="false">RANDBETWEEN(-105,115)/10000</f>
        <v>-0.0042</v>
      </c>
      <c r="P34" s="17" t="n">
        <f aca="false">+Chạy!O48</f>
        <v>-1.22</v>
      </c>
      <c r="Q34" s="17" t="n">
        <f aca="false">P34+R34</f>
        <v>-1.197</v>
      </c>
      <c r="R34" s="17" t="n">
        <f aca="false">RANDBETWEEN(-30,90)/1000</f>
        <v>0.023</v>
      </c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true" customHeight="false" outlineLevel="0" collapsed="false">
      <c r="A48" s="14"/>
      <c r="B48" s="14"/>
      <c r="C48" s="7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true" customHeight="false" outlineLevel="0" collapsed="false">
      <c r="A49" s="14"/>
      <c r="B49" s="14"/>
      <c r="C49" s="7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true" customHeight="false" outlineLevel="0" collapsed="false">
      <c r="A50" s="14"/>
      <c r="B50" s="14"/>
      <c r="C50" s="7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</row>
    <row r="51" customFormat="false" ht="15" hidden="true" customHeight="false" outlineLevel="0" collapsed="false">
      <c r="A51" s="14"/>
      <c r="B51" s="14"/>
      <c r="C51" s="71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</row>
    <row r="52" customFormat="false" ht="15" hidden="true" customHeight="false" outlineLevel="0" collapsed="false">
      <c r="A52" s="14"/>
      <c r="B52" s="14"/>
      <c r="C52" s="71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</row>
    <row r="53" customFormat="false" ht="15" hidden="true" customHeight="false" outlineLevel="0" collapsed="false">
      <c r="A53" s="14"/>
      <c r="B53" s="14"/>
      <c r="C53" s="7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</row>
    <row r="54" customFormat="false" ht="15" hidden="true" customHeight="false" outlineLevel="0" collapsed="false">
      <c r="A54" s="14"/>
      <c r="B54" s="14"/>
      <c r="C54" s="71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</row>
    <row r="55" customFormat="false" ht="15" hidden="true" customHeight="false" outlineLevel="0" collapsed="false">
      <c r="A55" s="14"/>
      <c r="B55" s="14"/>
      <c r="C55" s="7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</row>
    <row r="56" customFormat="false" ht="15" hidden="true" customHeight="false" outlineLevel="0" collapsed="false">
      <c r="A56" s="14"/>
      <c r="B56" s="14"/>
      <c r="C56" s="7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  <row r="57" customFormat="false" ht="15" hidden="true" customHeight="false" outlineLevel="0" collapsed="false">
      <c r="A57" s="14"/>
      <c r="B57" s="14"/>
      <c r="C57" s="71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</row>
    <row r="58" customFormat="false" ht="15" hidden="true" customHeight="false" outlineLevel="0" collapsed="false">
      <c r="A58" s="14"/>
      <c r="B58" s="14"/>
      <c r="C58" s="7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50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51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52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53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33.NĐXD4/CVXD ngày 03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33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XD4'!$A$2:$B$60,2,0)</f>
        <v xml:space="preserve">Đắp cát nền đường lớp 2 đoạn từ Km0+554,08 - Km0+672,28,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32</v>
      </c>
      <c r="C11" s="16" t="n">
        <f aca="false">'2.KTHH L2'!C23</f>
        <v>554.08</v>
      </c>
      <c r="D11" s="14" t="n">
        <f aca="false">'2.KTHH L2'!T23</f>
        <v>15.4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4.37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77.154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33</v>
      </c>
      <c r="C12" s="16" t="n">
        <f aca="false">'2.KTHH L2'!C24</f>
        <v>569.48</v>
      </c>
      <c r="D12" s="14" t="n">
        <f aca="false">'2.KTHH L2'!T24</f>
        <v>3.64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5.65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21.4578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TD</v>
      </c>
      <c r="C13" s="16" t="n">
        <f aca="false">'2.KTHH L2'!C25</f>
        <v>573.12</v>
      </c>
      <c r="D13" s="14" t="n">
        <f aca="false">'2.KTHH L2'!T25</f>
        <v>6.56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6.14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44.0832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P</v>
      </c>
      <c r="C14" s="16" t="n">
        <f aca="false">'2.KTHH L2'!C26</f>
        <v>579.68</v>
      </c>
      <c r="D14" s="14" t="n">
        <f aca="false">'2.KTHH L2'!T26</f>
        <v>4.84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7.3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35.5982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E2</v>
      </c>
      <c r="C15" s="16" t="n">
        <f aca="false">'2.KTHH L2'!C27</f>
        <v>584.52</v>
      </c>
      <c r="D15" s="14" t="n">
        <f aca="false">'2.KTHH L2'!T27</f>
        <v>1.71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7.41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12.64545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TC</v>
      </c>
      <c r="C16" s="16" t="n">
        <f aca="false">'2.KTHH L2'!C28</f>
        <v>586.23</v>
      </c>
      <c r="D16" s="14" t="n">
        <f aca="false">'2.KTHH L2'!T28</f>
        <v>11.55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7.38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68.7225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'2.KTHH L2'!B29</f>
        <v>34</v>
      </c>
      <c r="C17" s="16" t="n">
        <f aca="false">'2.KTHH L2'!C29</f>
        <v>597.78</v>
      </c>
      <c r="D17" s="14" t="n">
        <f aca="false">'2.KTHH L2'!T29</f>
        <v>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Chạy!E28</f>
        <v>4.52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76.755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'2.KTHH L2'!B30</f>
        <v>35</v>
      </c>
      <c r="C18" s="16" t="n">
        <f aca="false">'2.KTHH L2'!C30</f>
        <v>614.78</v>
      </c>
      <c r="D18" s="14" t="n">
        <f aca="false">'2.KTHH L2'!T30</f>
        <v>17.05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Chạy!E32</f>
        <v>4.51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82.6925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'2.KTHH L2'!B31</f>
        <v>36</v>
      </c>
      <c r="C19" s="16" t="n">
        <f aca="false">'2.KTHH L2'!C31</f>
        <v>631.83</v>
      </c>
      <c r="D19" s="14" t="n">
        <f aca="false">'2.KTHH L2'!T31</f>
        <v>11.7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Chạy!E36</f>
        <v>5.19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71.487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'2.KTHH L2'!B32</f>
        <v>E9</v>
      </c>
      <c r="C20" s="16" t="n">
        <f aca="false">'2.KTHH L2'!C32</f>
        <v>643.53</v>
      </c>
      <c r="D20" s="14" t="n">
        <f aca="false">'2.KTHH L2'!T32</f>
        <v>11.75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Chạy!E40</f>
        <v>7.03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72.67375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'2.KTHH L2'!B33</f>
        <v>37</v>
      </c>
      <c r="C21" s="16" t="n">
        <f aca="false">'2.KTHH L2'!C33</f>
        <v>655.28</v>
      </c>
      <c r="D21" s="14" t="n">
        <f aca="false">'2.KTHH L2'!T33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 t="n">
        <f aca="false">Chạy!E44</f>
        <v>5.34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111.52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'2.KTHH L2'!B34</f>
        <v>38</v>
      </c>
      <c r="C22" s="16" t="n">
        <f aca="false">'2.KTHH L2'!C34</f>
        <v>672.28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 t="n">
        <f aca="false">Chạy!E48</f>
        <v>7.78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61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SUM(W11:W22)</f>
        <v>674.7894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50</v>
      </c>
      <c r="B53" s="20"/>
      <c r="C53" s="20"/>
      <c r="D53" s="65" t="s">
        <v>62</v>
      </c>
      <c r="E53" s="20" t="s">
        <v>51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52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53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34.NĐXD4/CVXD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  <c r="AZ2">
        <v>34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XD4'!$A$2:$B$60,2,0)</f>
        <v xml:space="preserve">Đắp cát nền đường lớp 3 đoạn từ Km0+554,08 - Km0+672,28,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37</v>
      </c>
      <c r="B20" s="10" t="s">
        <v>38</v>
      </c>
      <c r="C20" s="10" t="s">
        <v>39</v>
      </c>
      <c r="D20" s="11" t="s">
        <v>40</v>
      </c>
      <c r="E20" s="11"/>
      <c r="F20" s="11"/>
      <c r="G20" s="11"/>
      <c r="H20" s="11"/>
      <c r="I20" s="11"/>
      <c r="J20" s="11" t="s">
        <v>41</v>
      </c>
      <c r="K20" s="11"/>
      <c r="L20" s="11"/>
      <c r="M20" s="11" t="s">
        <v>42</v>
      </c>
      <c r="N20" s="11"/>
      <c r="O20" s="11"/>
      <c r="P20" s="11"/>
      <c r="Q20" s="11"/>
      <c r="R20" s="11"/>
      <c r="S20" s="10" t="s">
        <v>43</v>
      </c>
    </row>
    <row r="21" customFormat="false" ht="30" hidden="false" customHeight="true" outlineLevel="0" collapsed="false">
      <c r="A21" s="10"/>
      <c r="B21" s="10"/>
      <c r="C21" s="10"/>
      <c r="D21" s="12" t="s">
        <v>44</v>
      </c>
      <c r="E21" s="12" t="s">
        <v>45</v>
      </c>
      <c r="F21" s="12" t="s">
        <v>46</v>
      </c>
      <c r="G21" s="12" t="s">
        <v>47</v>
      </c>
      <c r="H21" s="12" t="s">
        <v>48</v>
      </c>
      <c r="I21" s="12" t="s">
        <v>49</v>
      </c>
      <c r="J21" s="12" t="s">
        <v>47</v>
      </c>
      <c r="K21" s="12" t="s">
        <v>48</v>
      </c>
      <c r="L21" s="12" t="s">
        <v>49</v>
      </c>
      <c r="M21" s="12" t="s">
        <v>44</v>
      </c>
      <c r="N21" s="12" t="s">
        <v>45</v>
      </c>
      <c r="O21" s="12" t="s">
        <v>46</v>
      </c>
      <c r="P21" s="12" t="s">
        <v>47</v>
      </c>
      <c r="Q21" s="12" t="s">
        <v>48</v>
      </c>
      <c r="R21" s="12" t="s">
        <v>49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554.08</v>
      </c>
      <c r="D22" s="17" t="n">
        <f aca="false">+Chạy!F3</f>
        <v>-6.12</v>
      </c>
      <c r="E22" s="17" t="n">
        <f aca="false">+D22+F22</f>
        <v>-6.1136</v>
      </c>
      <c r="F22" s="17" t="n">
        <f aca="false">RANDBETWEEN(-105,115)/10000</f>
        <v>0.0064</v>
      </c>
      <c r="G22" s="17" t="n">
        <f aca="false">+Chạy!G3</f>
        <v>-0.91</v>
      </c>
      <c r="H22" s="17" t="n">
        <f aca="false">G22+I22</f>
        <v>-0.865</v>
      </c>
      <c r="I22" s="17" t="n">
        <f aca="false">RANDBETWEEN(-30,90)/1000</f>
        <v>0.045</v>
      </c>
      <c r="J22" s="17" t="n">
        <f aca="false">+Chạy!K3</f>
        <v>-0.91</v>
      </c>
      <c r="K22" s="17" t="n">
        <f aca="false">J22+L22</f>
        <v>-0.917</v>
      </c>
      <c r="L22" s="17" t="n">
        <f aca="false">RANDBETWEEN(-30,90)/1000</f>
        <v>-0.007</v>
      </c>
      <c r="M22" s="17" t="n">
        <f aca="false">+Chạy!N3</f>
        <v>9.36</v>
      </c>
      <c r="N22" s="17" t="n">
        <f aca="false">+M22+O22</f>
        <v>9.3655</v>
      </c>
      <c r="O22" s="17" t="n">
        <f aca="false">RANDBETWEEN(-105,115)/10000</f>
        <v>0.0055</v>
      </c>
      <c r="P22" s="17" t="n">
        <f aca="false">+Chạy!O3</f>
        <v>-0.91</v>
      </c>
      <c r="Q22" s="17" t="n">
        <f aca="false">P22+R22</f>
        <v>-0.904</v>
      </c>
      <c r="R22" s="17" t="n">
        <f aca="false">RANDBETWEEN(-30,90)/1000</f>
        <v>0.006</v>
      </c>
      <c r="S22" s="18"/>
      <c r="T22" s="0" t="n">
        <v>15.4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569.48</v>
      </c>
      <c r="D23" s="17" t="n">
        <f aca="false">+Chạy!F7</f>
        <v>-9.67</v>
      </c>
      <c r="E23" s="17" t="n">
        <f aca="false">+D23+F23</f>
        <v>-9.6779</v>
      </c>
      <c r="F23" s="17" t="n">
        <f aca="false">RANDBETWEEN(-105,115)/10000</f>
        <v>-0.0079</v>
      </c>
      <c r="G23" s="17" t="n">
        <f aca="false">+Chạy!G7</f>
        <v>-0.91</v>
      </c>
      <c r="H23" s="17" t="n">
        <f aca="false">G23+I23</f>
        <v>-0.935</v>
      </c>
      <c r="I23" s="17" t="n">
        <f aca="false">RANDBETWEEN(-30,90)/1000</f>
        <v>-0.025</v>
      </c>
      <c r="J23" s="17" t="n">
        <f aca="false">+Chạy!K7</f>
        <v>-0.91</v>
      </c>
      <c r="K23" s="17" t="n">
        <f aca="false">J23+L23</f>
        <v>-0.902</v>
      </c>
      <c r="L23" s="17" t="n">
        <f aca="false">RANDBETWEEN(-30,90)/1000</f>
        <v>0.008</v>
      </c>
      <c r="M23" s="17" t="n">
        <f aca="false">+Chạy!N7</f>
        <v>10.04</v>
      </c>
      <c r="N23" s="17" t="n">
        <f aca="false">+M23+O23</f>
        <v>10.0381</v>
      </c>
      <c r="O23" s="17" t="n">
        <f aca="false">RANDBETWEEN(-105,115)/10000</f>
        <v>-0.0019</v>
      </c>
      <c r="P23" s="17" t="n">
        <f aca="false">+Chạy!O7</f>
        <v>-0.91</v>
      </c>
      <c r="Q23" s="17" t="n">
        <f aca="false">P23+R23</f>
        <v>-0.901</v>
      </c>
      <c r="R23" s="17" t="n">
        <f aca="false">RANDBETWEEN(-30,90)/1000</f>
        <v>0.009</v>
      </c>
      <c r="S23" s="18"/>
      <c r="T23" s="0" t="n">
        <v>3.64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573.12</v>
      </c>
      <c r="D24" s="17" t="n">
        <f aca="false">+Chạy!F11</f>
        <v>-11.36</v>
      </c>
      <c r="E24" s="17" t="n">
        <f aca="false">+D24+F24</f>
        <v>-11.3497</v>
      </c>
      <c r="F24" s="17" t="n">
        <f aca="false">RANDBETWEEN(-105,115)/10000</f>
        <v>0.0103</v>
      </c>
      <c r="G24" s="17" t="n">
        <f aca="false">+Chạy!G11</f>
        <v>-0.91</v>
      </c>
      <c r="H24" s="17" t="n">
        <f aca="false">G24+I24</f>
        <v>-0.827</v>
      </c>
      <c r="I24" s="17" t="n">
        <f aca="false">RANDBETWEEN(-30,90)/1000</f>
        <v>0.083</v>
      </c>
      <c r="J24" s="17" t="n">
        <f aca="false">+Chạy!K11</f>
        <v>-0.91</v>
      </c>
      <c r="K24" s="17" t="n">
        <f aca="false">J24+L24</f>
        <v>-0.912</v>
      </c>
      <c r="L24" s="17" t="n">
        <f aca="false">RANDBETWEEN(-30,90)/1000</f>
        <v>-0.002</v>
      </c>
      <c r="M24" s="17" t="n">
        <f aca="false">+Chạy!N11</f>
        <v>10.01</v>
      </c>
      <c r="N24" s="17" t="n">
        <f aca="false">+M24+O24</f>
        <v>10.0077</v>
      </c>
      <c r="O24" s="17" t="n">
        <f aca="false">RANDBETWEEN(-105,115)/10000</f>
        <v>-0.0023</v>
      </c>
      <c r="P24" s="17" t="n">
        <f aca="false">+Chạy!O11</f>
        <v>-0.91</v>
      </c>
      <c r="Q24" s="17" t="n">
        <f aca="false">P24+R24</f>
        <v>-0.933</v>
      </c>
      <c r="R24" s="17" t="n">
        <f aca="false">RANDBETWEEN(-30,90)/1000</f>
        <v>-0.023</v>
      </c>
      <c r="S24" s="18"/>
      <c r="T24" s="0" t="n">
        <v>6.56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579.68</v>
      </c>
      <c r="D25" s="17" t="n">
        <f aca="false">+Chạy!F15</f>
        <v>-10.28</v>
      </c>
      <c r="E25" s="17" t="n">
        <f aca="false">+D25+F25</f>
        <v>-10.2725</v>
      </c>
      <c r="F25" s="17" t="n">
        <f aca="false">RANDBETWEEN(-105,115)/10000</f>
        <v>0.0075</v>
      </c>
      <c r="G25" s="17" t="n">
        <f aca="false">+Chạy!G15</f>
        <v>-0.91</v>
      </c>
      <c r="H25" s="17" t="n">
        <f aca="false">G25+I25</f>
        <v>-0.869</v>
      </c>
      <c r="I25" s="17" t="n">
        <f aca="false">RANDBETWEEN(-30,90)/1000</f>
        <v>0.041</v>
      </c>
      <c r="J25" s="17" t="n">
        <f aca="false">+Chạy!K15</f>
        <v>-0.91</v>
      </c>
      <c r="K25" s="17" t="n">
        <f aca="false">J25+L25</f>
        <v>-0.932</v>
      </c>
      <c r="L25" s="17" t="n">
        <f aca="false">RANDBETWEEN(-30,90)/1000</f>
        <v>-0.022</v>
      </c>
      <c r="M25" s="17" t="n">
        <f aca="false">+Chạy!N15</f>
        <v>14.96</v>
      </c>
      <c r="N25" s="17" t="n">
        <f aca="false">+M25+O25</f>
        <v>14.955</v>
      </c>
      <c r="O25" s="17" t="n">
        <f aca="false">RANDBETWEEN(-105,115)/10000</f>
        <v>-0.005</v>
      </c>
      <c r="P25" s="17" t="n">
        <f aca="false">+Chạy!O15</f>
        <v>-0.91</v>
      </c>
      <c r="Q25" s="17" t="n">
        <f aca="false">P25+R25</f>
        <v>-0.848</v>
      </c>
      <c r="R25" s="17" t="n">
        <f aca="false">RANDBETWEEN(-30,90)/1000</f>
        <v>0.062</v>
      </c>
      <c r="S25" s="18"/>
      <c r="T25" s="0" t="n">
        <v>4.84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584.52</v>
      </c>
      <c r="D26" s="17" t="n">
        <f aca="false">+Chạy!F19</f>
        <v>-10.61</v>
      </c>
      <c r="E26" s="17" t="n">
        <f aca="false">+D26+F26</f>
        <v>-10.6066</v>
      </c>
      <c r="F26" s="17" t="n">
        <f aca="false">RANDBETWEEN(-105,115)/10000</f>
        <v>0.0034</v>
      </c>
      <c r="G26" s="17" t="n">
        <f aca="false">+Chạy!G19</f>
        <v>-0.91</v>
      </c>
      <c r="H26" s="17" t="n">
        <f aca="false">G26+I26</f>
        <v>-0.935</v>
      </c>
      <c r="I26" s="17" t="n">
        <f aca="false">RANDBETWEEN(-30,90)/1000</f>
        <v>-0.025</v>
      </c>
      <c r="J26" s="17" t="n">
        <f aca="false">+Chạy!K19</f>
        <v>-0.91</v>
      </c>
      <c r="K26" s="17" t="n">
        <f aca="false">J26+L26</f>
        <v>-0.869</v>
      </c>
      <c r="L26" s="17" t="n">
        <f aca="false">RANDBETWEEN(-30,90)/1000</f>
        <v>0.041</v>
      </c>
      <c r="M26" s="17" t="n">
        <f aca="false">+Chạy!N19</f>
        <v>14.98</v>
      </c>
      <c r="N26" s="17" t="n">
        <f aca="false">+M26+O26</f>
        <v>14.973</v>
      </c>
      <c r="O26" s="17" t="n">
        <f aca="false">RANDBETWEEN(-105,115)/10000</f>
        <v>-0.007</v>
      </c>
      <c r="P26" s="17" t="n">
        <f aca="false">+Chạy!O19</f>
        <v>-0.91</v>
      </c>
      <c r="Q26" s="17" t="n">
        <f aca="false">P26+R26</f>
        <v>-0.867</v>
      </c>
      <c r="R26" s="17" t="n">
        <f aca="false">RANDBETWEEN(-30,90)/1000</f>
        <v>0.043</v>
      </c>
      <c r="S26" s="18"/>
      <c r="T26" s="0" t="n">
        <v>1.71</v>
      </c>
    </row>
    <row r="27" customFormat="false" ht="15" hidden="false" customHeight="false" outlineLevel="0" collapsed="false">
      <c r="A27" s="14" t="n">
        <v>6</v>
      </c>
      <c r="B27" s="14" t="s">
        <v>1</v>
      </c>
      <c r="C27" s="71" t="n">
        <f aca="false">+C26+T26</f>
        <v>586.23</v>
      </c>
      <c r="D27" s="17" t="n">
        <f aca="false">+Chạy!F23</f>
        <v>-10.61</v>
      </c>
      <c r="E27" s="17" t="n">
        <f aca="false">+D27+F27</f>
        <v>-10.6165</v>
      </c>
      <c r="F27" s="17" t="n">
        <f aca="false">RANDBETWEEN(-105,115)/10000</f>
        <v>-0.0065</v>
      </c>
      <c r="G27" s="17" t="n">
        <f aca="false">+Chạy!G23</f>
        <v>-0.91</v>
      </c>
      <c r="H27" s="17" t="n">
        <f aca="false">G27+I27</f>
        <v>-0.933</v>
      </c>
      <c r="I27" s="17" t="n">
        <f aca="false">RANDBETWEEN(-30,90)/1000</f>
        <v>-0.023</v>
      </c>
      <c r="J27" s="17" t="n">
        <f aca="false">+Chạy!K23</f>
        <v>-0.91</v>
      </c>
      <c r="K27" s="17" t="n">
        <f aca="false">J27+L27</f>
        <v>-0.837</v>
      </c>
      <c r="L27" s="17" t="n">
        <f aca="false">RANDBETWEEN(-30,90)/1000</f>
        <v>0.073</v>
      </c>
      <c r="M27" s="17" t="n">
        <f aca="false">+Chạy!N23</f>
        <v>14.91</v>
      </c>
      <c r="N27" s="17" t="n">
        <f aca="false">+M27+O27</f>
        <v>14.907</v>
      </c>
      <c r="O27" s="17" t="n">
        <f aca="false">RANDBETWEEN(-105,115)/10000</f>
        <v>-0.003</v>
      </c>
      <c r="P27" s="17" t="n">
        <f aca="false">+Chạy!O23</f>
        <v>-0.91</v>
      </c>
      <c r="Q27" s="17" t="n">
        <f aca="false">P27+R27</f>
        <v>-0.915</v>
      </c>
      <c r="R27" s="17" t="n">
        <f aca="false">RANDBETWEEN(-30,90)/1000</f>
        <v>-0.005</v>
      </c>
      <c r="S27" s="18"/>
      <c r="T27" s="0" t="n">
        <v>11.55</v>
      </c>
    </row>
    <row r="28" customFormat="false" ht="15" hidden="false" customHeight="false" outlineLevel="0" collapsed="false">
      <c r="A28" s="14" t="n">
        <v>7</v>
      </c>
      <c r="B28" s="14" t="s">
        <v>22</v>
      </c>
      <c r="C28" s="71" t="n">
        <f aca="false">+C27+T27</f>
        <v>597.78</v>
      </c>
      <c r="D28" s="17" t="n">
        <f aca="false">+Chạy!F27</f>
        <v>-5.5</v>
      </c>
      <c r="E28" s="17" t="n">
        <f aca="false">+D28+F28</f>
        <v>-5.4947</v>
      </c>
      <c r="F28" s="17" t="n">
        <f aca="false">RANDBETWEEN(-105,115)/10000</f>
        <v>0.0053</v>
      </c>
      <c r="G28" s="17" t="n">
        <f aca="false">+Chạy!G27</f>
        <v>-0.91</v>
      </c>
      <c r="H28" s="17" t="n">
        <f aca="false">G28+I28</f>
        <v>-0.857</v>
      </c>
      <c r="I28" s="17" t="n">
        <f aca="false">RANDBETWEEN(-30,90)/1000</f>
        <v>0.053</v>
      </c>
      <c r="J28" s="17" t="n">
        <f aca="false">+Chạy!K27</f>
        <v>-0.91</v>
      </c>
      <c r="K28" s="17" t="n">
        <f aca="false">J28+L28</f>
        <v>-0.873</v>
      </c>
      <c r="L28" s="17" t="n">
        <f aca="false">RANDBETWEEN(-30,90)/1000</f>
        <v>0.037</v>
      </c>
      <c r="M28" s="17" t="n">
        <f aca="false">+Chạy!N27</f>
        <v>10</v>
      </c>
      <c r="N28" s="17" t="n">
        <f aca="false">+M28+O28</f>
        <v>9.9969</v>
      </c>
      <c r="O28" s="17" t="n">
        <f aca="false">RANDBETWEEN(-105,115)/10000</f>
        <v>-0.0031</v>
      </c>
      <c r="P28" s="17" t="n">
        <f aca="false">+Chạy!O27</f>
        <v>-0.91</v>
      </c>
      <c r="Q28" s="17" t="n">
        <f aca="false">P28+R28</f>
        <v>-0.901</v>
      </c>
      <c r="R28" s="17" t="n">
        <f aca="false">RANDBETWEEN(-30,90)/1000</f>
        <v>0.009</v>
      </c>
      <c r="S28" s="18"/>
      <c r="T28" s="0" t="n">
        <v>17</v>
      </c>
    </row>
    <row r="29" customFormat="false" ht="15" hidden="false" customHeight="false" outlineLevel="0" collapsed="false">
      <c r="A29" s="14" t="n">
        <v>8</v>
      </c>
      <c r="B29" s="14" t="s">
        <v>23</v>
      </c>
      <c r="C29" s="71" t="n">
        <f aca="false">+C28+T28</f>
        <v>614.78</v>
      </c>
      <c r="D29" s="17" t="n">
        <f aca="false">+Chạy!F31</f>
        <v>-6</v>
      </c>
      <c r="E29" s="17" t="n">
        <f aca="false">+D29+F29</f>
        <v>-6.0016</v>
      </c>
      <c r="F29" s="17" t="n">
        <f aca="false">RANDBETWEEN(-105,115)/10000</f>
        <v>-0.0016</v>
      </c>
      <c r="G29" s="17" t="n">
        <f aca="false">+Chạy!G31</f>
        <v>-0.91</v>
      </c>
      <c r="H29" s="17" t="n">
        <f aca="false">G29+I29</f>
        <v>-0.845</v>
      </c>
      <c r="I29" s="17" t="n">
        <f aca="false">RANDBETWEEN(-30,90)/1000</f>
        <v>0.065</v>
      </c>
      <c r="J29" s="17" t="n">
        <f aca="false">+Chạy!K31</f>
        <v>-0.91</v>
      </c>
      <c r="K29" s="17" t="n">
        <f aca="false">J29+L29</f>
        <v>-0.94</v>
      </c>
      <c r="L29" s="17" t="n">
        <f aca="false">RANDBETWEEN(-30,90)/1000</f>
        <v>-0.03</v>
      </c>
      <c r="M29" s="17" t="n">
        <f aca="false">+Chạy!N31</f>
        <v>9.48</v>
      </c>
      <c r="N29" s="17" t="n">
        <f aca="false">+M29+O29</f>
        <v>9.4828</v>
      </c>
      <c r="O29" s="17" t="n">
        <f aca="false">RANDBETWEEN(-105,115)/10000</f>
        <v>0.0028</v>
      </c>
      <c r="P29" s="17" t="n">
        <f aca="false">+Chạy!O31</f>
        <v>-0.91</v>
      </c>
      <c r="Q29" s="17" t="n">
        <f aca="false">P29+R29</f>
        <v>-0.885</v>
      </c>
      <c r="R29" s="17" t="n">
        <f aca="false">RANDBETWEEN(-30,90)/1000</f>
        <v>0.025</v>
      </c>
      <c r="S29" s="18"/>
      <c r="T29" s="0" t="n">
        <v>17.05</v>
      </c>
    </row>
    <row r="30" customFormat="false" ht="15" hidden="false" customHeight="false" outlineLevel="0" collapsed="false">
      <c r="A30" s="14" t="n">
        <v>9</v>
      </c>
      <c r="B30" s="14" t="s">
        <v>24</v>
      </c>
      <c r="C30" s="71" t="n">
        <f aca="false">+C29+T29</f>
        <v>631.83</v>
      </c>
      <c r="D30" s="17" t="n">
        <f aca="false">+Chạy!F35</f>
        <v>-8.89</v>
      </c>
      <c r="E30" s="17" t="n">
        <f aca="false">+D30+F30</f>
        <v>-8.897</v>
      </c>
      <c r="F30" s="17" t="n">
        <f aca="false">RANDBETWEEN(-105,115)/10000</f>
        <v>-0.007</v>
      </c>
      <c r="G30" s="17" t="n">
        <f aca="false">+Chạy!G35</f>
        <v>-0.92</v>
      </c>
      <c r="H30" s="17" t="n">
        <f aca="false">G30+I30</f>
        <v>-0.891</v>
      </c>
      <c r="I30" s="17" t="n">
        <f aca="false">RANDBETWEEN(-30,90)/1000</f>
        <v>0.029</v>
      </c>
      <c r="J30" s="17" t="n">
        <f aca="false">+Chạy!K35</f>
        <v>-0.92</v>
      </c>
      <c r="K30" s="17" t="n">
        <f aca="false">J30+L30</f>
        <v>-0.878</v>
      </c>
      <c r="L30" s="17" t="n">
        <f aca="false">RANDBETWEEN(-30,90)/1000</f>
        <v>0.042</v>
      </c>
      <c r="M30" s="17" t="n">
        <f aca="false">+Chạy!N35</f>
        <v>9.31</v>
      </c>
      <c r="N30" s="17" t="n">
        <f aca="false">+M30+O30</f>
        <v>9.3118</v>
      </c>
      <c r="O30" s="17" t="n">
        <f aca="false">RANDBETWEEN(-105,115)/10000</f>
        <v>0.0018</v>
      </c>
      <c r="P30" s="17" t="n">
        <f aca="false">+Chạy!O35</f>
        <v>-0.92</v>
      </c>
      <c r="Q30" s="17" t="n">
        <f aca="false">P30+R30</f>
        <v>-0.94</v>
      </c>
      <c r="R30" s="17" t="n">
        <f aca="false">RANDBETWEEN(-30,90)/1000</f>
        <v>-0.02</v>
      </c>
      <c r="S30" s="18"/>
      <c r="T30" s="0" t="n">
        <v>11.7</v>
      </c>
    </row>
    <row r="31" customFormat="false" ht="15" hidden="false" customHeight="false" outlineLevel="0" collapsed="false">
      <c r="A31" s="14" t="n">
        <v>10</v>
      </c>
      <c r="B31" s="14" t="s">
        <v>25</v>
      </c>
      <c r="C31" s="71" t="n">
        <f aca="false">+C30+T30</f>
        <v>643.53</v>
      </c>
      <c r="D31" s="17" t="n">
        <f aca="false">+Chạy!F39</f>
        <v>-9.96</v>
      </c>
      <c r="E31" s="17" t="n">
        <f aca="false">+D31+F31</f>
        <v>-9.9538</v>
      </c>
      <c r="F31" s="17" t="n">
        <f aca="false">RANDBETWEEN(-105,115)/10000</f>
        <v>0.0062</v>
      </c>
      <c r="G31" s="17" t="n">
        <f aca="false">+Chạy!G39</f>
        <v>-0.92</v>
      </c>
      <c r="H31" s="17" t="n">
        <f aca="false">G31+I31</f>
        <v>-0.867</v>
      </c>
      <c r="I31" s="17" t="n">
        <f aca="false">RANDBETWEEN(-30,90)/1000</f>
        <v>0.053</v>
      </c>
      <c r="J31" s="17" t="n">
        <f aca="false">+Chạy!K39</f>
        <v>-0.92</v>
      </c>
      <c r="K31" s="17" t="n">
        <f aca="false">J31+L31</f>
        <v>-0.835</v>
      </c>
      <c r="L31" s="17" t="n">
        <f aca="false">RANDBETWEEN(-30,90)/1000</f>
        <v>0.085</v>
      </c>
      <c r="M31" s="17" t="n">
        <f aca="false">+Chạy!N39</f>
        <v>14.36</v>
      </c>
      <c r="N31" s="17" t="n">
        <f aca="false">+M31+O31</f>
        <v>14.3507</v>
      </c>
      <c r="O31" s="17" t="n">
        <f aca="false">RANDBETWEEN(-105,115)/10000</f>
        <v>-0.0093</v>
      </c>
      <c r="P31" s="17" t="n">
        <f aca="false">+Chạy!O39</f>
        <v>-0.92</v>
      </c>
      <c r="Q31" s="17" t="n">
        <f aca="false">P31+R31</f>
        <v>-0.934</v>
      </c>
      <c r="R31" s="17" t="n">
        <f aca="false">RANDBETWEEN(-30,90)/1000</f>
        <v>-0.014</v>
      </c>
      <c r="S31" s="18"/>
      <c r="T31" s="0" t="n">
        <v>11.75</v>
      </c>
    </row>
    <row r="32" customFormat="false" ht="15" hidden="false" customHeight="false" outlineLevel="0" collapsed="false">
      <c r="A32" s="14" t="n">
        <v>11</v>
      </c>
      <c r="B32" s="14" t="s">
        <v>26</v>
      </c>
      <c r="C32" s="71" t="n">
        <f aca="false">+C31+T31</f>
        <v>655.28</v>
      </c>
      <c r="D32" s="17" t="n">
        <f aca="false">+Chạy!F43</f>
        <v>-8.55</v>
      </c>
      <c r="E32" s="17" t="n">
        <f aca="false">+D32+F32</f>
        <v>-8.5525</v>
      </c>
      <c r="F32" s="17" t="n">
        <f aca="false">RANDBETWEEN(-105,115)/10000</f>
        <v>-0.0025</v>
      </c>
      <c r="G32" s="17" t="n">
        <f aca="false">+Chạy!G43</f>
        <v>-0.92</v>
      </c>
      <c r="H32" s="17" t="n">
        <f aca="false">G32+I32</f>
        <v>-0.908</v>
      </c>
      <c r="I32" s="17" t="n">
        <f aca="false">RANDBETWEEN(-30,90)/1000</f>
        <v>0.012</v>
      </c>
      <c r="J32" s="17" t="n">
        <f aca="false">+Chạy!K43</f>
        <v>-0.92</v>
      </c>
      <c r="K32" s="17" t="n">
        <f aca="false">J32+L32</f>
        <v>-0.93</v>
      </c>
      <c r="L32" s="17" t="n">
        <f aca="false">RANDBETWEEN(-30,90)/1000</f>
        <v>-0.01</v>
      </c>
      <c r="M32" s="17" t="n">
        <f aca="false">+Chạy!N43</f>
        <v>10.14</v>
      </c>
      <c r="N32" s="17" t="n">
        <f aca="false">+M32+O32</f>
        <v>10.135</v>
      </c>
      <c r="O32" s="17" t="n">
        <f aca="false">RANDBETWEEN(-105,115)/10000</f>
        <v>-0.005</v>
      </c>
      <c r="P32" s="17" t="n">
        <f aca="false">+Chạy!O43</f>
        <v>-0.92</v>
      </c>
      <c r="Q32" s="17" t="n">
        <f aca="false">P32+R32</f>
        <v>-0.9</v>
      </c>
      <c r="R32" s="17" t="n">
        <f aca="false">RANDBETWEEN(-30,90)/1000</f>
        <v>0.02</v>
      </c>
      <c r="S32" s="18"/>
      <c r="T32" s="0" t="n">
        <v>17</v>
      </c>
    </row>
    <row r="33" customFormat="false" ht="15" hidden="false" customHeight="false" outlineLevel="0" collapsed="false">
      <c r="A33" s="14" t="n">
        <v>12</v>
      </c>
      <c r="B33" s="14" t="s">
        <v>27</v>
      </c>
      <c r="C33" s="71" t="n">
        <f aca="false">+C32+T32</f>
        <v>672.28</v>
      </c>
      <c r="D33" s="17" t="n">
        <f aca="false">+Chạy!F47</f>
        <v>-9.48</v>
      </c>
      <c r="E33" s="17" t="n">
        <f aca="false">+D33+F33</f>
        <v>-9.4763</v>
      </c>
      <c r="F33" s="17" t="n">
        <f aca="false">RANDBETWEEN(-105,115)/10000</f>
        <v>0.0037</v>
      </c>
      <c r="G33" s="17" t="n">
        <f aca="false">+Chạy!G47</f>
        <v>-0.92</v>
      </c>
      <c r="H33" s="17" t="n">
        <f aca="false">G33+I33</f>
        <v>-0.846</v>
      </c>
      <c r="I33" s="17" t="n">
        <f aca="false">RANDBETWEEN(-30,90)/1000</f>
        <v>0.074</v>
      </c>
      <c r="J33" s="17" t="n">
        <f aca="false">+Chạy!K47</f>
        <v>-0.92</v>
      </c>
      <c r="K33" s="17" t="n">
        <f aca="false">J33+L33</f>
        <v>-0.89</v>
      </c>
      <c r="L33" s="17" t="n">
        <f aca="false">RANDBETWEEN(-30,90)/1000</f>
        <v>0.03</v>
      </c>
      <c r="M33" s="17" t="n">
        <f aca="false">+Chạy!N47</f>
        <v>16.24</v>
      </c>
      <c r="N33" s="17" t="n">
        <f aca="false">+M33+O33</f>
        <v>16.2418</v>
      </c>
      <c r="O33" s="17" t="n">
        <f aca="false">RANDBETWEEN(-105,115)/10000</f>
        <v>0.0018</v>
      </c>
      <c r="P33" s="17" t="n">
        <f aca="false">+Chạy!O47</f>
        <v>-0.92</v>
      </c>
      <c r="Q33" s="17" t="n">
        <f aca="false">P33+R33</f>
        <v>-0.915</v>
      </c>
      <c r="R33" s="17" t="n">
        <f aca="false">RANDBETWEEN(-30,90)/1000</f>
        <v>0.005</v>
      </c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8" customFormat="false" ht="15" hidden="false" customHeight="false" outlineLevel="0" collapsed="false">
      <c r="C48" s="20" t="s">
        <v>50</v>
      </c>
      <c r="D48" s="20"/>
      <c r="E48" s="20"/>
      <c r="F48" s="20"/>
      <c r="G48" s="20"/>
      <c r="H48" s="20"/>
      <c r="I48" s="20"/>
      <c r="K48" s="21"/>
      <c r="L48" s="21"/>
      <c r="M48" s="21"/>
      <c r="N48" s="21"/>
      <c r="O48" s="20" t="s">
        <v>51</v>
      </c>
      <c r="P48" s="20"/>
      <c r="Q48" s="20"/>
      <c r="R48" s="20"/>
    </row>
    <row r="49" customFormat="false" ht="15" hidden="false" customHeight="false" outlineLevel="0" collapsed="false">
      <c r="E49" s="22"/>
      <c r="F49" s="22"/>
      <c r="G49" s="22"/>
      <c r="H49" s="22"/>
      <c r="K49" s="22"/>
      <c r="L49" s="22"/>
      <c r="M49" s="22"/>
      <c r="N49" s="22"/>
      <c r="O49" s="22"/>
      <c r="P49" s="22"/>
      <c r="Q49" s="22"/>
      <c r="R49" s="22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C53" s="20" t="s">
        <v>52</v>
      </c>
      <c r="D53" s="20"/>
      <c r="E53" s="20"/>
      <c r="F53" s="20"/>
      <c r="G53" s="20"/>
      <c r="H53" s="20"/>
      <c r="I53" s="20"/>
      <c r="K53" s="21"/>
      <c r="L53" s="21"/>
      <c r="M53" s="21"/>
      <c r="N53" s="21"/>
      <c r="O53" s="20" t="s">
        <v>53</v>
      </c>
      <c r="P53" s="20"/>
      <c r="Q53" s="20"/>
      <c r="R53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48:I48"/>
    <mergeCell ref="O48:R48"/>
    <mergeCell ref="C53:I53"/>
    <mergeCell ref="O53:R53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34.NĐXD4/CVXD ngày 03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  <c r="AZ2">
        <v>34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XD4'!$A$2:$B$60,2,0)</f>
        <v xml:space="preserve">Đắp cát nền đường lớp 3 đoạn từ Km0+554,08 - Km0+672,28,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32</v>
      </c>
      <c r="C11" s="16" t="n">
        <f aca="false">'3.KTHH L3'!C22</f>
        <v>554.08</v>
      </c>
      <c r="D11" s="14" t="n">
        <f aca="false">'3.KTHH L3'!T22</f>
        <v>15.4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Chạy!E3</f>
        <v>4.55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79.926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33</v>
      </c>
      <c r="C12" s="16" t="n">
        <f aca="false">'3.KTHH L3'!C23</f>
        <v>569.48</v>
      </c>
      <c r="D12" s="14" t="n">
        <f aca="false">'3.KTHH L3'!T23</f>
        <v>3.64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5.83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22.113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TD</v>
      </c>
      <c r="C13" s="16" t="n">
        <f aca="false">'3.KTHH L3'!C24</f>
        <v>573.12</v>
      </c>
      <c r="D13" s="14" t="n">
        <f aca="false">'3.KTHH L3'!T24</f>
        <v>6.56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Chạy!E11</f>
        <v>6.32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45.264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P</v>
      </c>
      <c r="C14" s="16" t="n">
        <f aca="false">'3.KTHH L3'!C25</f>
        <v>579.68</v>
      </c>
      <c r="D14" s="14" t="n">
        <f aca="false">'3.KTHH L3'!T25</f>
        <v>4.84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7.48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36.4694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E2</v>
      </c>
      <c r="C15" s="16" t="n">
        <f aca="false">'3.KTHH L3'!C26</f>
        <v>584.52</v>
      </c>
      <c r="D15" s="14" t="n">
        <f aca="false">'3.KTHH L3'!T26</f>
        <v>1.71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Chạy!E19</f>
        <v>7.59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12.95325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TC</v>
      </c>
      <c r="C16" s="16" t="n">
        <f aca="false">'3.KTHH L3'!C27</f>
        <v>586.23</v>
      </c>
      <c r="D16" s="14" t="n">
        <f aca="false">'3.KTHH L3'!T27</f>
        <v>11.55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7.56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70.28175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'3.KTHH L3'!B28</f>
        <v>34</v>
      </c>
      <c r="C17" s="16" t="n">
        <f aca="false">'3.KTHH L3'!C28</f>
        <v>597.78</v>
      </c>
      <c r="D17" s="14" t="n">
        <f aca="false">'3.KTHH L3'!T28</f>
        <v>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Chạy!E27</f>
        <v>4.61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78.285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'3.KTHH L3'!B29</f>
        <v>35</v>
      </c>
      <c r="C18" s="16" t="n">
        <f aca="false">'3.KTHH L3'!C29</f>
        <v>614.78</v>
      </c>
      <c r="D18" s="14" t="n">
        <f aca="false">'3.KTHH L3'!T29</f>
        <v>17.05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Chạy!E31</f>
        <v>4.6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84.99425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'3.KTHH L3'!B30</f>
        <v>36</v>
      </c>
      <c r="C19" s="16" t="n">
        <f aca="false">'3.KTHH L3'!C30</f>
        <v>631.83</v>
      </c>
      <c r="D19" s="14" t="n">
        <f aca="false">'3.KTHH L3'!T30</f>
        <v>11.7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Chạy!E35</f>
        <v>5.37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73.593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'3.KTHH L3'!B31</f>
        <v>E9</v>
      </c>
      <c r="C20" s="16" t="n">
        <f aca="false">'3.KTHH L3'!C31</f>
        <v>643.53</v>
      </c>
      <c r="D20" s="14" t="n">
        <f aca="false">'3.KTHH L3'!T31</f>
        <v>11.75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Chạy!E39</f>
        <v>7.21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74.78875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'3.KTHH L3'!B32</f>
        <v>37</v>
      </c>
      <c r="C21" s="16" t="n">
        <f aca="false">'3.KTHH L3'!C32</f>
        <v>655.28</v>
      </c>
      <c r="D21" s="14" t="n">
        <f aca="false">'3.KTHH L3'!T32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 t="n">
        <f aca="false">Chạy!E43</f>
        <v>5.52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112.71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'3.KTHH L3'!B33</f>
        <v>38</v>
      </c>
      <c r="C22" s="16" t="n">
        <f aca="false">'3.KTHH L3'!C33</f>
        <v>672.28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 t="n">
        <f aca="false">Chạy!E47</f>
        <v>7.74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61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SUM(W11:W22)</f>
        <v>691.3784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0.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50</v>
      </c>
      <c r="B38" s="20"/>
      <c r="C38" s="20"/>
      <c r="D38" s="65" t="s">
        <v>62</v>
      </c>
      <c r="E38" s="20" t="s">
        <v>51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52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53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="41" customFormat="tru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="41" customFormat="true" ht="1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="41" customFormat="true" ht="1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="41" customFormat="true" ht="1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="41" customFormat="true" ht="1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="41" customFormat="true" ht="1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="41" customFormat="true" ht="1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="41" customFormat="true" ht="1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="41" customFormat="true" ht="1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="41" customFormat="true" ht="1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="41" customFormat="true" ht="1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="41" customFormat="true" ht="1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="41" customFormat="true" ht="1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="41" customFormat="true" ht="1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="41" customFormat="true" ht="1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s="41" customFormat="true" ht="1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="41" customFormat="true" ht="1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5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35.NĐXD4/CVXD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  <c r="AZ2">
        <v>35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XD4'!$A$2:$B$60,2,0)</f>
        <v xml:space="preserve">Đắp cát nền đường lớp 4 đoạn từ Km0+554,08 - Km0+672,28,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554.08</v>
      </c>
      <c r="D23" s="17" t="n">
        <f aca="false">+Chạy!F2</f>
        <v>-6.42</v>
      </c>
      <c r="E23" s="17" t="n">
        <f aca="false">+D23+F23</f>
        <v>-6.4215</v>
      </c>
      <c r="F23" s="17" t="n">
        <f aca="false">RANDBETWEEN(-105,115)/10000</f>
        <v>-0.0015</v>
      </c>
      <c r="G23" s="17" t="n">
        <f aca="false">+Chạy!G2</f>
        <v>-0.61</v>
      </c>
      <c r="H23" s="17" t="n">
        <f aca="false">G23+I23</f>
        <v>-0.542</v>
      </c>
      <c r="I23" s="17" t="n">
        <f aca="false">RANDBETWEEN(-30,90)/1000</f>
        <v>0.068</v>
      </c>
      <c r="J23" s="17" t="n">
        <f aca="false">+Chạy!K2</f>
        <v>-0.61</v>
      </c>
      <c r="K23" s="17" t="n">
        <f aca="false">J23+L23</f>
        <v>-0.62</v>
      </c>
      <c r="L23" s="17" t="n">
        <f aca="false">RANDBETWEEN(-30,90)/1000</f>
        <v>-0.01</v>
      </c>
      <c r="M23" s="17" t="n">
        <f aca="false">+Chạy!N2</f>
        <v>9.66</v>
      </c>
      <c r="N23" s="17" t="n">
        <f aca="false">+M23+O23</f>
        <v>9.6618</v>
      </c>
      <c r="O23" s="17" t="n">
        <f aca="false">RANDBETWEEN(-105,115)/10000</f>
        <v>0.0018</v>
      </c>
      <c r="P23" s="17" t="n">
        <f aca="false">+Chạy!O2</f>
        <v>-0.61</v>
      </c>
      <c r="Q23" s="17" t="n">
        <f aca="false">P23+R23</f>
        <v>-0.634</v>
      </c>
      <c r="R23" s="17" t="n">
        <f aca="false">RANDBETWEEN(-30,90)/1000</f>
        <v>-0.024</v>
      </c>
      <c r="S23" s="18"/>
      <c r="T23" s="0" t="n">
        <v>15.4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569.48</v>
      </c>
      <c r="D24" s="17" t="n">
        <f aca="false">+Chạy!F6</f>
        <v>-9.97</v>
      </c>
      <c r="E24" s="17" t="n">
        <f aca="false">+D24+F24</f>
        <v>-9.9634</v>
      </c>
      <c r="F24" s="17" t="n">
        <f aca="false">RANDBETWEEN(-105,115)/10000</f>
        <v>0.0066</v>
      </c>
      <c r="G24" s="17" t="n">
        <f aca="false">+Chạy!G6</f>
        <v>-0.61</v>
      </c>
      <c r="H24" s="17" t="n">
        <f aca="false">G24+I24</f>
        <v>-0.52</v>
      </c>
      <c r="I24" s="17" t="n">
        <f aca="false">RANDBETWEEN(-30,90)/1000</f>
        <v>0.09</v>
      </c>
      <c r="J24" s="17" t="n">
        <f aca="false">+Chạy!K6</f>
        <v>-0.61</v>
      </c>
      <c r="K24" s="17" t="n">
        <f aca="false">J24+L24</f>
        <v>-0.588</v>
      </c>
      <c r="L24" s="17" t="n">
        <f aca="false">RANDBETWEEN(-30,90)/1000</f>
        <v>0.022</v>
      </c>
      <c r="M24" s="17" t="n">
        <f aca="false">+Chạy!N6</f>
        <v>10.34</v>
      </c>
      <c r="N24" s="17" t="n">
        <f aca="false">+M24+O24</f>
        <v>10.3497</v>
      </c>
      <c r="O24" s="17" t="n">
        <f aca="false">RANDBETWEEN(-105,115)/10000</f>
        <v>0.0097</v>
      </c>
      <c r="P24" s="17" t="n">
        <f aca="false">+Chạy!O6</f>
        <v>-0.61</v>
      </c>
      <c r="Q24" s="17" t="n">
        <f aca="false">P24+R24</f>
        <v>-0.603</v>
      </c>
      <c r="R24" s="17" t="n">
        <f aca="false">RANDBETWEEN(-30,90)/1000</f>
        <v>0.007</v>
      </c>
      <c r="S24" s="18"/>
      <c r="T24" s="0" t="n">
        <v>3.64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573.12</v>
      </c>
      <c r="D25" s="17" t="n">
        <f aca="false">+Chạy!F10</f>
        <v>-11.66</v>
      </c>
      <c r="E25" s="17" t="n">
        <f aca="false">+D25+F25</f>
        <v>-11.6605</v>
      </c>
      <c r="F25" s="17" t="n">
        <f aca="false">RANDBETWEEN(-105,115)/10000</f>
        <v>-0.0005</v>
      </c>
      <c r="G25" s="17" t="n">
        <f aca="false">+Chạy!G10</f>
        <v>-0.61</v>
      </c>
      <c r="H25" s="17" t="n">
        <f aca="false">G25+I25</f>
        <v>-0.611</v>
      </c>
      <c r="I25" s="17" t="n">
        <f aca="false">RANDBETWEEN(-30,90)/1000</f>
        <v>-0.001</v>
      </c>
      <c r="J25" s="17" t="n">
        <f aca="false">+Chạy!K10</f>
        <v>-0.61</v>
      </c>
      <c r="K25" s="17" t="n">
        <f aca="false">J25+L25</f>
        <v>-0.624</v>
      </c>
      <c r="L25" s="17" t="n">
        <f aca="false">RANDBETWEEN(-30,90)/1000</f>
        <v>-0.014</v>
      </c>
      <c r="M25" s="17" t="n">
        <f aca="false">+Chạy!N10</f>
        <v>10.31</v>
      </c>
      <c r="N25" s="17" t="n">
        <f aca="false">+M25+O25</f>
        <v>10.3005</v>
      </c>
      <c r="O25" s="17" t="n">
        <f aca="false">RANDBETWEEN(-105,115)/10000</f>
        <v>-0.0095</v>
      </c>
      <c r="P25" s="17" t="n">
        <f aca="false">+Chạy!O10</f>
        <v>-0.61</v>
      </c>
      <c r="Q25" s="17" t="n">
        <f aca="false">P25+R25</f>
        <v>-0.57</v>
      </c>
      <c r="R25" s="17" t="n">
        <f aca="false">RANDBETWEEN(-30,90)/1000</f>
        <v>0.04</v>
      </c>
      <c r="S25" s="18"/>
      <c r="T25" s="0" t="n">
        <v>6.56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579.68</v>
      </c>
      <c r="D26" s="17" t="n">
        <f aca="false">+Chạy!F14</f>
        <v>-10.58</v>
      </c>
      <c r="E26" s="17" t="n">
        <f aca="false">+D26+F26</f>
        <v>-10.5775</v>
      </c>
      <c r="F26" s="17" t="n">
        <f aca="false">RANDBETWEEN(-105,115)/10000</f>
        <v>0.0025</v>
      </c>
      <c r="G26" s="17" t="n">
        <f aca="false">+Chạy!G14</f>
        <v>-0.61</v>
      </c>
      <c r="H26" s="17" t="n">
        <f aca="false">G26+I26</f>
        <v>-0.633</v>
      </c>
      <c r="I26" s="17" t="n">
        <f aca="false">RANDBETWEEN(-30,90)/1000</f>
        <v>-0.023</v>
      </c>
      <c r="J26" s="17" t="n">
        <f aca="false">+Chạy!K14</f>
        <v>-0.61</v>
      </c>
      <c r="K26" s="17" t="n">
        <f aca="false">J26+L26</f>
        <v>-0.637</v>
      </c>
      <c r="L26" s="17" t="n">
        <f aca="false">RANDBETWEEN(-30,90)/1000</f>
        <v>-0.027</v>
      </c>
      <c r="M26" s="17" t="n">
        <f aca="false">+Chạy!N14</f>
        <v>15.26</v>
      </c>
      <c r="N26" s="17" t="n">
        <f aca="false">+M26+O26</f>
        <v>15.2532</v>
      </c>
      <c r="O26" s="17" t="n">
        <f aca="false">RANDBETWEEN(-105,115)/10000</f>
        <v>-0.0068</v>
      </c>
      <c r="P26" s="17" t="n">
        <f aca="false">+Chạy!O14</f>
        <v>-0.61</v>
      </c>
      <c r="Q26" s="17" t="n">
        <f aca="false">P26+R26</f>
        <v>-0.546</v>
      </c>
      <c r="R26" s="17" t="n">
        <f aca="false">RANDBETWEEN(-30,90)/1000</f>
        <v>0.064</v>
      </c>
      <c r="S26" s="18"/>
      <c r="T26" s="0" t="n">
        <v>4.84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584.52</v>
      </c>
      <c r="D27" s="17" t="n">
        <f aca="false">+Chạy!F18</f>
        <v>-10.91</v>
      </c>
      <c r="E27" s="17" t="n">
        <f aca="false">+D27+F27</f>
        <v>-10.9192</v>
      </c>
      <c r="F27" s="17" t="n">
        <f aca="false">RANDBETWEEN(-105,115)/10000</f>
        <v>-0.0092</v>
      </c>
      <c r="G27" s="17" t="n">
        <f aca="false">+Chạy!G18</f>
        <v>-0.61</v>
      </c>
      <c r="H27" s="17" t="n">
        <f aca="false">G27+I27</f>
        <v>-0.626</v>
      </c>
      <c r="I27" s="17" t="n">
        <f aca="false">RANDBETWEEN(-30,90)/1000</f>
        <v>-0.016</v>
      </c>
      <c r="J27" s="17" t="n">
        <f aca="false">+Chạy!K18</f>
        <v>-0.61</v>
      </c>
      <c r="K27" s="17" t="n">
        <f aca="false">J27+L27</f>
        <v>-0.563</v>
      </c>
      <c r="L27" s="17" t="n">
        <f aca="false">RANDBETWEEN(-30,90)/1000</f>
        <v>0.047</v>
      </c>
      <c r="M27" s="17" t="n">
        <f aca="false">+Chạy!N18</f>
        <v>15.28</v>
      </c>
      <c r="N27" s="17" t="n">
        <f aca="false">+M27+O27</f>
        <v>15.2904</v>
      </c>
      <c r="O27" s="17" t="n">
        <f aca="false">RANDBETWEEN(-105,115)/10000</f>
        <v>0.0104</v>
      </c>
      <c r="P27" s="17" t="n">
        <f aca="false">+Chạy!O18</f>
        <v>-0.61</v>
      </c>
      <c r="Q27" s="17" t="n">
        <f aca="false">P27+R27</f>
        <v>-0.605</v>
      </c>
      <c r="R27" s="17" t="n">
        <f aca="false">RANDBETWEEN(-30,90)/1000</f>
        <v>0.005</v>
      </c>
      <c r="S27" s="18"/>
      <c r="T27" s="0" t="n">
        <v>1.71</v>
      </c>
    </row>
    <row r="28" customFormat="false" ht="15" hidden="false" customHeight="false" outlineLevel="0" collapsed="false">
      <c r="A28" s="14" t="n">
        <v>6</v>
      </c>
      <c r="B28" s="14" t="s">
        <v>1</v>
      </c>
      <c r="C28" s="71" t="n">
        <f aca="false">+C27+T27</f>
        <v>586.23</v>
      </c>
      <c r="D28" s="17" t="n">
        <f aca="false">+Chạy!F22</f>
        <v>-10.91</v>
      </c>
      <c r="E28" s="17" t="n">
        <f aca="false">+D28+F28</f>
        <v>-10.908</v>
      </c>
      <c r="F28" s="17" t="n">
        <f aca="false">RANDBETWEEN(-105,115)/10000</f>
        <v>0.002</v>
      </c>
      <c r="G28" s="17" t="n">
        <f aca="false">+Chạy!G22</f>
        <v>-0.61</v>
      </c>
      <c r="H28" s="17" t="n">
        <f aca="false">G28+I28</f>
        <v>-0.527</v>
      </c>
      <c r="I28" s="17" t="n">
        <f aca="false">RANDBETWEEN(-30,90)/1000</f>
        <v>0.083</v>
      </c>
      <c r="J28" s="17" t="n">
        <f aca="false">+Chạy!K22</f>
        <v>-0.61</v>
      </c>
      <c r="K28" s="17" t="n">
        <f aca="false">J28+L28</f>
        <v>-0.621</v>
      </c>
      <c r="L28" s="17" t="n">
        <f aca="false">RANDBETWEEN(-30,90)/1000</f>
        <v>-0.011</v>
      </c>
      <c r="M28" s="17" t="n">
        <f aca="false">+Chạy!N22</f>
        <v>15.21</v>
      </c>
      <c r="N28" s="17" t="n">
        <f aca="false">+M28+O28</f>
        <v>15.2054</v>
      </c>
      <c r="O28" s="17" t="n">
        <f aca="false">RANDBETWEEN(-105,115)/10000</f>
        <v>-0.0046</v>
      </c>
      <c r="P28" s="17" t="n">
        <f aca="false">+Chạy!O22</f>
        <v>-0.61</v>
      </c>
      <c r="Q28" s="17" t="n">
        <f aca="false">P28+R28</f>
        <v>-0.639</v>
      </c>
      <c r="R28" s="17" t="n">
        <f aca="false">RANDBETWEEN(-30,90)/1000</f>
        <v>-0.029</v>
      </c>
      <c r="S28" s="18"/>
      <c r="T28" s="0" t="n">
        <v>11.55</v>
      </c>
    </row>
    <row r="29" customFormat="false" ht="15" hidden="false" customHeight="false" outlineLevel="0" collapsed="false">
      <c r="A29" s="14" t="n">
        <v>7</v>
      </c>
      <c r="B29" s="14" t="s">
        <v>22</v>
      </c>
      <c r="C29" s="71" t="n">
        <f aca="false">+C28+T28</f>
        <v>597.78</v>
      </c>
      <c r="D29" s="17" t="n">
        <f aca="false">+Chạy!F26</f>
        <v>-5.5</v>
      </c>
      <c r="E29" s="17" t="n">
        <f aca="false">+D29+F29</f>
        <v>-5.5033</v>
      </c>
      <c r="F29" s="17" t="n">
        <f aca="false">RANDBETWEEN(-105,115)/10000</f>
        <v>-0.0033</v>
      </c>
      <c r="G29" s="17" t="n">
        <f aca="false">+Chạy!G26</f>
        <v>-0.61</v>
      </c>
      <c r="H29" s="17" t="n">
        <f aca="false">G29+I29</f>
        <v>-0.536</v>
      </c>
      <c r="I29" s="17" t="n">
        <f aca="false">RANDBETWEEN(-30,90)/1000</f>
        <v>0.074</v>
      </c>
      <c r="J29" s="17" t="n">
        <f aca="false">+Chạy!K26</f>
        <v>-0.61</v>
      </c>
      <c r="K29" s="17" t="n">
        <f aca="false">J29+L29</f>
        <v>-0.551</v>
      </c>
      <c r="L29" s="17" t="n">
        <f aca="false">RANDBETWEEN(-30,90)/1000</f>
        <v>0.059</v>
      </c>
      <c r="M29" s="17" t="n">
        <f aca="false">+Chạy!N26</f>
        <v>10.3</v>
      </c>
      <c r="N29" s="17" t="n">
        <f aca="false">+M29+O29</f>
        <v>10.3065</v>
      </c>
      <c r="O29" s="17" t="n">
        <f aca="false">RANDBETWEEN(-105,115)/10000</f>
        <v>0.0065</v>
      </c>
      <c r="P29" s="17" t="n">
        <f aca="false">+Chạy!O26</f>
        <v>-0.61</v>
      </c>
      <c r="Q29" s="17" t="n">
        <f aca="false">P29+R29</f>
        <v>-0.609</v>
      </c>
      <c r="R29" s="17" t="n">
        <f aca="false">RANDBETWEEN(-30,90)/1000</f>
        <v>0.001</v>
      </c>
      <c r="S29" s="18"/>
      <c r="T29" s="0" t="n">
        <v>17</v>
      </c>
    </row>
    <row r="30" customFormat="false" ht="15" hidden="false" customHeight="false" outlineLevel="0" collapsed="false">
      <c r="A30" s="14" t="n">
        <v>8</v>
      </c>
      <c r="B30" s="14" t="s">
        <v>23</v>
      </c>
      <c r="C30" s="71" t="n">
        <f aca="false">+C29+T29</f>
        <v>614.78</v>
      </c>
      <c r="D30" s="17" t="n">
        <f aca="false">+Chạy!F30</f>
        <v>-6</v>
      </c>
      <c r="E30" s="17" t="n">
        <f aca="false">+D30+F30</f>
        <v>-5.9955</v>
      </c>
      <c r="F30" s="17" t="n">
        <f aca="false">RANDBETWEEN(-105,115)/10000</f>
        <v>0.0045</v>
      </c>
      <c r="G30" s="17" t="n">
        <f aca="false">+Chạy!G30</f>
        <v>-0.61</v>
      </c>
      <c r="H30" s="17" t="n">
        <f aca="false">G30+I30</f>
        <v>-0.579</v>
      </c>
      <c r="I30" s="17" t="n">
        <f aca="false">RANDBETWEEN(-30,90)/1000</f>
        <v>0.031</v>
      </c>
      <c r="J30" s="17" t="n">
        <f aca="false">+Chạy!K30</f>
        <v>-0.61</v>
      </c>
      <c r="K30" s="17" t="n">
        <f aca="false">J30+L30</f>
        <v>-0.592</v>
      </c>
      <c r="L30" s="17" t="n">
        <f aca="false">RANDBETWEEN(-30,90)/1000</f>
        <v>0.018</v>
      </c>
      <c r="M30" s="17" t="n">
        <f aca="false">+Chạy!N30</f>
        <v>9.78</v>
      </c>
      <c r="N30" s="17" t="n">
        <f aca="false">+M30+O30</f>
        <v>9.7805</v>
      </c>
      <c r="O30" s="17" t="n">
        <f aca="false">RANDBETWEEN(-105,115)/10000</f>
        <v>0.0005</v>
      </c>
      <c r="P30" s="17" t="n">
        <f aca="false">+Chạy!O30</f>
        <v>-0.61</v>
      </c>
      <c r="Q30" s="17" t="n">
        <f aca="false">P30+R30</f>
        <v>-0.617</v>
      </c>
      <c r="R30" s="17" t="n">
        <f aca="false">RANDBETWEEN(-30,90)/1000</f>
        <v>-0.007</v>
      </c>
      <c r="S30" s="18"/>
      <c r="T30" s="0" t="n">
        <v>17.05</v>
      </c>
    </row>
    <row r="31" customFormat="false" ht="15" hidden="false" customHeight="false" outlineLevel="0" collapsed="false">
      <c r="A31" s="14" t="n">
        <v>9</v>
      </c>
      <c r="B31" s="14" t="s">
        <v>24</v>
      </c>
      <c r="C31" s="71" t="n">
        <f aca="false">+C30+T30</f>
        <v>631.83</v>
      </c>
      <c r="D31" s="17" t="n">
        <f aca="false">+Chạy!F34</f>
        <v>-9.19</v>
      </c>
      <c r="E31" s="17" t="n">
        <f aca="false">+D31+F31</f>
        <v>-9.1998</v>
      </c>
      <c r="F31" s="17" t="n">
        <f aca="false">RANDBETWEEN(-105,115)/10000</f>
        <v>-0.0098</v>
      </c>
      <c r="G31" s="17" t="n">
        <f aca="false">+Chạy!G34</f>
        <v>-0.62</v>
      </c>
      <c r="H31" s="17" t="n">
        <f aca="false">G31+I31</f>
        <v>-0.633</v>
      </c>
      <c r="I31" s="17" t="n">
        <f aca="false">RANDBETWEEN(-30,90)/1000</f>
        <v>-0.013</v>
      </c>
      <c r="J31" s="17" t="n">
        <f aca="false">+Chạy!K34</f>
        <v>-0.62</v>
      </c>
      <c r="K31" s="17" t="n">
        <f aca="false">J31+L31</f>
        <v>-0.539</v>
      </c>
      <c r="L31" s="17" t="n">
        <f aca="false">RANDBETWEEN(-30,90)/1000</f>
        <v>0.081</v>
      </c>
      <c r="M31" s="17" t="n">
        <f aca="false">+Chạy!N34</f>
        <v>9.61</v>
      </c>
      <c r="N31" s="17" t="n">
        <f aca="false">+M31+O31</f>
        <v>9.5995</v>
      </c>
      <c r="O31" s="17" t="n">
        <f aca="false">RANDBETWEEN(-105,115)/10000</f>
        <v>-0.0105</v>
      </c>
      <c r="P31" s="17" t="n">
        <f aca="false">+Chạy!O34</f>
        <v>-0.62</v>
      </c>
      <c r="Q31" s="17" t="n">
        <f aca="false">P31+R31</f>
        <v>-0.582</v>
      </c>
      <c r="R31" s="17" t="n">
        <f aca="false">RANDBETWEEN(-30,90)/1000</f>
        <v>0.038</v>
      </c>
      <c r="S31" s="18"/>
      <c r="T31" s="0" t="n">
        <v>11.7</v>
      </c>
    </row>
    <row r="32" customFormat="false" ht="15" hidden="false" customHeight="false" outlineLevel="0" collapsed="false">
      <c r="A32" s="14" t="n">
        <v>10</v>
      </c>
      <c r="B32" s="14" t="s">
        <v>25</v>
      </c>
      <c r="C32" s="71" t="n">
        <f aca="false">+C31+T31</f>
        <v>643.53</v>
      </c>
      <c r="D32" s="17" t="n">
        <f aca="false">+Chạy!F38</f>
        <v>-10.26</v>
      </c>
      <c r="E32" s="17" t="n">
        <f aca="false">+D32+F32</f>
        <v>-10.252</v>
      </c>
      <c r="F32" s="17" t="n">
        <f aca="false">RANDBETWEEN(-105,115)/10000</f>
        <v>0.008</v>
      </c>
      <c r="G32" s="17" t="n">
        <f aca="false">+Chạy!G38</f>
        <v>-0.62</v>
      </c>
      <c r="H32" s="17" t="n">
        <f aca="false">G32+I32</f>
        <v>-0.557</v>
      </c>
      <c r="I32" s="17" t="n">
        <f aca="false">RANDBETWEEN(-30,90)/1000</f>
        <v>0.063</v>
      </c>
      <c r="J32" s="17" t="n">
        <f aca="false">+Chạy!K38</f>
        <v>-0.62</v>
      </c>
      <c r="K32" s="17" t="n">
        <f aca="false">J32+L32</f>
        <v>-0.629</v>
      </c>
      <c r="L32" s="17" t="n">
        <f aca="false">RANDBETWEEN(-30,90)/1000</f>
        <v>-0.009</v>
      </c>
      <c r="M32" s="17" t="n">
        <f aca="false">+Chạy!N38</f>
        <v>14.66</v>
      </c>
      <c r="N32" s="17" t="n">
        <f aca="false">+M32+O32</f>
        <v>14.6592</v>
      </c>
      <c r="O32" s="17" t="n">
        <f aca="false">RANDBETWEEN(-105,115)/10000</f>
        <v>-0.0008</v>
      </c>
      <c r="P32" s="17" t="n">
        <f aca="false">+Chạy!O38</f>
        <v>-0.62</v>
      </c>
      <c r="Q32" s="17" t="n">
        <f aca="false">P32+R32</f>
        <v>-0.567</v>
      </c>
      <c r="R32" s="17" t="n">
        <f aca="false">RANDBETWEEN(-30,90)/1000</f>
        <v>0.053</v>
      </c>
      <c r="S32" s="18"/>
      <c r="T32" s="0" t="n">
        <v>11.75</v>
      </c>
    </row>
    <row r="33" customFormat="false" ht="15" hidden="false" customHeight="false" outlineLevel="0" collapsed="false">
      <c r="A33" s="14" t="n">
        <v>11</v>
      </c>
      <c r="B33" s="14" t="s">
        <v>26</v>
      </c>
      <c r="C33" s="71" t="n">
        <f aca="false">+C32+T32</f>
        <v>655.28</v>
      </c>
      <c r="D33" s="17" t="n">
        <f aca="false">+Chạy!F42</f>
        <v>-8.85</v>
      </c>
      <c r="E33" s="17" t="n">
        <f aca="false">+D33+F33</f>
        <v>-8.8579</v>
      </c>
      <c r="F33" s="17" t="n">
        <f aca="false">RANDBETWEEN(-105,115)/10000</f>
        <v>-0.0079</v>
      </c>
      <c r="G33" s="17" t="n">
        <f aca="false">+Chạy!G42</f>
        <v>-0.62</v>
      </c>
      <c r="H33" s="17" t="n">
        <f aca="false">G33+I33</f>
        <v>-0.554</v>
      </c>
      <c r="I33" s="17" t="n">
        <f aca="false">RANDBETWEEN(-30,90)/1000</f>
        <v>0.066</v>
      </c>
      <c r="J33" s="17" t="n">
        <f aca="false">+Chạy!K42</f>
        <v>-0.62</v>
      </c>
      <c r="K33" s="17" t="n">
        <f aca="false">J33+L33</f>
        <v>-0.602</v>
      </c>
      <c r="L33" s="17" t="n">
        <f aca="false">RANDBETWEEN(-30,90)/1000</f>
        <v>0.018</v>
      </c>
      <c r="M33" s="17" t="n">
        <f aca="false">+Chạy!N42</f>
        <v>10.44</v>
      </c>
      <c r="N33" s="17" t="n">
        <f aca="false">+M33+O33</f>
        <v>10.4309</v>
      </c>
      <c r="O33" s="17" t="n">
        <f aca="false">RANDBETWEEN(-105,115)/10000</f>
        <v>-0.0091</v>
      </c>
      <c r="P33" s="17" t="n">
        <f aca="false">+Chạy!O42</f>
        <v>-0.62</v>
      </c>
      <c r="Q33" s="17" t="n">
        <f aca="false">P33+R33</f>
        <v>-0.594</v>
      </c>
      <c r="R33" s="17" t="n">
        <f aca="false">RANDBETWEEN(-30,90)/1000</f>
        <v>0.026</v>
      </c>
      <c r="S33" s="18"/>
      <c r="T33" s="0" t="n">
        <v>17</v>
      </c>
    </row>
    <row r="34" customFormat="false" ht="15" hidden="false" customHeight="false" outlineLevel="0" collapsed="false">
      <c r="A34" s="14" t="n">
        <v>12</v>
      </c>
      <c r="B34" s="14" t="s">
        <v>27</v>
      </c>
      <c r="C34" s="71" t="n">
        <f aca="false">+C33+T33</f>
        <v>672.28</v>
      </c>
      <c r="D34" s="17" t="n">
        <f aca="false">+Chạy!F46</f>
        <v>-9.78</v>
      </c>
      <c r="E34" s="17" t="n">
        <f aca="false">+D34+F34</f>
        <v>-9.7741</v>
      </c>
      <c r="F34" s="17" t="n">
        <f aca="false">RANDBETWEEN(-105,115)/10000</f>
        <v>0.0059</v>
      </c>
      <c r="G34" s="17" t="n">
        <f aca="false">+Chạy!G46</f>
        <v>-0.62</v>
      </c>
      <c r="H34" s="17" t="n">
        <f aca="false">G34+I34</f>
        <v>-0.641</v>
      </c>
      <c r="I34" s="17" t="n">
        <f aca="false">RANDBETWEEN(-30,90)/1000</f>
        <v>-0.021</v>
      </c>
      <c r="J34" s="17" t="n">
        <f aca="false">+Chạy!K46</f>
        <v>-0.62</v>
      </c>
      <c r="K34" s="17" t="n">
        <f aca="false">J34+L34</f>
        <v>-0.537</v>
      </c>
      <c r="L34" s="17" t="n">
        <f aca="false">RANDBETWEEN(-30,90)/1000</f>
        <v>0.083</v>
      </c>
      <c r="M34" s="17" t="n">
        <f aca="false">+Chạy!N46</f>
        <v>15.79</v>
      </c>
      <c r="N34" s="17" t="n">
        <f aca="false">+M34+O34</f>
        <v>15.799</v>
      </c>
      <c r="O34" s="17" t="n">
        <f aca="false">RANDBETWEEN(-105,115)/10000</f>
        <v>0.009</v>
      </c>
      <c r="P34" s="17" t="n">
        <f aca="false">+Chạy!O46</f>
        <v>-0.62</v>
      </c>
      <c r="Q34" s="17" t="n">
        <f aca="false">P34+R34</f>
        <v>-0.55</v>
      </c>
      <c r="R34" s="17" t="n">
        <f aca="false">RANDBETWEEN(-30,90)/1000</f>
        <v>0.07</v>
      </c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9" customFormat="false" ht="15" hidden="false" customHeight="false" outlineLevel="0" collapsed="false">
      <c r="C49" s="20" t="s">
        <v>50</v>
      </c>
      <c r="D49" s="20"/>
      <c r="E49" s="20"/>
      <c r="F49" s="20"/>
      <c r="G49" s="20"/>
      <c r="H49" s="20"/>
      <c r="I49" s="20"/>
      <c r="K49" s="21"/>
      <c r="L49" s="21"/>
      <c r="M49" s="21"/>
      <c r="N49" s="21"/>
      <c r="O49" s="20" t="s">
        <v>51</v>
      </c>
      <c r="P49" s="20"/>
      <c r="Q49" s="20"/>
      <c r="R49" s="20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E53" s="22"/>
      <c r="F53" s="22"/>
      <c r="G53" s="22"/>
      <c r="H53" s="22"/>
      <c r="K53" s="22"/>
      <c r="L53" s="22"/>
      <c r="M53" s="22"/>
      <c r="N53" s="22"/>
      <c r="O53" s="22"/>
      <c r="P53" s="22"/>
      <c r="Q53" s="22"/>
      <c r="R53" s="22"/>
    </row>
    <row r="54" customFormat="false" ht="15" hidden="false" customHeight="false" outlineLevel="0" collapsed="false">
      <c r="C54" s="20" t="s">
        <v>52</v>
      </c>
      <c r="D54" s="20"/>
      <c r="E54" s="20"/>
      <c r="F54" s="20"/>
      <c r="G54" s="20"/>
      <c r="H54" s="20"/>
      <c r="I54" s="20"/>
      <c r="K54" s="21"/>
      <c r="L54" s="21"/>
      <c r="M54" s="21"/>
      <c r="N54" s="21"/>
      <c r="O54" s="20" t="s">
        <v>53</v>
      </c>
      <c r="P54" s="20"/>
      <c r="Q54" s="20"/>
      <c r="R54" s="20"/>
    </row>
    <row r="55" customFormat="false" ht="15.75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49:I49"/>
    <mergeCell ref="O49:R49"/>
    <mergeCell ref="C54:I54"/>
    <mergeCell ref="O54:R54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35.NĐXD4/CVXD ngày 03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35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XD4'!$A$2:$B$60,2,0)</f>
        <v xml:space="preserve">Đắp cát nền đường lớp 4 đoạn từ Km0+554,08 - Km0+672,28,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32</v>
      </c>
      <c r="C11" s="16" t="n">
        <f aca="false">'4.KTHH L4'!C23</f>
        <v>554.08</v>
      </c>
      <c r="D11" s="14" t="n">
        <f aca="false">'4.KTHH L4'!T23</f>
        <v>15.4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4.73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82.698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33</v>
      </c>
      <c r="C12" s="16" t="n">
        <f aca="false">'4.KTHH L4'!C24</f>
        <v>569.48</v>
      </c>
      <c r="D12" s="14" t="n">
        <f aca="false">'4.KTHH L4'!T24</f>
        <v>3.64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6.01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22.7682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TD</v>
      </c>
      <c r="C13" s="16" t="n">
        <f aca="false">'4.KTHH L4'!C25</f>
        <v>573.12</v>
      </c>
      <c r="D13" s="14" t="n">
        <f aca="false">'4.KTHH L4'!T25</f>
        <v>6.56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6.5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46.4448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P</v>
      </c>
      <c r="C14" s="16" t="n">
        <f aca="false">'4.KTHH L4'!C26</f>
        <v>579.68</v>
      </c>
      <c r="D14" s="14" t="n">
        <f aca="false">'4.KTHH L4'!T26</f>
        <v>4.84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7.66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37.3406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E2</v>
      </c>
      <c r="C15" s="16" t="n">
        <f aca="false">'4.KTHH L4'!C27</f>
        <v>584.52</v>
      </c>
      <c r="D15" s="14" t="n">
        <f aca="false">'4.KTHH L4'!T27</f>
        <v>1.71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7.77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13.26105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TC</v>
      </c>
      <c r="C16" s="16" t="n">
        <f aca="false">'4.KTHH L4'!C28</f>
        <v>586.23</v>
      </c>
      <c r="D16" s="14" t="n">
        <f aca="false">'4.KTHH L4'!T28</f>
        <v>11.55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7.74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71.841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'4.KTHH L4'!B29</f>
        <v>34</v>
      </c>
      <c r="C17" s="16" t="n">
        <f aca="false">'4.KTHH L4'!C29</f>
        <v>597.78</v>
      </c>
      <c r="D17" s="14" t="n">
        <f aca="false">'4.KTHH L4'!T29</f>
        <v>17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Chạy!E26</f>
        <v>4.7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79.815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'4.KTHH L4'!B30</f>
        <v>35</v>
      </c>
      <c r="C18" s="16" t="n">
        <f aca="false">'4.KTHH L4'!C30</f>
        <v>614.78</v>
      </c>
      <c r="D18" s="14" t="n">
        <f aca="false">'4.KTHH L4'!T30</f>
        <v>17.05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Chạy!E30</f>
        <v>4.69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87.296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'4.KTHH L4'!B31</f>
        <v>36</v>
      </c>
      <c r="C19" s="16" t="n">
        <f aca="false">'4.KTHH L4'!C31</f>
        <v>631.83</v>
      </c>
      <c r="D19" s="14" t="n">
        <f aca="false">'4.KTHH L4'!T31</f>
        <v>11.7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Chạy!E34</f>
        <v>5.55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75.699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'4.KTHH L4'!B32</f>
        <v>E9</v>
      </c>
      <c r="C20" s="16" t="n">
        <f aca="false">'4.KTHH L4'!C32</f>
        <v>643.53</v>
      </c>
      <c r="D20" s="14" t="n">
        <f aca="false">'4.KTHH L4'!T32</f>
        <v>11.75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Chạy!E38</f>
        <v>7.39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76.90375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'4.KTHH L4'!B33</f>
        <v>37</v>
      </c>
      <c r="C21" s="16" t="n">
        <f aca="false">'4.KTHH L4'!C33</f>
        <v>655.28</v>
      </c>
      <c r="D21" s="14" t="n">
        <f aca="false">'4.KTHH L4'!T33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Chạy!E42</f>
        <v>5.7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113.815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'4.KTHH L4'!B34</f>
        <v>38</v>
      </c>
      <c r="C22" s="16" t="n">
        <f aca="false">'4.KTHH L4'!C34</f>
        <v>672.28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 t="n">
        <f aca="false">Chạy!E46</f>
        <v>7.69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61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SUM(W11:W22)</f>
        <v>707.8824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4.2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50</v>
      </c>
      <c r="B38" s="20"/>
      <c r="C38" s="20"/>
      <c r="D38" s="65" t="s">
        <v>62</v>
      </c>
      <c r="E38" s="20" t="s">
        <v>51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4.2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52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53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2026-10-13T10:12:20Z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