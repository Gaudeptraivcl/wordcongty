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" sheetId="1" state="visible" r:id="rId3"/>
    <sheet name="Tuyến XD4" sheetId="2" state="visible" r:id="rId4"/>
    <sheet name="1. PL đường đen" sheetId="3" state="visible" r:id="rId5"/>
    <sheet name="2. Cao độ đào nền" sheetId="4" state="visible" r:id="rId6"/>
    <sheet name="2. KL đào nền" sheetId="5" state="visible" r:id="rId7"/>
    <sheet name="3. KTHH vải lọc" sheetId="6" state="visible" r:id="rId8"/>
    <sheet name="3. KL vải lọc" sheetId="7" state="visible" r:id="rId9"/>
    <sheet name="chạy VL" sheetId="8" state="hidden" r:id="rId10"/>
    <sheet name="KL tưới nhựa" sheetId="9" state="visible" r:id="rId11"/>
    <sheet name="CĐ mặt đường" sheetId="10" state="visible" r:id="rId12"/>
    <sheet name="KL BTN" sheetId="11" state="visible" r:id="rId13"/>
  </sheets>
  <definedNames>
    <definedName function="false" hidden="false" localSheetId="2" name="_xlnm.Print_Area" vbProcedure="false">'1. PL đường đen'!$A$1:$S$60</definedName>
    <definedName function="false" hidden="false" localSheetId="2" name="_xlnm.Print_Titles" vbProcedure="false">'1. PL đường đen'!$10:$11</definedName>
    <definedName function="false" hidden="false" localSheetId="3" name="_xlnm.Print_Area" vbProcedure="false">'2. Cao độ đào nền'!$A$1:$V$70</definedName>
    <definedName function="false" hidden="false" localSheetId="3" name="_xlnm.Print_Titles" vbProcedure="false">'2. Cao độ đào nền'!$20:$21</definedName>
    <definedName function="false" hidden="false" localSheetId="4" name="_xlnm.Print_Area" vbProcedure="false">'2. KL đào nền'!$A$1:$M$60</definedName>
    <definedName function="false" hidden="false" localSheetId="4" name="_xlnm.Print_Titles" vbProcedure="false">'2. KL đào nền'!$9:$10</definedName>
    <definedName function="false" hidden="false" localSheetId="6" name="_xlnm.Print_Area" vbProcedure="false">'3. KL vải lọc'!$A$1:$M$60</definedName>
    <definedName function="false" hidden="false" localSheetId="5" name="_xlnm.Print_Area" vbProcedure="false">'3. KTHH vải lọc'!$A$1:$V$70</definedName>
    <definedName function="false" hidden="false" localSheetId="5" name="_xlnm.Print_Titles" vbProcedure="false">'3. KTHH vải lọc'!$20:$21</definedName>
    <definedName function="false" hidden="false" localSheetId="9" name="_xlnm.Print_Area" vbProcedure="false">'CĐ mặt đường'!$A$1:$S$68</definedName>
    <definedName function="false" hidden="false" localSheetId="9" name="_xlnm.Print_Titles" vbProcedure="false">'CĐ mặt đường'!$20:$21</definedName>
    <definedName function="false" hidden="false" localSheetId="0" name="_xlnm.Print_Titles" vbProcedure="false">IN!$7:$7</definedName>
    <definedName function="false" hidden="false" localSheetId="10" name="_xlnm.Print_Area" vbProcedure="false">'KL BTN'!$A$1:$K$58</definedName>
    <definedName function="false" hidden="false" localSheetId="8" name="_xlnm.Print_Area" vbProcedure="false">'KL tưới nhựa'!$A$1:$K$58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5" authorId="0">
      <text>
        <r>
          <rPr>
            <sz val="10"/>
            <rFont val="Arial"/>
            <family val="2"/>
          </rPr>
          <t xml:space="preserve">Microsoft Cop.:
Nghỉ từ 16-19</t>
        </r>
      </text>
    </comment>
  </commentList>
</comments>
</file>

<file path=xl/sharedStrings.xml><?xml version="1.0" encoding="utf-8"?>
<sst xmlns="http://schemas.openxmlformats.org/spreadsheetml/2006/main" count="491" uniqueCount="152">
  <si>
    <t xml:space="preserve">DANH MỤC NGHIỆM THU</t>
  </si>
  <si>
    <t xml:space="preserve">Dự án: Xây dựng hạ tầng kỹ thuật Khu tái định cư phục vụ di dân xã Hải Hà, thị xã Nghi Sơn, tỉnh Thanh Hóa</t>
  </si>
  <si>
    <t xml:space="preserve">Gói thầu số 12: Xây dựng hạ tầng kỹ thuật khu vực Hải Bình và Xuân Lâm (bao gồm cả bảo hiểm xây dựng công trình) </t>
  </si>
  <si>
    <t xml:space="preserve">Nhà thầu thi công : Công ty TNHH Hoàng Tuấn</t>
  </si>
  <si>
    <t xml:space="preserve">Hạng mục: Nền đường tuyến XD4 đoạn từ Km0+554,08-:-Km0+672,28</t>
  </si>
  <si>
    <t xml:space="preserve">STT</t>
  </si>
  <si>
    <t xml:space="preserve">Nội dung nghiệm thu</t>
  </si>
  <si>
    <t xml:space="preserve">Thời gian nghiệm thu</t>
  </si>
  <si>
    <t xml:space="preserve">Thời gian bắt đầu</t>
  </si>
  <si>
    <t xml:space="preserve">Thời gian kết thúc</t>
  </si>
  <si>
    <t xml:space="preserve">Thời gian bằng chữ</t>
  </si>
  <si>
    <t xml:space="preserve">Bản vẽ</t>
  </si>
  <si>
    <t xml:space="preserve">Số PYC </t>
  </si>
  <si>
    <t xml:space="preserve">Số BBNT</t>
  </si>
  <si>
    <t xml:space="preserve">Giờ bắt đầu</t>
  </si>
  <si>
    <t xml:space="preserve">Phút bắt đầu</t>
  </si>
  <si>
    <t xml:space="preserve">Tiêu chuẩn</t>
  </si>
  <si>
    <t xml:space="preserve">Giờ kết thúc</t>
  </si>
  <si>
    <t xml:space="preserve">Phút kết thúc</t>
  </si>
  <si>
    <t xml:space="preserve">Ngày</t>
  </si>
  <si>
    <t xml:space="preserve">Tháng</t>
  </si>
  <si>
    <t xml:space="preserve">Năm</t>
  </si>
  <si>
    <t xml:space="preserve">Kỹ thuật TC</t>
  </si>
  <si>
    <t xml:space="preserve">Giám sát</t>
  </si>
  <si>
    <t xml:space="preserve">Số BBNT vật liệu, thiết bị</t>
  </si>
  <si>
    <t xml:space="preserve">Thời gian nghiệm thu vật liệu</t>
  </si>
  <si>
    <t xml:space="preserve">Kiểm tra cao độ đường đen đoạn từ Km0+554,08 -:- Km0+672,28</t>
  </si>
  <si>
    <t xml:space="preserve">Tuyến XD4</t>
  </si>
  <si>
    <t xml:space="preserve">00</t>
  </si>
  <si>
    <t xml:space="preserve">Nguyễn Xuân Hưng</t>
  </si>
  <si>
    <t xml:space="preserve">Trần Mạnh Tùng</t>
  </si>
  <si>
    <t xml:space="preserve">Đào đất xử lý nền đường đoạn từ Km0+554,08 - Km0+672,28</t>
  </si>
  <si>
    <t xml:space="preserve">TCVN 4447-2012: Công tác đất. Thi công và nghiệm thu.</t>
  </si>
  <si>
    <t xml:space="preserve">Rải vải địa kỹ thuật đoạn từ Km0+554,08 - Km0+672,28</t>
  </si>
  <si>
    <t xml:space="preserve">TCVN 9844 : 2013 Vải địa kỹ thuật trong xây dựng nền đắp trên đất yếu - Tiêu chuẩn thiết kế, thi công và nghiệm thu</t>
  </si>
  <si>
    <t xml:space="preserve">Đắp cát nền đường lớp 1 đoạn từ Km0+554,08 - Km0+672,28, độ chặt K&gt;=0,95</t>
  </si>
  <si>
    <t xml:space="preserve">Đắp cát nền đường lớp 2 đoạn từ Km0+554,08 - Km0+672,28, độ chặt K&gt;=0,95</t>
  </si>
  <si>
    <t xml:space="preserve">Đắp cát nền đường lớp 3 đoạn từ Km0+554,08 - Km0+672,28, độ chặt K&gt;=0,95</t>
  </si>
  <si>
    <t xml:space="preserve">Đắp cát nền đường lớp 4 đoạn từ Km0+554,08 - Km0+672,28, độ chặt K&gt;=0,95</t>
  </si>
  <si>
    <t xml:space="preserve">Đắp đất nền đường lớp 1 đoạn từ Km0+554,08 - Km0+672,28, độ chặt K&gt;=0,95</t>
  </si>
  <si>
    <t xml:space="preserve">Đắp đất nền đường lớp 2 đoạn từ Km0+554,08 - Km0+672,28, độ chặt K&gt;=0,95</t>
  </si>
  <si>
    <t xml:space="preserve">Đắp đất nền đường lớp 3 đoạn từ Km0+554,08 - Km0+672,28, độ chặt K&gt;=0,95</t>
  </si>
  <si>
    <t xml:space="preserve">Đắp đất nền đường lớp 4 đoạn từ Km0+554,08 - Km0+672,28, độ chặt K&gt;=0,95</t>
  </si>
  <si>
    <t xml:space="preserve">Đắp đất nền đường lớp 5 đoạn từ Km0+554,08 - Km0+672,28, độ chặt K&gt;=0,95</t>
  </si>
  <si>
    <t xml:space="preserve">Đắp đất nền đường lớp 6 đoạn từ Km0+554,08 - Km0+672,28, độ chặt K&gt;=0,95</t>
  </si>
  <si>
    <t xml:space="preserve">Đắp đất nền đường lớp 7 đoạn từ Km0+554,08 - Km0+672,28, độ chặt K&gt;=0,95</t>
  </si>
  <si>
    <t xml:space="preserve">Đắp đất nền đường lớp 8 đoạn từ Km0+554,08 - Km0+672,28, độ chặt K&gt;=0,95</t>
  </si>
  <si>
    <t xml:space="preserve">Đắp đất nền đường lớp 9 đoạn từ Km0+554,08 - Km0+672,28, độ chặt K&gt;=0,95</t>
  </si>
  <si>
    <t xml:space="preserve">Đắp đất nền đường lớp 1, độ chặt K&gt;=0,98 đoạn từ Km0+554,08 - Km0+672,28</t>
  </si>
  <si>
    <t xml:space="preserve">Đắp đất lề đường lớp 1, độ chặt K&gt;=0,95 đoạn từ Km0+554,08 - Km0+672,28</t>
  </si>
  <si>
    <t xml:space="preserve">Đắp đất nền đường lớp 2, độ chặt K&gt;=0,98 đoạn từ Km0+554,08 - Km0+672,28</t>
  </si>
  <si>
    <t xml:space="preserve">Đắp đất lề đường lớp 2, độ chặt K&gt;=0,95 đoạn từ Km0+554,08 - Km0+672,28</t>
  </si>
  <si>
    <t xml:space="preserve">Đắp cấp phối đá dăm loại 2 đoạn từ Km0+554,08 - Km0+672,28</t>
  </si>
  <si>
    <t xml:space="preserve">TCVN 8859:2023 Lớp móng cấp phối đá dăm trong kết cấu áo đường</t>
  </si>
  <si>
    <t xml:space="preserve">Đắp đất lề đường lớp 3, độ chặt K&gt;=0,95 đoạn từ Km0+554,08 - Km0+672,28</t>
  </si>
  <si>
    <t xml:space="preserve">Đắp đất lề đường lớp 4, độ chặt K&gt;=0,95 đoạn từ Km0+554,08 - Km0+672,28</t>
  </si>
  <si>
    <t xml:space="preserve">Đắp cấp phối đá dăm loại 1 đoạn từ Km0+554,08 - Km0+672,28</t>
  </si>
  <si>
    <t xml:space="preserve">Vệ sinh, thổi bụi mặt đường </t>
  </si>
  <si>
    <t xml:space="preserve">Tưới lớp thấm bám mặt đường, nhựa MC70, lượng nhựa 1kg/m2</t>
  </si>
  <si>
    <t xml:space="preserve">+ TCVN 13567-1: 2022. Lớp mặt đường bằng hỗn hợp nhựa nóng. Thi công và nghiệm thu. </t>
  </si>
  <si>
    <t xml:space="preserve">Rải thảm mặt đường bê tông nhựa C16 - Chiều dày mặt đường đã lèn ép 6cm</t>
  </si>
  <si>
    <t xml:space="preserve">Bê tông nhựa C16 - Chiều dày mặt đường đã lèn ép 6cm</t>
  </si>
  <si>
    <t xml:space="preserve">PHỤ LỤC KIỂM TRA CAO ĐỘ ĐƯỜNG ĐEN 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</si>
  <si>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</si>
  <si>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</si>
  <si>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</si>
  <si>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</si>
  <si>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</si>
  <si>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</si>
  <si>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</si>
  <si>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</si>
  <si>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</si>
  <si>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</si>
  <si>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Bên trái (H2)</t>
  </si>
  <si>
    <t xml:space="preserve">Tim (H3)</t>
  </si>
  <si>
    <t xml:space="preserve">Bên phải (H4)</t>
  </si>
  <si>
    <t xml:space="preserve">Bên phải (H5)</t>
  </si>
  <si>
    <t xml:space="preserve">Ghi chú</t>
  </si>
  <si>
    <t xml:space="preserve">CDTK</t>
  </si>
  <si>
    <t xml:space="preserve">CDTC</t>
  </si>
  <si>
    <t xml:space="preserve">Chênh CD</t>
  </si>
  <si>
    <t xml:space="preserve">32</t>
  </si>
  <si>
    <t xml:space="preserve">33</t>
  </si>
  <si>
    <t xml:space="preserve">TD</t>
  </si>
  <si>
    <t xml:space="preserve">P</t>
  </si>
  <si>
    <t xml:space="preserve">E2</t>
  </si>
  <si>
    <t xml:space="preserve">TC</t>
  </si>
  <si>
    <t xml:space="preserve">34</t>
  </si>
  <si>
    <t xml:space="preserve">35</t>
  </si>
  <si>
    <t xml:space="preserve">36</t>
  </si>
  <si>
    <t xml:space="preserve">E9</t>
  </si>
  <si>
    <t xml:space="preserve">37</t>
  </si>
  <si>
    <t xml:space="preserve">38</t>
  </si>
  <si>
    <t xml:space="preserve">NHÀ THẦU THI CÔNG</t>
  </si>
  <si>
    <t xml:space="preserve">TƯ VẤN GIÁM SÁT</t>
  </si>
  <si>
    <t xml:space="preserve">PHỤ LỤC KIỂM TRA CAO ĐỘ ĐÀO NỀN ĐƯỜNG </t>
  </si>
  <si>
    <t xml:space="preserve">Tim (H2)</t>
  </si>
  <si>
    <t xml:space="preserve">Bên phải (H3)</t>
  </si>
  <si>
    <t xml:space="preserve">Chiều rộng đáy đào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</si>
  <si>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</si>
  <si>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</si>
  <si>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</si>
  <si>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</si>
  <si>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</si>
  <si>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</si>
  <si>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CRTK (m)</t>
  </si>
  <si>
    <t xml:space="preserve">CRTC (m)</t>
  </si>
  <si>
    <t xml:space="preserve">Chênh CR (m)</t>
  </si>
  <si>
    <t xml:space="preserve">PHỤ LỤC KHỐI LƯỢNG </t>
  </si>
  <si>
    <t xml:space="preserve">K/c lẻ</t>
  </si>
  <si>
    <t xml:space="preserve">Đào xử lý nền đường</t>
  </si>
  <si>
    <t xml:space="preserve">Diện tích (m2)</t>
  </si>
  <si>
    <t xml:space="preserve">Khối lượng (m3)</t>
  </si>
  <si>
    <t xml:space="preserve">Ghi 
chú</t>
  </si>
  <si>
    <t xml:space="preserve">Diện tích</t>
  </si>
  <si>
    <t xml:space="preserve">Đào xử
 lý nền </t>
  </si>
  <si>
    <t xml:space="preserve">Đào đánh 
cấp </t>
  </si>
  <si>
    <t xml:space="preserve">Đào 
khuôn </t>
  </si>
  <si>
    <t xml:space="preserve">Đào khuôn 
</t>
  </si>
  <si>
    <t xml:space="preserve">Tổng cộng (m3)</t>
  </si>
  <si>
    <t xml:space="preserve">                 </t>
  </si>
  <si>
    <t xml:space="preserve">PHỤ LỤC KIỂM TRA KÍCH THƯỚC HÌNH HỌC</t>
  </si>
  <si>
    <t xml:space="preserve">L1 (m)</t>
  </si>
  <si>
    <t xml:space="preserve">L2 (m)</t>
  </si>
  <si>
    <t xml:space="preserve">L3 (m)</t>
  </si>
  <si>
    <t xml:space="preserve">L4 (m)</t>
  </si>
  <si>
    <t xml:space="preserve">L5 (m)</t>
  </si>
  <si>
    <t xml:space="preserve">L6 (m)</t>
  </si>
  <si>
    <t xml:space="preserve">Thiết kế (m)</t>
  </si>
  <si>
    <t xml:space="preserve">Thi công (m)</t>
  </si>
  <si>
    <t xml:space="preserve">Chênh lệch (m)</t>
  </si>
  <si>
    <t xml:space="preserve">Khối lượng vải địa kỹ thuật</t>
  </si>
  <si>
    <t xml:space="preserve">Khối lượng thi công</t>
  </si>
  <si>
    <t xml:space="preserve">Chiều dài (m)</t>
  </si>
  <si>
    <t xml:space="preserve">Tên lớp</t>
  </si>
  <si>
    <t xml:space="preserve">Phần</t>
  </si>
  <si>
    <t xml:space="preserve">B trái</t>
  </si>
  <si>
    <t xml:space="preserve">B phải</t>
  </si>
  <si>
    <t xml:space="preserve">gập</t>
  </si>
  <si>
    <t xml:space="preserve">taluy</t>
  </si>
  <si>
    <t xml:space="preserve">đáy</t>
  </si>
  <si>
    <t xml:space="preserve">PHỤ LỤC KHỐI LƯỢNG TƯỚI NHỰA</t>
  </si>
  <si>
    <t xml:space="preserve">Tên 
cọc</t>
  </si>
  <si>
    <t xml:space="preserve">Bề rộng tưới nhựa</t>
  </si>
  <si>
    <t xml:space="preserve">Diện tích tưới nhựa</t>
  </si>
  <si>
    <t xml:space="preserve">Thiết kế</t>
  </si>
  <si>
    <t xml:space="preserve">Thực tế</t>
  </si>
  <si>
    <t xml:space="preserve">Chênh 
lệch</t>
  </si>
  <si>
    <t xml:space="preserve">Chênh
 lệch</t>
  </si>
  <si>
    <t xml:space="preserve">Lê Minh Hải</t>
  </si>
  <si>
    <t xml:space="preserve">PHỤ LỤC KIỂM TRA CAO ĐỘ MẶT ĐƯỜNG </t>
  </si>
  <si>
    <t xml:space="preserve">Sơ hoạ: 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</si>
</sst>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(* #,##0.00_);_(* \(#,##0.00\);_(* \-??_);_(@_)"/>
    <numFmt numFmtId="166" formatCode="0&quot; giờ&quot;"/>
    <numFmt numFmtId="167" formatCode="d/m/yyyy;@"/>
    <numFmt numFmtId="168" formatCode="0&quot; giờ&quot;"/>
    <numFmt numFmtId="169" formatCode="General"/>
    <numFmt numFmtId="170" formatCode="m/d/yyyy"/>
    <numFmt numFmtId="171" formatCode="dd/mm/yyyy"/>
    <numFmt numFmtId="172" formatCode="0"/>
    <numFmt numFmtId="173" formatCode="#,##0.00;\-#,##0.00;;@"/>
    <numFmt numFmtId="174" formatCode="&quot;Km&quot;0\+000.00"/>
    <numFmt numFmtId="175" formatCode="#,##0.000"/>
    <numFmt numFmtId="176" formatCode="0.00"/>
    <numFmt numFmtId="177" formatCode="_(* #,##0.000_);_(* \(#,##0.000\);_(* \-??_);_(@_)"/>
    <numFmt numFmtId="178" formatCode="_-* #,##0\ _₫_-;\-* #,##0\ _₫_-;_-* \-??\ _₫_-;_-@_-"/>
    <numFmt numFmtId="179" formatCode="0.00_);\(0.00\)"/>
    <numFmt numFmtId="180" formatCode="_-* #,##0.00\ _₫_-;\-* #,##0.00\ _₫_-;_-* \-??\ _₫_-;_-@_-"/>
    <numFmt numFmtId="181" formatCode="_(* #,##0_);_(* \(#,##0\);_(* \-??_);_(@_)"/>
  </numFmts>
  <fonts count="47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color theme="1"/>
      <name val="Times New Roman"/>
      <family val="2"/>
      <charset val="1"/>
    </font>
    <font>
      <b val="true"/>
      <sz val="12"/>
      <name val="Times New Roman"/>
      <family val="2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Calibri"/>
      <family val="2"/>
      <charset val="163"/>
    </font>
    <font>
      <b val="true"/>
      <sz val="13"/>
      <color theme="1"/>
      <name val="Times New Roman"/>
      <family val="1"/>
      <charset val="1"/>
    </font>
    <font>
      <b val="true"/>
      <sz val="13"/>
      <name val="Times New Roman"/>
      <family val="2"/>
      <charset val="1"/>
    </font>
    <font>
      <sz val="13"/>
      <name val="Times New Roman"/>
      <family val="1"/>
      <charset val="1"/>
    </font>
    <font>
      <sz val="13"/>
      <name val="Times New Roman"/>
      <family val="2"/>
      <charset val="1"/>
    </font>
    <font>
      <sz val="10"/>
      <name val="Arial"/>
      <family val="2"/>
    </font>
    <font>
      <b val="true"/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color theme="1"/>
      <name val="Calibri"/>
      <family val="2"/>
      <charset val="163"/>
    </font>
    <font>
      <sz val="14"/>
      <name val="Times New Roman"/>
      <family val="1"/>
      <charset val="1"/>
    </font>
    <font>
      <sz val="14"/>
      <name val="Calibri"/>
      <family val="2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name val="Calibri"/>
      <family val="2"/>
      <charset val="1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i val="true"/>
      <sz val="13"/>
      <name val="Times New Roman"/>
      <family val="1"/>
      <charset val="1"/>
    </font>
    <font>
      <sz val="13"/>
      <name val=".VnTime"/>
      <family val="2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.VnArial Narrow"/>
      <family val="2"/>
      <charset val="1"/>
    </font>
    <font>
      <b val="true"/>
      <sz val="11"/>
      <color theme="1"/>
      <name val=".VnArial Narrow"/>
      <family val="2"/>
      <charset val="1"/>
    </font>
    <font>
      <i val="true"/>
      <sz val="12"/>
      <name val="Times New Roman"/>
      <family val="1"/>
      <charset val="1"/>
    </font>
    <font>
      <sz val="11"/>
      <name val="Times New Roman"/>
      <family val="2"/>
      <charset val="1"/>
    </font>
    <font>
      <sz val="11"/>
      <name val=".VnTime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1" fillId="0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8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302400</xdr:colOff>
      <xdr:row>7</xdr:row>
      <xdr:rowOff>212760</xdr:rowOff>
    </xdr:from>
    <xdr:to>
      <xdr:col>14</xdr:col>
      <xdr:colOff>526320</xdr:colOff>
      <xdr:row>17</xdr:row>
      <xdr:rowOff>182520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2094480" y="1898640"/>
          <a:ext cx="6867720" cy="192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22320</xdr:colOff>
      <xdr:row>7</xdr:row>
      <xdr:rowOff>156960</xdr:rowOff>
    </xdr:from>
    <xdr:to>
      <xdr:col>15</xdr:col>
      <xdr:colOff>347040</xdr:colOff>
      <xdr:row>17</xdr:row>
      <xdr:rowOff>66600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734120" y="1842840"/>
          <a:ext cx="7391160" cy="186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130320</xdr:colOff>
      <xdr:row>7</xdr:row>
      <xdr:rowOff>101160</xdr:rowOff>
    </xdr:from>
    <xdr:to>
      <xdr:col>13</xdr:col>
      <xdr:colOff>452160</xdr:colOff>
      <xdr:row>17</xdr:row>
      <xdr:rowOff>178920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915120" y="1644120"/>
          <a:ext cx="8519760" cy="209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6" activeCellId="0" sqref="T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49.57"/>
    <col collapsed="false" customWidth="true" hidden="false" outlineLevel="0" max="3" min="3" style="1" width="15.42"/>
    <col collapsed="false" customWidth="true" hidden="false" outlineLevel="0" max="4" min="4" style="1" width="8"/>
    <col collapsed="false" customWidth="true" hidden="false" outlineLevel="0" max="5" min="5" style="1" width="3.15"/>
    <col collapsed="false" customWidth="true" hidden="false" outlineLevel="0" max="6" min="6" style="1" width="7.15"/>
    <col collapsed="false" customWidth="true" hidden="false" outlineLevel="0" max="7" min="7" style="1" width="3.15"/>
    <col collapsed="false" customWidth="false" hidden="false" outlineLevel="0" max="16384" min="8" style="1" width="9.1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6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6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/>
      <c r="C4" s="5"/>
    </row>
    <row r="5" customFormat="false" ht="16.5" hidden="false" customHeight="true" outlineLevel="0" collapsed="false">
      <c r="A5" s="4" t="s">
        <v>4</v>
      </c>
      <c r="B5" s="6"/>
      <c r="C5" s="7"/>
    </row>
    <row r="6" customFormat="false" ht="16.5" hidden="false" customHeight="true" outlineLevel="0" collapsed="false">
      <c r="A6" s="7"/>
      <c r="B6" s="6"/>
      <c r="C6" s="7"/>
    </row>
    <row r="7" s="10" customFormat="true" ht="51" hidden="false" customHeight="true" outlineLevel="0" collapsed="false">
      <c r="A7" s="8" t="s">
        <v>5</v>
      </c>
      <c r="B7" s="8" t="s">
        <v>6</v>
      </c>
      <c r="C7" s="8" t="s">
        <v>7</v>
      </c>
      <c r="D7" s="9" t="s">
        <v>8</v>
      </c>
      <c r="E7" s="9"/>
      <c r="F7" s="9" t="s">
        <v>9</v>
      </c>
      <c r="G7" s="9"/>
    </row>
    <row r="8" s="10" customFormat="true" ht="15.75" hidden="true" customHeight="true" outlineLevel="0" collapsed="false">
      <c r="A8" s="11"/>
      <c r="B8" s="12"/>
      <c r="C8" s="13"/>
      <c r="D8" s="14" t="n">
        <f aca="false">'Tuyến XD4'!H2</f>
        <v>0</v>
      </c>
      <c r="E8" s="14" t="n">
        <f aca="false">'Tuyến XD4'!I2</f>
        <v>0</v>
      </c>
      <c r="F8" s="15" t="n">
        <f aca="false">'Tuyến XD4'!K2</f>
        <v>0</v>
      </c>
      <c r="G8" s="15" t="n">
        <f aca="false">'Tuyến XD4'!L2</f>
        <v>0</v>
      </c>
    </row>
    <row r="9" s="10" customFormat="true" ht="47.25" hidden="false" customHeight="true" outlineLevel="0" collapsed="false">
      <c r="A9" s="16" t="n">
        <f aca="false">'Tuyến XD4'!A3</f>
        <v>29</v>
      </c>
      <c r="B9" s="17" t="str">
        <f aca="false">'Tuyến XD4'!B3</f>
        <v>Kiểm tra cao độ đường đen đoạn từ Km0+554,08 -:- Km0+672,28</v>
      </c>
      <c r="C9" s="18" t="n">
        <f aca="false">'Tuyến XD4'!C3</f>
        <v>46263</v>
      </c>
      <c r="D9" s="19" t="n">
        <f aca="false">'Tuyến XD4'!H3</f>
        <v>9</v>
      </c>
      <c r="E9" s="20" t="str">
        <f aca="false">'Tuyến XD4'!I3</f>
        <v>00</v>
      </c>
      <c r="F9" s="19" t="n">
        <f aca="false">'Tuyến XD4'!K3</f>
        <v>9</v>
      </c>
      <c r="G9" s="20" t="n">
        <f aca="false">'Tuyến XD4'!L3</f>
        <v>30</v>
      </c>
    </row>
    <row r="10" s="10" customFormat="true" ht="36" hidden="false" customHeight="true" outlineLevel="0" collapsed="false">
      <c r="A10" s="21" t="n">
        <f aca="false">'Tuyến XD4'!A4</f>
        <v>30</v>
      </c>
      <c r="B10" s="22" t="str">
        <f aca="false">'Tuyến XD4'!B4</f>
        <v>Đào đất xử lý nền đường đoạn từ Km0+554,08 - Km0+672,28</v>
      </c>
      <c r="C10" s="23" t="n">
        <f aca="false">'Tuyến XD4'!C4</f>
        <v>46264</v>
      </c>
      <c r="D10" s="24" t="n">
        <f aca="false">'Tuyến XD4'!H4</f>
        <v>11</v>
      </c>
      <c r="E10" s="25" t="str">
        <f aca="false">'Tuyến XD4'!I4</f>
        <v>00</v>
      </c>
      <c r="F10" s="24" t="n">
        <f aca="false">'Tuyến XD4'!K4</f>
        <v>11</v>
      </c>
      <c r="G10" s="25" t="n">
        <f aca="false">'Tuyến XD4'!L4</f>
        <v>30</v>
      </c>
    </row>
    <row r="11" s="10" customFormat="true" ht="36" hidden="false" customHeight="true" outlineLevel="0" collapsed="false">
      <c r="A11" s="21" t="n">
        <f aca="false">'Tuyến XD4'!A5</f>
        <v>31</v>
      </c>
      <c r="B11" s="22" t="str">
        <f aca="false">'Tuyến XD4'!B5</f>
        <v>Rải vải địa kỹ thuật đoạn từ Km0+554,08 - Km0+672,28</v>
      </c>
      <c r="C11" s="23" t="n">
        <f aca="false">'Tuyến XD4'!C5</f>
        <v>46265</v>
      </c>
      <c r="D11" s="24" t="n">
        <f aca="false">'Tuyến XD4'!H5</f>
        <v>14</v>
      </c>
      <c r="E11" s="25" t="str">
        <f aca="false">'Tuyến XD4'!I5</f>
        <v>00</v>
      </c>
      <c r="F11" s="24" t="n">
        <f aca="false">'Tuyến XD4'!K5</f>
        <v>14</v>
      </c>
      <c r="G11" s="25" t="n">
        <f aca="false">'Tuyến XD4'!L5</f>
        <v>30</v>
      </c>
    </row>
    <row r="12" s="10" customFormat="true" ht="36" hidden="false" customHeight="true" outlineLevel="0" collapsed="false">
      <c r="A12" s="21" t="n">
        <f aca="false">'Tuyến XD4'!A6</f>
        <v>32</v>
      </c>
      <c r="B12" s="22" t="str">
        <f aca="false">'Tuyến XD4'!B6</f>
        <v>Đắp cát nền đường lớp 1 đoạn từ Km0+554,08 - Km0+672,28, độ chặt K&gt;=0,95</v>
      </c>
      <c r="C12" s="23" t="n">
        <f aca="false">'Tuyến XD4'!C6</f>
        <v>46265</v>
      </c>
      <c r="D12" s="24" t="n">
        <f aca="false">'Tuyến XD4'!H6</f>
        <v>17</v>
      </c>
      <c r="E12" s="25" t="str">
        <f aca="false">'Tuyến XD4'!I6</f>
        <v>00</v>
      </c>
      <c r="F12" s="24" t="n">
        <f aca="false">'Tuyến XD4'!K6</f>
        <v>17</v>
      </c>
      <c r="G12" s="25" t="n">
        <f aca="false">'Tuyến XD4'!L6</f>
        <v>30</v>
      </c>
    </row>
    <row r="13" s="10" customFormat="true" ht="36" hidden="false" customHeight="true" outlineLevel="0" collapsed="false">
      <c r="A13" s="21" t="n">
        <f aca="false">'Tuyến XD4'!A7</f>
        <v>33</v>
      </c>
      <c r="B13" s="22" t="str">
        <f aca="false">'Tuyến XD4'!B7</f>
        <v>Đắp cát nền đường lớp 2 đoạn từ Km0+554,08 - Km0+672,28, độ chặt K&gt;=0,95</v>
      </c>
      <c r="C13" s="23" t="n">
        <f aca="false">'Tuyến XD4'!C7</f>
        <v>46268</v>
      </c>
      <c r="D13" s="24" t="n">
        <f aca="false">'Tuyến XD4'!H7</f>
        <v>9</v>
      </c>
      <c r="E13" s="25" t="str">
        <f aca="false">'Tuyến XD4'!I7</f>
        <v>00</v>
      </c>
      <c r="F13" s="24" t="n">
        <f aca="false">'Tuyến XD4'!K7</f>
        <v>9</v>
      </c>
      <c r="G13" s="25" t="n">
        <f aca="false">'Tuyến XD4'!L7</f>
        <v>30</v>
      </c>
    </row>
    <row r="14" s="10" customFormat="true" ht="36" hidden="false" customHeight="true" outlineLevel="0" collapsed="false">
      <c r="A14" s="21" t="n">
        <f aca="false">'Tuyến XD4'!A8</f>
        <v>34</v>
      </c>
      <c r="B14" s="22" t="str">
        <f aca="false">'Tuyến XD4'!B8</f>
        <v>Đắp cát nền đường lớp 3 đoạn từ Km0+554,08 - Km0+672,28, độ chặt K&gt;=0,95</v>
      </c>
      <c r="C14" s="23" t="n">
        <f aca="false">'Tuyến XD4'!C8</f>
        <v>46268</v>
      </c>
      <c r="D14" s="24" t="n">
        <f aca="false">'Tuyến XD4'!H8</f>
        <v>15</v>
      </c>
      <c r="E14" s="25" t="str">
        <f aca="false">'Tuyến XD4'!I8</f>
        <v>00</v>
      </c>
      <c r="F14" s="24" t="n">
        <f aca="false">'Tuyến XD4'!K8</f>
        <v>15</v>
      </c>
      <c r="G14" s="25" t="n">
        <f aca="false">'Tuyến XD4'!L8</f>
        <v>30</v>
      </c>
    </row>
    <row r="15" s="10" customFormat="true" ht="36" hidden="false" customHeight="true" outlineLevel="0" collapsed="false">
      <c r="A15" s="21" t="n">
        <f aca="false">'Tuyến XD4'!A9</f>
        <v>35</v>
      </c>
      <c r="B15" s="22" t="str">
        <f aca="false">'Tuyến XD4'!B9</f>
        <v>Đắp cát nền đường lớp 4 đoạn từ Km0+554,08 - Km0+672,28, độ chặt K&gt;=0,95</v>
      </c>
      <c r="C15" s="23" t="n">
        <f aca="false">'Tuyến XD4'!C9</f>
        <v>46268</v>
      </c>
      <c r="D15" s="24" t="n">
        <f aca="false">'Tuyến XD4'!H9</f>
        <v>9</v>
      </c>
      <c r="E15" s="25" t="str">
        <f aca="false">'Tuyến XD4'!I9</f>
        <v>00</v>
      </c>
      <c r="F15" s="24" t="n">
        <f aca="false">'Tuyến XD4'!K9</f>
        <v>9</v>
      </c>
      <c r="G15" s="25" t="n">
        <f aca="false">'Tuyến XD4'!L9</f>
        <v>30</v>
      </c>
    </row>
    <row r="16" s="10" customFormat="true" ht="36" hidden="false" customHeight="true" outlineLevel="0" collapsed="false">
      <c r="A16" s="21" t="n">
        <f aca="false">'Tuyến XD4'!A10</f>
        <v>36</v>
      </c>
      <c r="B16" s="22" t="str">
        <f aca="false">'Tuyến XD4'!B10</f>
        <v>Đắp đất nền đường lớp 1 đoạn từ Km0+554,08 - Km0+672,28, độ chặt K&gt;=0,95</v>
      </c>
      <c r="C16" s="23" t="n">
        <f aca="false">'Tuyến XD4'!C10</f>
        <v>46268</v>
      </c>
      <c r="D16" s="24" t="n">
        <f aca="false">'Tuyến XD4'!H10</f>
        <v>15</v>
      </c>
      <c r="E16" s="25" t="str">
        <f aca="false">'Tuyến XD4'!I10</f>
        <v>00</v>
      </c>
      <c r="F16" s="24" t="n">
        <f aca="false">'Tuyến XD4'!K10</f>
        <v>15</v>
      </c>
      <c r="G16" s="25" t="n">
        <f aca="false">'Tuyến XD4'!L10</f>
        <v>30</v>
      </c>
    </row>
    <row r="17" s="10" customFormat="true" ht="36" hidden="false" customHeight="true" outlineLevel="0" collapsed="false">
      <c r="A17" s="21" t="n">
        <f aca="false">'Tuyến XD4'!A11</f>
        <v>37</v>
      </c>
      <c r="B17" s="22" t="str">
        <f aca="false">'Tuyến XD4'!B11</f>
        <v>Đắp đất nền đường lớp 2 đoạn từ Km0+554,08 - Km0+672,28, độ chặt K&gt;=0,95</v>
      </c>
      <c r="C17" s="23" t="n">
        <f aca="false">'Tuyến XD4'!C11</f>
        <v>46268</v>
      </c>
      <c r="D17" s="24" t="n">
        <f aca="false">'Tuyến XD4'!H11</f>
        <v>9</v>
      </c>
      <c r="E17" s="25" t="str">
        <f aca="false">'Tuyến XD4'!I11</f>
        <v>00</v>
      </c>
      <c r="F17" s="24" t="n">
        <f aca="false">'Tuyến XD4'!K11</f>
        <v>9</v>
      </c>
      <c r="G17" s="25" t="n">
        <f aca="false">'Tuyến XD4'!L11</f>
        <v>30</v>
      </c>
    </row>
    <row r="18" s="10" customFormat="true" ht="36" hidden="false" customHeight="true" outlineLevel="0" collapsed="false">
      <c r="A18" s="21" t="n">
        <f aca="false">'Tuyến XD4'!A12</f>
        <v>38</v>
      </c>
      <c r="B18" s="22" t="str">
        <f aca="false">'Tuyến XD4'!B12</f>
        <v>Đắp đất nền đường lớp 3 đoạn từ Km0+554,08 - Km0+672,28, độ chặt K&gt;=0,95</v>
      </c>
      <c r="C18" s="23" t="n">
        <f aca="false">'Tuyến XD4'!C12</f>
        <v>46268</v>
      </c>
      <c r="D18" s="24" t="n">
        <f aca="false">'Tuyến XD4'!H12</f>
        <v>15</v>
      </c>
      <c r="E18" s="25" t="str">
        <f aca="false">'Tuyến XD4'!I12</f>
        <v>00</v>
      </c>
      <c r="F18" s="24" t="n">
        <f aca="false">'Tuyến XD4'!K12</f>
        <v>15</v>
      </c>
      <c r="G18" s="25" t="n">
        <f aca="false">'Tuyến XD4'!L12</f>
        <v>30</v>
      </c>
    </row>
    <row r="19" s="10" customFormat="true" ht="36" hidden="false" customHeight="true" outlineLevel="0" collapsed="false">
      <c r="A19" s="21" t="n">
        <f aca="false">'Tuyến XD4'!A13</f>
        <v>39</v>
      </c>
      <c r="B19" s="22" t="str">
        <f aca="false">'Tuyến XD4'!B13</f>
        <v>Đắp đất nền đường lớp 4 đoạn từ Km0+554,08 - Km0+672,28, độ chặt K&gt;=0,95</v>
      </c>
      <c r="C19" s="23" t="n">
        <f aca="false">'Tuyến XD4'!C13</f>
        <v>46269</v>
      </c>
      <c r="D19" s="24" t="n">
        <f aca="false">'Tuyến XD4'!H13</f>
        <v>9</v>
      </c>
      <c r="E19" s="25" t="str">
        <f aca="false">'Tuyến XD4'!I13</f>
        <v>00</v>
      </c>
      <c r="F19" s="24" t="n">
        <f aca="false">'Tuyến XD4'!K13</f>
        <v>9</v>
      </c>
      <c r="G19" s="25" t="n">
        <f aca="false">'Tuyến XD4'!L13</f>
        <v>30</v>
      </c>
    </row>
    <row r="20" s="10" customFormat="true" ht="36" hidden="false" customHeight="true" outlineLevel="0" collapsed="false">
      <c r="A20" s="21" t="n">
        <f aca="false">'Tuyến XD4'!A14</f>
        <v>40</v>
      </c>
      <c r="B20" s="22" t="str">
        <f aca="false">'Tuyến XD4'!B14</f>
        <v>Đắp đất nền đường lớp 5 đoạn từ Km0+554,08 - Km0+672,28, độ chặt K&gt;=0,95</v>
      </c>
      <c r="C20" s="23" t="n">
        <f aca="false">'Tuyến XD4'!C14</f>
        <v>46269</v>
      </c>
      <c r="D20" s="24" t="n">
        <f aca="false">'Tuyến XD4'!H14</f>
        <v>15</v>
      </c>
      <c r="E20" s="25" t="str">
        <f aca="false">'Tuyến XD4'!I14</f>
        <v>00</v>
      </c>
      <c r="F20" s="24" t="n">
        <f aca="false">'Tuyến XD4'!K14</f>
        <v>15</v>
      </c>
      <c r="G20" s="25" t="n">
        <f aca="false">'Tuyến XD4'!L14</f>
        <v>30</v>
      </c>
    </row>
    <row r="21" s="10" customFormat="true" ht="36" hidden="false" customHeight="true" outlineLevel="0" collapsed="false">
      <c r="A21" s="21" t="n">
        <f aca="false">'Tuyến XD4'!A15</f>
        <v>41</v>
      </c>
      <c r="B21" s="22" t="str">
        <f aca="false">'Tuyến XD4'!B15</f>
        <v>Đắp đất nền đường lớp 6 đoạn từ Km0+554,08 - Km0+672,28, độ chặt K&gt;=0,95</v>
      </c>
      <c r="C21" s="23" t="n">
        <f aca="false">'Tuyến XD4'!C15</f>
        <v>46270</v>
      </c>
      <c r="D21" s="24" t="n">
        <f aca="false">'Tuyến XD4'!H15</f>
        <v>9</v>
      </c>
      <c r="E21" s="25" t="str">
        <f aca="false">'Tuyến XD4'!I15</f>
        <v>00</v>
      </c>
      <c r="F21" s="24" t="n">
        <f aca="false">'Tuyến XD4'!K15</f>
        <v>9</v>
      </c>
      <c r="G21" s="25" t="n">
        <f aca="false">'Tuyến XD4'!L15</f>
        <v>30</v>
      </c>
    </row>
    <row r="22" s="10" customFormat="true" ht="36" hidden="false" customHeight="true" outlineLevel="0" collapsed="false">
      <c r="A22" s="21" t="n">
        <f aca="false">'Tuyến XD4'!A16</f>
        <v>42</v>
      </c>
      <c r="B22" s="22" t="str">
        <f aca="false">'Tuyến XD4'!B16</f>
        <v>Đắp đất nền đường lớp 7 đoạn từ Km0+554,08 - Km0+672,28, độ chặt K&gt;=0,95</v>
      </c>
      <c r="C22" s="23" t="n">
        <f aca="false">'Tuyến XD4'!C16</f>
        <v>46270</v>
      </c>
      <c r="D22" s="24" t="n">
        <f aca="false">'Tuyến XD4'!H16</f>
        <v>15</v>
      </c>
      <c r="E22" s="25" t="str">
        <f aca="false">'Tuyến XD4'!I16</f>
        <v>00</v>
      </c>
      <c r="F22" s="24" t="n">
        <f aca="false">'Tuyến XD4'!K16</f>
        <v>15</v>
      </c>
      <c r="G22" s="25" t="n">
        <f aca="false">'Tuyến XD4'!L16</f>
        <v>30</v>
      </c>
    </row>
    <row r="23" s="26" customFormat="true" ht="36" hidden="false" customHeight="true" outlineLevel="0" collapsed="false">
      <c r="A23" s="21" t="n">
        <f aca="false">'Tuyến XD4'!A17</f>
        <v>43</v>
      </c>
      <c r="B23" s="22" t="str">
        <f aca="false">'Tuyến XD4'!B17</f>
        <v>Đắp đất nền đường lớp 8 đoạn từ Km0+554,08 - Km0+672,28, độ chặt K&gt;=0,95</v>
      </c>
      <c r="C23" s="23" t="n">
        <f aca="false">'Tuyến XD4'!C17</f>
        <v>46271</v>
      </c>
      <c r="D23" s="24" t="n">
        <f aca="false">'Tuyến XD4'!H17</f>
        <v>9</v>
      </c>
      <c r="E23" s="25" t="str">
        <f aca="false">'Tuyến XD4'!I17</f>
        <v>00</v>
      </c>
      <c r="F23" s="24" t="n">
        <f aca="false">'Tuyến XD4'!K17</f>
        <v>9</v>
      </c>
      <c r="G23" s="25" t="n">
        <f aca="false">'Tuyến XD4'!L17</f>
        <v>30</v>
      </c>
    </row>
    <row r="24" s="10" customFormat="true" ht="36" hidden="false" customHeight="true" outlineLevel="0" collapsed="false">
      <c r="A24" s="21" t="n">
        <f aca="false">'Tuyến XD4'!A18</f>
        <v>44</v>
      </c>
      <c r="B24" s="22" t="str">
        <f aca="false">'Tuyến XD4'!B18</f>
        <v>Đắp đất nền đường lớp 9 đoạn từ Km0+554,08 - Km0+672,28, độ chặt K&gt;=0,95</v>
      </c>
      <c r="C24" s="23" t="n">
        <f aca="false">'Tuyến XD4'!C18</f>
        <v>46271</v>
      </c>
      <c r="D24" s="24" t="n">
        <f aca="false">'Tuyến XD4'!H18</f>
        <v>15</v>
      </c>
      <c r="E24" s="25" t="str">
        <f aca="false">'Tuyến XD4'!I18</f>
        <v>00</v>
      </c>
      <c r="F24" s="24" t="n">
        <f aca="false">'Tuyến XD4'!K18</f>
        <v>15</v>
      </c>
      <c r="G24" s="25" t="n">
        <f aca="false">'Tuyến XD4'!L18</f>
        <v>30</v>
      </c>
    </row>
    <row r="25" s="10" customFormat="true" ht="36" hidden="false" customHeight="true" outlineLevel="0" collapsed="false">
      <c r="A25" s="21" t="n">
        <f aca="false">'Tuyến XD4'!A19</f>
        <v>45</v>
      </c>
      <c r="B25" s="22" t="str">
        <f aca="false">'Tuyến XD4'!B19</f>
        <v>Đắp đất nền đường lớp 1, độ chặt K&gt;=0,98 đoạn từ Km0+554,08 - Km0+672,28</v>
      </c>
      <c r="C25" s="23" t="n">
        <f aca="false">'Tuyến XD4'!C19</f>
        <v>46272</v>
      </c>
      <c r="D25" s="24" t="n">
        <f aca="false">'Tuyến XD4'!H19</f>
        <v>9</v>
      </c>
      <c r="E25" s="25" t="str">
        <f aca="false">'Tuyến XD4'!I19</f>
        <v>00</v>
      </c>
      <c r="F25" s="24" t="n">
        <f aca="false">'Tuyến XD4'!K19</f>
        <v>9</v>
      </c>
      <c r="G25" s="25" t="n">
        <f aca="false">'Tuyến XD4'!L19</f>
        <v>30</v>
      </c>
    </row>
    <row r="26" s="10" customFormat="true" ht="36" hidden="false" customHeight="true" outlineLevel="0" collapsed="false">
      <c r="A26" s="21" t="n">
        <f aca="false">'Tuyến XD4'!A20</f>
        <v>46</v>
      </c>
      <c r="B26" s="22" t="str">
        <f aca="false">'Tuyến XD4'!B20</f>
        <v>Đắp đất lề đường lớp 1, độ chặt K&gt;=0,95 đoạn từ Km0+554,08 - Km0+672,28</v>
      </c>
      <c r="C26" s="23" t="n">
        <f aca="false">'Tuyến XD4'!C20</f>
        <v>46272</v>
      </c>
      <c r="D26" s="24" t="n">
        <f aca="false">'Tuyến XD4'!H20</f>
        <v>15</v>
      </c>
      <c r="E26" s="25" t="str">
        <f aca="false">'Tuyến XD4'!I20</f>
        <v>00</v>
      </c>
      <c r="F26" s="24" t="n">
        <f aca="false">'Tuyến XD4'!K20</f>
        <v>15</v>
      </c>
      <c r="G26" s="25" t="n">
        <f aca="false">'Tuyến XD4'!L20</f>
        <v>30</v>
      </c>
    </row>
    <row r="27" s="10" customFormat="true" ht="36" hidden="false" customHeight="true" outlineLevel="0" collapsed="false">
      <c r="A27" s="21" t="n">
        <f aca="false">'Tuyến XD4'!A21</f>
        <v>47</v>
      </c>
      <c r="B27" s="22" t="str">
        <f aca="false">'Tuyến XD4'!B21</f>
        <v>Đắp đất nền đường lớp 2, độ chặt K&gt;=0,98 đoạn từ Km0+554,08 - Km0+672,28</v>
      </c>
      <c r="C27" s="23" t="n">
        <f aca="false">'Tuyến XD4'!C21</f>
        <v>46273</v>
      </c>
      <c r="D27" s="24" t="n">
        <f aca="false">'Tuyến XD4'!H21</f>
        <v>9</v>
      </c>
      <c r="E27" s="25" t="str">
        <f aca="false">'Tuyến XD4'!I21</f>
        <v>00</v>
      </c>
      <c r="F27" s="24" t="n">
        <f aca="false">'Tuyến XD4'!K21</f>
        <v>9</v>
      </c>
      <c r="G27" s="25" t="n">
        <f aca="false">'Tuyến XD4'!L21</f>
        <v>30</v>
      </c>
    </row>
    <row r="28" s="10" customFormat="true" ht="36" hidden="false" customHeight="true" outlineLevel="0" collapsed="false">
      <c r="A28" s="21" t="n">
        <f aca="false">'Tuyến XD4'!A22</f>
        <v>48</v>
      </c>
      <c r="B28" s="22" t="str">
        <f aca="false">'Tuyến XD4'!B22</f>
        <v>Đắp đất lề đường lớp 2, độ chặt K&gt;=0,95 đoạn từ Km0+554,08 - Km0+672,28</v>
      </c>
      <c r="C28" s="23" t="n">
        <f aca="false">'Tuyến XD4'!C22</f>
        <v>46273</v>
      </c>
      <c r="D28" s="24" t="n">
        <f aca="false">'Tuyến XD4'!H22</f>
        <v>15</v>
      </c>
      <c r="E28" s="25" t="str">
        <f aca="false">'Tuyến XD4'!I22</f>
        <v>00</v>
      </c>
      <c r="F28" s="24" t="n">
        <f aca="false">'Tuyến XD4'!K22</f>
        <v>15</v>
      </c>
      <c r="G28" s="25" t="n">
        <f aca="false">'Tuyến XD4'!L22</f>
        <v>30</v>
      </c>
    </row>
    <row r="29" s="10" customFormat="true" ht="36" hidden="false" customHeight="true" outlineLevel="0" collapsed="false">
      <c r="A29" s="21" t="n">
        <f aca="false">'Tuyến XD4'!A23</f>
        <v>49</v>
      </c>
      <c r="B29" s="22" t="str">
        <f aca="false">'Tuyến XD4'!B23</f>
        <v>Đắp cấp phối đá dăm loại 2 đoạn từ Km0+554,08 - Km0+672,28</v>
      </c>
      <c r="C29" s="23" t="n">
        <f aca="false">'Tuyến XD4'!C23</f>
        <v>46274</v>
      </c>
      <c r="D29" s="24" t="n">
        <f aca="false">'Tuyến XD4'!H23</f>
        <v>9</v>
      </c>
      <c r="E29" s="25" t="str">
        <f aca="false">'Tuyến XD4'!I23</f>
        <v>00</v>
      </c>
      <c r="F29" s="24" t="n">
        <f aca="false">'Tuyến XD4'!K23</f>
        <v>9</v>
      </c>
      <c r="G29" s="25" t="n">
        <f aca="false">'Tuyến XD4'!L23</f>
        <v>30</v>
      </c>
    </row>
    <row r="30" s="10" customFormat="true" ht="36" hidden="false" customHeight="true" outlineLevel="0" collapsed="false">
      <c r="A30" s="21" t="n">
        <f aca="false">'Tuyến XD4'!A24</f>
        <v>50</v>
      </c>
      <c r="B30" s="22" t="str">
        <f aca="false">'Tuyến XD4'!B24</f>
        <v>Đắp đất lề đường lớp 3, độ chặt K&gt;=0,95 đoạn từ Km0+554,08 - Km0+672,28</v>
      </c>
      <c r="C30" s="23" t="n">
        <f aca="false">'Tuyến XD4'!C24</f>
        <v>46274</v>
      </c>
      <c r="D30" s="24" t="n">
        <f aca="false">'Tuyến XD4'!H24</f>
        <v>15</v>
      </c>
      <c r="E30" s="25" t="str">
        <f aca="false">'Tuyến XD4'!I24</f>
        <v>00</v>
      </c>
      <c r="F30" s="24" t="n">
        <f aca="false">'Tuyến XD4'!K24</f>
        <v>15</v>
      </c>
      <c r="G30" s="25" t="n">
        <f aca="false">'Tuyến XD4'!L24</f>
        <v>30</v>
      </c>
    </row>
    <row r="31" customFormat="false" ht="31.5" hidden="false" customHeight="true" outlineLevel="0" collapsed="false">
      <c r="A31" s="21" t="n">
        <f aca="false">'Tuyến XD4'!A25</f>
        <v>51</v>
      </c>
      <c r="B31" s="22" t="str">
        <f aca="false">'Tuyến XD4'!B25</f>
        <v>Đắp đất lề đường lớp 4, độ chặt K&gt;=0,95 đoạn từ Km0+554,08 - Km0+672,28</v>
      </c>
      <c r="C31" s="23" t="n">
        <f aca="false">'Tuyến XD4'!C25</f>
        <v>46275</v>
      </c>
      <c r="D31" s="24" t="n">
        <f aca="false">'Tuyến XD4'!H25</f>
        <v>9</v>
      </c>
      <c r="E31" s="25" t="str">
        <f aca="false">'Tuyến XD4'!I25</f>
        <v>00</v>
      </c>
      <c r="F31" s="24" t="n">
        <f aca="false">'Tuyến XD4'!K25</f>
        <v>9</v>
      </c>
      <c r="G31" s="25" t="n">
        <f aca="false">'Tuyến XD4'!L25</f>
        <v>30</v>
      </c>
    </row>
    <row r="32" customFormat="false" ht="31.5" hidden="false" customHeight="true" outlineLevel="0" collapsed="false">
      <c r="A32" s="21" t="n">
        <f aca="false">'Tuyến XD4'!A26</f>
        <v>52</v>
      </c>
      <c r="B32" s="22" t="str">
        <f aca="false">'Tuyến XD4'!B26</f>
        <v>Đắp cấp phối đá dăm loại 1 đoạn từ Km0+554,08 - Km0+672,28</v>
      </c>
      <c r="C32" s="23" t="n">
        <f aca="false">'Tuyến XD4'!C26</f>
        <v>46275</v>
      </c>
      <c r="D32" s="24" t="n">
        <f aca="false">'Tuyến XD4'!H26</f>
        <v>15</v>
      </c>
      <c r="E32" s="25" t="str">
        <f aca="false">'Tuyến XD4'!I26</f>
        <v>00</v>
      </c>
      <c r="F32" s="24" t="n">
        <f aca="false">'Tuyến XD4'!K26</f>
        <v>15</v>
      </c>
      <c r="G32" s="25" t="n">
        <f aca="false">'Tuyến XD4'!L26</f>
        <v>30</v>
      </c>
    </row>
    <row r="33" customFormat="false" ht="31.5" hidden="false" customHeight="true" outlineLevel="0" collapsed="false">
      <c r="A33" s="21" t="n">
        <f aca="false">'Tuyến XD4'!A27</f>
        <v>53</v>
      </c>
      <c r="B33" s="22" t="str">
        <f aca="false">'Tuyến XD4'!B27</f>
        <v>Vệ sinh, thổi bụi mặt đường </v>
      </c>
      <c r="C33" s="23" t="n">
        <f aca="false">'Tuyến XD4'!C27</f>
        <v>46277</v>
      </c>
      <c r="D33" s="24" t="n">
        <f aca="false">'Tuyến XD4'!H27</f>
        <v>16</v>
      </c>
      <c r="E33" s="25" t="str">
        <f aca="false">'Tuyến XD4'!I27</f>
        <v>00</v>
      </c>
      <c r="F33" s="24" t="n">
        <f aca="false">'Tuyến XD4'!K27</f>
        <v>16</v>
      </c>
      <c r="G33" s="25" t="n">
        <f aca="false">'Tuyến XD4'!L27</f>
        <v>30</v>
      </c>
    </row>
    <row r="34" customFormat="false" ht="31.5" hidden="false" customHeight="true" outlineLevel="0" collapsed="false">
      <c r="A34" s="21" t="n">
        <f aca="false">'Tuyến XD4'!A28</f>
        <v>54</v>
      </c>
      <c r="B34" s="22" t="str">
        <f aca="false">'Tuyến XD4'!B28</f>
        <v>Tưới lớp thấm bám mặt đường, nhựa MC70, lượng nhựa 1kg/m2</v>
      </c>
      <c r="C34" s="23" t="n">
        <f aca="false">'Tuyến XD4'!C28</f>
        <v>46279</v>
      </c>
      <c r="D34" s="24" t="n">
        <f aca="false">'Tuyến XD4'!H28</f>
        <v>16</v>
      </c>
      <c r="E34" s="25" t="str">
        <f aca="false">'Tuyến XD4'!I28</f>
        <v>00</v>
      </c>
      <c r="F34" s="24" t="n">
        <f aca="false">'Tuyến XD4'!K28</f>
        <v>16</v>
      </c>
      <c r="G34" s="25" t="n">
        <f aca="false">'Tuyến XD4'!L28</f>
        <v>30</v>
      </c>
    </row>
    <row r="35" customFormat="false" ht="31.5" hidden="false" customHeight="true" outlineLevel="0" collapsed="false">
      <c r="A35" s="27" t="n">
        <f aca="false">'Tuyến XD4'!A29</f>
        <v>55</v>
      </c>
      <c r="B35" s="28" t="str">
        <f aca="false">'Tuyến XD4'!B29</f>
        <v>Rải thảm mặt đường bê tông nhựa C16 - Chiều dày mặt đường đã lèn ép 6cm</v>
      </c>
      <c r="C35" s="29" t="n">
        <f aca="false">'Tuyến XD4'!C29</f>
        <v>46282</v>
      </c>
      <c r="D35" s="30" t="n">
        <f aca="false">'Tuyến XD4'!H29</f>
        <v>16</v>
      </c>
      <c r="E35" s="31" t="str">
        <f aca="false">'Tuyến XD4'!I29</f>
        <v>00</v>
      </c>
      <c r="F35" s="30" t="n">
        <f aca="false">'Tuyến XD4'!K29</f>
        <v>16</v>
      </c>
      <c r="G35" s="31" t="n">
        <f aca="false">'Tuyến XD4'!L29</f>
        <v>30</v>
      </c>
    </row>
    <row r="36" customFormat="false" ht="31.5" hidden="false" customHeight="true" outlineLevel="0" collapsed="false">
      <c r="A36" s="21" t="n">
        <f aca="false">'Tuyến XD4'!A30</f>
        <v>56</v>
      </c>
      <c r="B36" s="22" t="str">
        <f aca="false">'Tuyến XD4'!B30</f>
        <v>Bê tông nhựa C16 - Chiều dày mặt đường đã lèn ép 6cm</v>
      </c>
      <c r="C36" s="23" t="n">
        <f aca="false">'Tuyến XD4'!C30</f>
        <v>46284</v>
      </c>
      <c r="D36" s="24" t="n">
        <f aca="false">'Tuyến XD4'!H30</f>
        <v>16</v>
      </c>
      <c r="E36" s="25" t="str">
        <f aca="false">'Tuyến XD4'!I30</f>
        <v>00</v>
      </c>
      <c r="F36" s="24" t="n">
        <f aca="false">'Tuyến XD4'!K30</f>
        <v>16</v>
      </c>
      <c r="G36" s="25" t="n">
        <f aca="false">'Tuyến XD4'!L30</f>
        <v>30</v>
      </c>
    </row>
    <row r="37" customFormat="false" ht="31.5" hidden="false" customHeight="true" outlineLevel="0" collapsed="false">
      <c r="A37" s="21"/>
      <c r="B37" s="22"/>
      <c r="C37" s="23"/>
      <c r="D37" s="24"/>
      <c r="E37" s="25"/>
      <c r="F37" s="24"/>
      <c r="G37" s="25"/>
    </row>
  </sheetData>
  <mergeCells count="5">
    <mergeCell ref="A1:G1"/>
    <mergeCell ref="A2:G2"/>
    <mergeCell ref="A3:G3"/>
    <mergeCell ref="D7:E7"/>
    <mergeCell ref="F7:G7"/>
  </mergeCells>
  <printOptions headings="false" gridLines="false" gridLinesSet="true" horizontalCentered="true" verticalCentered="false"/>
  <pageMargins left="0.39375" right="0.0395833333333333" top="0.708333333333333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35" colorId="64" zoomScale="70" zoomScaleNormal="70" zoomScalePageLayoutView="100" workbookViewId="0">
      <selection pane="topLeft" activeCell="C45" activeCellId="0" sqref="C4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41"/>
    <col collapsed="false" customWidth="true" hidden="false" outlineLevel="0" max="3" min="3" style="1" width="18"/>
    <col collapsed="false" customWidth="true" hidden="false" outlineLevel="0" max="4" min="4" style="1" width="28.42"/>
    <col collapsed="false" customWidth="true" hidden="false" outlineLevel="0" max="5" min="5" style="1" width="14.42"/>
    <col collapsed="false" customWidth="true" hidden="false" outlineLevel="0" max="6" min="6" style="1" width="16.57"/>
    <col collapsed="false" customWidth="true" hidden="false" outlineLevel="0" max="7" min="7" style="1" width="21.29"/>
    <col collapsed="false" customWidth="true" hidden="false" outlineLevel="0" max="8" min="8" style="32" width="11.57"/>
    <col collapsed="false" customWidth="true" hidden="false" outlineLevel="0" max="9" min="9" style="32" width="9.42"/>
    <col collapsed="false" customWidth="true" hidden="false" outlineLevel="0" max="10" min="10" style="1" width="41.15"/>
    <col collapsed="false" customWidth="true" hidden="false" outlineLevel="0" max="11" min="11" style="1" width="12.29"/>
    <col collapsed="false" customWidth="true" hidden="false" outlineLevel="0" max="12" min="12" style="1" width="10.29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6.14"/>
    <col collapsed="false" customWidth="true" hidden="false" outlineLevel="0" max="16" min="16" style="1" width="20.14"/>
    <col collapsed="false" customWidth="true" hidden="false" outlineLevel="0" max="17" min="17" style="1" width="18.42"/>
    <col collapsed="false" customWidth="true" hidden="false" outlineLevel="0" max="18" min="18" style="1" width="21.43"/>
    <col collapsed="false" customWidth="true" hidden="false" outlineLevel="0" max="19" min="19" style="1" width="29.14"/>
    <col collapsed="false" customWidth="true" hidden="false" outlineLevel="0" max="20" min="20" style="1" width="10.42"/>
    <col collapsed="false" customWidth="false" hidden="false" outlineLevel="0" max="16384" min="21" style="1" width="9.14"/>
  </cols>
  <sheetData>
    <row r="1" customFormat="false" ht="33" hidden="false" customHeight="true" outlineLevel="0" collapsed="false">
      <c r="A1" s="33" t="s">
        <v>5</v>
      </c>
      <c r="B1" s="33" t="s">
        <v>6</v>
      </c>
      <c r="C1" s="33" t="s">
        <v>7</v>
      </c>
      <c r="D1" s="33" t="s">
        <v>10</v>
      </c>
      <c r="E1" s="8" t="s">
        <v>11</v>
      </c>
      <c r="F1" s="8" t="s">
        <v>12</v>
      </c>
      <c r="G1" s="8" t="s">
        <v>13</v>
      </c>
      <c r="H1" s="34" t="s">
        <v>14</v>
      </c>
      <c r="I1" s="34" t="s">
        <v>15</v>
      </c>
      <c r="J1" s="33" t="s">
        <v>16</v>
      </c>
      <c r="K1" s="34" t="s">
        <v>17</v>
      </c>
      <c r="L1" s="34" t="s">
        <v>18</v>
      </c>
      <c r="M1" s="33" t="s">
        <v>19</v>
      </c>
      <c r="N1" s="33" t="s">
        <v>20</v>
      </c>
      <c r="O1" s="33" t="s">
        <v>21</v>
      </c>
      <c r="P1" s="33" t="s">
        <v>22</v>
      </c>
      <c r="Q1" s="33" t="s">
        <v>23</v>
      </c>
      <c r="R1" s="35" t="s">
        <v>24</v>
      </c>
      <c r="S1" s="35" t="s">
        <v>25</v>
      </c>
    </row>
    <row r="2" customFormat="false" ht="16.5" hidden="false" customHeight="true" outlineLevel="0" collapsed="false">
      <c r="A2" s="36"/>
      <c r="B2" s="37"/>
      <c r="C2" s="38"/>
      <c r="D2" s="39"/>
      <c r="E2" s="38"/>
      <c r="F2" s="40"/>
      <c r="G2" s="41"/>
      <c r="H2" s="42"/>
      <c r="I2" s="43"/>
      <c r="M2" s="38"/>
      <c r="N2" s="38"/>
      <c r="O2" s="38"/>
    </row>
    <row r="3" customFormat="false" ht="49.5" hidden="false" customHeight="true" outlineLevel="0" collapsed="false">
      <c r="A3" s="36" t="n">
        <v>29</v>
      </c>
      <c r="B3" s="37" t="s">
        <v>26</v>
      </c>
      <c r="C3" s="44" t="n">
        <v>46263</v>
      </c>
      <c r="D3" s="39" t="str">
        <f aca="false">CONCATENATE("ngày ",TEXT(C3,"dd")," tháng ",TEXT(C3,"mm")," năm ",TEXT(C3,"yyyy"))</f>
        <v>ngày 29 tháng 08 năm 2026</v>
      </c>
      <c r="E3" s="38" t="s">
        <v>27</v>
      </c>
      <c r="F3" s="40" t="str">
        <f aca="false">TEXT(A3,"00") &amp; ".NĐ/YCNT"</f>
        <v>29.NĐ/YCNT</v>
      </c>
      <c r="G3" s="41" t="str">
        <f aca="false">TEXT(A3,"00") &amp; ".NĐXD4/CVXD "</f>
        <v>29.NĐXD4/CVXD </v>
      </c>
      <c r="H3" s="42" t="n">
        <v>9</v>
      </c>
      <c r="I3" s="45" t="s">
        <v>28</v>
      </c>
      <c r="J3" s="37"/>
      <c r="K3" s="42" t="n">
        <f aca="false">+H3</f>
        <v>9</v>
      </c>
      <c r="L3" s="45" t="n">
        <v>30</v>
      </c>
      <c r="M3" s="39" t="str">
        <f aca="false">CONCATENATE(TEXT(C3,"dd"))</f>
        <v>29</v>
      </c>
      <c r="N3" s="39" t="str">
        <f aca="false">CONCATENATE(TEXT(C3,"mm"))</f>
        <v>08</v>
      </c>
      <c r="O3" s="39" t="str">
        <f aca="false">CONCATENATE(TEXT(C3,"yyyy"))</f>
        <v>2026</v>
      </c>
      <c r="P3" s="46" t="s">
        <v>29</v>
      </c>
      <c r="Q3" s="46" t="s">
        <v>30</v>
      </c>
      <c r="R3" s="47"/>
      <c r="S3" s="48"/>
    </row>
    <row r="4" customFormat="false" ht="49.5" hidden="false" customHeight="true" outlineLevel="0" collapsed="false">
      <c r="A4" s="36" t="n">
        <f aca="false">+A3+1</f>
        <v>30</v>
      </c>
      <c r="B4" s="37" t="s">
        <v>31</v>
      </c>
      <c r="C4" s="44" t="n">
        <v>46264</v>
      </c>
      <c r="D4" s="39" t="str">
        <f aca="false">CONCATENATE("ngày ",TEXT(C4,"dd")," tháng ",TEXT(C4,"mm")," năm ",TEXT(C4,"yyyy"))</f>
        <v>ngày 30 tháng 08 năm 2026</v>
      </c>
      <c r="E4" s="38" t="s">
        <v>27</v>
      </c>
      <c r="F4" s="40" t="str">
        <f aca="false">TEXT(A4,"00") &amp; ".NĐ/YCNT"</f>
        <v>30.NĐ/YCNT</v>
      </c>
      <c r="G4" s="41" t="str">
        <f aca="false">TEXT(A4,"00") &amp; ".NĐXD4/CVXD "</f>
        <v>30.NĐXD4/CVXD </v>
      </c>
      <c r="H4" s="42" t="n">
        <v>11</v>
      </c>
      <c r="I4" s="45" t="s">
        <v>28</v>
      </c>
      <c r="J4" s="37" t="s">
        <v>32</v>
      </c>
      <c r="K4" s="42" t="n">
        <f aca="false">+H4</f>
        <v>11</v>
      </c>
      <c r="L4" s="45" t="n">
        <v>30</v>
      </c>
      <c r="M4" s="39" t="str">
        <f aca="false">CONCATENATE(TEXT(C4,"dd"))</f>
        <v>30</v>
      </c>
      <c r="N4" s="39" t="str">
        <f aca="false">CONCATENATE(TEXT(C4,"mm"))</f>
        <v>08</v>
      </c>
      <c r="O4" s="39" t="str">
        <f aca="false">CONCATENATE(TEXT(C4,"yyyy"))</f>
        <v>2026</v>
      </c>
      <c r="P4" s="46" t="s">
        <v>29</v>
      </c>
      <c r="Q4" s="46" t="s">
        <v>30</v>
      </c>
      <c r="R4" s="47"/>
      <c r="S4" s="48"/>
    </row>
    <row r="5" customFormat="false" ht="49.5" hidden="false" customHeight="true" outlineLevel="0" collapsed="false">
      <c r="A5" s="36" t="n">
        <f aca="false">+A4+1</f>
        <v>31</v>
      </c>
      <c r="B5" s="37" t="s">
        <v>33</v>
      </c>
      <c r="C5" s="44" t="n">
        <v>46265</v>
      </c>
      <c r="D5" s="39" t="str">
        <f aca="false">CONCATENATE("ngày ",TEXT(C5,"dd")," tháng ",TEXT(C5,"mm")," năm ",TEXT(C5,"yyyy"))</f>
        <v>ngày 31 tháng 08 năm 2026</v>
      </c>
      <c r="E5" s="38" t="s">
        <v>27</v>
      </c>
      <c r="F5" s="40" t="str">
        <f aca="false">TEXT(A5,"00") &amp; ".NĐ/YCNT"</f>
        <v>31.NĐ/YCNT</v>
      </c>
      <c r="G5" s="41" t="str">
        <f aca="false">TEXT(A5,"00") &amp; ".NĐXD4/CVXD "</f>
        <v>31.NĐXD4/CVXD </v>
      </c>
      <c r="H5" s="42" t="n">
        <v>14</v>
      </c>
      <c r="I5" s="45" t="s">
        <v>28</v>
      </c>
      <c r="J5" s="37" t="s">
        <v>34</v>
      </c>
      <c r="K5" s="42" t="n">
        <f aca="false">+H5</f>
        <v>14</v>
      </c>
      <c r="L5" s="45" t="n">
        <v>30</v>
      </c>
      <c r="M5" s="39" t="str">
        <f aca="false">CONCATENATE(TEXT(C5,"dd"))</f>
        <v>31</v>
      </c>
      <c r="N5" s="39" t="str">
        <f aca="false">CONCATENATE(TEXT(C5,"mm"))</f>
        <v>08</v>
      </c>
      <c r="O5" s="39" t="str">
        <f aca="false">CONCATENATE(TEXT(C5,"yyyy"))</f>
        <v>2026</v>
      </c>
      <c r="P5" s="46" t="s">
        <v>29</v>
      </c>
      <c r="Q5" s="46" t="s">
        <v>30</v>
      </c>
      <c r="R5" s="47"/>
      <c r="S5" s="48"/>
    </row>
    <row r="6" customFormat="false" ht="49.5" hidden="false" customHeight="true" outlineLevel="0" collapsed="false">
      <c r="A6" s="36" t="n">
        <f aca="false">+A5+1</f>
        <v>32</v>
      </c>
      <c r="B6" s="37" t="s">
        <v>35</v>
      </c>
      <c r="C6" s="44" t="n">
        <v>46265</v>
      </c>
      <c r="D6" s="39" t="str">
        <f aca="false">CONCATENATE("ngày ",TEXT(C6,"dd")," tháng ",TEXT(C6,"mm")," năm ",TEXT(C6,"yyyy"))</f>
        <v>ngày 31 tháng 08 năm 2026</v>
      </c>
      <c r="E6" s="38" t="s">
        <v>27</v>
      </c>
      <c r="F6" s="40" t="str">
        <f aca="false">TEXT(A6,"00") &amp; ".NĐ/YCNT"</f>
        <v>32.NĐ/YCNT</v>
      </c>
      <c r="G6" s="41" t="str">
        <f aca="false">TEXT(A6,"00") &amp; ".NĐXD4/CVXD "</f>
        <v>32.NĐXD4/CVXD </v>
      </c>
      <c r="H6" s="42" t="n">
        <v>17</v>
      </c>
      <c r="I6" s="45" t="s">
        <v>28</v>
      </c>
      <c r="J6" s="37" t="s">
        <v>32</v>
      </c>
      <c r="K6" s="42" t="n">
        <f aca="false">+H6</f>
        <v>17</v>
      </c>
      <c r="L6" s="45" t="n">
        <v>30</v>
      </c>
      <c r="M6" s="39" t="str">
        <f aca="false">CONCATENATE(TEXT(C6,"dd"))</f>
        <v>31</v>
      </c>
      <c r="N6" s="39" t="str">
        <f aca="false">CONCATENATE(TEXT(C6,"mm"))</f>
        <v>08</v>
      </c>
      <c r="O6" s="39" t="str">
        <f aca="false">CONCATENATE(TEXT(C6,"yyyy"))</f>
        <v>2026</v>
      </c>
      <c r="P6" s="46" t="s">
        <v>29</v>
      </c>
      <c r="Q6" s="46" t="s">
        <v>30</v>
      </c>
      <c r="R6" s="47"/>
      <c r="S6" s="48"/>
    </row>
    <row r="7" customFormat="false" ht="49.5" hidden="false" customHeight="true" outlineLevel="0" collapsed="false">
      <c r="A7" s="36" t="n">
        <f aca="false">+A6+1</f>
        <v>33</v>
      </c>
      <c r="B7" s="37" t="s">
        <v>36</v>
      </c>
      <c r="C7" s="44" t="n">
        <v>46268</v>
      </c>
      <c r="D7" s="39" t="str">
        <f aca="false">CONCATENATE("ngày ",TEXT(C7,"dd")," tháng ",TEXT(C7,"mm")," năm ",TEXT(C7,"yyyy"))</f>
        <v>ngày 03 tháng 09 năm 2026</v>
      </c>
      <c r="E7" s="38" t="s">
        <v>27</v>
      </c>
      <c r="F7" s="40" t="str">
        <f aca="false">TEXT(A7,"00") &amp; ".NĐ/YCNT"</f>
        <v>33.NĐ/YCNT</v>
      </c>
      <c r="G7" s="41" t="str">
        <f aca="false">TEXT(A7,"00") &amp; ".NĐXD4/CVXD "</f>
        <v>33.NĐXD4/CVXD </v>
      </c>
      <c r="H7" s="42" t="n">
        <v>9</v>
      </c>
      <c r="I7" s="45" t="s">
        <v>28</v>
      </c>
      <c r="J7" s="37" t="s">
        <v>32</v>
      </c>
      <c r="K7" s="42" t="n">
        <f aca="false">+H7</f>
        <v>9</v>
      </c>
      <c r="L7" s="45" t="n">
        <v>30</v>
      </c>
      <c r="M7" s="39" t="str">
        <f aca="false">CONCATENATE(TEXT(C7,"dd"))</f>
        <v>03</v>
      </c>
      <c r="N7" s="39" t="str">
        <f aca="false">CONCATENATE(TEXT(C7,"mm"))</f>
        <v>09</v>
      </c>
      <c r="O7" s="39" t="str">
        <f aca="false">CONCATENATE(TEXT(C7,"yyyy"))</f>
        <v>2026</v>
      </c>
      <c r="P7" s="46" t="s">
        <v>29</v>
      </c>
      <c r="Q7" s="46" t="s">
        <v>30</v>
      </c>
      <c r="R7" s="47"/>
      <c r="S7" s="48"/>
    </row>
    <row r="8" customFormat="false" ht="49.5" hidden="false" customHeight="true" outlineLevel="0" collapsed="false">
      <c r="A8" s="36" t="n">
        <f aca="false">+A7+1</f>
        <v>34</v>
      </c>
      <c r="B8" s="37" t="s">
        <v>37</v>
      </c>
      <c r="C8" s="44" t="n">
        <v>46268</v>
      </c>
      <c r="D8" s="39" t="str">
        <f aca="false">CONCATENATE("ngày ",TEXT(C8,"dd")," tháng ",TEXT(C8,"mm")," năm ",TEXT(C8,"yyyy"))</f>
        <v>ngày 03 tháng 09 năm 2026</v>
      </c>
      <c r="E8" s="38" t="s">
        <v>27</v>
      </c>
      <c r="F8" s="40" t="str">
        <f aca="false">TEXT(A8,"00") &amp; ".NĐ/YCNT"</f>
        <v>34.NĐ/YCNT</v>
      </c>
      <c r="G8" s="41" t="str">
        <f aca="false">TEXT(A8,"00") &amp; ".NĐXD4/CVXD "</f>
        <v>34.NĐXD4/CVXD </v>
      </c>
      <c r="H8" s="42" t="n">
        <v>15</v>
      </c>
      <c r="I8" s="45" t="s">
        <v>28</v>
      </c>
      <c r="J8" s="37" t="s">
        <v>32</v>
      </c>
      <c r="K8" s="42" t="n">
        <f aca="false">+H8</f>
        <v>15</v>
      </c>
      <c r="L8" s="45" t="n">
        <v>30</v>
      </c>
      <c r="M8" s="39" t="str">
        <f aca="false">CONCATENATE(TEXT(C8,"dd"))</f>
        <v>03</v>
      </c>
      <c r="N8" s="39" t="str">
        <f aca="false">CONCATENATE(TEXT(C8,"mm"))</f>
        <v>09</v>
      </c>
      <c r="O8" s="39" t="str">
        <f aca="false">CONCATENATE(TEXT(C8,"yyyy"))</f>
        <v>2026</v>
      </c>
      <c r="P8" s="46" t="s">
        <v>29</v>
      </c>
      <c r="Q8" s="46" t="s">
        <v>30</v>
      </c>
      <c r="R8" s="47"/>
      <c r="S8" s="48"/>
    </row>
    <row r="9" customFormat="false" ht="49.5" hidden="false" customHeight="true" outlineLevel="0" collapsed="false">
      <c r="A9" s="36" t="n">
        <f aca="false">+A8+1</f>
        <v>35</v>
      </c>
      <c r="B9" s="37" t="s">
        <v>38</v>
      </c>
      <c r="C9" s="44" t="n">
        <v>46268</v>
      </c>
      <c r="D9" s="39" t="str">
        <f aca="false">CONCATENATE("ngày ",TEXT(C9,"dd")," tháng ",TEXT(C9,"mm")," năm ",TEXT(C9,"yyyy"))</f>
        <v>ngày 03 tháng 09 năm 2026</v>
      </c>
      <c r="E9" s="38" t="s">
        <v>27</v>
      </c>
      <c r="F9" s="40" t="str">
        <f aca="false">TEXT(A9,"00") &amp; ".NĐ/YCNT"</f>
        <v>35.NĐ/YCNT</v>
      </c>
      <c r="G9" s="41" t="str">
        <f aca="false">TEXT(A9,"00") &amp; ".NĐXD4/CVXD "</f>
        <v>35.NĐXD4/CVXD </v>
      </c>
      <c r="H9" s="42" t="n">
        <v>9</v>
      </c>
      <c r="I9" s="45" t="s">
        <v>28</v>
      </c>
      <c r="J9" s="37" t="s">
        <v>32</v>
      </c>
      <c r="K9" s="42" t="n">
        <f aca="false">+H9</f>
        <v>9</v>
      </c>
      <c r="L9" s="45" t="n">
        <v>30</v>
      </c>
      <c r="M9" s="39" t="str">
        <f aca="false">CONCATENATE(TEXT(C9,"dd"))</f>
        <v>03</v>
      </c>
      <c r="N9" s="39" t="str">
        <f aca="false">CONCATENATE(TEXT(C9,"mm"))</f>
        <v>09</v>
      </c>
      <c r="O9" s="39" t="str">
        <f aca="false">CONCATENATE(TEXT(C9,"yyyy"))</f>
        <v>2026</v>
      </c>
      <c r="P9" s="46" t="s">
        <v>29</v>
      </c>
      <c r="Q9" s="46" t="s">
        <v>30</v>
      </c>
      <c r="R9" s="47"/>
      <c r="S9" s="48"/>
    </row>
    <row r="10" customFormat="false" ht="49.5" hidden="false" customHeight="true" outlineLevel="0" collapsed="false">
      <c r="A10" s="36" t="n">
        <f aca="false">+A9+1</f>
        <v>36</v>
      </c>
      <c r="B10" s="37" t="s">
        <v>39</v>
      </c>
      <c r="C10" s="44" t="n">
        <v>46268</v>
      </c>
      <c r="D10" s="39" t="str">
        <f aca="false">CONCATENATE("ngày ",TEXT(C10,"dd")," tháng ",TEXT(C10,"mm")," năm ",TEXT(C10,"yyyy"))</f>
        <v>ngày 03 tháng 09 năm 2026</v>
      </c>
      <c r="E10" s="38" t="s">
        <v>27</v>
      </c>
      <c r="F10" s="40" t="str">
        <f aca="false">TEXT(A10,"00") &amp; ".NĐ/YCNT"</f>
        <v>36.NĐ/YCNT</v>
      </c>
      <c r="G10" s="41" t="str">
        <f aca="false">TEXT(A10,"00") &amp; ".NĐXD4/CVXD "</f>
        <v>36.NĐXD4/CVXD </v>
      </c>
      <c r="H10" s="42" t="n">
        <v>15</v>
      </c>
      <c r="I10" s="45" t="s">
        <v>28</v>
      </c>
      <c r="J10" s="37" t="s">
        <v>32</v>
      </c>
      <c r="K10" s="42" t="n">
        <f aca="false">+H10</f>
        <v>15</v>
      </c>
      <c r="L10" s="45" t="n">
        <v>30</v>
      </c>
      <c r="M10" s="39" t="str">
        <f aca="false">CONCATENATE(TEXT(C10,"dd"))</f>
        <v>03</v>
      </c>
      <c r="N10" s="39" t="str">
        <f aca="false">CONCATENATE(TEXT(C10,"mm"))</f>
        <v>09</v>
      </c>
      <c r="O10" s="39" t="str">
        <f aca="false">CONCATENATE(TEXT(C10,"yyyy"))</f>
        <v>2026</v>
      </c>
      <c r="P10" s="46" t="s">
        <v>29</v>
      </c>
      <c r="Q10" s="46" t="s">
        <v>30</v>
      </c>
      <c r="R10" s="47"/>
      <c r="S10" s="48"/>
    </row>
    <row r="11" customFormat="false" ht="49.5" hidden="false" customHeight="true" outlineLevel="0" collapsed="false">
      <c r="A11" s="36" t="n">
        <f aca="false">+A10+1</f>
        <v>37</v>
      </c>
      <c r="B11" s="37" t="s">
        <v>40</v>
      </c>
      <c r="C11" s="44" t="n">
        <v>46268</v>
      </c>
      <c r="D11" s="39" t="str">
        <f aca="false">CONCATENATE("ngày ",TEXT(C11,"dd")," tháng ",TEXT(C11,"mm")," năm ",TEXT(C11,"yyyy"))</f>
        <v>ngày 03 tháng 09 năm 2026</v>
      </c>
      <c r="E11" s="38" t="s">
        <v>27</v>
      </c>
      <c r="F11" s="40" t="str">
        <f aca="false">TEXT(A11,"00") &amp; ".NĐ/YCNT"</f>
        <v>37.NĐ/YCNT</v>
      </c>
      <c r="G11" s="41" t="str">
        <f aca="false">TEXT(A11,"00") &amp; ".NĐXD4/CVXD "</f>
        <v>37.NĐXD4/CVXD </v>
      </c>
      <c r="H11" s="42" t="n">
        <v>9</v>
      </c>
      <c r="I11" s="45" t="s">
        <v>28</v>
      </c>
      <c r="J11" s="37" t="s">
        <v>32</v>
      </c>
      <c r="K11" s="42" t="n">
        <f aca="false">+H11</f>
        <v>9</v>
      </c>
      <c r="L11" s="45" t="n">
        <v>30</v>
      </c>
      <c r="M11" s="39" t="str">
        <f aca="false">CONCATENATE(TEXT(C11,"dd"))</f>
        <v>03</v>
      </c>
      <c r="N11" s="39" t="str">
        <f aca="false">CONCATENATE(TEXT(C11,"mm"))</f>
        <v>09</v>
      </c>
      <c r="O11" s="39" t="str">
        <f aca="false">CONCATENATE(TEXT(C11,"yyyy"))</f>
        <v>2026</v>
      </c>
      <c r="P11" s="46" t="s">
        <v>29</v>
      </c>
      <c r="Q11" s="46" t="s">
        <v>30</v>
      </c>
      <c r="R11" s="47"/>
      <c r="S11" s="48"/>
    </row>
    <row r="12" customFormat="false" ht="49.5" hidden="false" customHeight="true" outlineLevel="0" collapsed="false">
      <c r="A12" s="36" t="n">
        <f aca="false">+A11+1</f>
        <v>38</v>
      </c>
      <c r="B12" s="37" t="s">
        <v>41</v>
      </c>
      <c r="C12" s="44" t="n">
        <v>46268</v>
      </c>
      <c r="D12" s="39" t="str">
        <f aca="false">CONCATENATE("ngày ",TEXT(C12,"dd")," tháng ",TEXT(C12,"mm")," năm ",TEXT(C12,"yyyy"))</f>
        <v>ngày 03 tháng 09 năm 2026</v>
      </c>
      <c r="E12" s="38" t="s">
        <v>27</v>
      </c>
      <c r="F12" s="40" t="str">
        <f aca="false">TEXT(A12,"00") &amp; ".NĐ/YCNT"</f>
        <v>38.NĐ/YCNT</v>
      </c>
      <c r="G12" s="41" t="str">
        <f aca="false">TEXT(A12,"00") &amp; ".NĐXD4/CVXD "</f>
        <v>38.NĐXD4/CVXD </v>
      </c>
      <c r="H12" s="42" t="n">
        <v>15</v>
      </c>
      <c r="I12" s="45" t="s">
        <v>28</v>
      </c>
      <c r="J12" s="37" t="s">
        <v>32</v>
      </c>
      <c r="K12" s="42" t="n">
        <f aca="false">+H12</f>
        <v>15</v>
      </c>
      <c r="L12" s="45" t="n">
        <v>30</v>
      </c>
      <c r="M12" s="39" t="str">
        <f aca="false">CONCATENATE(TEXT(C12,"dd"))</f>
        <v>03</v>
      </c>
      <c r="N12" s="39" t="str">
        <f aca="false">CONCATENATE(TEXT(C12,"mm"))</f>
        <v>09</v>
      </c>
      <c r="O12" s="39" t="str">
        <f aca="false">CONCATENATE(TEXT(C12,"yyyy"))</f>
        <v>2026</v>
      </c>
      <c r="P12" s="46" t="s">
        <v>29</v>
      </c>
      <c r="Q12" s="46" t="s">
        <v>30</v>
      </c>
      <c r="R12" s="47"/>
      <c r="S12" s="48"/>
    </row>
    <row r="13" customFormat="false" ht="49.5" hidden="false" customHeight="true" outlineLevel="0" collapsed="false">
      <c r="A13" s="36" t="n">
        <f aca="false">+A12+1</f>
        <v>39</v>
      </c>
      <c r="B13" s="37" t="s">
        <v>42</v>
      </c>
      <c r="C13" s="44" t="n">
        <v>46269</v>
      </c>
      <c r="D13" s="39" t="str">
        <f aca="false">CONCATENATE("ngày ",TEXT(C13,"dd")," tháng ",TEXT(C13,"mm")," năm ",TEXT(C13,"yyyy"))</f>
        <v>ngày 04 tháng 09 năm 2026</v>
      </c>
      <c r="E13" s="38" t="s">
        <v>27</v>
      </c>
      <c r="F13" s="40" t="str">
        <f aca="false">TEXT(A13,"00") &amp; ".NĐ/YCNT"</f>
        <v>39.NĐ/YCNT</v>
      </c>
      <c r="G13" s="41" t="str">
        <f aca="false">TEXT(A13,"00") &amp; ".NĐXD4/CVXD "</f>
        <v>39.NĐXD4/CVXD </v>
      </c>
      <c r="H13" s="42" t="n">
        <v>9</v>
      </c>
      <c r="I13" s="45" t="s">
        <v>28</v>
      </c>
      <c r="J13" s="37" t="s">
        <v>32</v>
      </c>
      <c r="K13" s="42" t="n">
        <f aca="false">+H13</f>
        <v>9</v>
      </c>
      <c r="L13" s="45" t="n">
        <v>30</v>
      </c>
      <c r="M13" s="39" t="str">
        <f aca="false">CONCATENATE(TEXT(C13,"dd"))</f>
        <v>04</v>
      </c>
      <c r="N13" s="39" t="str">
        <f aca="false">CONCATENATE(TEXT(C13,"mm"))</f>
        <v>09</v>
      </c>
      <c r="O13" s="39" t="str">
        <f aca="false">CONCATENATE(TEXT(C13,"yyyy"))</f>
        <v>2026</v>
      </c>
      <c r="P13" s="46" t="s">
        <v>29</v>
      </c>
      <c r="Q13" s="46" t="s">
        <v>30</v>
      </c>
      <c r="R13" s="47"/>
      <c r="S13" s="48"/>
    </row>
    <row r="14" customFormat="false" ht="49.5" hidden="false" customHeight="true" outlineLevel="0" collapsed="false">
      <c r="A14" s="36" t="n">
        <f aca="false">+A13+1</f>
        <v>40</v>
      </c>
      <c r="B14" s="37" t="s">
        <v>43</v>
      </c>
      <c r="C14" s="44" t="n">
        <v>46269</v>
      </c>
      <c r="D14" s="39" t="str">
        <f aca="false">CONCATENATE("ngày ",TEXT(C14,"dd")," tháng ",TEXT(C14,"mm")," năm ",TEXT(C14,"yyyy"))</f>
        <v>ngày 04 tháng 09 năm 2026</v>
      </c>
      <c r="E14" s="38" t="s">
        <v>27</v>
      </c>
      <c r="F14" s="40" t="str">
        <f aca="false">TEXT(A14,"00") &amp; ".NĐ/YCNT"</f>
        <v>40.NĐ/YCNT</v>
      </c>
      <c r="G14" s="41" t="str">
        <f aca="false">TEXT(A14,"00") &amp; ".NĐXD4/CVXD "</f>
        <v>40.NĐXD4/CVXD </v>
      </c>
      <c r="H14" s="42" t="n">
        <v>15</v>
      </c>
      <c r="I14" s="45" t="s">
        <v>28</v>
      </c>
      <c r="J14" s="37" t="s">
        <v>32</v>
      </c>
      <c r="K14" s="42" t="n">
        <f aca="false">+H14</f>
        <v>15</v>
      </c>
      <c r="L14" s="45" t="n">
        <v>30</v>
      </c>
      <c r="M14" s="39" t="str">
        <f aca="false">CONCATENATE(TEXT(C14,"dd"))</f>
        <v>04</v>
      </c>
      <c r="N14" s="39" t="str">
        <f aca="false">CONCATENATE(TEXT(C14,"mm"))</f>
        <v>09</v>
      </c>
      <c r="O14" s="39" t="str">
        <f aca="false">CONCATENATE(TEXT(C14,"yyyy"))</f>
        <v>2026</v>
      </c>
      <c r="P14" s="46" t="s">
        <v>29</v>
      </c>
      <c r="Q14" s="46" t="s">
        <v>30</v>
      </c>
      <c r="R14" s="47"/>
      <c r="S14" s="48"/>
    </row>
    <row r="15" customFormat="false" ht="49.5" hidden="false" customHeight="true" outlineLevel="0" collapsed="false">
      <c r="A15" s="36" t="n">
        <f aca="false">+A14+1</f>
        <v>41</v>
      </c>
      <c r="B15" s="37" t="s">
        <v>44</v>
      </c>
      <c r="C15" s="44" t="n">
        <v>46270</v>
      </c>
      <c r="D15" s="39" t="str">
        <f aca="false">CONCATENATE("ngày ",TEXT(C15,"dd")," tháng ",TEXT(C15,"mm")," năm ",TEXT(C15,"yyyy"))</f>
        <v>ngày 05 tháng 09 năm 2026</v>
      </c>
      <c r="E15" s="38" t="s">
        <v>27</v>
      </c>
      <c r="F15" s="40" t="str">
        <f aca="false">TEXT(A15,"00") &amp; ".NĐ/YCNT"</f>
        <v>41.NĐ/YCNT</v>
      </c>
      <c r="G15" s="41" t="str">
        <f aca="false">TEXT(A15,"00") &amp; ".NĐXD4/CVXD "</f>
        <v>41.NĐXD4/CVXD </v>
      </c>
      <c r="H15" s="42" t="n">
        <v>9</v>
      </c>
      <c r="I15" s="45" t="s">
        <v>28</v>
      </c>
      <c r="J15" s="37" t="s">
        <v>32</v>
      </c>
      <c r="K15" s="42" t="n">
        <f aca="false">+H15</f>
        <v>9</v>
      </c>
      <c r="L15" s="45" t="n">
        <v>30</v>
      </c>
      <c r="M15" s="39" t="str">
        <f aca="false">CONCATENATE(TEXT(C15,"dd"))</f>
        <v>05</v>
      </c>
      <c r="N15" s="39" t="str">
        <f aca="false">CONCATENATE(TEXT(C15,"mm"))</f>
        <v>09</v>
      </c>
      <c r="O15" s="39" t="str">
        <f aca="false">CONCATENATE(TEXT(C15,"yyyy"))</f>
        <v>2026</v>
      </c>
      <c r="P15" s="46" t="s">
        <v>29</v>
      </c>
      <c r="Q15" s="46" t="s">
        <v>30</v>
      </c>
      <c r="R15" s="47"/>
      <c r="S15" s="48"/>
    </row>
    <row r="16" customFormat="false" ht="49.5" hidden="false" customHeight="true" outlineLevel="0" collapsed="false">
      <c r="A16" s="36" t="n">
        <f aca="false">+A15+1</f>
        <v>42</v>
      </c>
      <c r="B16" s="37" t="s">
        <v>45</v>
      </c>
      <c r="C16" s="44" t="n">
        <v>46270</v>
      </c>
      <c r="D16" s="39" t="str">
        <f aca="false">CONCATENATE("ngày ",TEXT(C16,"dd")," tháng ",TEXT(C16,"mm")," năm ",TEXT(C16,"yyyy"))</f>
        <v>ngày 05 tháng 09 năm 2026</v>
      </c>
      <c r="E16" s="38" t="s">
        <v>27</v>
      </c>
      <c r="F16" s="40" t="str">
        <f aca="false">TEXT(A16,"00") &amp; ".NĐ/YCNT"</f>
        <v>42.NĐ/YCNT</v>
      </c>
      <c r="G16" s="41" t="str">
        <f aca="false">TEXT(A16,"00") &amp; ".NĐXD4/CVXD "</f>
        <v>42.NĐXD4/CVXD </v>
      </c>
      <c r="H16" s="42" t="n">
        <v>15</v>
      </c>
      <c r="I16" s="45" t="s">
        <v>28</v>
      </c>
      <c r="J16" s="37" t="s">
        <v>32</v>
      </c>
      <c r="K16" s="42" t="n">
        <f aca="false">+H16</f>
        <v>15</v>
      </c>
      <c r="L16" s="45" t="n">
        <v>30</v>
      </c>
      <c r="M16" s="39" t="str">
        <f aca="false">CONCATENATE(TEXT(C16,"dd"))</f>
        <v>05</v>
      </c>
      <c r="N16" s="39" t="str">
        <f aca="false">CONCATENATE(TEXT(C16,"mm"))</f>
        <v>09</v>
      </c>
      <c r="O16" s="39" t="str">
        <f aca="false">CONCATENATE(TEXT(C16,"yyyy"))</f>
        <v>2026</v>
      </c>
      <c r="P16" s="46" t="s">
        <v>29</v>
      </c>
      <c r="Q16" s="46" t="s">
        <v>30</v>
      </c>
      <c r="R16" s="47"/>
      <c r="S16" s="48"/>
    </row>
    <row r="17" s="49" customFormat="true" ht="49.5" hidden="false" customHeight="true" outlineLevel="0" collapsed="false">
      <c r="A17" s="36" t="n">
        <f aca="false">+A16+1</f>
        <v>43</v>
      </c>
      <c r="B17" s="37" t="s">
        <v>46</v>
      </c>
      <c r="C17" s="44" t="n">
        <v>46271</v>
      </c>
      <c r="D17" s="39" t="str">
        <f aca="false">CONCATENATE("ngày ",TEXT(C17,"dd")," tháng ",TEXT(C17,"mm")," năm ",TEXT(C17,"yyyy"))</f>
        <v>ngày 06 tháng 09 năm 2026</v>
      </c>
      <c r="E17" s="38" t="s">
        <v>27</v>
      </c>
      <c r="F17" s="40" t="str">
        <f aca="false">TEXT(A17,"00") &amp; ".NĐ/YCNT"</f>
        <v>43.NĐ/YCNT</v>
      </c>
      <c r="G17" s="41" t="str">
        <f aca="false">TEXT(A17,"00") &amp; ".NĐXD4/CVXD "</f>
        <v>43.NĐXD4/CVXD </v>
      </c>
      <c r="H17" s="42" t="n">
        <v>9</v>
      </c>
      <c r="I17" s="45" t="s">
        <v>28</v>
      </c>
      <c r="J17" s="37" t="s">
        <v>32</v>
      </c>
      <c r="K17" s="42" t="n">
        <f aca="false">+H17</f>
        <v>9</v>
      </c>
      <c r="L17" s="45" t="n">
        <v>30</v>
      </c>
      <c r="M17" s="39" t="str">
        <f aca="false">CONCATENATE(TEXT(C17,"dd"))</f>
        <v>06</v>
      </c>
      <c r="N17" s="39" t="str">
        <f aca="false">CONCATENATE(TEXT(C17,"mm"))</f>
        <v>09</v>
      </c>
      <c r="O17" s="39" t="str">
        <f aca="false">CONCATENATE(TEXT(C17,"yyyy"))</f>
        <v>2026</v>
      </c>
      <c r="P17" s="46" t="s">
        <v>29</v>
      </c>
      <c r="Q17" s="46" t="s">
        <v>30</v>
      </c>
      <c r="R17" s="47"/>
      <c r="S17" s="48"/>
    </row>
    <row r="18" customFormat="false" ht="49.5" hidden="false" customHeight="true" outlineLevel="0" collapsed="false">
      <c r="A18" s="36" t="n">
        <f aca="false">+A17+1</f>
        <v>44</v>
      </c>
      <c r="B18" s="37" t="s">
        <v>47</v>
      </c>
      <c r="C18" s="44" t="n">
        <v>46271</v>
      </c>
      <c r="D18" s="39" t="str">
        <f aca="false">CONCATENATE("ngày ",TEXT(C18,"dd")," tháng ",TEXT(C18,"mm")," năm ",TEXT(C18,"yyyy"))</f>
        <v>ngày 06 tháng 09 năm 2026</v>
      </c>
      <c r="E18" s="38" t="s">
        <v>27</v>
      </c>
      <c r="F18" s="40" t="str">
        <f aca="false">TEXT(A18,"00") &amp; ".NĐ/YCNT"</f>
        <v>44.NĐ/YCNT</v>
      </c>
      <c r="G18" s="41" t="str">
        <f aca="false">TEXT(A18,"00") &amp; ".NĐXD4/CVXD "</f>
        <v>44.NĐXD4/CVXD </v>
      </c>
      <c r="H18" s="42" t="n">
        <v>15</v>
      </c>
      <c r="I18" s="45" t="s">
        <v>28</v>
      </c>
      <c r="J18" s="37" t="s">
        <v>32</v>
      </c>
      <c r="K18" s="42" t="n">
        <f aca="false">+H18</f>
        <v>15</v>
      </c>
      <c r="L18" s="45" t="n">
        <v>30</v>
      </c>
      <c r="M18" s="39" t="str">
        <f aca="false">CONCATENATE(TEXT(C18,"dd"))</f>
        <v>06</v>
      </c>
      <c r="N18" s="39" t="str">
        <f aca="false">CONCATENATE(TEXT(C18,"mm"))</f>
        <v>09</v>
      </c>
      <c r="O18" s="39" t="str">
        <f aca="false">CONCATENATE(TEXT(C18,"yyyy"))</f>
        <v>2026</v>
      </c>
      <c r="P18" s="46" t="s">
        <v>29</v>
      </c>
      <c r="Q18" s="46" t="s">
        <v>30</v>
      </c>
      <c r="R18" s="47"/>
      <c r="S18" s="48"/>
    </row>
    <row r="19" customFormat="false" ht="49.5" hidden="false" customHeight="true" outlineLevel="0" collapsed="false">
      <c r="A19" s="36" t="n">
        <f aca="false">+A18+1</f>
        <v>45</v>
      </c>
      <c r="B19" s="37" t="s">
        <v>48</v>
      </c>
      <c r="C19" s="44" t="n">
        <v>46272</v>
      </c>
      <c r="D19" s="39" t="str">
        <f aca="false">CONCATENATE("ngày ",TEXT(C19,"dd")," tháng ",TEXT(C19,"mm")," năm ",TEXT(C19,"yyyy"))</f>
        <v>ngày 07 tháng 09 năm 2026</v>
      </c>
      <c r="E19" s="38" t="s">
        <v>27</v>
      </c>
      <c r="F19" s="40" t="str">
        <f aca="false">TEXT(A19,"00") &amp; ".NĐ/YCNT"</f>
        <v>45.NĐ/YCNT</v>
      </c>
      <c r="G19" s="41" t="str">
        <f aca="false">TEXT(A19,"00") &amp; ".NĐXD4/CVXD "</f>
        <v>45.NĐXD4/CVXD </v>
      </c>
      <c r="H19" s="42" t="n">
        <v>9</v>
      </c>
      <c r="I19" s="45" t="s">
        <v>28</v>
      </c>
      <c r="J19" s="37" t="s">
        <v>32</v>
      </c>
      <c r="K19" s="42" t="n">
        <f aca="false">+H19</f>
        <v>9</v>
      </c>
      <c r="L19" s="45" t="n">
        <v>30</v>
      </c>
      <c r="M19" s="39" t="str">
        <f aca="false">CONCATENATE(TEXT(C19,"dd"))</f>
        <v>07</v>
      </c>
      <c r="N19" s="39" t="str">
        <f aca="false">CONCATENATE(TEXT(C19,"mm"))</f>
        <v>09</v>
      </c>
      <c r="O19" s="39" t="str">
        <f aca="false">CONCATENATE(TEXT(C19,"yyyy"))</f>
        <v>2026</v>
      </c>
      <c r="P19" s="46" t="s">
        <v>29</v>
      </c>
      <c r="Q19" s="46" t="s">
        <v>30</v>
      </c>
      <c r="R19" s="47"/>
      <c r="S19" s="48"/>
    </row>
    <row r="20" customFormat="false" ht="49.5" hidden="false" customHeight="true" outlineLevel="0" collapsed="false">
      <c r="A20" s="36" t="n">
        <f aca="false">+A19+1</f>
        <v>46</v>
      </c>
      <c r="B20" s="37" t="s">
        <v>49</v>
      </c>
      <c r="C20" s="44" t="n">
        <v>46272</v>
      </c>
      <c r="D20" s="39" t="str">
        <f aca="false">CONCATENATE("ngày ",TEXT(C20,"dd")," tháng ",TEXT(C20,"mm")," năm ",TEXT(C20,"yyyy"))</f>
        <v>ngày 07 tháng 09 năm 2026</v>
      </c>
      <c r="E20" s="38" t="s">
        <v>27</v>
      </c>
      <c r="F20" s="40" t="str">
        <f aca="false">TEXT(A20,"00") &amp; ".NĐ/YCNT"</f>
        <v>46.NĐ/YCNT</v>
      </c>
      <c r="G20" s="41" t="str">
        <f aca="false">TEXT(A20,"00") &amp; ".NĐXD4/CVXD "</f>
        <v>46.NĐXD4/CVXD </v>
      </c>
      <c r="H20" s="42" t="n">
        <v>15</v>
      </c>
      <c r="I20" s="45" t="s">
        <v>28</v>
      </c>
      <c r="J20" s="37" t="s">
        <v>32</v>
      </c>
      <c r="K20" s="42" t="n">
        <f aca="false">+H20</f>
        <v>15</v>
      </c>
      <c r="L20" s="45" t="n">
        <v>30</v>
      </c>
      <c r="M20" s="39" t="str">
        <f aca="false">CONCATENATE(TEXT(C20,"dd"))</f>
        <v>07</v>
      </c>
      <c r="N20" s="39" t="str">
        <f aca="false">CONCATENATE(TEXT(C20,"mm"))</f>
        <v>09</v>
      </c>
      <c r="O20" s="39" t="str">
        <f aca="false">CONCATENATE(TEXT(C20,"yyyy"))</f>
        <v>2026</v>
      </c>
      <c r="P20" s="46" t="s">
        <v>29</v>
      </c>
      <c r="Q20" s="46" t="s">
        <v>30</v>
      </c>
      <c r="R20" s="47"/>
      <c r="S20" s="48"/>
    </row>
    <row r="21" customFormat="false" ht="49.5" hidden="false" customHeight="true" outlineLevel="0" collapsed="false">
      <c r="A21" s="36" t="n">
        <f aca="false">+A20+1</f>
        <v>47</v>
      </c>
      <c r="B21" s="37" t="s">
        <v>50</v>
      </c>
      <c r="C21" s="44" t="n">
        <v>46273</v>
      </c>
      <c r="D21" s="39" t="str">
        <f aca="false">CONCATENATE("ngày ",TEXT(C21,"dd")," tháng ",TEXT(C21,"mm")," năm ",TEXT(C21,"yyyy"))</f>
        <v>ngày 08 tháng 09 năm 2026</v>
      </c>
      <c r="E21" s="38" t="s">
        <v>27</v>
      </c>
      <c r="F21" s="40" t="str">
        <f aca="false">TEXT(A21,"00") &amp; ".NĐ/YCNT"</f>
        <v>47.NĐ/YCNT</v>
      </c>
      <c r="G21" s="41" t="str">
        <f aca="false">TEXT(A21,"00") &amp; ".NĐXD4/CVXD "</f>
        <v>47.NĐXD4/CVXD </v>
      </c>
      <c r="H21" s="42" t="n">
        <v>9</v>
      </c>
      <c r="I21" s="45" t="s">
        <v>28</v>
      </c>
      <c r="J21" s="37" t="s">
        <v>32</v>
      </c>
      <c r="K21" s="42" t="n">
        <f aca="false">+H21</f>
        <v>9</v>
      </c>
      <c r="L21" s="45" t="n">
        <v>30</v>
      </c>
      <c r="M21" s="39" t="str">
        <f aca="false">CONCATENATE(TEXT(C21,"dd"))</f>
        <v>08</v>
      </c>
      <c r="N21" s="39" t="str">
        <f aca="false">CONCATENATE(TEXT(C21,"mm"))</f>
        <v>09</v>
      </c>
      <c r="O21" s="39" t="str">
        <f aca="false">CONCATENATE(TEXT(C21,"yyyy"))</f>
        <v>2026</v>
      </c>
      <c r="P21" s="46" t="s">
        <v>29</v>
      </c>
      <c r="Q21" s="46" t="s">
        <v>30</v>
      </c>
      <c r="R21" s="47"/>
      <c r="S21" s="48"/>
    </row>
    <row r="22" customFormat="false" ht="49.5" hidden="false" customHeight="true" outlineLevel="0" collapsed="false">
      <c r="A22" s="36" t="n">
        <f aca="false">+A21+1</f>
        <v>48</v>
      </c>
      <c r="B22" s="37" t="s">
        <v>51</v>
      </c>
      <c r="C22" s="44" t="n">
        <v>46273</v>
      </c>
      <c r="D22" s="39" t="str">
        <f aca="false">CONCATENATE("ngày ",TEXT(C22,"dd")," tháng ",TEXT(C22,"mm")," năm ",TEXT(C22,"yyyy"))</f>
        <v>ngày 08 tháng 09 năm 2026</v>
      </c>
      <c r="E22" s="38" t="s">
        <v>27</v>
      </c>
      <c r="F22" s="40" t="str">
        <f aca="false">TEXT(A22,"00") &amp; ".NĐ/YCNT"</f>
        <v>48.NĐ/YCNT</v>
      </c>
      <c r="G22" s="41" t="str">
        <f aca="false">TEXT(A22,"00") &amp; ".NĐXD4/CVXD "</f>
        <v>48.NĐXD4/CVXD </v>
      </c>
      <c r="H22" s="42" t="n">
        <v>15</v>
      </c>
      <c r="I22" s="45" t="s">
        <v>28</v>
      </c>
      <c r="J22" s="37" t="s">
        <v>32</v>
      </c>
      <c r="K22" s="42" t="n">
        <f aca="false">+H22</f>
        <v>15</v>
      </c>
      <c r="L22" s="45" t="n">
        <v>30</v>
      </c>
      <c r="M22" s="39" t="str">
        <f aca="false">CONCATENATE(TEXT(C22,"dd"))</f>
        <v>08</v>
      </c>
      <c r="N22" s="39" t="str">
        <f aca="false">CONCATENATE(TEXT(C22,"mm"))</f>
        <v>09</v>
      </c>
      <c r="O22" s="39" t="str">
        <f aca="false">CONCATENATE(TEXT(C22,"yyyy"))</f>
        <v>2026</v>
      </c>
      <c r="P22" s="46" t="s">
        <v>29</v>
      </c>
      <c r="Q22" s="46" t="s">
        <v>30</v>
      </c>
      <c r="R22" s="47"/>
      <c r="S22" s="48"/>
    </row>
    <row r="23" customFormat="false" ht="49.5" hidden="false" customHeight="true" outlineLevel="0" collapsed="false">
      <c r="A23" s="36" t="n">
        <f aca="false">+A22+1</f>
        <v>49</v>
      </c>
      <c r="B23" s="37" t="s">
        <v>52</v>
      </c>
      <c r="C23" s="44" t="n">
        <v>46274</v>
      </c>
      <c r="D23" s="39" t="str">
        <f aca="false">CONCATENATE("ngày ",TEXT(C23,"dd")," tháng ",TEXT(C23,"mm")," năm ",TEXT(C23,"yyyy"))</f>
        <v>ngày 09 tháng 09 năm 2026</v>
      </c>
      <c r="E23" s="38" t="s">
        <v>27</v>
      </c>
      <c r="F23" s="40" t="str">
        <f aca="false">TEXT(A23,"00") &amp; ".NĐ/YCNT"</f>
        <v>49.NĐ/YCNT</v>
      </c>
      <c r="G23" s="41" t="str">
        <f aca="false">TEXT(A23,"00") &amp; ".NĐXD4/CVXD "</f>
        <v>49.NĐXD4/CVXD </v>
      </c>
      <c r="H23" s="42" t="n">
        <v>9</v>
      </c>
      <c r="I23" s="45" t="s">
        <v>28</v>
      </c>
      <c r="J23" s="37" t="s">
        <v>53</v>
      </c>
      <c r="K23" s="42" t="n">
        <f aca="false">+H23</f>
        <v>9</v>
      </c>
      <c r="L23" s="45" t="n">
        <v>30</v>
      </c>
      <c r="M23" s="39" t="str">
        <f aca="false">CONCATENATE(TEXT(C23,"dd"))</f>
        <v>09</v>
      </c>
      <c r="N23" s="39" t="str">
        <f aca="false">CONCATENATE(TEXT(C23,"mm"))</f>
        <v>09</v>
      </c>
      <c r="O23" s="39" t="str">
        <f aca="false">CONCATENATE(TEXT(C23,"yyyy"))</f>
        <v>2026</v>
      </c>
      <c r="P23" s="46" t="s">
        <v>29</v>
      </c>
      <c r="Q23" s="46" t="s">
        <v>30</v>
      </c>
      <c r="R23" s="47"/>
      <c r="S23" s="48"/>
    </row>
    <row r="24" customFormat="false" ht="49.5" hidden="false" customHeight="true" outlineLevel="0" collapsed="false">
      <c r="A24" s="36" t="n">
        <f aca="false">+A23+1</f>
        <v>50</v>
      </c>
      <c r="B24" s="37" t="s">
        <v>54</v>
      </c>
      <c r="C24" s="44" t="n">
        <v>46274</v>
      </c>
      <c r="D24" s="39" t="str">
        <f aca="false">CONCATENATE("ngày ",TEXT(C24,"dd")," tháng ",TEXT(C24,"mm")," năm ",TEXT(C24,"yyyy"))</f>
        <v>ngày 09 tháng 09 năm 2026</v>
      </c>
      <c r="E24" s="38" t="s">
        <v>27</v>
      </c>
      <c r="F24" s="40" t="str">
        <f aca="false">TEXT(A24,"00") &amp; ".NĐ/YCNT"</f>
        <v>50.NĐ/YCNT</v>
      </c>
      <c r="G24" s="41" t="str">
        <f aca="false">TEXT(A24,"00") &amp; ".NĐXD4/CVXD "</f>
        <v>50.NĐXD4/CVXD </v>
      </c>
      <c r="H24" s="42" t="n">
        <v>15</v>
      </c>
      <c r="I24" s="45" t="s">
        <v>28</v>
      </c>
      <c r="J24" s="37" t="s">
        <v>32</v>
      </c>
      <c r="K24" s="42" t="n">
        <f aca="false">+H24</f>
        <v>15</v>
      </c>
      <c r="L24" s="45" t="n">
        <v>30</v>
      </c>
      <c r="M24" s="39" t="str">
        <f aca="false">CONCATENATE(TEXT(C24,"dd"))</f>
        <v>09</v>
      </c>
      <c r="N24" s="39" t="str">
        <f aca="false">CONCATENATE(TEXT(C24,"mm"))</f>
        <v>09</v>
      </c>
      <c r="O24" s="39" t="str">
        <f aca="false">CONCATENATE(TEXT(C24,"yyyy"))</f>
        <v>2026</v>
      </c>
      <c r="P24" s="46" t="s">
        <v>29</v>
      </c>
      <c r="Q24" s="46" t="s">
        <v>30</v>
      </c>
      <c r="R24" s="47"/>
      <c r="S24" s="48"/>
    </row>
    <row r="25" customFormat="false" ht="49.5" hidden="false" customHeight="true" outlineLevel="0" collapsed="false">
      <c r="A25" s="36" t="n">
        <f aca="false">+A24+1</f>
        <v>51</v>
      </c>
      <c r="B25" s="37" t="s">
        <v>55</v>
      </c>
      <c r="C25" s="44" t="n">
        <v>46275</v>
      </c>
      <c r="D25" s="39" t="str">
        <f aca="false">CONCATENATE("ngày ",TEXT(C25,"dd")," tháng ",TEXT(C25,"mm")," năm ",TEXT(C25,"yyyy"))</f>
        <v>ngày 10 tháng 09 năm 2026</v>
      </c>
      <c r="E25" s="38" t="s">
        <v>27</v>
      </c>
      <c r="F25" s="40" t="str">
        <f aca="false">TEXT(A25,"00") &amp; ".NĐ/YCNT"</f>
        <v>51.NĐ/YCNT</v>
      </c>
      <c r="G25" s="41" t="str">
        <f aca="false">TEXT(A25,"00") &amp; ".NĐXD4/CVXD "</f>
        <v>51.NĐXD4/CVXD </v>
      </c>
      <c r="H25" s="42" t="n">
        <v>9</v>
      </c>
      <c r="I25" s="45" t="s">
        <v>28</v>
      </c>
      <c r="J25" s="37" t="s">
        <v>32</v>
      </c>
      <c r="K25" s="42" t="n">
        <f aca="false">+H25</f>
        <v>9</v>
      </c>
      <c r="L25" s="45" t="n">
        <v>30</v>
      </c>
      <c r="M25" s="39" t="str">
        <f aca="false">CONCATENATE(TEXT(C25,"dd"))</f>
        <v>10</v>
      </c>
      <c r="N25" s="39" t="str">
        <f aca="false">CONCATENATE(TEXT(C25,"mm"))</f>
        <v>09</v>
      </c>
      <c r="O25" s="39" t="str">
        <f aca="false">CONCATENATE(TEXT(C25,"yyyy"))</f>
        <v>2026</v>
      </c>
      <c r="P25" s="46" t="s">
        <v>29</v>
      </c>
      <c r="Q25" s="46" t="s">
        <v>30</v>
      </c>
      <c r="R25" s="47"/>
      <c r="S25" s="48"/>
    </row>
    <row r="26" customFormat="false" ht="49.5" hidden="false" customHeight="true" outlineLevel="0" collapsed="false">
      <c r="A26" s="36" t="n">
        <f aca="false">+A25+1</f>
        <v>52</v>
      </c>
      <c r="B26" s="37" t="s">
        <v>56</v>
      </c>
      <c r="C26" s="44" t="n">
        <v>46275</v>
      </c>
      <c r="D26" s="39" t="str">
        <f aca="false">CONCATENATE("ngày ",TEXT(C26,"dd")," tháng ",TEXT(C26,"mm")," năm ",TEXT(C26,"yyyy"))</f>
        <v>ngày 10 tháng 09 năm 2026</v>
      </c>
      <c r="E26" s="38" t="s">
        <v>27</v>
      </c>
      <c r="F26" s="40" t="str">
        <f aca="false">TEXT(A26,"00") &amp; ".NĐ/YCNT"</f>
        <v>52.NĐ/YCNT</v>
      </c>
      <c r="G26" s="41" t="str">
        <f aca="false">TEXT(A26,"00") &amp; ".NĐXD4/CVXD "</f>
        <v>52.NĐXD4/CVXD </v>
      </c>
      <c r="H26" s="42" t="n">
        <v>15</v>
      </c>
      <c r="I26" s="45" t="s">
        <v>28</v>
      </c>
      <c r="J26" s="37" t="s">
        <v>53</v>
      </c>
      <c r="K26" s="42" t="n">
        <f aca="false">+H26</f>
        <v>15</v>
      </c>
      <c r="L26" s="45" t="n">
        <v>30</v>
      </c>
      <c r="M26" s="39" t="str">
        <f aca="false">CONCATENATE(TEXT(C26,"dd"))</f>
        <v>10</v>
      </c>
      <c r="N26" s="39" t="str">
        <f aca="false">CONCATENATE(TEXT(C26,"mm"))</f>
        <v>09</v>
      </c>
      <c r="O26" s="39" t="str">
        <f aca="false">CONCATENATE(TEXT(C26,"yyyy"))</f>
        <v>2026</v>
      </c>
      <c r="P26" s="46" t="s">
        <v>29</v>
      </c>
      <c r="Q26" s="46" t="s">
        <v>30</v>
      </c>
      <c r="R26" s="47"/>
      <c r="S26" s="48"/>
    </row>
    <row r="27" customFormat="false" ht="49.5" hidden="false" customHeight="true" outlineLevel="0" collapsed="false">
      <c r="A27" s="36" t="n">
        <f aca="false">+A26+1</f>
        <v>53</v>
      </c>
      <c r="B27" s="37" t="s">
        <v>57</v>
      </c>
      <c r="C27" s="44" t="n">
        <v>46277</v>
      </c>
      <c r="D27" s="39" t="str">
        <f aca="false">CONCATENATE("ngày ",TEXT(C27,"dd")," tháng ",TEXT(C27,"mm")," năm ",TEXT(C27,"yyyy"))</f>
        <v>ngày 12 tháng 09 năm 2026</v>
      </c>
      <c r="E27" s="38" t="s">
        <v>27</v>
      </c>
      <c r="F27" s="40" t="str">
        <f aca="false">TEXT(A27,"00") &amp; ".NĐ/YCNT"</f>
        <v>53.NĐ/YCNT</v>
      </c>
      <c r="G27" s="41" t="str">
        <f aca="false">TEXT(A27,"00") &amp; ".NĐXD4/CVXD "</f>
        <v>53.NĐXD4/CVXD </v>
      </c>
      <c r="H27" s="42" t="n">
        <v>16</v>
      </c>
      <c r="I27" s="45" t="s">
        <v>28</v>
      </c>
      <c r="J27" s="37"/>
      <c r="K27" s="42" t="n">
        <f aca="false">+H27</f>
        <v>16</v>
      </c>
      <c r="L27" s="45" t="n">
        <v>30</v>
      </c>
      <c r="M27" s="39" t="str">
        <f aca="false">CONCATENATE(TEXT(C27,"dd"))</f>
        <v>12</v>
      </c>
      <c r="N27" s="39" t="str">
        <f aca="false">CONCATENATE(TEXT(C27,"mm"))</f>
        <v>09</v>
      </c>
      <c r="O27" s="39" t="str">
        <f aca="false">CONCATENATE(TEXT(C27,"yyyy"))</f>
        <v>2026</v>
      </c>
      <c r="P27" s="46" t="s">
        <v>29</v>
      </c>
      <c r="Q27" s="46" t="s">
        <v>30</v>
      </c>
      <c r="R27" s="47"/>
      <c r="S27" s="48"/>
    </row>
    <row r="28" customFormat="false" ht="49.5" hidden="false" customHeight="true" outlineLevel="0" collapsed="false">
      <c r="A28" s="36" t="n">
        <f aca="false">+A27+1</f>
        <v>54</v>
      </c>
      <c r="B28" s="37" t="s">
        <v>58</v>
      </c>
      <c r="C28" s="44" t="n">
        <v>46279</v>
      </c>
      <c r="D28" s="39" t="str">
        <f aca="false">CONCATENATE("ngày ",TEXT(C28,"dd")," tháng ",TEXT(C28,"mm")," năm ",TEXT(C28,"yyyy"))</f>
        <v>ngày 14 tháng 09 năm 2026</v>
      </c>
      <c r="E28" s="38" t="s">
        <v>27</v>
      </c>
      <c r="F28" s="40" t="str">
        <f aca="false">TEXT(A28,"00") &amp; ".NĐ/YCNT"</f>
        <v>54.NĐ/YCNT</v>
      </c>
      <c r="G28" s="41" t="str">
        <f aca="false">TEXT(A28,"00") &amp; ".NĐXD4/CVXD "</f>
        <v>54.NĐXD4/CVXD </v>
      </c>
      <c r="H28" s="42" t="n">
        <v>16</v>
      </c>
      <c r="I28" s="45" t="s">
        <v>28</v>
      </c>
      <c r="J28" s="37" t="s">
        <v>59</v>
      </c>
      <c r="K28" s="42" t="n">
        <f aca="false">+H28</f>
        <v>16</v>
      </c>
      <c r="L28" s="45" t="n">
        <v>30</v>
      </c>
      <c r="M28" s="39" t="str">
        <f aca="false">CONCATENATE(TEXT(C28,"dd"))</f>
        <v>14</v>
      </c>
      <c r="N28" s="39" t="str">
        <f aca="false">CONCATENATE(TEXT(C28,"mm"))</f>
        <v>09</v>
      </c>
      <c r="O28" s="39" t="str">
        <f aca="false">CONCATENATE(TEXT(C28,"yyyy"))</f>
        <v>2026</v>
      </c>
      <c r="P28" s="46" t="s">
        <v>29</v>
      </c>
      <c r="Q28" s="46" t="s">
        <v>30</v>
      </c>
      <c r="R28" s="47"/>
      <c r="S28" s="48"/>
    </row>
    <row r="29" customFormat="false" ht="49.5" hidden="false" customHeight="true" outlineLevel="0" collapsed="false">
      <c r="A29" s="36" t="n">
        <f aca="false">+A28+1</f>
        <v>55</v>
      </c>
      <c r="B29" s="37" t="s">
        <v>60</v>
      </c>
      <c r="C29" s="44" t="n">
        <v>46282</v>
      </c>
      <c r="D29" s="39" t="str">
        <f aca="false">CONCATENATE("ngày ",TEXT(C29,"dd")," tháng ",TEXT(C29,"mm")," năm ",TEXT(C29,"yyyy"))</f>
        <v>ngày 17 tháng 09 năm 2026</v>
      </c>
      <c r="E29" s="38" t="s">
        <v>27</v>
      </c>
      <c r="F29" s="40" t="str">
        <f aca="false">TEXT(A29,"00") &amp; ".NĐ/YCNT"</f>
        <v>55.NĐ/YCNT</v>
      </c>
      <c r="G29" s="41" t="str">
        <f aca="false">TEXT(A29,"00") &amp; ".NĐXD4/CVXD "</f>
        <v>55.NĐXD4/CVXD </v>
      </c>
      <c r="H29" s="42" t="n">
        <v>16</v>
      </c>
      <c r="I29" s="45" t="s">
        <v>28</v>
      </c>
      <c r="J29" s="37" t="s">
        <v>59</v>
      </c>
      <c r="K29" s="42" t="n">
        <f aca="false">+H29</f>
        <v>16</v>
      </c>
      <c r="L29" s="45" t="n">
        <v>30</v>
      </c>
      <c r="M29" s="39" t="str">
        <f aca="false">CONCATENATE(TEXT(C29,"dd"))</f>
        <v>17</v>
      </c>
      <c r="N29" s="39" t="str">
        <f aca="false">CONCATENATE(TEXT(C29,"mm"))</f>
        <v>09</v>
      </c>
      <c r="O29" s="39" t="str">
        <f aca="false">CONCATENATE(TEXT(C29,"yyyy"))</f>
        <v>2026</v>
      </c>
      <c r="P29" s="46" t="s">
        <v>29</v>
      </c>
      <c r="Q29" s="46" t="s">
        <v>30</v>
      </c>
      <c r="R29" s="47"/>
      <c r="S29" s="48"/>
    </row>
    <row r="30" customFormat="false" ht="49.5" hidden="false" customHeight="true" outlineLevel="0" collapsed="false">
      <c r="A30" s="36" t="n">
        <f aca="false">+A29+1</f>
        <v>56</v>
      </c>
      <c r="B30" s="37" t="s">
        <v>61</v>
      </c>
      <c r="C30" s="44" t="n">
        <v>46284</v>
      </c>
      <c r="D30" s="39" t="str">
        <f aca="false">CONCATENATE("ngày ",TEXT(C30,"dd")," tháng ",TEXT(C30,"mm")," năm ",TEXT(C30,"yyyy"))</f>
        <v>ngày 19 tháng 09 năm 2026</v>
      </c>
      <c r="E30" s="38" t="s">
        <v>27</v>
      </c>
      <c r="F30" s="40" t="str">
        <f aca="false">TEXT(A30,"00") &amp; ".NĐ/YCNT"</f>
        <v>56.NĐ/YCNT</v>
      </c>
      <c r="G30" s="41" t="str">
        <f aca="false">TEXT(A30,"00") &amp; ".NĐXD4/CVXD "</f>
        <v>56.NĐXD4/CVXD </v>
      </c>
      <c r="H30" s="42" t="n">
        <v>16</v>
      </c>
      <c r="I30" s="45" t="s">
        <v>28</v>
      </c>
      <c r="J30" s="37" t="s">
        <v>59</v>
      </c>
      <c r="K30" s="42" t="n">
        <f aca="false">+H30</f>
        <v>16</v>
      </c>
      <c r="L30" s="45" t="n">
        <v>30</v>
      </c>
      <c r="M30" s="39" t="str">
        <f aca="false">CONCATENATE(TEXT(C30,"dd"))</f>
        <v>19</v>
      </c>
      <c r="N30" s="39" t="str">
        <f aca="false">CONCATENATE(TEXT(C30,"mm"))</f>
        <v>09</v>
      </c>
      <c r="O30" s="39" t="str">
        <f aca="false">CONCATENATE(TEXT(C30,"yyyy"))</f>
        <v>2026</v>
      </c>
      <c r="P30" s="46" t="s">
        <v>29</v>
      </c>
      <c r="Q30" s="46" t="s">
        <v>30</v>
      </c>
      <c r="R30" s="47"/>
      <c r="S30" s="48"/>
    </row>
    <row r="31" customFormat="false" ht="16.5" hidden="false" customHeight="true" outlineLevel="0" collapsed="false">
      <c r="A31" s="36"/>
      <c r="B31" s="37"/>
      <c r="C31" s="50"/>
      <c r="D31" s="39"/>
      <c r="E31" s="38"/>
      <c r="F31" s="40"/>
      <c r="G31" s="41"/>
      <c r="H31" s="42"/>
      <c r="I31" s="51"/>
      <c r="J31" s="37"/>
      <c r="K31" s="43"/>
      <c r="L31" s="45"/>
      <c r="M31" s="39"/>
      <c r="N31" s="39"/>
      <c r="O31" s="39"/>
      <c r="P31" s="46"/>
      <c r="Q31" s="46"/>
      <c r="R31" s="46"/>
      <c r="S31" s="46"/>
    </row>
    <row r="32" customFormat="false" ht="16.5" hidden="false" customHeight="true" outlineLevel="0" collapsed="false">
      <c r="A32" s="36"/>
      <c r="B32" s="37"/>
      <c r="C32" s="50"/>
      <c r="D32" s="39"/>
      <c r="E32" s="38"/>
      <c r="F32" s="40"/>
      <c r="G32" s="41"/>
      <c r="H32" s="42"/>
      <c r="I32" s="51"/>
      <c r="J32" s="37"/>
      <c r="K32" s="43"/>
      <c r="L32" s="45"/>
      <c r="M32" s="39"/>
      <c r="N32" s="39"/>
      <c r="O32" s="39"/>
      <c r="P32" s="46"/>
      <c r="Q32" s="46"/>
      <c r="R32" s="46"/>
      <c r="S32" s="46"/>
    </row>
    <row r="33" customFormat="false" ht="16.5" hidden="false" customHeight="true" outlineLevel="0" collapsed="false">
      <c r="A33" s="36"/>
      <c r="B33" s="37"/>
      <c r="C33" s="50"/>
      <c r="D33" s="39"/>
      <c r="E33" s="38"/>
      <c r="F33" s="40"/>
      <c r="G33" s="41"/>
      <c r="H33" s="42"/>
      <c r="I33" s="51"/>
      <c r="J33" s="37"/>
      <c r="K33" s="43"/>
      <c r="L33" s="45"/>
      <c r="M33" s="39"/>
      <c r="N33" s="39"/>
      <c r="O33" s="39"/>
      <c r="P33" s="46"/>
      <c r="Q33" s="46"/>
      <c r="R33" s="46"/>
      <c r="S33" s="46"/>
    </row>
    <row r="34" customFormat="false" ht="16.5" hidden="false" customHeight="true" outlineLevel="0" collapsed="false">
      <c r="A34" s="36"/>
      <c r="B34" s="37"/>
      <c r="C34" s="50"/>
      <c r="D34" s="39"/>
      <c r="E34" s="38"/>
      <c r="F34" s="40"/>
      <c r="G34" s="41"/>
      <c r="H34" s="42"/>
      <c r="I34" s="51"/>
      <c r="J34" s="37"/>
      <c r="K34" s="43"/>
      <c r="L34" s="45"/>
      <c r="M34" s="39"/>
      <c r="N34" s="39"/>
      <c r="O34" s="39"/>
      <c r="P34" s="46"/>
      <c r="Q34" s="46"/>
      <c r="R34" s="46"/>
      <c r="S34" s="46"/>
    </row>
    <row r="35" customFormat="false" ht="16.5" hidden="false" customHeight="true" outlineLevel="0" collapsed="false">
      <c r="A35" s="36"/>
      <c r="B35" s="37"/>
      <c r="C35" s="50"/>
      <c r="D35" s="39"/>
      <c r="E35" s="38"/>
      <c r="F35" s="40"/>
      <c r="G35" s="41"/>
      <c r="H35" s="42"/>
      <c r="I35" s="51"/>
      <c r="J35" s="37"/>
      <c r="K35" s="43"/>
      <c r="L35" s="45"/>
      <c r="M35" s="39"/>
      <c r="N35" s="39"/>
      <c r="O35" s="39"/>
      <c r="P35" s="46"/>
      <c r="Q35" s="46"/>
      <c r="R35" s="46"/>
      <c r="S35" s="46"/>
    </row>
    <row r="36" customFormat="false" ht="33" hidden="false" customHeight="true" outlineLevel="0" collapsed="false">
      <c r="A36" s="36"/>
      <c r="B36" s="37"/>
      <c r="C36" s="50"/>
      <c r="D36" s="39"/>
      <c r="E36" s="38"/>
      <c r="F36" s="40"/>
      <c r="G36" s="41"/>
      <c r="H36" s="42"/>
      <c r="I36" s="45"/>
      <c r="K36" s="42"/>
      <c r="L36" s="51"/>
      <c r="M36" s="39"/>
      <c r="N36" s="39"/>
      <c r="O36" s="39"/>
      <c r="P36" s="46"/>
      <c r="Q36" s="46"/>
      <c r="R36" s="47"/>
      <c r="S36" s="48"/>
    </row>
    <row r="37" customFormat="false" ht="49.5" hidden="false" customHeight="true" outlineLevel="0" collapsed="false">
      <c r="A37" s="36"/>
      <c r="B37" s="37"/>
      <c r="C37" s="50"/>
      <c r="D37" s="39"/>
      <c r="E37" s="38"/>
      <c r="F37" s="40"/>
      <c r="G37" s="41"/>
      <c r="H37" s="42"/>
      <c r="I37" s="45"/>
      <c r="J37" s="37"/>
      <c r="K37" s="42"/>
      <c r="L37" s="45"/>
      <c r="M37" s="39"/>
      <c r="N37" s="39"/>
      <c r="O37" s="39"/>
      <c r="P37" s="46"/>
      <c r="Q37" s="46"/>
      <c r="R37" s="47"/>
      <c r="S37" s="48"/>
    </row>
    <row r="38" customFormat="false" ht="33" hidden="false" customHeight="true" outlineLevel="0" collapsed="false">
      <c r="A38" s="36"/>
      <c r="B38" s="37"/>
      <c r="C38" s="50"/>
      <c r="D38" s="39"/>
      <c r="E38" s="38"/>
      <c r="F38" s="40"/>
      <c r="G38" s="41"/>
      <c r="H38" s="42"/>
      <c r="I38" s="45"/>
      <c r="J38" s="37"/>
      <c r="K38" s="42"/>
      <c r="L38" s="45"/>
      <c r="M38" s="39"/>
      <c r="N38" s="39"/>
      <c r="O38" s="39"/>
      <c r="P38" s="46"/>
      <c r="Q38" s="46"/>
      <c r="R38" s="47"/>
      <c r="S38" s="48"/>
    </row>
    <row r="39" customFormat="false" ht="33" hidden="false" customHeight="true" outlineLevel="0" collapsed="false">
      <c r="A39" s="36"/>
      <c r="B39" s="37"/>
      <c r="C39" s="50"/>
      <c r="D39" s="39"/>
      <c r="E39" s="38"/>
      <c r="F39" s="40"/>
      <c r="G39" s="41"/>
      <c r="H39" s="42"/>
      <c r="I39" s="45"/>
      <c r="J39" s="37"/>
      <c r="K39" s="42"/>
      <c r="L39" s="45"/>
      <c r="M39" s="39"/>
      <c r="N39" s="39"/>
      <c r="O39" s="39"/>
      <c r="P39" s="46"/>
      <c r="Q39" s="46"/>
      <c r="R39" s="47"/>
      <c r="S39" s="48"/>
    </row>
    <row r="40" customFormat="false" ht="33" hidden="false" customHeight="true" outlineLevel="0" collapsed="false">
      <c r="A40" s="36"/>
      <c r="B40" s="37"/>
      <c r="C40" s="50"/>
      <c r="D40" s="39"/>
      <c r="E40" s="38"/>
      <c r="F40" s="40"/>
      <c r="G40" s="41"/>
      <c r="H40" s="42"/>
      <c r="I40" s="45"/>
      <c r="J40" s="37"/>
      <c r="K40" s="42"/>
      <c r="L40" s="45"/>
      <c r="M40" s="39"/>
      <c r="N40" s="39"/>
      <c r="O40" s="39"/>
      <c r="P40" s="46"/>
      <c r="Q40" s="46"/>
      <c r="R40" s="47"/>
      <c r="S40" s="48"/>
    </row>
    <row r="41" customFormat="false" ht="33" hidden="false" customHeight="true" outlineLevel="0" collapsed="false">
      <c r="A41" s="36"/>
      <c r="B41" s="37"/>
      <c r="C41" s="50"/>
      <c r="D41" s="39"/>
      <c r="E41" s="38"/>
      <c r="F41" s="40"/>
      <c r="G41" s="41"/>
      <c r="H41" s="42"/>
      <c r="I41" s="45"/>
      <c r="J41" s="37"/>
      <c r="K41" s="42"/>
      <c r="L41" s="45"/>
      <c r="M41" s="39"/>
      <c r="N41" s="39"/>
      <c r="O41" s="39"/>
      <c r="P41" s="46"/>
      <c r="Q41" s="46"/>
      <c r="R41" s="47"/>
      <c r="S41" s="48"/>
    </row>
    <row r="42" customFormat="false" ht="33" hidden="false" customHeight="true" outlineLevel="0" collapsed="false">
      <c r="A42" s="36"/>
      <c r="B42" s="37"/>
      <c r="C42" s="50"/>
      <c r="D42" s="39"/>
      <c r="E42" s="38"/>
      <c r="F42" s="40"/>
      <c r="G42" s="41"/>
      <c r="H42" s="42"/>
      <c r="I42" s="45"/>
      <c r="J42" s="37"/>
      <c r="K42" s="42"/>
      <c r="L42" s="45"/>
      <c r="M42" s="39"/>
      <c r="N42" s="39"/>
      <c r="O42" s="39"/>
      <c r="P42" s="46"/>
      <c r="Q42" s="46"/>
      <c r="R42" s="47"/>
      <c r="S42" s="48"/>
    </row>
    <row r="43" customFormat="false" ht="33" hidden="false" customHeight="true" outlineLevel="0" collapsed="false">
      <c r="A43" s="36"/>
      <c r="B43" s="37"/>
      <c r="C43" s="50"/>
      <c r="D43" s="39"/>
      <c r="E43" s="38"/>
      <c r="F43" s="40"/>
      <c r="G43" s="41"/>
      <c r="H43" s="42"/>
      <c r="I43" s="45"/>
      <c r="J43" s="37"/>
      <c r="K43" s="42"/>
      <c r="L43" s="45"/>
      <c r="M43" s="39"/>
      <c r="N43" s="39"/>
      <c r="O43" s="39"/>
      <c r="P43" s="46"/>
      <c r="Q43" s="46"/>
      <c r="R43" s="47"/>
      <c r="S43" s="48"/>
    </row>
    <row r="44" customFormat="false" ht="33" hidden="false" customHeight="true" outlineLevel="0" collapsed="false">
      <c r="A44" s="36"/>
      <c r="B44" s="37"/>
      <c r="C44" s="50"/>
      <c r="D44" s="39"/>
      <c r="E44" s="38"/>
      <c r="F44" s="40"/>
      <c r="G44" s="41"/>
      <c r="H44" s="42"/>
      <c r="I44" s="45"/>
      <c r="J44" s="37"/>
      <c r="K44" s="42"/>
      <c r="L44" s="45"/>
      <c r="M44" s="39"/>
      <c r="N44" s="39"/>
      <c r="O44" s="39"/>
      <c r="P44" s="46"/>
      <c r="Q44" s="46"/>
      <c r="R44" s="47"/>
      <c r="S44" s="48"/>
    </row>
    <row r="45" customFormat="false" ht="49.5" hidden="false" customHeight="true" outlineLevel="0" collapsed="false">
      <c r="A45" s="36"/>
      <c r="B45" s="37"/>
      <c r="C45" s="38"/>
      <c r="D45" s="39"/>
      <c r="E45" s="38"/>
      <c r="F45" s="40"/>
      <c r="G45" s="41"/>
      <c r="H45" s="42"/>
      <c r="I45" s="45"/>
      <c r="J45" s="37"/>
      <c r="K45" s="42"/>
      <c r="L45" s="45"/>
      <c r="M45" s="39"/>
      <c r="N45" s="39"/>
      <c r="O45" s="39"/>
      <c r="P45" s="46"/>
      <c r="Q45" s="46"/>
      <c r="R45" s="46"/>
      <c r="S45" s="46"/>
    </row>
    <row r="46" customFormat="false" ht="49.5" hidden="false" customHeight="true" outlineLevel="0" collapsed="false">
      <c r="A46" s="36"/>
      <c r="B46" s="37"/>
      <c r="C46" s="38"/>
      <c r="D46" s="39"/>
      <c r="E46" s="38"/>
      <c r="F46" s="40"/>
      <c r="G46" s="41"/>
      <c r="H46" s="42"/>
      <c r="I46" s="45"/>
      <c r="J46" s="37"/>
      <c r="K46" s="42"/>
      <c r="L46" s="45"/>
      <c r="M46" s="39"/>
      <c r="N46" s="39"/>
      <c r="O46" s="39"/>
      <c r="P46" s="46"/>
      <c r="Q46" s="46"/>
      <c r="R46" s="46"/>
      <c r="S46" s="46"/>
    </row>
    <row r="47" customFormat="false" ht="49.5" hidden="false" customHeight="true" outlineLevel="0" collapsed="false">
      <c r="A47" s="36"/>
      <c r="B47" s="37"/>
      <c r="C47" s="38"/>
      <c r="D47" s="39"/>
      <c r="E47" s="38"/>
      <c r="F47" s="40"/>
      <c r="G47" s="41"/>
      <c r="H47" s="42"/>
      <c r="I47" s="45"/>
      <c r="J47" s="37"/>
      <c r="K47" s="42"/>
      <c r="L47" s="45"/>
      <c r="M47" s="39"/>
      <c r="N47" s="39"/>
      <c r="O47" s="39"/>
      <c r="P47" s="46"/>
      <c r="Q47" s="46"/>
      <c r="R47" s="46"/>
      <c r="S47" s="46"/>
    </row>
    <row r="48" customFormat="false" ht="49.5" hidden="false" customHeight="true" outlineLevel="0" collapsed="false">
      <c r="A48" s="36"/>
      <c r="B48" s="37"/>
      <c r="C48" s="38"/>
      <c r="D48" s="39"/>
      <c r="E48" s="38"/>
      <c r="F48" s="40"/>
      <c r="G48" s="41"/>
      <c r="H48" s="42"/>
      <c r="I48" s="45"/>
      <c r="J48" s="37"/>
      <c r="K48" s="42"/>
      <c r="L48" s="45"/>
      <c r="M48" s="39"/>
      <c r="N48" s="39"/>
      <c r="O48" s="39"/>
      <c r="P48" s="46"/>
      <c r="Q48" s="46"/>
      <c r="R48" s="46"/>
      <c r="S48" s="46"/>
    </row>
    <row r="49" customFormat="false" ht="33" hidden="false" customHeight="true" outlineLevel="0" collapsed="false">
      <c r="A49" s="36"/>
      <c r="B49" s="37"/>
      <c r="C49" s="38"/>
      <c r="D49" s="39"/>
      <c r="E49" s="38"/>
      <c r="F49" s="40"/>
      <c r="G49" s="41"/>
      <c r="H49" s="42"/>
      <c r="I49" s="45"/>
      <c r="J49" s="37"/>
      <c r="K49" s="42"/>
      <c r="L49" s="45"/>
      <c r="M49" s="39"/>
      <c r="N49" s="39"/>
      <c r="O49" s="39"/>
      <c r="P49" s="46"/>
      <c r="Q49" s="46"/>
      <c r="R49" s="46"/>
      <c r="S49" s="46"/>
    </row>
    <row r="50" customFormat="false" ht="49.5" hidden="false" customHeight="true" outlineLevel="0" collapsed="false">
      <c r="A50" s="36"/>
      <c r="B50" s="37"/>
      <c r="C50" s="38"/>
      <c r="D50" s="39"/>
      <c r="E50" s="38"/>
      <c r="F50" s="40"/>
      <c r="G50" s="41"/>
      <c r="H50" s="42"/>
      <c r="I50" s="45"/>
      <c r="J50" s="37"/>
      <c r="K50" s="42"/>
      <c r="L50" s="45"/>
      <c r="M50" s="39"/>
      <c r="N50" s="39"/>
      <c r="O50" s="39"/>
      <c r="P50" s="46"/>
      <c r="Q50" s="46"/>
      <c r="R50" s="46"/>
      <c r="S50" s="46"/>
    </row>
    <row r="51" customFormat="false" ht="49.5" hidden="false" customHeight="true" outlineLevel="0" collapsed="false">
      <c r="A51" s="36"/>
      <c r="B51" s="37"/>
      <c r="C51" s="38"/>
      <c r="D51" s="39"/>
      <c r="E51" s="38"/>
      <c r="F51" s="40"/>
      <c r="G51" s="41"/>
      <c r="H51" s="42"/>
      <c r="I51" s="45"/>
      <c r="J51" s="37"/>
      <c r="K51" s="42"/>
      <c r="L51" s="45"/>
      <c r="M51" s="39"/>
      <c r="N51" s="39"/>
      <c r="O51" s="39"/>
      <c r="P51" s="46"/>
      <c r="Q51" s="46"/>
      <c r="R51" s="46"/>
      <c r="S51" s="46"/>
    </row>
    <row r="52" customFormat="false" ht="33" hidden="false" customHeight="true" outlineLevel="0" collapsed="false">
      <c r="A52" s="36"/>
      <c r="B52" s="37"/>
      <c r="C52" s="38"/>
      <c r="D52" s="39"/>
      <c r="E52" s="38"/>
      <c r="F52" s="40"/>
      <c r="G52" s="41"/>
      <c r="H52" s="42"/>
      <c r="I52" s="45"/>
      <c r="J52" s="37"/>
      <c r="K52" s="42"/>
      <c r="L52" s="45"/>
      <c r="M52" s="39"/>
      <c r="N52" s="39"/>
      <c r="O52" s="39"/>
      <c r="P52" s="46"/>
      <c r="Q52" s="46"/>
      <c r="R52" s="46"/>
      <c r="S52" s="46"/>
    </row>
  </sheetData>
  <printOptions headings="false" gridLines="false" gridLinesSet="true" horizontalCentered="true" verticalCentered="false"/>
  <pageMargins left="0.39375" right="0.0395833333333333" top="0.39375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99"/>
  <sheetViews>
    <sheetView showFormulas="false" showGridLines="true" showRowColHeaders="true" showZeros="true" rightToLeft="false" tabSelected="false" showOutlineSymbols="true" defaultGridColor="true" view="normal" topLeftCell="A39" colorId="64" zoomScale="85" zoomScaleNormal="85" zoomScalePageLayoutView="100" workbookViewId="0">
      <selection pane="topLeft" activeCell="K58" activeCellId="0" sqref="K58"/>
    </sheetView>
  </sheetViews>
  <sheetFormatPr defaultColWidth="8.859375" defaultRowHeight="15" zeroHeight="false" outlineLevelRow="0" outlineLevelCol="0"/>
  <cols>
    <col collapsed="false" customWidth="true" hidden="false" outlineLevel="0" max="1" min="1" style="52" width="5.71"/>
    <col collapsed="false" customWidth="true" hidden="false" outlineLevel="0" max="2" min="2" style="52" width="6.57"/>
    <col collapsed="false" customWidth="true" hidden="false" outlineLevel="0" max="3" min="3" style="52" width="17.57"/>
    <col collapsed="false" customWidth="true" hidden="false" outlineLevel="0" max="4" min="4" style="52" width="9.71"/>
    <col collapsed="false" customWidth="true" hidden="false" outlineLevel="0" max="5" min="5" style="52" width="9.57"/>
    <col collapsed="false" customWidth="true" hidden="false" outlineLevel="0" max="7" min="6" style="52" width="9.71"/>
    <col collapsed="false" customWidth="true" hidden="false" outlineLevel="0" max="8" min="8" style="52" width="9.57"/>
    <col collapsed="false" customWidth="true" hidden="false" outlineLevel="0" max="9" min="9" style="52" width="10.14"/>
    <col collapsed="false" customWidth="true" hidden="false" outlineLevel="0" max="10" min="10" style="52" width="9.71"/>
    <col collapsed="false" customWidth="true" hidden="false" outlineLevel="0" max="11" min="11" style="52" width="9.57"/>
    <col collapsed="false" customWidth="true" hidden="false" outlineLevel="0" max="12" min="12" style="52" width="10.71"/>
    <col collapsed="false" customWidth="true" hidden="false" outlineLevel="0" max="13" min="13" style="52" width="9.71"/>
    <col collapsed="false" customWidth="true" hidden="false" outlineLevel="0" max="15" min="14" style="52" width="10.71"/>
    <col collapsed="false" customWidth="true" hidden="false" outlineLevel="0" max="16" min="16" style="52" width="9.71"/>
    <col collapsed="false" customWidth="true" hidden="false" outlineLevel="0" max="18" min="17" style="52" width="10.71"/>
    <col collapsed="false" customWidth="true" hidden="false" outlineLevel="0" max="19" min="19" style="52" width="6.85"/>
    <col collapsed="false" customWidth="false" hidden="false" outlineLevel="0" max="21" min="20" style="52" width="8.86"/>
    <col collapsed="false" customWidth="true" hidden="false" outlineLevel="0" max="22" min="22" style="52" width="12.57"/>
    <col collapsed="false" customWidth="false" hidden="false" outlineLevel="0" max="16384" min="23" style="52" width="8.86"/>
  </cols>
  <sheetData>
    <row r="1" customFormat="false" ht="25.5" hidden="false" customHeight="true" outlineLevel="0" collapsed="false">
      <c r="A1" s="53" t="s">
        <v>62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="56" customFormat="true" ht="18.75" hidden="false" customHeight="true" outlineLevel="0" collapsed="false">
      <c r="A2" s="54" t="str">
        <f aca="false">"Kèm theo BBNT số: "&amp;VLOOKUP(T2,'Tuyến XD4'!$A$2:$G$60,7,0)&amp;VLOOKUP(T2,'Tuyến XD4'!$A$2:$G$60,4,0)</f>
        <v>Kèm theo BBNT số: 29.NĐXD4/CVXD ngày 29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5" t="n">
        <v>29</v>
      </c>
    </row>
    <row r="3" s="58" customFormat="true" ht="18.75" hidden="false" customHeight="true" outlineLevel="0" collapsed="false">
      <c r="A3" s="57" t="s">
        <v>63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="58" customFormat="true" ht="18.75" hidden="false" customHeight="true" outlineLevel="0" collapsed="false">
      <c r="A4" s="57" t="s">
        <v>64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="58" customFormat="true" ht="18.75" hidden="false" customHeight="true" outlineLevel="0" collapsed="false">
      <c r="A5" s="57" t="s">
        <v>65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</row>
    <row r="6" s="58" customFormat="true" ht="18.75" hidden="false" customHeight="true" outlineLevel="0" collapsed="false">
      <c r="A6" s="57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s="58" customFormat="true" ht="18.75" hidden="false" customHeight="true" outlineLevel="0" collapsed="false">
      <c r="A7" s="59" t="s">
        <v>67</v>
      </c>
      <c r="B7" s="57"/>
      <c r="C7" s="57"/>
      <c r="D7" s="57" t="str">
        <f aca="false">VLOOKUP(T2,'Tuyến XD4'!$A$2:$B$60,2,0)</f>
        <v>Kiểm tra cao độ đường đen đoạn từ Km0+554,08 -:- Km0+672,28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</row>
    <row r="8" s="58" customFormat="true" ht="18.75" hidden="false" customHeight="true" outlineLevel="0" collapsed="false">
      <c r="A8" s="59" t="s">
        <v>68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</row>
    <row r="9" customFormat="false" ht="151.5" hidden="false" customHeight="true" outlineLevel="0" collapsed="false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customFormat="false" ht="24" hidden="false" customHeight="true" outlineLevel="0" collapsed="false">
      <c r="A10" s="61" t="s">
        <v>69</v>
      </c>
      <c r="B10" s="61" t="s">
        <v>70</v>
      </c>
      <c r="C10" s="61" t="s">
        <v>71</v>
      </c>
      <c r="D10" s="62" t="s">
        <v>72</v>
      </c>
      <c r="E10" s="62"/>
      <c r="F10" s="62"/>
      <c r="G10" s="62" t="s">
        <v>73</v>
      </c>
      <c r="H10" s="62"/>
      <c r="I10" s="62"/>
      <c r="J10" s="62" t="s">
        <v>74</v>
      </c>
      <c r="K10" s="62"/>
      <c r="L10" s="62"/>
      <c r="M10" s="62" t="s">
        <v>75</v>
      </c>
      <c r="N10" s="62"/>
      <c r="O10" s="62"/>
      <c r="P10" s="62" t="s">
        <v>76</v>
      </c>
      <c r="Q10" s="62"/>
      <c r="R10" s="62"/>
      <c r="S10" s="61" t="s">
        <v>77</v>
      </c>
    </row>
    <row r="11" customFormat="false" ht="30" hidden="false" customHeight="true" outlineLevel="0" collapsed="false">
      <c r="A11" s="61"/>
      <c r="B11" s="61"/>
      <c r="C11" s="61"/>
      <c r="D11" s="63" t="s">
        <v>78</v>
      </c>
      <c r="E11" s="63" t="s">
        <v>79</v>
      </c>
      <c r="F11" s="63" t="s">
        <v>80</v>
      </c>
      <c r="G11" s="63" t="s">
        <v>78</v>
      </c>
      <c r="H11" s="63" t="s">
        <v>79</v>
      </c>
      <c r="I11" s="63" t="s">
        <v>80</v>
      </c>
      <c r="J11" s="63" t="s">
        <v>78</v>
      </c>
      <c r="K11" s="63" t="s">
        <v>79</v>
      </c>
      <c r="L11" s="63" t="s">
        <v>80</v>
      </c>
      <c r="M11" s="63" t="s">
        <v>78</v>
      </c>
      <c r="N11" s="63" t="s">
        <v>79</v>
      </c>
      <c r="O11" s="63" t="s">
        <v>80</v>
      </c>
      <c r="P11" s="63" t="s">
        <v>78</v>
      </c>
      <c r="Q11" s="63" t="s">
        <v>79</v>
      </c>
      <c r="R11" s="63" t="s">
        <v>80</v>
      </c>
      <c r="S11" s="61"/>
    </row>
    <row r="12" customFormat="false" ht="19.5" hidden="false" customHeight="true" outlineLevel="0" collapsed="false">
      <c r="A12" s="64" t="n">
        <v>1</v>
      </c>
      <c r="B12" s="64" t="s">
        <v>81</v>
      </c>
      <c r="C12" s="65" t="n">
        <v>554.08</v>
      </c>
      <c r="D12" s="66" t="n">
        <v>1.24</v>
      </c>
      <c r="E12" s="66" t="n">
        <f aca="false">D12+F12</f>
        <v>1.186</v>
      </c>
      <c r="F12" s="67" t="n">
        <f aca="false">RANDBETWEEN(-105,125)/1000</f>
        <v>-0.054</v>
      </c>
      <c r="G12" s="66" t="n">
        <v>1.04</v>
      </c>
      <c r="H12" s="66" t="n">
        <f aca="false">G12+I12</f>
        <v>1.047</v>
      </c>
      <c r="I12" s="67" t="n">
        <f aca="false">RANDBETWEEN(-105,125)/1000</f>
        <v>0.007</v>
      </c>
      <c r="J12" s="66" t="n">
        <v>-0.15</v>
      </c>
      <c r="K12" s="66" t="n">
        <f aca="false">J12+L12</f>
        <v>-0.079</v>
      </c>
      <c r="L12" s="67" t="n">
        <f aca="false">RANDBETWEEN(-105,125)/1000</f>
        <v>0.071</v>
      </c>
      <c r="M12" s="66" t="n">
        <v>-0.08</v>
      </c>
      <c r="N12" s="66" t="n">
        <f aca="false">M12+O12</f>
        <v>-0.177</v>
      </c>
      <c r="O12" s="67" t="n">
        <f aca="false">RANDBETWEEN(-105,125)/1000</f>
        <v>-0.097</v>
      </c>
      <c r="P12" s="66" t="n">
        <v>-0.02</v>
      </c>
      <c r="Q12" s="66" t="n">
        <f aca="false">P12+R12</f>
        <v>0.078</v>
      </c>
      <c r="R12" s="67" t="n">
        <f aca="false">RANDBETWEEN(-105,125)/1000</f>
        <v>0.098</v>
      </c>
      <c r="S12" s="66"/>
      <c r="T12" s="52" t="n">
        <v>15.4</v>
      </c>
    </row>
    <row r="13" customFormat="false" ht="19.5" hidden="false" customHeight="true" outlineLevel="0" collapsed="false">
      <c r="A13" s="64" t="n">
        <v>2</v>
      </c>
      <c r="B13" s="64" t="s">
        <v>82</v>
      </c>
      <c r="C13" s="65" t="n">
        <f aca="false">C12+T12</f>
        <v>569.48</v>
      </c>
      <c r="D13" s="66" t="n">
        <v>-0.14</v>
      </c>
      <c r="E13" s="66" t="n">
        <f aca="false">D13+F13</f>
        <v>-0.143</v>
      </c>
      <c r="F13" s="67" t="n">
        <f aca="false">RANDBETWEEN(-105,125)/1000</f>
        <v>-0.003</v>
      </c>
      <c r="G13" s="66" t="n">
        <v>-0.19</v>
      </c>
      <c r="H13" s="66" t="n">
        <f aca="false">G13+I13</f>
        <v>-0.214</v>
      </c>
      <c r="I13" s="67" t="n">
        <f aca="false">RANDBETWEEN(-105,125)/1000</f>
        <v>-0.024</v>
      </c>
      <c r="J13" s="66" t="n">
        <v>-0.25</v>
      </c>
      <c r="K13" s="66" t="n">
        <f aca="false">J13+L13</f>
        <v>-0.254</v>
      </c>
      <c r="L13" s="67" t="n">
        <f aca="false">RANDBETWEEN(-105,125)/1000</f>
        <v>-0.004</v>
      </c>
      <c r="M13" s="66" t="n">
        <v>-0.26</v>
      </c>
      <c r="N13" s="66" t="n">
        <f aca="false">M13+O13</f>
        <v>-0.291</v>
      </c>
      <c r="O13" s="67" t="n">
        <f aca="false">RANDBETWEEN(-105,125)/1000</f>
        <v>-0.031</v>
      </c>
      <c r="P13" s="66" t="n">
        <v>-0.27</v>
      </c>
      <c r="Q13" s="66" t="n">
        <f aca="false">P13+R13</f>
        <v>-0.265</v>
      </c>
      <c r="R13" s="67" t="n">
        <f aca="false">RANDBETWEEN(-105,125)/1000</f>
        <v>0.005</v>
      </c>
      <c r="S13" s="66"/>
      <c r="T13" s="52" t="n">
        <v>3.64</v>
      </c>
    </row>
    <row r="14" customFormat="false" ht="19.5" hidden="false" customHeight="true" outlineLevel="0" collapsed="false">
      <c r="A14" s="64" t="n">
        <v>3</v>
      </c>
      <c r="B14" s="64" t="s">
        <v>83</v>
      </c>
      <c r="C14" s="65" t="n">
        <f aca="false">C13+T13</f>
        <v>573.12</v>
      </c>
      <c r="D14" s="66" t="n">
        <v>1.21</v>
      </c>
      <c r="E14" s="66" t="n">
        <f aca="false">D14+F14</f>
        <v>1.27</v>
      </c>
      <c r="F14" s="67" t="n">
        <f aca="false">RANDBETWEEN(-105,125)/1000</f>
        <v>0.06</v>
      </c>
      <c r="G14" s="66" t="n">
        <v>1.52</v>
      </c>
      <c r="H14" s="66" t="n">
        <f aca="false">G14+I14</f>
        <v>1.475</v>
      </c>
      <c r="I14" s="67" t="n">
        <f aca="false">RANDBETWEEN(-105,125)/1000</f>
        <v>-0.045</v>
      </c>
      <c r="J14" s="66" t="n">
        <v>1.41</v>
      </c>
      <c r="K14" s="66" t="n">
        <f aca="false">J14+L14</f>
        <v>1.467</v>
      </c>
      <c r="L14" s="67" t="n">
        <f aca="false">RANDBETWEEN(-105,125)/1000</f>
        <v>0.057</v>
      </c>
      <c r="M14" s="66" t="n">
        <v>1.48</v>
      </c>
      <c r="N14" s="66" t="n">
        <f aca="false">M14+O14</f>
        <v>1.512</v>
      </c>
      <c r="O14" s="67" t="n">
        <f aca="false">RANDBETWEEN(-105,125)/1000</f>
        <v>0.032</v>
      </c>
      <c r="P14" s="66" t="n">
        <v>1.55</v>
      </c>
      <c r="Q14" s="66" t="n">
        <f aca="false">P14+R14</f>
        <v>1.671</v>
      </c>
      <c r="R14" s="67" t="n">
        <f aca="false">RANDBETWEEN(-105,125)/1000</f>
        <v>0.121</v>
      </c>
      <c r="S14" s="66"/>
      <c r="T14" s="52" t="n">
        <v>6.56</v>
      </c>
    </row>
    <row r="15" customFormat="false" ht="19.5" hidden="false" customHeight="true" outlineLevel="0" collapsed="false">
      <c r="A15" s="64" t="n">
        <v>4</v>
      </c>
      <c r="B15" s="64" t="s">
        <v>84</v>
      </c>
      <c r="C15" s="65" t="n">
        <f aca="false">C14+T14</f>
        <v>579.68</v>
      </c>
      <c r="D15" s="66" t="n">
        <v>1.62</v>
      </c>
      <c r="E15" s="66" t="n">
        <f aca="false">D15+F15</f>
        <v>1.693</v>
      </c>
      <c r="F15" s="67" t="n">
        <f aca="false">RANDBETWEEN(-105,125)/1000</f>
        <v>0.073</v>
      </c>
      <c r="G15" s="66" t="n">
        <v>1.6</v>
      </c>
      <c r="H15" s="66" t="n">
        <f aca="false">G15+I15</f>
        <v>1.656</v>
      </c>
      <c r="I15" s="67" t="n">
        <f aca="false">RANDBETWEEN(-105,125)/1000</f>
        <v>0.056</v>
      </c>
      <c r="J15" s="66" t="n">
        <v>-0.28</v>
      </c>
      <c r="K15" s="66" t="n">
        <f aca="false">J15+L15</f>
        <v>-0.316</v>
      </c>
      <c r="L15" s="67" t="n">
        <f aca="false">RANDBETWEEN(-105,125)/1000</f>
        <v>-0.036</v>
      </c>
      <c r="M15" s="66" t="n">
        <v>-0.33</v>
      </c>
      <c r="N15" s="66" t="n">
        <f aca="false">M15+O15</f>
        <v>-0.292</v>
      </c>
      <c r="O15" s="67" t="n">
        <f aca="false">RANDBETWEEN(-105,125)/1000</f>
        <v>0.038</v>
      </c>
      <c r="P15" s="66" t="n">
        <v>-0.38</v>
      </c>
      <c r="Q15" s="66" t="n">
        <f aca="false">P15+R15</f>
        <v>-0.411</v>
      </c>
      <c r="R15" s="67" t="n">
        <f aca="false">RANDBETWEEN(-105,125)/1000</f>
        <v>-0.031</v>
      </c>
      <c r="S15" s="66"/>
      <c r="T15" s="52" t="n">
        <v>4.84</v>
      </c>
    </row>
    <row r="16" customFormat="false" ht="19.5" hidden="false" customHeight="true" outlineLevel="0" collapsed="false">
      <c r="A16" s="64" t="n">
        <v>5</v>
      </c>
      <c r="B16" s="64" t="s">
        <v>85</v>
      </c>
      <c r="C16" s="65" t="n">
        <f aca="false">C15+T15</f>
        <v>584.52</v>
      </c>
      <c r="D16" s="66" t="n">
        <v>1.39</v>
      </c>
      <c r="E16" s="66" t="n">
        <f aca="false">D16+F16</f>
        <v>1.33</v>
      </c>
      <c r="F16" s="67" t="n">
        <f aca="false">RANDBETWEEN(-105,125)/1000</f>
        <v>-0.06</v>
      </c>
      <c r="G16" s="66" t="n">
        <v>1.3</v>
      </c>
      <c r="H16" s="66" t="n">
        <f aca="false">G16+I16</f>
        <v>1.401</v>
      </c>
      <c r="I16" s="67" t="n">
        <f aca="false">RANDBETWEEN(-105,125)/1000</f>
        <v>0.101</v>
      </c>
      <c r="J16" s="66" t="n">
        <v>-0.29</v>
      </c>
      <c r="K16" s="66" t="n">
        <f aca="false">J16+L16</f>
        <v>-0.318</v>
      </c>
      <c r="L16" s="67" t="n">
        <f aca="false">RANDBETWEEN(-105,125)/1000</f>
        <v>-0.028</v>
      </c>
      <c r="M16" s="66" t="n">
        <v>-0.33</v>
      </c>
      <c r="N16" s="66" t="n">
        <f aca="false">M16+O16</f>
        <v>-0.288</v>
      </c>
      <c r="O16" s="67" t="n">
        <f aca="false">RANDBETWEEN(-105,125)/1000</f>
        <v>0.042</v>
      </c>
      <c r="P16" s="66" t="n">
        <v>-0.37</v>
      </c>
      <c r="Q16" s="66" t="n">
        <f aca="false">P16+R16</f>
        <v>-0.387</v>
      </c>
      <c r="R16" s="67" t="n">
        <f aca="false">RANDBETWEEN(-105,125)/1000</f>
        <v>-0.017</v>
      </c>
      <c r="S16" s="66"/>
      <c r="T16" s="52" t="n">
        <v>1.71</v>
      </c>
    </row>
    <row r="17" customFormat="false" ht="19.5" hidden="false" customHeight="true" outlineLevel="0" collapsed="false">
      <c r="A17" s="64" t="n">
        <v>6</v>
      </c>
      <c r="B17" s="64" t="s">
        <v>86</v>
      </c>
      <c r="C17" s="65" t="n">
        <f aca="false">C16+T16</f>
        <v>586.23</v>
      </c>
      <c r="D17" s="66" t="n">
        <v>1.39</v>
      </c>
      <c r="E17" s="66" t="n">
        <f aca="false">D17+F17</f>
        <v>1.342</v>
      </c>
      <c r="F17" s="67" t="n">
        <f aca="false">RANDBETWEEN(-105,125)/1000</f>
        <v>-0.048</v>
      </c>
      <c r="G17" s="66" t="n">
        <v>1.35</v>
      </c>
      <c r="H17" s="66" t="n">
        <f aca="false">G17+I17</f>
        <v>1.256</v>
      </c>
      <c r="I17" s="67" t="n">
        <f aca="false">RANDBETWEEN(-105,125)/1000</f>
        <v>-0.094</v>
      </c>
      <c r="J17" s="66" t="n">
        <v>-0.28</v>
      </c>
      <c r="K17" s="66" t="n">
        <f aca="false">J17+L17</f>
        <v>-0.268</v>
      </c>
      <c r="L17" s="67" t="n">
        <f aca="false">RANDBETWEEN(-105,125)/1000</f>
        <v>0.012</v>
      </c>
      <c r="M17" s="66" t="n">
        <v>-0.31</v>
      </c>
      <c r="N17" s="66" t="n">
        <f aca="false">M17+O17</f>
        <v>-0.24</v>
      </c>
      <c r="O17" s="67" t="n">
        <f aca="false">RANDBETWEEN(-105,125)/1000</f>
        <v>0.07</v>
      </c>
      <c r="P17" s="66" t="n">
        <v>-0.35</v>
      </c>
      <c r="Q17" s="66" t="n">
        <f aca="false">P17+R17</f>
        <v>-0.386</v>
      </c>
      <c r="R17" s="67" t="n">
        <f aca="false">RANDBETWEEN(-105,125)/1000</f>
        <v>-0.036</v>
      </c>
      <c r="S17" s="66"/>
      <c r="T17" s="52" t="n">
        <v>11.55</v>
      </c>
    </row>
    <row r="18" customFormat="false" ht="19.5" hidden="false" customHeight="true" outlineLevel="0" collapsed="false">
      <c r="A18" s="64" t="n">
        <v>7</v>
      </c>
      <c r="B18" s="64" t="s">
        <v>87</v>
      </c>
      <c r="C18" s="65" t="n">
        <f aca="false">C17+T17</f>
        <v>597.78</v>
      </c>
      <c r="D18" s="66" t="n">
        <v>1.61</v>
      </c>
      <c r="E18" s="66" t="n">
        <f aca="false">D18+F18</f>
        <v>1.544</v>
      </c>
      <c r="F18" s="67" t="n">
        <f aca="false">RANDBETWEEN(-105,125)/1000</f>
        <v>-0.066</v>
      </c>
      <c r="G18" s="66" t="n">
        <v>-0.05</v>
      </c>
      <c r="H18" s="66" t="n">
        <f aca="false">G18+I18</f>
        <v>0.031</v>
      </c>
      <c r="I18" s="67" t="n">
        <f aca="false">RANDBETWEEN(-105,125)/1000</f>
        <v>0.081</v>
      </c>
      <c r="J18" s="66" t="n">
        <v>-0.45</v>
      </c>
      <c r="K18" s="66" t="n">
        <f aca="false">J18+L18</f>
        <v>-0.42</v>
      </c>
      <c r="L18" s="67" t="n">
        <f aca="false">RANDBETWEEN(-105,125)/1000</f>
        <v>0.03</v>
      </c>
      <c r="M18" s="66" t="n">
        <v>-0.36</v>
      </c>
      <c r="N18" s="66" t="n">
        <f aca="false">M18+O18</f>
        <v>-0.294</v>
      </c>
      <c r="O18" s="67" t="n">
        <f aca="false">RANDBETWEEN(-105,125)/1000</f>
        <v>0.066</v>
      </c>
      <c r="P18" s="66" t="n">
        <v>-0.27</v>
      </c>
      <c r="Q18" s="66" t="n">
        <f aca="false">P18+R18</f>
        <v>-0.301</v>
      </c>
      <c r="R18" s="67" t="n">
        <f aca="false">RANDBETWEEN(-105,125)/1000</f>
        <v>-0.031</v>
      </c>
      <c r="S18" s="66"/>
      <c r="T18" s="52" t="n">
        <v>17</v>
      </c>
    </row>
    <row r="19" customFormat="false" ht="19.5" hidden="false" customHeight="true" outlineLevel="0" collapsed="false">
      <c r="A19" s="64" t="n">
        <v>8</v>
      </c>
      <c r="B19" s="64" t="s">
        <v>88</v>
      </c>
      <c r="C19" s="65" t="n">
        <f aca="false">C18+T18</f>
        <v>614.78</v>
      </c>
      <c r="D19" s="66" t="n">
        <v>1.55</v>
      </c>
      <c r="E19" s="66" t="n">
        <f aca="false">D19+F19</f>
        <v>1.634</v>
      </c>
      <c r="F19" s="67" t="n">
        <f aca="false">RANDBETWEEN(-105,125)/1000</f>
        <v>0.084</v>
      </c>
      <c r="G19" s="66" t="n">
        <v>0.16</v>
      </c>
      <c r="H19" s="66" t="n">
        <f aca="false">G19+I19</f>
        <v>0.093</v>
      </c>
      <c r="I19" s="67" t="n">
        <f aca="false">RANDBETWEEN(-105,125)/1000</f>
        <v>-0.067</v>
      </c>
      <c r="J19" s="66" t="n">
        <v>-0.15</v>
      </c>
      <c r="K19" s="66" t="n">
        <f aca="false">J19+L19</f>
        <v>-0.166</v>
      </c>
      <c r="L19" s="67" t="n">
        <f aca="false">RANDBETWEEN(-105,125)/1000</f>
        <v>-0.016</v>
      </c>
      <c r="M19" s="66" t="n">
        <v>-0.11</v>
      </c>
      <c r="N19" s="66" t="n">
        <f aca="false">M19+O19</f>
        <v>-0.204</v>
      </c>
      <c r="O19" s="67" t="n">
        <f aca="false">RANDBETWEEN(-105,125)/1000</f>
        <v>-0.094</v>
      </c>
      <c r="P19" s="66" t="n">
        <v>-0.07</v>
      </c>
      <c r="Q19" s="66" t="n">
        <f aca="false">P19+R19</f>
        <v>-0.111</v>
      </c>
      <c r="R19" s="67" t="n">
        <f aca="false">RANDBETWEEN(-105,125)/1000</f>
        <v>-0.041</v>
      </c>
      <c r="S19" s="66"/>
      <c r="T19" s="52" t="n">
        <v>17.05</v>
      </c>
    </row>
    <row r="20" customFormat="false" ht="19.5" hidden="false" customHeight="true" outlineLevel="0" collapsed="false">
      <c r="A20" s="64" t="n">
        <v>9</v>
      </c>
      <c r="B20" s="64" t="s">
        <v>89</v>
      </c>
      <c r="C20" s="65" t="n">
        <f aca="false">C19+T19</f>
        <v>631.83</v>
      </c>
      <c r="D20" s="66" t="n">
        <v>0.15</v>
      </c>
      <c r="E20" s="66" t="n">
        <f aca="false">D20+F20</f>
        <v>0.13</v>
      </c>
      <c r="F20" s="67" t="n">
        <f aca="false">RANDBETWEEN(-105,125)/1000</f>
        <v>-0.02</v>
      </c>
      <c r="G20" s="66" t="n">
        <v>0.02</v>
      </c>
      <c r="H20" s="66" t="n">
        <f aca="false">G20+I20</f>
        <v>0.093</v>
      </c>
      <c r="I20" s="67" t="n">
        <f aca="false">RANDBETWEEN(-105,125)/1000</f>
        <v>0.073</v>
      </c>
      <c r="J20" s="66" t="n">
        <v>-0.12</v>
      </c>
      <c r="K20" s="66" t="n">
        <f aca="false">J20+L20</f>
        <v>-0.138</v>
      </c>
      <c r="L20" s="67" t="n">
        <f aca="false">RANDBETWEEN(-105,125)/1000</f>
        <v>-0.018</v>
      </c>
      <c r="M20" s="66" t="n">
        <v>-0.06</v>
      </c>
      <c r="N20" s="66" t="n">
        <f aca="false">M20+O20</f>
        <v>-0.105</v>
      </c>
      <c r="O20" s="67" t="n">
        <f aca="false">RANDBETWEEN(-105,125)/1000</f>
        <v>-0.045</v>
      </c>
      <c r="P20" s="66" t="n">
        <v>-0.01</v>
      </c>
      <c r="Q20" s="66" t="n">
        <f aca="false">P20+R20</f>
        <v>-0.094</v>
      </c>
      <c r="R20" s="67" t="n">
        <f aca="false">RANDBETWEEN(-105,125)/1000</f>
        <v>-0.084</v>
      </c>
      <c r="S20" s="66"/>
      <c r="T20" s="52" t="n">
        <v>11.7</v>
      </c>
    </row>
    <row r="21" customFormat="false" ht="19.5" hidden="false" customHeight="true" outlineLevel="0" collapsed="false">
      <c r="A21" s="64" t="n">
        <v>10</v>
      </c>
      <c r="B21" s="64" t="s">
        <v>90</v>
      </c>
      <c r="C21" s="65" t="n">
        <f aca="false">C20+T20</f>
        <v>643.53</v>
      </c>
      <c r="D21" s="66" t="n">
        <v>0.28</v>
      </c>
      <c r="E21" s="66" t="n">
        <f aca="false">D21+F21</f>
        <v>0.369</v>
      </c>
      <c r="F21" s="67" t="n">
        <f aca="false">RANDBETWEEN(-105,125)/1000</f>
        <v>0.089</v>
      </c>
      <c r="G21" s="66" t="n">
        <v>0.15</v>
      </c>
      <c r="H21" s="66" t="n">
        <f aca="false">G21+I21</f>
        <v>0.258</v>
      </c>
      <c r="I21" s="67" t="n">
        <f aca="false">RANDBETWEEN(-105,125)/1000</f>
        <v>0.108</v>
      </c>
      <c r="J21" s="66" t="n">
        <v>0.01</v>
      </c>
      <c r="K21" s="66" t="n">
        <f aca="false">J21+L21</f>
        <v>0.018</v>
      </c>
      <c r="L21" s="67" t="n">
        <f aca="false">RANDBETWEEN(-105,125)/1000</f>
        <v>0.008</v>
      </c>
      <c r="M21" s="66" t="n">
        <v>-0.05</v>
      </c>
      <c r="N21" s="66" t="n">
        <f aca="false">M21+O21</f>
        <v>-0.097</v>
      </c>
      <c r="O21" s="67" t="n">
        <f aca="false">RANDBETWEEN(-105,125)/1000</f>
        <v>-0.047</v>
      </c>
      <c r="P21" s="66" t="n">
        <v>-0.1</v>
      </c>
      <c r="Q21" s="66" t="n">
        <f aca="false">P21+R21</f>
        <v>0.01</v>
      </c>
      <c r="R21" s="67" t="n">
        <f aca="false">RANDBETWEEN(-105,125)/1000</f>
        <v>0.11</v>
      </c>
      <c r="S21" s="66"/>
      <c r="T21" s="52" t="n">
        <v>11.75</v>
      </c>
    </row>
    <row r="22" customFormat="false" ht="19.5" hidden="false" customHeight="true" outlineLevel="0" collapsed="false">
      <c r="A22" s="64" t="n">
        <v>11</v>
      </c>
      <c r="B22" s="64" t="s">
        <v>91</v>
      </c>
      <c r="C22" s="65" t="n">
        <f aca="false">C21+T21</f>
        <v>655.28</v>
      </c>
      <c r="D22" s="66" t="n">
        <v>0.3</v>
      </c>
      <c r="E22" s="66" t="n">
        <f aca="false">D22+F22</f>
        <v>0.292</v>
      </c>
      <c r="F22" s="67" t="n">
        <f aca="false">RANDBETWEEN(-105,125)/1000</f>
        <v>-0.008</v>
      </c>
      <c r="G22" s="66" t="n">
        <v>0.03</v>
      </c>
      <c r="H22" s="66" t="n">
        <f aca="false">G22+I22</f>
        <v>0.155</v>
      </c>
      <c r="I22" s="67" t="n">
        <f aca="false">RANDBETWEEN(-105,125)/1000</f>
        <v>0.125</v>
      </c>
      <c r="J22" s="66" t="n">
        <v>-0.25</v>
      </c>
      <c r="K22" s="66" t="n">
        <f aca="false">J22+L22</f>
        <v>-0.239</v>
      </c>
      <c r="L22" s="67" t="n">
        <f aca="false">RANDBETWEEN(-105,125)/1000</f>
        <v>0.011</v>
      </c>
      <c r="M22" s="66" t="n">
        <v>-0.28</v>
      </c>
      <c r="N22" s="66" t="n">
        <f aca="false">M22+O22</f>
        <v>-0.155</v>
      </c>
      <c r="O22" s="67" t="n">
        <f aca="false">RANDBETWEEN(-105,125)/1000</f>
        <v>0.125</v>
      </c>
      <c r="P22" s="66" t="n">
        <v>-0.3</v>
      </c>
      <c r="Q22" s="66" t="n">
        <f aca="false">P22+R22</f>
        <v>-0.196</v>
      </c>
      <c r="R22" s="67" t="n">
        <f aca="false">RANDBETWEEN(-105,125)/1000</f>
        <v>0.104</v>
      </c>
      <c r="S22" s="66"/>
      <c r="T22" s="52" t="n">
        <v>17</v>
      </c>
    </row>
    <row r="23" customFormat="false" ht="19.5" hidden="false" customHeight="true" outlineLevel="0" collapsed="false">
      <c r="A23" s="64" t="n">
        <v>12</v>
      </c>
      <c r="B23" s="64" t="s">
        <v>92</v>
      </c>
      <c r="C23" s="65" t="n">
        <f aca="false">C22+T22</f>
        <v>672.28</v>
      </c>
      <c r="D23" s="66" t="n">
        <v>0.39</v>
      </c>
      <c r="E23" s="66" t="n">
        <f aca="false">D23+F23</f>
        <v>0.356</v>
      </c>
      <c r="F23" s="67" t="n">
        <f aca="false">RANDBETWEEN(-105,125)/1000</f>
        <v>-0.034</v>
      </c>
      <c r="G23" s="66" t="n">
        <v>-1.46</v>
      </c>
      <c r="H23" s="66" t="n">
        <f aca="false">G23+I23</f>
        <v>-1.372</v>
      </c>
      <c r="I23" s="67" t="n">
        <f aca="false">RANDBETWEEN(-105,125)/1000</f>
        <v>0.088</v>
      </c>
      <c r="J23" s="66" t="n">
        <v>-1.62</v>
      </c>
      <c r="K23" s="66" t="n">
        <f aca="false">J23+L23</f>
        <v>-1.694</v>
      </c>
      <c r="L23" s="67" t="n">
        <f aca="false">RANDBETWEEN(-105,125)/1000</f>
        <v>-0.074</v>
      </c>
      <c r="M23" s="66" t="n">
        <v>-1.68</v>
      </c>
      <c r="N23" s="66" t="n">
        <f aca="false">M23+O23</f>
        <v>-1.725</v>
      </c>
      <c r="O23" s="67" t="n">
        <f aca="false">RANDBETWEEN(-105,125)/1000</f>
        <v>-0.045</v>
      </c>
      <c r="P23" s="66" t="n">
        <v>-1.73</v>
      </c>
      <c r="Q23" s="66" t="n">
        <f aca="false">P23+R23</f>
        <v>-1.72</v>
      </c>
      <c r="R23" s="67" t="n">
        <f aca="false">RANDBETWEEN(-105,125)/1000</f>
        <v>0.01</v>
      </c>
      <c r="S23" s="66"/>
    </row>
    <row r="24" customFormat="false" ht="19.5" hidden="true" customHeight="true" outlineLevel="0" collapsed="false">
      <c r="A24" s="64"/>
      <c r="B24" s="64"/>
      <c r="C24" s="65"/>
      <c r="D24" s="66"/>
      <c r="E24" s="66"/>
      <c r="F24" s="67"/>
      <c r="G24" s="66"/>
      <c r="H24" s="66"/>
      <c r="I24" s="67"/>
      <c r="J24" s="66"/>
      <c r="K24" s="66"/>
      <c r="L24" s="67"/>
      <c r="M24" s="66"/>
      <c r="N24" s="66"/>
      <c r="O24" s="67"/>
      <c r="P24" s="66"/>
      <c r="Q24" s="66"/>
      <c r="R24" s="67"/>
      <c r="S24" s="66"/>
    </row>
    <row r="25" customFormat="false" ht="19.5" hidden="true" customHeight="true" outlineLevel="0" collapsed="false">
      <c r="A25" s="64"/>
      <c r="B25" s="64"/>
      <c r="C25" s="65"/>
      <c r="D25" s="66"/>
      <c r="E25" s="66"/>
      <c r="F25" s="67"/>
      <c r="G25" s="66"/>
      <c r="H25" s="66"/>
      <c r="I25" s="67"/>
      <c r="J25" s="66"/>
      <c r="K25" s="66"/>
      <c r="L25" s="67"/>
      <c r="M25" s="66"/>
      <c r="N25" s="66"/>
      <c r="O25" s="67"/>
      <c r="P25" s="66"/>
      <c r="Q25" s="66"/>
      <c r="R25" s="67"/>
      <c r="S25" s="66"/>
    </row>
    <row r="26" customFormat="false" ht="19.5" hidden="true" customHeight="true" outlineLevel="0" collapsed="false">
      <c r="A26" s="64"/>
      <c r="B26" s="64"/>
      <c r="C26" s="65"/>
      <c r="D26" s="66"/>
      <c r="E26" s="66"/>
      <c r="F26" s="67"/>
      <c r="G26" s="66"/>
      <c r="H26" s="66"/>
      <c r="I26" s="67"/>
      <c r="J26" s="66"/>
      <c r="K26" s="66"/>
      <c r="L26" s="67"/>
      <c r="M26" s="66"/>
      <c r="N26" s="66"/>
      <c r="O26" s="67"/>
      <c r="P26" s="66"/>
      <c r="Q26" s="66"/>
      <c r="R26" s="67"/>
      <c r="S26" s="66"/>
    </row>
    <row r="27" customFormat="false" ht="19.5" hidden="true" customHeight="true" outlineLevel="0" collapsed="false">
      <c r="A27" s="64"/>
      <c r="B27" s="64"/>
      <c r="C27" s="65"/>
      <c r="D27" s="66"/>
      <c r="E27" s="66"/>
      <c r="F27" s="67"/>
      <c r="G27" s="66"/>
      <c r="H27" s="66"/>
      <c r="I27" s="67"/>
      <c r="J27" s="66"/>
      <c r="K27" s="66"/>
      <c r="L27" s="67"/>
      <c r="M27" s="66"/>
      <c r="N27" s="66"/>
      <c r="O27" s="67"/>
      <c r="P27" s="66"/>
      <c r="Q27" s="66"/>
      <c r="R27" s="67"/>
      <c r="S27" s="66"/>
    </row>
    <row r="28" customFormat="false" ht="19.5" hidden="true" customHeight="true" outlineLevel="0" collapsed="false">
      <c r="A28" s="64"/>
      <c r="B28" s="64"/>
      <c r="C28" s="65"/>
      <c r="D28" s="66"/>
      <c r="E28" s="66"/>
      <c r="F28" s="67"/>
      <c r="G28" s="66"/>
      <c r="H28" s="66"/>
      <c r="I28" s="67"/>
      <c r="J28" s="66"/>
      <c r="K28" s="66"/>
      <c r="L28" s="67"/>
      <c r="M28" s="66"/>
      <c r="N28" s="66"/>
      <c r="O28" s="67"/>
      <c r="P28" s="66"/>
      <c r="Q28" s="66"/>
      <c r="R28" s="67"/>
      <c r="S28" s="66"/>
    </row>
    <row r="29" customFormat="false" ht="19.5" hidden="true" customHeight="true" outlineLevel="0" collapsed="false">
      <c r="A29" s="64"/>
      <c r="B29" s="64"/>
      <c r="C29" s="65"/>
      <c r="D29" s="66"/>
      <c r="E29" s="66"/>
      <c r="F29" s="67"/>
      <c r="G29" s="66"/>
      <c r="H29" s="66"/>
      <c r="I29" s="67"/>
      <c r="J29" s="66"/>
      <c r="K29" s="66"/>
      <c r="L29" s="67"/>
      <c r="M29" s="66"/>
      <c r="N29" s="66"/>
      <c r="O29" s="67"/>
      <c r="P29" s="66"/>
      <c r="Q29" s="66"/>
      <c r="R29" s="67"/>
      <c r="S29" s="66"/>
    </row>
    <row r="30" customFormat="false" ht="19.5" hidden="true" customHeight="true" outlineLevel="0" collapsed="false">
      <c r="A30" s="64"/>
      <c r="B30" s="64"/>
      <c r="C30" s="65"/>
      <c r="D30" s="66"/>
      <c r="E30" s="66"/>
      <c r="F30" s="67"/>
      <c r="G30" s="66"/>
      <c r="H30" s="66"/>
      <c r="I30" s="67"/>
      <c r="J30" s="66"/>
      <c r="K30" s="66"/>
      <c r="L30" s="67"/>
      <c r="M30" s="66"/>
      <c r="N30" s="66"/>
      <c r="O30" s="67"/>
      <c r="P30" s="66"/>
      <c r="Q30" s="66"/>
      <c r="R30" s="67"/>
      <c r="S30" s="66"/>
    </row>
    <row r="31" customFormat="false" ht="19.5" hidden="true" customHeight="true" outlineLevel="0" collapsed="false">
      <c r="A31" s="64"/>
      <c r="B31" s="64"/>
      <c r="C31" s="65"/>
      <c r="D31" s="66"/>
      <c r="E31" s="66"/>
      <c r="F31" s="67"/>
      <c r="G31" s="66"/>
      <c r="H31" s="66"/>
      <c r="I31" s="67"/>
      <c r="J31" s="66"/>
      <c r="K31" s="66"/>
      <c r="L31" s="67"/>
      <c r="M31" s="66"/>
      <c r="N31" s="66"/>
      <c r="O31" s="67"/>
      <c r="P31" s="66"/>
      <c r="Q31" s="66"/>
      <c r="R31" s="67"/>
      <c r="S31" s="66"/>
    </row>
    <row r="32" customFormat="false" ht="19.5" hidden="true" customHeight="true" outlineLevel="0" collapsed="false">
      <c r="A32" s="64"/>
      <c r="B32" s="64"/>
      <c r="C32" s="65"/>
      <c r="D32" s="66"/>
      <c r="E32" s="66"/>
      <c r="F32" s="67"/>
      <c r="G32" s="66"/>
      <c r="H32" s="66"/>
      <c r="I32" s="67"/>
      <c r="J32" s="66"/>
      <c r="K32" s="66"/>
      <c r="L32" s="67"/>
      <c r="M32" s="66"/>
      <c r="N32" s="66"/>
      <c r="O32" s="67"/>
      <c r="P32" s="66"/>
      <c r="Q32" s="66"/>
      <c r="R32" s="67"/>
      <c r="S32" s="66"/>
    </row>
    <row r="33" customFormat="false" ht="19.5" hidden="true" customHeight="true" outlineLevel="0" collapsed="false">
      <c r="A33" s="64"/>
      <c r="B33" s="64"/>
      <c r="C33" s="65"/>
      <c r="D33" s="66"/>
      <c r="E33" s="66"/>
      <c r="F33" s="67"/>
      <c r="G33" s="66"/>
      <c r="H33" s="66"/>
      <c r="I33" s="67"/>
      <c r="J33" s="66"/>
      <c r="K33" s="66"/>
      <c r="L33" s="67"/>
      <c r="M33" s="66"/>
      <c r="N33" s="66"/>
      <c r="O33" s="67"/>
      <c r="P33" s="66"/>
      <c r="Q33" s="66"/>
      <c r="R33" s="67"/>
      <c r="S33" s="66"/>
    </row>
    <row r="34" customFormat="false" ht="19.5" hidden="true" customHeight="true" outlineLevel="0" collapsed="false">
      <c r="A34" s="64"/>
      <c r="B34" s="64"/>
      <c r="C34" s="65"/>
      <c r="D34" s="66"/>
      <c r="E34" s="66"/>
      <c r="F34" s="67"/>
      <c r="G34" s="66"/>
      <c r="H34" s="66"/>
      <c r="I34" s="67"/>
      <c r="J34" s="66"/>
      <c r="K34" s="66"/>
      <c r="L34" s="67"/>
      <c r="M34" s="66"/>
      <c r="N34" s="66"/>
      <c r="O34" s="67"/>
      <c r="P34" s="66"/>
      <c r="Q34" s="66"/>
      <c r="R34" s="67"/>
      <c r="S34" s="66"/>
    </row>
    <row r="35" customFormat="false" ht="19.5" hidden="true" customHeight="true" outlineLevel="0" collapsed="false">
      <c r="A35" s="64"/>
      <c r="B35" s="64"/>
      <c r="C35" s="65"/>
      <c r="D35" s="66"/>
      <c r="E35" s="66"/>
      <c r="F35" s="67"/>
      <c r="G35" s="66"/>
      <c r="H35" s="66"/>
      <c r="I35" s="67"/>
      <c r="J35" s="66"/>
      <c r="K35" s="66"/>
      <c r="L35" s="67"/>
      <c r="M35" s="66"/>
      <c r="N35" s="66"/>
      <c r="O35" s="67"/>
      <c r="P35" s="66"/>
      <c r="Q35" s="66"/>
      <c r="R35" s="67"/>
      <c r="S35" s="66"/>
    </row>
    <row r="36" customFormat="false" ht="19.5" hidden="true" customHeight="true" outlineLevel="0" collapsed="false">
      <c r="A36" s="64"/>
      <c r="B36" s="64"/>
      <c r="C36" s="65"/>
      <c r="D36" s="66"/>
      <c r="E36" s="66"/>
      <c r="F36" s="67"/>
      <c r="G36" s="66"/>
      <c r="H36" s="66"/>
      <c r="I36" s="67"/>
      <c r="J36" s="66"/>
      <c r="K36" s="66"/>
      <c r="L36" s="67"/>
      <c r="M36" s="66"/>
      <c r="N36" s="66"/>
      <c r="O36" s="67"/>
      <c r="P36" s="66"/>
      <c r="Q36" s="66"/>
      <c r="R36" s="67"/>
      <c r="S36" s="66"/>
    </row>
    <row r="37" customFormat="false" ht="19.5" hidden="true" customHeight="true" outlineLevel="0" collapsed="false">
      <c r="A37" s="64"/>
      <c r="B37" s="64"/>
      <c r="C37" s="65"/>
      <c r="D37" s="66"/>
      <c r="E37" s="66"/>
      <c r="F37" s="67"/>
      <c r="G37" s="66"/>
      <c r="H37" s="66"/>
      <c r="I37" s="67"/>
      <c r="J37" s="66"/>
      <c r="K37" s="66"/>
      <c r="L37" s="67"/>
      <c r="M37" s="66"/>
      <c r="N37" s="66"/>
      <c r="O37" s="67"/>
      <c r="P37" s="66"/>
      <c r="Q37" s="66"/>
      <c r="R37" s="67"/>
      <c r="S37" s="66"/>
    </row>
    <row r="38" customFormat="false" ht="19.5" hidden="true" customHeight="true" outlineLevel="0" collapsed="false">
      <c r="A38" s="64"/>
      <c r="B38" s="64"/>
      <c r="C38" s="65"/>
      <c r="D38" s="66"/>
      <c r="E38" s="66"/>
      <c r="F38" s="67"/>
      <c r="G38" s="66"/>
      <c r="H38" s="66"/>
      <c r="I38" s="67"/>
      <c r="J38" s="66"/>
      <c r="K38" s="66"/>
      <c r="L38" s="67"/>
      <c r="M38" s="66"/>
      <c r="N38" s="66"/>
      <c r="O38" s="67"/>
      <c r="P38" s="66"/>
      <c r="Q38" s="66"/>
      <c r="R38" s="67"/>
      <c r="S38" s="66"/>
    </row>
    <row r="39" customFormat="false" ht="19.5" hidden="true" customHeight="true" outlineLevel="0" collapsed="false">
      <c r="A39" s="64"/>
      <c r="B39" s="64"/>
      <c r="C39" s="65"/>
      <c r="D39" s="66"/>
      <c r="E39" s="66"/>
      <c r="F39" s="67"/>
      <c r="G39" s="66"/>
      <c r="H39" s="66"/>
      <c r="I39" s="67"/>
      <c r="J39" s="66"/>
      <c r="K39" s="66"/>
      <c r="L39" s="67"/>
      <c r="M39" s="66"/>
      <c r="N39" s="66"/>
      <c r="O39" s="67"/>
      <c r="P39" s="66"/>
      <c r="Q39" s="66"/>
      <c r="R39" s="67"/>
      <c r="S39" s="66"/>
    </row>
    <row r="40" customFormat="false" ht="19.5" hidden="true" customHeight="true" outlineLevel="0" collapsed="false">
      <c r="A40" s="64"/>
      <c r="B40" s="64"/>
      <c r="C40" s="65"/>
      <c r="D40" s="66"/>
      <c r="E40" s="66"/>
      <c r="F40" s="67"/>
      <c r="G40" s="66"/>
      <c r="H40" s="66"/>
      <c r="I40" s="67"/>
      <c r="J40" s="66"/>
      <c r="K40" s="66"/>
      <c r="L40" s="67"/>
      <c r="M40" s="66"/>
      <c r="N40" s="66"/>
      <c r="O40" s="67"/>
      <c r="P40" s="66"/>
      <c r="Q40" s="66"/>
      <c r="R40" s="67"/>
      <c r="S40" s="66"/>
    </row>
    <row r="41" customFormat="false" ht="19.5" hidden="true" customHeight="true" outlineLevel="0" collapsed="false">
      <c r="A41" s="64"/>
      <c r="B41" s="64"/>
      <c r="C41" s="65"/>
      <c r="D41" s="66"/>
      <c r="E41" s="66"/>
      <c r="F41" s="67"/>
      <c r="G41" s="66"/>
      <c r="H41" s="66"/>
      <c r="I41" s="67"/>
      <c r="J41" s="66"/>
      <c r="K41" s="66"/>
      <c r="L41" s="67"/>
      <c r="M41" s="66"/>
      <c r="N41" s="66"/>
      <c r="O41" s="67"/>
      <c r="P41" s="66"/>
      <c r="Q41" s="66"/>
      <c r="R41" s="67"/>
      <c r="S41" s="66"/>
    </row>
    <row r="42" customFormat="false" ht="19.5" hidden="true" customHeight="true" outlineLevel="0" collapsed="false">
      <c r="A42" s="64"/>
      <c r="B42" s="64"/>
      <c r="C42" s="65"/>
      <c r="D42" s="66"/>
      <c r="E42" s="66"/>
      <c r="F42" s="67"/>
      <c r="G42" s="66"/>
      <c r="H42" s="66"/>
      <c r="I42" s="67"/>
      <c r="J42" s="66"/>
      <c r="K42" s="66"/>
      <c r="L42" s="67"/>
      <c r="M42" s="66"/>
      <c r="N42" s="66"/>
      <c r="O42" s="67"/>
      <c r="P42" s="66"/>
      <c r="Q42" s="66"/>
      <c r="R42" s="67"/>
      <c r="S42" s="66"/>
    </row>
    <row r="43" customFormat="false" ht="19.5" hidden="true" customHeight="true" outlineLevel="0" collapsed="false">
      <c r="A43" s="64"/>
      <c r="B43" s="64"/>
      <c r="C43" s="65"/>
      <c r="D43" s="66"/>
      <c r="E43" s="66"/>
      <c r="F43" s="67"/>
      <c r="G43" s="66"/>
      <c r="H43" s="66"/>
      <c r="I43" s="67"/>
      <c r="J43" s="66"/>
      <c r="K43" s="66"/>
      <c r="L43" s="67"/>
      <c r="M43" s="66"/>
      <c r="N43" s="66"/>
      <c r="O43" s="67"/>
      <c r="P43" s="66"/>
      <c r="Q43" s="66"/>
      <c r="R43" s="67"/>
      <c r="S43" s="66"/>
    </row>
    <row r="44" customFormat="false" ht="19.5" hidden="true" customHeight="true" outlineLevel="0" collapsed="false">
      <c r="A44" s="64"/>
      <c r="B44" s="64"/>
      <c r="C44" s="65"/>
      <c r="D44" s="66"/>
      <c r="E44" s="66"/>
      <c r="F44" s="67"/>
      <c r="G44" s="66"/>
      <c r="H44" s="66"/>
      <c r="I44" s="67"/>
      <c r="J44" s="66"/>
      <c r="K44" s="66"/>
      <c r="L44" s="67"/>
      <c r="M44" s="66"/>
      <c r="N44" s="66"/>
      <c r="O44" s="67"/>
      <c r="P44" s="66"/>
      <c r="Q44" s="66"/>
      <c r="R44" s="67"/>
      <c r="S44" s="66"/>
    </row>
    <row r="45" customFormat="false" ht="19.5" hidden="true" customHeight="true" outlineLevel="0" collapsed="false">
      <c r="A45" s="64"/>
      <c r="B45" s="64"/>
      <c r="C45" s="65"/>
      <c r="D45" s="66"/>
      <c r="E45" s="66"/>
      <c r="F45" s="67"/>
      <c r="G45" s="66"/>
      <c r="H45" s="66"/>
      <c r="I45" s="67"/>
      <c r="J45" s="66"/>
      <c r="K45" s="66"/>
      <c r="L45" s="67"/>
      <c r="M45" s="66"/>
      <c r="N45" s="66"/>
      <c r="O45" s="67"/>
      <c r="P45" s="66"/>
      <c r="Q45" s="66"/>
      <c r="R45" s="67"/>
      <c r="S45" s="66"/>
    </row>
    <row r="46" customFormat="false" ht="19.5" hidden="true" customHeight="true" outlineLevel="0" collapsed="false">
      <c r="A46" s="64"/>
      <c r="B46" s="64"/>
      <c r="C46" s="65"/>
      <c r="D46" s="66"/>
      <c r="E46" s="66"/>
      <c r="F46" s="67"/>
      <c r="G46" s="66"/>
      <c r="H46" s="66"/>
      <c r="I46" s="67"/>
      <c r="J46" s="66"/>
      <c r="K46" s="66"/>
      <c r="L46" s="67"/>
      <c r="M46" s="66"/>
      <c r="N46" s="66"/>
      <c r="O46" s="67"/>
      <c r="P46" s="66"/>
      <c r="Q46" s="66"/>
      <c r="R46" s="67"/>
      <c r="S46" s="66"/>
    </row>
    <row r="47" customFormat="false" ht="19.5" hidden="true" customHeight="true" outlineLevel="0" collapsed="false">
      <c r="A47" s="64"/>
      <c r="B47" s="64"/>
      <c r="C47" s="65"/>
      <c r="D47" s="66"/>
      <c r="E47" s="66"/>
      <c r="F47" s="67"/>
      <c r="G47" s="66"/>
      <c r="H47" s="66"/>
      <c r="I47" s="67"/>
      <c r="J47" s="66"/>
      <c r="K47" s="66"/>
      <c r="L47" s="67"/>
      <c r="M47" s="66"/>
      <c r="N47" s="66"/>
      <c r="O47" s="67"/>
      <c r="P47" s="66"/>
      <c r="Q47" s="66"/>
      <c r="R47" s="67"/>
      <c r="S47" s="66"/>
    </row>
    <row r="48" customFormat="false" ht="19.5" hidden="true" customHeight="true" outlineLevel="0" collapsed="false">
      <c r="A48" s="64"/>
      <c r="B48" s="64"/>
      <c r="C48" s="65"/>
      <c r="D48" s="66"/>
      <c r="E48" s="66"/>
      <c r="F48" s="67"/>
      <c r="G48" s="66"/>
      <c r="H48" s="66"/>
      <c r="I48" s="67"/>
      <c r="J48" s="66"/>
      <c r="K48" s="66"/>
      <c r="L48" s="67"/>
      <c r="M48" s="66"/>
      <c r="N48" s="66"/>
      <c r="O48" s="67"/>
      <c r="P48" s="66"/>
      <c r="Q48" s="66"/>
      <c r="R48" s="67"/>
      <c r="S48" s="66"/>
    </row>
    <row r="49" customFormat="false" ht="19.5" hidden="true" customHeight="true" outlineLevel="0" collapsed="false">
      <c r="A49" s="64"/>
      <c r="B49" s="64"/>
      <c r="C49" s="65"/>
      <c r="D49" s="66"/>
      <c r="E49" s="66"/>
      <c r="F49" s="67"/>
      <c r="G49" s="66"/>
      <c r="H49" s="66"/>
      <c r="I49" s="67"/>
      <c r="J49" s="66"/>
      <c r="K49" s="66"/>
      <c r="L49" s="67"/>
      <c r="M49" s="66"/>
      <c r="N49" s="66"/>
      <c r="O49" s="67"/>
      <c r="P49" s="66"/>
      <c r="Q49" s="66"/>
      <c r="R49" s="67"/>
      <c r="S49" s="66"/>
    </row>
    <row r="50" customFormat="false" ht="19.5" hidden="true" customHeight="true" outlineLevel="0" collapsed="false">
      <c r="A50" s="64"/>
      <c r="B50" s="64"/>
      <c r="C50" s="65"/>
      <c r="D50" s="66"/>
      <c r="E50" s="66"/>
      <c r="F50" s="67"/>
      <c r="G50" s="66"/>
      <c r="H50" s="66"/>
      <c r="I50" s="67"/>
      <c r="J50" s="66"/>
      <c r="K50" s="66"/>
      <c r="L50" s="67"/>
      <c r="M50" s="66"/>
      <c r="N50" s="66"/>
      <c r="O50" s="67"/>
      <c r="P50" s="66"/>
      <c r="Q50" s="66"/>
      <c r="R50" s="67"/>
      <c r="S50" s="66"/>
    </row>
    <row r="51" customFormat="false" ht="19.5" hidden="true" customHeight="true" outlineLevel="0" collapsed="false">
      <c r="A51" s="64"/>
      <c r="B51" s="64"/>
      <c r="C51" s="65"/>
      <c r="D51" s="66"/>
      <c r="E51" s="66"/>
      <c r="F51" s="67"/>
      <c r="G51" s="66"/>
      <c r="H51" s="66"/>
      <c r="I51" s="67"/>
      <c r="J51" s="66"/>
      <c r="K51" s="66"/>
      <c r="L51" s="67"/>
      <c r="M51" s="66"/>
      <c r="N51" s="66"/>
      <c r="O51" s="67"/>
      <c r="P51" s="66"/>
      <c r="Q51" s="66"/>
      <c r="R51" s="67"/>
      <c r="S51" s="66"/>
    </row>
    <row r="52" customFormat="false" ht="15" hidden="false" customHeight="false" outlineLevel="0" collapsed="false">
      <c r="A52" s="68"/>
      <c r="B52" s="68"/>
      <c r="C52" s="69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="72" customFormat="true" ht="15" hidden="false" customHeight="false" outlineLevel="0" collapsed="false">
      <c r="A53" s="71" t="s">
        <v>93</v>
      </c>
      <c r="B53" s="71"/>
      <c r="C53" s="71"/>
      <c r="D53" s="71"/>
      <c r="E53" s="71"/>
      <c r="F53" s="71"/>
      <c r="G53" s="71"/>
      <c r="H53" s="71"/>
      <c r="I53" s="71"/>
      <c r="J53" s="71"/>
      <c r="K53" s="71" t="s">
        <v>94</v>
      </c>
      <c r="L53" s="71"/>
      <c r="M53" s="71"/>
      <c r="N53" s="71"/>
      <c r="O53" s="71"/>
      <c r="P53" s="71"/>
      <c r="Q53" s="71"/>
      <c r="R53" s="71"/>
      <c r="S53" s="71"/>
    </row>
    <row r="54" s="72" customFormat="true" ht="21" hidden="false" customHeight="true" outlineLevel="0" collapsed="false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</row>
    <row r="55" s="72" customFormat="true" ht="21" hidden="false" customHeight="true" outlineLevel="0" collapsed="false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</row>
    <row r="56" s="72" customFormat="true" ht="21" hidden="false" customHeight="true" outlineLevel="0" collapsed="false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</row>
    <row r="57" s="72" customFormat="true" ht="15" hidden="false" customHeight="false" outlineLevel="0" collapsed="false">
      <c r="A57" s="71" t="s">
        <v>29</v>
      </c>
      <c r="B57" s="71"/>
      <c r="C57" s="71"/>
      <c r="D57" s="71"/>
      <c r="E57" s="71"/>
      <c r="F57" s="71"/>
      <c r="G57" s="71"/>
      <c r="H57" s="71"/>
      <c r="I57" s="71"/>
      <c r="J57" s="71"/>
      <c r="K57" s="71" t="str">
        <f aca="false">'Tuyến XD4'!Q3</f>
        <v>Trần Mạnh Tùng</v>
      </c>
      <c r="L57" s="71"/>
      <c r="M57" s="71"/>
      <c r="N57" s="71"/>
      <c r="O57" s="71"/>
      <c r="P57" s="71"/>
      <c r="Q57" s="71"/>
      <c r="R57" s="71"/>
      <c r="S57" s="71"/>
    </row>
    <row r="64" customFormat="false" ht="15" hidden="false" customHeight="false" outlineLevel="0" collapsed="false">
      <c r="B64" s="74"/>
    </row>
    <row r="65" customFormat="false" ht="15" hidden="false" customHeight="false" outlineLevel="0" collapsed="false">
      <c r="B65" s="74"/>
    </row>
    <row r="66" customFormat="false" ht="15" hidden="false" customHeight="false" outlineLevel="0" collapsed="false">
      <c r="B66" s="74"/>
    </row>
    <row r="67" customFormat="false" ht="15" hidden="false" customHeight="false" outlineLevel="0" collapsed="false">
      <c r="B67" s="74"/>
    </row>
    <row r="68" customFormat="false" ht="15" hidden="false" customHeight="false" outlineLevel="0" collapsed="false">
      <c r="B68" s="74"/>
    </row>
    <row r="69" customFormat="false" ht="15" hidden="false" customHeight="false" outlineLevel="0" collapsed="false">
      <c r="B69" s="74"/>
    </row>
    <row r="70" customFormat="false" ht="15" hidden="false" customHeight="false" outlineLevel="0" collapsed="false">
      <c r="B70" s="74"/>
    </row>
    <row r="71" customFormat="false" ht="15" hidden="false" customHeight="false" outlineLevel="0" collapsed="false">
      <c r="B71" s="74"/>
    </row>
    <row r="72" customFormat="false" ht="15" hidden="false" customHeight="false" outlineLevel="0" collapsed="false">
      <c r="B72" s="74"/>
    </row>
    <row r="73" customFormat="false" ht="15" hidden="false" customHeight="false" outlineLevel="0" collapsed="false">
      <c r="B73" s="74"/>
    </row>
    <row r="74" customFormat="false" ht="15" hidden="false" customHeight="false" outlineLevel="0" collapsed="false">
      <c r="B74" s="74"/>
    </row>
    <row r="75" customFormat="false" ht="15" hidden="false" customHeight="false" outlineLevel="0" collapsed="false">
      <c r="B75" s="74"/>
    </row>
    <row r="76" customFormat="false" ht="15" hidden="false" customHeight="false" outlineLevel="0" collapsed="false">
      <c r="B76" s="74"/>
    </row>
    <row r="77" customFormat="false" ht="15" hidden="false" customHeight="false" outlineLevel="0" collapsed="false">
      <c r="B77" s="74"/>
    </row>
    <row r="78" customFormat="false" ht="15" hidden="false" customHeight="false" outlineLevel="0" collapsed="false">
      <c r="B78" s="74"/>
    </row>
    <row r="79" customFormat="false" ht="15" hidden="false" customHeight="false" outlineLevel="0" collapsed="false">
      <c r="B79" s="74"/>
    </row>
    <row r="80" customFormat="false" ht="15" hidden="false" customHeight="false" outlineLevel="0" collapsed="false">
      <c r="B80" s="74"/>
    </row>
    <row r="81" customFormat="false" ht="15" hidden="false" customHeight="false" outlineLevel="0" collapsed="false">
      <c r="B81" s="74"/>
    </row>
    <row r="82" customFormat="false" ht="15" hidden="false" customHeight="false" outlineLevel="0" collapsed="false">
      <c r="B82" s="74"/>
    </row>
    <row r="83" customFormat="false" ht="15" hidden="false" customHeight="false" outlineLevel="0" collapsed="false">
      <c r="B83" s="74"/>
    </row>
    <row r="84" customFormat="false" ht="15" hidden="false" customHeight="false" outlineLevel="0" collapsed="false">
      <c r="B84" s="74"/>
    </row>
    <row r="85" customFormat="false" ht="15" hidden="false" customHeight="false" outlineLevel="0" collapsed="false">
      <c r="B85" s="74"/>
    </row>
    <row r="86" customFormat="false" ht="15" hidden="false" customHeight="false" outlineLevel="0" collapsed="false">
      <c r="B86" s="74"/>
    </row>
    <row r="87" customFormat="false" ht="15" hidden="false" customHeight="false" outlineLevel="0" collapsed="false">
      <c r="B87" s="74"/>
    </row>
    <row r="88" customFormat="false" ht="15" hidden="false" customHeight="false" outlineLevel="0" collapsed="false">
      <c r="B88" s="74"/>
    </row>
    <row r="89" customFormat="false" ht="15" hidden="false" customHeight="false" outlineLevel="0" collapsed="false">
      <c r="B89" s="74"/>
    </row>
    <row r="90" customFormat="false" ht="15" hidden="false" customHeight="false" outlineLevel="0" collapsed="false">
      <c r="B90" s="74"/>
    </row>
    <row r="91" customFormat="false" ht="15" hidden="false" customHeight="false" outlineLevel="0" collapsed="false">
      <c r="B91" s="74"/>
    </row>
    <row r="92" customFormat="false" ht="15" hidden="false" customHeight="false" outlineLevel="0" collapsed="false">
      <c r="B92" s="74"/>
    </row>
    <row r="93" customFormat="false" ht="15" hidden="false" customHeight="false" outlineLevel="0" collapsed="false">
      <c r="B93" s="74"/>
    </row>
    <row r="94" customFormat="false" ht="15" hidden="false" customHeight="false" outlineLevel="0" collapsed="false">
      <c r="B94" s="74"/>
    </row>
    <row r="95" customFormat="false" ht="15" hidden="false" customHeight="false" outlineLevel="0" collapsed="false">
      <c r="B95" s="74"/>
    </row>
    <row r="96" customFormat="false" ht="15" hidden="false" customHeight="false" outlineLevel="0" collapsed="false">
      <c r="B96" s="74"/>
    </row>
    <row r="97" customFormat="false" ht="15" hidden="false" customHeight="false" outlineLevel="0" collapsed="false">
      <c r="B97" s="74"/>
    </row>
    <row r="98" customFormat="false" ht="15" hidden="false" customHeight="false" outlineLevel="0" collapsed="false">
      <c r="B98" s="74"/>
    </row>
    <row r="99" customFormat="false" ht="15" hidden="false" customHeight="false" outlineLevel="0" collapsed="false">
      <c r="B99" s="74"/>
    </row>
  </sheetData>
  <mergeCells count="16">
    <mergeCell ref="A1:S1"/>
    <mergeCell ref="A2:S2"/>
    <mergeCell ref="A9:S9"/>
    <mergeCell ref="A10:A11"/>
    <mergeCell ref="B10:B11"/>
    <mergeCell ref="C10:C11"/>
    <mergeCell ref="D10:F10"/>
    <mergeCell ref="G10:I10"/>
    <mergeCell ref="J10:L10"/>
    <mergeCell ref="M10:O10"/>
    <mergeCell ref="P10:R10"/>
    <mergeCell ref="S10:S11"/>
    <mergeCell ref="A53:J53"/>
    <mergeCell ref="K53:S53"/>
    <mergeCell ref="A57:J57"/>
    <mergeCell ref="K57:S57"/>
  </mergeCells>
  <printOptions headings="false" gridLines="false" gridLinesSet="true" horizontalCentered="true" verticalCentered="false"/>
  <pageMargins left="0.196527777777778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46" colorId="64" zoomScale="85" zoomScaleNormal="85" zoomScalePageLayoutView="100" workbookViewId="0">
      <selection pane="topLeft" activeCell="O68" activeCellId="0" sqref="O6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5.42"/>
    <col collapsed="false" customWidth="true" hidden="false" outlineLevel="0" max="4" min="4" style="1" width="9"/>
    <col collapsed="false" customWidth="true" hidden="false" outlineLevel="0" max="5" min="5" style="1" width="9.14"/>
    <col collapsed="false" customWidth="true" hidden="false" outlineLevel="0" max="9" min="6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21" min="12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95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/>
      <c r="X1" s="76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XD4'!$A$2:$G$60,7,0)&amp;VLOOKUP(W2,'Tuyến XD4'!$A$2:$G$60,4,0)</f>
        <v>Kèm theo BBNT số: 30.NĐXD4/CVXD ngày 30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30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XD4'!$A$2:$B$60,2,0)</f>
        <v>Đào đất xử lý nền đường đoạn từ Km0+554,08 - Km0+672,28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20" customFormat="false" ht="1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96</v>
      </c>
      <c r="K20" s="79"/>
      <c r="L20" s="79"/>
      <c r="M20" s="79" t="s">
        <v>97</v>
      </c>
      <c r="N20" s="79"/>
      <c r="O20" s="79"/>
      <c r="P20" s="79"/>
      <c r="Q20" s="79"/>
      <c r="R20" s="79"/>
      <c r="S20" s="79" t="s">
        <v>98</v>
      </c>
      <c r="T20" s="79"/>
      <c r="U20" s="79"/>
      <c r="V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99</v>
      </c>
      <c r="E21" s="62" t="s">
        <v>100</v>
      </c>
      <c r="F21" s="62" t="s">
        <v>101</v>
      </c>
      <c r="G21" s="62" t="s">
        <v>102</v>
      </c>
      <c r="H21" s="62" t="s">
        <v>103</v>
      </c>
      <c r="I21" s="62" t="s">
        <v>104</v>
      </c>
      <c r="J21" s="62" t="s">
        <v>102</v>
      </c>
      <c r="K21" s="62" t="s">
        <v>103</v>
      </c>
      <c r="L21" s="62" t="s">
        <v>104</v>
      </c>
      <c r="M21" s="62" t="s">
        <v>99</v>
      </c>
      <c r="N21" s="62" t="s">
        <v>100</v>
      </c>
      <c r="O21" s="62" t="s">
        <v>101</v>
      </c>
      <c r="P21" s="62" t="s">
        <v>102</v>
      </c>
      <c r="Q21" s="62" t="s">
        <v>103</v>
      </c>
      <c r="R21" s="62" t="s">
        <v>104</v>
      </c>
      <c r="S21" s="62" t="s">
        <v>105</v>
      </c>
      <c r="T21" s="62" t="s">
        <v>106</v>
      </c>
      <c r="U21" s="62" t="s">
        <v>107</v>
      </c>
      <c r="V21" s="78"/>
    </row>
    <row r="22" customFormat="false" ht="15" hidden="tru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tru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20.25" hidden="false" customHeight="true" outlineLevel="0" collapsed="false">
      <c r="A24" s="84" t="n">
        <f aca="false">+'1. PL đường đen'!A12</f>
        <v>1</v>
      </c>
      <c r="B24" s="84" t="str">
        <f aca="false">+'1. PL đường đen'!B12</f>
        <v>32</v>
      </c>
      <c r="C24" s="85" t="n">
        <f aca="false">+'1. PL đường đen'!C12</f>
        <v>554.08</v>
      </c>
      <c r="D24" s="67" t="n">
        <v>-5.42</v>
      </c>
      <c r="E24" s="67" t="n">
        <f aca="false">D24+F24</f>
        <v>-5.408</v>
      </c>
      <c r="F24" s="67" t="n">
        <f aca="false">RANDBETWEEN(-105,115)/1000</f>
        <v>0.012</v>
      </c>
      <c r="G24" s="67" t="n">
        <v>-1.61</v>
      </c>
      <c r="H24" s="67" t="n">
        <f aca="false">G24+I24</f>
        <v>-1.561</v>
      </c>
      <c r="I24" s="67" t="n">
        <f aca="false">RANDBETWEEN(-105,115)/1000</f>
        <v>0.049</v>
      </c>
      <c r="J24" s="67" t="n">
        <v>-1.61</v>
      </c>
      <c r="K24" s="67" t="n">
        <f aca="false">J24+L24</f>
        <v>-1.614</v>
      </c>
      <c r="L24" s="67" t="n">
        <f aca="false">RANDBETWEEN(-105,115)/1000</f>
        <v>-0.004</v>
      </c>
      <c r="M24" s="67" t="n">
        <v>8.66</v>
      </c>
      <c r="N24" s="67" t="n">
        <f aca="false">M24+O24</f>
        <v>8.584</v>
      </c>
      <c r="O24" s="67" t="n">
        <f aca="false">RANDBETWEEN(-105,115)/1000</f>
        <v>-0.076</v>
      </c>
      <c r="P24" s="67" t="n">
        <v>-1.61</v>
      </c>
      <c r="Q24" s="67" t="n">
        <f aca="false">P24+R24</f>
        <v>-1.689</v>
      </c>
      <c r="R24" s="67" t="n">
        <f aca="false">RANDBETWEEN(-105,115)/1000</f>
        <v>-0.079</v>
      </c>
      <c r="S24" s="67" t="n">
        <f aca="false">ABS(D24)+ABS(M24)</f>
        <v>14.08</v>
      </c>
      <c r="T24" s="67" t="n">
        <f aca="false">S24+U24</f>
        <v>14.051</v>
      </c>
      <c r="U24" s="67" t="n">
        <f aca="false">RANDBETWEEN(-105,135)/1000</f>
        <v>-0.029</v>
      </c>
      <c r="V24" s="86"/>
    </row>
    <row r="25" customFormat="false" ht="20.25" hidden="false" customHeight="true" outlineLevel="0" collapsed="false">
      <c r="A25" s="84" t="n">
        <f aca="false">+'1. PL đường đen'!A13</f>
        <v>2</v>
      </c>
      <c r="B25" s="84" t="str">
        <f aca="false">+'1. PL đường đen'!B13</f>
        <v>33</v>
      </c>
      <c r="C25" s="85" t="n">
        <f aca="false">+'1. PL đường đen'!C13</f>
        <v>569.48</v>
      </c>
      <c r="D25" s="67" t="n">
        <v>-8.97</v>
      </c>
      <c r="E25" s="67" t="n">
        <f aca="false">D25+F25</f>
        <v>-8.947</v>
      </c>
      <c r="F25" s="67" t="n">
        <f aca="false">RANDBETWEEN(-105,115)/1000</f>
        <v>0.023</v>
      </c>
      <c r="G25" s="67" t="n">
        <v>-1.61</v>
      </c>
      <c r="H25" s="67" t="n">
        <f aca="false">G25+I25</f>
        <v>-1.541</v>
      </c>
      <c r="I25" s="67" t="n">
        <f aca="false">RANDBETWEEN(-105,115)/1000</f>
        <v>0.069</v>
      </c>
      <c r="J25" s="67" t="n">
        <v>-1.61</v>
      </c>
      <c r="K25" s="67" t="n">
        <f aca="false">J25+L25</f>
        <v>-1.637</v>
      </c>
      <c r="L25" s="67" t="n">
        <f aca="false">RANDBETWEEN(-105,115)/1000</f>
        <v>-0.027</v>
      </c>
      <c r="M25" s="67" t="n">
        <v>9.34</v>
      </c>
      <c r="N25" s="67" t="n">
        <f aca="false">M25+O25</f>
        <v>9.355</v>
      </c>
      <c r="O25" s="67" t="n">
        <f aca="false">RANDBETWEEN(-105,115)/1000</f>
        <v>0.015</v>
      </c>
      <c r="P25" s="67" t="n">
        <v>-1.61</v>
      </c>
      <c r="Q25" s="67" t="n">
        <f aca="false">P25+R25</f>
        <v>-1.691</v>
      </c>
      <c r="R25" s="67" t="n">
        <f aca="false">RANDBETWEEN(-105,115)/1000</f>
        <v>-0.081</v>
      </c>
      <c r="S25" s="67" t="n">
        <f aca="false">ABS(D25)+ABS(M25)</f>
        <v>18.31</v>
      </c>
      <c r="T25" s="67" t="n">
        <f aca="false">S25+U25</f>
        <v>18.343</v>
      </c>
      <c r="U25" s="67" t="n">
        <f aca="false">RANDBETWEEN(-105,135)/1000</f>
        <v>0.033</v>
      </c>
      <c r="V25" s="86"/>
    </row>
    <row r="26" customFormat="false" ht="20.25" hidden="false" customHeight="true" outlineLevel="0" collapsed="false">
      <c r="A26" s="84" t="n">
        <f aca="false">+'1. PL đường đen'!A14</f>
        <v>3</v>
      </c>
      <c r="B26" s="84" t="str">
        <f aca="false">+'1. PL đường đen'!B14</f>
        <v>TD</v>
      </c>
      <c r="C26" s="85" t="n">
        <f aca="false">+'1. PL đường đen'!C14</f>
        <v>573.12</v>
      </c>
      <c r="D26" s="67" t="n">
        <v>-10.66</v>
      </c>
      <c r="E26" s="67" t="n">
        <f aca="false">D26+F26</f>
        <v>-10.761</v>
      </c>
      <c r="F26" s="67" t="n">
        <f aca="false">RANDBETWEEN(-105,115)/1000</f>
        <v>-0.101</v>
      </c>
      <c r="G26" s="67" t="n">
        <v>-1.61</v>
      </c>
      <c r="H26" s="67" t="n">
        <f aca="false">G26+I26</f>
        <v>-1.524</v>
      </c>
      <c r="I26" s="67" t="n">
        <f aca="false">RANDBETWEEN(-105,115)/1000</f>
        <v>0.086</v>
      </c>
      <c r="J26" s="67" t="n">
        <v>-1.61</v>
      </c>
      <c r="K26" s="67" t="n">
        <f aca="false">J26+L26</f>
        <v>-1.672</v>
      </c>
      <c r="L26" s="67" t="n">
        <f aca="false">RANDBETWEEN(-105,115)/1000</f>
        <v>-0.062</v>
      </c>
      <c r="M26" s="67" t="n">
        <v>9.31</v>
      </c>
      <c r="N26" s="67" t="n">
        <f aca="false">M26+O26</f>
        <v>9.35</v>
      </c>
      <c r="O26" s="67" t="n">
        <f aca="false">RANDBETWEEN(-105,115)/1000</f>
        <v>0.04</v>
      </c>
      <c r="P26" s="67" t="n">
        <v>-1.61</v>
      </c>
      <c r="Q26" s="67" t="n">
        <f aca="false">P26+R26</f>
        <v>-1.68</v>
      </c>
      <c r="R26" s="67" t="n">
        <f aca="false">RANDBETWEEN(-105,115)/1000</f>
        <v>-0.07</v>
      </c>
      <c r="S26" s="67" t="n">
        <f aca="false">ABS(D26)+ABS(M26)</f>
        <v>19.97</v>
      </c>
      <c r="T26" s="67" t="n">
        <f aca="false">S26+U26</f>
        <v>19.95</v>
      </c>
      <c r="U26" s="67" t="n">
        <f aca="false">RANDBETWEEN(-105,135)/1000</f>
        <v>-0.02</v>
      </c>
      <c r="V26" s="86"/>
    </row>
    <row r="27" customFormat="false" ht="20.25" hidden="false" customHeight="true" outlineLevel="0" collapsed="false">
      <c r="A27" s="84" t="n">
        <f aca="false">+'1. PL đường đen'!A15</f>
        <v>4</v>
      </c>
      <c r="B27" s="84" t="str">
        <f aca="false">+'1. PL đường đen'!B15</f>
        <v>P</v>
      </c>
      <c r="C27" s="85" t="n">
        <f aca="false">+'1. PL đường đen'!C15</f>
        <v>579.68</v>
      </c>
      <c r="D27" s="67" t="n">
        <v>-9.58</v>
      </c>
      <c r="E27" s="67" t="n">
        <f aca="false">D27+F27</f>
        <v>-9.501</v>
      </c>
      <c r="F27" s="67" t="n">
        <f aca="false">RANDBETWEEN(-105,115)/1000</f>
        <v>0.079</v>
      </c>
      <c r="G27" s="67" t="n">
        <v>-1.61</v>
      </c>
      <c r="H27" s="67" t="n">
        <f aca="false">G27+I27</f>
        <v>-1.653</v>
      </c>
      <c r="I27" s="67" t="n">
        <f aca="false">RANDBETWEEN(-105,115)/1000</f>
        <v>-0.043</v>
      </c>
      <c r="J27" s="67" t="n">
        <v>-1.61</v>
      </c>
      <c r="K27" s="67" t="n">
        <f aca="false">J27+L27</f>
        <v>-1.574</v>
      </c>
      <c r="L27" s="67" t="n">
        <f aca="false">RANDBETWEEN(-105,115)/1000</f>
        <v>0.036</v>
      </c>
      <c r="M27" s="67" t="n">
        <v>14.26</v>
      </c>
      <c r="N27" s="67" t="n">
        <f aca="false">M27+O27</f>
        <v>14.299</v>
      </c>
      <c r="O27" s="67" t="n">
        <f aca="false">RANDBETWEEN(-105,115)/1000</f>
        <v>0.039</v>
      </c>
      <c r="P27" s="67" t="n">
        <v>-1.61</v>
      </c>
      <c r="Q27" s="67" t="n">
        <f aca="false">P27+R27</f>
        <v>-1.659</v>
      </c>
      <c r="R27" s="67" t="n">
        <f aca="false">RANDBETWEEN(-105,115)/1000</f>
        <v>-0.049</v>
      </c>
      <c r="S27" s="67" t="n">
        <f aca="false">ABS(D27)+ABS(M27)</f>
        <v>23.84</v>
      </c>
      <c r="T27" s="67" t="n">
        <f aca="false">S27+U27</f>
        <v>23.964</v>
      </c>
      <c r="U27" s="67" t="n">
        <f aca="false">RANDBETWEEN(-105,135)/1000</f>
        <v>0.124</v>
      </c>
      <c r="V27" s="86"/>
    </row>
    <row r="28" customFormat="false" ht="20.25" hidden="false" customHeight="true" outlineLevel="0" collapsed="false">
      <c r="A28" s="84" t="n">
        <f aca="false">+'1. PL đường đen'!A16</f>
        <v>5</v>
      </c>
      <c r="B28" s="84" t="str">
        <f aca="false">+'1. PL đường đen'!B16</f>
        <v>E2</v>
      </c>
      <c r="C28" s="85" t="n">
        <f aca="false">+'1. PL đường đen'!C16</f>
        <v>584.52</v>
      </c>
      <c r="D28" s="67" t="n">
        <v>-9.91</v>
      </c>
      <c r="E28" s="67" t="n">
        <f aca="false">D28+F28</f>
        <v>-10.013</v>
      </c>
      <c r="F28" s="67" t="n">
        <f aca="false">RANDBETWEEN(-105,115)/1000</f>
        <v>-0.103</v>
      </c>
      <c r="G28" s="67" t="n">
        <v>-1.61</v>
      </c>
      <c r="H28" s="67" t="n">
        <f aca="false">G28+I28</f>
        <v>-1.529</v>
      </c>
      <c r="I28" s="67" t="n">
        <f aca="false">RANDBETWEEN(-105,115)/1000</f>
        <v>0.081</v>
      </c>
      <c r="J28" s="67" t="n">
        <v>-1.61</v>
      </c>
      <c r="K28" s="67" t="n">
        <f aca="false">J28+L28</f>
        <v>-1.676</v>
      </c>
      <c r="L28" s="67" t="n">
        <f aca="false">RANDBETWEEN(-105,115)/1000</f>
        <v>-0.066</v>
      </c>
      <c r="M28" s="67" t="n">
        <v>14.28</v>
      </c>
      <c r="N28" s="67" t="n">
        <f aca="false">M28+O28</f>
        <v>14.234</v>
      </c>
      <c r="O28" s="67" t="n">
        <f aca="false">RANDBETWEEN(-105,115)/1000</f>
        <v>-0.046</v>
      </c>
      <c r="P28" s="67" t="n">
        <v>-1.61</v>
      </c>
      <c r="Q28" s="67" t="n">
        <f aca="false">P28+R28</f>
        <v>-1.654</v>
      </c>
      <c r="R28" s="67" t="n">
        <f aca="false">RANDBETWEEN(-105,115)/1000</f>
        <v>-0.044</v>
      </c>
      <c r="S28" s="67" t="n">
        <f aca="false">ABS(D28)+ABS(M28)</f>
        <v>24.19</v>
      </c>
      <c r="T28" s="67" t="n">
        <f aca="false">S28+U28</f>
        <v>24.1</v>
      </c>
      <c r="U28" s="67" t="n">
        <f aca="false">RANDBETWEEN(-105,135)/1000</f>
        <v>-0.09</v>
      </c>
      <c r="V28" s="86"/>
    </row>
    <row r="29" customFormat="false" ht="20.25" hidden="false" customHeight="true" outlineLevel="0" collapsed="false">
      <c r="A29" s="84" t="n">
        <f aca="false">+'1. PL đường đen'!A17</f>
        <v>6</v>
      </c>
      <c r="B29" s="84" t="str">
        <f aca="false">+'1. PL đường đen'!B17</f>
        <v>TC</v>
      </c>
      <c r="C29" s="85" t="n">
        <f aca="false">+'1. PL đường đen'!C17</f>
        <v>586.23</v>
      </c>
      <c r="D29" s="67" t="n">
        <v>-9.91</v>
      </c>
      <c r="E29" s="67" t="n">
        <f aca="false">D29+F29</f>
        <v>-9.907</v>
      </c>
      <c r="F29" s="67" t="n">
        <f aca="false">RANDBETWEEN(-105,115)/1000</f>
        <v>0.003</v>
      </c>
      <c r="G29" s="67" t="n">
        <v>-1.61</v>
      </c>
      <c r="H29" s="67" t="n">
        <f aca="false">G29+I29</f>
        <v>-1.508</v>
      </c>
      <c r="I29" s="67" t="n">
        <f aca="false">RANDBETWEEN(-105,115)/1000</f>
        <v>0.102</v>
      </c>
      <c r="J29" s="67" t="n">
        <v>-1.61</v>
      </c>
      <c r="K29" s="67" t="n">
        <f aca="false">J29+L29</f>
        <v>-1.56</v>
      </c>
      <c r="L29" s="67" t="n">
        <f aca="false">RANDBETWEEN(-105,115)/1000</f>
        <v>0.05</v>
      </c>
      <c r="M29" s="67" t="n">
        <v>14.2</v>
      </c>
      <c r="N29" s="67" t="n">
        <f aca="false">M29+O29</f>
        <v>14.149</v>
      </c>
      <c r="O29" s="67" t="n">
        <f aca="false">RANDBETWEEN(-105,115)/1000</f>
        <v>-0.051</v>
      </c>
      <c r="P29" s="67" t="n">
        <v>-1.61</v>
      </c>
      <c r="Q29" s="67" t="n">
        <f aca="false">P29+R29</f>
        <v>-1.684</v>
      </c>
      <c r="R29" s="67" t="n">
        <f aca="false">RANDBETWEEN(-105,115)/1000</f>
        <v>-0.074</v>
      </c>
      <c r="S29" s="67" t="n">
        <f aca="false">ABS(D29)+ABS(M29)</f>
        <v>24.11</v>
      </c>
      <c r="T29" s="67" t="n">
        <f aca="false">S29+U29</f>
        <v>24.218</v>
      </c>
      <c r="U29" s="67" t="n">
        <f aca="false">RANDBETWEEN(-105,135)/1000</f>
        <v>0.108</v>
      </c>
      <c r="V29" s="86"/>
    </row>
    <row r="30" customFormat="false" ht="20.25" hidden="false" customHeight="true" outlineLevel="0" collapsed="false">
      <c r="A30" s="84" t="n">
        <f aca="false">+'1. PL đường đen'!A18</f>
        <v>7</v>
      </c>
      <c r="B30" s="84" t="str">
        <f aca="false">+'1. PL đường đen'!B18</f>
        <v>34</v>
      </c>
      <c r="C30" s="85" t="n">
        <f aca="false">+'1. PL đường đen'!C18</f>
        <v>597.78</v>
      </c>
      <c r="D30" s="67" t="n">
        <v>-5.5</v>
      </c>
      <c r="E30" s="67" t="n">
        <f aca="false">D30+F30</f>
        <v>-5.558</v>
      </c>
      <c r="F30" s="67" t="n">
        <f aca="false">RANDBETWEEN(-105,115)/1000</f>
        <v>-0.058</v>
      </c>
      <c r="G30" s="67" t="n">
        <v>-1.61</v>
      </c>
      <c r="H30" s="67" t="n">
        <f aca="false">G30+I30</f>
        <v>-1.63</v>
      </c>
      <c r="I30" s="67" t="n">
        <f aca="false">RANDBETWEEN(-105,115)/1000</f>
        <v>-0.02</v>
      </c>
      <c r="J30" s="67" t="n">
        <v>-0.62</v>
      </c>
      <c r="K30" s="67" t="n">
        <f aca="false">J30+L30</f>
        <v>-0.649</v>
      </c>
      <c r="L30" s="67" t="n">
        <f aca="false">RANDBETWEEN(-105,115)/1000</f>
        <v>-0.029</v>
      </c>
      <c r="M30" s="67" t="n">
        <v>9.3</v>
      </c>
      <c r="N30" s="67" t="n">
        <f aca="false">M30+O30</f>
        <v>9.356</v>
      </c>
      <c r="O30" s="67" t="n">
        <f aca="false">RANDBETWEEN(-105,115)/1000</f>
        <v>0.056</v>
      </c>
      <c r="P30" s="67" t="n">
        <v>-1.61</v>
      </c>
      <c r="Q30" s="67" t="n">
        <f aca="false">P30+R30</f>
        <v>-1.621</v>
      </c>
      <c r="R30" s="67" t="n">
        <f aca="false">RANDBETWEEN(-105,115)/1000</f>
        <v>-0.011</v>
      </c>
      <c r="S30" s="67" t="n">
        <f aca="false">ABS(D30)+ABS(M30)</f>
        <v>14.8</v>
      </c>
      <c r="T30" s="67" t="n">
        <f aca="false">S30+U30</f>
        <v>14.92</v>
      </c>
      <c r="U30" s="67" t="n">
        <f aca="false">RANDBETWEEN(-105,135)/1000</f>
        <v>0.12</v>
      </c>
      <c r="V30" s="86"/>
    </row>
    <row r="31" customFormat="false" ht="20.25" hidden="false" customHeight="true" outlineLevel="0" collapsed="false">
      <c r="A31" s="84" t="n">
        <f aca="false">+'1. PL đường đen'!A19</f>
        <v>8</v>
      </c>
      <c r="B31" s="84" t="str">
        <f aca="false">+'1. PL đường đen'!B19</f>
        <v>35</v>
      </c>
      <c r="C31" s="85" t="n">
        <f aca="false">+'1. PL đường đen'!C19</f>
        <v>614.78</v>
      </c>
      <c r="D31" s="67" t="n">
        <v>-6</v>
      </c>
      <c r="E31" s="67" t="n">
        <f aca="false">D31+F31</f>
        <v>-6.036</v>
      </c>
      <c r="F31" s="67" t="n">
        <f aca="false">RANDBETWEEN(-105,115)/1000</f>
        <v>-0.036</v>
      </c>
      <c r="G31" s="67" t="n">
        <v>-1.61</v>
      </c>
      <c r="H31" s="67" t="n">
        <f aca="false">G31+I31</f>
        <v>-1.6</v>
      </c>
      <c r="I31" s="67" t="n">
        <f aca="false">RANDBETWEEN(-105,115)/1000</f>
        <v>0.01</v>
      </c>
      <c r="J31" s="67" t="n">
        <v>-0.54</v>
      </c>
      <c r="K31" s="67" t="n">
        <f aca="false">J31+L31</f>
        <v>-0.546</v>
      </c>
      <c r="L31" s="67" t="n">
        <f aca="false">RANDBETWEEN(-105,115)/1000</f>
        <v>-0.006</v>
      </c>
      <c r="M31" s="67" t="n">
        <v>8.78</v>
      </c>
      <c r="N31" s="67" t="n">
        <f aca="false">M31+O31</f>
        <v>8.84</v>
      </c>
      <c r="O31" s="67" t="n">
        <f aca="false">RANDBETWEEN(-105,115)/1000</f>
        <v>0.06</v>
      </c>
      <c r="P31" s="67" t="n">
        <v>-1.61</v>
      </c>
      <c r="Q31" s="67" t="n">
        <f aca="false">P31+R31</f>
        <v>-1.497</v>
      </c>
      <c r="R31" s="67" t="n">
        <f aca="false">RANDBETWEEN(-105,115)/1000</f>
        <v>0.113</v>
      </c>
      <c r="S31" s="67" t="n">
        <f aca="false">ABS(D31)+ABS(M31)</f>
        <v>14.78</v>
      </c>
      <c r="T31" s="67" t="n">
        <f aca="false">S31+U31</f>
        <v>14.693</v>
      </c>
      <c r="U31" s="67" t="n">
        <f aca="false">RANDBETWEEN(-105,135)/1000</f>
        <v>-0.087</v>
      </c>
      <c r="V31" s="86"/>
    </row>
    <row r="32" customFormat="false" ht="20.25" hidden="false" customHeight="true" outlineLevel="0" collapsed="false">
      <c r="A32" s="84" t="n">
        <f aca="false">+'1. PL đường đen'!A20</f>
        <v>9</v>
      </c>
      <c r="B32" s="84" t="str">
        <f aca="false">+'1. PL đường đen'!B20</f>
        <v>36</v>
      </c>
      <c r="C32" s="85" t="n">
        <f aca="false">+'1. PL đường đen'!C20</f>
        <v>631.83</v>
      </c>
      <c r="D32" s="67" t="n">
        <v>-8.19</v>
      </c>
      <c r="E32" s="67" t="n">
        <f aca="false">D32+F32</f>
        <v>-8.148</v>
      </c>
      <c r="F32" s="67" t="n">
        <f aca="false">RANDBETWEEN(-105,115)/1000</f>
        <v>0.042</v>
      </c>
      <c r="G32" s="67" t="n">
        <v>-1.62</v>
      </c>
      <c r="H32" s="67" t="n">
        <f aca="false">G32+I32</f>
        <v>-1.626</v>
      </c>
      <c r="I32" s="67" t="n">
        <f aca="false">RANDBETWEEN(-105,115)/1000</f>
        <v>-0.006</v>
      </c>
      <c r="J32" s="67" t="n">
        <v>-1.62</v>
      </c>
      <c r="K32" s="67" t="n">
        <f aca="false">J32+L32</f>
        <v>-1.534</v>
      </c>
      <c r="L32" s="67" t="n">
        <f aca="false">RANDBETWEEN(-105,115)/1000</f>
        <v>0.086</v>
      </c>
      <c r="M32" s="67" t="n">
        <v>8.61</v>
      </c>
      <c r="N32" s="67" t="n">
        <f aca="false">M32+O32</f>
        <v>8.642</v>
      </c>
      <c r="O32" s="67" t="n">
        <f aca="false">RANDBETWEEN(-105,115)/1000</f>
        <v>0.032</v>
      </c>
      <c r="P32" s="67" t="n">
        <v>-1.62</v>
      </c>
      <c r="Q32" s="67" t="n">
        <f aca="false">P32+R32</f>
        <v>-1.722</v>
      </c>
      <c r="R32" s="67" t="n">
        <f aca="false">RANDBETWEEN(-105,115)/1000</f>
        <v>-0.102</v>
      </c>
      <c r="S32" s="67" t="n">
        <f aca="false">ABS(D32)+ABS(M32)</f>
        <v>16.8</v>
      </c>
      <c r="T32" s="67" t="n">
        <f aca="false">S32+U32</f>
        <v>16.908</v>
      </c>
      <c r="U32" s="67" t="n">
        <f aca="false">RANDBETWEEN(-105,135)/1000</f>
        <v>0.108</v>
      </c>
      <c r="V32" s="86"/>
    </row>
    <row r="33" customFormat="false" ht="20.25" hidden="false" customHeight="true" outlineLevel="0" collapsed="false">
      <c r="A33" s="84" t="n">
        <f aca="false">+'1. PL đường đen'!A21</f>
        <v>10</v>
      </c>
      <c r="B33" s="84" t="str">
        <f aca="false">+'1. PL đường đen'!B21</f>
        <v>E9</v>
      </c>
      <c r="C33" s="85" t="n">
        <f aca="false">+'1. PL đường đen'!C21</f>
        <v>643.53</v>
      </c>
      <c r="D33" s="67" t="n">
        <v>-9.26</v>
      </c>
      <c r="E33" s="67" t="n">
        <f aca="false">D33+F33</f>
        <v>-9.264</v>
      </c>
      <c r="F33" s="67" t="n">
        <f aca="false">RANDBETWEEN(-105,115)/1000</f>
        <v>-0.004</v>
      </c>
      <c r="G33" s="67" t="n">
        <v>-1.62</v>
      </c>
      <c r="H33" s="67" t="n">
        <f aca="false">G33+I33</f>
        <v>-1.667</v>
      </c>
      <c r="I33" s="67" t="n">
        <f aca="false">RANDBETWEEN(-105,115)/1000</f>
        <v>-0.047</v>
      </c>
      <c r="J33" s="67" t="n">
        <v>-1.62</v>
      </c>
      <c r="K33" s="67" t="n">
        <f aca="false">J33+L33</f>
        <v>-1.714</v>
      </c>
      <c r="L33" s="67" t="n">
        <f aca="false">RANDBETWEEN(-105,115)/1000</f>
        <v>-0.094</v>
      </c>
      <c r="M33" s="67" t="n">
        <v>13.66</v>
      </c>
      <c r="N33" s="67" t="n">
        <f aca="false">M33+O33</f>
        <v>13.703</v>
      </c>
      <c r="O33" s="67" t="n">
        <f aca="false">RANDBETWEEN(-105,115)/1000</f>
        <v>0.043</v>
      </c>
      <c r="P33" s="67" t="n">
        <v>-1.62</v>
      </c>
      <c r="Q33" s="67" t="n">
        <f aca="false">P33+R33</f>
        <v>-1.72</v>
      </c>
      <c r="R33" s="67" t="n">
        <f aca="false">RANDBETWEEN(-105,115)/1000</f>
        <v>-0.1</v>
      </c>
      <c r="S33" s="67" t="n">
        <f aca="false">ABS(D33)+ABS(M33)</f>
        <v>22.92</v>
      </c>
      <c r="T33" s="67" t="n">
        <f aca="false">S33+U33</f>
        <v>22.851</v>
      </c>
      <c r="U33" s="67" t="n">
        <f aca="false">RANDBETWEEN(-105,135)/1000</f>
        <v>-0.069</v>
      </c>
      <c r="V33" s="86"/>
    </row>
    <row r="34" customFormat="false" ht="20.25" hidden="false" customHeight="true" outlineLevel="0" collapsed="false">
      <c r="A34" s="84" t="n">
        <f aca="false">+'1. PL đường đen'!A22</f>
        <v>11</v>
      </c>
      <c r="B34" s="84" t="str">
        <f aca="false">+'1. PL đường đen'!B22</f>
        <v>37</v>
      </c>
      <c r="C34" s="85" t="n">
        <f aca="false">+'1. PL đường đen'!C22</f>
        <v>655.28</v>
      </c>
      <c r="D34" s="67" t="n">
        <v>-7.85</v>
      </c>
      <c r="E34" s="67" t="n">
        <f aca="false">D34+F34</f>
        <v>-7.871</v>
      </c>
      <c r="F34" s="67" t="n">
        <f aca="false">RANDBETWEEN(-105,115)/1000</f>
        <v>-0.021</v>
      </c>
      <c r="G34" s="67" t="n">
        <v>-1.62</v>
      </c>
      <c r="H34" s="67" t="n">
        <f aca="false">G34+I34</f>
        <v>-1.527</v>
      </c>
      <c r="I34" s="67" t="n">
        <f aca="false">RANDBETWEEN(-105,115)/1000</f>
        <v>0.093</v>
      </c>
      <c r="J34" s="67" t="n">
        <v>-1.62</v>
      </c>
      <c r="K34" s="67" t="n">
        <f aca="false">J34+L34</f>
        <v>-1.623</v>
      </c>
      <c r="L34" s="67" t="n">
        <f aca="false">RANDBETWEEN(-105,115)/1000</f>
        <v>-0.003</v>
      </c>
      <c r="M34" s="67" t="n">
        <v>9.44</v>
      </c>
      <c r="N34" s="67" t="n">
        <f aca="false">M34+O34</f>
        <v>9.507</v>
      </c>
      <c r="O34" s="67" t="n">
        <f aca="false">RANDBETWEEN(-105,115)/1000</f>
        <v>0.067</v>
      </c>
      <c r="P34" s="67" t="n">
        <v>-1.62</v>
      </c>
      <c r="Q34" s="67" t="n">
        <f aca="false">P34+R34</f>
        <v>-1.702</v>
      </c>
      <c r="R34" s="67" t="n">
        <f aca="false">RANDBETWEEN(-105,115)/1000</f>
        <v>-0.082</v>
      </c>
      <c r="S34" s="67" t="n">
        <f aca="false">ABS(D34)+ABS(M34)</f>
        <v>17.29</v>
      </c>
      <c r="T34" s="67" t="n">
        <f aca="false">S34+U34</f>
        <v>17.334</v>
      </c>
      <c r="U34" s="67" t="n">
        <f aca="false">RANDBETWEEN(-105,135)/1000</f>
        <v>0.044</v>
      </c>
      <c r="V34" s="86"/>
    </row>
    <row r="35" customFormat="false" ht="20.25" hidden="false" customHeight="true" outlineLevel="0" collapsed="false">
      <c r="A35" s="84" t="n">
        <f aca="false">+'1. PL đường đen'!A23</f>
        <v>12</v>
      </c>
      <c r="B35" s="84" t="str">
        <f aca="false">+'1. PL đường đen'!B23</f>
        <v>38</v>
      </c>
      <c r="C35" s="85" t="n">
        <f aca="false">+'1. PL đường đen'!C23</f>
        <v>672.28</v>
      </c>
      <c r="D35" s="67" t="n">
        <v>-8.62</v>
      </c>
      <c r="E35" s="67" t="n">
        <f aca="false">D35+F35</f>
        <v>-8.551</v>
      </c>
      <c r="F35" s="67" t="n">
        <f aca="false">RANDBETWEEN(-105,115)/1000</f>
        <v>0.069</v>
      </c>
      <c r="G35" s="67" t="n">
        <v>-1.78</v>
      </c>
      <c r="H35" s="67" t="n">
        <f aca="false">G35+I35</f>
        <v>-1.806</v>
      </c>
      <c r="I35" s="67" t="n">
        <f aca="false">RANDBETWEEN(-105,115)/1000</f>
        <v>-0.026</v>
      </c>
      <c r="J35" s="67" t="n">
        <v>-1.77</v>
      </c>
      <c r="K35" s="67" t="n">
        <f aca="false">J35+L35</f>
        <v>-1.674</v>
      </c>
      <c r="L35" s="67" t="n">
        <f aca="false">RANDBETWEEN(-105,115)/1000</f>
        <v>0.096</v>
      </c>
      <c r="M35" s="67" t="n">
        <v>13.3</v>
      </c>
      <c r="N35" s="67" t="n">
        <f aca="false">M35+O35</f>
        <v>13.292</v>
      </c>
      <c r="O35" s="67" t="n">
        <f aca="false">RANDBETWEEN(-105,115)/1000</f>
        <v>-0.008</v>
      </c>
      <c r="P35" s="67" t="n">
        <v>-1.76</v>
      </c>
      <c r="Q35" s="67" t="n">
        <f aca="false">P35+R35</f>
        <v>-1.813</v>
      </c>
      <c r="R35" s="67" t="n">
        <f aca="false">RANDBETWEEN(-105,115)/1000</f>
        <v>-0.053</v>
      </c>
      <c r="S35" s="67" t="n">
        <f aca="false">ABS(D35)+ABS(M35)</f>
        <v>21.92</v>
      </c>
      <c r="T35" s="67" t="n">
        <f aca="false">S35+U35</f>
        <v>22.015</v>
      </c>
      <c r="U35" s="67" t="n">
        <f aca="false">RANDBETWEEN(-105,135)/1000</f>
        <v>0.095</v>
      </c>
      <c r="V35" s="86"/>
    </row>
    <row r="36" customFormat="false" ht="20.25" hidden="true" customHeight="tru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86"/>
    </row>
    <row r="37" customFormat="false" ht="20.25" hidden="true" customHeight="tru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86"/>
    </row>
    <row r="38" customFormat="false" ht="20.25" hidden="true" customHeight="tru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86"/>
    </row>
    <row r="39" customFormat="false" ht="20.25" hidden="true" customHeight="tru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86"/>
    </row>
    <row r="40" customFormat="false" ht="20.25" hidden="true" customHeight="tru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86"/>
    </row>
    <row r="41" customFormat="false" ht="20.25" hidden="true" customHeight="tru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86"/>
    </row>
    <row r="42" customFormat="false" ht="20.25" hidden="true" customHeight="tru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86"/>
    </row>
    <row r="43" customFormat="false" ht="20.25" hidden="true" customHeight="tru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86"/>
    </row>
    <row r="44" customFormat="false" ht="20.25" hidden="true" customHeight="tru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86"/>
    </row>
    <row r="45" customFormat="false" ht="20.25" hidden="true" customHeight="tru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86"/>
    </row>
    <row r="46" customFormat="false" ht="20.25" hidden="true" customHeight="tru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86"/>
    </row>
    <row r="47" customFormat="false" ht="20.25" hidden="true" customHeight="tru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86"/>
    </row>
    <row r="48" customFormat="false" ht="20.25" hidden="true" customHeight="tru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86"/>
    </row>
    <row r="49" customFormat="false" ht="20.25" hidden="true" customHeight="tru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6"/>
    </row>
    <row r="50" customFormat="false" ht="20.25" hidden="true" customHeight="tru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86"/>
    </row>
    <row r="51" customFormat="false" ht="20.25" hidden="true" customHeight="tru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86"/>
    </row>
    <row r="52" customFormat="false" ht="20.25" hidden="true" customHeight="tru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86"/>
    </row>
    <row r="53" customFormat="false" ht="20.25" hidden="true" customHeight="tru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86"/>
    </row>
    <row r="54" customFormat="false" ht="20.25" hidden="true" customHeight="tru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86"/>
    </row>
    <row r="55" customFormat="false" ht="20.25" hidden="true" customHeight="tru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86"/>
    </row>
    <row r="56" customFormat="false" ht="20.25" hidden="true" customHeight="tru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86"/>
    </row>
    <row r="57" customFormat="false" ht="20.25" hidden="true" customHeight="tru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86"/>
    </row>
    <row r="58" customFormat="false" ht="20.2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86"/>
    </row>
    <row r="59" customFormat="false" ht="20.2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86"/>
    </row>
    <row r="60" customFormat="false" ht="20.25" hidden="true" customHeight="tru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20.25" hidden="true" customHeight="tru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21" hidden="false" customHeight="true" outlineLevel="0" collapsed="false"/>
    <row r="63" customFormat="false" ht="15" hidden="false" customHeight="false" outlineLevel="0" collapsed="false">
      <c r="E63" s="71" t="s">
        <v>93</v>
      </c>
      <c r="F63" s="71"/>
      <c r="G63" s="71"/>
      <c r="H63" s="71"/>
      <c r="K63" s="87"/>
      <c r="L63" s="87"/>
      <c r="M63" s="87"/>
      <c r="N63" s="87"/>
      <c r="O63" s="71" t="s">
        <v>94</v>
      </c>
      <c r="P63" s="71"/>
      <c r="Q63" s="71"/>
      <c r="R63" s="71"/>
      <c r="S63" s="71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tr">
        <f aca="false">'1. PL đường đen'!K57</f>
        <v>Trần Mạnh Tùng</v>
      </c>
      <c r="P68" s="71"/>
      <c r="Q68" s="71"/>
      <c r="R68" s="71"/>
      <c r="S68" s="71"/>
    </row>
  </sheetData>
  <mergeCells count="14">
    <mergeCell ref="A1:V1"/>
    <mergeCell ref="A2:V2"/>
    <mergeCell ref="A20:A21"/>
    <mergeCell ref="B20:B21"/>
    <mergeCell ref="C20:C21"/>
    <mergeCell ref="D20:I20"/>
    <mergeCell ref="J20:L20"/>
    <mergeCell ref="M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true" verticalCentered="false"/>
  <pageMargins left="0.157638888888889" right="0" top="0.433333333333333" bottom="0.4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P47" activeCellId="0" sqref="P4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8.42"/>
    <col collapsed="false" customWidth="true" hidden="false" outlineLevel="0" max="3" min="3" style="88" width="11.85"/>
    <col collapsed="false" customWidth="true" hidden="false" outlineLevel="0" max="4" min="4" style="89" width="6.71"/>
    <col collapsed="false" customWidth="true" hidden="true" outlineLevel="0" max="5" min="5" style="89" width="8.42"/>
    <col collapsed="false" customWidth="true" hidden="true" outlineLevel="0" max="6" min="6" style="89" width="14.29"/>
    <col collapsed="false" customWidth="true" hidden="false" outlineLevel="0" max="7" min="7" style="89" width="7.71"/>
    <col collapsed="false" customWidth="true" hidden="false" outlineLevel="0" max="8" min="8" style="89" width="10"/>
    <col collapsed="false" customWidth="true" hidden="false" outlineLevel="0" max="9" min="9" style="89" width="6.85"/>
    <col collapsed="false" customWidth="true" hidden="false" outlineLevel="0" max="10" min="10" style="89" width="10.42"/>
    <col collapsed="false" customWidth="true" hidden="false" outlineLevel="0" max="11" min="11" style="89" width="9.42"/>
    <col collapsed="false" customWidth="true" hidden="false" outlineLevel="0" max="12" min="12" style="89" width="9"/>
    <col collapsed="false" customWidth="true" hidden="false" outlineLevel="0" max="13" min="13" style="89" width="4.57"/>
    <col collapsed="false" customWidth="true" hidden="false" outlineLevel="0" max="14" min="14" style="88" width="11.85"/>
    <col collapsed="false" customWidth="true" hidden="false" outlineLevel="0" max="15" min="15" style="88" width="13.15"/>
    <col collapsed="false" customWidth="true" hidden="false" outlineLevel="0" max="16" min="16" style="88" width="24.57"/>
    <col collapsed="false" customWidth="false" hidden="false" outlineLevel="0" max="16384" min="17" style="88" width="9.29"/>
  </cols>
  <sheetData>
    <row r="1" s="91" customFormat="true" ht="18.75" hidden="false" customHeight="true" outlineLevel="0" collapsed="false">
      <c r="A1" s="90" t="s">
        <v>108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="91" customFormat="true" ht="16.5" hidden="false" customHeight="true" outlineLevel="0" collapsed="false">
      <c r="A2" s="92" t="str">
        <f aca="false">"Kèm theo BBNT số: "&amp;VLOOKUP(N2,'Tuyến XD4'!$A$2:$G$60,7,0)&amp;VLOOKUP(N2,'Tuyến XD4'!$A$2:$G$60,4,0)</f>
        <v>Kèm theo BBNT số: 30.NĐXD4/CVXD ngày 30 tháng 08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1" t="n">
        <v>30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XD4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6" hidden="false" customHeight="true" outlineLevel="0" collapsed="false">
      <c r="A7" s="96" t="s">
        <v>67</v>
      </c>
      <c r="B7" s="97"/>
      <c r="D7" s="98" t="str">
        <f aca="false">VLOOKUP(N2,'Tuyến XD4'!$A$2:$B$60,2,0)</f>
        <v>Đào đất xử lý nền đường đoạn từ Km0+554,08 - Km0+672,28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109</v>
      </c>
      <c r="E9" s="102"/>
      <c r="F9" s="103" t="s">
        <v>110</v>
      </c>
      <c r="G9" s="104" t="s">
        <v>111</v>
      </c>
      <c r="H9" s="104"/>
      <c r="I9" s="104"/>
      <c r="J9" s="104" t="s">
        <v>112</v>
      </c>
      <c r="K9" s="104"/>
      <c r="L9" s="104"/>
      <c r="M9" s="105" t="s">
        <v>113</v>
      </c>
    </row>
    <row r="10" s="108" customFormat="true" ht="36.75" hidden="false" customHeight="true" outlineLevel="0" collapsed="false">
      <c r="A10" s="100"/>
      <c r="B10" s="100"/>
      <c r="C10" s="100"/>
      <c r="D10" s="100"/>
      <c r="E10" s="105"/>
      <c r="F10" s="105" t="s">
        <v>114</v>
      </c>
      <c r="G10" s="105" t="s">
        <v>115</v>
      </c>
      <c r="H10" s="105" t="s">
        <v>116</v>
      </c>
      <c r="I10" s="105" t="s">
        <v>117</v>
      </c>
      <c r="J10" s="105" t="s">
        <v>115</v>
      </c>
      <c r="K10" s="105" t="s">
        <v>116</v>
      </c>
      <c r="L10" s="105" t="s">
        <v>118</v>
      </c>
      <c r="M10" s="105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32</v>
      </c>
      <c r="C11" s="65" t="n">
        <f aca="false">'1. PL đường đen'!C12</f>
        <v>554.08</v>
      </c>
      <c r="D11" s="84" t="n">
        <f aca="false">'1. PL đường đen'!T12</f>
        <v>15.4</v>
      </c>
      <c r="E11" s="67" t="n">
        <f aca="false">RANDBETWEEN(1,7)/100</f>
        <v>0.01</v>
      </c>
      <c r="F11" s="109" t="n">
        <v>27.56</v>
      </c>
      <c r="G11" s="109" t="n">
        <f aca="false">+F11+E11</f>
        <v>27.57</v>
      </c>
      <c r="H11" s="109"/>
      <c r="I11" s="109"/>
      <c r="J11" s="110" t="n">
        <f aca="false">(G11+G12)*D11/2</f>
        <v>422.422</v>
      </c>
      <c r="K11" s="110"/>
      <c r="L11" s="110"/>
      <c r="M11" s="111"/>
      <c r="O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33</v>
      </c>
      <c r="C12" s="65" t="n">
        <f aca="false">'1. PL đường đen'!C13</f>
        <v>569.48</v>
      </c>
      <c r="D12" s="84" t="n">
        <f aca="false">'1. PL đường đen'!T13</f>
        <v>3.64</v>
      </c>
      <c r="E12" s="67" t="n">
        <f aca="false">RANDBETWEEN(1,7)/100</f>
        <v>0.06</v>
      </c>
      <c r="F12" s="109" t="n">
        <v>27.23</v>
      </c>
      <c r="G12" s="109" t="n">
        <f aca="false">+F12+E12</f>
        <v>27.29</v>
      </c>
      <c r="H12" s="109"/>
      <c r="I12" s="109"/>
      <c r="J12" s="110" t="n">
        <f aca="false">(G12+G13)*D12/2</f>
        <v>176.8858</v>
      </c>
      <c r="K12" s="110"/>
      <c r="L12" s="110"/>
      <c r="M12" s="111"/>
      <c r="O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TD</v>
      </c>
      <c r="C13" s="65" t="n">
        <f aca="false">'1. PL đường đen'!C14</f>
        <v>573.12</v>
      </c>
      <c r="D13" s="84" t="n">
        <f aca="false">'1. PL đường đen'!T14</f>
        <v>6.56</v>
      </c>
      <c r="E13" s="67" t="n">
        <f aca="false">RANDBETWEEN(1,7)/100</f>
        <v>0.07</v>
      </c>
      <c r="F13" s="109" t="n">
        <v>69.83</v>
      </c>
      <c r="G13" s="109" t="n">
        <f aca="false">+F13+E13</f>
        <v>69.9</v>
      </c>
      <c r="H13" s="109"/>
      <c r="I13" s="109"/>
      <c r="J13" s="110" t="n">
        <f aca="false">(G13+G14)*D13/2</f>
        <v>384.908</v>
      </c>
      <c r="K13" s="110"/>
      <c r="L13" s="110"/>
      <c r="M13" s="111"/>
      <c r="O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P</v>
      </c>
      <c r="C14" s="65" t="n">
        <f aca="false">'1. PL đường đen'!C15</f>
        <v>579.68</v>
      </c>
      <c r="D14" s="84" t="n">
        <f aca="false">'1. PL đường đen'!T15</f>
        <v>4.84</v>
      </c>
      <c r="E14" s="67" t="n">
        <f aca="false">RANDBETWEEN(1,7)/100</f>
        <v>0.07</v>
      </c>
      <c r="F14" s="109" t="n">
        <v>47.38</v>
      </c>
      <c r="G14" s="109" t="n">
        <f aca="false">+F14+E14</f>
        <v>47.45</v>
      </c>
      <c r="H14" s="109"/>
      <c r="I14" s="109"/>
      <c r="J14" s="110" t="n">
        <f aca="false">(G14+G15)*D14/2</f>
        <v>227.8188</v>
      </c>
      <c r="K14" s="110"/>
      <c r="L14" s="110"/>
      <c r="M14" s="111"/>
      <c r="O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E2</v>
      </c>
      <c r="C15" s="65" t="n">
        <f aca="false">'1. PL đường đen'!C16</f>
        <v>584.52</v>
      </c>
      <c r="D15" s="84" t="n">
        <f aca="false">'1. PL đường đen'!T16</f>
        <v>1.71</v>
      </c>
      <c r="E15" s="67" t="n">
        <f aca="false">RANDBETWEEN(1,7)/100</f>
        <v>0.05</v>
      </c>
      <c r="F15" s="109" t="n">
        <v>46.64</v>
      </c>
      <c r="G15" s="109" t="n">
        <f aca="false">+F15+E15</f>
        <v>46.69</v>
      </c>
      <c r="H15" s="109"/>
      <c r="I15" s="109"/>
      <c r="J15" s="110" t="n">
        <f aca="false">(G15+G16)*D15/2</f>
        <v>80.17335</v>
      </c>
      <c r="K15" s="110"/>
      <c r="L15" s="110"/>
      <c r="M15" s="111"/>
      <c r="O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TC</v>
      </c>
      <c r="C16" s="65" t="n">
        <f aca="false">'1. PL đường đen'!C17</f>
        <v>586.23</v>
      </c>
      <c r="D16" s="84" t="n">
        <f aca="false">'1. PL đường đen'!T17</f>
        <v>11.55</v>
      </c>
      <c r="E16" s="67" t="n">
        <f aca="false">RANDBETWEEN(1,7)/100</f>
        <v>0.03</v>
      </c>
      <c r="F16" s="109" t="n">
        <v>47.05</v>
      </c>
      <c r="G16" s="109" t="n">
        <f aca="false">+F16+E16</f>
        <v>47.08</v>
      </c>
      <c r="H16" s="109"/>
      <c r="I16" s="109"/>
      <c r="J16" s="110" t="n">
        <f aca="false">(G16+G17)*D16/2</f>
        <v>387.90675</v>
      </c>
      <c r="K16" s="110"/>
      <c r="L16" s="110"/>
      <c r="M16" s="111"/>
      <c r="O16" s="112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34</v>
      </c>
      <c r="C17" s="65" t="n">
        <f aca="false">'1. PL đường đen'!C18</f>
        <v>597.78</v>
      </c>
      <c r="D17" s="84" t="n">
        <f aca="false">'1. PL đường đen'!T18</f>
        <v>17</v>
      </c>
      <c r="E17" s="67" t="n">
        <f aca="false">RANDBETWEEN(1,7)/100</f>
        <v>0.06</v>
      </c>
      <c r="F17" s="109" t="n">
        <v>20.03</v>
      </c>
      <c r="G17" s="109" t="n">
        <f aca="false">+F17+E17</f>
        <v>20.09</v>
      </c>
      <c r="H17" s="109"/>
      <c r="I17" s="109"/>
      <c r="J17" s="110" t="n">
        <f aca="false">(G17+G18)*D17/2</f>
        <v>376.805</v>
      </c>
      <c r="K17" s="110"/>
      <c r="L17" s="110"/>
      <c r="M17" s="111"/>
      <c r="O17" s="112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35</v>
      </c>
      <c r="C18" s="65" t="n">
        <f aca="false">'1. PL đường đen'!C19</f>
        <v>614.78</v>
      </c>
      <c r="D18" s="84" t="n">
        <f aca="false">'1. PL đường đen'!T19</f>
        <v>17.05</v>
      </c>
      <c r="E18" s="67" t="n">
        <f aca="false">RANDBETWEEN(1,7)/100</f>
        <v>0.07</v>
      </c>
      <c r="F18" s="109" t="n">
        <v>24.17</v>
      </c>
      <c r="G18" s="109" t="n">
        <f aca="false">+F18+E18</f>
        <v>24.24</v>
      </c>
      <c r="H18" s="109"/>
      <c r="I18" s="109"/>
      <c r="J18" s="110" t="n">
        <f aca="false">(G18+G19)*D18/2</f>
        <v>456.258</v>
      </c>
      <c r="K18" s="110"/>
      <c r="L18" s="110"/>
      <c r="M18" s="111"/>
      <c r="O18" s="112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36</v>
      </c>
      <c r="C19" s="65" t="n">
        <f aca="false">'1. PL đường đen'!C20</f>
        <v>631.83</v>
      </c>
      <c r="D19" s="84" t="n">
        <f aca="false">'1. PL đường đen'!T20</f>
        <v>11.7</v>
      </c>
      <c r="E19" s="67" t="n">
        <f aca="false">RANDBETWEEN(1,7)/100</f>
        <v>0.05</v>
      </c>
      <c r="F19" s="109" t="n">
        <v>29.23</v>
      </c>
      <c r="G19" s="109" t="n">
        <f aca="false">+F19+E19</f>
        <v>29.28</v>
      </c>
      <c r="H19" s="109"/>
      <c r="I19" s="109"/>
      <c r="J19" s="110" t="n">
        <f aca="false">(G19+G20)*D19/2</f>
        <v>409.3245</v>
      </c>
      <c r="K19" s="110"/>
      <c r="L19" s="110"/>
      <c r="M19" s="111"/>
      <c r="O19" s="112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E9</v>
      </c>
      <c r="C20" s="65" t="n">
        <f aca="false">'1. PL đường đen'!C21</f>
        <v>643.53</v>
      </c>
      <c r="D20" s="84" t="n">
        <f aca="false">'1. PL đường đen'!T21</f>
        <v>11.75</v>
      </c>
      <c r="E20" s="67" t="n">
        <f aca="false">RANDBETWEEN(1,7)/100</f>
        <v>0.01</v>
      </c>
      <c r="F20" s="109" t="n">
        <v>40.68</v>
      </c>
      <c r="G20" s="109" t="n">
        <f aca="false">+F20+E20</f>
        <v>40.69</v>
      </c>
      <c r="H20" s="109"/>
      <c r="I20" s="109"/>
      <c r="J20" s="110" t="n">
        <f aca="false">(G20+G21)*D20/2</f>
        <v>401.79125</v>
      </c>
      <c r="K20" s="110"/>
      <c r="L20" s="110"/>
      <c r="M20" s="111"/>
      <c r="O20" s="112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37</v>
      </c>
      <c r="C21" s="65" t="n">
        <f aca="false">'1. PL đường đen'!C22</f>
        <v>655.28</v>
      </c>
      <c r="D21" s="84" t="n">
        <f aca="false">'1. PL đường đen'!T22</f>
        <v>17</v>
      </c>
      <c r="E21" s="67" t="n">
        <f aca="false">RANDBETWEEN(1,7)/100</f>
        <v>0.07</v>
      </c>
      <c r="F21" s="109" t="n">
        <v>27.63</v>
      </c>
      <c r="G21" s="109" t="n">
        <f aca="false">+F21+E21</f>
        <v>27.7</v>
      </c>
      <c r="H21" s="109"/>
      <c r="I21" s="109"/>
      <c r="J21" s="110" t="n">
        <f aca="false">(G21+G22)*D21/2</f>
        <v>277.1</v>
      </c>
      <c r="K21" s="110"/>
      <c r="L21" s="110"/>
      <c r="M21" s="111"/>
      <c r="O21" s="112"/>
    </row>
    <row r="22" s="108" customFormat="true" ht="15" hidden="false" customHeight="true" outlineLevel="0" collapsed="false">
      <c r="A22" s="84" t="n">
        <v>12</v>
      </c>
      <c r="B22" s="84" t="str">
        <f aca="false">'1. PL đường đen'!B23</f>
        <v>38</v>
      </c>
      <c r="C22" s="65" t="n">
        <f aca="false">'1. PL đường đen'!C23</f>
        <v>672.28</v>
      </c>
      <c r="D22" s="84"/>
      <c r="E22" s="67" t="n">
        <f aca="false">RANDBETWEEN(1,7)/100</f>
        <v>0.05</v>
      </c>
      <c r="F22" s="109" t="n">
        <v>4.85</v>
      </c>
      <c r="G22" s="109" t="n">
        <f aca="false">+F22+E22</f>
        <v>4.9</v>
      </c>
      <c r="H22" s="109"/>
      <c r="I22" s="109"/>
      <c r="J22" s="110"/>
      <c r="K22" s="110"/>
      <c r="L22" s="110"/>
      <c r="M22" s="111"/>
      <c r="O22" s="112"/>
    </row>
    <row r="23" s="108" customFormat="true" ht="15" hidden="true" customHeight="true" outlineLevel="0" collapsed="false">
      <c r="A23" s="84"/>
      <c r="B23" s="84"/>
      <c r="C23" s="65"/>
      <c r="D23" s="84"/>
      <c r="E23" s="67"/>
      <c r="F23" s="109"/>
      <c r="G23" s="109"/>
      <c r="H23" s="109"/>
      <c r="I23" s="109"/>
      <c r="J23" s="110"/>
      <c r="K23" s="110"/>
      <c r="L23" s="110"/>
      <c r="M23" s="111"/>
      <c r="O23" s="112"/>
    </row>
    <row r="24" s="108" customFormat="true" ht="15" hidden="true" customHeight="true" outlineLevel="0" collapsed="false">
      <c r="A24" s="84"/>
      <c r="B24" s="84"/>
      <c r="C24" s="65"/>
      <c r="D24" s="84"/>
      <c r="E24" s="67"/>
      <c r="F24" s="109"/>
      <c r="G24" s="109"/>
      <c r="H24" s="109"/>
      <c r="I24" s="109"/>
      <c r="J24" s="110"/>
      <c r="K24" s="110"/>
      <c r="L24" s="110"/>
      <c r="M24" s="111"/>
      <c r="O24" s="112"/>
    </row>
    <row r="25" s="108" customFormat="true" ht="15" hidden="true" customHeight="true" outlineLevel="0" collapsed="false">
      <c r="A25" s="84"/>
      <c r="B25" s="84"/>
      <c r="C25" s="65"/>
      <c r="D25" s="84"/>
      <c r="E25" s="67"/>
      <c r="F25" s="109"/>
      <c r="G25" s="109"/>
      <c r="H25" s="109"/>
      <c r="I25" s="109"/>
      <c r="J25" s="110"/>
      <c r="K25" s="110"/>
      <c r="L25" s="110"/>
      <c r="M25" s="111"/>
      <c r="O25" s="112"/>
    </row>
    <row r="26" s="108" customFormat="true" ht="15" hidden="true" customHeight="true" outlineLevel="0" collapsed="false">
      <c r="A26" s="84"/>
      <c r="B26" s="84"/>
      <c r="C26" s="65"/>
      <c r="D26" s="84"/>
      <c r="E26" s="67"/>
      <c r="F26" s="109"/>
      <c r="G26" s="109"/>
      <c r="H26" s="109"/>
      <c r="I26" s="109"/>
      <c r="J26" s="110"/>
      <c r="K26" s="110"/>
      <c r="L26" s="110"/>
      <c r="M26" s="111"/>
      <c r="O26" s="112"/>
    </row>
    <row r="27" s="108" customFormat="true" ht="15" hidden="true" customHeight="true" outlineLevel="0" collapsed="false">
      <c r="A27" s="84"/>
      <c r="B27" s="84"/>
      <c r="C27" s="65"/>
      <c r="D27" s="84"/>
      <c r="E27" s="67"/>
      <c r="F27" s="109"/>
      <c r="G27" s="109"/>
      <c r="H27" s="109"/>
      <c r="I27" s="109"/>
      <c r="J27" s="110"/>
      <c r="K27" s="110"/>
      <c r="L27" s="110"/>
      <c r="M27" s="111"/>
      <c r="O27" s="112"/>
    </row>
    <row r="28" s="108" customFormat="true" ht="15" hidden="true" customHeight="true" outlineLevel="0" collapsed="false">
      <c r="A28" s="84"/>
      <c r="B28" s="84"/>
      <c r="C28" s="65"/>
      <c r="D28" s="84"/>
      <c r="E28" s="67"/>
      <c r="F28" s="109"/>
      <c r="G28" s="109"/>
      <c r="H28" s="109"/>
      <c r="I28" s="109"/>
      <c r="J28" s="110"/>
      <c r="K28" s="110"/>
      <c r="L28" s="110"/>
      <c r="M28" s="111"/>
      <c r="O28" s="112"/>
    </row>
    <row r="29" s="108" customFormat="true" ht="15" hidden="true" customHeight="true" outlineLevel="0" collapsed="false">
      <c r="A29" s="84"/>
      <c r="B29" s="84"/>
      <c r="C29" s="65"/>
      <c r="D29" s="84"/>
      <c r="E29" s="67"/>
      <c r="F29" s="109"/>
      <c r="G29" s="109"/>
      <c r="H29" s="109"/>
      <c r="I29" s="109"/>
      <c r="J29" s="110"/>
      <c r="K29" s="110"/>
      <c r="L29" s="110"/>
      <c r="M29" s="111"/>
      <c r="O29" s="112"/>
    </row>
    <row r="30" s="108" customFormat="true" ht="15" hidden="true" customHeight="true" outlineLevel="0" collapsed="false">
      <c r="A30" s="84"/>
      <c r="B30" s="84"/>
      <c r="C30" s="65"/>
      <c r="D30" s="84"/>
      <c r="E30" s="67"/>
      <c r="F30" s="109"/>
      <c r="G30" s="109"/>
      <c r="H30" s="109"/>
      <c r="I30" s="109"/>
      <c r="J30" s="110"/>
      <c r="K30" s="110"/>
      <c r="L30" s="110"/>
      <c r="M30" s="111"/>
      <c r="O30" s="112"/>
    </row>
    <row r="31" s="108" customFormat="true" ht="15" hidden="true" customHeight="true" outlineLevel="0" collapsed="false">
      <c r="A31" s="84"/>
      <c r="B31" s="84"/>
      <c r="C31" s="65"/>
      <c r="D31" s="84"/>
      <c r="E31" s="67"/>
      <c r="F31" s="109"/>
      <c r="G31" s="109"/>
      <c r="H31" s="109"/>
      <c r="I31" s="109"/>
      <c r="J31" s="110"/>
      <c r="K31" s="110"/>
      <c r="L31" s="110"/>
      <c r="M31" s="111"/>
      <c r="O31" s="112"/>
    </row>
    <row r="32" s="108" customFormat="true" ht="15" hidden="true" customHeight="true" outlineLevel="0" collapsed="false">
      <c r="A32" s="84"/>
      <c r="B32" s="84"/>
      <c r="C32" s="65"/>
      <c r="D32" s="84"/>
      <c r="E32" s="67"/>
      <c r="F32" s="109"/>
      <c r="G32" s="109"/>
      <c r="H32" s="109"/>
      <c r="I32" s="109"/>
      <c r="J32" s="110"/>
      <c r="K32" s="110"/>
      <c r="L32" s="110"/>
      <c r="M32" s="111"/>
      <c r="O32" s="112"/>
    </row>
    <row r="33" s="108" customFormat="true" ht="15" hidden="true" customHeight="true" outlineLevel="0" collapsed="false">
      <c r="A33" s="84"/>
      <c r="B33" s="84"/>
      <c r="C33" s="65"/>
      <c r="D33" s="84"/>
      <c r="E33" s="67"/>
      <c r="F33" s="109"/>
      <c r="G33" s="109"/>
      <c r="H33" s="109"/>
      <c r="I33" s="109"/>
      <c r="J33" s="110"/>
      <c r="K33" s="110"/>
      <c r="L33" s="110"/>
      <c r="M33" s="111"/>
      <c r="O33" s="112"/>
    </row>
    <row r="34" s="108" customFormat="true" ht="15" hidden="true" customHeight="true" outlineLevel="0" collapsed="false">
      <c r="A34" s="84"/>
      <c r="B34" s="84"/>
      <c r="C34" s="65"/>
      <c r="D34" s="84"/>
      <c r="E34" s="67"/>
      <c r="F34" s="109"/>
      <c r="G34" s="109"/>
      <c r="H34" s="109"/>
      <c r="I34" s="109"/>
      <c r="J34" s="110"/>
      <c r="K34" s="110"/>
      <c r="L34" s="110"/>
      <c r="M34" s="111"/>
      <c r="O34" s="112"/>
    </row>
    <row r="35" s="108" customFormat="true" ht="15" hidden="true" customHeight="true" outlineLevel="0" collapsed="false">
      <c r="A35" s="84"/>
      <c r="B35" s="84"/>
      <c r="C35" s="65"/>
      <c r="D35" s="84"/>
      <c r="E35" s="67"/>
      <c r="F35" s="109"/>
      <c r="G35" s="109"/>
      <c r="H35" s="109"/>
      <c r="I35" s="109"/>
      <c r="J35" s="110"/>
      <c r="K35" s="110"/>
      <c r="L35" s="110"/>
      <c r="M35" s="111"/>
      <c r="O35" s="112"/>
    </row>
    <row r="36" s="108" customFormat="true" ht="15" hidden="true" customHeight="true" outlineLevel="0" collapsed="false">
      <c r="A36" s="84"/>
      <c r="B36" s="84"/>
      <c r="C36" s="65"/>
      <c r="D36" s="84"/>
      <c r="E36" s="67"/>
      <c r="F36" s="109"/>
      <c r="G36" s="109"/>
      <c r="H36" s="109"/>
      <c r="I36" s="109"/>
      <c r="J36" s="110"/>
      <c r="K36" s="110"/>
      <c r="L36" s="110"/>
      <c r="M36" s="111"/>
      <c r="O36" s="112"/>
    </row>
    <row r="37" s="108" customFormat="true" ht="15" hidden="true" customHeight="true" outlineLevel="0" collapsed="false">
      <c r="A37" s="84"/>
      <c r="B37" s="84"/>
      <c r="C37" s="65"/>
      <c r="D37" s="84"/>
      <c r="E37" s="67"/>
      <c r="F37" s="109"/>
      <c r="G37" s="109"/>
      <c r="H37" s="109"/>
      <c r="I37" s="109"/>
      <c r="J37" s="110"/>
      <c r="K37" s="110"/>
      <c r="L37" s="110"/>
      <c r="M37" s="111"/>
      <c r="O37" s="112"/>
    </row>
    <row r="38" s="108" customFormat="true" ht="15" hidden="true" customHeight="true" outlineLevel="0" collapsed="false">
      <c r="A38" s="84"/>
      <c r="B38" s="84"/>
      <c r="C38" s="65"/>
      <c r="D38" s="84"/>
      <c r="E38" s="67"/>
      <c r="F38" s="109"/>
      <c r="G38" s="109"/>
      <c r="H38" s="109"/>
      <c r="I38" s="109"/>
      <c r="J38" s="110"/>
      <c r="K38" s="110"/>
      <c r="L38" s="110"/>
      <c r="M38" s="111"/>
      <c r="O38" s="112"/>
    </row>
    <row r="39" s="108" customFormat="true" ht="15" hidden="true" customHeight="true" outlineLevel="0" collapsed="false">
      <c r="A39" s="84"/>
      <c r="B39" s="84"/>
      <c r="C39" s="65"/>
      <c r="D39" s="84"/>
      <c r="E39" s="67"/>
      <c r="F39" s="109"/>
      <c r="G39" s="109"/>
      <c r="H39" s="109"/>
      <c r="I39" s="109"/>
      <c r="J39" s="110"/>
      <c r="K39" s="110"/>
      <c r="L39" s="110"/>
      <c r="M39" s="111"/>
      <c r="O39" s="112"/>
    </row>
    <row r="40" s="108" customFormat="true" ht="15" hidden="true" customHeight="true" outlineLevel="0" collapsed="false">
      <c r="A40" s="84"/>
      <c r="B40" s="84"/>
      <c r="C40" s="65"/>
      <c r="D40" s="84"/>
      <c r="E40" s="67"/>
      <c r="F40" s="109"/>
      <c r="G40" s="109"/>
      <c r="H40" s="109"/>
      <c r="I40" s="109"/>
      <c r="J40" s="110"/>
      <c r="K40" s="110"/>
      <c r="L40" s="110"/>
      <c r="M40" s="111"/>
      <c r="O40" s="112"/>
    </row>
    <row r="41" s="108" customFormat="true" ht="15" hidden="true" customHeight="true" outlineLevel="0" collapsed="false">
      <c r="A41" s="84"/>
      <c r="B41" s="84"/>
      <c r="C41" s="65"/>
      <c r="D41" s="84"/>
      <c r="E41" s="67"/>
      <c r="F41" s="109"/>
      <c r="G41" s="109"/>
      <c r="H41" s="109"/>
      <c r="I41" s="109"/>
      <c r="J41" s="110"/>
      <c r="K41" s="110"/>
      <c r="L41" s="110"/>
      <c r="M41" s="111"/>
      <c r="O41" s="112"/>
    </row>
    <row r="42" s="108" customFormat="true" ht="15" hidden="true" customHeight="true" outlineLevel="0" collapsed="false">
      <c r="A42" s="84"/>
      <c r="B42" s="84"/>
      <c r="C42" s="65"/>
      <c r="D42" s="84"/>
      <c r="E42" s="67"/>
      <c r="F42" s="109"/>
      <c r="G42" s="109"/>
      <c r="H42" s="109"/>
      <c r="I42" s="109"/>
      <c r="J42" s="110"/>
      <c r="K42" s="110"/>
      <c r="L42" s="110"/>
      <c r="M42" s="111"/>
      <c r="O42" s="112"/>
    </row>
    <row r="43" s="108" customFormat="true" ht="15" hidden="true" customHeight="true" outlineLevel="0" collapsed="false">
      <c r="A43" s="84"/>
      <c r="B43" s="84"/>
      <c r="C43" s="65"/>
      <c r="D43" s="84"/>
      <c r="E43" s="67"/>
      <c r="F43" s="109"/>
      <c r="G43" s="109"/>
      <c r="H43" s="109"/>
      <c r="I43" s="109"/>
      <c r="J43" s="110"/>
      <c r="K43" s="110"/>
      <c r="L43" s="110"/>
      <c r="M43" s="111"/>
      <c r="O43" s="112"/>
    </row>
    <row r="44" s="108" customFormat="true" ht="15" hidden="true" customHeight="true" outlineLevel="0" collapsed="false">
      <c r="A44" s="84"/>
      <c r="B44" s="84"/>
      <c r="C44" s="65"/>
      <c r="D44" s="84"/>
      <c r="E44" s="67"/>
      <c r="F44" s="109"/>
      <c r="G44" s="109"/>
      <c r="H44" s="109"/>
      <c r="I44" s="109"/>
      <c r="J44" s="110"/>
      <c r="K44" s="110"/>
      <c r="L44" s="110"/>
      <c r="M44" s="111"/>
      <c r="O44" s="112"/>
    </row>
    <row r="45" s="108" customFormat="true" ht="15" hidden="true" customHeight="true" outlineLevel="0" collapsed="false">
      <c r="A45" s="84"/>
      <c r="B45" s="84"/>
      <c r="C45" s="65"/>
      <c r="D45" s="84"/>
      <c r="E45" s="67"/>
      <c r="F45" s="109"/>
      <c r="G45" s="109"/>
      <c r="H45" s="109"/>
      <c r="I45" s="109"/>
      <c r="J45" s="110"/>
      <c r="K45" s="110"/>
      <c r="L45" s="110"/>
      <c r="M45" s="111"/>
      <c r="O45" s="112"/>
    </row>
    <row r="46" s="108" customFormat="true" ht="15" hidden="true" customHeight="true" outlineLevel="0" collapsed="false">
      <c r="A46" s="84"/>
      <c r="B46" s="84"/>
      <c r="C46" s="65"/>
      <c r="D46" s="84"/>
      <c r="E46" s="67"/>
      <c r="F46" s="109"/>
      <c r="G46" s="109"/>
      <c r="H46" s="109"/>
      <c r="I46" s="109"/>
      <c r="J46" s="110"/>
      <c r="K46" s="110"/>
      <c r="L46" s="110"/>
      <c r="M46" s="111"/>
      <c r="O46" s="112"/>
    </row>
    <row r="47" s="108" customFormat="true" ht="15" hidden="true" customHeight="true" outlineLevel="0" collapsed="false">
      <c r="A47" s="84"/>
      <c r="B47" s="84"/>
      <c r="C47" s="65"/>
      <c r="D47" s="84"/>
      <c r="E47" s="67"/>
      <c r="F47" s="109"/>
      <c r="G47" s="109"/>
      <c r="H47" s="109"/>
      <c r="I47" s="109"/>
      <c r="J47" s="110"/>
      <c r="K47" s="110"/>
      <c r="L47" s="110"/>
      <c r="M47" s="111"/>
      <c r="O47" s="112"/>
    </row>
    <row r="48" s="108" customFormat="true" ht="15" hidden="true" customHeight="true" outlineLevel="0" collapsed="false">
      <c r="A48" s="84"/>
      <c r="B48" s="84"/>
      <c r="C48" s="65"/>
      <c r="D48" s="84"/>
      <c r="E48" s="67"/>
      <c r="F48" s="109"/>
      <c r="G48" s="109"/>
      <c r="H48" s="109"/>
      <c r="I48" s="109"/>
      <c r="J48" s="110"/>
      <c r="K48" s="110"/>
      <c r="L48" s="110"/>
      <c r="M48" s="111"/>
      <c r="O48" s="112"/>
    </row>
    <row r="49" s="108" customFormat="true" ht="15" hidden="true" customHeight="true" outlineLevel="0" collapsed="false">
      <c r="A49" s="84"/>
      <c r="B49" s="84"/>
      <c r="C49" s="65"/>
      <c r="D49" s="84"/>
      <c r="E49" s="67"/>
      <c r="F49" s="109"/>
      <c r="G49" s="109"/>
      <c r="H49" s="109"/>
      <c r="I49" s="109"/>
      <c r="J49" s="110"/>
      <c r="K49" s="110"/>
      <c r="L49" s="110"/>
      <c r="M49" s="111"/>
      <c r="O49" s="112"/>
    </row>
    <row r="50" s="108" customFormat="true" ht="15" hidden="true" customHeight="true" outlineLevel="0" collapsed="false">
      <c r="A50" s="84"/>
      <c r="B50" s="84"/>
      <c r="C50" s="65"/>
      <c r="D50" s="84"/>
      <c r="E50" s="67"/>
      <c r="F50" s="109"/>
      <c r="G50" s="109"/>
      <c r="H50" s="109"/>
      <c r="I50" s="109"/>
      <c r="J50" s="110"/>
      <c r="K50" s="110"/>
      <c r="L50" s="110"/>
      <c r="M50" s="111"/>
      <c r="O50" s="112"/>
    </row>
    <row r="51" s="117" customFormat="true" ht="14.25" hidden="false" customHeight="true" outlineLevel="0" collapsed="false">
      <c r="A51" s="100" t="s">
        <v>119</v>
      </c>
      <c r="B51" s="100"/>
      <c r="C51" s="100"/>
      <c r="D51" s="100"/>
      <c r="E51" s="113"/>
      <c r="F51" s="114"/>
      <c r="G51" s="114"/>
      <c r="H51" s="114"/>
      <c r="I51" s="114"/>
      <c r="J51" s="115" t="n">
        <f aca="false">SUM(J11:J22)</f>
        <v>3601.39345</v>
      </c>
      <c r="K51" s="115"/>
      <c r="L51" s="115"/>
      <c r="M51" s="116"/>
      <c r="O51" s="118"/>
    </row>
    <row r="52" s="117" customFormat="true" ht="14.25" hidden="false" customHeight="true" outlineLevel="0" collapsed="false">
      <c r="A52" s="119"/>
      <c r="B52" s="119"/>
      <c r="C52" s="119"/>
      <c r="D52" s="119"/>
      <c r="J52" s="118"/>
      <c r="K52" s="118"/>
      <c r="L52" s="118"/>
      <c r="M52" s="118"/>
    </row>
    <row r="53" s="117" customFormat="true" ht="15" hidden="false" customHeight="true" outlineLevel="0" collapsed="false">
      <c r="A53" s="71" t="s">
        <v>93</v>
      </c>
      <c r="B53" s="71"/>
      <c r="C53" s="71"/>
      <c r="D53" s="120" t="s">
        <v>120</v>
      </c>
      <c r="E53" s="71" t="s">
        <v>94</v>
      </c>
      <c r="F53" s="71"/>
      <c r="G53" s="71"/>
      <c r="H53" s="71"/>
      <c r="I53" s="71"/>
      <c r="J53" s="71"/>
      <c r="K53" s="71"/>
      <c r="L53" s="71"/>
      <c r="M53" s="71"/>
    </row>
    <row r="54" s="117" customFormat="true" ht="15" hidden="false" customHeight="true" outlineLevel="0" collapsed="false">
      <c r="A54" s="121"/>
      <c r="B54" s="121"/>
      <c r="C54" s="121"/>
      <c r="D54" s="122"/>
      <c r="E54" s="73"/>
      <c r="F54" s="73"/>
      <c r="G54" s="73"/>
      <c r="H54" s="73"/>
      <c r="I54" s="73"/>
      <c r="J54" s="73"/>
      <c r="K54" s="73"/>
      <c r="L54" s="73"/>
      <c r="M54" s="73"/>
    </row>
    <row r="55" s="117" customFormat="true" ht="15" hidden="false" customHeight="true" outlineLevel="0" collapsed="false">
      <c r="A55" s="121"/>
      <c r="B55" s="121"/>
      <c r="C55" s="123"/>
      <c r="D55" s="123"/>
      <c r="E55" s="73"/>
      <c r="F55" s="73"/>
      <c r="G55" s="73"/>
      <c r="H55" s="73"/>
      <c r="I55" s="73"/>
      <c r="J55" s="73"/>
      <c r="K55" s="73"/>
      <c r="L55" s="73"/>
      <c r="M55" s="73"/>
    </row>
    <row r="56" s="117" customFormat="true" ht="15" hidden="false" customHeight="true" outlineLevel="0" collapsed="false">
      <c r="A56" s="121"/>
      <c r="B56" s="121"/>
      <c r="C56" s="124"/>
      <c r="D56" s="124"/>
      <c r="E56" s="73"/>
      <c r="F56" s="73"/>
      <c r="G56" s="73"/>
      <c r="H56" s="73"/>
      <c r="I56" s="73"/>
      <c r="J56" s="73"/>
      <c r="K56" s="73"/>
      <c r="L56" s="73"/>
      <c r="M56" s="73"/>
    </row>
    <row r="57" s="117" customFormat="true" ht="15" hidden="false" customHeight="true" outlineLevel="0" collapsed="false">
      <c r="A57" s="121"/>
      <c r="B57" s="121"/>
      <c r="C57" s="121"/>
      <c r="D57" s="122"/>
      <c r="E57" s="73"/>
      <c r="F57" s="73"/>
      <c r="G57" s="73"/>
      <c r="H57" s="73"/>
      <c r="I57" s="73"/>
      <c r="J57" s="73"/>
      <c r="K57" s="73"/>
      <c r="L57" s="73"/>
      <c r="M57" s="73"/>
    </row>
    <row r="58" s="117" customFormat="true" ht="14.25" hidden="false" customHeight="true" outlineLevel="0" collapsed="false">
      <c r="A58" s="71" t="str">
        <f aca="false">'2. Cao độ đào nền'!E68</f>
        <v>Nguyễn Xuân Hưng</v>
      </c>
      <c r="B58" s="71"/>
      <c r="C58" s="71"/>
      <c r="D58" s="122"/>
      <c r="E58" s="71" t="str">
        <f aca="false">+'2. Cao độ đào nền'!O68</f>
        <v>Trần Mạnh Tùng</v>
      </c>
      <c r="F58" s="71"/>
      <c r="G58" s="71"/>
      <c r="H58" s="71"/>
      <c r="I58" s="71"/>
      <c r="J58" s="71"/>
      <c r="K58" s="71"/>
      <c r="L58" s="71"/>
      <c r="M58" s="71"/>
    </row>
    <row r="59" s="127" customFormat="true" ht="15" hidden="false" customHeight="true" outlineLevel="0" collapsed="false">
      <c r="A59" s="125"/>
      <c r="B59" s="125"/>
      <c r="C59" s="125"/>
      <c r="D59" s="126"/>
      <c r="E59" s="126"/>
      <c r="F59" s="126"/>
      <c r="G59" s="126"/>
      <c r="H59" s="126"/>
      <c r="I59" s="126"/>
      <c r="J59" s="126"/>
      <c r="K59" s="126"/>
      <c r="L59" s="126"/>
    </row>
    <row r="60" s="127" customFormat="true" ht="16.5" hidden="false" customHeight="true" outlineLevel="0" collapsed="false">
      <c r="D60" s="128"/>
      <c r="E60" s="128"/>
      <c r="F60" s="129"/>
      <c r="G60" s="129"/>
      <c r="H60" s="129"/>
      <c r="I60" s="129"/>
      <c r="J60" s="129"/>
      <c r="K60" s="129"/>
      <c r="L60" s="129"/>
      <c r="M60" s="129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8.75" hidden="false" customHeight="tru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6.5" hidden="false" customHeight="tru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6.5" hidden="false" customHeight="tru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6.5" hidden="false" customHeight="tru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6.5" hidden="false" customHeight="tru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6.5" hidden="false" customHeight="tru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2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G9:I9"/>
    <mergeCell ref="J9:L9"/>
    <mergeCell ref="M9:M10"/>
    <mergeCell ref="A51:D51"/>
    <mergeCell ref="A53:C53"/>
    <mergeCell ref="E53:M53"/>
    <mergeCell ref="C55:D55"/>
    <mergeCell ref="A58:C58"/>
    <mergeCell ref="E58:M58"/>
    <mergeCell ref="F60:M60"/>
  </mergeCells>
  <printOptions headings="false" gridLines="false" gridLinesSet="true" horizontalCentered="false" verticalCentered="false"/>
  <pageMargins left="0.708333333333333" right="0.157638888888889" top="0.551388888888889" bottom="0.490277777777778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62" colorId="64" zoomScale="85" zoomScaleNormal="85" zoomScalePageLayoutView="100" workbookViewId="0">
      <selection pane="topLeft" activeCell="M73" activeCellId="0" sqref="M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4.29"/>
    <col collapsed="false" customWidth="true" hidden="false" outlineLevel="0" max="4" min="4" style="1" width="8.42"/>
    <col collapsed="false" customWidth="true" hidden="false" outlineLevel="0" max="6" min="5" style="1" width="8.57"/>
    <col collapsed="false" customWidth="true" hidden="false" outlineLevel="0" max="7" min="7" style="1" width="8"/>
    <col collapsed="false" customWidth="true" hidden="false" outlineLevel="0" max="8" min="8" style="1" width="7.71"/>
    <col collapsed="false" customWidth="true" hidden="false" outlineLevel="0" max="9" min="9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15" min="12" style="1" width="8.57"/>
    <col collapsed="false" customWidth="true" hidden="false" outlineLevel="0" max="16" min="16" style="1" width="7.71"/>
    <col collapsed="false" customWidth="true" hidden="false" outlineLevel="0" max="17" min="17" style="1" width="8"/>
    <col collapsed="false" customWidth="true" hidden="false" outlineLevel="0" max="21" min="18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121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91"/>
      <c r="X1" s="91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XD4'!$A$2:$G$60,7,0)&amp;VLOOKUP(W2,'Tuyến XD4'!$A$2:$G$60,4,0)</f>
        <v>Kèm theo BBNT số: 31.NĐXD4/CVXD ngày 31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31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XD4'!$A$2:$B$60,2,0)</f>
        <v>Rải vải địa kỹ thuật đoạn từ Km0+554,08 - Km0+672,28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19" customFormat="false" ht="5.25" hidden="false" customHeight="true" outlineLevel="0" collapsed="false"/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122</v>
      </c>
      <c r="E20" s="79"/>
      <c r="F20" s="79"/>
      <c r="G20" s="79" t="s">
        <v>123</v>
      </c>
      <c r="H20" s="79"/>
      <c r="I20" s="79"/>
      <c r="J20" s="79" t="s">
        <v>124</v>
      </c>
      <c r="K20" s="79"/>
      <c r="L20" s="79"/>
      <c r="M20" s="79" t="s">
        <v>125</v>
      </c>
      <c r="N20" s="79"/>
      <c r="O20" s="79"/>
      <c r="P20" s="79" t="s">
        <v>126</v>
      </c>
      <c r="Q20" s="79"/>
      <c r="R20" s="79"/>
      <c r="S20" s="79" t="s">
        <v>127</v>
      </c>
      <c r="T20" s="79"/>
      <c r="U20" s="79"/>
      <c r="V20" s="78" t="s">
        <v>77</v>
      </c>
    </row>
    <row r="21" customFormat="false" ht="45" hidden="false" customHeight="true" outlineLevel="0" collapsed="false">
      <c r="A21" s="78"/>
      <c r="B21" s="78"/>
      <c r="C21" s="78"/>
      <c r="D21" s="62" t="s">
        <v>128</v>
      </c>
      <c r="E21" s="62" t="s">
        <v>129</v>
      </c>
      <c r="F21" s="62" t="s">
        <v>130</v>
      </c>
      <c r="G21" s="62" t="s">
        <v>128</v>
      </c>
      <c r="H21" s="62" t="s">
        <v>129</v>
      </c>
      <c r="I21" s="62" t="s">
        <v>130</v>
      </c>
      <c r="J21" s="62" t="s">
        <v>128</v>
      </c>
      <c r="K21" s="62" t="s">
        <v>129</v>
      </c>
      <c r="L21" s="62" t="s">
        <v>130</v>
      </c>
      <c r="M21" s="62" t="s">
        <v>128</v>
      </c>
      <c r="N21" s="62" t="s">
        <v>129</v>
      </c>
      <c r="O21" s="62" t="s">
        <v>130</v>
      </c>
      <c r="P21" s="62" t="s">
        <v>128</v>
      </c>
      <c r="Q21" s="62" t="s">
        <v>129</v>
      </c>
      <c r="R21" s="62" t="s">
        <v>130</v>
      </c>
      <c r="S21" s="62" t="s">
        <v>128</v>
      </c>
      <c r="T21" s="62" t="s">
        <v>129</v>
      </c>
      <c r="U21" s="62" t="s">
        <v>130</v>
      </c>
      <c r="V21" s="78"/>
    </row>
    <row r="22" customFormat="false" ht="15" hidden="fals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fals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15" hidden="false" customHeight="false" outlineLevel="0" collapsed="false">
      <c r="A24" s="84" t="n">
        <f aca="false">+'1. PL đường đen'!A12</f>
        <v>1</v>
      </c>
      <c r="B24" s="84" t="str">
        <f aca="false">+'1. PL đường đen'!B12</f>
        <v>32</v>
      </c>
      <c r="C24" s="85" t="n">
        <f aca="false">+'1. PL đường đen'!C12</f>
        <v>554.08</v>
      </c>
      <c r="D24" s="67" t="n">
        <v>2</v>
      </c>
      <c r="E24" s="67" t="n">
        <f aca="false">+D24+F24</f>
        <v>2.06</v>
      </c>
      <c r="F24" s="67" t="n">
        <f aca="false">RANDBETWEEN(5,10)/100</f>
        <v>0.06</v>
      </c>
      <c r="G24" s="67" t="n">
        <v>1.41</v>
      </c>
      <c r="H24" s="67" t="n">
        <f aca="false">+G24+I24</f>
        <v>1.51</v>
      </c>
      <c r="I24" s="67" t="n">
        <f aca="false">RANDBETWEEN(5,10)/100</f>
        <v>0.1</v>
      </c>
      <c r="J24" s="67" t="n">
        <v>5.42</v>
      </c>
      <c r="K24" s="67" t="n">
        <f aca="false">+J24+L24</f>
        <v>5.52</v>
      </c>
      <c r="L24" s="67" t="n">
        <f aca="false">RANDBETWEEN(5,10)/100</f>
        <v>0.1</v>
      </c>
      <c r="M24" s="67" t="n">
        <v>8.66</v>
      </c>
      <c r="N24" s="67" t="n">
        <f aca="false">+M24+O24</f>
        <v>8.71</v>
      </c>
      <c r="O24" s="67" t="n">
        <f aca="false">RANDBETWEEN(5,10)/100</f>
        <v>0.05</v>
      </c>
      <c r="P24" s="67" t="n">
        <v>1.41</v>
      </c>
      <c r="Q24" s="67" t="n">
        <f aca="false">+P24+R24</f>
        <v>1.51</v>
      </c>
      <c r="R24" s="67" t="n">
        <f aca="false">RANDBETWEEN(5,10)/100</f>
        <v>0.1</v>
      </c>
      <c r="S24" s="67" t="n">
        <v>2</v>
      </c>
      <c r="T24" s="67" t="n">
        <f aca="false">+S24+U24</f>
        <v>2.08</v>
      </c>
      <c r="U24" s="67" t="n">
        <f aca="false">RANDBETWEEN(5,10)/100</f>
        <v>0.08</v>
      </c>
      <c r="V24" s="86"/>
    </row>
    <row r="25" customFormat="false" ht="15" hidden="false" customHeight="false" outlineLevel="0" collapsed="false">
      <c r="A25" s="84" t="n">
        <f aca="false">+'1. PL đường đen'!A13</f>
        <v>2</v>
      </c>
      <c r="B25" s="84" t="str">
        <f aca="false">+'1. PL đường đen'!B13</f>
        <v>33</v>
      </c>
      <c r="C25" s="85" t="n">
        <f aca="false">+'1. PL đường đen'!C13</f>
        <v>569.48</v>
      </c>
      <c r="D25" s="67" t="n">
        <v>2</v>
      </c>
      <c r="E25" s="67" t="n">
        <f aca="false">+D25+F25</f>
        <v>2.05</v>
      </c>
      <c r="F25" s="67" t="n">
        <f aca="false">RANDBETWEEN(5,10)/100</f>
        <v>0.05</v>
      </c>
      <c r="G25" s="67" t="n">
        <v>1.42</v>
      </c>
      <c r="H25" s="67" t="n">
        <f aca="false">+G25+I25</f>
        <v>1.49</v>
      </c>
      <c r="I25" s="67" t="n">
        <f aca="false">RANDBETWEEN(5,10)/100</f>
        <v>0.07</v>
      </c>
      <c r="J25" s="67" t="n">
        <v>8.97</v>
      </c>
      <c r="K25" s="67" t="n">
        <f aca="false">+J25+L25</f>
        <v>9.03</v>
      </c>
      <c r="L25" s="67" t="n">
        <f aca="false">RANDBETWEEN(5,10)/100</f>
        <v>0.06</v>
      </c>
      <c r="M25" s="67" t="n">
        <v>9.34</v>
      </c>
      <c r="N25" s="67" t="n">
        <f aca="false">+M25+O25</f>
        <v>9.4</v>
      </c>
      <c r="O25" s="67" t="n">
        <f aca="false">RANDBETWEEN(5,10)/100</f>
        <v>0.06</v>
      </c>
      <c r="P25" s="67" t="n">
        <v>1.42</v>
      </c>
      <c r="Q25" s="67" t="n">
        <f aca="false">+P25+R25</f>
        <v>1.52</v>
      </c>
      <c r="R25" s="67" t="n">
        <f aca="false">RANDBETWEEN(5,10)/100</f>
        <v>0.1</v>
      </c>
      <c r="S25" s="67" t="n">
        <v>2</v>
      </c>
      <c r="T25" s="67" t="n">
        <f aca="false">+S25+U25</f>
        <v>2.06</v>
      </c>
      <c r="U25" s="67" t="n">
        <f aca="false">RANDBETWEEN(5,10)/100</f>
        <v>0.06</v>
      </c>
      <c r="V25" s="86"/>
    </row>
    <row r="26" customFormat="false" ht="15" hidden="false" customHeight="false" outlineLevel="0" collapsed="false">
      <c r="A26" s="84" t="n">
        <f aca="false">+'1. PL đường đen'!A14</f>
        <v>3</v>
      </c>
      <c r="B26" s="84" t="str">
        <f aca="false">+'1. PL đường đen'!B14</f>
        <v>TD</v>
      </c>
      <c r="C26" s="85" t="n">
        <f aca="false">+'1. PL đường đen'!C14</f>
        <v>573.12</v>
      </c>
      <c r="D26" s="67" t="n">
        <v>2</v>
      </c>
      <c r="E26" s="67" t="n">
        <f aca="false">+D26+F26</f>
        <v>2.09</v>
      </c>
      <c r="F26" s="67" t="n">
        <f aca="false">RANDBETWEEN(5,10)/100</f>
        <v>0.09</v>
      </c>
      <c r="G26" s="67" t="n">
        <v>1.41</v>
      </c>
      <c r="H26" s="67" t="n">
        <f aca="false">+G26+I26</f>
        <v>1.46</v>
      </c>
      <c r="I26" s="67" t="n">
        <f aca="false">RANDBETWEEN(5,10)/100</f>
        <v>0.05</v>
      </c>
      <c r="J26" s="67" t="n">
        <v>10.66</v>
      </c>
      <c r="K26" s="67" t="n">
        <f aca="false">+J26+L26</f>
        <v>10.73</v>
      </c>
      <c r="L26" s="67" t="n">
        <f aca="false">RANDBETWEEN(5,10)/100</f>
        <v>0.07</v>
      </c>
      <c r="M26" s="67" t="n">
        <v>9.31</v>
      </c>
      <c r="N26" s="67" t="n">
        <f aca="false">+M26+O26</f>
        <v>9.36</v>
      </c>
      <c r="O26" s="67" t="n">
        <f aca="false">RANDBETWEEN(5,10)/100</f>
        <v>0.05</v>
      </c>
      <c r="P26" s="67" t="n">
        <v>1.41</v>
      </c>
      <c r="Q26" s="67" t="n">
        <f aca="false">+P26+R26</f>
        <v>1.48</v>
      </c>
      <c r="R26" s="67" t="n">
        <f aca="false">RANDBETWEEN(5,10)/100</f>
        <v>0.07</v>
      </c>
      <c r="S26" s="67" t="n">
        <v>2</v>
      </c>
      <c r="T26" s="67" t="n">
        <f aca="false">+S26+U26</f>
        <v>2.06</v>
      </c>
      <c r="U26" s="67" t="n">
        <f aca="false">RANDBETWEEN(5,10)/100</f>
        <v>0.06</v>
      </c>
      <c r="V26" s="86"/>
    </row>
    <row r="27" customFormat="false" ht="15" hidden="false" customHeight="false" outlineLevel="0" collapsed="false">
      <c r="A27" s="84" t="n">
        <f aca="false">+'1. PL đường đen'!A15</f>
        <v>4</v>
      </c>
      <c r="B27" s="84" t="str">
        <f aca="false">+'1. PL đường đen'!B15</f>
        <v>P</v>
      </c>
      <c r="C27" s="85" t="n">
        <f aca="false">+'1. PL đường đen'!C15</f>
        <v>579.68</v>
      </c>
      <c r="D27" s="67" t="n">
        <v>2</v>
      </c>
      <c r="E27" s="67" t="n">
        <f aca="false">+D27+F27</f>
        <v>2.06</v>
      </c>
      <c r="F27" s="67" t="n">
        <f aca="false">RANDBETWEEN(5,10)/100</f>
        <v>0.06</v>
      </c>
      <c r="G27" s="67" t="n">
        <v>1.41</v>
      </c>
      <c r="H27" s="67" t="n">
        <f aca="false">+G27+I27</f>
        <v>1.48</v>
      </c>
      <c r="I27" s="67" t="n">
        <f aca="false">RANDBETWEEN(5,10)/100</f>
        <v>0.07</v>
      </c>
      <c r="J27" s="67" t="n">
        <v>9.58</v>
      </c>
      <c r="K27" s="67" t="n">
        <f aca="false">+J27+L27</f>
        <v>9.63</v>
      </c>
      <c r="L27" s="67" t="n">
        <f aca="false">RANDBETWEEN(5,10)/100</f>
        <v>0.05</v>
      </c>
      <c r="M27" s="67" t="n">
        <v>14.26</v>
      </c>
      <c r="N27" s="67" t="n">
        <f aca="false">+M27+O27</f>
        <v>14.34</v>
      </c>
      <c r="O27" s="67" t="n">
        <f aca="false">RANDBETWEEN(5,10)/100</f>
        <v>0.08</v>
      </c>
      <c r="P27" s="67" t="n">
        <v>1.41</v>
      </c>
      <c r="Q27" s="67" t="n">
        <f aca="false">+P27+R27</f>
        <v>1.47</v>
      </c>
      <c r="R27" s="67" t="n">
        <f aca="false">RANDBETWEEN(5,10)/100</f>
        <v>0.06</v>
      </c>
      <c r="S27" s="67" t="n">
        <v>2</v>
      </c>
      <c r="T27" s="67" t="n">
        <f aca="false">+S27+U27</f>
        <v>2.08</v>
      </c>
      <c r="U27" s="67" t="n">
        <f aca="false">RANDBETWEEN(5,10)/100</f>
        <v>0.08</v>
      </c>
      <c r="V27" s="86"/>
    </row>
    <row r="28" customFormat="false" ht="15" hidden="false" customHeight="false" outlineLevel="0" collapsed="false">
      <c r="A28" s="84" t="n">
        <f aca="false">+'1. PL đường đen'!A16</f>
        <v>5</v>
      </c>
      <c r="B28" s="84" t="str">
        <f aca="false">+'1. PL đường đen'!B16</f>
        <v>E2</v>
      </c>
      <c r="C28" s="85" t="n">
        <f aca="false">+'1. PL đường đen'!C16</f>
        <v>584.52</v>
      </c>
      <c r="D28" s="67" t="n">
        <v>2</v>
      </c>
      <c r="E28" s="67" t="n">
        <f aca="false">+D28+F28</f>
        <v>2.05</v>
      </c>
      <c r="F28" s="67" t="n">
        <f aca="false">RANDBETWEEN(5,10)/100</f>
        <v>0.05</v>
      </c>
      <c r="G28" s="67" t="n">
        <v>1.41</v>
      </c>
      <c r="H28" s="67" t="n">
        <f aca="false">+G28+I28</f>
        <v>1.46</v>
      </c>
      <c r="I28" s="67" t="n">
        <f aca="false">RANDBETWEEN(5,10)/100</f>
        <v>0.05</v>
      </c>
      <c r="J28" s="67" t="n">
        <v>9.91</v>
      </c>
      <c r="K28" s="67" t="n">
        <f aca="false">+J28+L28</f>
        <v>10</v>
      </c>
      <c r="L28" s="67" t="n">
        <f aca="false">RANDBETWEEN(5,10)/100</f>
        <v>0.09</v>
      </c>
      <c r="M28" s="67" t="n">
        <v>14.28</v>
      </c>
      <c r="N28" s="67" t="n">
        <f aca="false">+M28+O28</f>
        <v>14.33</v>
      </c>
      <c r="O28" s="67" t="n">
        <f aca="false">RANDBETWEEN(5,10)/100</f>
        <v>0.05</v>
      </c>
      <c r="P28" s="67" t="n">
        <v>1.41</v>
      </c>
      <c r="Q28" s="67" t="n">
        <f aca="false">+P28+R28</f>
        <v>1.49</v>
      </c>
      <c r="R28" s="67" t="n">
        <f aca="false">RANDBETWEEN(5,10)/100</f>
        <v>0.08</v>
      </c>
      <c r="S28" s="67" t="n">
        <v>2</v>
      </c>
      <c r="T28" s="67" t="n">
        <f aca="false">+S28+U28</f>
        <v>2.05</v>
      </c>
      <c r="U28" s="67" t="n">
        <f aca="false">RANDBETWEEN(5,10)/100</f>
        <v>0.05</v>
      </c>
      <c r="V28" s="86"/>
    </row>
    <row r="29" customFormat="false" ht="15" hidden="false" customHeight="false" outlineLevel="0" collapsed="false">
      <c r="A29" s="84" t="n">
        <f aca="false">+'1. PL đường đen'!A17</f>
        <v>6</v>
      </c>
      <c r="B29" s="84" t="str">
        <f aca="false">+'1. PL đường đen'!B17</f>
        <v>TC</v>
      </c>
      <c r="C29" s="85" t="n">
        <f aca="false">+'1. PL đường đen'!C17</f>
        <v>586.23</v>
      </c>
      <c r="D29" s="67" t="n">
        <v>2</v>
      </c>
      <c r="E29" s="67" t="n">
        <f aca="false">+D29+F29</f>
        <v>2.08</v>
      </c>
      <c r="F29" s="67" t="n">
        <f aca="false">RANDBETWEEN(5,10)/100</f>
        <v>0.08</v>
      </c>
      <c r="G29" s="67" t="n">
        <v>1.41</v>
      </c>
      <c r="H29" s="67" t="n">
        <f aca="false">+G29+I29</f>
        <v>1.51</v>
      </c>
      <c r="I29" s="67" t="n">
        <f aca="false">RANDBETWEEN(5,10)/100</f>
        <v>0.1</v>
      </c>
      <c r="J29" s="67" t="n">
        <v>9.91</v>
      </c>
      <c r="K29" s="67" t="n">
        <f aca="false">+J29+L29</f>
        <v>9.99</v>
      </c>
      <c r="L29" s="67" t="n">
        <f aca="false">RANDBETWEEN(5,10)/100</f>
        <v>0.08</v>
      </c>
      <c r="M29" s="67" t="n">
        <v>14.2</v>
      </c>
      <c r="N29" s="67" t="n">
        <f aca="false">+M29+O29</f>
        <v>14.28</v>
      </c>
      <c r="O29" s="67" t="n">
        <f aca="false">RANDBETWEEN(5,10)/100</f>
        <v>0.08</v>
      </c>
      <c r="P29" s="67" t="n">
        <v>1.41</v>
      </c>
      <c r="Q29" s="67" t="n">
        <f aca="false">+P29+R29</f>
        <v>1.48</v>
      </c>
      <c r="R29" s="67" t="n">
        <f aca="false">RANDBETWEEN(5,10)/100</f>
        <v>0.07</v>
      </c>
      <c r="S29" s="67" t="n">
        <v>2</v>
      </c>
      <c r="T29" s="67" t="n">
        <f aca="false">+S29+U29</f>
        <v>2.08</v>
      </c>
      <c r="U29" s="67" t="n">
        <f aca="false">RANDBETWEEN(5,10)/100</f>
        <v>0.08</v>
      </c>
      <c r="V29" s="86"/>
    </row>
    <row r="30" customFormat="false" ht="15" hidden="false" customHeight="false" outlineLevel="0" collapsed="false">
      <c r="A30" s="84" t="n">
        <f aca="false">+'1. PL đường đen'!A18</f>
        <v>7</v>
      </c>
      <c r="B30" s="84" t="str">
        <f aca="false">+'1. PL đường đen'!B18</f>
        <v>34</v>
      </c>
      <c r="C30" s="85" t="n">
        <f aca="false">+'1. PL đường đen'!C18</f>
        <v>597.78</v>
      </c>
      <c r="D30" s="67" t="n">
        <v>2</v>
      </c>
      <c r="E30" s="67" t="n">
        <f aca="false">+D30+F30</f>
        <v>2.08</v>
      </c>
      <c r="F30" s="67" t="n">
        <f aca="false">RANDBETWEEN(5,10)/100</f>
        <v>0.08</v>
      </c>
      <c r="G30" s="67" t="n">
        <v>1</v>
      </c>
      <c r="H30" s="67" t="n">
        <f aca="false">+G30+I30</f>
        <v>1.08</v>
      </c>
      <c r="I30" s="67" t="n">
        <f aca="false">RANDBETWEEN(5,10)/100</f>
        <v>0.08</v>
      </c>
      <c r="J30" s="67" t="n">
        <v>5.5</v>
      </c>
      <c r="K30" s="67" t="n">
        <f aca="false">+J30+L30</f>
        <v>5.56</v>
      </c>
      <c r="L30" s="67" t="n">
        <f aca="false">RANDBETWEEN(5,10)/100</f>
        <v>0.06</v>
      </c>
      <c r="M30" s="67" t="n">
        <v>9.3</v>
      </c>
      <c r="N30" s="67" t="n">
        <f aca="false">+M30+O30</f>
        <v>9.4</v>
      </c>
      <c r="O30" s="67" t="n">
        <f aca="false">RANDBETWEEN(5,10)/100</f>
        <v>0.1</v>
      </c>
      <c r="P30" s="67" t="n">
        <v>1.41</v>
      </c>
      <c r="Q30" s="67" t="n">
        <f aca="false">+P30+R30</f>
        <v>1.46</v>
      </c>
      <c r="R30" s="67" t="n">
        <f aca="false">RANDBETWEEN(5,10)/100</f>
        <v>0.05</v>
      </c>
      <c r="S30" s="67" t="n">
        <v>2</v>
      </c>
      <c r="T30" s="67" t="n">
        <f aca="false">+S30+U30</f>
        <v>2.06</v>
      </c>
      <c r="U30" s="67" t="n">
        <f aca="false">RANDBETWEEN(5,10)/100</f>
        <v>0.06</v>
      </c>
      <c r="V30" s="86"/>
    </row>
    <row r="31" customFormat="false" ht="15" hidden="false" customHeight="false" outlineLevel="0" collapsed="false">
      <c r="A31" s="84" t="n">
        <f aca="false">+'1. PL đường đen'!A19</f>
        <v>8</v>
      </c>
      <c r="B31" s="84" t="str">
        <f aca="false">+'1. PL đường đen'!B19</f>
        <v>35</v>
      </c>
      <c r="C31" s="85" t="n">
        <f aca="false">+'1. PL đường đen'!C19</f>
        <v>614.78</v>
      </c>
      <c r="D31" s="67" t="n">
        <v>2</v>
      </c>
      <c r="E31" s="67" t="n">
        <f aca="false">+D31+F31</f>
        <v>2.07</v>
      </c>
      <c r="F31" s="67" t="n">
        <f aca="false">RANDBETWEEN(5,10)/100</f>
        <v>0.07</v>
      </c>
      <c r="G31" s="67" t="n">
        <v>1</v>
      </c>
      <c r="H31" s="67" t="n">
        <f aca="false">+G31+I31</f>
        <v>1.06</v>
      </c>
      <c r="I31" s="67" t="n">
        <f aca="false">RANDBETWEEN(5,10)/100</f>
        <v>0.06</v>
      </c>
      <c r="J31" s="67" t="n">
        <v>6</v>
      </c>
      <c r="K31" s="67" t="n">
        <f aca="false">+J31+L31</f>
        <v>6.06</v>
      </c>
      <c r="L31" s="67" t="n">
        <f aca="false">RANDBETWEEN(5,10)/100</f>
        <v>0.06</v>
      </c>
      <c r="M31" s="67" t="n">
        <v>8.78</v>
      </c>
      <c r="N31" s="67" t="n">
        <f aca="false">+M31+O31</f>
        <v>8.84</v>
      </c>
      <c r="O31" s="67" t="n">
        <f aca="false">RANDBETWEEN(5,10)/100</f>
        <v>0.06</v>
      </c>
      <c r="P31" s="67" t="n">
        <v>1.41</v>
      </c>
      <c r="Q31" s="67" t="n">
        <f aca="false">+P31+R31</f>
        <v>1.5</v>
      </c>
      <c r="R31" s="67" t="n">
        <f aca="false">RANDBETWEEN(5,10)/100</f>
        <v>0.09</v>
      </c>
      <c r="S31" s="67" t="n">
        <v>2</v>
      </c>
      <c r="T31" s="67" t="n">
        <f aca="false">+S31+U31</f>
        <v>2.06</v>
      </c>
      <c r="U31" s="67" t="n">
        <f aca="false">RANDBETWEEN(5,10)/100</f>
        <v>0.06</v>
      </c>
      <c r="V31" s="86"/>
    </row>
    <row r="32" customFormat="false" ht="15" hidden="false" customHeight="false" outlineLevel="0" collapsed="false">
      <c r="A32" s="84" t="n">
        <f aca="false">+'1. PL đường đen'!A20</f>
        <v>9</v>
      </c>
      <c r="B32" s="84" t="str">
        <f aca="false">+'1. PL đường đen'!B20</f>
        <v>36</v>
      </c>
      <c r="C32" s="85" t="n">
        <f aca="false">+'1. PL đường đen'!C20</f>
        <v>631.83</v>
      </c>
      <c r="D32" s="67" t="n">
        <v>2</v>
      </c>
      <c r="E32" s="67" t="n">
        <f aca="false">+D32+F32</f>
        <v>2.08</v>
      </c>
      <c r="F32" s="67" t="n">
        <f aca="false">RANDBETWEEN(5,10)/100</f>
        <v>0.08</v>
      </c>
      <c r="G32" s="67" t="n">
        <v>1.41</v>
      </c>
      <c r="H32" s="67" t="n">
        <f aca="false">+G32+I32</f>
        <v>1.5</v>
      </c>
      <c r="I32" s="67" t="n">
        <f aca="false">RANDBETWEEN(5,10)/100</f>
        <v>0.09</v>
      </c>
      <c r="J32" s="67" t="n">
        <v>8.19</v>
      </c>
      <c r="K32" s="67" t="n">
        <f aca="false">+J32+L32</f>
        <v>8.27</v>
      </c>
      <c r="L32" s="67" t="n">
        <f aca="false">RANDBETWEEN(5,10)/100</f>
        <v>0.08</v>
      </c>
      <c r="M32" s="67" t="n">
        <v>8.61</v>
      </c>
      <c r="N32" s="67" t="n">
        <f aca="false">+M32+O32</f>
        <v>8.68</v>
      </c>
      <c r="O32" s="67" t="n">
        <f aca="false">RANDBETWEEN(5,10)/100</f>
        <v>0.07</v>
      </c>
      <c r="P32" s="67" t="n">
        <v>1.41</v>
      </c>
      <c r="Q32" s="67" t="n">
        <f aca="false">+P32+R32</f>
        <v>1.46</v>
      </c>
      <c r="R32" s="67" t="n">
        <f aca="false">RANDBETWEEN(5,10)/100</f>
        <v>0.05</v>
      </c>
      <c r="S32" s="67" t="n">
        <v>2</v>
      </c>
      <c r="T32" s="67" t="n">
        <f aca="false">+S32+U32</f>
        <v>2.09</v>
      </c>
      <c r="U32" s="67" t="n">
        <f aca="false">RANDBETWEEN(5,10)/100</f>
        <v>0.09</v>
      </c>
      <c r="V32" s="86"/>
    </row>
    <row r="33" customFormat="false" ht="15" hidden="false" customHeight="false" outlineLevel="0" collapsed="false">
      <c r="A33" s="84" t="n">
        <f aca="false">+'1. PL đường đen'!A21</f>
        <v>10</v>
      </c>
      <c r="B33" s="84" t="str">
        <f aca="false">+'1. PL đường đen'!B21</f>
        <v>E9</v>
      </c>
      <c r="C33" s="85" t="n">
        <f aca="false">+'1. PL đường đen'!C21</f>
        <v>643.53</v>
      </c>
      <c r="D33" s="67" t="n">
        <v>2</v>
      </c>
      <c r="E33" s="67" t="n">
        <f aca="false">+D33+F33</f>
        <v>2.05</v>
      </c>
      <c r="F33" s="67" t="n">
        <f aca="false">RANDBETWEEN(5,10)/100</f>
        <v>0.05</v>
      </c>
      <c r="G33" s="67" t="n">
        <v>1.41</v>
      </c>
      <c r="H33" s="67" t="n">
        <f aca="false">+G33+I33</f>
        <v>1.46</v>
      </c>
      <c r="I33" s="67" t="n">
        <f aca="false">RANDBETWEEN(5,10)/100</f>
        <v>0.05</v>
      </c>
      <c r="J33" s="67" t="n">
        <v>9.26</v>
      </c>
      <c r="K33" s="67" t="n">
        <f aca="false">+J33+L33</f>
        <v>9.33</v>
      </c>
      <c r="L33" s="67" t="n">
        <f aca="false">RANDBETWEEN(5,10)/100</f>
        <v>0.07</v>
      </c>
      <c r="M33" s="67" t="n">
        <v>13.66</v>
      </c>
      <c r="N33" s="67" t="n">
        <f aca="false">+M33+O33</f>
        <v>13.75</v>
      </c>
      <c r="O33" s="67" t="n">
        <f aca="false">RANDBETWEEN(5,10)/100</f>
        <v>0.09</v>
      </c>
      <c r="P33" s="67" t="n">
        <v>1.41</v>
      </c>
      <c r="Q33" s="67" t="n">
        <f aca="false">+P33+R33</f>
        <v>1.46</v>
      </c>
      <c r="R33" s="67" t="n">
        <f aca="false">RANDBETWEEN(5,10)/100</f>
        <v>0.05</v>
      </c>
      <c r="S33" s="67" t="n">
        <v>2</v>
      </c>
      <c r="T33" s="67" t="n">
        <f aca="false">+S33+U33</f>
        <v>2.07</v>
      </c>
      <c r="U33" s="67" t="n">
        <f aca="false">RANDBETWEEN(5,10)/100</f>
        <v>0.07</v>
      </c>
      <c r="V33" s="86"/>
    </row>
    <row r="34" customFormat="false" ht="15" hidden="false" customHeight="false" outlineLevel="0" collapsed="false">
      <c r="A34" s="84" t="n">
        <f aca="false">+'1. PL đường đen'!A22</f>
        <v>11</v>
      </c>
      <c r="B34" s="84" t="str">
        <f aca="false">+'1. PL đường đen'!B22</f>
        <v>37</v>
      </c>
      <c r="C34" s="85" t="n">
        <f aca="false">+'1. PL đường đen'!C22</f>
        <v>655.28</v>
      </c>
      <c r="D34" s="67" t="n">
        <v>2</v>
      </c>
      <c r="E34" s="67" t="n">
        <f aca="false">+D34+F34</f>
        <v>2.05</v>
      </c>
      <c r="F34" s="67" t="n">
        <f aca="false">RANDBETWEEN(5,10)/100</f>
        <v>0.05</v>
      </c>
      <c r="G34" s="67" t="n">
        <v>1.41</v>
      </c>
      <c r="H34" s="67" t="n">
        <f aca="false">+G34+I34</f>
        <v>1.46</v>
      </c>
      <c r="I34" s="67" t="n">
        <f aca="false">RANDBETWEEN(5,10)/100</f>
        <v>0.05</v>
      </c>
      <c r="J34" s="67" t="n">
        <v>7.85</v>
      </c>
      <c r="K34" s="67" t="n">
        <f aca="false">+J34+L34</f>
        <v>7.93</v>
      </c>
      <c r="L34" s="67" t="n">
        <f aca="false">RANDBETWEEN(5,10)/100</f>
        <v>0.08</v>
      </c>
      <c r="M34" s="67" t="n">
        <v>9.44</v>
      </c>
      <c r="N34" s="67" t="n">
        <f aca="false">+M34+O34</f>
        <v>9.53</v>
      </c>
      <c r="O34" s="67" t="n">
        <f aca="false">RANDBETWEEN(5,10)/100</f>
        <v>0.09</v>
      </c>
      <c r="P34" s="67" t="n">
        <v>1.41</v>
      </c>
      <c r="Q34" s="67" t="n">
        <f aca="false">+P34+R34</f>
        <v>1.5</v>
      </c>
      <c r="R34" s="67" t="n">
        <f aca="false">RANDBETWEEN(5,10)/100</f>
        <v>0.09</v>
      </c>
      <c r="S34" s="67" t="n">
        <v>2</v>
      </c>
      <c r="T34" s="67" t="n">
        <f aca="false">+S34+U34</f>
        <v>2.08</v>
      </c>
      <c r="U34" s="67" t="n">
        <f aca="false">RANDBETWEEN(5,10)/100</f>
        <v>0.08</v>
      </c>
      <c r="V34" s="86"/>
    </row>
    <row r="35" customFormat="false" ht="15" hidden="false" customHeight="false" outlineLevel="0" collapsed="false">
      <c r="A35" s="84" t="n">
        <f aca="false">+'1. PL đường đen'!A23</f>
        <v>12</v>
      </c>
      <c r="B35" s="84" t="str">
        <f aca="false">+'1. PL đường đen'!B23</f>
        <v>38</v>
      </c>
      <c r="C35" s="85" t="n">
        <f aca="false">+'1. PL đường đen'!C23</f>
        <v>672.28</v>
      </c>
      <c r="D35" s="67" t="n">
        <v>2</v>
      </c>
      <c r="E35" s="67" t="n">
        <f aca="false">+D35+F35</f>
        <v>2.06</v>
      </c>
      <c r="F35" s="67" t="n">
        <f aca="false">RANDBETWEEN(5,10)/100</f>
        <v>0.06</v>
      </c>
      <c r="G35" s="67" t="n">
        <v>1.49</v>
      </c>
      <c r="H35" s="67" t="n">
        <f aca="false">+G35+I35</f>
        <v>1.56</v>
      </c>
      <c r="I35" s="67" t="n">
        <f aca="false">RANDBETWEEN(5,10)/100</f>
        <v>0.07</v>
      </c>
      <c r="J35" s="67" t="n">
        <v>8.62</v>
      </c>
      <c r="K35" s="67" t="n">
        <f aca="false">+J35+L35</f>
        <v>8.67</v>
      </c>
      <c r="L35" s="67" t="n">
        <f aca="false">RANDBETWEEN(5,10)/100</f>
        <v>0.05</v>
      </c>
      <c r="M35" s="67" t="n">
        <v>13.3</v>
      </c>
      <c r="N35" s="67" t="n">
        <f aca="false">+M35+O35</f>
        <v>13.38</v>
      </c>
      <c r="O35" s="67" t="n">
        <f aca="false">RANDBETWEEN(5,10)/100</f>
        <v>0.08</v>
      </c>
      <c r="P35" s="67" t="n">
        <v>2.3</v>
      </c>
      <c r="Q35" s="67" t="n">
        <f aca="false">+P35+R35</f>
        <v>2.39</v>
      </c>
      <c r="R35" s="67" t="n">
        <f aca="false">RANDBETWEEN(5,10)/100</f>
        <v>0.09</v>
      </c>
      <c r="S35" s="67" t="n">
        <v>2</v>
      </c>
      <c r="T35" s="67" t="n">
        <f aca="false">+S35+U35</f>
        <v>2.06</v>
      </c>
      <c r="U35" s="67" t="n">
        <f aca="false">RANDBETWEEN(5,10)/100</f>
        <v>0.06</v>
      </c>
      <c r="V35" s="86"/>
    </row>
    <row r="36" customFormat="false" ht="15" hidden="true" customHeight="fals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86"/>
    </row>
    <row r="37" customFormat="false" ht="15" hidden="true" customHeight="fals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86"/>
    </row>
    <row r="38" customFormat="false" ht="15" hidden="true" customHeight="fals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86"/>
    </row>
    <row r="39" customFormat="false" ht="15" hidden="true" customHeight="fals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86"/>
    </row>
    <row r="40" customFormat="false" ht="15" hidden="true" customHeight="fals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86"/>
    </row>
    <row r="41" customFormat="false" ht="15" hidden="true" customHeight="fals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86"/>
    </row>
    <row r="42" customFormat="false" ht="15" hidden="true" customHeight="fals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86"/>
    </row>
    <row r="43" customFormat="false" ht="15" hidden="true" customHeight="fals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86"/>
    </row>
    <row r="44" customFormat="false" ht="15" hidden="true" customHeight="fals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86"/>
    </row>
    <row r="45" customFormat="false" ht="15" hidden="true" customHeight="fals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86"/>
    </row>
    <row r="46" customFormat="false" ht="15" hidden="true" customHeight="fals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86"/>
    </row>
    <row r="47" customFormat="false" ht="15" hidden="true" customHeight="fals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86"/>
    </row>
    <row r="48" customFormat="false" ht="15" hidden="true" customHeight="fals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86"/>
    </row>
    <row r="49" customFormat="false" ht="15" hidden="true" customHeight="fals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6"/>
    </row>
    <row r="50" customFormat="false" ht="15" hidden="true" customHeight="fals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86"/>
    </row>
    <row r="51" customFormat="false" ht="15" hidden="true" customHeight="fals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86"/>
    </row>
    <row r="52" customFormat="false" ht="15" hidden="true" customHeight="fals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86"/>
    </row>
    <row r="53" customFormat="false" ht="15" hidden="true" customHeight="fals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86"/>
    </row>
    <row r="54" customFormat="false" ht="15" hidden="true" customHeight="fals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86"/>
    </row>
    <row r="55" customFormat="false" ht="15" hidden="true" customHeight="fals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86"/>
    </row>
    <row r="56" customFormat="false" ht="15" hidden="true" customHeight="fals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86"/>
    </row>
    <row r="57" customFormat="false" ht="15" hidden="true" customHeight="fals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86"/>
    </row>
    <row r="58" customFormat="false" ht="15" hidden="true" customHeight="fals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86"/>
    </row>
    <row r="59" customFormat="false" ht="15" hidden="true" customHeight="fals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86"/>
    </row>
    <row r="60" customFormat="false" ht="15" hidden="true" customHeight="fals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15" hidden="true" customHeight="fals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15" hidden="false" customHeight="false" outlineLevel="0" collapsed="false">
      <c r="A62" s="106"/>
      <c r="B62" s="106"/>
      <c r="C62" s="131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</row>
    <row r="63" customFormat="false" ht="15" hidden="false" customHeight="false" outlineLevel="0" collapsed="false">
      <c r="E63" s="71" t="s">
        <v>93</v>
      </c>
      <c r="F63" s="71"/>
      <c r="G63" s="71"/>
      <c r="H63" s="71"/>
      <c r="K63" s="87"/>
      <c r="L63" s="87"/>
      <c r="M63" s="87"/>
      <c r="N63" s="87"/>
      <c r="O63" s="71" t="s">
        <v>94</v>
      </c>
      <c r="P63" s="71"/>
      <c r="Q63" s="71"/>
      <c r="R63" s="71"/>
      <c r="S63" s="71"/>
      <c r="T63" s="132"/>
      <c r="U63" s="132"/>
      <c r="V63" s="132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  <c r="T64" s="132"/>
      <c r="U64" s="132"/>
      <c r="V64" s="132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">
        <v>30</v>
      </c>
      <c r="P68" s="71"/>
      <c r="Q68" s="71"/>
      <c r="R68" s="71"/>
      <c r="S68" s="71"/>
    </row>
  </sheetData>
  <mergeCells count="16">
    <mergeCell ref="A1:V1"/>
    <mergeCell ref="A2:V2"/>
    <mergeCell ref="A20:A21"/>
    <mergeCell ref="B20:B21"/>
    <mergeCell ref="C20:C21"/>
    <mergeCell ref="D20:F20"/>
    <mergeCell ref="G20:I20"/>
    <mergeCell ref="J20:L20"/>
    <mergeCell ref="M20:O20"/>
    <mergeCell ref="P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false" verticalCentered="false"/>
  <pageMargins left="0.170138888888889" right="0.157638888888889" top="0.690277777777778" bottom="0.57013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17" activeCellId="0" sqref="P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6.71"/>
    <col collapsed="false" customWidth="true" hidden="false" outlineLevel="0" max="2" min="2" style="88" width="12.29"/>
    <col collapsed="false" customWidth="true" hidden="false" outlineLevel="0" max="3" min="3" style="88" width="19.57"/>
    <col collapsed="false" customWidth="true" hidden="false" outlineLevel="0" max="4" min="4" style="89" width="12.71"/>
    <col collapsed="false" customWidth="true" hidden="true" outlineLevel="0" max="6" min="5" style="89" width="8.42"/>
    <col collapsed="false" customWidth="true" hidden="true" outlineLevel="0" max="7" min="7" style="89" width="11"/>
    <col collapsed="false" customWidth="true" hidden="true" outlineLevel="0" max="10" min="8" style="89" width="8.42"/>
    <col collapsed="false" customWidth="true" hidden="false" outlineLevel="0" max="11" min="11" style="89" width="15.42"/>
    <col collapsed="false" customWidth="true" hidden="false" outlineLevel="0" max="12" min="12" style="89" width="15.29"/>
    <col collapsed="false" customWidth="true" hidden="false" outlineLevel="0" max="13" min="13" style="89" width="10.29"/>
    <col collapsed="false" customWidth="false" hidden="false" outlineLevel="0" max="14" min="14" style="88" width="9.29"/>
    <col collapsed="false" customWidth="true" hidden="false" outlineLevel="0" max="15" min="15" style="88" width="11.85"/>
    <col collapsed="false" customWidth="true" hidden="false" outlineLevel="0" max="16" min="16" style="88" width="14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108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="91" customFormat="true" ht="16.5" hidden="false" customHeight="true" outlineLevel="0" collapsed="false">
      <c r="A2" s="92" t="str">
        <f aca="false">"Kèm theo BBNT số: "&amp;VLOOKUP(O2,'Tuyến XD4'!$A$2:$G$60,7,0)&amp;VLOOKUP(O2,'Tuyến XD4'!$A$2:$G$60,4,0)</f>
        <v>Kèm theo BBNT số: 31.NĐXD4/CVXD ngày 31 tháng 08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O2" s="91" t="n">
        <v>31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XD4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1.5" hidden="false" customHeight="true" outlineLevel="0" collapsed="false">
      <c r="A7" s="96" t="s">
        <v>67</v>
      </c>
      <c r="B7" s="97"/>
      <c r="D7" s="98" t="str">
        <f aca="false">VLOOKUP(O2,'Tuyến XD4'!$A$2:$B$60,2,0)</f>
        <v>Rải vải địa kỹ thuật đoạn từ Km0+554,08 - Km0+672,28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109</v>
      </c>
      <c r="E9" s="134"/>
      <c r="F9" s="134"/>
      <c r="G9" s="101"/>
      <c r="H9" s="134"/>
      <c r="I9" s="134"/>
      <c r="J9" s="134"/>
      <c r="K9" s="105" t="s">
        <v>131</v>
      </c>
      <c r="L9" s="105"/>
      <c r="M9" s="101" t="s">
        <v>77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132</v>
      </c>
      <c r="F10" s="105"/>
      <c r="G10" s="105"/>
      <c r="H10" s="105"/>
      <c r="I10" s="105"/>
      <c r="J10" s="105"/>
      <c r="K10" s="105" t="s">
        <v>133</v>
      </c>
      <c r="L10" s="105" t="s">
        <v>111</v>
      </c>
      <c r="M10" s="101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32</v>
      </c>
      <c r="C11" s="65" t="n">
        <f aca="false">'1. PL đường đen'!C12</f>
        <v>554.08</v>
      </c>
      <c r="D11" s="84" t="n">
        <f aca="false">'1. PL đường đen'!T12</f>
        <v>15.4</v>
      </c>
      <c r="E11" s="135" t="n">
        <f aca="false">'3. KTHH vải lọc'!E24</f>
        <v>2.06</v>
      </c>
      <c r="F11" s="135" t="n">
        <f aca="false">'3. KTHH vải lọc'!H24</f>
        <v>1.51</v>
      </c>
      <c r="G11" s="135" t="n">
        <f aca="false">'3. KTHH vải lọc'!K24</f>
        <v>5.52</v>
      </c>
      <c r="H11" s="135" t="n">
        <f aca="false">'3. KTHH vải lọc'!N24</f>
        <v>8.71</v>
      </c>
      <c r="I11" s="135" t="n">
        <f aca="false">'3. KTHH vải lọc'!Q24</f>
        <v>1.51</v>
      </c>
      <c r="J11" s="135" t="n">
        <f aca="false">'3. KTHH vải lọc'!T24</f>
        <v>2.08</v>
      </c>
      <c r="K11" s="136" t="n">
        <f aca="false">SUM(E11:J11)</f>
        <v>21.39</v>
      </c>
      <c r="L11" s="110" t="n">
        <f aca="false">(K11+K12)*D11/2</f>
        <v>361.438</v>
      </c>
      <c r="M11" s="111"/>
      <c r="O11" s="137"/>
      <c r="P11" s="138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33</v>
      </c>
      <c r="C12" s="65" t="n">
        <f aca="false">'1. PL đường đen'!C13</f>
        <v>569.48</v>
      </c>
      <c r="D12" s="84" t="n">
        <f aca="false">'1. PL đường đen'!T13</f>
        <v>3.64</v>
      </c>
      <c r="E12" s="135" t="n">
        <f aca="false">'3. KTHH vải lọc'!E25</f>
        <v>2.05</v>
      </c>
      <c r="F12" s="135" t="n">
        <f aca="false">'3. KTHH vải lọc'!H25</f>
        <v>1.49</v>
      </c>
      <c r="G12" s="135" t="n">
        <f aca="false">'3. KTHH vải lọc'!K25</f>
        <v>9.03</v>
      </c>
      <c r="H12" s="135" t="n">
        <f aca="false">'3. KTHH vải lọc'!N25</f>
        <v>9.4</v>
      </c>
      <c r="I12" s="135" t="n">
        <f aca="false">'3. KTHH vải lọc'!Q25</f>
        <v>1.52</v>
      </c>
      <c r="J12" s="135" t="n">
        <f aca="false">'3. KTHH vải lọc'!T25</f>
        <v>2.06</v>
      </c>
      <c r="K12" s="136" t="n">
        <f aca="false">SUM(E12:J12)</f>
        <v>25.55</v>
      </c>
      <c r="L12" s="110" t="n">
        <f aca="false">(K12+K13)*D12/2</f>
        <v>95.9686</v>
      </c>
      <c r="M12" s="111"/>
      <c r="O12" s="137"/>
      <c r="P12" s="138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TD</v>
      </c>
      <c r="C13" s="65" t="n">
        <f aca="false">'1. PL đường đen'!C14</f>
        <v>573.12</v>
      </c>
      <c r="D13" s="84" t="n">
        <f aca="false">'1. PL đường đen'!T14</f>
        <v>6.56</v>
      </c>
      <c r="E13" s="135" t="n">
        <f aca="false">'3. KTHH vải lọc'!E26</f>
        <v>2.09</v>
      </c>
      <c r="F13" s="135" t="n">
        <f aca="false">'3. KTHH vải lọc'!H26</f>
        <v>1.46</v>
      </c>
      <c r="G13" s="135" t="n">
        <f aca="false">'3. KTHH vải lọc'!K26</f>
        <v>10.73</v>
      </c>
      <c r="H13" s="135" t="n">
        <f aca="false">'3. KTHH vải lọc'!N26</f>
        <v>9.36</v>
      </c>
      <c r="I13" s="135" t="n">
        <f aca="false">'3. KTHH vải lọc'!Q26</f>
        <v>1.48</v>
      </c>
      <c r="J13" s="135" t="n">
        <f aca="false">'3. KTHH vải lọc'!T26</f>
        <v>2.06</v>
      </c>
      <c r="K13" s="136" t="n">
        <f aca="false">SUM(E13:J13)</f>
        <v>27.18</v>
      </c>
      <c r="L13" s="110" t="n">
        <f aca="false">(K13+K14)*D13/2</f>
        <v>191.0272</v>
      </c>
      <c r="M13" s="111"/>
      <c r="O13" s="137"/>
      <c r="P13" s="138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P</v>
      </c>
      <c r="C14" s="65" t="n">
        <f aca="false">'1. PL đường đen'!C15</f>
        <v>579.68</v>
      </c>
      <c r="D14" s="84" t="n">
        <f aca="false">'1. PL đường đen'!T15</f>
        <v>4.84</v>
      </c>
      <c r="E14" s="135" t="n">
        <f aca="false">'3. KTHH vải lọc'!E27</f>
        <v>2.06</v>
      </c>
      <c r="F14" s="135" t="n">
        <f aca="false">'3. KTHH vải lọc'!H27</f>
        <v>1.48</v>
      </c>
      <c r="G14" s="135" t="n">
        <f aca="false">'3. KTHH vải lọc'!K27</f>
        <v>9.63</v>
      </c>
      <c r="H14" s="135" t="n">
        <f aca="false">'3. KTHH vải lọc'!N27</f>
        <v>14.34</v>
      </c>
      <c r="I14" s="135" t="n">
        <f aca="false">'3. KTHH vải lọc'!Q27</f>
        <v>1.47</v>
      </c>
      <c r="J14" s="135" t="n">
        <f aca="false">'3. KTHH vải lọc'!T27</f>
        <v>2.08</v>
      </c>
      <c r="K14" s="136" t="n">
        <f aca="false">SUM(E14:J14)</f>
        <v>31.06</v>
      </c>
      <c r="L14" s="110" t="n">
        <f aca="false">(K14+K15)*D14/2</f>
        <v>151.1048</v>
      </c>
      <c r="M14" s="111"/>
      <c r="O14" s="137"/>
      <c r="P14" s="138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E2</v>
      </c>
      <c r="C15" s="65" t="n">
        <f aca="false">'1. PL đường đen'!C16</f>
        <v>584.52</v>
      </c>
      <c r="D15" s="84" t="n">
        <f aca="false">'1. PL đường đen'!T16</f>
        <v>1.71</v>
      </c>
      <c r="E15" s="135" t="n">
        <f aca="false">'3. KTHH vải lọc'!E28</f>
        <v>2.05</v>
      </c>
      <c r="F15" s="135" t="n">
        <f aca="false">'3. KTHH vải lọc'!H28</f>
        <v>1.46</v>
      </c>
      <c r="G15" s="135" t="n">
        <f aca="false">'3. KTHH vải lọc'!K28</f>
        <v>10</v>
      </c>
      <c r="H15" s="135" t="n">
        <f aca="false">'3. KTHH vải lọc'!N28</f>
        <v>14.33</v>
      </c>
      <c r="I15" s="135" t="n">
        <f aca="false">'3. KTHH vải lọc'!Q28</f>
        <v>1.49</v>
      </c>
      <c r="J15" s="135" t="n">
        <f aca="false">'3. KTHH vải lọc'!T28</f>
        <v>2.05</v>
      </c>
      <c r="K15" s="136" t="n">
        <f aca="false">SUM(E15:J15)</f>
        <v>31.38</v>
      </c>
      <c r="L15" s="110" t="n">
        <f aca="false">(K15+K16)*D15/2</f>
        <v>53.694</v>
      </c>
      <c r="M15" s="111"/>
      <c r="O15" s="137"/>
      <c r="P15" s="138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TC</v>
      </c>
      <c r="C16" s="65" t="n">
        <f aca="false">'1. PL đường đen'!C17</f>
        <v>586.23</v>
      </c>
      <c r="D16" s="84" t="n">
        <f aca="false">'1. PL đường đen'!T17</f>
        <v>11.55</v>
      </c>
      <c r="E16" s="135" t="n">
        <f aca="false">'3. KTHH vải lọc'!E29</f>
        <v>2.08</v>
      </c>
      <c r="F16" s="135" t="n">
        <f aca="false">'3. KTHH vải lọc'!H29</f>
        <v>1.51</v>
      </c>
      <c r="G16" s="135" t="n">
        <f aca="false">'3. KTHH vải lọc'!K29</f>
        <v>9.99</v>
      </c>
      <c r="H16" s="135" t="n">
        <f aca="false">'3. KTHH vải lọc'!N29</f>
        <v>14.28</v>
      </c>
      <c r="I16" s="135" t="n">
        <f aca="false">'3. KTHH vải lọc'!Q29</f>
        <v>1.48</v>
      </c>
      <c r="J16" s="135" t="n">
        <f aca="false">'3. KTHH vải lọc'!T29</f>
        <v>2.08</v>
      </c>
      <c r="K16" s="136" t="n">
        <f aca="false">SUM(E16:J16)</f>
        <v>31.42</v>
      </c>
      <c r="L16" s="110" t="n">
        <f aca="false">(K16+K17)*D16/2</f>
        <v>306.4215</v>
      </c>
      <c r="M16" s="111"/>
      <c r="O16" s="137"/>
      <c r="P16" s="138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34</v>
      </c>
      <c r="C17" s="65" t="n">
        <f aca="false">'1. PL đường đen'!C18</f>
        <v>597.78</v>
      </c>
      <c r="D17" s="84" t="n">
        <f aca="false">'1. PL đường đen'!T18</f>
        <v>17</v>
      </c>
      <c r="E17" s="135" t="n">
        <f aca="false">'3. KTHH vải lọc'!E30</f>
        <v>2.08</v>
      </c>
      <c r="F17" s="135" t="n">
        <f aca="false">'3. KTHH vải lọc'!H30</f>
        <v>1.08</v>
      </c>
      <c r="G17" s="135" t="n">
        <f aca="false">'3. KTHH vải lọc'!K30</f>
        <v>5.56</v>
      </c>
      <c r="H17" s="135" t="n">
        <f aca="false">'3. KTHH vải lọc'!N30</f>
        <v>9.4</v>
      </c>
      <c r="I17" s="135" t="n">
        <f aca="false">'3. KTHH vải lọc'!Q30</f>
        <v>1.46</v>
      </c>
      <c r="J17" s="135" t="n">
        <f aca="false">'3. KTHH vải lọc'!T30</f>
        <v>2.06</v>
      </c>
      <c r="K17" s="136" t="n">
        <f aca="false">SUM(E17:J17)</f>
        <v>21.64</v>
      </c>
      <c r="L17" s="110" t="n">
        <f aca="false">(K17+K18)*D17/2</f>
        <v>367.455</v>
      </c>
      <c r="M17" s="111"/>
      <c r="O17" s="137"/>
      <c r="P17" s="138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35</v>
      </c>
      <c r="C18" s="65" t="n">
        <f aca="false">'1. PL đường đen'!C19</f>
        <v>614.78</v>
      </c>
      <c r="D18" s="84" t="n">
        <f aca="false">'1. PL đường đen'!T19</f>
        <v>17.05</v>
      </c>
      <c r="E18" s="135" t="n">
        <f aca="false">'3. KTHH vải lọc'!E31</f>
        <v>2.07</v>
      </c>
      <c r="F18" s="135" t="n">
        <f aca="false">'3. KTHH vải lọc'!H31</f>
        <v>1.06</v>
      </c>
      <c r="G18" s="135" t="n">
        <f aca="false">'3. KTHH vải lọc'!K31</f>
        <v>6.06</v>
      </c>
      <c r="H18" s="135" t="n">
        <f aca="false">'3. KTHH vải lọc'!N31</f>
        <v>8.84</v>
      </c>
      <c r="I18" s="135" t="n">
        <f aca="false">'3. KTHH vải lọc'!Q31</f>
        <v>1.5</v>
      </c>
      <c r="J18" s="135" t="n">
        <f aca="false">'3. KTHH vải lọc'!T31</f>
        <v>2.06</v>
      </c>
      <c r="K18" s="136" t="n">
        <f aca="false">SUM(E18:J18)</f>
        <v>21.59</v>
      </c>
      <c r="L18" s="110" t="n">
        <f aca="false">(K18+K19)*D18/2</f>
        <v>389.33675</v>
      </c>
      <c r="M18" s="111"/>
      <c r="O18" s="137"/>
      <c r="P18" s="138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36</v>
      </c>
      <c r="C19" s="65" t="n">
        <f aca="false">'1. PL đường đen'!C20</f>
        <v>631.83</v>
      </c>
      <c r="D19" s="84" t="n">
        <f aca="false">'1. PL đường đen'!T20</f>
        <v>11.7</v>
      </c>
      <c r="E19" s="135" t="n">
        <f aca="false">'3. KTHH vải lọc'!E32</f>
        <v>2.08</v>
      </c>
      <c r="F19" s="135" t="n">
        <f aca="false">'3. KTHH vải lọc'!H32</f>
        <v>1.5</v>
      </c>
      <c r="G19" s="135" t="n">
        <f aca="false">'3. KTHH vải lọc'!K32</f>
        <v>8.27</v>
      </c>
      <c r="H19" s="135" t="n">
        <f aca="false">'3. KTHH vải lọc'!N32</f>
        <v>8.68</v>
      </c>
      <c r="I19" s="135" t="n">
        <f aca="false">'3. KTHH vải lọc'!Q32</f>
        <v>1.46</v>
      </c>
      <c r="J19" s="135" t="n">
        <f aca="false">'3. KTHH vải lọc'!T32</f>
        <v>2.09</v>
      </c>
      <c r="K19" s="136" t="n">
        <f aca="false">SUM(E19:J19)</f>
        <v>24.08</v>
      </c>
      <c r="L19" s="110" t="n">
        <f aca="false">(K19+K20)*D19/2</f>
        <v>317.07</v>
      </c>
      <c r="M19" s="111"/>
      <c r="O19" s="137"/>
      <c r="P19" s="138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E9</v>
      </c>
      <c r="C20" s="65" t="n">
        <f aca="false">'1. PL đường đen'!C21</f>
        <v>643.53</v>
      </c>
      <c r="D20" s="84" t="n">
        <f aca="false">'1. PL đường đen'!T21</f>
        <v>11.75</v>
      </c>
      <c r="E20" s="135" t="n">
        <f aca="false">'3. KTHH vải lọc'!E33</f>
        <v>2.05</v>
      </c>
      <c r="F20" s="135" t="n">
        <f aca="false">'3. KTHH vải lọc'!H33</f>
        <v>1.46</v>
      </c>
      <c r="G20" s="135" t="n">
        <f aca="false">'3. KTHH vải lọc'!K33</f>
        <v>9.33</v>
      </c>
      <c r="H20" s="135" t="n">
        <f aca="false">'3. KTHH vải lọc'!N33</f>
        <v>13.75</v>
      </c>
      <c r="I20" s="135" t="n">
        <f aca="false">'3. KTHH vải lọc'!Q33</f>
        <v>1.46</v>
      </c>
      <c r="J20" s="135" t="n">
        <f aca="false">'3. KTHH vải lọc'!T33</f>
        <v>2.07</v>
      </c>
      <c r="K20" s="136" t="n">
        <f aca="false">SUM(E20:J20)</f>
        <v>30.12</v>
      </c>
      <c r="L20" s="110" t="n">
        <f aca="false">(K20+K21)*D20/2</f>
        <v>321.18625</v>
      </c>
      <c r="M20" s="111"/>
      <c r="O20" s="137"/>
      <c r="P20" s="138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37</v>
      </c>
      <c r="C21" s="65" t="n">
        <f aca="false">'1. PL đường đen'!C22</f>
        <v>655.28</v>
      </c>
      <c r="D21" s="84" t="n">
        <f aca="false">'1. PL đường đen'!T22</f>
        <v>17</v>
      </c>
      <c r="E21" s="135" t="n">
        <f aca="false">'3. KTHH vải lọc'!E34</f>
        <v>2.05</v>
      </c>
      <c r="F21" s="135" t="n">
        <f aca="false">'3. KTHH vải lọc'!H34</f>
        <v>1.46</v>
      </c>
      <c r="G21" s="135" t="n">
        <f aca="false">'3. KTHH vải lọc'!K34</f>
        <v>7.93</v>
      </c>
      <c r="H21" s="135" t="n">
        <f aca="false">'3. KTHH vải lọc'!N34</f>
        <v>9.53</v>
      </c>
      <c r="I21" s="135" t="n">
        <f aca="false">'3. KTHH vải lọc'!Q34</f>
        <v>1.5</v>
      </c>
      <c r="J21" s="135" t="n">
        <f aca="false">'3. KTHH vải lọc'!T34</f>
        <v>2.08</v>
      </c>
      <c r="K21" s="136" t="n">
        <f aca="false">SUM(E21:J21)</f>
        <v>24.55</v>
      </c>
      <c r="L21" s="110" t="n">
        <f aca="false">(K21+K22)*D21/2</f>
        <v>464.695</v>
      </c>
      <c r="M21" s="111"/>
      <c r="O21" s="137"/>
      <c r="P21" s="138"/>
    </row>
    <row r="22" s="108" customFormat="true" ht="15" hidden="false" customHeight="true" outlineLevel="0" collapsed="false">
      <c r="A22" s="84" t="n">
        <v>12</v>
      </c>
      <c r="B22" s="84" t="str">
        <f aca="false">'1. PL đường đen'!B23</f>
        <v>38</v>
      </c>
      <c r="C22" s="65" t="n">
        <f aca="false">'1. PL đường đen'!C23</f>
        <v>672.28</v>
      </c>
      <c r="D22" s="84"/>
      <c r="E22" s="135" t="n">
        <f aca="false">'3. KTHH vải lọc'!E35</f>
        <v>2.06</v>
      </c>
      <c r="F22" s="135" t="n">
        <f aca="false">'3. KTHH vải lọc'!H35</f>
        <v>1.56</v>
      </c>
      <c r="G22" s="135" t="n">
        <f aca="false">'3. KTHH vải lọc'!K35</f>
        <v>8.67</v>
      </c>
      <c r="H22" s="135" t="n">
        <f aca="false">'3. KTHH vải lọc'!N35</f>
        <v>13.38</v>
      </c>
      <c r="I22" s="135" t="n">
        <f aca="false">'3. KTHH vải lọc'!Q35</f>
        <v>2.39</v>
      </c>
      <c r="J22" s="135" t="n">
        <f aca="false">'3. KTHH vải lọc'!T35</f>
        <v>2.06</v>
      </c>
      <c r="K22" s="136" t="n">
        <f aca="false">SUM(E22:J22)</f>
        <v>30.12</v>
      </c>
      <c r="L22" s="110"/>
      <c r="M22" s="111"/>
      <c r="O22" s="137"/>
      <c r="P22" s="138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135"/>
      <c r="H23" s="135"/>
      <c r="I23" s="135"/>
      <c r="J23" s="135"/>
      <c r="K23" s="136"/>
      <c r="L23" s="110"/>
      <c r="M23" s="111"/>
      <c r="O23" s="137"/>
      <c r="P23" s="138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135"/>
      <c r="H24" s="135"/>
      <c r="I24" s="135"/>
      <c r="J24" s="135"/>
      <c r="K24" s="136"/>
      <c r="L24" s="110"/>
      <c r="M24" s="111"/>
      <c r="O24" s="137"/>
      <c r="P24" s="138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135"/>
      <c r="H25" s="135"/>
      <c r="I25" s="135"/>
      <c r="J25" s="135"/>
      <c r="K25" s="136"/>
      <c r="L25" s="110"/>
      <c r="M25" s="111"/>
      <c r="O25" s="137"/>
      <c r="P25" s="138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135"/>
      <c r="H26" s="135"/>
      <c r="I26" s="135"/>
      <c r="J26" s="135"/>
      <c r="K26" s="136"/>
      <c r="L26" s="110"/>
      <c r="M26" s="111"/>
      <c r="O26" s="137"/>
      <c r="P26" s="138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135"/>
      <c r="H27" s="135"/>
      <c r="I27" s="135"/>
      <c r="J27" s="135"/>
      <c r="K27" s="136"/>
      <c r="L27" s="110"/>
      <c r="M27" s="111"/>
      <c r="O27" s="137"/>
      <c r="P27" s="138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135"/>
      <c r="H28" s="135"/>
      <c r="I28" s="135"/>
      <c r="J28" s="135"/>
      <c r="K28" s="136"/>
      <c r="L28" s="110"/>
      <c r="M28" s="111"/>
      <c r="O28" s="137"/>
      <c r="P28" s="138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135"/>
      <c r="H29" s="135"/>
      <c r="I29" s="135"/>
      <c r="J29" s="135"/>
      <c r="K29" s="136"/>
      <c r="L29" s="110"/>
      <c r="M29" s="111"/>
      <c r="O29" s="137"/>
      <c r="P29" s="138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135"/>
      <c r="H30" s="135"/>
      <c r="I30" s="135"/>
      <c r="J30" s="135"/>
      <c r="K30" s="136"/>
      <c r="L30" s="110"/>
      <c r="M30" s="111"/>
      <c r="O30" s="137"/>
      <c r="P30" s="138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135"/>
      <c r="H31" s="135"/>
      <c r="I31" s="135"/>
      <c r="J31" s="135"/>
      <c r="K31" s="136"/>
      <c r="L31" s="110"/>
      <c r="M31" s="111"/>
      <c r="O31" s="137"/>
      <c r="P31" s="138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135"/>
      <c r="H32" s="135"/>
      <c r="I32" s="135"/>
      <c r="J32" s="135"/>
      <c r="K32" s="136"/>
      <c r="L32" s="110"/>
      <c r="M32" s="111"/>
      <c r="O32" s="137"/>
      <c r="P32" s="138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135"/>
      <c r="H33" s="135"/>
      <c r="I33" s="135"/>
      <c r="J33" s="135"/>
      <c r="K33" s="136"/>
      <c r="L33" s="110"/>
      <c r="M33" s="111"/>
      <c r="O33" s="137"/>
      <c r="P33" s="138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135"/>
      <c r="H34" s="135"/>
      <c r="I34" s="135"/>
      <c r="J34" s="135"/>
      <c r="K34" s="136"/>
      <c r="L34" s="110"/>
      <c r="M34" s="111"/>
      <c r="O34" s="137"/>
      <c r="P34" s="138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135"/>
      <c r="H35" s="135"/>
      <c r="I35" s="135"/>
      <c r="J35" s="135"/>
      <c r="K35" s="136"/>
      <c r="L35" s="110"/>
      <c r="M35" s="111"/>
      <c r="O35" s="137"/>
      <c r="P35" s="138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135"/>
      <c r="H36" s="135"/>
      <c r="I36" s="135"/>
      <c r="J36" s="135"/>
      <c r="K36" s="136"/>
      <c r="L36" s="110"/>
      <c r="M36" s="111"/>
      <c r="O36" s="137"/>
      <c r="P36" s="138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135"/>
      <c r="H37" s="135"/>
      <c r="I37" s="135"/>
      <c r="J37" s="135"/>
      <c r="K37" s="136"/>
      <c r="L37" s="110"/>
      <c r="M37" s="111"/>
      <c r="O37" s="137"/>
      <c r="P37" s="138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135"/>
      <c r="H38" s="135"/>
      <c r="I38" s="135"/>
      <c r="J38" s="135"/>
      <c r="K38" s="136"/>
      <c r="L38" s="110"/>
      <c r="M38" s="111"/>
      <c r="O38" s="137"/>
      <c r="P38" s="138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135"/>
      <c r="H39" s="135"/>
      <c r="I39" s="135"/>
      <c r="J39" s="135"/>
      <c r="K39" s="136"/>
      <c r="L39" s="110"/>
      <c r="M39" s="111"/>
      <c r="O39" s="137"/>
      <c r="P39" s="138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135"/>
      <c r="H40" s="135"/>
      <c r="I40" s="135"/>
      <c r="J40" s="135"/>
      <c r="K40" s="136"/>
      <c r="L40" s="110"/>
      <c r="M40" s="111"/>
      <c r="O40" s="137"/>
      <c r="P40" s="138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135"/>
      <c r="H41" s="135"/>
      <c r="I41" s="135"/>
      <c r="J41" s="135"/>
      <c r="K41" s="136"/>
      <c r="L41" s="110"/>
      <c r="M41" s="111"/>
      <c r="O41" s="137"/>
      <c r="P41" s="138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135"/>
      <c r="H42" s="135"/>
      <c r="I42" s="135"/>
      <c r="J42" s="135"/>
      <c r="K42" s="136"/>
      <c r="L42" s="110"/>
      <c r="M42" s="111"/>
      <c r="O42" s="137"/>
      <c r="P42" s="138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135"/>
      <c r="H43" s="135"/>
      <c r="I43" s="135"/>
      <c r="J43" s="135"/>
      <c r="K43" s="136"/>
      <c r="L43" s="110"/>
      <c r="M43" s="111"/>
      <c r="O43" s="137"/>
      <c r="P43" s="138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135"/>
      <c r="H44" s="135"/>
      <c r="I44" s="135"/>
      <c r="J44" s="135"/>
      <c r="K44" s="136"/>
      <c r="L44" s="110"/>
      <c r="M44" s="111"/>
      <c r="O44" s="137"/>
      <c r="P44" s="138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135"/>
      <c r="H45" s="135"/>
      <c r="I45" s="135"/>
      <c r="J45" s="135"/>
      <c r="K45" s="136"/>
      <c r="L45" s="110"/>
      <c r="M45" s="111"/>
      <c r="O45" s="137"/>
      <c r="P45" s="138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135"/>
      <c r="H46" s="135"/>
      <c r="I46" s="135"/>
      <c r="J46" s="135"/>
      <c r="K46" s="136"/>
      <c r="L46" s="110"/>
      <c r="M46" s="111"/>
      <c r="O46" s="137"/>
      <c r="P46" s="138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135"/>
      <c r="H47" s="135"/>
      <c r="I47" s="135"/>
      <c r="J47" s="135"/>
      <c r="K47" s="136"/>
      <c r="L47" s="110"/>
      <c r="M47" s="111"/>
      <c r="O47" s="137"/>
      <c r="P47" s="138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135"/>
      <c r="H48" s="135"/>
      <c r="I48" s="135"/>
      <c r="J48" s="135"/>
      <c r="K48" s="136"/>
      <c r="L48" s="110"/>
      <c r="M48" s="111"/>
      <c r="O48" s="137"/>
      <c r="P48" s="138"/>
    </row>
    <row r="49" s="108" customFormat="true" ht="15" hidden="true" customHeight="true" outlineLevel="0" collapsed="false">
      <c r="A49" s="84"/>
      <c r="B49" s="84"/>
      <c r="C49" s="65"/>
      <c r="D49" s="84"/>
      <c r="E49" s="135"/>
      <c r="F49" s="135"/>
      <c r="G49" s="135"/>
      <c r="H49" s="135"/>
      <c r="I49" s="135"/>
      <c r="J49" s="135"/>
      <c r="K49" s="136"/>
      <c r="L49" s="110"/>
      <c r="M49" s="111"/>
      <c r="O49" s="137"/>
      <c r="P49" s="138"/>
    </row>
    <row r="50" s="108" customFormat="true" ht="15" hidden="true" customHeight="true" outlineLevel="0" collapsed="false">
      <c r="A50" s="84"/>
      <c r="B50" s="84"/>
      <c r="C50" s="65"/>
      <c r="D50" s="84"/>
      <c r="E50" s="135"/>
      <c r="F50" s="135"/>
      <c r="G50" s="135"/>
      <c r="H50" s="135"/>
      <c r="I50" s="135"/>
      <c r="J50" s="135"/>
      <c r="K50" s="136"/>
      <c r="L50" s="110"/>
      <c r="M50" s="111"/>
      <c r="O50" s="137"/>
      <c r="P50" s="138"/>
    </row>
    <row r="51" s="117" customFormat="true" ht="15" hidden="false" customHeight="true" outlineLevel="0" collapsed="false">
      <c r="A51" s="100" t="s">
        <v>119</v>
      </c>
      <c r="B51" s="100"/>
      <c r="C51" s="100"/>
      <c r="D51" s="100"/>
      <c r="E51" s="114"/>
      <c r="F51" s="114"/>
      <c r="G51" s="114"/>
      <c r="H51" s="114"/>
      <c r="I51" s="114"/>
      <c r="J51" s="114"/>
      <c r="K51" s="114"/>
      <c r="L51" s="115" t="n">
        <f aca="false">SUM(L11:L22)</f>
        <v>3019.3971</v>
      </c>
      <c r="M51" s="116"/>
      <c r="O51" s="139"/>
      <c r="P51" s="138"/>
    </row>
    <row r="52" s="117" customFormat="true" ht="6" hidden="false" customHeight="true" outlineLevel="0" collapsed="false">
      <c r="A52" s="119"/>
      <c r="B52" s="119"/>
      <c r="C52" s="119"/>
      <c r="D52" s="119"/>
      <c r="L52" s="118"/>
      <c r="M52" s="118"/>
    </row>
    <row r="53" s="117" customFormat="true" ht="15" hidden="false" customHeight="true" outlineLevel="0" collapsed="false">
      <c r="A53" s="71" t="s">
        <v>93</v>
      </c>
      <c r="B53" s="71"/>
      <c r="C53" s="71"/>
      <c r="D53" s="120" t="s">
        <v>120</v>
      </c>
      <c r="E53" s="71" t="s">
        <v>94</v>
      </c>
      <c r="F53" s="71"/>
      <c r="G53" s="71"/>
      <c r="H53" s="71"/>
      <c r="I53" s="71"/>
      <c r="J53" s="71"/>
      <c r="K53" s="71"/>
      <c r="L53" s="71"/>
      <c r="M53" s="71"/>
      <c r="O53" s="140"/>
    </row>
    <row r="54" s="117" customFormat="true" ht="9.7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  <c r="K54" s="122"/>
      <c r="L54" s="122"/>
    </row>
    <row r="55" s="117" customFormat="true" ht="14.25" hidden="false" customHeight="true" outlineLevel="0" collapsed="false">
      <c r="A55" s="121"/>
      <c r="B55" s="121"/>
      <c r="C55" s="123"/>
      <c r="D55" s="123"/>
      <c r="E55" s="122"/>
      <c r="F55" s="122"/>
      <c r="G55" s="122"/>
      <c r="H55" s="122"/>
      <c r="I55" s="122"/>
      <c r="J55" s="122"/>
      <c r="K55" s="122"/>
      <c r="L55" s="122"/>
    </row>
    <row r="56" s="117" customFormat="true" ht="15" hidden="false" customHeight="true" outlineLevel="0" collapsed="false">
      <c r="A56" s="121"/>
      <c r="B56" s="121"/>
      <c r="C56" s="124"/>
      <c r="D56" s="124"/>
      <c r="E56" s="122"/>
      <c r="F56" s="122"/>
      <c r="G56" s="122"/>
      <c r="H56" s="122"/>
      <c r="I56" s="122"/>
      <c r="J56" s="122"/>
      <c r="K56" s="122"/>
      <c r="L56" s="122"/>
      <c r="P56" s="141"/>
    </row>
    <row r="57" s="117" customFormat="true" ht="14.25" hidden="false" customHeight="true" outlineLevel="0" collapsed="false">
      <c r="A57" s="121"/>
      <c r="B57" s="121"/>
      <c r="C57" s="121"/>
      <c r="D57" s="122"/>
      <c r="E57" s="122"/>
      <c r="F57" s="122"/>
      <c r="G57" s="122"/>
      <c r="H57" s="122"/>
      <c r="I57" s="122"/>
      <c r="J57" s="122"/>
      <c r="K57" s="122"/>
      <c r="L57" s="122"/>
    </row>
    <row r="58" s="117" customFormat="true" ht="14.25" hidden="false" customHeight="true" outlineLevel="0" collapsed="false">
      <c r="A58" s="121"/>
      <c r="B58" s="121"/>
      <c r="C58" s="121"/>
      <c r="D58" s="122"/>
      <c r="E58" s="122"/>
      <c r="F58" s="122"/>
      <c r="G58" s="122"/>
      <c r="H58" s="122"/>
      <c r="I58" s="122"/>
      <c r="J58" s="122"/>
      <c r="K58" s="122"/>
      <c r="L58" s="122"/>
    </row>
    <row r="59" s="117" customFormat="true" ht="14.25" hidden="false" customHeight="true" outlineLevel="0" collapsed="false">
      <c r="A59" s="121"/>
      <c r="B59" s="121"/>
      <c r="C59" s="121"/>
      <c r="D59" s="122"/>
      <c r="E59" s="122"/>
      <c r="F59" s="122"/>
      <c r="G59" s="122"/>
      <c r="H59" s="122"/>
      <c r="I59" s="122"/>
      <c r="J59" s="122"/>
      <c r="K59" s="122"/>
      <c r="L59" s="122"/>
    </row>
    <row r="60" s="117" customFormat="true" ht="14.25" hidden="false" customHeight="true" outlineLevel="0" collapsed="false">
      <c r="A60" s="71" t="str">
        <f aca="false">'2. Cao độ đào nền'!E68</f>
        <v>Nguyễn Xuân Hưng</v>
      </c>
      <c r="B60" s="71"/>
      <c r="C60" s="71"/>
      <c r="D60" s="87"/>
      <c r="E60" s="87"/>
      <c r="F60" s="87"/>
      <c r="G60" s="87"/>
      <c r="H60" s="87"/>
      <c r="I60" s="87"/>
      <c r="J60" s="87"/>
      <c r="K60" s="71" t="s">
        <v>30</v>
      </c>
      <c r="L60" s="71"/>
      <c r="M60" s="71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1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K9:L9"/>
    <mergeCell ref="M9:M10"/>
    <mergeCell ref="E10:J10"/>
    <mergeCell ref="A51:D51"/>
    <mergeCell ref="A53:C53"/>
    <mergeCell ref="E53:M53"/>
    <mergeCell ref="C55:D55"/>
    <mergeCell ref="A60:C60"/>
    <mergeCell ref="K60:M60"/>
  </mergeCells>
  <printOptions headings="false" gridLines="false" gridLinesSet="true" horizontalCentered="false" verticalCentered="false"/>
  <pageMargins left="0.7" right="0.25" top="0.440277777777778" bottom="0.2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K55" activeCellId="0" sqref="K55"/>
    </sheetView>
  </sheetViews>
  <sheetFormatPr defaultColWidth="9.1484375" defaultRowHeight="14.25" zeroHeight="false" outlineLevelRow="0" outlineLevelCol="0"/>
  <cols>
    <col collapsed="false" customWidth="false" hidden="false" outlineLevel="0" max="16384" min="1" style="142" width="9.14"/>
  </cols>
  <sheetData>
    <row r="1" customFormat="false" ht="14.25" hidden="false" customHeight="false" outlineLevel="0" collapsed="false">
      <c r="A1" s="143" t="s">
        <v>5</v>
      </c>
      <c r="B1" s="143" t="s">
        <v>70</v>
      </c>
      <c r="C1" s="143" t="s">
        <v>71</v>
      </c>
      <c r="D1" s="143" t="s">
        <v>134</v>
      </c>
      <c r="E1" s="143" t="s">
        <v>135</v>
      </c>
      <c r="F1" s="143" t="s">
        <v>136</v>
      </c>
      <c r="G1" s="143" t="s">
        <v>137</v>
      </c>
    </row>
    <row r="2" customFormat="false" ht="14.25" hidden="false" customHeight="false" outlineLevel="0" collapsed="false">
      <c r="A2" s="142" t="n">
        <v>1</v>
      </c>
      <c r="B2" s="142" t="s">
        <v>81</v>
      </c>
      <c r="C2" s="142" t="n">
        <v>554.08</v>
      </c>
      <c r="D2" s="142" t="n">
        <v>1</v>
      </c>
      <c r="E2" s="142" t="s">
        <v>138</v>
      </c>
      <c r="F2" s="142" t="n">
        <v>2</v>
      </c>
      <c r="G2" s="142" t="n">
        <v>2</v>
      </c>
    </row>
    <row r="3" customFormat="false" ht="14.25" hidden="false" customHeight="false" outlineLevel="0" collapsed="false">
      <c r="D3" s="142" t="n">
        <v>1</v>
      </c>
      <c r="E3" s="142" t="s">
        <v>139</v>
      </c>
      <c r="F3" s="142" t="n">
        <v>1.41</v>
      </c>
      <c r="G3" s="142" t="n">
        <v>1.41</v>
      </c>
    </row>
    <row r="4" customFormat="false" ht="14.25" hidden="false" customHeight="false" outlineLevel="0" collapsed="false">
      <c r="D4" s="142" t="n">
        <v>1</v>
      </c>
      <c r="E4" s="142" t="s">
        <v>140</v>
      </c>
      <c r="F4" s="142" t="n">
        <v>5.42</v>
      </c>
      <c r="G4" s="142" t="n">
        <v>8.66</v>
      </c>
    </row>
    <row r="5" customFormat="false" ht="14.25" hidden="false" customHeight="false" outlineLevel="0" collapsed="false">
      <c r="A5" s="142" t="n">
        <v>2</v>
      </c>
      <c r="B5" s="142" t="s">
        <v>82</v>
      </c>
      <c r="C5" s="142" t="n">
        <v>569.48</v>
      </c>
      <c r="D5" s="142" t="n">
        <v>1</v>
      </c>
      <c r="E5" s="142" t="s">
        <v>138</v>
      </c>
      <c r="F5" s="142" t="n">
        <v>2</v>
      </c>
      <c r="G5" s="142" t="n">
        <v>2</v>
      </c>
    </row>
    <row r="6" customFormat="false" ht="14.25" hidden="false" customHeight="false" outlineLevel="0" collapsed="false">
      <c r="D6" s="142" t="n">
        <v>1</v>
      </c>
      <c r="E6" s="142" t="s">
        <v>139</v>
      </c>
      <c r="F6" s="142" t="n">
        <v>1.42</v>
      </c>
      <c r="G6" s="142" t="n">
        <v>1.42</v>
      </c>
    </row>
    <row r="7" customFormat="false" ht="14.25" hidden="false" customHeight="false" outlineLevel="0" collapsed="false">
      <c r="D7" s="142" t="n">
        <v>1</v>
      </c>
      <c r="E7" s="142" t="s">
        <v>140</v>
      </c>
      <c r="F7" s="142" t="n">
        <v>8.97</v>
      </c>
      <c r="G7" s="142" t="n">
        <v>9.34</v>
      </c>
    </row>
    <row r="8" customFormat="false" ht="14.25" hidden="false" customHeight="false" outlineLevel="0" collapsed="false">
      <c r="A8" s="142" t="n">
        <v>3</v>
      </c>
      <c r="B8" s="142" t="s">
        <v>83</v>
      </c>
      <c r="C8" s="142" t="n">
        <v>573.12</v>
      </c>
      <c r="D8" s="142" t="n">
        <v>1</v>
      </c>
      <c r="E8" s="142" t="s">
        <v>138</v>
      </c>
      <c r="F8" s="142" t="n">
        <v>2</v>
      </c>
      <c r="G8" s="142" t="n">
        <v>2</v>
      </c>
    </row>
    <row r="9" customFormat="false" ht="14.25" hidden="false" customHeight="false" outlineLevel="0" collapsed="false">
      <c r="D9" s="142" t="n">
        <v>1</v>
      </c>
      <c r="E9" s="142" t="s">
        <v>139</v>
      </c>
      <c r="F9" s="142" t="n">
        <v>1.41</v>
      </c>
      <c r="G9" s="142" t="n">
        <v>1.41</v>
      </c>
    </row>
    <row r="10" customFormat="false" ht="14.25" hidden="false" customHeight="false" outlineLevel="0" collapsed="false">
      <c r="D10" s="142" t="n">
        <v>1</v>
      </c>
      <c r="E10" s="142" t="s">
        <v>140</v>
      </c>
      <c r="F10" s="142" t="n">
        <v>10.66</v>
      </c>
      <c r="G10" s="142" t="n">
        <v>9.31</v>
      </c>
    </row>
    <row r="11" customFormat="false" ht="14.25" hidden="false" customHeight="false" outlineLevel="0" collapsed="false">
      <c r="A11" s="142" t="n">
        <v>4</v>
      </c>
      <c r="B11" s="142" t="s">
        <v>84</v>
      </c>
      <c r="C11" s="142" t="n">
        <v>579.68</v>
      </c>
      <c r="D11" s="142" t="n">
        <v>1</v>
      </c>
      <c r="E11" s="142" t="s">
        <v>138</v>
      </c>
      <c r="F11" s="142" t="n">
        <v>2</v>
      </c>
      <c r="G11" s="142" t="n">
        <v>2</v>
      </c>
    </row>
    <row r="12" customFormat="false" ht="14.25" hidden="false" customHeight="false" outlineLevel="0" collapsed="false">
      <c r="D12" s="142" t="n">
        <v>1</v>
      </c>
      <c r="E12" s="142" t="s">
        <v>139</v>
      </c>
      <c r="F12" s="142" t="n">
        <v>1.41</v>
      </c>
      <c r="G12" s="142" t="n">
        <v>1.41</v>
      </c>
    </row>
    <row r="13" customFormat="false" ht="14.25" hidden="false" customHeight="false" outlineLevel="0" collapsed="false">
      <c r="D13" s="142" t="n">
        <v>1</v>
      </c>
      <c r="E13" s="142" t="s">
        <v>140</v>
      </c>
      <c r="F13" s="142" t="n">
        <v>9.58</v>
      </c>
      <c r="G13" s="142" t="n">
        <v>14.26</v>
      </c>
    </row>
    <row r="14" customFormat="false" ht="14.25" hidden="false" customHeight="false" outlineLevel="0" collapsed="false">
      <c r="A14" s="142" t="n">
        <v>5</v>
      </c>
      <c r="B14" s="142" t="s">
        <v>85</v>
      </c>
      <c r="C14" s="142" t="n">
        <v>584.52</v>
      </c>
      <c r="D14" s="142" t="n">
        <v>1</v>
      </c>
      <c r="E14" s="142" t="s">
        <v>138</v>
      </c>
      <c r="F14" s="142" t="n">
        <v>2</v>
      </c>
      <c r="G14" s="142" t="n">
        <v>2</v>
      </c>
    </row>
    <row r="15" customFormat="false" ht="14.25" hidden="false" customHeight="false" outlineLevel="0" collapsed="false">
      <c r="D15" s="142" t="n">
        <v>1</v>
      </c>
      <c r="E15" s="142" t="s">
        <v>139</v>
      </c>
      <c r="F15" s="142" t="n">
        <v>1.41</v>
      </c>
      <c r="G15" s="142" t="n">
        <v>1.41</v>
      </c>
    </row>
    <row r="16" customFormat="false" ht="14.25" hidden="false" customHeight="false" outlineLevel="0" collapsed="false">
      <c r="D16" s="142" t="n">
        <v>1</v>
      </c>
      <c r="E16" s="142" t="s">
        <v>140</v>
      </c>
      <c r="F16" s="142" t="n">
        <v>9.91</v>
      </c>
      <c r="G16" s="142" t="n">
        <v>14.28</v>
      </c>
    </row>
    <row r="17" customFormat="false" ht="14.25" hidden="false" customHeight="false" outlineLevel="0" collapsed="false">
      <c r="A17" s="142" t="n">
        <v>6</v>
      </c>
      <c r="B17" s="142" t="s">
        <v>86</v>
      </c>
      <c r="C17" s="142" t="n">
        <v>586.23</v>
      </c>
      <c r="D17" s="142" t="n">
        <v>1</v>
      </c>
      <c r="E17" s="142" t="s">
        <v>138</v>
      </c>
      <c r="F17" s="142" t="n">
        <v>2</v>
      </c>
      <c r="G17" s="142" t="n">
        <v>2</v>
      </c>
    </row>
    <row r="18" customFormat="false" ht="14.25" hidden="false" customHeight="false" outlineLevel="0" collapsed="false">
      <c r="D18" s="142" t="n">
        <v>1</v>
      </c>
      <c r="E18" s="142" t="s">
        <v>139</v>
      </c>
      <c r="F18" s="142" t="n">
        <v>1.41</v>
      </c>
      <c r="G18" s="142" t="n">
        <v>1.41</v>
      </c>
    </row>
    <row r="19" customFormat="false" ht="14.25" hidden="false" customHeight="false" outlineLevel="0" collapsed="false">
      <c r="D19" s="142" t="n">
        <v>1</v>
      </c>
      <c r="E19" s="142" t="s">
        <v>140</v>
      </c>
      <c r="F19" s="142" t="n">
        <v>9.91</v>
      </c>
      <c r="G19" s="142" t="n">
        <v>14.2</v>
      </c>
    </row>
    <row r="20" customFormat="false" ht="14.25" hidden="false" customHeight="false" outlineLevel="0" collapsed="false">
      <c r="A20" s="142" t="n">
        <v>7</v>
      </c>
      <c r="B20" s="142" t="s">
        <v>87</v>
      </c>
      <c r="C20" s="142" t="n">
        <v>597.78</v>
      </c>
      <c r="D20" s="142" t="n">
        <v>1</v>
      </c>
      <c r="E20" s="142" t="s">
        <v>138</v>
      </c>
      <c r="F20" s="142" t="n">
        <v>2</v>
      </c>
      <c r="G20" s="142" t="n">
        <v>2</v>
      </c>
    </row>
    <row r="21" customFormat="false" ht="14.25" hidden="false" customHeight="false" outlineLevel="0" collapsed="false">
      <c r="D21" s="142" t="n">
        <v>1</v>
      </c>
      <c r="E21" s="142" t="s">
        <v>139</v>
      </c>
      <c r="F21" s="142" t="n">
        <v>1</v>
      </c>
      <c r="G21" s="142" t="n">
        <v>1.41</v>
      </c>
    </row>
    <row r="22" customFormat="false" ht="14.25" hidden="false" customHeight="false" outlineLevel="0" collapsed="false">
      <c r="D22" s="142" t="n">
        <v>1</v>
      </c>
      <c r="E22" s="142" t="s">
        <v>140</v>
      </c>
      <c r="F22" s="142" t="n">
        <v>5.5</v>
      </c>
      <c r="G22" s="142" t="n">
        <v>9.3</v>
      </c>
    </row>
    <row r="23" customFormat="false" ht="14.25" hidden="false" customHeight="false" outlineLevel="0" collapsed="false">
      <c r="A23" s="142" t="n">
        <v>8</v>
      </c>
      <c r="B23" s="142" t="s">
        <v>88</v>
      </c>
      <c r="C23" s="142" t="n">
        <v>614.78</v>
      </c>
      <c r="D23" s="142" t="n">
        <v>1</v>
      </c>
      <c r="E23" s="142" t="s">
        <v>138</v>
      </c>
      <c r="F23" s="142" t="n">
        <v>2</v>
      </c>
      <c r="G23" s="142" t="n">
        <v>2</v>
      </c>
    </row>
    <row r="24" customFormat="false" ht="14.25" hidden="false" customHeight="false" outlineLevel="0" collapsed="false">
      <c r="D24" s="142" t="n">
        <v>1</v>
      </c>
      <c r="E24" s="142" t="s">
        <v>139</v>
      </c>
      <c r="F24" s="142" t="n">
        <v>1</v>
      </c>
      <c r="G24" s="142" t="n">
        <v>1.41</v>
      </c>
    </row>
    <row r="25" customFormat="false" ht="14.25" hidden="false" customHeight="false" outlineLevel="0" collapsed="false">
      <c r="D25" s="142" t="n">
        <v>1</v>
      </c>
      <c r="E25" s="142" t="s">
        <v>140</v>
      </c>
      <c r="F25" s="142" t="n">
        <v>6</v>
      </c>
      <c r="G25" s="142" t="n">
        <v>8.78</v>
      </c>
    </row>
    <row r="26" customFormat="false" ht="14.25" hidden="false" customHeight="false" outlineLevel="0" collapsed="false">
      <c r="A26" s="142" t="n">
        <v>9</v>
      </c>
      <c r="B26" s="142" t="s">
        <v>89</v>
      </c>
      <c r="C26" s="142" t="n">
        <v>631.83</v>
      </c>
      <c r="D26" s="142" t="n">
        <v>1</v>
      </c>
      <c r="E26" s="142" t="s">
        <v>138</v>
      </c>
      <c r="F26" s="142" t="n">
        <v>2</v>
      </c>
      <c r="G26" s="142" t="n">
        <v>2</v>
      </c>
    </row>
    <row r="27" customFormat="false" ht="14.25" hidden="false" customHeight="false" outlineLevel="0" collapsed="false">
      <c r="D27" s="142" t="n">
        <v>1</v>
      </c>
      <c r="E27" s="142" t="s">
        <v>139</v>
      </c>
      <c r="F27" s="142" t="n">
        <v>1.41</v>
      </c>
      <c r="G27" s="142" t="n">
        <v>1.41</v>
      </c>
    </row>
    <row r="28" customFormat="false" ht="14.25" hidden="false" customHeight="false" outlineLevel="0" collapsed="false">
      <c r="D28" s="142" t="n">
        <v>1</v>
      </c>
      <c r="E28" s="142" t="s">
        <v>140</v>
      </c>
      <c r="F28" s="142" t="n">
        <v>8.19</v>
      </c>
      <c r="G28" s="142" t="n">
        <v>8.61</v>
      </c>
    </row>
    <row r="29" customFormat="false" ht="14.25" hidden="false" customHeight="false" outlineLevel="0" collapsed="false">
      <c r="A29" s="142" t="n">
        <v>10</v>
      </c>
      <c r="B29" s="142" t="s">
        <v>90</v>
      </c>
      <c r="C29" s="142" t="n">
        <v>643.53</v>
      </c>
      <c r="D29" s="142" t="n">
        <v>1</v>
      </c>
      <c r="E29" s="142" t="s">
        <v>138</v>
      </c>
      <c r="F29" s="142" t="n">
        <v>2</v>
      </c>
      <c r="G29" s="142" t="n">
        <v>2</v>
      </c>
    </row>
    <row r="30" customFormat="false" ht="14.25" hidden="false" customHeight="false" outlineLevel="0" collapsed="false">
      <c r="D30" s="142" t="n">
        <v>1</v>
      </c>
      <c r="E30" s="142" t="s">
        <v>139</v>
      </c>
      <c r="F30" s="142" t="n">
        <v>1.41</v>
      </c>
      <c r="G30" s="142" t="n">
        <v>1.41</v>
      </c>
    </row>
    <row r="31" customFormat="false" ht="14.25" hidden="false" customHeight="false" outlineLevel="0" collapsed="false">
      <c r="D31" s="142" t="n">
        <v>1</v>
      </c>
      <c r="E31" s="142" t="s">
        <v>140</v>
      </c>
      <c r="F31" s="142" t="n">
        <v>9.26</v>
      </c>
      <c r="G31" s="142" t="n">
        <v>13.66</v>
      </c>
    </row>
    <row r="32" customFormat="false" ht="14.25" hidden="false" customHeight="false" outlineLevel="0" collapsed="false">
      <c r="A32" s="142" t="n">
        <v>11</v>
      </c>
      <c r="B32" s="142" t="s">
        <v>91</v>
      </c>
      <c r="C32" s="142" t="n">
        <v>655.28</v>
      </c>
      <c r="D32" s="142" t="n">
        <v>1</v>
      </c>
      <c r="E32" s="142" t="s">
        <v>138</v>
      </c>
      <c r="F32" s="142" t="n">
        <v>2</v>
      </c>
      <c r="G32" s="142" t="n">
        <v>2</v>
      </c>
    </row>
    <row r="33" customFormat="false" ht="14.25" hidden="false" customHeight="false" outlineLevel="0" collapsed="false">
      <c r="D33" s="142" t="n">
        <v>1</v>
      </c>
      <c r="E33" s="142" t="s">
        <v>139</v>
      </c>
      <c r="F33" s="144" t="n">
        <v>1.41</v>
      </c>
      <c r="G33" s="144" t="n">
        <v>1.41</v>
      </c>
    </row>
    <row r="34" customFormat="false" ht="14.25" hidden="false" customHeight="false" outlineLevel="0" collapsed="false">
      <c r="D34" s="142" t="n">
        <v>1</v>
      </c>
      <c r="E34" s="142" t="s">
        <v>140</v>
      </c>
      <c r="F34" s="142" t="n">
        <v>7.85</v>
      </c>
      <c r="G34" s="142" t="n">
        <v>9.44</v>
      </c>
    </row>
    <row r="35" customFormat="false" ht="14.25" hidden="false" customHeight="false" outlineLevel="0" collapsed="false">
      <c r="A35" s="142" t="n">
        <v>12</v>
      </c>
      <c r="B35" s="142" t="s">
        <v>92</v>
      </c>
      <c r="C35" s="142" t="n">
        <v>672.28</v>
      </c>
      <c r="D35" s="142" t="n">
        <v>1</v>
      </c>
      <c r="E35" s="142" t="s">
        <v>138</v>
      </c>
      <c r="F35" s="142" t="n">
        <v>2</v>
      </c>
      <c r="G35" s="142" t="n">
        <v>2</v>
      </c>
    </row>
    <row r="36" customFormat="false" ht="14.25" hidden="false" customHeight="false" outlineLevel="0" collapsed="false">
      <c r="D36" s="142" t="n">
        <v>1</v>
      </c>
      <c r="E36" s="142" t="s">
        <v>139</v>
      </c>
      <c r="F36" s="142" t="n">
        <v>1.49</v>
      </c>
      <c r="G36" s="142" t="n">
        <v>2.3</v>
      </c>
    </row>
    <row r="37" customFormat="false" ht="14.25" hidden="false" customHeight="false" outlineLevel="0" collapsed="false">
      <c r="D37" s="142" t="n">
        <v>1</v>
      </c>
      <c r="E37" s="142" t="s">
        <v>140</v>
      </c>
      <c r="F37" s="142" t="n">
        <v>8.62</v>
      </c>
      <c r="G37" s="142" t="n">
        <v>13.3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3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54" activeCellId="0" sqref="O54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5.71"/>
    <col collapsed="false" customWidth="true" hidden="false" outlineLevel="0" max="3" min="3" style="88" width="13.57"/>
    <col collapsed="false" customWidth="true" hidden="false" outlineLevel="0" max="4" min="4" style="89" width="6.85"/>
    <col collapsed="false" customWidth="true" hidden="false" outlineLevel="0" max="6" min="5" style="89" width="9"/>
    <col collapsed="false" customWidth="true" hidden="false" outlineLevel="0" max="7" min="7" style="89" width="8.29"/>
    <col collapsed="false" customWidth="true" hidden="false" outlineLevel="0" max="9" min="8" style="89" width="10.42"/>
    <col collapsed="false" customWidth="true" hidden="false" outlineLevel="0" max="10" min="10" style="89" width="8"/>
    <col collapsed="false" customWidth="true" hidden="false" outlineLevel="0" max="11" min="11" style="89" width="4.42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6" min="15" style="88" width="10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141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XD4'!$A$2:$G$60,7,0)&amp;VLOOKUP(L2,'Tuyến XD4'!$A$2:$G$60,4,0)</f>
        <v>Kèm theo BBNT số: 54.NĐXD4/CVXD ngày 14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54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.7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15.75" hidden="false" customHeight="true" outlineLevel="0" collapsed="false">
      <c r="A7" s="96" t="s">
        <v>67</v>
      </c>
      <c r="B7" s="97"/>
      <c r="C7" s="127"/>
      <c r="E7" s="98" t="str">
        <f aca="false">VLOOKUP(L2,'Tuyến XD4'!$A$2:$B$60,2,0)</f>
        <v>Tưới lớp thấm bám mặt đường, nhựa MC70, lượng nhựa 1kg/m2</v>
      </c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142</v>
      </c>
      <c r="C9" s="100" t="s">
        <v>71</v>
      </c>
      <c r="D9" s="101" t="s">
        <v>109</v>
      </c>
      <c r="E9" s="101" t="s">
        <v>143</v>
      </c>
      <c r="F9" s="101"/>
      <c r="G9" s="101"/>
      <c r="H9" s="101" t="s">
        <v>144</v>
      </c>
      <c r="I9" s="101"/>
      <c r="J9" s="101"/>
      <c r="K9" s="105" t="s">
        <v>113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145</v>
      </c>
      <c r="F10" s="105" t="s">
        <v>146</v>
      </c>
      <c r="G10" s="105" t="s">
        <v>147</v>
      </c>
      <c r="H10" s="105" t="s">
        <v>145</v>
      </c>
      <c r="I10" s="105" t="s">
        <v>146</v>
      </c>
      <c r="J10" s="105" t="s">
        <v>148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32</v>
      </c>
      <c r="C11" s="65" t="n">
        <v>554.08</v>
      </c>
      <c r="D11" s="84" t="n">
        <f aca="false">'1. PL đường đen'!T12</f>
        <v>15.4</v>
      </c>
      <c r="E11" s="135" t="n">
        <v>10.5</v>
      </c>
      <c r="F11" s="135" t="n">
        <f aca="false">+E11+G11</f>
        <v>10.566</v>
      </c>
      <c r="G11" s="67" t="n">
        <f aca="false">RANDBETWEEN(-30,110)/1000</f>
        <v>0.066</v>
      </c>
      <c r="H11" s="110" t="n">
        <f aca="false">+(E11+E12)/2*D11</f>
        <v>161.7</v>
      </c>
      <c r="I11" s="110" t="n">
        <f aca="false">+(F11+F12)/2*D11</f>
        <v>162.239</v>
      </c>
      <c r="J11" s="110" t="n">
        <f aca="false">+I11-H11</f>
        <v>0.538999999999987</v>
      </c>
      <c r="K11" s="111"/>
      <c r="L11" s="137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33</v>
      </c>
      <c r="C12" s="65" t="n">
        <f aca="false">C11+D11</f>
        <v>569.48</v>
      </c>
      <c r="D12" s="84" t="n">
        <f aca="false">'1. PL đường đen'!T13</f>
        <v>3.64</v>
      </c>
      <c r="E12" s="135" t="n">
        <v>10.5</v>
      </c>
      <c r="F12" s="135" t="n">
        <f aca="false">+E12+G12</f>
        <v>10.504</v>
      </c>
      <c r="G12" s="67" t="n">
        <f aca="false">RANDBETWEEN(-30,110)/1000</f>
        <v>0.004</v>
      </c>
      <c r="H12" s="110" t="n">
        <f aca="false">+(E12+E13)/2*D12</f>
        <v>38.22</v>
      </c>
      <c r="I12" s="110" t="n">
        <f aca="false">+(F12+F13)/2*D12</f>
        <v>38.19452</v>
      </c>
      <c r="J12" s="110" t="n">
        <f aca="false">+I12-H12</f>
        <v>-0.0254800000000017</v>
      </c>
      <c r="K12" s="111"/>
      <c r="L12" s="137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TD</v>
      </c>
      <c r="C13" s="65" t="n">
        <f aca="false">C12+D12</f>
        <v>573.12</v>
      </c>
      <c r="D13" s="84" t="n">
        <f aca="false">'1. PL đường đen'!T14</f>
        <v>6.56</v>
      </c>
      <c r="E13" s="135" t="n">
        <v>10.5</v>
      </c>
      <c r="F13" s="135" t="n">
        <f aca="false">+E13+G13</f>
        <v>10.482</v>
      </c>
      <c r="G13" s="67" t="n">
        <f aca="false">RANDBETWEEN(-30,110)/1000</f>
        <v>-0.018</v>
      </c>
      <c r="H13" s="110" t="n">
        <f aca="false">+(E13+E14)/2*D13</f>
        <v>68.88</v>
      </c>
      <c r="I13" s="110" t="n">
        <f aca="false">+(F13+F14)/2*D13</f>
        <v>69.0604</v>
      </c>
      <c r="J13" s="110" t="n">
        <f aca="false">+I13-H13</f>
        <v>0.180400000000006</v>
      </c>
      <c r="K13" s="111"/>
      <c r="L13" s="137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P</v>
      </c>
      <c r="C14" s="65" t="n">
        <f aca="false">C13+D13</f>
        <v>579.68</v>
      </c>
      <c r="D14" s="84" t="n">
        <f aca="false">'1. PL đường đen'!T15</f>
        <v>4.84</v>
      </c>
      <c r="E14" s="135" t="n">
        <v>10.5</v>
      </c>
      <c r="F14" s="135" t="n">
        <f aca="false">+E14+G14</f>
        <v>10.573</v>
      </c>
      <c r="G14" s="67" t="n">
        <f aca="false">RANDBETWEEN(-30,110)/1000</f>
        <v>0.073</v>
      </c>
      <c r="H14" s="110" t="n">
        <f aca="false">+(E14+E15)/2*D14</f>
        <v>50.82</v>
      </c>
      <c r="I14" s="110" t="n">
        <f aca="false">+(F14+F15)/2*D14</f>
        <v>51.06442</v>
      </c>
      <c r="J14" s="110" t="n">
        <f aca="false">+I14-H14</f>
        <v>0.244419999999998</v>
      </c>
      <c r="K14" s="111"/>
      <c r="L14" s="137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E2</v>
      </c>
      <c r="C15" s="65" t="n">
        <f aca="false">C14+D14</f>
        <v>584.52</v>
      </c>
      <c r="D15" s="84" t="n">
        <f aca="false">'1. PL đường đen'!T16</f>
        <v>1.71</v>
      </c>
      <c r="E15" s="135" t="n">
        <v>10.5</v>
      </c>
      <c r="F15" s="135" t="n">
        <f aca="false">+E15+G15</f>
        <v>10.528</v>
      </c>
      <c r="G15" s="67" t="n">
        <f aca="false">RANDBETWEEN(-30,110)/1000</f>
        <v>0.028</v>
      </c>
      <c r="H15" s="110" t="n">
        <f aca="false">+(E15+E16)/2*D15</f>
        <v>17.955</v>
      </c>
      <c r="I15" s="110" t="n">
        <f aca="false">+(F15+F16)/2*D15</f>
        <v>17.991765</v>
      </c>
      <c r="J15" s="110" t="n">
        <f aca="false">+I15-H15</f>
        <v>0.0367649999999991</v>
      </c>
      <c r="K15" s="111"/>
      <c r="L15" s="137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TC</v>
      </c>
      <c r="C16" s="65" t="n">
        <f aca="false">C15+D15</f>
        <v>586.23</v>
      </c>
      <c r="D16" s="84" t="n">
        <f aca="false">'1. PL đường đen'!T17</f>
        <v>11.55</v>
      </c>
      <c r="E16" s="135" t="n">
        <v>10.5</v>
      </c>
      <c r="F16" s="135" t="n">
        <f aca="false">+E16+G16</f>
        <v>10.515</v>
      </c>
      <c r="G16" s="67" t="n">
        <f aca="false">RANDBETWEEN(-30,110)/1000</f>
        <v>0.015</v>
      </c>
      <c r="H16" s="110" t="n">
        <f aca="false">+(E16+E17)/2*D16</f>
        <v>121.275</v>
      </c>
      <c r="I16" s="110" t="n">
        <f aca="false">+(F16+F17)/2*D16</f>
        <v>121.6908</v>
      </c>
      <c r="J16" s="110" t="n">
        <f aca="false">+I16-H16</f>
        <v>0.415800000000019</v>
      </c>
      <c r="K16" s="111"/>
      <c r="L16" s="137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34</v>
      </c>
      <c r="C17" s="65" t="n">
        <f aca="false">C16+D16</f>
        <v>597.78</v>
      </c>
      <c r="D17" s="84" t="n">
        <f aca="false">'1. PL đường đen'!T18</f>
        <v>17</v>
      </c>
      <c r="E17" s="135" t="n">
        <v>10.5</v>
      </c>
      <c r="F17" s="135" t="n">
        <f aca="false">+E17+G17</f>
        <v>10.557</v>
      </c>
      <c r="G17" s="67" t="n">
        <f aca="false">RANDBETWEEN(-30,110)/1000</f>
        <v>0.057</v>
      </c>
      <c r="H17" s="110" t="n">
        <f aca="false">+(E17+E18)/2*D17</f>
        <v>178.5</v>
      </c>
      <c r="I17" s="110" t="n">
        <f aca="false">+(F17+F18)/2*D17</f>
        <v>179.724</v>
      </c>
      <c r="J17" s="110" t="n">
        <f aca="false">+I17-H17</f>
        <v>1.22399999999999</v>
      </c>
      <c r="K17" s="111"/>
      <c r="L17" s="137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35</v>
      </c>
      <c r="C18" s="65" t="n">
        <f aca="false">C17+D17</f>
        <v>614.78</v>
      </c>
      <c r="D18" s="84" t="n">
        <f aca="false">'1. PL đường đen'!T19</f>
        <v>17.05</v>
      </c>
      <c r="E18" s="135" t="n">
        <v>10.5</v>
      </c>
      <c r="F18" s="135" t="n">
        <f aca="false">+E18+G18</f>
        <v>10.587</v>
      </c>
      <c r="G18" s="67" t="n">
        <f aca="false">RANDBETWEEN(-30,110)/1000</f>
        <v>0.087</v>
      </c>
      <c r="H18" s="110" t="n">
        <f aca="false">+(E18+E19)/2*D18</f>
        <v>179.025</v>
      </c>
      <c r="I18" s="110" t="n">
        <f aca="false">+(F18+F19)/2*D18</f>
        <v>179.99685</v>
      </c>
      <c r="J18" s="110" t="n">
        <f aca="false">+I18-H18</f>
        <v>0.971849999999989</v>
      </c>
      <c r="K18" s="111"/>
      <c r="L18" s="137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36</v>
      </c>
      <c r="C19" s="65" t="n">
        <f aca="false">C18+D18</f>
        <v>631.83</v>
      </c>
      <c r="D19" s="84" t="n">
        <f aca="false">'1. PL đường đen'!T20</f>
        <v>11.7</v>
      </c>
      <c r="E19" s="135" t="n">
        <v>10.5</v>
      </c>
      <c r="F19" s="135" t="n">
        <f aca="false">+E19+G19</f>
        <v>10.527</v>
      </c>
      <c r="G19" s="67" t="n">
        <f aca="false">RANDBETWEEN(-30,110)/1000</f>
        <v>0.027</v>
      </c>
      <c r="H19" s="110" t="n">
        <f aca="false">+(E19+E20)/2*D19</f>
        <v>122.85</v>
      </c>
      <c r="I19" s="110" t="n">
        <f aca="false">+(F19+F20)/2*D19</f>
        <v>123.61635</v>
      </c>
      <c r="J19" s="110" t="n">
        <f aca="false">+I19-H19</f>
        <v>0.766350000000003</v>
      </c>
      <c r="K19" s="111"/>
      <c r="L19" s="137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E9</v>
      </c>
      <c r="C20" s="65" t="n">
        <f aca="false">C19+D19</f>
        <v>643.53</v>
      </c>
      <c r="D20" s="84" t="n">
        <f aca="false">'1. PL đường đen'!T21</f>
        <v>11.75</v>
      </c>
      <c r="E20" s="135" t="n">
        <v>10.5</v>
      </c>
      <c r="F20" s="135" t="n">
        <f aca="false">+E20+G20</f>
        <v>10.604</v>
      </c>
      <c r="G20" s="67" t="n">
        <f aca="false">RANDBETWEEN(-30,110)/1000</f>
        <v>0.104</v>
      </c>
      <c r="H20" s="110" t="n">
        <f aca="false">+(E20+E21)/2*D20</f>
        <v>123.375</v>
      </c>
      <c r="I20" s="110" t="n">
        <f aca="false">+(F20+F21)/2*D20</f>
        <v>124.238625</v>
      </c>
      <c r="J20" s="110" t="n">
        <f aca="false">+I20-H20</f>
        <v>0.863624999999985</v>
      </c>
      <c r="K20" s="111"/>
      <c r="L20" s="137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37</v>
      </c>
      <c r="C21" s="65" t="n">
        <f aca="false">C20+D20</f>
        <v>655.28</v>
      </c>
      <c r="D21" s="84" t="n">
        <f aca="false">'1. PL đường đen'!T22</f>
        <v>17</v>
      </c>
      <c r="E21" s="135" t="n">
        <v>10.5</v>
      </c>
      <c r="F21" s="135" t="n">
        <f aca="false">+E21+G21</f>
        <v>10.543</v>
      </c>
      <c r="G21" s="67" t="n">
        <f aca="false">RANDBETWEEN(-30,110)/1000</f>
        <v>0.043</v>
      </c>
      <c r="H21" s="110" t="n">
        <f aca="false">+(E21+E22)/2*D21</f>
        <v>178.5</v>
      </c>
      <c r="I21" s="110" t="n">
        <f aca="false">+(F21+F22)/2*D21</f>
        <v>179.1375</v>
      </c>
      <c r="J21" s="110" t="n">
        <f aca="false">+I21-H21</f>
        <v>0.637499999999989</v>
      </c>
      <c r="K21" s="111"/>
      <c r="L21" s="137"/>
    </row>
    <row r="22" s="108" customFormat="true" ht="15" hidden="false" customHeight="true" outlineLevel="0" collapsed="false">
      <c r="A22" s="84" t="n">
        <v>12</v>
      </c>
      <c r="B22" s="84" t="str">
        <f aca="false">'1. PL đường đen'!B23</f>
        <v>38</v>
      </c>
      <c r="C22" s="65" t="n">
        <f aca="false">C21+D21</f>
        <v>672.28</v>
      </c>
      <c r="D22" s="84"/>
      <c r="E22" s="135" t="n">
        <v>10.5</v>
      </c>
      <c r="F22" s="135" t="n">
        <f aca="false">+E22+G22</f>
        <v>10.532</v>
      </c>
      <c r="G22" s="67" t="n">
        <f aca="false">RANDBETWEEN(-30,110)/1000</f>
        <v>0.032</v>
      </c>
      <c r="H22" s="110"/>
      <c r="I22" s="110"/>
      <c r="J22" s="110"/>
      <c r="K22" s="111"/>
      <c r="L22" s="137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67"/>
      <c r="H23" s="110"/>
      <c r="I23" s="110"/>
      <c r="J23" s="110"/>
      <c r="K23" s="111"/>
      <c r="L23" s="137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67"/>
      <c r="H24" s="110"/>
      <c r="I24" s="110"/>
      <c r="J24" s="110"/>
      <c r="K24" s="111"/>
      <c r="L24" s="137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67"/>
      <c r="H25" s="110"/>
      <c r="I25" s="110"/>
      <c r="J25" s="110"/>
      <c r="K25" s="111"/>
      <c r="L25" s="137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67"/>
      <c r="H26" s="110"/>
      <c r="I26" s="110"/>
      <c r="J26" s="110"/>
      <c r="K26" s="111"/>
      <c r="L26" s="137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67"/>
      <c r="H27" s="110"/>
      <c r="I27" s="110"/>
      <c r="J27" s="110"/>
      <c r="K27" s="111"/>
      <c r="L27" s="137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67"/>
      <c r="H28" s="110"/>
      <c r="I28" s="110"/>
      <c r="J28" s="110"/>
      <c r="K28" s="111"/>
      <c r="L28" s="137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67"/>
      <c r="H29" s="110"/>
      <c r="I29" s="110"/>
      <c r="J29" s="110"/>
      <c r="K29" s="111"/>
      <c r="L29" s="137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67"/>
      <c r="H30" s="110"/>
      <c r="I30" s="110"/>
      <c r="J30" s="110"/>
      <c r="K30" s="111"/>
      <c r="L30" s="137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67"/>
      <c r="H31" s="110"/>
      <c r="I31" s="110"/>
      <c r="J31" s="110"/>
      <c r="K31" s="111"/>
      <c r="L31" s="137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67"/>
      <c r="H32" s="110"/>
      <c r="I32" s="110"/>
      <c r="J32" s="110"/>
      <c r="K32" s="111"/>
      <c r="L32" s="137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67"/>
      <c r="H33" s="110"/>
      <c r="I33" s="110"/>
      <c r="J33" s="110"/>
      <c r="K33" s="111"/>
      <c r="L33" s="137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67"/>
      <c r="H34" s="110"/>
      <c r="I34" s="110"/>
      <c r="J34" s="110"/>
      <c r="K34" s="111"/>
      <c r="L34" s="137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67"/>
      <c r="H35" s="110"/>
      <c r="I35" s="110"/>
      <c r="J35" s="110"/>
      <c r="K35" s="111"/>
      <c r="L35" s="137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67"/>
      <c r="H36" s="110"/>
      <c r="I36" s="110"/>
      <c r="J36" s="110"/>
      <c r="K36" s="111"/>
      <c r="L36" s="137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67"/>
      <c r="H37" s="110"/>
      <c r="I37" s="110"/>
      <c r="J37" s="110"/>
      <c r="K37" s="111"/>
      <c r="L37" s="137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67"/>
      <c r="H38" s="110"/>
      <c r="I38" s="110"/>
      <c r="J38" s="110"/>
      <c r="K38" s="111"/>
      <c r="L38" s="137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67"/>
      <c r="H39" s="110"/>
      <c r="I39" s="110"/>
      <c r="J39" s="110"/>
      <c r="K39" s="111"/>
      <c r="L39" s="137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67"/>
      <c r="H40" s="110"/>
      <c r="I40" s="110"/>
      <c r="J40" s="110"/>
      <c r="K40" s="111"/>
      <c r="L40" s="137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67"/>
      <c r="H41" s="110"/>
      <c r="I41" s="110"/>
      <c r="J41" s="110"/>
      <c r="K41" s="111"/>
      <c r="L41" s="137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67"/>
      <c r="H42" s="110"/>
      <c r="I42" s="110"/>
      <c r="J42" s="110"/>
      <c r="K42" s="111"/>
      <c r="L42" s="137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67"/>
      <c r="H43" s="110"/>
      <c r="I43" s="110"/>
      <c r="J43" s="110"/>
      <c r="K43" s="111"/>
      <c r="L43" s="137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67"/>
      <c r="H44" s="110"/>
      <c r="I44" s="110"/>
      <c r="J44" s="110"/>
      <c r="K44" s="111"/>
      <c r="L44" s="137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67"/>
      <c r="H45" s="110"/>
      <c r="I45" s="110"/>
      <c r="J45" s="110"/>
      <c r="K45" s="111"/>
      <c r="L45" s="137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67"/>
      <c r="H46" s="110"/>
      <c r="I46" s="110"/>
      <c r="J46" s="110"/>
      <c r="K46" s="111"/>
      <c r="L46" s="137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L47" s="137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L48" s="137"/>
    </row>
    <row r="49" s="117" customFormat="true" ht="15" hidden="false" customHeight="true" outlineLevel="0" collapsed="false">
      <c r="A49" s="100" t="s">
        <v>119</v>
      </c>
      <c r="B49" s="100"/>
      <c r="C49" s="100"/>
      <c r="D49" s="100"/>
      <c r="E49" s="100"/>
      <c r="F49" s="100"/>
      <c r="G49" s="100"/>
      <c r="H49" s="151" t="n">
        <f aca="false">SUM(H11:H22)</f>
        <v>1241.1</v>
      </c>
      <c r="I49" s="151" t="n">
        <f aca="false">SUM(I11:I22)</f>
        <v>1246.95423</v>
      </c>
      <c r="J49" s="115" t="n">
        <f aca="false">+I49-H49</f>
        <v>5.85423000000014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93</v>
      </c>
      <c r="B51" s="71"/>
      <c r="C51" s="71"/>
      <c r="D51" s="71"/>
      <c r="F51" s="87"/>
      <c r="G51" s="71" t="s">
        <v>94</v>
      </c>
      <c r="H51" s="71"/>
      <c r="I51" s="71"/>
      <c r="J51" s="71"/>
      <c r="K51" s="87"/>
    </row>
    <row r="52" s="117" customFormat="true" ht="15" hidden="false" customHeight="true" outlineLevel="0" collapsed="false">
      <c r="A52" s="121"/>
      <c r="B52" s="121"/>
      <c r="C52" s="124"/>
      <c r="D52" s="124"/>
      <c r="E52" s="122"/>
      <c r="F52" s="122"/>
      <c r="G52" s="122"/>
      <c r="H52" s="122"/>
      <c r="I52" s="122"/>
      <c r="J52" s="122"/>
      <c r="N52" s="141"/>
    </row>
    <row r="53" s="117" customFormat="true" ht="14.25" hidden="false" customHeight="true" outlineLevel="0" collapsed="false">
      <c r="A53" s="121"/>
      <c r="B53" s="121"/>
      <c r="C53" s="121"/>
      <c r="D53" s="122"/>
      <c r="E53" s="122"/>
      <c r="F53" s="122"/>
      <c r="G53" s="122"/>
      <c r="H53" s="122"/>
      <c r="I53" s="122"/>
      <c r="J53" s="122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71" t="s">
        <v>29</v>
      </c>
      <c r="B56" s="71"/>
      <c r="C56" s="71"/>
      <c r="D56" s="71"/>
      <c r="F56" s="87"/>
      <c r="G56" s="71" t="s">
        <v>149</v>
      </c>
      <c r="H56" s="71"/>
      <c r="I56" s="71"/>
      <c r="J56" s="71"/>
      <c r="K56" s="87"/>
    </row>
    <row r="57" s="106" customFormat="true" ht="15" hidden="false" customHeight="true" outlineLevel="0" collapsed="false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customFormat="false" ht="12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s="89" customFormat="tru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88"/>
      <c r="M106" s="88"/>
      <c r="N106" s="88"/>
      <c r="O106" s="88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</sheetData>
  <mergeCells count="20">
    <mergeCell ref="A1:K1"/>
    <mergeCell ref="A2:K2"/>
    <mergeCell ref="A3:K3"/>
    <mergeCell ref="A4:K4"/>
    <mergeCell ref="A5:K5"/>
    <mergeCell ref="A6:K6"/>
    <mergeCell ref="E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A56:D56"/>
    <mergeCell ref="G56:J56"/>
  </mergeCells>
  <printOptions headings="false" gridLines="false" gridLinesSet="true" horizontalCentered="false" verticalCentered="false"/>
  <pageMargins left="0.95" right="0.159722222222222" top="0.6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B7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6" activeCellId="0" sqref="L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6.14"/>
    <col collapsed="false" customWidth="false" hidden="false" outlineLevel="0" max="4" min="4" style="89" width="9.29"/>
    <col collapsed="false" customWidth="true" hidden="false" outlineLevel="0" max="10" min="5" style="89" width="10.29"/>
    <col collapsed="false" customWidth="true" hidden="false" outlineLevel="0" max="11" min="11" style="89" width="8.15"/>
    <col collapsed="false" customWidth="false" hidden="false" outlineLevel="0" max="12" min="12" style="88" width="9.29"/>
    <col collapsed="false" customWidth="true" hidden="false" outlineLevel="0" max="13" min="13" style="88" width="11.71"/>
    <col collapsed="false" customWidth="true" hidden="false" outlineLevel="0" max="14" min="14" style="88" width="8.29"/>
    <col collapsed="false" customWidth="true" hidden="false" outlineLevel="0" max="15" min="15" style="88" width="10.42"/>
    <col collapsed="false" customWidth="false" hidden="false" outlineLevel="0" max="18" min="16" style="88" width="9.29"/>
    <col collapsed="false" customWidth="true" hidden="false" outlineLevel="0" max="19" min="19" style="88" width="5.57"/>
    <col collapsed="false" customWidth="false" hidden="false" outlineLevel="0" max="16384" min="20" style="88" width="9.29"/>
  </cols>
  <sheetData>
    <row r="1" s="91" customFormat="true" ht="16.5" hidden="false" customHeight="true" outlineLevel="0" collapsed="false">
      <c r="A1" s="133" t="s">
        <v>150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</row>
    <row r="2" s="146" customFormat="true" ht="18.75" hidden="false" customHeight="true" outlineLevel="0" collapsed="false">
      <c r="A2" s="145" t="str">
        <f aca="false">"Kèm theo BBNT số: "&amp;VLOOKUP(T2,'Tuyến XD4'!$A$2:$G$60,7,0)&amp;VLOOKUP(T2,'Tuyến XD4'!$A$2:$G$60,4,0)</f>
        <v>Kèm theo BBNT số: 55.NĐXD4/CVXD ngày 17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 t="n">
        <v>55</v>
      </c>
    </row>
    <row r="3" s="117" customFormat="true" ht="17.2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</row>
    <row r="4" s="117" customFormat="true" ht="17.2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</row>
    <row r="5" s="117" customFormat="true" ht="17.2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</row>
    <row r="6" s="117" customFormat="true" ht="17.2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</row>
    <row r="7" s="117" customFormat="true" ht="17.25" hidden="false" customHeight="true" outlineLevel="0" collapsed="false">
      <c r="A7" s="96" t="s">
        <v>67</v>
      </c>
      <c r="B7" s="97"/>
      <c r="C7" s="127"/>
      <c r="D7" s="98" t="str">
        <f aca="false">VLOOKUP(T2,'Tuyến XD4'!$A$2:$B$60,2,0)</f>
        <v>Rải thảm mặt đường bê tông nhựa C16 - Chiều dày mặt đường đã lèn ép 6cm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</row>
    <row r="8" s="117" customFormat="true" ht="17.25" hidden="false" customHeight="true" outlineLevel="0" collapsed="false">
      <c r="A8" s="96" t="s">
        <v>151</v>
      </c>
      <c r="B8" s="97"/>
      <c r="C8" s="127"/>
      <c r="E8" s="154"/>
      <c r="F8" s="154"/>
      <c r="G8" s="154"/>
      <c r="H8" s="154"/>
      <c r="I8" s="154"/>
      <c r="J8" s="154"/>
      <c r="K8" s="154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  <c r="GZ8" s="148"/>
      <c r="HA8" s="148"/>
      <c r="HB8" s="148"/>
    </row>
    <row r="9" s="117" customFormat="true" ht="15.75" hidden="false" customHeight="true" outlineLevel="0" collapsed="false">
      <c r="A9" s="96"/>
      <c r="B9" s="97"/>
      <c r="C9" s="127"/>
      <c r="E9" s="154"/>
      <c r="F9" s="154"/>
      <c r="G9" s="154"/>
      <c r="H9" s="154"/>
      <c r="I9" s="154"/>
      <c r="J9" s="154"/>
      <c r="K9" s="154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8"/>
      <c r="EX9" s="148"/>
      <c r="EY9" s="148"/>
      <c r="EZ9" s="148"/>
      <c r="FA9" s="148"/>
      <c r="FB9" s="148"/>
      <c r="FC9" s="148"/>
      <c r="FD9" s="148"/>
      <c r="FE9" s="148"/>
      <c r="FF9" s="148"/>
      <c r="FG9" s="148"/>
      <c r="FH9" s="148"/>
      <c r="FI9" s="148"/>
      <c r="FJ9" s="148"/>
      <c r="FK9" s="148"/>
      <c r="FL9" s="148"/>
      <c r="FM9" s="148"/>
      <c r="FN9" s="148"/>
      <c r="FO9" s="148"/>
      <c r="FP9" s="148"/>
      <c r="FQ9" s="148"/>
      <c r="FR9" s="148"/>
      <c r="FS9" s="148"/>
      <c r="FT9" s="148"/>
      <c r="FU9" s="148"/>
      <c r="FV9" s="148"/>
      <c r="FW9" s="148"/>
      <c r="FX9" s="148"/>
      <c r="FY9" s="148"/>
      <c r="FZ9" s="148"/>
      <c r="GA9" s="148"/>
      <c r="GB9" s="148"/>
      <c r="GC9" s="148"/>
      <c r="GD9" s="148"/>
      <c r="GE9" s="148"/>
      <c r="GF9" s="148"/>
      <c r="GG9" s="148"/>
      <c r="GH9" s="148"/>
      <c r="GI9" s="148"/>
      <c r="GJ9" s="148"/>
      <c r="GK9" s="148"/>
      <c r="GL9" s="148"/>
      <c r="GM9" s="148"/>
      <c r="GN9" s="148"/>
      <c r="GO9" s="148"/>
      <c r="GP9" s="148"/>
      <c r="GQ9" s="148"/>
      <c r="GR9" s="148"/>
      <c r="GS9" s="148"/>
      <c r="GT9" s="148"/>
      <c r="GU9" s="148"/>
      <c r="GV9" s="148"/>
      <c r="GW9" s="148"/>
      <c r="GX9" s="148"/>
      <c r="GY9" s="148"/>
      <c r="GZ9" s="148"/>
      <c r="HA9" s="148"/>
      <c r="HB9" s="148"/>
    </row>
    <row r="10" s="117" customFormat="true" ht="15.75" hidden="false" customHeight="true" outlineLevel="0" collapsed="false">
      <c r="A10" s="96"/>
      <c r="B10" s="97"/>
      <c r="C10" s="127"/>
      <c r="E10" s="154"/>
      <c r="F10" s="154"/>
      <c r="G10" s="154"/>
      <c r="H10" s="154"/>
      <c r="I10" s="154"/>
      <c r="J10" s="154"/>
      <c r="K10" s="154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48"/>
      <c r="FD10" s="148"/>
      <c r="FE10" s="148"/>
      <c r="FF10" s="148"/>
      <c r="FG10" s="148"/>
      <c r="FH10" s="148"/>
      <c r="FI10" s="148"/>
      <c r="FJ10" s="148"/>
      <c r="FK10" s="148"/>
      <c r="FL10" s="148"/>
      <c r="FM10" s="148"/>
      <c r="FN10" s="148"/>
      <c r="FO10" s="148"/>
      <c r="FP10" s="148"/>
      <c r="FQ10" s="148"/>
      <c r="FR10" s="148"/>
      <c r="FS10" s="148"/>
      <c r="FT10" s="148"/>
      <c r="FU10" s="148"/>
      <c r="FV10" s="148"/>
      <c r="FW10" s="148"/>
      <c r="FX10" s="148"/>
      <c r="FY10" s="148"/>
      <c r="FZ10" s="148"/>
      <c r="GA10" s="148"/>
      <c r="GB10" s="148"/>
      <c r="GC10" s="148"/>
      <c r="GD10" s="148"/>
      <c r="GE10" s="148"/>
      <c r="GF10" s="148"/>
      <c r="GG10" s="148"/>
      <c r="GH10" s="148"/>
      <c r="GI10" s="148"/>
      <c r="GJ10" s="148"/>
      <c r="GK10" s="148"/>
      <c r="GL10" s="148"/>
      <c r="GM10" s="148"/>
      <c r="GN10" s="148"/>
      <c r="GO10" s="148"/>
      <c r="GP10" s="148"/>
      <c r="GQ10" s="148"/>
      <c r="GR10" s="148"/>
      <c r="GS10" s="148"/>
      <c r="GT10" s="148"/>
      <c r="GU10" s="148"/>
      <c r="GV10" s="148"/>
      <c r="GW10" s="148"/>
      <c r="GX10" s="148"/>
      <c r="GY10" s="148"/>
      <c r="GZ10" s="148"/>
      <c r="HA10" s="148"/>
      <c r="HB10" s="148"/>
    </row>
    <row r="11" s="117" customFormat="true" ht="15.75" hidden="false" customHeight="true" outlineLevel="0" collapsed="false">
      <c r="A11" s="96"/>
      <c r="B11" s="97"/>
      <c r="C11" s="127"/>
      <c r="E11" s="154"/>
      <c r="F11" s="154"/>
      <c r="G11" s="154"/>
      <c r="H11" s="154"/>
      <c r="I11" s="154"/>
      <c r="J11" s="154"/>
      <c r="K11" s="154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8"/>
      <c r="EL11" s="148"/>
      <c r="EM11" s="148"/>
      <c r="EN11" s="148"/>
      <c r="EO11" s="148"/>
      <c r="EP11" s="148"/>
      <c r="EQ11" s="148"/>
      <c r="ER11" s="148"/>
      <c r="ES11" s="148"/>
      <c r="ET11" s="148"/>
      <c r="EU11" s="148"/>
      <c r="EV11" s="148"/>
      <c r="EW11" s="148"/>
      <c r="EX11" s="148"/>
      <c r="EY11" s="148"/>
      <c r="EZ11" s="148"/>
      <c r="FA11" s="148"/>
      <c r="FB11" s="148"/>
      <c r="FC11" s="148"/>
      <c r="FD11" s="148"/>
      <c r="FE11" s="148"/>
      <c r="FF11" s="148"/>
      <c r="FG11" s="148"/>
      <c r="FH11" s="148"/>
      <c r="FI11" s="148"/>
      <c r="FJ11" s="148"/>
      <c r="FK11" s="148"/>
      <c r="FL11" s="148"/>
      <c r="FM11" s="148"/>
      <c r="FN11" s="148"/>
      <c r="FO11" s="148"/>
      <c r="FP11" s="148"/>
      <c r="FQ11" s="148"/>
      <c r="FR11" s="148"/>
      <c r="FS11" s="148"/>
      <c r="FT11" s="148"/>
      <c r="FU11" s="148"/>
      <c r="FV11" s="148"/>
      <c r="FW11" s="148"/>
      <c r="FX11" s="148"/>
      <c r="FY11" s="148"/>
      <c r="FZ11" s="148"/>
      <c r="GA11" s="148"/>
      <c r="GB11" s="148"/>
      <c r="GC11" s="148"/>
      <c r="GD11" s="148"/>
      <c r="GE11" s="148"/>
      <c r="GF11" s="148"/>
      <c r="GG11" s="148"/>
      <c r="GH11" s="148"/>
      <c r="GI11" s="148"/>
      <c r="GJ11" s="148"/>
      <c r="GK11" s="148"/>
      <c r="GL11" s="148"/>
      <c r="GM11" s="148"/>
      <c r="GN11" s="148"/>
      <c r="GO11" s="148"/>
      <c r="GP11" s="148"/>
      <c r="GQ11" s="148"/>
      <c r="GR11" s="148"/>
      <c r="GS11" s="148"/>
      <c r="GT11" s="148"/>
      <c r="GU11" s="148"/>
      <c r="GV11" s="148"/>
      <c r="GW11" s="148"/>
      <c r="GX11" s="148"/>
      <c r="GY11" s="148"/>
      <c r="GZ11" s="148"/>
      <c r="HA11" s="148"/>
      <c r="HB11" s="148"/>
    </row>
    <row r="12" s="117" customFormat="true" ht="15.75" hidden="false" customHeight="true" outlineLevel="0" collapsed="false">
      <c r="A12" s="96"/>
      <c r="B12" s="97"/>
      <c r="C12" s="127"/>
      <c r="E12" s="154"/>
      <c r="F12" s="154"/>
      <c r="G12" s="154"/>
      <c r="H12" s="154"/>
      <c r="I12" s="154"/>
      <c r="J12" s="154"/>
      <c r="K12" s="154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148"/>
      <c r="FD12" s="148"/>
      <c r="FE12" s="148"/>
      <c r="FF12" s="148"/>
      <c r="FG12" s="148"/>
      <c r="FH12" s="148"/>
      <c r="FI12" s="148"/>
      <c r="FJ12" s="148"/>
      <c r="FK12" s="148"/>
      <c r="FL12" s="148"/>
      <c r="FM12" s="148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8"/>
      <c r="GC12" s="148"/>
      <c r="GD12" s="148"/>
      <c r="GE12" s="148"/>
      <c r="GF12" s="148"/>
      <c r="GG12" s="148"/>
      <c r="GH12" s="148"/>
      <c r="GI12" s="148"/>
      <c r="GJ12" s="148"/>
      <c r="GK12" s="148"/>
      <c r="GL12" s="148"/>
      <c r="GM12" s="148"/>
      <c r="GN12" s="148"/>
      <c r="GO12" s="148"/>
      <c r="GP12" s="148"/>
      <c r="GQ12" s="148"/>
      <c r="GR12" s="148"/>
      <c r="GS12" s="148"/>
      <c r="GT12" s="148"/>
      <c r="GU12" s="148"/>
      <c r="GV12" s="148"/>
      <c r="GW12" s="148"/>
      <c r="GX12" s="148"/>
      <c r="GY12" s="148"/>
      <c r="GZ12" s="148"/>
      <c r="HA12" s="148"/>
      <c r="HB12" s="148"/>
    </row>
    <row r="13" s="117" customFormat="true" ht="15.75" hidden="false" customHeight="true" outlineLevel="0" collapsed="false">
      <c r="A13" s="96"/>
      <c r="B13" s="97"/>
      <c r="C13" s="127"/>
      <c r="E13" s="154"/>
      <c r="F13" s="154"/>
      <c r="G13" s="154"/>
      <c r="H13" s="154"/>
      <c r="I13" s="154"/>
      <c r="J13" s="154"/>
      <c r="K13" s="154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8"/>
      <c r="EL13" s="148"/>
      <c r="EM13" s="148"/>
      <c r="EN13" s="148"/>
      <c r="EO13" s="148"/>
      <c r="EP13" s="148"/>
      <c r="EQ13" s="148"/>
      <c r="ER13" s="148"/>
      <c r="ES13" s="148"/>
      <c r="ET13" s="148"/>
      <c r="EU13" s="148"/>
      <c r="EV13" s="148"/>
      <c r="EW13" s="148"/>
      <c r="EX13" s="148"/>
      <c r="EY13" s="148"/>
      <c r="EZ13" s="148"/>
      <c r="FA13" s="148"/>
      <c r="FB13" s="148"/>
      <c r="FC13" s="148"/>
      <c r="FD13" s="148"/>
      <c r="FE13" s="148"/>
      <c r="FF13" s="148"/>
      <c r="FG13" s="148"/>
      <c r="FH13" s="148"/>
      <c r="FI13" s="148"/>
      <c r="FJ13" s="148"/>
      <c r="FK13" s="148"/>
      <c r="FL13" s="148"/>
      <c r="FM13" s="148"/>
      <c r="FN13" s="148"/>
      <c r="FO13" s="148"/>
      <c r="FP13" s="148"/>
      <c r="FQ13" s="148"/>
      <c r="FR13" s="148"/>
      <c r="FS13" s="148"/>
      <c r="FT13" s="148"/>
      <c r="FU13" s="148"/>
      <c r="FV13" s="148"/>
      <c r="FW13" s="148"/>
      <c r="FX13" s="148"/>
      <c r="FY13" s="148"/>
      <c r="FZ13" s="148"/>
      <c r="GA13" s="148"/>
      <c r="GB13" s="148"/>
      <c r="GC13" s="148"/>
      <c r="GD13" s="148"/>
      <c r="GE13" s="148"/>
      <c r="GF13" s="148"/>
      <c r="GG13" s="148"/>
      <c r="GH13" s="148"/>
      <c r="GI13" s="148"/>
      <c r="GJ13" s="148"/>
      <c r="GK13" s="148"/>
      <c r="GL13" s="148"/>
      <c r="GM13" s="148"/>
      <c r="GN13" s="148"/>
      <c r="GO13" s="148"/>
      <c r="GP13" s="148"/>
      <c r="GQ13" s="148"/>
      <c r="GR13" s="148"/>
      <c r="GS13" s="148"/>
      <c r="GT13" s="148"/>
      <c r="GU13" s="148"/>
      <c r="GV13" s="148"/>
      <c r="GW13" s="148"/>
      <c r="GX13" s="148"/>
      <c r="GY13" s="148"/>
      <c r="GZ13" s="148"/>
      <c r="HA13" s="148"/>
      <c r="HB13" s="148"/>
    </row>
    <row r="14" s="117" customFormat="true" ht="15.75" hidden="false" customHeight="true" outlineLevel="0" collapsed="false">
      <c r="A14" s="96"/>
      <c r="B14" s="97"/>
      <c r="C14" s="127"/>
      <c r="E14" s="154"/>
      <c r="F14" s="154"/>
      <c r="G14" s="154"/>
      <c r="H14" s="154"/>
      <c r="I14" s="154"/>
      <c r="J14" s="154"/>
      <c r="K14" s="154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8"/>
      <c r="EL14" s="148"/>
      <c r="EM14" s="148"/>
      <c r="EN14" s="148"/>
      <c r="EO14" s="148"/>
      <c r="EP14" s="148"/>
      <c r="EQ14" s="148"/>
      <c r="ER14" s="148"/>
      <c r="ES14" s="148"/>
      <c r="ET14" s="148"/>
      <c r="EU14" s="148"/>
      <c r="EV14" s="148"/>
      <c r="EW14" s="148"/>
      <c r="EX14" s="148"/>
      <c r="EY14" s="148"/>
      <c r="EZ14" s="148"/>
      <c r="FA14" s="148"/>
      <c r="FB14" s="148"/>
      <c r="FC14" s="148"/>
      <c r="FD14" s="148"/>
      <c r="FE14" s="148"/>
      <c r="FF14" s="148"/>
      <c r="FG14" s="148"/>
      <c r="FH14" s="148"/>
      <c r="FI14" s="148"/>
      <c r="FJ14" s="148"/>
      <c r="FK14" s="148"/>
      <c r="FL14" s="148"/>
      <c r="FM14" s="148"/>
      <c r="FN14" s="148"/>
      <c r="FO14" s="148"/>
      <c r="FP14" s="148"/>
      <c r="FQ14" s="148"/>
      <c r="FR14" s="148"/>
      <c r="FS14" s="148"/>
      <c r="FT14" s="148"/>
      <c r="FU14" s="148"/>
      <c r="FV14" s="148"/>
      <c r="FW14" s="148"/>
      <c r="FX14" s="148"/>
      <c r="FY14" s="148"/>
      <c r="FZ14" s="148"/>
      <c r="GA14" s="148"/>
      <c r="GB14" s="148"/>
      <c r="GC14" s="148"/>
      <c r="GD14" s="148"/>
      <c r="GE14" s="148"/>
      <c r="GF14" s="148"/>
      <c r="GG14" s="148"/>
      <c r="GH14" s="148"/>
      <c r="GI14" s="148"/>
      <c r="GJ14" s="148"/>
      <c r="GK14" s="148"/>
      <c r="GL14" s="148"/>
      <c r="GM14" s="148"/>
      <c r="GN14" s="148"/>
      <c r="GO14" s="148"/>
      <c r="GP14" s="148"/>
      <c r="GQ14" s="148"/>
      <c r="GR14" s="148"/>
      <c r="GS14" s="148"/>
      <c r="GT14" s="148"/>
      <c r="GU14" s="148"/>
      <c r="GV14" s="148"/>
      <c r="GW14" s="148"/>
      <c r="GX14" s="148"/>
      <c r="GY14" s="148"/>
      <c r="GZ14" s="148"/>
      <c r="HA14" s="148"/>
      <c r="HB14" s="148"/>
    </row>
    <row r="15" s="117" customFormat="true" ht="15.75" hidden="false" customHeight="true" outlineLevel="0" collapsed="false">
      <c r="A15" s="96"/>
      <c r="B15" s="97"/>
      <c r="C15" s="127"/>
      <c r="E15" s="154"/>
      <c r="F15" s="154"/>
      <c r="G15" s="154"/>
      <c r="H15" s="154"/>
      <c r="I15" s="154"/>
      <c r="J15" s="154"/>
      <c r="K15" s="154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8"/>
      <c r="EL15" s="148"/>
      <c r="EM15" s="148"/>
      <c r="EN15" s="148"/>
      <c r="EO15" s="148"/>
      <c r="EP15" s="148"/>
      <c r="EQ15" s="148"/>
      <c r="ER15" s="148"/>
      <c r="ES15" s="148"/>
      <c r="ET15" s="148"/>
      <c r="EU15" s="148"/>
      <c r="EV15" s="148"/>
      <c r="EW15" s="148"/>
      <c r="EX15" s="148"/>
      <c r="EY15" s="148"/>
      <c r="EZ15" s="148"/>
      <c r="FA15" s="148"/>
      <c r="FB15" s="148"/>
      <c r="FC15" s="148"/>
      <c r="FD15" s="148"/>
      <c r="FE15" s="148"/>
      <c r="FF15" s="148"/>
      <c r="FG15" s="148"/>
      <c r="FH15" s="148"/>
      <c r="FI15" s="148"/>
      <c r="FJ15" s="148"/>
      <c r="FK15" s="148"/>
      <c r="FL15" s="148"/>
      <c r="FM15" s="148"/>
      <c r="FN15" s="148"/>
      <c r="FO15" s="148"/>
      <c r="FP15" s="148"/>
      <c r="FQ15" s="148"/>
      <c r="FR15" s="148"/>
      <c r="FS15" s="148"/>
      <c r="FT15" s="148"/>
      <c r="FU15" s="148"/>
      <c r="FV15" s="148"/>
      <c r="FW15" s="148"/>
      <c r="FX15" s="148"/>
      <c r="FY15" s="148"/>
      <c r="FZ15" s="148"/>
      <c r="GA15" s="148"/>
      <c r="GB15" s="148"/>
      <c r="GC15" s="148"/>
      <c r="GD15" s="148"/>
      <c r="GE15" s="148"/>
      <c r="GF15" s="148"/>
      <c r="GG15" s="148"/>
      <c r="GH15" s="148"/>
      <c r="GI15" s="148"/>
      <c r="GJ15" s="148"/>
      <c r="GK15" s="148"/>
      <c r="GL15" s="148"/>
      <c r="GM15" s="148"/>
      <c r="GN15" s="148"/>
      <c r="GO15" s="148"/>
      <c r="GP15" s="148"/>
      <c r="GQ15" s="148"/>
      <c r="GR15" s="148"/>
      <c r="GS15" s="148"/>
      <c r="GT15" s="148"/>
      <c r="GU15" s="148"/>
      <c r="GV15" s="148"/>
      <c r="GW15" s="148"/>
      <c r="GX15" s="148"/>
      <c r="GY15" s="148"/>
      <c r="GZ15" s="148"/>
      <c r="HA15" s="148"/>
      <c r="HB15" s="148"/>
    </row>
    <row r="16" s="117" customFormat="true" ht="15.75" hidden="false" customHeight="true" outlineLevel="0" collapsed="false">
      <c r="A16" s="96"/>
      <c r="B16" s="97"/>
      <c r="C16" s="127"/>
      <c r="E16" s="154"/>
      <c r="F16" s="154"/>
      <c r="G16" s="154"/>
      <c r="H16" s="154"/>
      <c r="I16" s="154"/>
      <c r="J16" s="154"/>
      <c r="K16" s="154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8"/>
      <c r="EL16" s="148"/>
      <c r="EM16" s="148"/>
      <c r="EN16" s="148"/>
      <c r="EO16" s="148"/>
      <c r="EP16" s="148"/>
      <c r="EQ16" s="148"/>
      <c r="ER16" s="148"/>
      <c r="ES16" s="148"/>
      <c r="ET16" s="148"/>
      <c r="EU16" s="148"/>
      <c r="EV16" s="148"/>
      <c r="EW16" s="148"/>
      <c r="EX16" s="148"/>
      <c r="EY16" s="148"/>
      <c r="EZ16" s="148"/>
      <c r="FA16" s="148"/>
      <c r="FB16" s="148"/>
      <c r="FC16" s="148"/>
      <c r="FD16" s="148"/>
      <c r="FE16" s="148"/>
      <c r="FF16" s="148"/>
      <c r="FG16" s="148"/>
      <c r="FH16" s="148"/>
      <c r="FI16" s="148"/>
      <c r="FJ16" s="148"/>
      <c r="FK16" s="148"/>
      <c r="FL16" s="148"/>
      <c r="FM16" s="148"/>
      <c r="FN16" s="148"/>
      <c r="FO16" s="148"/>
      <c r="FP16" s="148"/>
      <c r="FQ16" s="148"/>
      <c r="FR16" s="148"/>
      <c r="FS16" s="148"/>
      <c r="FT16" s="148"/>
      <c r="FU16" s="148"/>
      <c r="FV16" s="148"/>
      <c r="FW16" s="148"/>
      <c r="FX16" s="148"/>
      <c r="FY16" s="148"/>
      <c r="FZ16" s="148"/>
      <c r="GA16" s="148"/>
      <c r="GB16" s="148"/>
      <c r="GC16" s="148"/>
      <c r="GD16" s="148"/>
      <c r="GE16" s="148"/>
      <c r="GF16" s="148"/>
      <c r="GG16" s="148"/>
      <c r="GH16" s="148"/>
      <c r="GI16" s="148"/>
      <c r="GJ16" s="148"/>
      <c r="GK16" s="148"/>
      <c r="GL16" s="148"/>
      <c r="GM16" s="148"/>
      <c r="GN16" s="148"/>
      <c r="GO16" s="148"/>
      <c r="GP16" s="148"/>
      <c r="GQ16" s="148"/>
      <c r="GR16" s="148"/>
      <c r="GS16" s="148"/>
      <c r="GT16" s="148"/>
      <c r="GU16" s="148"/>
      <c r="GV16" s="148"/>
      <c r="GW16" s="148"/>
      <c r="GX16" s="148"/>
      <c r="GY16" s="148"/>
      <c r="GZ16" s="148"/>
      <c r="HA16" s="148"/>
      <c r="HB16" s="148"/>
    </row>
    <row r="17" s="117" customFormat="true" ht="15.75" hidden="false" customHeight="true" outlineLevel="0" collapsed="false">
      <c r="A17" s="96"/>
      <c r="B17" s="97"/>
      <c r="C17" s="127"/>
      <c r="E17" s="154"/>
      <c r="F17" s="154"/>
      <c r="G17" s="154"/>
      <c r="H17" s="154"/>
      <c r="I17" s="154"/>
      <c r="J17" s="154"/>
      <c r="K17" s="154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8"/>
      <c r="EL17" s="148"/>
      <c r="EM17" s="148"/>
      <c r="EN17" s="148"/>
      <c r="EO17" s="148"/>
      <c r="EP17" s="148"/>
      <c r="EQ17" s="148"/>
      <c r="ER17" s="148"/>
      <c r="ES17" s="148"/>
      <c r="ET17" s="148"/>
      <c r="EU17" s="148"/>
      <c r="EV17" s="148"/>
      <c r="EW17" s="148"/>
      <c r="EX17" s="148"/>
      <c r="EY17" s="148"/>
      <c r="EZ17" s="148"/>
      <c r="FA17" s="148"/>
      <c r="FB17" s="148"/>
      <c r="FC17" s="148"/>
      <c r="FD17" s="148"/>
      <c r="FE17" s="148"/>
      <c r="FF17" s="148"/>
      <c r="FG17" s="148"/>
      <c r="FH17" s="148"/>
      <c r="FI17" s="148"/>
      <c r="FJ17" s="148"/>
      <c r="FK17" s="148"/>
      <c r="FL17" s="148"/>
      <c r="FM17" s="148"/>
      <c r="FN17" s="148"/>
      <c r="FO17" s="148"/>
      <c r="FP17" s="148"/>
      <c r="FQ17" s="148"/>
      <c r="FR17" s="148"/>
      <c r="FS17" s="148"/>
      <c r="FT17" s="148"/>
      <c r="FU17" s="148"/>
      <c r="FV17" s="148"/>
      <c r="FW17" s="148"/>
      <c r="FX17" s="148"/>
      <c r="FY17" s="148"/>
      <c r="FZ17" s="148"/>
      <c r="GA17" s="148"/>
      <c r="GB17" s="148"/>
      <c r="GC17" s="148"/>
      <c r="GD17" s="148"/>
      <c r="GE17" s="148"/>
      <c r="GF17" s="148"/>
      <c r="GG17" s="148"/>
      <c r="GH17" s="148"/>
      <c r="GI17" s="148"/>
      <c r="GJ17" s="148"/>
      <c r="GK17" s="148"/>
      <c r="GL17" s="148"/>
      <c r="GM17" s="148"/>
      <c r="GN17" s="148"/>
      <c r="GO17" s="148"/>
      <c r="GP17" s="148"/>
      <c r="GQ17" s="148"/>
      <c r="GR17" s="148"/>
      <c r="GS17" s="148"/>
      <c r="GT17" s="148"/>
      <c r="GU17" s="148"/>
      <c r="GV17" s="148"/>
      <c r="GW17" s="148"/>
      <c r="GX17" s="148"/>
      <c r="GY17" s="148"/>
      <c r="GZ17" s="148"/>
      <c r="HA17" s="148"/>
      <c r="HB17" s="148"/>
    </row>
    <row r="18" s="117" customFormat="true" ht="15.75" hidden="false" customHeight="true" outlineLevel="0" collapsed="false">
      <c r="A18" s="96"/>
      <c r="B18" s="97"/>
      <c r="C18" s="127"/>
      <c r="E18" s="154"/>
      <c r="F18" s="154"/>
      <c r="G18" s="154"/>
      <c r="H18" s="154"/>
      <c r="I18" s="154"/>
      <c r="J18" s="154"/>
      <c r="K18" s="154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8"/>
      <c r="EL18" s="148"/>
      <c r="EM18" s="148"/>
      <c r="EN18" s="148"/>
      <c r="EO18" s="148"/>
      <c r="EP18" s="148"/>
      <c r="EQ18" s="148"/>
      <c r="ER18" s="148"/>
      <c r="ES18" s="148"/>
      <c r="ET18" s="148"/>
      <c r="EU18" s="148"/>
      <c r="EV18" s="148"/>
      <c r="EW18" s="148"/>
      <c r="EX18" s="148"/>
      <c r="EY18" s="148"/>
      <c r="EZ18" s="148"/>
      <c r="FA18" s="148"/>
      <c r="FB18" s="148"/>
      <c r="FC18" s="148"/>
      <c r="FD18" s="148"/>
      <c r="FE18" s="148"/>
      <c r="FF18" s="148"/>
      <c r="FG18" s="148"/>
      <c r="FH18" s="148"/>
      <c r="FI18" s="148"/>
      <c r="FJ18" s="148"/>
      <c r="FK18" s="148"/>
      <c r="FL18" s="148"/>
      <c r="FM18" s="148"/>
      <c r="FN18" s="148"/>
      <c r="FO18" s="148"/>
      <c r="FP18" s="148"/>
      <c r="FQ18" s="148"/>
      <c r="FR18" s="148"/>
      <c r="FS18" s="148"/>
      <c r="FT18" s="148"/>
      <c r="FU18" s="148"/>
      <c r="FV18" s="148"/>
      <c r="FW18" s="148"/>
      <c r="FX18" s="148"/>
      <c r="FY18" s="148"/>
      <c r="FZ18" s="148"/>
      <c r="GA18" s="148"/>
      <c r="GB18" s="148"/>
      <c r="GC18" s="148"/>
      <c r="GD18" s="148"/>
      <c r="GE18" s="148"/>
      <c r="GF18" s="148"/>
      <c r="GG18" s="148"/>
      <c r="GH18" s="148"/>
      <c r="GI18" s="148"/>
      <c r="GJ18" s="148"/>
      <c r="GK18" s="148"/>
      <c r="GL18" s="148"/>
      <c r="GM18" s="148"/>
      <c r="GN18" s="148"/>
      <c r="GO18" s="148"/>
      <c r="GP18" s="148"/>
      <c r="GQ18" s="148"/>
      <c r="GR18" s="148"/>
      <c r="GS18" s="148"/>
      <c r="GT18" s="148"/>
      <c r="GU18" s="148"/>
      <c r="GV18" s="148"/>
      <c r="GW18" s="148"/>
      <c r="GX18" s="148"/>
      <c r="GY18" s="148"/>
      <c r="GZ18" s="148"/>
      <c r="HA18" s="148"/>
      <c r="HB18" s="148"/>
    </row>
    <row r="19" s="117" customFormat="true" ht="9" hidden="false" customHeight="true" outlineLevel="0" collapsed="false">
      <c r="A19" s="96"/>
      <c r="B19" s="97"/>
      <c r="C19" s="127"/>
      <c r="E19" s="154"/>
      <c r="F19" s="154"/>
      <c r="G19" s="154"/>
      <c r="H19" s="154"/>
      <c r="I19" s="154"/>
      <c r="J19" s="154"/>
      <c r="K19" s="154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8"/>
      <c r="EL19" s="148"/>
      <c r="EM19" s="148"/>
      <c r="EN19" s="148"/>
      <c r="EO19" s="148"/>
      <c r="EP19" s="148"/>
      <c r="EQ19" s="148"/>
      <c r="ER19" s="148"/>
      <c r="ES19" s="148"/>
      <c r="ET19" s="148"/>
      <c r="EU19" s="148"/>
      <c r="EV19" s="148"/>
      <c r="EW19" s="148"/>
      <c r="EX19" s="148"/>
      <c r="EY19" s="148"/>
      <c r="EZ19" s="148"/>
      <c r="FA19" s="148"/>
      <c r="FB19" s="148"/>
      <c r="FC19" s="148"/>
      <c r="FD19" s="148"/>
      <c r="FE19" s="148"/>
      <c r="FF19" s="148"/>
      <c r="FG19" s="148"/>
      <c r="FH19" s="148"/>
      <c r="FI19" s="148"/>
      <c r="FJ19" s="148"/>
      <c r="FK19" s="148"/>
      <c r="FL19" s="148"/>
      <c r="FM19" s="148"/>
      <c r="FN19" s="148"/>
      <c r="FO19" s="148"/>
      <c r="FP19" s="148"/>
      <c r="FQ19" s="148"/>
      <c r="FR19" s="148"/>
      <c r="FS19" s="148"/>
      <c r="FT19" s="148"/>
      <c r="FU19" s="148"/>
      <c r="FV19" s="148"/>
      <c r="FW19" s="148"/>
      <c r="FX19" s="148"/>
      <c r="FY19" s="148"/>
      <c r="FZ19" s="148"/>
      <c r="GA19" s="148"/>
      <c r="GB19" s="148"/>
      <c r="GC19" s="148"/>
      <c r="GD19" s="148"/>
      <c r="GE19" s="148"/>
      <c r="GF19" s="148"/>
      <c r="GG19" s="148"/>
      <c r="GH19" s="148"/>
      <c r="GI19" s="148"/>
      <c r="GJ19" s="148"/>
      <c r="GK19" s="148"/>
      <c r="GL19" s="148"/>
      <c r="GM19" s="148"/>
      <c r="GN19" s="148"/>
      <c r="GO19" s="148"/>
      <c r="GP19" s="148"/>
      <c r="GQ19" s="148"/>
      <c r="GR19" s="148"/>
      <c r="GS19" s="148"/>
      <c r="GT19" s="148"/>
      <c r="GU19" s="148"/>
      <c r="GV19" s="148"/>
      <c r="GW19" s="148"/>
      <c r="GX19" s="148"/>
      <c r="GY19" s="148"/>
      <c r="GZ19" s="148"/>
      <c r="HA19" s="148"/>
      <c r="HB19" s="148"/>
    </row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96</v>
      </c>
      <c r="K20" s="79"/>
      <c r="L20" s="79"/>
      <c r="M20" s="79" t="s">
        <v>97</v>
      </c>
      <c r="N20" s="79"/>
      <c r="O20" s="79"/>
      <c r="P20" s="79"/>
      <c r="Q20" s="79"/>
      <c r="R20" s="79"/>
      <c r="S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99</v>
      </c>
      <c r="E21" s="62" t="s">
        <v>100</v>
      </c>
      <c r="F21" s="62" t="s">
        <v>101</v>
      </c>
      <c r="G21" s="62" t="s">
        <v>102</v>
      </c>
      <c r="H21" s="62" t="s">
        <v>103</v>
      </c>
      <c r="I21" s="62" t="s">
        <v>104</v>
      </c>
      <c r="J21" s="62" t="s">
        <v>102</v>
      </c>
      <c r="K21" s="62" t="s">
        <v>103</v>
      </c>
      <c r="L21" s="62" t="s">
        <v>104</v>
      </c>
      <c r="M21" s="62" t="s">
        <v>99</v>
      </c>
      <c r="N21" s="62" t="s">
        <v>100</v>
      </c>
      <c r="O21" s="62" t="s">
        <v>101</v>
      </c>
      <c r="P21" s="62" t="s">
        <v>102</v>
      </c>
      <c r="Q21" s="62" t="s">
        <v>103</v>
      </c>
      <c r="R21" s="62" t="s">
        <v>104</v>
      </c>
      <c r="S21" s="78"/>
    </row>
    <row r="22" customFormat="false" ht="15.75" hidden="false" customHeight="true" outlineLevel="0" collapsed="false">
      <c r="A22" s="84" t="n">
        <f aca="false">'1. PL đường đen'!A12</f>
        <v>1</v>
      </c>
      <c r="B22" s="84" t="str">
        <f aca="false">'1. PL đường đen'!B12</f>
        <v>32</v>
      </c>
      <c r="C22" s="85" t="n">
        <f aca="false">'1. PL đường đen'!C12</f>
        <v>554.08</v>
      </c>
      <c r="D22" s="67" t="n">
        <v>5.25</v>
      </c>
      <c r="E22" s="67" t="n">
        <f aca="false">+D22+F22</f>
        <v>5.259</v>
      </c>
      <c r="F22" s="67" t="n">
        <f aca="false">RANDBETWEEN(-20,20)/1000</f>
        <v>0.009</v>
      </c>
      <c r="G22" s="67" t="n">
        <f aca="false">+J22-4.95*2%-(D22-4.95)*6%</f>
        <v>2.828</v>
      </c>
      <c r="H22" s="67" t="n">
        <f aca="false">G22+I22</f>
        <v>2.846</v>
      </c>
      <c r="I22" s="67" t="n">
        <f aca="false">RANDBETWEEN(-30,70)/1000</f>
        <v>0.018</v>
      </c>
      <c r="J22" s="67" t="n">
        <v>2.945</v>
      </c>
      <c r="K22" s="67" t="n">
        <f aca="false">J22+L22</f>
        <v>2.937</v>
      </c>
      <c r="L22" s="67" t="n">
        <f aca="false">RANDBETWEEN(-30,70)/1000</f>
        <v>-0.008</v>
      </c>
      <c r="M22" s="67" t="n">
        <f aca="false">D22</f>
        <v>5.25</v>
      </c>
      <c r="N22" s="67" t="n">
        <f aca="false">+M22+O22</f>
        <v>5.265</v>
      </c>
      <c r="O22" s="67" t="n">
        <f aca="false">RANDBETWEEN(-20,20)/1000</f>
        <v>0.015</v>
      </c>
      <c r="P22" s="67" t="n">
        <f aca="false">+J22-4.95*2%-(M22-4.95)*6%</f>
        <v>2.828</v>
      </c>
      <c r="Q22" s="67" t="n">
        <f aca="false">P22+R22</f>
        <v>2.843</v>
      </c>
      <c r="R22" s="67" t="n">
        <f aca="false">RANDBETWEEN(-20,20)/1000</f>
        <v>0.015</v>
      </c>
      <c r="S22" s="86"/>
      <c r="T22" s="137"/>
      <c r="V22" s="155"/>
    </row>
    <row r="23" customFormat="false" ht="15.75" hidden="false" customHeight="true" outlineLevel="0" collapsed="false">
      <c r="A23" s="84" t="n">
        <f aca="false">'1. PL đường đen'!A13</f>
        <v>2</v>
      </c>
      <c r="B23" s="84" t="str">
        <f aca="false">'1. PL đường đen'!B13</f>
        <v>33</v>
      </c>
      <c r="C23" s="85" t="n">
        <f aca="false">'1. PL đường đen'!C13</f>
        <v>569.48</v>
      </c>
      <c r="D23" s="67" t="n">
        <f aca="false">+D22</f>
        <v>5.25</v>
      </c>
      <c r="E23" s="67" t="n">
        <f aca="false">+D23+F23</f>
        <v>5.267</v>
      </c>
      <c r="F23" s="67" t="n">
        <f aca="false">RANDBETWEEN(-20,20)/1000</f>
        <v>0.017</v>
      </c>
      <c r="G23" s="67" t="n">
        <f aca="false">+J23-4.95*2%-(D23-4.95)*6%</f>
        <v>2.821</v>
      </c>
      <c r="H23" s="67" t="n">
        <f aca="false">G23+I23</f>
        <v>2.817</v>
      </c>
      <c r="I23" s="67" t="n">
        <f aca="false">RANDBETWEEN(-30,70)/1000</f>
        <v>-0.004</v>
      </c>
      <c r="J23" s="67" t="n">
        <v>2.938</v>
      </c>
      <c r="K23" s="67" t="n">
        <f aca="false">J23+L23</f>
        <v>2.943</v>
      </c>
      <c r="L23" s="67" t="n">
        <f aca="false">RANDBETWEEN(-30,70)/1000</f>
        <v>0.005</v>
      </c>
      <c r="M23" s="67" t="n">
        <f aca="false">D23</f>
        <v>5.25</v>
      </c>
      <c r="N23" s="67" t="n">
        <f aca="false">+M23+O23</f>
        <v>5.24</v>
      </c>
      <c r="O23" s="67" t="n">
        <f aca="false">RANDBETWEEN(-20,20)/1000</f>
        <v>-0.01</v>
      </c>
      <c r="P23" s="67" t="n">
        <f aca="false">+J23-4.95*2%-(M23-4.95)*6%</f>
        <v>2.821</v>
      </c>
      <c r="Q23" s="67" t="n">
        <f aca="false">P23+R23</f>
        <v>2.824</v>
      </c>
      <c r="R23" s="67" t="n">
        <f aca="false">RANDBETWEEN(-20,20)/1000</f>
        <v>0.003</v>
      </c>
      <c r="S23" s="86"/>
      <c r="T23" s="137"/>
      <c r="V23" s="155"/>
    </row>
    <row r="24" customFormat="false" ht="15.75" hidden="false" customHeight="true" outlineLevel="0" collapsed="false">
      <c r="A24" s="84" t="n">
        <f aca="false">'1. PL đường đen'!A14</f>
        <v>3</v>
      </c>
      <c r="B24" s="84" t="str">
        <f aca="false">'1. PL đường đen'!B14</f>
        <v>TD</v>
      </c>
      <c r="C24" s="85" t="n">
        <f aca="false">'1. PL đường đen'!C14</f>
        <v>573.12</v>
      </c>
      <c r="D24" s="67" t="n">
        <f aca="false">+D23</f>
        <v>5.25</v>
      </c>
      <c r="E24" s="67" t="n">
        <f aca="false">+D24+F24</f>
        <v>5.247</v>
      </c>
      <c r="F24" s="67" t="n">
        <f aca="false">RANDBETWEEN(-20,20)/1000</f>
        <v>-0.003</v>
      </c>
      <c r="G24" s="67" t="n">
        <f aca="false">+J24-4.95*2%-(D24-4.95)*6%</f>
        <v>2.82</v>
      </c>
      <c r="H24" s="67" t="n">
        <f aca="false">G24+I24</f>
        <v>2.851</v>
      </c>
      <c r="I24" s="67" t="n">
        <f aca="false">RANDBETWEEN(-30,70)/1000</f>
        <v>0.031</v>
      </c>
      <c r="J24" s="67" t="n">
        <v>2.937</v>
      </c>
      <c r="K24" s="67" t="n">
        <f aca="false">J24+L24</f>
        <v>2.993</v>
      </c>
      <c r="L24" s="67" t="n">
        <f aca="false">RANDBETWEEN(-30,70)/1000</f>
        <v>0.056</v>
      </c>
      <c r="M24" s="67" t="n">
        <f aca="false">D24</f>
        <v>5.25</v>
      </c>
      <c r="N24" s="67" t="n">
        <f aca="false">+M24+O24</f>
        <v>5.251</v>
      </c>
      <c r="O24" s="67" t="n">
        <f aca="false">RANDBETWEEN(-20,20)/1000</f>
        <v>0.001</v>
      </c>
      <c r="P24" s="67" t="n">
        <f aca="false">+J24-4.95*2%-(M24-4.95)*6%</f>
        <v>2.82</v>
      </c>
      <c r="Q24" s="67" t="n">
        <f aca="false">P24+R24</f>
        <v>2.838</v>
      </c>
      <c r="R24" s="67" t="n">
        <f aca="false">RANDBETWEEN(-20,20)/1000</f>
        <v>0.018</v>
      </c>
      <c r="S24" s="86"/>
      <c r="T24" s="137"/>
      <c r="V24" s="155"/>
    </row>
    <row r="25" customFormat="false" ht="15.75" hidden="false" customHeight="true" outlineLevel="0" collapsed="false">
      <c r="A25" s="84" t="n">
        <f aca="false">'1. PL đường đen'!A15</f>
        <v>4</v>
      </c>
      <c r="B25" s="84" t="str">
        <f aca="false">'1. PL đường đen'!B15</f>
        <v>P</v>
      </c>
      <c r="C25" s="85" t="n">
        <f aca="false">'1. PL đường đen'!C15</f>
        <v>579.68</v>
      </c>
      <c r="D25" s="67" t="n">
        <f aca="false">+D24</f>
        <v>5.25</v>
      </c>
      <c r="E25" s="67" t="n">
        <f aca="false">+D25+F25</f>
        <v>5.245</v>
      </c>
      <c r="F25" s="67" t="n">
        <f aca="false">RANDBETWEEN(-20,20)/1000</f>
        <v>-0.005</v>
      </c>
      <c r="G25" s="67" t="n">
        <f aca="false">+J25-4.95*2%-(D25-4.95)*6%</f>
        <v>2.819</v>
      </c>
      <c r="H25" s="67" t="n">
        <f aca="false">G25+I25</f>
        <v>2.873</v>
      </c>
      <c r="I25" s="67" t="n">
        <f aca="false">RANDBETWEEN(-30,70)/1000</f>
        <v>0.054</v>
      </c>
      <c r="J25" s="67" t="n">
        <v>2.936</v>
      </c>
      <c r="K25" s="67" t="n">
        <f aca="false">J25+L25</f>
        <v>2.939</v>
      </c>
      <c r="L25" s="67" t="n">
        <f aca="false">RANDBETWEEN(-30,70)/1000</f>
        <v>0.003</v>
      </c>
      <c r="M25" s="67" t="n">
        <f aca="false">D25</f>
        <v>5.25</v>
      </c>
      <c r="N25" s="67" t="n">
        <f aca="false">+M25+O25</f>
        <v>5.257</v>
      </c>
      <c r="O25" s="67" t="n">
        <f aca="false">RANDBETWEEN(-20,20)/1000</f>
        <v>0.007</v>
      </c>
      <c r="P25" s="67" t="n">
        <f aca="false">+J25-4.95*2%-(M25-4.95)*6%</f>
        <v>2.819</v>
      </c>
      <c r="Q25" s="67" t="n">
        <f aca="false">P25+R25</f>
        <v>2.82</v>
      </c>
      <c r="R25" s="67" t="n">
        <f aca="false">RANDBETWEEN(-20,20)/1000</f>
        <v>0.001</v>
      </c>
      <c r="S25" s="86"/>
      <c r="T25" s="137"/>
      <c r="V25" s="155"/>
    </row>
    <row r="26" customFormat="false" ht="15.75" hidden="false" customHeight="true" outlineLevel="0" collapsed="false">
      <c r="A26" s="84" t="n">
        <f aca="false">'1. PL đường đen'!A16</f>
        <v>5</v>
      </c>
      <c r="B26" s="84" t="str">
        <f aca="false">'1. PL đường đen'!B16</f>
        <v>E2</v>
      </c>
      <c r="C26" s="85" t="n">
        <f aca="false">'1. PL đường đen'!C16</f>
        <v>584.52</v>
      </c>
      <c r="D26" s="67" t="n">
        <f aca="false">+D25</f>
        <v>5.25</v>
      </c>
      <c r="E26" s="67" t="n">
        <f aca="false">+D26+F26</f>
        <v>5.262</v>
      </c>
      <c r="F26" s="67" t="n">
        <f aca="false">RANDBETWEEN(-20,20)/1000</f>
        <v>0.012</v>
      </c>
      <c r="G26" s="67" t="n">
        <f aca="false">+J26-4.95*2%-(D26-4.95)*6%</f>
        <v>2.818</v>
      </c>
      <c r="H26" s="67" t="n">
        <f aca="false">G26+I26</f>
        <v>2.798</v>
      </c>
      <c r="I26" s="67" t="n">
        <f aca="false">RANDBETWEEN(-30,70)/1000</f>
        <v>-0.02</v>
      </c>
      <c r="J26" s="67" t="n">
        <v>2.935</v>
      </c>
      <c r="K26" s="67" t="n">
        <f aca="false">J26+L26</f>
        <v>2.918</v>
      </c>
      <c r="L26" s="67" t="n">
        <f aca="false">RANDBETWEEN(-30,70)/1000</f>
        <v>-0.017</v>
      </c>
      <c r="M26" s="67" t="n">
        <f aca="false">D26</f>
        <v>5.25</v>
      </c>
      <c r="N26" s="67" t="n">
        <f aca="false">+M26+O26</f>
        <v>5.243</v>
      </c>
      <c r="O26" s="67" t="n">
        <f aca="false">RANDBETWEEN(-20,20)/1000</f>
        <v>-0.007</v>
      </c>
      <c r="P26" s="67" t="n">
        <f aca="false">+J26-4.95*2%-(M26-4.95)*6%</f>
        <v>2.818</v>
      </c>
      <c r="Q26" s="67" t="n">
        <f aca="false">P26+R26</f>
        <v>2.834</v>
      </c>
      <c r="R26" s="67" t="n">
        <f aca="false">RANDBETWEEN(-20,20)/1000</f>
        <v>0.016</v>
      </c>
      <c r="S26" s="86"/>
      <c r="T26" s="137"/>
      <c r="V26" s="155"/>
    </row>
    <row r="27" customFormat="false" ht="15.75" hidden="false" customHeight="true" outlineLevel="0" collapsed="false">
      <c r="A27" s="84" t="n">
        <f aca="false">'1. PL đường đen'!A17</f>
        <v>6</v>
      </c>
      <c r="B27" s="84" t="str">
        <f aca="false">'1. PL đường đen'!B17</f>
        <v>TC</v>
      </c>
      <c r="C27" s="85" t="n">
        <f aca="false">'1. PL đường đen'!C17</f>
        <v>586.23</v>
      </c>
      <c r="D27" s="67" t="n">
        <f aca="false">+D26</f>
        <v>5.25</v>
      </c>
      <c r="E27" s="67" t="n">
        <f aca="false">+D27+F27</f>
        <v>5.247</v>
      </c>
      <c r="F27" s="67" t="n">
        <f aca="false">RANDBETWEEN(-20,20)/1000</f>
        <v>-0.003</v>
      </c>
      <c r="G27" s="67" t="n">
        <f aca="false">+J27-4.95*2%-(D27-4.95)*6%</f>
        <v>2.817</v>
      </c>
      <c r="H27" s="67" t="n">
        <f aca="false">G27+I27</f>
        <v>2.862</v>
      </c>
      <c r="I27" s="67" t="n">
        <f aca="false">RANDBETWEEN(-30,70)/1000</f>
        <v>0.045</v>
      </c>
      <c r="J27" s="67" t="n">
        <v>2.934</v>
      </c>
      <c r="K27" s="67" t="n">
        <f aca="false">J27+L27</f>
        <v>3.002</v>
      </c>
      <c r="L27" s="67" t="n">
        <f aca="false">RANDBETWEEN(-30,70)/1000</f>
        <v>0.068</v>
      </c>
      <c r="M27" s="67" t="n">
        <f aca="false">D27</f>
        <v>5.25</v>
      </c>
      <c r="N27" s="67" t="n">
        <f aca="false">+M27+O27</f>
        <v>5.253</v>
      </c>
      <c r="O27" s="67" t="n">
        <f aca="false">RANDBETWEEN(-20,20)/1000</f>
        <v>0.003</v>
      </c>
      <c r="P27" s="67" t="n">
        <f aca="false">+J27-4.95*2%-(M27-4.95)*6%</f>
        <v>2.817</v>
      </c>
      <c r="Q27" s="67" t="n">
        <f aca="false">P27+R27</f>
        <v>2.803</v>
      </c>
      <c r="R27" s="67" t="n">
        <f aca="false">RANDBETWEEN(-20,20)/1000</f>
        <v>-0.014</v>
      </c>
      <c r="S27" s="86"/>
      <c r="T27" s="137"/>
      <c r="V27" s="155"/>
    </row>
    <row r="28" customFormat="false" ht="15.75" hidden="false" customHeight="true" outlineLevel="0" collapsed="false">
      <c r="A28" s="84" t="n">
        <f aca="false">'1. PL đường đen'!A18</f>
        <v>7</v>
      </c>
      <c r="B28" s="84" t="str">
        <f aca="false">'1. PL đường đen'!B18</f>
        <v>34</v>
      </c>
      <c r="C28" s="85" t="n">
        <f aca="false">'1. PL đường đen'!C18</f>
        <v>597.78</v>
      </c>
      <c r="D28" s="67" t="n">
        <f aca="false">+D27</f>
        <v>5.25</v>
      </c>
      <c r="E28" s="67" t="n">
        <f aca="false">+D28+F28</f>
        <v>5.259</v>
      </c>
      <c r="F28" s="67" t="n">
        <f aca="false">RANDBETWEEN(-20,20)/1000</f>
        <v>0.009</v>
      </c>
      <c r="G28" s="67" t="n">
        <f aca="false">+J28-4.95*2%-(D28-4.95)*6%</f>
        <v>2.815</v>
      </c>
      <c r="H28" s="67" t="n">
        <f aca="false">G28+I28</f>
        <v>2.846</v>
      </c>
      <c r="I28" s="67" t="n">
        <f aca="false">RANDBETWEEN(-30,70)/1000</f>
        <v>0.031</v>
      </c>
      <c r="J28" s="67" t="n">
        <v>2.932</v>
      </c>
      <c r="K28" s="67" t="n">
        <f aca="false">J28+L28</f>
        <v>2.941</v>
      </c>
      <c r="L28" s="67" t="n">
        <f aca="false">RANDBETWEEN(-30,70)/1000</f>
        <v>0.009</v>
      </c>
      <c r="M28" s="67" t="n">
        <f aca="false">D28</f>
        <v>5.25</v>
      </c>
      <c r="N28" s="67" t="n">
        <f aca="false">+M28+O28</f>
        <v>5.257</v>
      </c>
      <c r="O28" s="67" t="n">
        <f aca="false">RANDBETWEEN(-20,20)/1000</f>
        <v>0.007</v>
      </c>
      <c r="P28" s="67" t="n">
        <f aca="false">+J28-4.95*2%-(M28-4.95)*6%</f>
        <v>2.815</v>
      </c>
      <c r="Q28" s="67" t="n">
        <f aca="false">P28+R28</f>
        <v>2.835</v>
      </c>
      <c r="R28" s="67" t="n">
        <f aca="false">RANDBETWEEN(-20,20)/1000</f>
        <v>0.02</v>
      </c>
      <c r="S28" s="86"/>
      <c r="T28" s="137"/>
      <c r="V28" s="155"/>
    </row>
    <row r="29" customFormat="false" ht="15.75" hidden="false" customHeight="true" outlineLevel="0" collapsed="false">
      <c r="A29" s="84" t="n">
        <f aca="false">'1. PL đường đen'!A19</f>
        <v>8</v>
      </c>
      <c r="B29" s="84" t="str">
        <f aca="false">'1. PL đường đen'!B19</f>
        <v>35</v>
      </c>
      <c r="C29" s="85" t="n">
        <f aca="false">'1. PL đường đen'!C19</f>
        <v>614.78</v>
      </c>
      <c r="D29" s="67" t="n">
        <f aca="false">+D28</f>
        <v>5.25</v>
      </c>
      <c r="E29" s="67" t="n">
        <f aca="false">+D29+F29</f>
        <v>5.253</v>
      </c>
      <c r="F29" s="67" t="n">
        <f aca="false">RANDBETWEEN(-20,20)/1000</f>
        <v>0.003</v>
      </c>
      <c r="G29" s="67" t="n">
        <f aca="false">+J29-4.95*2%-(D29-4.95)*6%</f>
        <v>2.818</v>
      </c>
      <c r="H29" s="67" t="n">
        <f aca="false">G29+I29</f>
        <v>2.864</v>
      </c>
      <c r="I29" s="67" t="n">
        <f aca="false">RANDBETWEEN(-30,70)/1000</f>
        <v>0.046</v>
      </c>
      <c r="J29" s="67" t="n">
        <v>2.935</v>
      </c>
      <c r="K29" s="67" t="n">
        <f aca="false">J29+L29</f>
        <v>2.948</v>
      </c>
      <c r="L29" s="67" t="n">
        <f aca="false">RANDBETWEEN(-30,70)/1000</f>
        <v>0.013</v>
      </c>
      <c r="M29" s="67" t="n">
        <f aca="false">D29</f>
        <v>5.25</v>
      </c>
      <c r="N29" s="67" t="n">
        <f aca="false">+M29+O29</f>
        <v>5.244</v>
      </c>
      <c r="O29" s="67" t="n">
        <f aca="false">RANDBETWEEN(-20,20)/1000</f>
        <v>-0.006</v>
      </c>
      <c r="P29" s="67" t="n">
        <f aca="false">+J29-4.95*2%-(M29-4.95)*6%</f>
        <v>2.818</v>
      </c>
      <c r="Q29" s="67" t="n">
        <f aca="false">P29+R29</f>
        <v>2.817</v>
      </c>
      <c r="R29" s="67" t="n">
        <f aca="false">RANDBETWEEN(-20,20)/1000</f>
        <v>-0.001</v>
      </c>
      <c r="S29" s="86"/>
      <c r="T29" s="137"/>
      <c r="V29" s="155"/>
    </row>
    <row r="30" customFormat="false" ht="15.75" hidden="false" customHeight="true" outlineLevel="0" collapsed="false">
      <c r="A30" s="84" t="n">
        <f aca="false">'1. PL đường đen'!A20</f>
        <v>9</v>
      </c>
      <c r="B30" s="84" t="str">
        <f aca="false">'1. PL đường đen'!B20</f>
        <v>36</v>
      </c>
      <c r="C30" s="85" t="n">
        <f aca="false">'1. PL đường đen'!C20</f>
        <v>631.83</v>
      </c>
      <c r="D30" s="67" t="n">
        <f aca="false">+D29</f>
        <v>5.25</v>
      </c>
      <c r="E30" s="67" t="n">
        <f aca="false">+D30+F30</f>
        <v>5.248</v>
      </c>
      <c r="F30" s="67" t="n">
        <f aca="false">RANDBETWEEN(-20,20)/1000</f>
        <v>-0.002</v>
      </c>
      <c r="G30" s="67" t="n">
        <f aca="false">+J30-4.95*2%-(D30-4.95)*6%</f>
        <v>2.821</v>
      </c>
      <c r="H30" s="67" t="n">
        <f aca="false">G30+I30</f>
        <v>2.883</v>
      </c>
      <c r="I30" s="67" t="n">
        <f aca="false">RANDBETWEEN(-30,70)/1000</f>
        <v>0.062</v>
      </c>
      <c r="J30" s="67" t="n">
        <v>2.938</v>
      </c>
      <c r="K30" s="67" t="n">
        <f aca="false">J30+L30</f>
        <v>2.929</v>
      </c>
      <c r="L30" s="67" t="n">
        <f aca="false">RANDBETWEEN(-30,70)/1000</f>
        <v>-0.009</v>
      </c>
      <c r="M30" s="67" t="n">
        <f aca="false">D30</f>
        <v>5.25</v>
      </c>
      <c r="N30" s="67" t="n">
        <f aca="false">+M30+O30</f>
        <v>5.249</v>
      </c>
      <c r="O30" s="67" t="n">
        <f aca="false">RANDBETWEEN(-20,20)/1000</f>
        <v>-0.001</v>
      </c>
      <c r="P30" s="67" t="n">
        <f aca="false">+J30-4.95*2%-(M30-4.95)*6%</f>
        <v>2.821</v>
      </c>
      <c r="Q30" s="67" t="n">
        <f aca="false">P30+R30</f>
        <v>2.828</v>
      </c>
      <c r="R30" s="67" t="n">
        <f aca="false">RANDBETWEEN(-20,20)/1000</f>
        <v>0.007</v>
      </c>
      <c r="S30" s="86"/>
      <c r="T30" s="137"/>
      <c r="V30" s="155"/>
    </row>
    <row r="31" customFormat="false" ht="15.75" hidden="false" customHeight="true" outlineLevel="0" collapsed="false">
      <c r="A31" s="84" t="n">
        <f aca="false">'1. PL đường đen'!A21</f>
        <v>10</v>
      </c>
      <c r="B31" s="84" t="str">
        <f aca="false">'1. PL đường đen'!B21</f>
        <v>E9</v>
      </c>
      <c r="C31" s="85" t="n">
        <f aca="false">'1. PL đường đen'!C21</f>
        <v>643.53</v>
      </c>
      <c r="D31" s="67" t="n">
        <f aca="false">+D30</f>
        <v>5.25</v>
      </c>
      <c r="E31" s="67" t="n">
        <f aca="false">+D31+F31</f>
        <v>5.236</v>
      </c>
      <c r="F31" s="67" t="n">
        <f aca="false">RANDBETWEEN(-20,20)/1000</f>
        <v>-0.014</v>
      </c>
      <c r="G31" s="67" t="n">
        <f aca="false">+J31-4.95*2%-(D31-4.95)*6%</f>
        <v>2.823</v>
      </c>
      <c r="H31" s="67" t="n">
        <f aca="false">G31+I31</f>
        <v>2.828</v>
      </c>
      <c r="I31" s="67" t="n">
        <f aca="false">RANDBETWEEN(-30,70)/1000</f>
        <v>0.005</v>
      </c>
      <c r="J31" s="67" t="n">
        <v>2.94</v>
      </c>
      <c r="K31" s="67" t="n">
        <f aca="false">J31+L31</f>
        <v>3.004</v>
      </c>
      <c r="L31" s="67" t="n">
        <f aca="false">RANDBETWEEN(-30,70)/1000</f>
        <v>0.064</v>
      </c>
      <c r="M31" s="67" t="n">
        <f aca="false">D31</f>
        <v>5.25</v>
      </c>
      <c r="N31" s="67" t="n">
        <f aca="false">+M31+O31</f>
        <v>5.241</v>
      </c>
      <c r="O31" s="67" t="n">
        <f aca="false">RANDBETWEEN(-20,20)/1000</f>
        <v>-0.009</v>
      </c>
      <c r="P31" s="67" t="n">
        <f aca="false">+J31-4.95*2%-(M31-4.95)*6%</f>
        <v>2.823</v>
      </c>
      <c r="Q31" s="67" t="n">
        <f aca="false">P31+R31</f>
        <v>2.822</v>
      </c>
      <c r="R31" s="67" t="n">
        <f aca="false">RANDBETWEEN(-20,20)/1000</f>
        <v>-0.001</v>
      </c>
      <c r="S31" s="86"/>
      <c r="T31" s="137"/>
      <c r="V31" s="155"/>
    </row>
    <row r="32" customFormat="false" ht="15.75" hidden="false" customHeight="true" outlineLevel="0" collapsed="false">
      <c r="A32" s="84" t="n">
        <f aca="false">'1. PL đường đen'!A22</f>
        <v>11</v>
      </c>
      <c r="B32" s="84" t="str">
        <f aca="false">'1. PL đường đen'!B22</f>
        <v>37</v>
      </c>
      <c r="C32" s="85" t="n">
        <f aca="false">'1. PL đường đen'!C22</f>
        <v>655.28</v>
      </c>
      <c r="D32" s="67" t="n">
        <f aca="false">+D31</f>
        <v>5.25</v>
      </c>
      <c r="E32" s="67" t="n">
        <f aca="false">+D32+F32</f>
        <v>5.27</v>
      </c>
      <c r="F32" s="67" t="n">
        <f aca="false">RANDBETWEEN(-20,20)/1000</f>
        <v>0.02</v>
      </c>
      <c r="G32" s="67" t="n">
        <f aca="false">+J32-4.95*2%-(D32-4.95)*6%</f>
        <v>2.825</v>
      </c>
      <c r="H32" s="67" t="n">
        <f aca="false">G32+I32</f>
        <v>2.818</v>
      </c>
      <c r="I32" s="67" t="n">
        <f aca="false">RANDBETWEEN(-30,70)/1000</f>
        <v>-0.007</v>
      </c>
      <c r="J32" s="67" t="n">
        <v>2.942</v>
      </c>
      <c r="K32" s="67" t="n">
        <f aca="false">J32+L32</f>
        <v>2.94</v>
      </c>
      <c r="L32" s="67" t="n">
        <f aca="false">RANDBETWEEN(-30,70)/1000</f>
        <v>-0.002</v>
      </c>
      <c r="M32" s="67" t="n">
        <f aca="false">D32</f>
        <v>5.25</v>
      </c>
      <c r="N32" s="67" t="n">
        <f aca="false">+M32+O32</f>
        <v>5.262</v>
      </c>
      <c r="O32" s="67" t="n">
        <f aca="false">RANDBETWEEN(-20,20)/1000</f>
        <v>0.012</v>
      </c>
      <c r="P32" s="67" t="n">
        <f aca="false">+J32-4.95*2%-(M32-4.95)*6%</f>
        <v>2.825</v>
      </c>
      <c r="Q32" s="67" t="n">
        <f aca="false">P32+R32</f>
        <v>2.84</v>
      </c>
      <c r="R32" s="67" t="n">
        <f aca="false">RANDBETWEEN(-20,20)/1000</f>
        <v>0.015</v>
      </c>
      <c r="S32" s="86"/>
      <c r="T32" s="137"/>
      <c r="V32" s="155"/>
    </row>
    <row r="33" customFormat="false" ht="15.75" hidden="false" customHeight="true" outlineLevel="0" collapsed="false">
      <c r="A33" s="84" t="n">
        <f aca="false">'1. PL đường đen'!A23</f>
        <v>12</v>
      </c>
      <c r="B33" s="84" t="str">
        <f aca="false">'1. PL đường đen'!B23</f>
        <v>38</v>
      </c>
      <c r="C33" s="85" t="n">
        <f aca="false">'1. PL đường đen'!C23</f>
        <v>672.28</v>
      </c>
      <c r="D33" s="67" t="n">
        <f aca="false">+D32</f>
        <v>5.25</v>
      </c>
      <c r="E33" s="67" t="n">
        <f aca="false">+D33+F33</f>
        <v>5.251</v>
      </c>
      <c r="F33" s="67" t="n">
        <f aca="false">RANDBETWEEN(-20,20)/1000</f>
        <v>0.001</v>
      </c>
      <c r="G33" s="67" t="n">
        <f aca="false">+J33-4.95*2%-(D33-4.95)*6%</f>
        <v>2.828</v>
      </c>
      <c r="H33" s="67" t="n">
        <f aca="false">G33+I33</f>
        <v>2.891</v>
      </c>
      <c r="I33" s="67" t="n">
        <f aca="false">RANDBETWEEN(-30,70)/1000</f>
        <v>0.063</v>
      </c>
      <c r="J33" s="67" t="n">
        <v>2.945</v>
      </c>
      <c r="K33" s="67" t="n">
        <f aca="false">J33+L33</f>
        <v>2.977</v>
      </c>
      <c r="L33" s="67" t="n">
        <f aca="false">RANDBETWEEN(-30,70)/1000</f>
        <v>0.032</v>
      </c>
      <c r="M33" s="67" t="n">
        <f aca="false">D33</f>
        <v>5.25</v>
      </c>
      <c r="N33" s="67" t="n">
        <f aca="false">+M33+O33</f>
        <v>5.253</v>
      </c>
      <c r="O33" s="67" t="n">
        <f aca="false">RANDBETWEEN(-20,20)/1000</f>
        <v>0.003</v>
      </c>
      <c r="P33" s="67" t="n">
        <f aca="false">+J33-4.95*2%-(M33-4.95)*6%</f>
        <v>2.828</v>
      </c>
      <c r="Q33" s="67" t="n">
        <f aca="false">P33+R33</f>
        <v>2.836</v>
      </c>
      <c r="R33" s="67" t="n">
        <f aca="false">RANDBETWEEN(-20,20)/1000</f>
        <v>0.008</v>
      </c>
      <c r="S33" s="86"/>
      <c r="T33" s="137"/>
      <c r="V33" s="155"/>
    </row>
    <row r="34" customFormat="false" ht="15.75" hidden="true" customHeight="tru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86"/>
      <c r="T34" s="137"/>
      <c r="V34" s="155"/>
    </row>
    <row r="35" customFormat="false" ht="15.75" hidden="true" customHeight="tru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86"/>
      <c r="T35" s="137"/>
      <c r="V35" s="155"/>
    </row>
    <row r="36" customFormat="false" ht="15.75" hidden="true" customHeight="tru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86"/>
      <c r="T36" s="137"/>
      <c r="V36" s="155"/>
    </row>
    <row r="37" customFormat="false" ht="15.75" hidden="true" customHeight="tru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86"/>
      <c r="T37" s="137"/>
      <c r="V37" s="155"/>
    </row>
    <row r="38" customFormat="false" ht="15.75" hidden="true" customHeight="tru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86"/>
      <c r="T38" s="137"/>
      <c r="V38" s="155"/>
    </row>
    <row r="39" customFormat="false" ht="15.75" hidden="true" customHeight="tru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86"/>
      <c r="T39" s="137"/>
      <c r="V39" s="155"/>
    </row>
    <row r="40" customFormat="false" ht="15.75" hidden="true" customHeight="tru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86"/>
      <c r="T40" s="137"/>
      <c r="V40" s="155"/>
    </row>
    <row r="41" customFormat="false" ht="15.75" hidden="true" customHeight="tru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86"/>
      <c r="T41" s="137"/>
      <c r="V41" s="155"/>
    </row>
    <row r="42" customFormat="false" ht="15.75" hidden="true" customHeight="tru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86"/>
      <c r="T42" s="137"/>
      <c r="V42" s="155"/>
    </row>
    <row r="43" customFormat="false" ht="15.75" hidden="true" customHeight="tru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86"/>
      <c r="T43" s="137"/>
      <c r="V43" s="155"/>
    </row>
    <row r="44" customFormat="false" ht="15.75" hidden="true" customHeight="tru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86"/>
      <c r="T44" s="137"/>
      <c r="V44" s="155"/>
    </row>
    <row r="45" customFormat="false" ht="15.75" hidden="true" customHeight="tru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86"/>
      <c r="T45" s="137"/>
      <c r="V45" s="155"/>
    </row>
    <row r="46" customFormat="false" ht="15.75" hidden="true" customHeight="tru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86"/>
      <c r="T46" s="137"/>
      <c r="V46" s="155"/>
    </row>
    <row r="47" customFormat="false" ht="15.75" hidden="true" customHeight="tru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86"/>
      <c r="T47" s="137"/>
      <c r="V47" s="155"/>
    </row>
    <row r="48" customFormat="false" ht="15.75" hidden="true" customHeight="tru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86"/>
      <c r="T48" s="137"/>
      <c r="V48" s="155"/>
    </row>
    <row r="49" customFormat="false" ht="15.75" hidden="true" customHeight="tru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86"/>
      <c r="T49" s="137"/>
      <c r="V49" s="155"/>
    </row>
    <row r="50" customFormat="false" ht="15.75" hidden="true" customHeight="tru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86"/>
      <c r="T50" s="137"/>
      <c r="V50" s="155"/>
    </row>
    <row r="51" customFormat="false" ht="15.75" hidden="true" customHeight="tru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86"/>
      <c r="T51" s="137"/>
      <c r="V51" s="155"/>
    </row>
    <row r="52" customFormat="false" ht="15.75" hidden="true" customHeight="tru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86"/>
      <c r="T52" s="137"/>
      <c r="V52" s="155"/>
    </row>
    <row r="53" customFormat="false" ht="15.75" hidden="true" customHeight="tru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86"/>
      <c r="T53" s="137"/>
      <c r="V53" s="155"/>
    </row>
    <row r="54" customFormat="false" ht="15.75" hidden="true" customHeight="tru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86"/>
      <c r="T54" s="137"/>
      <c r="V54" s="155"/>
    </row>
    <row r="55" customFormat="false" ht="15.75" hidden="true" customHeight="tru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86"/>
      <c r="T55" s="137"/>
      <c r="V55" s="155"/>
    </row>
    <row r="56" customFormat="false" ht="15.75" hidden="true" customHeight="tru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86"/>
      <c r="T56" s="137"/>
      <c r="V56" s="155"/>
    </row>
    <row r="57" customFormat="false" ht="15.75" hidden="true" customHeight="tru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86"/>
      <c r="T57" s="137"/>
      <c r="V57" s="155"/>
    </row>
    <row r="58" customFormat="false" ht="15.7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86"/>
      <c r="T58" s="137"/>
      <c r="V58" s="155"/>
    </row>
    <row r="59" customFormat="false" ht="15.7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86"/>
      <c r="T59" s="137"/>
      <c r="V59" s="155"/>
    </row>
    <row r="60" s="89" customFormat="tru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88"/>
      <c r="M60" s="88"/>
      <c r="N60" s="88"/>
      <c r="O60" s="88"/>
    </row>
    <row r="61" s="89" customFormat="true" ht="14.25" hidden="false" customHeight="true" outlineLevel="0" collapsed="false">
      <c r="A61" s="71" t="s">
        <v>93</v>
      </c>
      <c r="B61" s="71"/>
      <c r="C61" s="71"/>
      <c r="D61" s="71"/>
      <c r="E61" s="71"/>
      <c r="F61" s="71"/>
      <c r="G61" s="71"/>
      <c r="H61" s="71"/>
      <c r="I61" s="87"/>
      <c r="J61" s="71" t="s">
        <v>94</v>
      </c>
      <c r="K61" s="71"/>
      <c r="L61" s="71"/>
      <c r="M61" s="71"/>
      <c r="N61" s="71"/>
      <c r="O61" s="71"/>
      <c r="P61" s="71"/>
      <c r="Q61" s="71"/>
      <c r="R61" s="71"/>
      <c r="S61" s="71"/>
      <c r="T61" s="87"/>
      <c r="U61" s="87"/>
      <c r="V61" s="87"/>
      <c r="W61" s="87"/>
      <c r="X61" s="87"/>
      <c r="Y61" s="87"/>
    </row>
    <row r="62" s="89" customFormat="true" ht="15" hidden="false" customHeight="true" outlineLevel="0" collapsed="false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</row>
    <row r="63" s="89" customFormat="true" ht="15" hidden="false" customHeight="true" outlineLevel="0" collapsed="false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</row>
    <row r="64" s="89" customFormat="true" ht="15" hidden="false" customHeight="true" outlineLevel="0" collapsed="false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</row>
    <row r="65" s="89" customFormat="true" ht="15" hidden="false" customHeight="true" outlineLevel="0" collapsed="false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</row>
    <row r="66" s="89" customFormat="true" ht="14.25" hidden="false" customHeight="true" outlineLevel="0" collapsed="false">
      <c r="A66" s="71" t="s">
        <v>29</v>
      </c>
      <c r="B66" s="71"/>
      <c r="C66" s="71"/>
      <c r="D66" s="71"/>
      <c r="E66" s="71"/>
      <c r="F66" s="71"/>
      <c r="G66" s="71"/>
      <c r="H66" s="71"/>
      <c r="I66" s="87"/>
      <c r="J66" s="71" t="s">
        <v>149</v>
      </c>
      <c r="K66" s="71"/>
      <c r="L66" s="71"/>
      <c r="M66" s="71"/>
      <c r="N66" s="71"/>
      <c r="O66" s="71"/>
      <c r="P66" s="71"/>
      <c r="Q66" s="71"/>
      <c r="R66" s="71"/>
      <c r="S66" s="71"/>
      <c r="T66" s="87"/>
      <c r="U66" s="87"/>
      <c r="V66" s="87"/>
      <c r="W66" s="87"/>
      <c r="X66" s="87"/>
      <c r="Y66" s="87"/>
    </row>
    <row r="67" s="89" customFormat="tru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88"/>
      <c r="M67" s="88"/>
      <c r="N67" s="88"/>
      <c r="O67" s="88"/>
    </row>
    <row r="68" s="89" customFormat="tru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88"/>
      <c r="M68" s="88"/>
      <c r="N68" s="88"/>
      <c r="O68" s="88"/>
    </row>
    <row r="69" s="89" customFormat="tru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88"/>
      <c r="M69" s="88"/>
      <c r="N69" s="88"/>
      <c r="O69" s="88"/>
    </row>
    <row r="70" s="89" customFormat="tru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88"/>
      <c r="M70" s="88"/>
      <c r="N70" s="88"/>
      <c r="O70" s="88"/>
    </row>
    <row r="71" s="89" customFormat="tru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88"/>
      <c r="M71" s="88"/>
      <c r="N71" s="88"/>
      <c r="O71" s="88"/>
    </row>
    <row r="72" s="89" customFormat="tru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88"/>
      <c r="M72" s="88"/>
      <c r="N72" s="88"/>
      <c r="O72" s="88"/>
    </row>
  </sheetData>
  <mergeCells count="18">
    <mergeCell ref="A1:S1"/>
    <mergeCell ref="A2:S2"/>
    <mergeCell ref="A3:S3"/>
    <mergeCell ref="A4:S4"/>
    <mergeCell ref="A5:S5"/>
    <mergeCell ref="A6:S6"/>
    <mergeCell ref="D7:S7"/>
    <mergeCell ref="A20:A21"/>
    <mergeCell ref="B20:B21"/>
    <mergeCell ref="C20:C21"/>
    <mergeCell ref="D20:I20"/>
    <mergeCell ref="J20:L20"/>
    <mergeCell ref="M20:R20"/>
    <mergeCell ref="S20:S21"/>
    <mergeCell ref="A61:H61"/>
    <mergeCell ref="J61:S61"/>
    <mergeCell ref="A66:H66"/>
    <mergeCell ref="J66:S66"/>
  </mergeCells>
  <printOptions headings="false" gridLines="false" gridLinesSet="true" horizontalCentered="false" verticalCentered="false"/>
  <pageMargins left="0.157638888888889" right="0.157638888888889" top="0.590277777777778" bottom="0.748611111111111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1.71"/>
    <col collapsed="false" customWidth="true" hidden="false" outlineLevel="0" max="4" min="4" style="89" width="6.57"/>
    <col collapsed="false" customWidth="true" hidden="false" outlineLevel="0" max="5" min="5" style="89" width="10.29"/>
    <col collapsed="false" customWidth="true" hidden="false" outlineLevel="0" max="6" min="6" style="89" width="7.57"/>
    <col collapsed="false" customWidth="true" hidden="false" outlineLevel="0" max="7" min="7" style="89" width="9"/>
    <col collapsed="false" customWidth="true" hidden="false" outlineLevel="0" max="9" min="8" style="89" width="10.29"/>
    <col collapsed="false" customWidth="true" hidden="false" outlineLevel="0" max="10" min="10" style="89" width="8.71"/>
    <col collapsed="false" customWidth="true" hidden="false" outlineLevel="0" max="11" min="11" style="89" width="4.86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5" min="15" style="88" width="10.42"/>
    <col collapsed="false" customWidth="true" hidden="false" outlineLevel="0" max="16" min="16" style="88" width="12.15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108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XD4'!$A$2:$G$60,7,0)&amp;VLOOKUP(L2,'Tuyến XD4'!$A$2:$G$60,4,0)</f>
        <v>Kèm theo BBNT số: 56.NĐXD4/CVXD ngày 19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56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29.25" hidden="false" customHeight="true" outlineLevel="0" collapsed="false">
      <c r="A7" s="96" t="s">
        <v>67</v>
      </c>
      <c r="B7" s="97"/>
      <c r="C7" s="127"/>
      <c r="D7" s="98" t="str">
        <f aca="false">VLOOKUP(L2,'Tuyến XD4'!$A$2:$B$60,2,0)</f>
        <v>Bê tông nhựa C16 - Chiều dày mặt đường đã lèn ép 6cm</v>
      </c>
      <c r="E7" s="98"/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142</v>
      </c>
      <c r="C9" s="100" t="s">
        <v>71</v>
      </c>
      <c r="D9" s="101" t="s">
        <v>109</v>
      </c>
      <c r="E9" s="101" t="s">
        <v>143</v>
      </c>
      <c r="F9" s="101"/>
      <c r="G9" s="101"/>
      <c r="H9" s="101" t="s">
        <v>144</v>
      </c>
      <c r="I9" s="101"/>
      <c r="J9" s="101"/>
      <c r="K9" s="105" t="s">
        <v>113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145</v>
      </c>
      <c r="F10" s="105" t="s">
        <v>146</v>
      </c>
      <c r="G10" s="105" t="s">
        <v>147</v>
      </c>
      <c r="H10" s="105" t="s">
        <v>145</v>
      </c>
      <c r="I10" s="105" t="s">
        <v>146</v>
      </c>
      <c r="J10" s="105" t="s">
        <v>148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32</v>
      </c>
      <c r="C11" s="65" t="n">
        <v>554.08</v>
      </c>
      <c r="D11" s="84" t="n">
        <f aca="false">'1. PL đường đen'!T12</f>
        <v>15.4</v>
      </c>
      <c r="E11" s="135" t="n">
        <v>10.5</v>
      </c>
      <c r="F11" s="135" t="n">
        <f aca="false">+E11+G11</f>
        <v>10.587</v>
      </c>
      <c r="G11" s="67" t="n">
        <f aca="false">RANDBETWEEN(-30,110)/1000</f>
        <v>0.087</v>
      </c>
      <c r="H11" s="110" t="n">
        <f aca="false">+(E11+E12)/2*D11</f>
        <v>161.7</v>
      </c>
      <c r="I11" s="110" t="n">
        <f aca="false">+(F11+F12)/2*D11</f>
        <v>162.7934</v>
      </c>
      <c r="J11" s="110" t="n">
        <f aca="false">+I11-H11</f>
        <v>1.09339999999997</v>
      </c>
      <c r="K11" s="111"/>
      <c r="M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33</v>
      </c>
      <c r="C12" s="65" t="n">
        <f aca="false">C11+D11</f>
        <v>569.48</v>
      </c>
      <c r="D12" s="84" t="n">
        <f aca="false">'1. PL đường đen'!T13</f>
        <v>3.64</v>
      </c>
      <c r="E12" s="135" t="n">
        <v>10.5</v>
      </c>
      <c r="F12" s="135" t="n">
        <f aca="false">+E12+G12</f>
        <v>10.555</v>
      </c>
      <c r="G12" s="67" t="n">
        <f aca="false">RANDBETWEEN(-30,110)/1000</f>
        <v>0.055</v>
      </c>
      <c r="H12" s="110" t="n">
        <f aca="false">+(E12+E13)/2*D12</f>
        <v>38.22</v>
      </c>
      <c r="I12" s="110" t="n">
        <f aca="false">+(F12+F13)/2*D12</f>
        <v>38.27278</v>
      </c>
      <c r="J12" s="110" t="n">
        <f aca="false">+I12-H12</f>
        <v>0.0527800000000056</v>
      </c>
      <c r="K12" s="111"/>
      <c r="M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TD</v>
      </c>
      <c r="C13" s="65" t="n">
        <f aca="false">C12+D12</f>
        <v>573.12</v>
      </c>
      <c r="D13" s="84" t="n">
        <f aca="false">'1. PL đường đen'!T14</f>
        <v>6.56</v>
      </c>
      <c r="E13" s="135" t="n">
        <v>10.5</v>
      </c>
      <c r="F13" s="135" t="n">
        <f aca="false">+E13+G13</f>
        <v>10.474</v>
      </c>
      <c r="G13" s="67" t="n">
        <f aca="false">RANDBETWEEN(-30,110)/1000</f>
        <v>-0.026</v>
      </c>
      <c r="H13" s="110" t="n">
        <f aca="false">+(E13+E14)/2*D13</f>
        <v>68.88</v>
      </c>
      <c r="I13" s="110" t="n">
        <f aca="false">+(F13+F14)/2*D13</f>
        <v>69.04072</v>
      </c>
      <c r="J13" s="110" t="n">
        <f aca="false">+I13-H13</f>
        <v>0.160719999999998</v>
      </c>
      <c r="K13" s="111"/>
      <c r="M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P</v>
      </c>
      <c r="C14" s="65" t="n">
        <f aca="false">C13+D13</f>
        <v>579.68</v>
      </c>
      <c r="D14" s="84" t="n">
        <f aca="false">'1. PL đường đen'!T15</f>
        <v>4.84</v>
      </c>
      <c r="E14" s="135" t="n">
        <v>10.5</v>
      </c>
      <c r="F14" s="135" t="n">
        <f aca="false">+E14+G14</f>
        <v>10.575</v>
      </c>
      <c r="G14" s="67" t="n">
        <f aca="false">RANDBETWEEN(-30,110)/1000</f>
        <v>0.075</v>
      </c>
      <c r="H14" s="110" t="n">
        <f aca="false">+(E14+E15)/2*D14</f>
        <v>50.82</v>
      </c>
      <c r="I14" s="110" t="n">
        <f aca="false">+(F14+F15)/2*D14</f>
        <v>51.22898</v>
      </c>
      <c r="J14" s="110" t="n">
        <f aca="false">+I14-H14</f>
        <v>0.408979999999993</v>
      </c>
      <c r="K14" s="111"/>
      <c r="M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E2</v>
      </c>
      <c r="C15" s="65" t="n">
        <f aca="false">C14+D14</f>
        <v>584.52</v>
      </c>
      <c r="D15" s="84" t="n">
        <f aca="false">'1. PL đường đen'!T16</f>
        <v>1.71</v>
      </c>
      <c r="E15" s="135" t="n">
        <v>10.5</v>
      </c>
      <c r="F15" s="135" t="n">
        <f aca="false">+E15+G15</f>
        <v>10.594</v>
      </c>
      <c r="G15" s="67" t="n">
        <f aca="false">RANDBETWEEN(-30,110)/1000</f>
        <v>0.094</v>
      </c>
      <c r="H15" s="110" t="n">
        <f aca="false">+(E15+E16)/2*D15</f>
        <v>17.955</v>
      </c>
      <c r="I15" s="110" t="n">
        <f aca="false">+(F15+F16)/2*D15</f>
        <v>18.017415</v>
      </c>
      <c r="J15" s="110" t="n">
        <f aca="false">+I15-H15</f>
        <v>0.0624150000000014</v>
      </c>
      <c r="K15" s="111"/>
      <c r="M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TC</v>
      </c>
      <c r="C16" s="65" t="n">
        <f aca="false">C15+D15</f>
        <v>586.23</v>
      </c>
      <c r="D16" s="84" t="n">
        <f aca="false">'1. PL đường đen'!T17</f>
        <v>11.55</v>
      </c>
      <c r="E16" s="135" t="n">
        <v>10.5</v>
      </c>
      <c r="F16" s="135" t="n">
        <f aca="false">+E16+G16</f>
        <v>10.479</v>
      </c>
      <c r="G16" s="67" t="n">
        <f aca="false">RANDBETWEEN(-30,110)/1000</f>
        <v>-0.021</v>
      </c>
      <c r="H16" s="110" t="n">
        <f aca="false">+(E16+E17)/2*D16</f>
        <v>121.275</v>
      </c>
      <c r="I16" s="110" t="n">
        <f aca="false">+(F16+F17)/2*D16</f>
        <v>121.419375</v>
      </c>
      <c r="J16" s="110" t="n">
        <f aca="false">+I16-H16</f>
        <v>0.144374999999997</v>
      </c>
      <c r="K16" s="111"/>
      <c r="M16" s="112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34</v>
      </c>
      <c r="C17" s="65" t="n">
        <f aca="false">C16+D16</f>
        <v>597.78</v>
      </c>
      <c r="D17" s="84" t="n">
        <f aca="false">'1. PL đường đen'!T18</f>
        <v>17</v>
      </c>
      <c r="E17" s="135" t="n">
        <v>10.5</v>
      </c>
      <c r="F17" s="135" t="n">
        <f aca="false">+E17+G17</f>
        <v>10.546</v>
      </c>
      <c r="G17" s="67" t="n">
        <f aca="false">RANDBETWEEN(-30,110)/1000</f>
        <v>0.046</v>
      </c>
      <c r="H17" s="110" t="n">
        <f aca="false">+(E17+E18)/2*D17</f>
        <v>178.5</v>
      </c>
      <c r="I17" s="110" t="n">
        <f aca="false">+(F17+F18)/2*D17</f>
        <v>179.6475</v>
      </c>
      <c r="J17" s="110" t="n">
        <f aca="false">+I17-H17</f>
        <v>1.14749999999998</v>
      </c>
      <c r="K17" s="111"/>
      <c r="M17" s="112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35</v>
      </c>
      <c r="C18" s="65" t="n">
        <f aca="false">C17+D17</f>
        <v>614.78</v>
      </c>
      <c r="D18" s="84" t="n">
        <f aca="false">'1. PL đường đen'!T19</f>
        <v>17.05</v>
      </c>
      <c r="E18" s="135" t="n">
        <v>10.5</v>
      </c>
      <c r="F18" s="135" t="n">
        <f aca="false">+E18+G18</f>
        <v>10.589</v>
      </c>
      <c r="G18" s="67" t="n">
        <f aca="false">RANDBETWEEN(-30,110)/1000</f>
        <v>0.089</v>
      </c>
      <c r="H18" s="110" t="n">
        <f aca="false">+(E18+E19)/2*D18</f>
        <v>179.025</v>
      </c>
      <c r="I18" s="110" t="n">
        <f aca="false">+(F18+F19)/2*D18</f>
        <v>179.937175</v>
      </c>
      <c r="J18" s="110" t="n">
        <f aca="false">+I18-H18</f>
        <v>0.912174999999991</v>
      </c>
      <c r="K18" s="111"/>
      <c r="M18" s="112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36</v>
      </c>
      <c r="C19" s="65" t="n">
        <f aca="false">C18+D18</f>
        <v>631.83</v>
      </c>
      <c r="D19" s="84" t="n">
        <f aca="false">'1. PL đường đen'!T20</f>
        <v>11.7</v>
      </c>
      <c r="E19" s="135" t="n">
        <v>10.5</v>
      </c>
      <c r="F19" s="135" t="n">
        <f aca="false">+E19+G19</f>
        <v>10.518</v>
      </c>
      <c r="G19" s="67" t="n">
        <f aca="false">RANDBETWEEN(-30,110)/1000</f>
        <v>0.018</v>
      </c>
      <c r="H19" s="110" t="n">
        <f aca="false">+(E19+E20)/2*D19</f>
        <v>122.85</v>
      </c>
      <c r="I19" s="110" t="n">
        <f aca="false">+(F19+F20)/2*D19</f>
        <v>123.58125</v>
      </c>
      <c r="J19" s="110" t="n">
        <f aca="false">+I19-H19</f>
        <v>0.731250000000003</v>
      </c>
      <c r="K19" s="111"/>
      <c r="M19" s="112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E9</v>
      </c>
      <c r="C20" s="65" t="n">
        <f aca="false">C19+D19</f>
        <v>643.53</v>
      </c>
      <c r="D20" s="84" t="n">
        <f aca="false">'1. PL đường đen'!T21</f>
        <v>11.75</v>
      </c>
      <c r="E20" s="135" t="n">
        <v>10.5</v>
      </c>
      <c r="F20" s="135" t="n">
        <f aca="false">+E20+G20</f>
        <v>10.607</v>
      </c>
      <c r="G20" s="67" t="n">
        <f aca="false">RANDBETWEEN(-30,110)/1000</f>
        <v>0.107</v>
      </c>
      <c r="H20" s="110" t="n">
        <f aca="false">+(E20+E21)/2*D20</f>
        <v>123.375</v>
      </c>
      <c r="I20" s="110" t="n">
        <f aca="false">+(F20+F21)/2*D20</f>
        <v>124.46775</v>
      </c>
      <c r="J20" s="110" t="n">
        <f aca="false">+I20-H20</f>
        <v>1.09275</v>
      </c>
      <c r="K20" s="111"/>
      <c r="M20" s="112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37</v>
      </c>
      <c r="C21" s="65" t="n">
        <f aca="false">C20+D20</f>
        <v>655.28</v>
      </c>
      <c r="D21" s="84" t="n">
        <f aca="false">'1. PL đường đen'!T22</f>
        <v>17</v>
      </c>
      <c r="E21" s="135" t="n">
        <v>10.5</v>
      </c>
      <c r="F21" s="135" t="n">
        <f aca="false">+E21+G21</f>
        <v>10.579</v>
      </c>
      <c r="G21" s="67" t="n">
        <f aca="false">RANDBETWEEN(-30,110)/1000</f>
        <v>0.079</v>
      </c>
      <c r="H21" s="110" t="n">
        <f aca="false">+(E21+E22)/2*D21</f>
        <v>178.5</v>
      </c>
      <c r="I21" s="110" t="n">
        <f aca="false">+(F21+F22)/2*D21</f>
        <v>180.081</v>
      </c>
      <c r="J21" s="110" t="n">
        <f aca="false">+I21-H21</f>
        <v>1.58099999999999</v>
      </c>
      <c r="K21" s="111"/>
      <c r="M21" s="112"/>
    </row>
    <row r="22" s="108" customFormat="true" ht="15" hidden="false" customHeight="true" outlineLevel="0" collapsed="false">
      <c r="A22" s="84" t="n">
        <v>12</v>
      </c>
      <c r="B22" s="84" t="str">
        <f aca="false">'1. PL đường đen'!B23</f>
        <v>38</v>
      </c>
      <c r="C22" s="65" t="n">
        <f aca="false">C21+D21</f>
        <v>672.28</v>
      </c>
      <c r="D22" s="84"/>
      <c r="E22" s="135" t="n">
        <v>10.5</v>
      </c>
      <c r="F22" s="135" t="n">
        <f aca="false">+E22+G22</f>
        <v>10.607</v>
      </c>
      <c r="G22" s="67" t="n">
        <f aca="false">RANDBETWEEN(-30,110)/1000</f>
        <v>0.107</v>
      </c>
      <c r="H22" s="110"/>
      <c r="I22" s="110"/>
      <c r="J22" s="110"/>
      <c r="K22" s="111"/>
      <c r="M22" s="112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67"/>
      <c r="H23" s="110"/>
      <c r="I23" s="110"/>
      <c r="J23" s="110"/>
      <c r="K23" s="111"/>
      <c r="M23" s="112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67"/>
      <c r="H24" s="110"/>
      <c r="I24" s="110"/>
      <c r="J24" s="110"/>
      <c r="K24" s="111"/>
      <c r="M24" s="112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67"/>
      <c r="H25" s="110"/>
      <c r="I25" s="110"/>
      <c r="J25" s="110"/>
      <c r="K25" s="111"/>
      <c r="M25" s="112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67"/>
      <c r="H26" s="110"/>
      <c r="I26" s="110"/>
      <c r="J26" s="110"/>
      <c r="K26" s="111"/>
      <c r="M26" s="112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67"/>
      <c r="H27" s="110"/>
      <c r="I27" s="110"/>
      <c r="J27" s="110"/>
      <c r="K27" s="111"/>
      <c r="M27" s="112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67"/>
      <c r="H28" s="110"/>
      <c r="I28" s="110"/>
      <c r="J28" s="110"/>
      <c r="K28" s="111"/>
      <c r="M28" s="112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67"/>
      <c r="H29" s="110"/>
      <c r="I29" s="110"/>
      <c r="J29" s="110"/>
      <c r="K29" s="111"/>
      <c r="M29" s="112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67"/>
      <c r="H30" s="110"/>
      <c r="I30" s="110"/>
      <c r="J30" s="110"/>
      <c r="K30" s="111"/>
      <c r="M30" s="112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67"/>
      <c r="H31" s="110"/>
      <c r="I31" s="110"/>
      <c r="J31" s="110"/>
      <c r="K31" s="111"/>
      <c r="M31" s="112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67"/>
      <c r="H32" s="110"/>
      <c r="I32" s="110"/>
      <c r="J32" s="110"/>
      <c r="K32" s="111"/>
      <c r="M32" s="112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67"/>
      <c r="H33" s="110"/>
      <c r="I33" s="110"/>
      <c r="J33" s="110"/>
      <c r="K33" s="111"/>
      <c r="M33" s="112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67"/>
      <c r="H34" s="110"/>
      <c r="I34" s="110"/>
      <c r="J34" s="110"/>
      <c r="K34" s="111"/>
      <c r="M34" s="112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67"/>
      <c r="H35" s="110"/>
      <c r="I35" s="110"/>
      <c r="J35" s="110"/>
      <c r="K35" s="111"/>
      <c r="M35" s="112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67"/>
      <c r="H36" s="110"/>
      <c r="I36" s="110"/>
      <c r="J36" s="110"/>
      <c r="K36" s="111"/>
      <c r="M36" s="112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67"/>
      <c r="H37" s="110"/>
      <c r="I37" s="110"/>
      <c r="J37" s="110"/>
      <c r="K37" s="111"/>
      <c r="M37" s="112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67"/>
      <c r="H38" s="110"/>
      <c r="I38" s="110"/>
      <c r="J38" s="110"/>
      <c r="K38" s="111"/>
      <c r="M38" s="112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67"/>
      <c r="H39" s="110"/>
      <c r="I39" s="110"/>
      <c r="J39" s="110"/>
      <c r="K39" s="111"/>
      <c r="M39" s="112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67"/>
      <c r="H40" s="110"/>
      <c r="I40" s="110"/>
      <c r="J40" s="110"/>
      <c r="K40" s="111"/>
      <c r="M40" s="112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67"/>
      <c r="H41" s="110"/>
      <c r="I41" s="110"/>
      <c r="J41" s="110"/>
      <c r="K41" s="111"/>
      <c r="M41" s="112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67"/>
      <c r="H42" s="110"/>
      <c r="I42" s="110"/>
      <c r="J42" s="110"/>
      <c r="K42" s="111"/>
      <c r="M42" s="112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67"/>
      <c r="H43" s="110"/>
      <c r="I43" s="110"/>
      <c r="J43" s="110"/>
      <c r="K43" s="111"/>
      <c r="M43" s="112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67"/>
      <c r="H44" s="110"/>
      <c r="I44" s="110"/>
      <c r="J44" s="110"/>
      <c r="K44" s="111"/>
      <c r="M44" s="112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67"/>
      <c r="H45" s="110"/>
      <c r="I45" s="110"/>
      <c r="J45" s="110"/>
      <c r="K45" s="111"/>
      <c r="M45" s="112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67"/>
      <c r="H46" s="110"/>
      <c r="I46" s="110"/>
      <c r="J46" s="110"/>
      <c r="K46" s="111"/>
      <c r="M46" s="112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M47" s="112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M48" s="112"/>
    </row>
    <row r="49" s="117" customFormat="true" ht="15" hidden="false" customHeight="true" outlineLevel="0" collapsed="false">
      <c r="A49" s="100" t="s">
        <v>119</v>
      </c>
      <c r="B49" s="100"/>
      <c r="C49" s="100"/>
      <c r="D49" s="100"/>
      <c r="E49" s="100"/>
      <c r="F49" s="100"/>
      <c r="G49" s="100"/>
      <c r="H49" s="151" t="n">
        <f aca="false">SUM(H11:H22)</f>
        <v>1241.1</v>
      </c>
      <c r="I49" s="151" t="n">
        <f aca="false">SUM(I11:I22)</f>
        <v>1248.487345</v>
      </c>
      <c r="J49" s="115" t="n">
        <f aca="false">+I49-H49</f>
        <v>7.38734499999987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93</v>
      </c>
      <c r="B51" s="71"/>
      <c r="C51" s="71"/>
      <c r="D51" s="71"/>
      <c r="F51" s="87"/>
      <c r="G51" s="71" t="s">
        <v>94</v>
      </c>
      <c r="H51" s="71"/>
      <c r="I51" s="71"/>
      <c r="J51" s="71"/>
      <c r="K51" s="87"/>
    </row>
    <row r="52" s="117" customFormat="true" ht="14.25" hidden="false" customHeight="true" outlineLevel="0" collapsed="false">
      <c r="A52" s="121"/>
      <c r="B52" s="121"/>
      <c r="C52" s="123"/>
      <c r="D52" s="123"/>
      <c r="E52" s="122"/>
      <c r="F52" s="122"/>
      <c r="G52" s="122"/>
      <c r="H52" s="122"/>
      <c r="I52" s="122"/>
      <c r="J52" s="122"/>
    </row>
    <row r="53" s="117" customFormat="true" ht="15" hidden="false" customHeight="true" outlineLevel="0" collapsed="false">
      <c r="A53" s="121"/>
      <c r="B53" s="121"/>
      <c r="C53" s="124"/>
      <c r="D53" s="124"/>
      <c r="E53" s="122"/>
      <c r="F53" s="122"/>
      <c r="G53" s="122"/>
      <c r="H53" s="122"/>
      <c r="I53" s="122"/>
      <c r="J53" s="122"/>
      <c r="N53" s="141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121"/>
      <c r="B56" s="121"/>
      <c r="C56" s="121"/>
      <c r="D56" s="122"/>
      <c r="E56" s="122"/>
      <c r="F56" s="122"/>
      <c r="G56" s="122"/>
      <c r="H56" s="122"/>
      <c r="I56" s="122"/>
      <c r="J56" s="122"/>
    </row>
    <row r="57" s="117" customFormat="true" ht="14.25" hidden="false" customHeight="true" outlineLevel="0" collapsed="false">
      <c r="A57" s="71" t="s">
        <v>29</v>
      </c>
      <c r="B57" s="71"/>
      <c r="C57" s="71"/>
      <c r="D57" s="71"/>
      <c r="F57" s="87"/>
      <c r="G57" s="71" t="s">
        <v>149</v>
      </c>
      <c r="H57" s="71"/>
      <c r="I57" s="71"/>
      <c r="J57" s="71"/>
      <c r="K57" s="87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s="106" customFormat="true" ht="15" hidden="false" customHeight="true" outlineLevel="0" collapsed="false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88"/>
      <c r="M134" s="88"/>
      <c r="N134" s="88"/>
      <c r="O134" s="88"/>
    </row>
  </sheetData>
  <mergeCells count="21">
    <mergeCell ref="A1:K1"/>
    <mergeCell ref="A2:K2"/>
    <mergeCell ref="A3:K3"/>
    <mergeCell ref="A4:K4"/>
    <mergeCell ref="A5:K5"/>
    <mergeCell ref="A6:K6"/>
    <mergeCell ref="D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C52:D52"/>
    <mergeCell ref="A57:D57"/>
    <mergeCell ref="G57:J57"/>
  </mergeCells>
  <printOptions headings="false" gridLines="false" gridLinesSet="true" horizontalCentered="false" verticalCentered="false"/>
  <pageMargins left="0.990277777777778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2024-09-07T02:40:39Z</dcterms:created>
  <dc:creator>Microsoft Cop.</dc:creator>
  <dc:description/>
  <dc:language>en-US</dc:language>
  <cp:lastModifiedBy>Microsoft Cop.</cp:lastModifiedBy>
  <cp:lastPrinted>2026-09-10T06:26:16Z</cp:lastPrinted>
  <dcterms:modified xsi:type="dcterms:W3CDTF">2026-10-13T10:12:19Z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