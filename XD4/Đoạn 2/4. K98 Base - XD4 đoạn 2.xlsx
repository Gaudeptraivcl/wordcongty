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<sst xmlns="http://schemas.openxmlformats.org/spreadsheetml/2006/main" count="304" uniqueCount="54">
  <si>
    <t xml:space="preserve">PHỤ LỤC KIỂM TRA CAO ĐỘ, KÍCH THƯỚC HÌNH HỌC</t>
  </si>
  <si>
    <t xml:space="preserve">Kèm theo BBNT số: 45.NĐXD4/CVXD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</si>
  <si>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</si>
  <si>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</si>
  <si>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</si>
  <si>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XD4</t>
  </si>
  <si>
    <t xml:space="preserve">- Đối tượng nghiệm thu:</t>
  </si>
  <si>
    <t xml:space="preserve">Đắp đất nền đường lớp 1, độ chặt K&gt;=0,98 đoạn từ Km0+554,08 - Km0+672,28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</si>
  <si>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</si>
  <si>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</si>
  <si>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</si>
  <si>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</si>
  <si>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</si>
  <si>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</si>
  <si>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</si>
  <si>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</si>
  <si>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</si>
  <si>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</si>
  <si>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</si>
  <si>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</si>
  <si>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</si>
  <si>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</si>
  <si>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</si>
  <si>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32</t>
  </si>
  <si>
    <t xml:space="preserve">33</t>
  </si>
  <si>
    <t xml:space="preserve">TD</t>
  </si>
  <si>
    <t xml:space="preserve">P</t>
  </si>
  <si>
    <t xml:space="preserve">E2</t>
  </si>
  <si>
    <t xml:space="preserve">TC</t>
  </si>
  <si>
    <t xml:space="preserve">34</t>
  </si>
  <si>
    <t xml:space="preserve">35</t>
  </si>
  <si>
    <t xml:space="preserve">36</t>
  </si>
  <si>
    <t xml:space="preserve">E9</t>
  </si>
  <si>
    <t xml:space="preserve">37</t>
  </si>
  <si>
    <t xml:space="preserve">38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</si>
  <si>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</si>
  <si>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</si>
  <si>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</si>
  <si>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</si>
  <si>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</si>
  <si>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</si>
  <si>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</si>
  <si>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</si>
  <si>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</si>
  <si>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</si>
  <si>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</si>
  <si>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</si>
  <si>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47.NĐXD4/CVXD ngày 08 tháng 09 năm 2026</t>
  </si>
  <si>
    <t xml:space="preserve">Đắp đất nền đường lớp 2, độ chặt K&gt;=0,98 đoạn từ Km0+554,08 - Km0+672,28</t>
  </si>
  <si>
    <t xml:space="preserve">Kèm theo BBNT số: 49.NĐXD4/CVXD ngày 09 tháng 09 năm 2026</t>
  </si>
  <si>
    <t xml:space="preserve">Đắp cấp phối đá dăm loại 2 đoạn từ Km0+554,08 - Km0+672,28</t>
  </si>
  <si>
    <t xml:space="preserve">Kèm theo BBNT số: 52.NĐXD4/CVXD ngày 10 tháng 09 năm 2026</t>
  </si>
  <si>
    <t xml:space="preserve">Đắp cấp phối đá dăm loại 1 đoạn từ Km0+554,08 - Km0+672,28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</si>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</sst>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Km0+554,08 -:- Km0+672,28</v>
          </cell>
          <cell r="D3" t="str">
            <v xml:space="preserve">ngày 29 tháng 08 năm 2026</v>
          </cell>
          <cell r="G3" t="str">
            <v xml:space="preserve">29.NĐXD4/CVXD </v>
          </cell>
        </row>
        <row r="4">
          <cell r="A4">
            <v>30</v>
          </cell>
          <cell r="B4" t="str">
            <v xml:space="preserve">Đào đất xử lý nền đường đoạn từ Km0+554,08 - Km0+672,28</v>
          </cell>
          <cell r="D4" t="str">
            <v xml:space="preserve">ngày 30 tháng 08 năm 2026</v>
          </cell>
          <cell r="G4" t="str">
            <v xml:space="preserve">30.NĐXD4/CVXD </v>
          </cell>
        </row>
        <row r="5">
          <cell r="A5">
            <v>31</v>
          </cell>
          <cell r="B5" t="str">
            <v xml:space="preserve">Rải vải địa kỹ thuật đoạn từ Km0+554,08 - Km0+672,28</v>
          </cell>
          <cell r="D5" t="str">
            <v xml:space="preserve">ngày 31 tháng 08 năm 2026</v>
          </cell>
          <cell r="G5" t="str">
            <v xml:space="preserve">31.NĐXD4/CVXD </v>
          </cell>
        </row>
        <row r="6">
          <cell r="A6">
            <v>32</v>
          </cell>
          <cell r="B6" t="str">
            <v xml:space="preserve">Đắp cát nền đường lớp 1 đoạn từ Km0+554,08 - Km0+672,28, độ chặt K&gt;=0,95</v>
          </cell>
          <cell r="D6" t="str">
            <v xml:space="preserve">ngày 31 tháng 08 năm 2026</v>
          </cell>
          <cell r="G6" t="str">
            <v xml:space="preserve">32.NĐXD4/CVXD </v>
          </cell>
        </row>
        <row r="7">
          <cell r="A7">
            <v>33</v>
          </cell>
          <cell r="B7" t="str">
            <v xml:space="preserve">Đắp cát nền đường lớp 2 đoạn từ Km0+554,08 - Km0+672,28, độ chặt K&gt;=0,95</v>
          </cell>
          <cell r="D7" t="str">
            <v xml:space="preserve">ngày 03 tháng 09 năm 2026</v>
          </cell>
          <cell r="G7" t="str">
            <v xml:space="preserve">33.NĐXD4/CVXD </v>
          </cell>
        </row>
        <row r="8">
          <cell r="A8">
            <v>34</v>
          </cell>
          <cell r="B8" t="str">
            <v xml:space="preserve">Đắp cát nền đường lớp 3 đoạn từ Km0+554,08 - Km0+672,28, độ chặt K&gt;=0,95</v>
          </cell>
          <cell r="D8" t="str">
            <v xml:space="preserve">ngày 03 tháng 09 năm 2026</v>
          </cell>
          <cell r="G8" t="str">
            <v xml:space="preserve">34.NĐXD4/CVXD </v>
          </cell>
        </row>
        <row r="9">
          <cell r="A9">
            <v>35</v>
          </cell>
          <cell r="B9" t="str">
            <v xml:space="preserve">Đắp cát nền đường lớp 4 đoạn từ Km0+554,08 - Km0+672,28, độ chặt K&gt;=0,95</v>
          </cell>
          <cell r="D9" t="str">
            <v xml:space="preserve">ngày 03 tháng 09 năm 2026</v>
          </cell>
          <cell r="G9" t="str">
            <v xml:space="preserve">35.NĐXD4/CVXD </v>
          </cell>
        </row>
        <row r="10">
          <cell r="A10">
            <v>36</v>
          </cell>
          <cell r="B10" t="str">
            <v xml:space="preserve">Đắp đất nền đường lớp 1 đoạn từ Km0+554,08 - Km0+672,28, độ chặt K&gt;=0,95</v>
          </cell>
          <cell r="D10" t="str">
            <v xml:space="preserve">ngày 03 tháng 09 năm 2026</v>
          </cell>
          <cell r="G10" t="str">
            <v xml:space="preserve">36.NĐXD4/CVXD </v>
          </cell>
        </row>
        <row r="11">
          <cell r="A11">
            <v>37</v>
          </cell>
          <cell r="B11" t="str">
            <v xml:space="preserve">Đắp đất nền đường lớp 2 đoạn từ Km0+554,08 - Km0+672,28, độ chặt K&gt;=0,95</v>
          </cell>
          <cell r="D11" t="str">
            <v xml:space="preserve">ngày 03 tháng 09 năm 2026</v>
          </cell>
          <cell r="G11" t="str">
            <v xml:space="preserve">37.NĐXD4/CVXD </v>
          </cell>
        </row>
        <row r="12">
          <cell r="A12">
            <v>38</v>
          </cell>
          <cell r="B12" t="str">
            <v xml:space="preserve">Đắp đất nền đường lớp 3 đoạn từ Km0+554,08 - Km0+672,28, độ chặt K&gt;=0,95</v>
          </cell>
          <cell r="D12" t="str">
            <v xml:space="preserve">ngày 03 tháng 09 năm 2026</v>
          </cell>
          <cell r="G12" t="str">
            <v xml:space="preserve">38.NĐXD4/CVXD </v>
          </cell>
        </row>
        <row r="13">
          <cell r="A13">
            <v>39</v>
          </cell>
          <cell r="B13" t="str">
            <v xml:space="preserve">Đắp đất nền đường lớp 4 đoạn từ Km0+554,08 - Km0+672,28, độ chặt K&gt;=0,95</v>
          </cell>
          <cell r="D13" t="str">
            <v xml:space="preserve">ngày 04 tháng 09 năm 2026</v>
          </cell>
          <cell r="G13" t="str">
            <v xml:space="preserve">39.NĐXD4/CVXD </v>
          </cell>
        </row>
        <row r="14">
          <cell r="A14">
            <v>40</v>
          </cell>
          <cell r="B14" t="str">
            <v xml:space="preserve">Đắp đất nền đường lớp 5 đoạn từ Km0+554,08 - Km0+672,28, độ chặt K&gt;=0,95</v>
          </cell>
          <cell r="D14" t="str">
            <v xml:space="preserve">ngày 04 tháng 09 năm 2026</v>
          </cell>
          <cell r="G14" t="str">
            <v xml:space="preserve">40.NĐXD4/CVXD </v>
          </cell>
        </row>
        <row r="15">
          <cell r="A15">
            <v>41</v>
          </cell>
          <cell r="B15" t="str">
            <v xml:space="preserve">Đắp đất nền đường lớp 6 đoạn từ Km0+554,08 - Km0+672,28, độ chặt K&gt;=0,95</v>
          </cell>
          <cell r="D15" t="str">
            <v xml:space="preserve">ngày 05 tháng 09 năm 2026</v>
          </cell>
          <cell r="G15" t="str">
            <v xml:space="preserve">41.NĐXD4/CVXD </v>
          </cell>
        </row>
        <row r="16">
          <cell r="A16">
            <v>42</v>
          </cell>
          <cell r="B16" t="str">
            <v xml:space="preserve">Đắp đất nền đường lớp 7 đoạn từ Km0+554,08 - Km0+672,28, độ chặt K&gt;=0,95</v>
          </cell>
          <cell r="D16" t="str">
            <v xml:space="preserve">ngày 05 tháng 09 năm 2026</v>
          </cell>
          <cell r="G16" t="str">
            <v xml:space="preserve">42.NĐXD4/CVXD </v>
          </cell>
        </row>
        <row r="17">
          <cell r="A17">
            <v>43</v>
          </cell>
          <cell r="B17" t="str">
            <v xml:space="preserve">Đắp đất nền đường lớp 8 đoạn từ Km0+554,08 - Km0+672,28, độ chặt K&gt;=0,95</v>
          </cell>
          <cell r="D17" t="str">
            <v xml:space="preserve">ngày 06 tháng 09 năm 2026</v>
          </cell>
          <cell r="G17" t="str">
            <v xml:space="preserve">43.NĐXD4/CVXD </v>
          </cell>
        </row>
        <row r="18">
          <cell r="A18">
            <v>44</v>
          </cell>
          <cell r="B18" t="str">
            <v xml:space="preserve">Đắp đất nền đường lớp 9 đoạn từ Km0+554,08 - Km0+672,28, độ chặt K&gt;=0,95</v>
          </cell>
          <cell r="D18" t="str">
            <v xml:space="preserve">ngày 06 tháng 09 năm 2026</v>
          </cell>
          <cell r="G18" t="str">
            <v xml:space="preserve">44.NĐXD4/CVXD </v>
          </cell>
        </row>
        <row r="19">
          <cell r="A19">
            <v>45</v>
          </cell>
          <cell r="B19" t="str">
            <v xml:space="preserve">Đắp đất nền đường lớp 1, độ chặt K&gt;=0,98 đoạn từ Km0+554,08 - Km0+672,28</v>
          </cell>
          <cell r="D19" t="str">
            <v xml:space="preserve">ngày 07 tháng 09 năm 2026</v>
          </cell>
          <cell r="G19" t="str">
            <v xml:space="preserve">45.NĐXD4/CVXD </v>
          </cell>
        </row>
        <row r="20">
          <cell r="A20">
            <v>46</v>
          </cell>
          <cell r="B20" t="str">
            <v xml:space="preserve">Đắp đất lề đường lớp 1, độ chặt K&gt;=0,95 đoạn từ Km0+554,08 - Km0+672,28</v>
          </cell>
          <cell r="D20" t="str">
            <v xml:space="preserve">ngày 07 tháng 09 năm 2026</v>
          </cell>
          <cell r="G20" t="str">
            <v xml:space="preserve">46.NĐXD4/CVXD </v>
          </cell>
        </row>
        <row r="21">
          <cell r="A21">
            <v>47</v>
          </cell>
          <cell r="B21" t="str">
            <v xml:space="preserve">Đắp đất nền đường lớp 2, độ chặt K&gt;=0,98 đoạn từ Km0+554,08 - Km0+672,28</v>
          </cell>
          <cell r="D21" t="str">
            <v xml:space="preserve">ngày 08 tháng 09 năm 2026</v>
          </cell>
          <cell r="G21" t="str">
            <v xml:space="preserve">47.NĐXD4/CVXD </v>
          </cell>
        </row>
        <row r="22">
          <cell r="A22">
            <v>48</v>
          </cell>
          <cell r="B22" t="str">
            <v xml:space="preserve">Đắp đất lề đường lớp 2, độ chặt K&gt;=0,95 đoạn từ Km0+554,08 - Km0+672,28</v>
          </cell>
          <cell r="D22" t="str">
            <v xml:space="preserve">ngày 08 tháng 09 năm 2026</v>
          </cell>
          <cell r="G22" t="str">
            <v xml:space="preserve">48.NĐXD4/CVXD </v>
          </cell>
        </row>
        <row r="23">
          <cell r="A23">
            <v>49</v>
          </cell>
          <cell r="B23" t="str">
            <v xml:space="preserve">Đắp cấp phối đá dăm loại 2 đoạn từ Km0+554,08 - Km0+672,28</v>
          </cell>
          <cell r="D23" t="str">
            <v xml:space="preserve">ngày 09 tháng 09 năm 2026</v>
          </cell>
          <cell r="G23" t="str">
            <v xml:space="preserve">49.NĐXD4/CVXD </v>
          </cell>
        </row>
        <row r="24">
          <cell r="A24">
            <v>50</v>
          </cell>
          <cell r="B24" t="str">
            <v xml:space="preserve">Đắp đất lề đường lớp 3, độ chặt K&gt;=0,95 đoạn từ Km0+554,08 - Km0+672,28</v>
          </cell>
          <cell r="D24" t="str">
            <v xml:space="preserve">ngày 09 tháng 09 năm 2026</v>
          </cell>
          <cell r="G24" t="str">
            <v xml:space="preserve">50.NĐXD4/CVXD </v>
          </cell>
        </row>
        <row r="25">
          <cell r="A25">
            <v>51</v>
          </cell>
          <cell r="B25" t="str">
            <v xml:space="preserve">Đắp đất lề đường lớp 4, độ chặt K&gt;=0,95 đoạn từ Km0+554,08 - Km0+672,28</v>
          </cell>
          <cell r="D25" t="str">
            <v xml:space="preserve">ngày 10 tháng 09 năm 2026</v>
          </cell>
          <cell r="G25" t="str">
            <v xml:space="preserve">51.NĐXD4/CVXD </v>
          </cell>
        </row>
        <row r="26">
          <cell r="A26">
            <v>52</v>
          </cell>
          <cell r="B26" t="str">
            <v xml:space="preserve">Đắp cấp phối đá dăm loại 1 đoạn từ Km0+554,08 - Km0+672,28</v>
          </cell>
          <cell r="D26" t="str">
            <v xml:space="preserve">ngày 10 tháng 09 năm 2026</v>
          </cell>
          <cell r="G26" t="str">
            <v xml:space="preserve">52.NĐXD4/CVXD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53.NĐXD4/CVXD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54.NĐXD4/CVXD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55.NĐXD4/CVXD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45.NĐXD4/CVXD ngày 07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45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1, độ chặt K&gt;=0,98 đoạn từ Km0+554,08 - Km0+672,28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554.08</v>
      </c>
      <c r="D23" s="16" t="n">
        <v>-5.25</v>
      </c>
      <c r="E23" s="16" t="n">
        <f aca="false">+D23+F23</f>
        <v>-5.258</v>
      </c>
      <c r="F23" s="16" t="n">
        <f aca="false">RANDBETWEEN(-105,115)/10000</f>
        <v>-0.008</v>
      </c>
      <c r="G23" s="16" t="n">
        <f aca="false">J23-4.95*2%-0.3*6%</f>
        <v>2.188</v>
      </c>
      <c r="H23" s="16" t="n">
        <f aca="false">G23+I23</f>
        <v>2.244</v>
      </c>
      <c r="I23" s="16" t="n">
        <f aca="false">RANDBETWEEN(-20,70)/1000</f>
        <v>0.056</v>
      </c>
      <c r="J23" s="16" t="n">
        <f aca="false">W23+0.25</f>
        <v>2.305</v>
      </c>
      <c r="K23" s="16" t="n">
        <f aca="false">J23+L23</f>
        <v>2.344</v>
      </c>
      <c r="L23" s="16" t="n">
        <f aca="false">RANDBETWEEN(-20,70)/1000</f>
        <v>0.039</v>
      </c>
      <c r="M23" s="16" t="n">
        <v>5.25</v>
      </c>
      <c r="N23" s="16" t="n">
        <f aca="false">+M23+O23</f>
        <v>5.2395</v>
      </c>
      <c r="O23" s="16" t="n">
        <f aca="false">RANDBETWEEN(-105,115)/10000</f>
        <v>-0.0105</v>
      </c>
      <c r="P23" s="16" t="n">
        <f aca="false">G23</f>
        <v>2.188</v>
      </c>
      <c r="Q23" s="16" t="n">
        <f aca="false">P23+R23</f>
        <v>2.248</v>
      </c>
      <c r="R23" s="16" t="n">
        <f aca="false">RANDBETWEEN(-20,70)/1000</f>
        <v>0.06</v>
      </c>
      <c r="S23" s="17"/>
      <c r="T23" s="18" t="n">
        <v>15.4</v>
      </c>
      <c r="V23" s="19"/>
      <c r="W23" s="20" t="n">
        <v>2.055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569.48</v>
      </c>
      <c r="D24" s="16" t="n">
        <v>-5.25</v>
      </c>
      <c r="E24" s="16" t="n">
        <f aca="false">+D24+F24</f>
        <v>-5.2412</v>
      </c>
      <c r="F24" s="16" t="n">
        <f aca="false">RANDBETWEEN(-105,115)/10000</f>
        <v>0.0088</v>
      </c>
      <c r="G24" s="16" t="n">
        <f aca="false">J24-4.95*2%-0.3*6%</f>
        <v>2.181</v>
      </c>
      <c r="H24" s="16" t="n">
        <f aca="false">G24+I24</f>
        <v>2.229</v>
      </c>
      <c r="I24" s="16" t="n">
        <f aca="false">RANDBETWEEN(-20,70)/1000</f>
        <v>0.048</v>
      </c>
      <c r="J24" s="16" t="n">
        <f aca="false">W24+0.25</f>
        <v>2.298</v>
      </c>
      <c r="K24" s="16" t="n">
        <f aca="false">J24+L24</f>
        <v>2.312</v>
      </c>
      <c r="L24" s="16" t="n">
        <f aca="false">RANDBETWEEN(-20,70)/1000</f>
        <v>0.014</v>
      </c>
      <c r="M24" s="16" t="n">
        <v>5.25</v>
      </c>
      <c r="N24" s="16" t="n">
        <f aca="false">+M24+O24</f>
        <v>5.2598</v>
      </c>
      <c r="O24" s="16" t="n">
        <f aca="false">RANDBETWEEN(-105,115)/10000</f>
        <v>0.0098</v>
      </c>
      <c r="P24" s="16" t="n">
        <f aca="false">G24</f>
        <v>2.181</v>
      </c>
      <c r="Q24" s="16" t="n">
        <f aca="false">P24+R24</f>
        <v>2.201</v>
      </c>
      <c r="R24" s="16" t="n">
        <f aca="false">RANDBETWEEN(-20,70)/1000</f>
        <v>0.02</v>
      </c>
      <c r="S24" s="17"/>
      <c r="T24" s="18" t="n">
        <v>3.64</v>
      </c>
      <c r="V24" s="19"/>
      <c r="W24" s="20" t="n">
        <v>2.048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573.12</v>
      </c>
      <c r="D25" s="16" t="n">
        <v>-5.25</v>
      </c>
      <c r="E25" s="16" t="n">
        <f aca="false">+D25+F25</f>
        <v>-5.2581</v>
      </c>
      <c r="F25" s="16" t="n">
        <f aca="false">RANDBETWEEN(-105,115)/10000</f>
        <v>-0.0081</v>
      </c>
      <c r="G25" s="16" t="n">
        <f aca="false">J25-4.95*2%-0.3*6%</f>
        <v>2.18</v>
      </c>
      <c r="H25" s="16" t="n">
        <f aca="false">G25+I25</f>
        <v>2.221</v>
      </c>
      <c r="I25" s="16" t="n">
        <f aca="false">RANDBETWEEN(-20,70)/1000</f>
        <v>0.041</v>
      </c>
      <c r="J25" s="16" t="n">
        <f aca="false">W25+0.25</f>
        <v>2.297</v>
      </c>
      <c r="K25" s="16" t="n">
        <f aca="false">J25+L25</f>
        <v>2.312</v>
      </c>
      <c r="L25" s="16" t="n">
        <f aca="false">RANDBETWEEN(-20,70)/1000</f>
        <v>0.015</v>
      </c>
      <c r="M25" s="16" t="n">
        <v>5.25</v>
      </c>
      <c r="N25" s="16" t="n">
        <f aca="false">+M25+O25</f>
        <v>5.2536</v>
      </c>
      <c r="O25" s="16" t="n">
        <f aca="false">RANDBETWEEN(-105,115)/10000</f>
        <v>0.0036</v>
      </c>
      <c r="P25" s="16" t="n">
        <f aca="false">G25</f>
        <v>2.18</v>
      </c>
      <c r="Q25" s="16" t="n">
        <f aca="false">P25+R25</f>
        <v>2.194</v>
      </c>
      <c r="R25" s="16" t="n">
        <f aca="false">RANDBETWEEN(-20,70)/1000</f>
        <v>0.014</v>
      </c>
      <c r="S25" s="17"/>
      <c r="T25" s="18" t="n">
        <v>6.56</v>
      </c>
      <c r="V25" s="19"/>
      <c r="W25" s="20" t="n">
        <v>2.047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579.68</v>
      </c>
      <c r="D26" s="16" t="n">
        <v>-5.25</v>
      </c>
      <c r="E26" s="16" t="n">
        <f aca="false">+D26+F26</f>
        <v>-5.2597</v>
      </c>
      <c r="F26" s="16" t="n">
        <f aca="false">RANDBETWEEN(-105,115)/10000</f>
        <v>-0.0097</v>
      </c>
      <c r="G26" s="16" t="n">
        <f aca="false">J26-4.95*2%-0.3*6%</f>
        <v>2.179</v>
      </c>
      <c r="H26" s="16" t="n">
        <f aca="false">G26+I26</f>
        <v>2.223</v>
      </c>
      <c r="I26" s="16" t="n">
        <f aca="false">RANDBETWEEN(-20,70)/1000</f>
        <v>0.044</v>
      </c>
      <c r="J26" s="16" t="n">
        <f aca="false">W26+0.25</f>
        <v>2.296</v>
      </c>
      <c r="K26" s="16" t="n">
        <f aca="false">J26+L26</f>
        <v>2.287</v>
      </c>
      <c r="L26" s="16" t="n">
        <f aca="false">RANDBETWEEN(-20,70)/1000</f>
        <v>-0.009</v>
      </c>
      <c r="M26" s="16" t="n">
        <v>5.25</v>
      </c>
      <c r="N26" s="16" t="n">
        <f aca="false">+M26+O26</f>
        <v>5.26</v>
      </c>
      <c r="O26" s="16" t="n">
        <f aca="false">RANDBETWEEN(-105,115)/10000</f>
        <v>0.01</v>
      </c>
      <c r="P26" s="16" t="n">
        <f aca="false">G26</f>
        <v>2.179</v>
      </c>
      <c r="Q26" s="16" t="n">
        <f aca="false">P26+R26</f>
        <v>2.208</v>
      </c>
      <c r="R26" s="16" t="n">
        <f aca="false">RANDBETWEEN(-20,70)/1000</f>
        <v>0.029</v>
      </c>
      <c r="S26" s="17"/>
      <c r="T26" s="18" t="n">
        <v>4.84</v>
      </c>
      <c r="V26" s="19"/>
      <c r="W26" s="20" t="n">
        <v>2.046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584.52</v>
      </c>
      <c r="D27" s="16" t="n">
        <v>-5.25</v>
      </c>
      <c r="E27" s="16" t="n">
        <f aca="false">+D27+F27</f>
        <v>-5.2537</v>
      </c>
      <c r="F27" s="16" t="n">
        <f aca="false">RANDBETWEEN(-105,115)/10000</f>
        <v>-0.0037</v>
      </c>
      <c r="G27" s="16" t="n">
        <f aca="false">J27-4.95*2%-0.3*6%</f>
        <v>2.178</v>
      </c>
      <c r="H27" s="16" t="n">
        <f aca="false">G27+I27</f>
        <v>2.19</v>
      </c>
      <c r="I27" s="16" t="n">
        <f aca="false">RANDBETWEEN(-20,70)/1000</f>
        <v>0.012</v>
      </c>
      <c r="J27" s="16" t="n">
        <f aca="false">W27+0.25</f>
        <v>2.295</v>
      </c>
      <c r="K27" s="16" t="n">
        <f aca="false">J27+L27</f>
        <v>2.303</v>
      </c>
      <c r="L27" s="16" t="n">
        <f aca="false">RANDBETWEEN(-20,70)/1000</f>
        <v>0.008</v>
      </c>
      <c r="M27" s="16" t="n">
        <v>5.25</v>
      </c>
      <c r="N27" s="16" t="n">
        <f aca="false">+M27+O27</f>
        <v>5.2536</v>
      </c>
      <c r="O27" s="16" t="n">
        <f aca="false">RANDBETWEEN(-105,115)/10000</f>
        <v>0.0036</v>
      </c>
      <c r="P27" s="16" t="n">
        <f aca="false">G27</f>
        <v>2.178</v>
      </c>
      <c r="Q27" s="16" t="n">
        <f aca="false">P27+R27</f>
        <v>2.245</v>
      </c>
      <c r="R27" s="16" t="n">
        <f aca="false">RANDBETWEEN(-20,70)/1000</f>
        <v>0.067</v>
      </c>
      <c r="S27" s="17"/>
      <c r="T27" s="18" t="n">
        <v>1.71</v>
      </c>
      <c r="V27" s="19"/>
      <c r="W27" s="20" t="n">
        <v>2.045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586.23</v>
      </c>
      <c r="D28" s="16" t="n">
        <v>-5.25</v>
      </c>
      <c r="E28" s="16" t="n">
        <f aca="false">+D28+F28</f>
        <v>-5.2578</v>
      </c>
      <c r="F28" s="16" t="n">
        <f aca="false">RANDBETWEEN(-105,115)/10000</f>
        <v>-0.0078</v>
      </c>
      <c r="G28" s="16" t="n">
        <f aca="false">J28-4.95*2%-0.3*6%</f>
        <v>2.177</v>
      </c>
      <c r="H28" s="16" t="n">
        <f aca="false">G28+I28</f>
        <v>2.217</v>
      </c>
      <c r="I28" s="16" t="n">
        <f aca="false">RANDBETWEEN(-20,70)/1000</f>
        <v>0.04</v>
      </c>
      <c r="J28" s="16" t="n">
        <f aca="false">W28+0.25</f>
        <v>2.294</v>
      </c>
      <c r="K28" s="16" t="n">
        <f aca="false">J28+L28</f>
        <v>2.338</v>
      </c>
      <c r="L28" s="16" t="n">
        <f aca="false">RANDBETWEEN(-20,70)/1000</f>
        <v>0.044</v>
      </c>
      <c r="M28" s="16" t="n">
        <v>5.25</v>
      </c>
      <c r="N28" s="16" t="n">
        <f aca="false">+M28+O28</f>
        <v>5.2429</v>
      </c>
      <c r="O28" s="16" t="n">
        <f aca="false">RANDBETWEEN(-105,115)/10000</f>
        <v>-0.0071</v>
      </c>
      <c r="P28" s="16" t="n">
        <f aca="false">G28</f>
        <v>2.177</v>
      </c>
      <c r="Q28" s="16" t="n">
        <f aca="false">P28+R28</f>
        <v>2.2</v>
      </c>
      <c r="R28" s="16" t="n">
        <f aca="false">RANDBETWEEN(-20,70)/1000</f>
        <v>0.023</v>
      </c>
      <c r="S28" s="17"/>
      <c r="T28" s="18" t="n">
        <v>11.55</v>
      </c>
      <c r="V28" s="19"/>
      <c r="W28" s="20" t="n">
        <v>2.044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597.78</v>
      </c>
      <c r="D29" s="16" t="n">
        <v>-5.25</v>
      </c>
      <c r="E29" s="16" t="n">
        <f aca="false">+D29+F29</f>
        <v>-5.245</v>
      </c>
      <c r="F29" s="16" t="n">
        <f aca="false">RANDBETWEEN(-105,115)/10000</f>
        <v>0.005</v>
      </c>
      <c r="G29" s="16" t="n">
        <f aca="false">J29-4.95*2%-0.3*6%</f>
        <v>2.175</v>
      </c>
      <c r="H29" s="16" t="n">
        <f aca="false">G29+I29</f>
        <v>2.16</v>
      </c>
      <c r="I29" s="16" t="n">
        <f aca="false">RANDBETWEEN(-20,70)/1000</f>
        <v>-0.015</v>
      </c>
      <c r="J29" s="16" t="n">
        <f aca="false">W29+0.25</f>
        <v>2.292</v>
      </c>
      <c r="K29" s="16" t="n">
        <f aca="false">J29+L29</f>
        <v>2.311</v>
      </c>
      <c r="L29" s="16" t="n">
        <f aca="false">RANDBETWEEN(-20,70)/1000</f>
        <v>0.019</v>
      </c>
      <c r="M29" s="16" t="n">
        <v>5.25</v>
      </c>
      <c r="N29" s="16" t="n">
        <f aca="false">+M29+O29</f>
        <v>5.2462</v>
      </c>
      <c r="O29" s="16" t="n">
        <f aca="false">RANDBETWEEN(-105,115)/10000</f>
        <v>-0.0038</v>
      </c>
      <c r="P29" s="16" t="n">
        <f aca="false">G29</f>
        <v>2.175</v>
      </c>
      <c r="Q29" s="16" t="n">
        <f aca="false">P29+R29</f>
        <v>2.173</v>
      </c>
      <c r="R29" s="16" t="n">
        <f aca="false">RANDBETWEEN(-20,70)/1000</f>
        <v>-0.002</v>
      </c>
      <c r="S29" s="17"/>
      <c r="T29" s="18" t="n">
        <v>17</v>
      </c>
      <c r="V29" s="19"/>
      <c r="W29" s="20" t="n">
        <v>2.042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614.78</v>
      </c>
      <c r="D30" s="16" t="n">
        <v>-5.25</v>
      </c>
      <c r="E30" s="16" t="n">
        <f aca="false">+D30+F30</f>
        <v>-5.2449</v>
      </c>
      <c r="F30" s="16" t="n">
        <f aca="false">RANDBETWEEN(-105,115)/10000</f>
        <v>0.0051</v>
      </c>
      <c r="G30" s="16" t="n">
        <f aca="false">J30-4.95*2%-0.3*6%</f>
        <v>2.178</v>
      </c>
      <c r="H30" s="16" t="n">
        <f aca="false">G30+I30</f>
        <v>2.246</v>
      </c>
      <c r="I30" s="16" t="n">
        <f aca="false">RANDBETWEEN(-20,70)/1000</f>
        <v>0.068</v>
      </c>
      <c r="J30" s="16" t="n">
        <f aca="false">W30+0.25</f>
        <v>2.295</v>
      </c>
      <c r="K30" s="16" t="n">
        <f aca="false">J30+L30</f>
        <v>2.323</v>
      </c>
      <c r="L30" s="16" t="n">
        <f aca="false">RANDBETWEEN(-20,70)/1000</f>
        <v>0.028</v>
      </c>
      <c r="M30" s="16" t="n">
        <v>5.25</v>
      </c>
      <c r="N30" s="16" t="n">
        <f aca="false">+M30+O30</f>
        <v>5.2426</v>
      </c>
      <c r="O30" s="16" t="n">
        <f aca="false">RANDBETWEEN(-105,115)/10000</f>
        <v>-0.0074</v>
      </c>
      <c r="P30" s="16" t="n">
        <f aca="false">G30</f>
        <v>2.178</v>
      </c>
      <c r="Q30" s="16" t="n">
        <f aca="false">P30+R30</f>
        <v>2.221</v>
      </c>
      <c r="R30" s="16" t="n">
        <f aca="false">RANDBETWEEN(-20,70)/1000</f>
        <v>0.043</v>
      </c>
      <c r="S30" s="17"/>
      <c r="T30" s="18" t="n">
        <v>17.05</v>
      </c>
      <c r="V30" s="19"/>
      <c r="W30" s="20" t="n">
        <v>2.045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631.83</v>
      </c>
      <c r="D31" s="16" t="n">
        <v>-5.25</v>
      </c>
      <c r="E31" s="16" t="n">
        <f aca="false">+D31+F31</f>
        <v>-5.2576</v>
      </c>
      <c r="F31" s="16" t="n">
        <f aca="false">RANDBETWEEN(-105,115)/10000</f>
        <v>-0.0076</v>
      </c>
      <c r="G31" s="16" t="n">
        <f aca="false">J31-4.95*2%-0.3*6%</f>
        <v>2.181</v>
      </c>
      <c r="H31" s="16" t="n">
        <f aca="false">G31+I31</f>
        <v>2.182</v>
      </c>
      <c r="I31" s="16" t="n">
        <f aca="false">RANDBETWEEN(-20,70)/1000</f>
        <v>0.001</v>
      </c>
      <c r="J31" s="16" t="n">
        <f aca="false">W31+0.25</f>
        <v>2.298</v>
      </c>
      <c r="K31" s="16" t="n">
        <f aca="false">J31+L31</f>
        <v>2.317</v>
      </c>
      <c r="L31" s="16" t="n">
        <f aca="false">RANDBETWEEN(-20,70)/1000</f>
        <v>0.019</v>
      </c>
      <c r="M31" s="16" t="n">
        <v>5.25</v>
      </c>
      <c r="N31" s="16" t="n">
        <f aca="false">+M31+O31</f>
        <v>5.2605</v>
      </c>
      <c r="O31" s="16" t="n">
        <f aca="false">RANDBETWEEN(-105,115)/10000</f>
        <v>0.0105</v>
      </c>
      <c r="P31" s="16" t="n">
        <f aca="false">G31</f>
        <v>2.181</v>
      </c>
      <c r="Q31" s="16" t="n">
        <f aca="false">P31+R31</f>
        <v>2.183</v>
      </c>
      <c r="R31" s="16" t="n">
        <f aca="false">RANDBETWEEN(-20,70)/1000</f>
        <v>0.002</v>
      </c>
      <c r="S31" s="17"/>
      <c r="T31" s="18" t="n">
        <v>11.7</v>
      </c>
      <c r="V31" s="19"/>
      <c r="W31" s="20" t="n">
        <v>2.048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643.53</v>
      </c>
      <c r="D32" s="16" t="n">
        <v>-5.25</v>
      </c>
      <c r="E32" s="16" t="n">
        <f aca="false">+D32+F32</f>
        <v>-5.2563</v>
      </c>
      <c r="F32" s="16" t="n">
        <f aca="false">RANDBETWEEN(-105,115)/10000</f>
        <v>-0.0063</v>
      </c>
      <c r="G32" s="16" t="n">
        <f aca="false">J32-4.95*2%-0.3*6%</f>
        <v>2.183</v>
      </c>
      <c r="H32" s="16" t="n">
        <f aca="false">G32+I32</f>
        <v>2.236</v>
      </c>
      <c r="I32" s="16" t="n">
        <f aca="false">RANDBETWEEN(-20,70)/1000</f>
        <v>0.053</v>
      </c>
      <c r="J32" s="16" t="n">
        <f aca="false">W32+0.25</f>
        <v>2.3</v>
      </c>
      <c r="K32" s="16" t="n">
        <f aca="false">J32+L32</f>
        <v>2.321</v>
      </c>
      <c r="L32" s="16" t="n">
        <f aca="false">RANDBETWEEN(-20,70)/1000</f>
        <v>0.021</v>
      </c>
      <c r="M32" s="16" t="n">
        <v>5.25</v>
      </c>
      <c r="N32" s="16" t="n">
        <f aca="false">+M32+O32</f>
        <v>5.2484</v>
      </c>
      <c r="O32" s="16" t="n">
        <f aca="false">RANDBETWEEN(-105,115)/10000</f>
        <v>-0.0016</v>
      </c>
      <c r="P32" s="16" t="n">
        <f aca="false">G32</f>
        <v>2.183</v>
      </c>
      <c r="Q32" s="16" t="n">
        <f aca="false">P32+R32</f>
        <v>2.226</v>
      </c>
      <c r="R32" s="16" t="n">
        <f aca="false">RANDBETWEEN(-20,70)/1000</f>
        <v>0.043</v>
      </c>
      <c r="S32" s="17"/>
      <c r="T32" s="18" t="n">
        <v>11.75</v>
      </c>
      <c r="V32" s="19"/>
      <c r="W32" s="20" t="n">
        <v>2.05</v>
      </c>
    </row>
    <row r="33" s="10" customFormat="true" ht="18" hidden="false" customHeight="true" outlineLevel="0" collapsed="false">
      <c r="A33" s="13" t="n">
        <v>11</v>
      </c>
      <c r="B33" s="14" t="s">
        <v>33</v>
      </c>
      <c r="C33" s="15" t="n">
        <f aca="false">+C32+T32</f>
        <v>655.28</v>
      </c>
      <c r="D33" s="16" t="n">
        <v>-5.25</v>
      </c>
      <c r="E33" s="16" t="n">
        <f aca="false">+D33+F33</f>
        <v>-5.2397</v>
      </c>
      <c r="F33" s="16" t="n">
        <f aca="false">RANDBETWEEN(-105,115)/10000</f>
        <v>0.0103</v>
      </c>
      <c r="G33" s="16" t="n">
        <f aca="false">J33-4.95*2%-0.3*6%</f>
        <v>2.185</v>
      </c>
      <c r="H33" s="16" t="n">
        <f aca="false">G33+I33</f>
        <v>2.231</v>
      </c>
      <c r="I33" s="16" t="n">
        <f aca="false">RANDBETWEEN(-20,70)/1000</f>
        <v>0.046</v>
      </c>
      <c r="J33" s="16" t="n">
        <f aca="false">W33+0.25</f>
        <v>2.302</v>
      </c>
      <c r="K33" s="16" t="n">
        <f aca="false">J33+L33</f>
        <v>2.368</v>
      </c>
      <c r="L33" s="16" t="n">
        <f aca="false">RANDBETWEEN(-20,70)/1000</f>
        <v>0.066</v>
      </c>
      <c r="M33" s="16" t="n">
        <v>5.25</v>
      </c>
      <c r="N33" s="16" t="n">
        <f aca="false">+M33+O33</f>
        <v>5.2549</v>
      </c>
      <c r="O33" s="16" t="n">
        <f aca="false">RANDBETWEEN(-105,115)/10000</f>
        <v>0.0049</v>
      </c>
      <c r="P33" s="16" t="n">
        <f aca="false">G33</f>
        <v>2.185</v>
      </c>
      <c r="Q33" s="16" t="n">
        <f aca="false">P33+R33</f>
        <v>2.187</v>
      </c>
      <c r="R33" s="16" t="n">
        <f aca="false">RANDBETWEEN(-20,70)/1000</f>
        <v>0.002</v>
      </c>
      <c r="S33" s="17"/>
      <c r="T33" s="18" t="n">
        <v>17</v>
      </c>
      <c r="V33" s="19"/>
      <c r="W33" s="20" t="n">
        <v>2.052</v>
      </c>
    </row>
    <row r="34" s="10" customFormat="true" ht="18" hidden="false" customHeight="true" outlineLevel="0" collapsed="false">
      <c r="A34" s="13" t="n">
        <v>12</v>
      </c>
      <c r="B34" s="14" t="s">
        <v>34</v>
      </c>
      <c r="C34" s="15" t="n">
        <f aca="false">+C33+T33</f>
        <v>672.28</v>
      </c>
      <c r="D34" s="16" t="n">
        <v>-5.25</v>
      </c>
      <c r="E34" s="16" t="n">
        <f aca="false">+D34+F34</f>
        <v>-5.2425</v>
      </c>
      <c r="F34" s="16" t="n">
        <f aca="false">RANDBETWEEN(-105,115)/10000</f>
        <v>0.0075</v>
      </c>
      <c r="G34" s="16" t="n">
        <f aca="false">J34-4.95*2%-0.3*6%</f>
        <v>2.188</v>
      </c>
      <c r="H34" s="16" t="n">
        <f aca="false">G34+I34</f>
        <v>2.189</v>
      </c>
      <c r="I34" s="16" t="n">
        <f aca="false">RANDBETWEEN(-20,70)/1000</f>
        <v>0.001</v>
      </c>
      <c r="J34" s="16" t="n">
        <f aca="false">W34+0.25</f>
        <v>2.305</v>
      </c>
      <c r="K34" s="16" t="n">
        <f aca="false">J34+L34</f>
        <v>2.322</v>
      </c>
      <c r="L34" s="16" t="n">
        <f aca="false">RANDBETWEEN(-20,70)/1000</f>
        <v>0.017</v>
      </c>
      <c r="M34" s="16" t="n">
        <v>5.25</v>
      </c>
      <c r="N34" s="16" t="n">
        <f aca="false">+M34+O34</f>
        <v>5.2606</v>
      </c>
      <c r="O34" s="16" t="n">
        <f aca="false">RANDBETWEEN(-105,115)/10000</f>
        <v>0.0106</v>
      </c>
      <c r="P34" s="16" t="n">
        <f aca="false">G34</f>
        <v>2.188</v>
      </c>
      <c r="Q34" s="16" t="n">
        <f aca="false">P34+R34</f>
        <v>2.257</v>
      </c>
      <c r="R34" s="16" t="n">
        <f aca="false">RANDBETWEEN(-20,70)/1000</f>
        <v>0.069</v>
      </c>
      <c r="S34" s="17"/>
      <c r="T34" s="18"/>
      <c r="V34" s="19"/>
      <c r="W34" s="20" t="n">
        <v>2.055</v>
      </c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45.NĐXD4/CVXD ngày 07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45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1, độ chặt K&gt;=0,98 đoạn từ Km0+554,08 - Km0+672,28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40</v>
      </c>
      <c r="B9" s="36" t="s">
        <v>10</v>
      </c>
      <c r="C9" s="36" t="s">
        <v>11</v>
      </c>
      <c r="D9" s="37" t="s">
        <v>41</v>
      </c>
      <c r="E9" s="38"/>
      <c r="F9" s="38"/>
      <c r="G9" s="37"/>
      <c r="H9" s="38"/>
      <c r="I9" s="38"/>
      <c r="J9" s="38"/>
      <c r="K9" s="38"/>
      <c r="L9" s="38"/>
      <c r="M9" s="39" t="s">
        <v>42</v>
      </c>
      <c r="N9" s="40"/>
      <c r="O9" s="41" t="s">
        <v>43</v>
      </c>
      <c r="P9" s="42"/>
      <c r="Q9" s="42"/>
      <c r="R9" s="42"/>
      <c r="S9" s="42"/>
      <c r="T9" s="42"/>
      <c r="U9" s="42"/>
      <c r="V9" s="42"/>
      <c r="W9" s="41" t="s">
        <v>44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43</v>
      </c>
      <c r="O10" s="41"/>
      <c r="P10" s="41" t="s">
        <v>43</v>
      </c>
      <c r="Q10" s="41" t="s">
        <v>43</v>
      </c>
      <c r="R10" s="41"/>
      <c r="S10" s="41"/>
      <c r="T10" s="41"/>
      <c r="U10" s="41" t="s">
        <v>44</v>
      </c>
      <c r="V10" s="41" t="s">
        <v>44</v>
      </c>
      <c r="W10" s="41"/>
      <c r="X10" s="41" t="s">
        <v>44</v>
      </c>
      <c r="Y10" s="41" t="s">
        <v>44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32</v>
      </c>
      <c r="C11" s="15" t="n">
        <f aca="false">'KTHH Lớp 1'!C23</f>
        <v>554.08</v>
      </c>
      <c r="D11" s="13" t="n">
        <f aca="false">'KTHH Lớp 1'!T23</f>
        <v>15.4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40.425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33</v>
      </c>
      <c r="C12" s="15" t="n">
        <f aca="false">'KTHH Lớp 1'!C24</f>
        <v>569.48</v>
      </c>
      <c r="D12" s="13" t="n">
        <f aca="false">'KTHH Lớp 1'!T24</f>
        <v>3.64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9.555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TD</v>
      </c>
      <c r="C13" s="15" t="n">
        <f aca="false">'KTHH Lớp 1'!C25</f>
        <v>573.12</v>
      </c>
      <c r="D13" s="13" t="n">
        <f aca="false">'KTHH Lớp 1'!T25</f>
        <v>6.56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17.22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P</v>
      </c>
      <c r="C14" s="15" t="n">
        <f aca="false">'KTHH Lớp 1'!C26</f>
        <v>579.68</v>
      </c>
      <c r="D14" s="13" t="n">
        <f aca="false">'KTHH Lớp 1'!T26</f>
        <v>4.84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12.705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E2</v>
      </c>
      <c r="C15" s="15" t="n">
        <f aca="false">'KTHH Lớp 1'!C27</f>
        <v>584.52</v>
      </c>
      <c r="D15" s="13" t="n">
        <f aca="false">'KTHH Lớp 1'!T27</f>
        <v>1.71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4.48875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TC</v>
      </c>
      <c r="C16" s="15" t="n">
        <f aca="false">'KTHH Lớp 1'!C28</f>
        <v>586.23</v>
      </c>
      <c r="D16" s="13" t="n">
        <f aca="false">'KTHH Lớp 1'!T28</f>
        <v>11.55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30.31875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34</v>
      </c>
      <c r="C17" s="15" t="n">
        <f aca="false">'KTHH Lớp 1'!C29</f>
        <v>597.78</v>
      </c>
      <c r="D17" s="13" t="n">
        <f aca="false">'KTHH Lớp 1'!T29</f>
        <v>17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44.625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35</v>
      </c>
      <c r="C18" s="15" t="n">
        <f aca="false">'KTHH Lớp 1'!C30</f>
        <v>614.78</v>
      </c>
      <c r="D18" s="13" t="n">
        <f aca="false">'KTHH Lớp 1'!T30</f>
        <v>17.05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44.75625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36</v>
      </c>
      <c r="C19" s="15" t="n">
        <f aca="false">'KTHH Lớp 1'!C31</f>
        <v>631.83</v>
      </c>
      <c r="D19" s="13" t="n">
        <f aca="false">'KTHH Lớp 1'!T31</f>
        <v>11.7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30.7125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E9</v>
      </c>
      <c r="C20" s="15" t="n">
        <f aca="false">'KTHH Lớp 1'!C32</f>
        <v>643.53</v>
      </c>
      <c r="D20" s="13" t="n">
        <f aca="false">'KTHH Lớp 1'!T32</f>
        <v>11.75</v>
      </c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 t="n">
        <f aca="false">(O20+O21)*D20/2</f>
        <v>30.84375</v>
      </c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false" customHeight="true" outlineLevel="0" collapsed="false">
      <c r="A21" s="13" t="n">
        <v>11</v>
      </c>
      <c r="B21" s="13" t="str">
        <f aca="false">'KTHH Lớp 1'!B33</f>
        <v>37</v>
      </c>
      <c r="C21" s="15" t="n">
        <f aca="false">'KTHH Lớp 1'!C33</f>
        <v>655.28</v>
      </c>
      <c r="D21" s="13" t="n">
        <f aca="false">'KTHH Lớp 1'!T33</f>
        <v>17</v>
      </c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 t="n">
        <f aca="false">10.5*0.25</f>
        <v>2.625</v>
      </c>
      <c r="P21" s="52"/>
      <c r="Q21" s="52"/>
      <c r="R21" s="54"/>
      <c r="S21" s="54"/>
      <c r="T21" s="54"/>
      <c r="U21" s="54"/>
      <c r="V21" s="54"/>
      <c r="W21" s="54" t="n">
        <f aca="false">(O21+O22)*D21/2</f>
        <v>44.625</v>
      </c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false" customHeight="true" outlineLevel="0" collapsed="false">
      <c r="A22" s="13" t="n">
        <v>12</v>
      </c>
      <c r="B22" s="13" t="str">
        <f aca="false">'KTHH Lớp 1'!B34</f>
        <v>38</v>
      </c>
      <c r="C22" s="15" t="n">
        <f aca="false">'KTHH Lớp 1'!C34</f>
        <v>672.28</v>
      </c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 t="n">
        <f aca="false">10.5*0.25</f>
        <v>2.625</v>
      </c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45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SUM(W11:W22)</f>
        <v>310.275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35</v>
      </c>
      <c r="B51" s="21"/>
      <c r="C51" s="21"/>
      <c r="D51" s="75" t="s">
        <v>46</v>
      </c>
      <c r="E51" s="21" t="s">
        <v>36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37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38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47.NĐXD4/CVXD ngày 08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2, độ chặt K&gt;=0,98 đoạn từ Km0+554,08 - Km0+672,28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554.08</v>
      </c>
      <c r="D23" s="16" t="n">
        <v>-5.25</v>
      </c>
      <c r="E23" s="16" t="n">
        <f aca="false">+D23+F23</f>
        <v>-5.2451</v>
      </c>
      <c r="F23" s="16" t="n">
        <f aca="false">RANDBETWEEN(-105,115)/10000</f>
        <v>0.0049</v>
      </c>
      <c r="G23" s="16" t="n">
        <f aca="false">W23+0.25</f>
        <v>2.438</v>
      </c>
      <c r="H23" s="16" t="n">
        <f aca="false">G23+I23</f>
        <v>2.47</v>
      </c>
      <c r="I23" s="16" t="n">
        <f aca="false">RANDBETWEEN(-20,70)/1000</f>
        <v>0.032</v>
      </c>
      <c r="J23" s="16" t="n">
        <f aca="false">X23+0.25</f>
        <v>2.555</v>
      </c>
      <c r="K23" s="16" t="n">
        <f aca="false">J23+L23</f>
        <v>2.56</v>
      </c>
      <c r="L23" s="16" t="n">
        <f aca="false">RANDBETWEEN(-20,70)/1000</f>
        <v>0.005</v>
      </c>
      <c r="M23" s="16" t="n">
        <v>5.25</v>
      </c>
      <c r="N23" s="16" t="n">
        <f aca="false">+M23+O23</f>
        <v>5.2561</v>
      </c>
      <c r="O23" s="16" t="n">
        <f aca="false">RANDBETWEEN(-105,115)/10000</f>
        <v>0.0061</v>
      </c>
      <c r="P23" s="16" t="n">
        <f aca="false">Y23+0.25</f>
        <v>2.438</v>
      </c>
      <c r="Q23" s="16" t="n">
        <f aca="false">P23+R23</f>
        <v>2.42</v>
      </c>
      <c r="R23" s="16" t="n">
        <f aca="false">RANDBETWEEN(-20,70)/1000</f>
        <v>-0.018</v>
      </c>
      <c r="S23" s="17"/>
      <c r="T23" s="18" t="n">
        <v>15.4</v>
      </c>
      <c r="V23" s="19"/>
      <c r="W23" s="19" t="n">
        <f aca="false">'KTHH Lớp 1'!G23</f>
        <v>2.188</v>
      </c>
      <c r="X23" s="19" t="n">
        <f aca="false">'KTHH Lớp 1'!J23</f>
        <v>2.305</v>
      </c>
      <c r="Y23" s="19" t="n">
        <f aca="false">'KTHH Lớp 1'!P23</f>
        <v>2.188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569.48</v>
      </c>
      <c r="D24" s="16" t="n">
        <v>-5.25</v>
      </c>
      <c r="E24" s="16" t="n">
        <f aca="false">+D24+F24</f>
        <v>-5.2579</v>
      </c>
      <c r="F24" s="16" t="n">
        <f aca="false">RANDBETWEEN(-105,115)/10000</f>
        <v>-0.0079</v>
      </c>
      <c r="G24" s="16" t="n">
        <f aca="false">W24+0.25</f>
        <v>2.431</v>
      </c>
      <c r="H24" s="16" t="n">
        <f aca="false">G24+I24</f>
        <v>2.411</v>
      </c>
      <c r="I24" s="16" t="n">
        <f aca="false">RANDBETWEEN(-20,70)/1000</f>
        <v>-0.02</v>
      </c>
      <c r="J24" s="16" t="n">
        <f aca="false">X24+0.25</f>
        <v>2.548</v>
      </c>
      <c r="K24" s="16" t="n">
        <f aca="false">J24+L24</f>
        <v>2.559</v>
      </c>
      <c r="L24" s="16" t="n">
        <f aca="false">RANDBETWEEN(-20,70)/1000</f>
        <v>0.011</v>
      </c>
      <c r="M24" s="16" t="n">
        <v>5.25</v>
      </c>
      <c r="N24" s="16" t="n">
        <f aca="false">+M24+O24</f>
        <v>5.2463</v>
      </c>
      <c r="O24" s="16" t="n">
        <f aca="false">RANDBETWEEN(-105,115)/10000</f>
        <v>-0.0037</v>
      </c>
      <c r="P24" s="16" t="n">
        <f aca="false">Y24+0.25</f>
        <v>2.431</v>
      </c>
      <c r="Q24" s="16" t="n">
        <f aca="false">P24+R24</f>
        <v>2.483</v>
      </c>
      <c r="R24" s="16" t="n">
        <f aca="false">RANDBETWEEN(-20,70)/1000</f>
        <v>0.052</v>
      </c>
      <c r="S24" s="17"/>
      <c r="T24" s="18" t="n">
        <v>3.64</v>
      </c>
      <c r="V24" s="19"/>
      <c r="W24" s="19" t="n">
        <f aca="false">'KTHH Lớp 1'!G24</f>
        <v>2.181</v>
      </c>
      <c r="X24" s="19" t="n">
        <f aca="false">'KTHH Lớp 1'!J24</f>
        <v>2.298</v>
      </c>
      <c r="Y24" s="19" t="n">
        <f aca="false">'KTHH Lớp 1'!P24</f>
        <v>2.181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573.12</v>
      </c>
      <c r="D25" s="16" t="n">
        <v>-5.25</v>
      </c>
      <c r="E25" s="16" t="n">
        <f aca="false">+D25+F25</f>
        <v>-5.2564</v>
      </c>
      <c r="F25" s="16" t="n">
        <f aca="false">RANDBETWEEN(-105,115)/10000</f>
        <v>-0.0064</v>
      </c>
      <c r="G25" s="16" t="n">
        <f aca="false">W25+0.25</f>
        <v>2.43</v>
      </c>
      <c r="H25" s="16" t="n">
        <f aca="false">G25+I25</f>
        <v>2.425</v>
      </c>
      <c r="I25" s="16" t="n">
        <f aca="false">RANDBETWEEN(-20,70)/1000</f>
        <v>-0.005</v>
      </c>
      <c r="J25" s="16" t="n">
        <f aca="false">X25+0.25</f>
        <v>2.547</v>
      </c>
      <c r="K25" s="16" t="n">
        <f aca="false">J25+L25</f>
        <v>2.592</v>
      </c>
      <c r="L25" s="16" t="n">
        <f aca="false">RANDBETWEEN(-20,70)/1000</f>
        <v>0.045</v>
      </c>
      <c r="M25" s="16" t="n">
        <v>5.25</v>
      </c>
      <c r="N25" s="16" t="n">
        <f aca="false">+M25+O25</f>
        <v>5.2568</v>
      </c>
      <c r="O25" s="16" t="n">
        <f aca="false">RANDBETWEEN(-105,115)/10000</f>
        <v>0.0068</v>
      </c>
      <c r="P25" s="16" t="n">
        <f aca="false">Y25+0.25</f>
        <v>2.43</v>
      </c>
      <c r="Q25" s="16" t="n">
        <f aca="false">P25+R25</f>
        <v>2.482</v>
      </c>
      <c r="R25" s="16" t="n">
        <f aca="false">RANDBETWEEN(-20,70)/1000</f>
        <v>0.052</v>
      </c>
      <c r="S25" s="17"/>
      <c r="T25" s="18" t="n">
        <v>6.56</v>
      </c>
      <c r="V25" s="19"/>
      <c r="W25" s="19" t="n">
        <f aca="false">'KTHH Lớp 1'!G25</f>
        <v>2.18</v>
      </c>
      <c r="X25" s="19" t="n">
        <f aca="false">'KTHH Lớp 1'!J25</f>
        <v>2.297</v>
      </c>
      <c r="Y25" s="19" t="n">
        <f aca="false">'KTHH Lớp 1'!P25</f>
        <v>2.18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579.68</v>
      </c>
      <c r="D26" s="16" t="n">
        <v>-5.25</v>
      </c>
      <c r="E26" s="16" t="n">
        <f aca="false">+D26+F26</f>
        <v>-5.2478</v>
      </c>
      <c r="F26" s="16" t="n">
        <f aca="false">RANDBETWEEN(-105,115)/10000</f>
        <v>0.0022</v>
      </c>
      <c r="G26" s="16" t="n">
        <f aca="false">W26+0.25</f>
        <v>2.429</v>
      </c>
      <c r="H26" s="16" t="n">
        <f aca="false">G26+I26</f>
        <v>2.425</v>
      </c>
      <c r="I26" s="16" t="n">
        <f aca="false">RANDBETWEEN(-20,70)/1000</f>
        <v>-0.004</v>
      </c>
      <c r="J26" s="16" t="n">
        <f aca="false">X26+0.25</f>
        <v>2.546</v>
      </c>
      <c r="K26" s="16" t="n">
        <f aca="false">J26+L26</f>
        <v>2.534</v>
      </c>
      <c r="L26" s="16" t="n">
        <f aca="false">RANDBETWEEN(-20,70)/1000</f>
        <v>-0.012</v>
      </c>
      <c r="M26" s="16" t="n">
        <v>5.25</v>
      </c>
      <c r="N26" s="16" t="n">
        <f aca="false">+M26+O26</f>
        <v>5.2492</v>
      </c>
      <c r="O26" s="16" t="n">
        <f aca="false">RANDBETWEEN(-105,115)/10000</f>
        <v>-0.0008</v>
      </c>
      <c r="P26" s="16" t="n">
        <f aca="false">Y26+0.25</f>
        <v>2.429</v>
      </c>
      <c r="Q26" s="16" t="n">
        <f aca="false">P26+R26</f>
        <v>2.46</v>
      </c>
      <c r="R26" s="16" t="n">
        <f aca="false">RANDBETWEEN(-20,70)/1000</f>
        <v>0.031</v>
      </c>
      <c r="S26" s="17"/>
      <c r="T26" s="18" t="n">
        <v>4.84</v>
      </c>
      <c r="V26" s="19"/>
      <c r="W26" s="19" t="n">
        <f aca="false">'KTHH Lớp 1'!G26</f>
        <v>2.179</v>
      </c>
      <c r="X26" s="19" t="n">
        <f aca="false">'KTHH Lớp 1'!J26</f>
        <v>2.296</v>
      </c>
      <c r="Y26" s="19" t="n">
        <f aca="false">'KTHH Lớp 1'!P26</f>
        <v>2.179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584.52</v>
      </c>
      <c r="D27" s="16" t="n">
        <v>-5.25</v>
      </c>
      <c r="E27" s="16" t="n">
        <f aca="false">+D27+F27</f>
        <v>-5.2385</v>
      </c>
      <c r="F27" s="16" t="n">
        <f aca="false">RANDBETWEEN(-105,115)/10000</f>
        <v>0.0115</v>
      </c>
      <c r="G27" s="16" t="n">
        <f aca="false">W27+0.25</f>
        <v>2.428</v>
      </c>
      <c r="H27" s="16" t="n">
        <f aca="false">G27+I27</f>
        <v>2.414</v>
      </c>
      <c r="I27" s="16" t="n">
        <f aca="false">RANDBETWEEN(-20,70)/1000</f>
        <v>-0.014</v>
      </c>
      <c r="J27" s="16" t="n">
        <f aca="false">X27+0.25</f>
        <v>2.545</v>
      </c>
      <c r="K27" s="16" t="n">
        <f aca="false">J27+L27</f>
        <v>2.587</v>
      </c>
      <c r="L27" s="16" t="n">
        <f aca="false">RANDBETWEEN(-20,70)/1000</f>
        <v>0.042</v>
      </c>
      <c r="M27" s="16" t="n">
        <v>5.25</v>
      </c>
      <c r="N27" s="16" t="n">
        <f aca="false">+M27+O27</f>
        <v>5.2444</v>
      </c>
      <c r="O27" s="16" t="n">
        <f aca="false">RANDBETWEEN(-105,115)/10000</f>
        <v>-0.0056</v>
      </c>
      <c r="P27" s="16" t="n">
        <f aca="false">Y27+0.25</f>
        <v>2.428</v>
      </c>
      <c r="Q27" s="16" t="n">
        <f aca="false">P27+R27</f>
        <v>2.49</v>
      </c>
      <c r="R27" s="16" t="n">
        <f aca="false">RANDBETWEEN(-20,70)/1000</f>
        <v>0.062</v>
      </c>
      <c r="S27" s="17"/>
      <c r="T27" s="18" t="n">
        <v>1.71</v>
      </c>
      <c r="V27" s="19"/>
      <c r="W27" s="19" t="n">
        <f aca="false">'KTHH Lớp 1'!G27</f>
        <v>2.178</v>
      </c>
      <c r="X27" s="19" t="n">
        <f aca="false">'KTHH Lớp 1'!J27</f>
        <v>2.295</v>
      </c>
      <c r="Y27" s="19" t="n">
        <f aca="false">'KTHH Lớp 1'!P27</f>
        <v>2.178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586.23</v>
      </c>
      <c r="D28" s="16" t="n">
        <v>-5.25</v>
      </c>
      <c r="E28" s="16" t="n">
        <f aca="false">+D28+F28</f>
        <v>-5.2598</v>
      </c>
      <c r="F28" s="16" t="n">
        <f aca="false">RANDBETWEEN(-105,115)/10000</f>
        <v>-0.0098</v>
      </c>
      <c r="G28" s="16" t="n">
        <f aca="false">W28+0.25</f>
        <v>2.427</v>
      </c>
      <c r="H28" s="16" t="n">
        <f aca="false">G28+I28</f>
        <v>2.411</v>
      </c>
      <c r="I28" s="16" t="n">
        <f aca="false">RANDBETWEEN(-20,70)/1000</f>
        <v>-0.016</v>
      </c>
      <c r="J28" s="16" t="n">
        <f aca="false">X28+0.25</f>
        <v>2.544</v>
      </c>
      <c r="K28" s="16" t="n">
        <f aca="false">J28+L28</f>
        <v>2.584</v>
      </c>
      <c r="L28" s="16" t="n">
        <f aca="false">RANDBETWEEN(-20,70)/1000</f>
        <v>0.04</v>
      </c>
      <c r="M28" s="16" t="n">
        <v>5.25</v>
      </c>
      <c r="N28" s="16" t="n">
        <f aca="false">+M28+O28</f>
        <v>5.2439</v>
      </c>
      <c r="O28" s="16" t="n">
        <f aca="false">RANDBETWEEN(-105,115)/10000</f>
        <v>-0.0061</v>
      </c>
      <c r="P28" s="16" t="n">
        <f aca="false">Y28+0.25</f>
        <v>2.427</v>
      </c>
      <c r="Q28" s="16" t="n">
        <f aca="false">P28+R28</f>
        <v>2.475</v>
      </c>
      <c r="R28" s="16" t="n">
        <f aca="false">RANDBETWEEN(-20,70)/1000</f>
        <v>0.048</v>
      </c>
      <c r="S28" s="17"/>
      <c r="T28" s="18" t="n">
        <v>11.55</v>
      </c>
      <c r="V28" s="19"/>
      <c r="W28" s="19" t="n">
        <f aca="false">'KTHH Lớp 1'!G28</f>
        <v>2.177</v>
      </c>
      <c r="X28" s="19" t="n">
        <f aca="false">'KTHH Lớp 1'!J28</f>
        <v>2.294</v>
      </c>
      <c r="Y28" s="19" t="n">
        <f aca="false">'KTHH Lớp 1'!P28</f>
        <v>2.177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597.78</v>
      </c>
      <c r="D29" s="16" t="n">
        <v>-5.25</v>
      </c>
      <c r="E29" s="16" t="n">
        <f aca="false">+D29+F29</f>
        <v>-5.2594</v>
      </c>
      <c r="F29" s="16" t="n">
        <f aca="false">RANDBETWEEN(-105,115)/10000</f>
        <v>-0.0094</v>
      </c>
      <c r="G29" s="16" t="n">
        <f aca="false">W29+0.25</f>
        <v>2.425</v>
      </c>
      <c r="H29" s="16" t="n">
        <f aca="false">G29+I29</f>
        <v>2.458</v>
      </c>
      <c r="I29" s="16" t="n">
        <f aca="false">RANDBETWEEN(-20,70)/1000</f>
        <v>0.033</v>
      </c>
      <c r="J29" s="16" t="n">
        <f aca="false">X29+0.25</f>
        <v>2.542</v>
      </c>
      <c r="K29" s="16" t="n">
        <f aca="false">J29+L29</f>
        <v>2.594</v>
      </c>
      <c r="L29" s="16" t="n">
        <f aca="false">RANDBETWEEN(-20,70)/1000</f>
        <v>0.052</v>
      </c>
      <c r="M29" s="16" t="n">
        <v>5.25</v>
      </c>
      <c r="N29" s="16" t="n">
        <f aca="false">+M29+O29</f>
        <v>5.2426</v>
      </c>
      <c r="O29" s="16" t="n">
        <f aca="false">RANDBETWEEN(-105,115)/10000</f>
        <v>-0.0074</v>
      </c>
      <c r="P29" s="16" t="n">
        <f aca="false">Y29+0.25</f>
        <v>2.425</v>
      </c>
      <c r="Q29" s="16" t="n">
        <f aca="false">P29+R29</f>
        <v>2.434</v>
      </c>
      <c r="R29" s="16" t="n">
        <f aca="false">RANDBETWEEN(-20,70)/1000</f>
        <v>0.009</v>
      </c>
      <c r="S29" s="17"/>
      <c r="T29" s="18" t="n">
        <v>17</v>
      </c>
      <c r="V29" s="19"/>
      <c r="W29" s="19" t="n">
        <f aca="false">'KTHH Lớp 1'!G29</f>
        <v>2.175</v>
      </c>
      <c r="X29" s="19" t="n">
        <f aca="false">'KTHH Lớp 1'!J29</f>
        <v>2.292</v>
      </c>
      <c r="Y29" s="19" t="n">
        <f aca="false">'KTHH Lớp 1'!P29</f>
        <v>2.175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614.78</v>
      </c>
      <c r="D30" s="16" t="n">
        <v>-5.25</v>
      </c>
      <c r="E30" s="16" t="n">
        <f aca="false">+D30+F30</f>
        <v>-5.2508</v>
      </c>
      <c r="F30" s="16" t="n">
        <f aca="false">RANDBETWEEN(-105,115)/10000</f>
        <v>-0.0008</v>
      </c>
      <c r="G30" s="16" t="n">
        <f aca="false">W30+0.25</f>
        <v>2.428</v>
      </c>
      <c r="H30" s="16" t="n">
        <f aca="false">G30+I30</f>
        <v>2.432</v>
      </c>
      <c r="I30" s="16" t="n">
        <f aca="false">RANDBETWEEN(-20,70)/1000</f>
        <v>0.004</v>
      </c>
      <c r="J30" s="16" t="n">
        <f aca="false">X30+0.25</f>
        <v>2.545</v>
      </c>
      <c r="K30" s="16" t="n">
        <f aca="false">J30+L30</f>
        <v>2.527</v>
      </c>
      <c r="L30" s="16" t="n">
        <f aca="false">RANDBETWEEN(-20,70)/1000</f>
        <v>-0.018</v>
      </c>
      <c r="M30" s="16" t="n">
        <v>5.25</v>
      </c>
      <c r="N30" s="16" t="n">
        <f aca="false">+M30+O30</f>
        <v>5.2593</v>
      </c>
      <c r="O30" s="16" t="n">
        <f aca="false">RANDBETWEEN(-105,115)/10000</f>
        <v>0.0093</v>
      </c>
      <c r="P30" s="16" t="n">
        <f aca="false">Y30+0.25</f>
        <v>2.428</v>
      </c>
      <c r="Q30" s="16" t="n">
        <f aca="false">P30+R30</f>
        <v>2.486</v>
      </c>
      <c r="R30" s="16" t="n">
        <f aca="false">RANDBETWEEN(-20,70)/1000</f>
        <v>0.058</v>
      </c>
      <c r="S30" s="17"/>
      <c r="T30" s="18" t="n">
        <v>17.05</v>
      </c>
      <c r="V30" s="19"/>
      <c r="W30" s="19" t="n">
        <f aca="false">'KTHH Lớp 1'!G30</f>
        <v>2.178</v>
      </c>
      <c r="X30" s="19" t="n">
        <f aca="false">'KTHH Lớp 1'!J30</f>
        <v>2.295</v>
      </c>
      <c r="Y30" s="19" t="n">
        <f aca="false">'KTHH Lớp 1'!P30</f>
        <v>2.178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631.83</v>
      </c>
      <c r="D31" s="16" t="n">
        <v>-5.25</v>
      </c>
      <c r="E31" s="16" t="n">
        <f aca="false">+D31+F31</f>
        <v>-5.2592</v>
      </c>
      <c r="F31" s="16" t="n">
        <f aca="false">RANDBETWEEN(-105,115)/10000</f>
        <v>-0.0092</v>
      </c>
      <c r="G31" s="16" t="n">
        <f aca="false">W31+0.25</f>
        <v>2.431</v>
      </c>
      <c r="H31" s="16" t="n">
        <f aca="false">G31+I31</f>
        <v>2.467</v>
      </c>
      <c r="I31" s="16" t="n">
        <f aca="false">RANDBETWEEN(-20,70)/1000</f>
        <v>0.036</v>
      </c>
      <c r="J31" s="16" t="n">
        <f aca="false">X31+0.25</f>
        <v>2.548</v>
      </c>
      <c r="K31" s="16" t="n">
        <f aca="false">J31+L31</f>
        <v>2.577</v>
      </c>
      <c r="L31" s="16" t="n">
        <f aca="false">RANDBETWEEN(-20,70)/1000</f>
        <v>0.029</v>
      </c>
      <c r="M31" s="16" t="n">
        <v>5.25</v>
      </c>
      <c r="N31" s="16" t="n">
        <f aca="false">+M31+O31</f>
        <v>5.2432</v>
      </c>
      <c r="O31" s="16" t="n">
        <f aca="false">RANDBETWEEN(-105,115)/10000</f>
        <v>-0.0068</v>
      </c>
      <c r="P31" s="16" t="n">
        <f aca="false">Y31+0.25</f>
        <v>2.431</v>
      </c>
      <c r="Q31" s="16" t="n">
        <f aca="false">P31+R31</f>
        <v>2.416</v>
      </c>
      <c r="R31" s="16" t="n">
        <f aca="false">RANDBETWEEN(-20,70)/1000</f>
        <v>-0.015</v>
      </c>
      <c r="S31" s="17"/>
      <c r="T31" s="18" t="n">
        <v>11.7</v>
      </c>
      <c r="V31" s="19"/>
      <c r="W31" s="19" t="n">
        <f aca="false">'KTHH Lớp 1'!G31</f>
        <v>2.181</v>
      </c>
      <c r="X31" s="19" t="n">
        <f aca="false">'KTHH Lớp 1'!J31</f>
        <v>2.298</v>
      </c>
      <c r="Y31" s="19" t="n">
        <f aca="false">'KTHH Lớp 1'!P31</f>
        <v>2.181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643.53</v>
      </c>
      <c r="D32" s="16" t="n">
        <v>-5.25</v>
      </c>
      <c r="E32" s="16" t="n">
        <f aca="false">+D32+F32</f>
        <v>-5.2404</v>
      </c>
      <c r="F32" s="16" t="n">
        <f aca="false">RANDBETWEEN(-105,115)/10000</f>
        <v>0.0096</v>
      </c>
      <c r="G32" s="16" t="n">
        <f aca="false">W32+0.25</f>
        <v>2.433</v>
      </c>
      <c r="H32" s="16" t="n">
        <f aca="false">G32+I32</f>
        <v>2.431</v>
      </c>
      <c r="I32" s="16" t="n">
        <f aca="false">RANDBETWEEN(-20,70)/1000</f>
        <v>-0.002</v>
      </c>
      <c r="J32" s="16" t="n">
        <f aca="false">X32+0.25</f>
        <v>2.55</v>
      </c>
      <c r="K32" s="16" t="n">
        <f aca="false">J32+L32</f>
        <v>2.549</v>
      </c>
      <c r="L32" s="16" t="n">
        <f aca="false">RANDBETWEEN(-20,70)/1000</f>
        <v>-0.001</v>
      </c>
      <c r="M32" s="16" t="n">
        <v>5.25</v>
      </c>
      <c r="N32" s="16" t="n">
        <f aca="false">+M32+O32</f>
        <v>5.2471</v>
      </c>
      <c r="O32" s="16" t="n">
        <f aca="false">RANDBETWEEN(-105,115)/10000</f>
        <v>-0.0029</v>
      </c>
      <c r="P32" s="16" t="n">
        <f aca="false">Y32+0.25</f>
        <v>2.433</v>
      </c>
      <c r="Q32" s="16" t="n">
        <f aca="false">P32+R32</f>
        <v>2.451</v>
      </c>
      <c r="R32" s="16" t="n">
        <f aca="false">RANDBETWEEN(-20,70)/1000</f>
        <v>0.018</v>
      </c>
      <c r="S32" s="17"/>
      <c r="T32" s="18" t="n">
        <v>11.75</v>
      </c>
      <c r="V32" s="19"/>
      <c r="W32" s="19" t="n">
        <f aca="false">'KTHH Lớp 1'!G32</f>
        <v>2.183</v>
      </c>
      <c r="X32" s="19" t="n">
        <f aca="false">'KTHH Lớp 1'!J32</f>
        <v>2.3</v>
      </c>
      <c r="Y32" s="19" t="n">
        <f aca="false">'KTHH Lớp 1'!P32</f>
        <v>2.183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655.28</v>
      </c>
      <c r="D33" s="16" t="n">
        <v>-5.25</v>
      </c>
      <c r="E33" s="16" t="n">
        <f aca="false">+D33+F33</f>
        <v>-5.2507</v>
      </c>
      <c r="F33" s="16" t="n">
        <f aca="false">RANDBETWEEN(-105,115)/10000</f>
        <v>-0.0007</v>
      </c>
      <c r="G33" s="16" t="n">
        <f aca="false">W33+0.25</f>
        <v>2.435</v>
      </c>
      <c r="H33" s="16" t="n">
        <f aca="false">G33+I33</f>
        <v>2.458</v>
      </c>
      <c r="I33" s="16" t="n">
        <f aca="false">RANDBETWEEN(-20,70)/1000</f>
        <v>0.023</v>
      </c>
      <c r="J33" s="16" t="n">
        <f aca="false">X33+0.25</f>
        <v>2.552</v>
      </c>
      <c r="K33" s="16" t="n">
        <f aca="false">J33+L33</f>
        <v>2.568</v>
      </c>
      <c r="L33" s="16" t="n">
        <f aca="false">RANDBETWEEN(-20,70)/1000</f>
        <v>0.016</v>
      </c>
      <c r="M33" s="16" t="n">
        <v>5.25</v>
      </c>
      <c r="N33" s="16" t="n">
        <f aca="false">+M33+O33</f>
        <v>5.2413</v>
      </c>
      <c r="O33" s="16" t="n">
        <f aca="false">RANDBETWEEN(-105,115)/10000</f>
        <v>-0.0087</v>
      </c>
      <c r="P33" s="16" t="n">
        <f aca="false">Y33+0.25</f>
        <v>2.435</v>
      </c>
      <c r="Q33" s="16" t="n">
        <f aca="false">P33+R33</f>
        <v>2.487</v>
      </c>
      <c r="R33" s="16" t="n">
        <f aca="false">RANDBETWEEN(-20,70)/1000</f>
        <v>0.052</v>
      </c>
      <c r="S33" s="17"/>
      <c r="T33" s="18" t="n">
        <v>17</v>
      </c>
      <c r="V33" s="19"/>
      <c r="W33" s="19" t="n">
        <f aca="false">'KTHH Lớp 1'!G33</f>
        <v>2.185</v>
      </c>
      <c r="X33" s="19" t="n">
        <f aca="false">'KTHH Lớp 1'!J33</f>
        <v>2.302</v>
      </c>
      <c r="Y33" s="19" t="n">
        <f aca="false">'KTHH Lớp 1'!P33</f>
        <v>2.185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672.28</v>
      </c>
      <c r="D34" s="16" t="n">
        <v>-5.25</v>
      </c>
      <c r="E34" s="16" t="n">
        <f aca="false">+D34+F34</f>
        <v>-5.2583</v>
      </c>
      <c r="F34" s="16" t="n">
        <f aca="false">RANDBETWEEN(-105,115)/10000</f>
        <v>-0.0083</v>
      </c>
      <c r="G34" s="16" t="n">
        <f aca="false">W34+0.25</f>
        <v>2.438</v>
      </c>
      <c r="H34" s="16" t="n">
        <f aca="false">G34+I34</f>
        <v>2.467</v>
      </c>
      <c r="I34" s="16" t="n">
        <f aca="false">RANDBETWEEN(-20,70)/1000</f>
        <v>0.029</v>
      </c>
      <c r="J34" s="16" t="n">
        <f aca="false">X34+0.25</f>
        <v>2.555</v>
      </c>
      <c r="K34" s="16" t="n">
        <f aca="false">J34+L34</f>
        <v>2.545</v>
      </c>
      <c r="L34" s="16" t="n">
        <f aca="false">RANDBETWEEN(-20,70)/1000</f>
        <v>-0.01</v>
      </c>
      <c r="M34" s="16" t="n">
        <v>5.25</v>
      </c>
      <c r="N34" s="16" t="n">
        <f aca="false">+M34+O34</f>
        <v>5.2554</v>
      </c>
      <c r="O34" s="16" t="n">
        <f aca="false">RANDBETWEEN(-105,115)/10000</f>
        <v>0.0054</v>
      </c>
      <c r="P34" s="16" t="n">
        <f aca="false">Y34+0.25</f>
        <v>2.438</v>
      </c>
      <c r="Q34" s="16" t="n">
        <f aca="false">P34+R34</f>
        <v>2.452</v>
      </c>
      <c r="R34" s="16" t="n">
        <f aca="false">RANDBETWEEN(-20,70)/1000</f>
        <v>0.014</v>
      </c>
      <c r="S34" s="17"/>
      <c r="T34" s="18"/>
      <c r="V34" s="19"/>
      <c r="W34" s="19" t="n">
        <f aca="false">'KTHH Lớp 1'!G34</f>
        <v>2.188</v>
      </c>
      <c r="X34" s="19" t="n">
        <f aca="false">'KTHH Lớp 1'!J34</f>
        <v>2.305</v>
      </c>
      <c r="Y34" s="19" t="n">
        <f aca="false">'KTHH Lớp 1'!P34</f>
        <v>2.188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47.NĐXD4/CVXD ngày 08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2, độ chặt K&gt;=0,98 đoạn từ Km0+554,08 - Km0+672,28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40</v>
      </c>
      <c r="B9" s="83" t="s">
        <v>10</v>
      </c>
      <c r="C9" s="83" t="s">
        <v>11</v>
      </c>
      <c r="D9" s="84" t="s">
        <v>41</v>
      </c>
      <c r="E9" s="85"/>
      <c r="F9" s="85"/>
      <c r="G9" s="84"/>
      <c r="H9" s="85"/>
      <c r="I9" s="85"/>
      <c r="J9" s="85"/>
      <c r="K9" s="85"/>
      <c r="L9" s="85"/>
      <c r="M9" s="86" t="s">
        <v>42</v>
      </c>
      <c r="N9" s="87"/>
      <c r="O9" s="88" t="s">
        <v>43</v>
      </c>
      <c r="P9" s="89"/>
      <c r="Q9" s="89"/>
      <c r="R9" s="89"/>
      <c r="S9" s="89"/>
      <c r="T9" s="89"/>
      <c r="U9" s="89"/>
      <c r="V9" s="89"/>
      <c r="W9" s="88" t="s">
        <v>44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43</v>
      </c>
      <c r="O10" s="88"/>
      <c r="P10" s="88" t="s">
        <v>43</v>
      </c>
      <c r="Q10" s="88" t="s">
        <v>43</v>
      </c>
      <c r="R10" s="88"/>
      <c r="S10" s="88"/>
      <c r="T10" s="88"/>
      <c r="U10" s="88" t="s">
        <v>44</v>
      </c>
      <c r="V10" s="88" t="s">
        <v>44</v>
      </c>
      <c r="W10" s="88"/>
      <c r="X10" s="88" t="s">
        <v>44</v>
      </c>
      <c r="Y10" s="88" t="s">
        <v>44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32</v>
      </c>
      <c r="C11" s="94" t="n">
        <f aca="false">'KTHH Lớp 2'!C23</f>
        <v>554.08</v>
      </c>
      <c r="D11" s="93" t="n">
        <f aca="false">'KTHH Lớp 2'!T23</f>
        <v>15.4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40.425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33</v>
      </c>
      <c r="C12" s="94" t="n">
        <f aca="false">'KTHH Lớp 2'!C24</f>
        <v>569.48</v>
      </c>
      <c r="D12" s="93" t="n">
        <f aca="false">'KTHH Lớp 2'!T24</f>
        <v>3.64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9.555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TD</v>
      </c>
      <c r="C13" s="94" t="n">
        <f aca="false">'KTHH Lớp 2'!C25</f>
        <v>573.12</v>
      </c>
      <c r="D13" s="93" t="n">
        <f aca="false">'KTHH Lớp 2'!T25</f>
        <v>6.56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17.22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P</v>
      </c>
      <c r="C14" s="94" t="n">
        <f aca="false">'KTHH Lớp 2'!C26</f>
        <v>579.68</v>
      </c>
      <c r="D14" s="93" t="n">
        <f aca="false">'KTHH Lớp 2'!T26</f>
        <v>4.84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12.705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E2</v>
      </c>
      <c r="C15" s="94" t="n">
        <f aca="false">'KTHH Lớp 2'!C27</f>
        <v>584.52</v>
      </c>
      <c r="D15" s="93" t="n">
        <f aca="false">'KTHH Lớp 2'!T27</f>
        <v>1.71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4.48875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TC</v>
      </c>
      <c r="C16" s="94" t="n">
        <f aca="false">'KTHH Lớp 2'!C28</f>
        <v>586.23</v>
      </c>
      <c r="D16" s="93" t="n">
        <f aca="false">'KTHH Lớp 2'!T28</f>
        <v>11.55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30.31875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34</v>
      </c>
      <c r="C17" s="94" t="n">
        <f aca="false">'KTHH Lớp 2'!C29</f>
        <v>597.78</v>
      </c>
      <c r="D17" s="93" t="n">
        <f aca="false">'KTHH Lớp 2'!T29</f>
        <v>17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44.625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35</v>
      </c>
      <c r="C18" s="94" t="n">
        <f aca="false">'KTHH Lớp 2'!C30</f>
        <v>614.78</v>
      </c>
      <c r="D18" s="93" t="n">
        <f aca="false">'KTHH Lớp 2'!T30</f>
        <v>17.05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44.75625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36</v>
      </c>
      <c r="C19" s="94" t="n">
        <f aca="false">'KTHH Lớp 2'!C31</f>
        <v>631.83</v>
      </c>
      <c r="D19" s="93" t="n">
        <f aca="false">'KTHH Lớp 2'!T31</f>
        <v>11.7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30.7125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E9</v>
      </c>
      <c r="C20" s="94" t="n">
        <f aca="false">'KTHH Lớp 2'!C32</f>
        <v>643.53</v>
      </c>
      <c r="D20" s="93" t="n">
        <f aca="false">'KTHH Lớp 2'!T32</f>
        <v>11.75</v>
      </c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 t="n">
        <f aca="false">(O20+O21)*D20/2</f>
        <v>30.84375</v>
      </c>
      <c r="X20" s="56"/>
      <c r="Y20" s="56"/>
      <c r="Z20" s="56"/>
      <c r="AA20" s="56"/>
      <c r="AB20" s="100"/>
      <c r="AC20" s="56"/>
      <c r="AE20" s="73"/>
    </row>
    <row r="21" s="50" customFormat="true" ht="15" hidden="false" customHeight="true" outlineLevel="0" collapsed="false">
      <c r="A21" s="93" t="n">
        <v>11</v>
      </c>
      <c r="B21" s="93" t="str">
        <f aca="false">'KTHH Lớp 2'!B33</f>
        <v>37</v>
      </c>
      <c r="C21" s="94" t="n">
        <f aca="false">'KTHH Lớp 2'!C33</f>
        <v>655.28</v>
      </c>
      <c r="D21" s="93" t="n">
        <f aca="false">'KTHH Lớp 2'!T33</f>
        <v>17</v>
      </c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 t="n">
        <f aca="false">10.5*0.25</f>
        <v>2.625</v>
      </c>
      <c r="P21" s="96"/>
      <c r="Q21" s="96"/>
      <c r="R21" s="56"/>
      <c r="S21" s="56"/>
      <c r="T21" s="56"/>
      <c r="U21" s="56"/>
      <c r="V21" s="56"/>
      <c r="W21" s="56" t="n">
        <f aca="false">(O21+O22)*D21/2</f>
        <v>44.625</v>
      </c>
      <c r="X21" s="56"/>
      <c r="Y21" s="56"/>
      <c r="Z21" s="56"/>
      <c r="AA21" s="56"/>
      <c r="AB21" s="100"/>
      <c r="AC21" s="56"/>
      <c r="AE21" s="73"/>
    </row>
    <row r="22" s="50" customFormat="true" ht="15" hidden="false" customHeight="true" outlineLevel="0" collapsed="false">
      <c r="A22" s="93" t="n">
        <v>12</v>
      </c>
      <c r="B22" s="93" t="str">
        <f aca="false">'KTHH Lớp 2'!B34</f>
        <v>38</v>
      </c>
      <c r="C22" s="94" t="n">
        <f aca="false">'KTHH Lớp 2'!C34</f>
        <v>672.28</v>
      </c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 t="n">
        <f aca="false">10.5*0.25</f>
        <v>2.625</v>
      </c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45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SUM(W11:W22)</f>
        <v>310.275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35</v>
      </c>
      <c r="B51" s="111"/>
      <c r="C51" s="111"/>
      <c r="D51" s="112" t="s">
        <v>46</v>
      </c>
      <c r="E51" s="111" t="s">
        <v>36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37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38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49.NĐXD4/CVXD ngày 09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2 đoạn từ Km0+554,08 - Km0+672,28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554.08</v>
      </c>
      <c r="D23" s="16" t="n">
        <v>-5.25</v>
      </c>
      <c r="E23" s="16" t="n">
        <f aca="false">+D23+F23</f>
        <v>-5.2601</v>
      </c>
      <c r="F23" s="16" t="n">
        <f aca="false">RANDBETWEEN(-105,115)/10000</f>
        <v>-0.0101</v>
      </c>
      <c r="G23" s="16" t="n">
        <f aca="false">W23+0.18</f>
        <v>2.618</v>
      </c>
      <c r="H23" s="16" t="n">
        <f aca="false">G23+I23</f>
        <v>2.662</v>
      </c>
      <c r="I23" s="16" t="n">
        <f aca="false">RANDBETWEEN(-20,70)/1000</f>
        <v>0.044</v>
      </c>
      <c r="J23" s="16" t="n">
        <f aca="false">X23+0.18</f>
        <v>2.735</v>
      </c>
      <c r="K23" s="16" t="n">
        <f aca="false">J23+L23</f>
        <v>2.767</v>
      </c>
      <c r="L23" s="16" t="n">
        <f aca="false">RANDBETWEEN(-20,70)/1000</f>
        <v>0.032</v>
      </c>
      <c r="M23" s="16" t="n">
        <v>5.25</v>
      </c>
      <c r="N23" s="16" t="n">
        <f aca="false">+M23+O23</f>
        <v>5.252</v>
      </c>
      <c r="O23" s="16" t="n">
        <f aca="false">RANDBETWEEN(-105,115)/10000</f>
        <v>0.002</v>
      </c>
      <c r="P23" s="16" t="n">
        <f aca="false">Y23+0.18</f>
        <v>2.618</v>
      </c>
      <c r="Q23" s="16" t="n">
        <f aca="false">P23+R23</f>
        <v>2.686</v>
      </c>
      <c r="R23" s="16" t="n">
        <f aca="false">RANDBETWEEN(-20,70)/1000</f>
        <v>0.068</v>
      </c>
      <c r="S23" s="17"/>
      <c r="T23" s="18" t="n">
        <v>15.4</v>
      </c>
      <c r="V23" s="19"/>
      <c r="W23" s="19" t="n">
        <f aca="false">'KTHH Lớp 2'!G23</f>
        <v>2.438</v>
      </c>
      <c r="X23" s="19" t="n">
        <f aca="false">'KTHH Lớp 2'!J23</f>
        <v>2.555</v>
      </c>
      <c r="Y23" s="19" t="n">
        <f aca="false">'KTHH Lớp 2'!P23</f>
        <v>2.438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569.48</v>
      </c>
      <c r="D24" s="16" t="n">
        <v>-5.25</v>
      </c>
      <c r="E24" s="16" t="n">
        <f aca="false">+D24+F24</f>
        <v>-5.2475</v>
      </c>
      <c r="F24" s="16" t="n">
        <f aca="false">RANDBETWEEN(-105,115)/10000</f>
        <v>0.0025</v>
      </c>
      <c r="G24" s="16" t="n">
        <f aca="false">W24+0.18</f>
        <v>2.611</v>
      </c>
      <c r="H24" s="16" t="n">
        <f aca="false">G24+I24</f>
        <v>2.651</v>
      </c>
      <c r="I24" s="16" t="n">
        <f aca="false">RANDBETWEEN(-20,70)/1000</f>
        <v>0.04</v>
      </c>
      <c r="J24" s="16" t="n">
        <f aca="false">X24+0.18</f>
        <v>2.728</v>
      </c>
      <c r="K24" s="16" t="n">
        <f aca="false">J24+L24</f>
        <v>2.768</v>
      </c>
      <c r="L24" s="16" t="n">
        <f aca="false">RANDBETWEEN(-20,70)/1000</f>
        <v>0.04</v>
      </c>
      <c r="M24" s="16" t="n">
        <v>5.25</v>
      </c>
      <c r="N24" s="16" t="n">
        <f aca="false">+M24+O24</f>
        <v>5.2418</v>
      </c>
      <c r="O24" s="16" t="n">
        <f aca="false">RANDBETWEEN(-105,115)/10000</f>
        <v>-0.0082</v>
      </c>
      <c r="P24" s="16" t="n">
        <f aca="false">Y24+0.18</f>
        <v>2.611</v>
      </c>
      <c r="Q24" s="16" t="n">
        <f aca="false">P24+R24</f>
        <v>2.607</v>
      </c>
      <c r="R24" s="16" t="n">
        <f aca="false">RANDBETWEEN(-20,70)/1000</f>
        <v>-0.004</v>
      </c>
      <c r="S24" s="17"/>
      <c r="T24" s="18" t="n">
        <v>3.64</v>
      </c>
      <c r="V24" s="19"/>
      <c r="W24" s="19" t="n">
        <f aca="false">'KTHH Lớp 2'!G24</f>
        <v>2.431</v>
      </c>
      <c r="X24" s="19" t="n">
        <f aca="false">'KTHH Lớp 2'!J24</f>
        <v>2.548</v>
      </c>
      <c r="Y24" s="19" t="n">
        <f aca="false">'KTHH Lớp 2'!P24</f>
        <v>2.431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573.12</v>
      </c>
      <c r="D25" s="16" t="n">
        <v>-5.25</v>
      </c>
      <c r="E25" s="16" t="n">
        <f aca="false">+D25+F25</f>
        <v>-5.2527</v>
      </c>
      <c r="F25" s="16" t="n">
        <f aca="false">RANDBETWEEN(-105,115)/10000</f>
        <v>-0.0027</v>
      </c>
      <c r="G25" s="16" t="n">
        <f aca="false">W25+0.18</f>
        <v>2.61</v>
      </c>
      <c r="H25" s="16" t="n">
        <f aca="false">G25+I25</f>
        <v>2.611</v>
      </c>
      <c r="I25" s="16" t="n">
        <f aca="false">RANDBETWEEN(-20,70)/1000</f>
        <v>0.001</v>
      </c>
      <c r="J25" s="16" t="n">
        <f aca="false">X25+0.18</f>
        <v>2.727</v>
      </c>
      <c r="K25" s="16" t="n">
        <f aca="false">J25+L25</f>
        <v>2.741</v>
      </c>
      <c r="L25" s="16" t="n">
        <f aca="false">RANDBETWEEN(-20,70)/1000</f>
        <v>0.014</v>
      </c>
      <c r="M25" s="16" t="n">
        <v>5.25</v>
      </c>
      <c r="N25" s="16" t="n">
        <f aca="false">+M25+O25</f>
        <v>5.2446</v>
      </c>
      <c r="O25" s="16" t="n">
        <f aca="false">RANDBETWEEN(-105,115)/10000</f>
        <v>-0.0054</v>
      </c>
      <c r="P25" s="16" t="n">
        <f aca="false">Y25+0.18</f>
        <v>2.61</v>
      </c>
      <c r="Q25" s="16" t="n">
        <f aca="false">P25+R25</f>
        <v>2.616</v>
      </c>
      <c r="R25" s="16" t="n">
        <f aca="false">RANDBETWEEN(-20,70)/1000</f>
        <v>0.006</v>
      </c>
      <c r="S25" s="17"/>
      <c r="T25" s="18" t="n">
        <v>6.56</v>
      </c>
      <c r="V25" s="19"/>
      <c r="W25" s="19" t="n">
        <f aca="false">'KTHH Lớp 2'!G25</f>
        <v>2.43</v>
      </c>
      <c r="X25" s="19" t="n">
        <f aca="false">'KTHH Lớp 2'!J25</f>
        <v>2.547</v>
      </c>
      <c r="Y25" s="19" t="n">
        <f aca="false">'KTHH Lớp 2'!P25</f>
        <v>2.43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579.68</v>
      </c>
      <c r="D26" s="16" t="n">
        <v>-5.25</v>
      </c>
      <c r="E26" s="16" t="n">
        <f aca="false">+D26+F26</f>
        <v>-5.2527</v>
      </c>
      <c r="F26" s="16" t="n">
        <f aca="false">RANDBETWEEN(-105,115)/10000</f>
        <v>-0.0027</v>
      </c>
      <c r="G26" s="16" t="n">
        <f aca="false">W26+0.18</f>
        <v>2.609</v>
      </c>
      <c r="H26" s="16" t="n">
        <f aca="false">G26+I26</f>
        <v>2.628</v>
      </c>
      <c r="I26" s="16" t="n">
        <f aca="false">RANDBETWEEN(-20,70)/1000</f>
        <v>0.019</v>
      </c>
      <c r="J26" s="16" t="n">
        <f aca="false">X26+0.18</f>
        <v>2.726</v>
      </c>
      <c r="K26" s="16" t="n">
        <f aca="false">J26+L26</f>
        <v>2.747</v>
      </c>
      <c r="L26" s="16" t="n">
        <f aca="false">RANDBETWEEN(-20,70)/1000</f>
        <v>0.021</v>
      </c>
      <c r="M26" s="16" t="n">
        <v>5.25</v>
      </c>
      <c r="N26" s="16" t="n">
        <f aca="false">+M26+O26</f>
        <v>5.2464</v>
      </c>
      <c r="O26" s="16" t="n">
        <f aca="false">RANDBETWEEN(-105,115)/10000</f>
        <v>-0.0036</v>
      </c>
      <c r="P26" s="16" t="n">
        <f aca="false">Y26+0.18</f>
        <v>2.609</v>
      </c>
      <c r="Q26" s="16" t="n">
        <f aca="false">P26+R26</f>
        <v>2.624</v>
      </c>
      <c r="R26" s="16" t="n">
        <f aca="false">RANDBETWEEN(-20,70)/1000</f>
        <v>0.015</v>
      </c>
      <c r="S26" s="17"/>
      <c r="T26" s="18" t="n">
        <v>4.84</v>
      </c>
      <c r="V26" s="19"/>
      <c r="W26" s="19" t="n">
        <f aca="false">'KTHH Lớp 2'!G26</f>
        <v>2.429</v>
      </c>
      <c r="X26" s="19" t="n">
        <f aca="false">'KTHH Lớp 2'!J26</f>
        <v>2.546</v>
      </c>
      <c r="Y26" s="19" t="n">
        <f aca="false">'KTHH Lớp 2'!P26</f>
        <v>2.429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584.52</v>
      </c>
      <c r="D27" s="16" t="n">
        <v>-5.25</v>
      </c>
      <c r="E27" s="16" t="n">
        <f aca="false">+D27+F27</f>
        <v>-5.2427</v>
      </c>
      <c r="F27" s="16" t="n">
        <f aca="false">RANDBETWEEN(-105,115)/10000</f>
        <v>0.0073</v>
      </c>
      <c r="G27" s="16" t="n">
        <f aca="false">W27+0.18</f>
        <v>2.608</v>
      </c>
      <c r="H27" s="16" t="n">
        <f aca="false">G27+I27</f>
        <v>2.673</v>
      </c>
      <c r="I27" s="16" t="n">
        <f aca="false">RANDBETWEEN(-20,70)/1000</f>
        <v>0.065</v>
      </c>
      <c r="J27" s="16" t="n">
        <f aca="false">X27+0.18</f>
        <v>2.725</v>
      </c>
      <c r="K27" s="16" t="n">
        <f aca="false">J27+L27</f>
        <v>2.776</v>
      </c>
      <c r="L27" s="16" t="n">
        <f aca="false">RANDBETWEEN(-20,70)/1000</f>
        <v>0.051</v>
      </c>
      <c r="M27" s="16" t="n">
        <v>5.25</v>
      </c>
      <c r="N27" s="16" t="n">
        <f aca="false">+M27+O27</f>
        <v>5.2461</v>
      </c>
      <c r="O27" s="16" t="n">
        <f aca="false">RANDBETWEEN(-105,115)/10000</f>
        <v>-0.0039</v>
      </c>
      <c r="P27" s="16" t="n">
        <f aca="false">Y27+0.18</f>
        <v>2.608</v>
      </c>
      <c r="Q27" s="16" t="n">
        <f aca="false">P27+R27</f>
        <v>2.604</v>
      </c>
      <c r="R27" s="16" t="n">
        <f aca="false">RANDBETWEEN(-20,70)/1000</f>
        <v>-0.004</v>
      </c>
      <c r="S27" s="17"/>
      <c r="T27" s="18" t="n">
        <v>1.71</v>
      </c>
      <c r="V27" s="19"/>
      <c r="W27" s="19" t="n">
        <f aca="false">'KTHH Lớp 2'!G27</f>
        <v>2.428</v>
      </c>
      <c r="X27" s="19" t="n">
        <f aca="false">'KTHH Lớp 2'!J27</f>
        <v>2.545</v>
      </c>
      <c r="Y27" s="19" t="n">
        <f aca="false">'KTHH Lớp 2'!P27</f>
        <v>2.428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586.23</v>
      </c>
      <c r="D28" s="16" t="n">
        <v>-5.25</v>
      </c>
      <c r="E28" s="16" t="n">
        <f aca="false">+D28+F28</f>
        <v>-5.2556</v>
      </c>
      <c r="F28" s="16" t="n">
        <f aca="false">RANDBETWEEN(-105,115)/10000</f>
        <v>-0.0056</v>
      </c>
      <c r="G28" s="16" t="n">
        <f aca="false">W28+0.18</f>
        <v>2.607</v>
      </c>
      <c r="H28" s="16" t="n">
        <f aca="false">G28+I28</f>
        <v>2.621</v>
      </c>
      <c r="I28" s="16" t="n">
        <f aca="false">RANDBETWEEN(-20,70)/1000</f>
        <v>0.014</v>
      </c>
      <c r="J28" s="16" t="n">
        <f aca="false">X28+0.18</f>
        <v>2.724</v>
      </c>
      <c r="K28" s="16" t="n">
        <f aca="false">J28+L28</f>
        <v>2.793</v>
      </c>
      <c r="L28" s="16" t="n">
        <f aca="false">RANDBETWEEN(-20,70)/1000</f>
        <v>0.069</v>
      </c>
      <c r="M28" s="16" t="n">
        <v>5.25</v>
      </c>
      <c r="N28" s="16" t="n">
        <f aca="false">+M28+O28</f>
        <v>5.2583</v>
      </c>
      <c r="O28" s="16" t="n">
        <f aca="false">RANDBETWEEN(-105,115)/10000</f>
        <v>0.0083</v>
      </c>
      <c r="P28" s="16" t="n">
        <f aca="false">Y28+0.18</f>
        <v>2.607</v>
      </c>
      <c r="Q28" s="16" t="n">
        <f aca="false">P28+R28</f>
        <v>2.637</v>
      </c>
      <c r="R28" s="16" t="n">
        <f aca="false">RANDBETWEEN(-20,70)/1000</f>
        <v>0.03</v>
      </c>
      <c r="S28" s="17"/>
      <c r="T28" s="18" t="n">
        <v>11.55</v>
      </c>
      <c r="V28" s="19"/>
      <c r="W28" s="19" t="n">
        <f aca="false">'KTHH Lớp 2'!G28</f>
        <v>2.427</v>
      </c>
      <c r="X28" s="19" t="n">
        <f aca="false">'KTHH Lớp 2'!J28</f>
        <v>2.544</v>
      </c>
      <c r="Y28" s="19" t="n">
        <f aca="false">'KTHH Lớp 2'!P28</f>
        <v>2.427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597.78</v>
      </c>
      <c r="D29" s="16" t="n">
        <v>-5.25</v>
      </c>
      <c r="E29" s="16" t="n">
        <f aca="false">+D29+F29</f>
        <v>-5.2398</v>
      </c>
      <c r="F29" s="16" t="n">
        <f aca="false">RANDBETWEEN(-105,115)/10000</f>
        <v>0.0102</v>
      </c>
      <c r="G29" s="16" t="n">
        <f aca="false">W29+0.18</f>
        <v>2.605</v>
      </c>
      <c r="H29" s="16" t="n">
        <f aca="false">G29+I29</f>
        <v>2.666</v>
      </c>
      <c r="I29" s="16" t="n">
        <f aca="false">RANDBETWEEN(-20,70)/1000</f>
        <v>0.061</v>
      </c>
      <c r="J29" s="16" t="n">
        <f aca="false">X29+0.18</f>
        <v>2.722</v>
      </c>
      <c r="K29" s="16" t="n">
        <f aca="false">J29+L29</f>
        <v>2.757</v>
      </c>
      <c r="L29" s="16" t="n">
        <f aca="false">RANDBETWEEN(-20,70)/1000</f>
        <v>0.035</v>
      </c>
      <c r="M29" s="16" t="n">
        <v>5.25</v>
      </c>
      <c r="N29" s="16" t="n">
        <f aca="false">+M29+O29</f>
        <v>5.2448</v>
      </c>
      <c r="O29" s="16" t="n">
        <f aca="false">RANDBETWEEN(-105,115)/10000</f>
        <v>-0.0052</v>
      </c>
      <c r="P29" s="16" t="n">
        <f aca="false">Y29+0.18</f>
        <v>2.605</v>
      </c>
      <c r="Q29" s="16" t="n">
        <f aca="false">P29+R29</f>
        <v>2.623</v>
      </c>
      <c r="R29" s="16" t="n">
        <f aca="false">RANDBETWEEN(-20,70)/1000</f>
        <v>0.018</v>
      </c>
      <c r="S29" s="17"/>
      <c r="T29" s="18" t="n">
        <v>17</v>
      </c>
      <c r="V29" s="19"/>
      <c r="W29" s="19" t="n">
        <f aca="false">'KTHH Lớp 2'!G29</f>
        <v>2.425</v>
      </c>
      <c r="X29" s="19" t="n">
        <f aca="false">'KTHH Lớp 2'!J29</f>
        <v>2.542</v>
      </c>
      <c r="Y29" s="19" t="n">
        <f aca="false">'KTHH Lớp 2'!P29</f>
        <v>2.425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614.78</v>
      </c>
      <c r="D30" s="16" t="n">
        <v>-5.25</v>
      </c>
      <c r="E30" s="16" t="n">
        <f aca="false">+D30+F30</f>
        <v>-5.2486</v>
      </c>
      <c r="F30" s="16" t="n">
        <f aca="false">RANDBETWEEN(-105,115)/10000</f>
        <v>0.0014</v>
      </c>
      <c r="G30" s="16" t="n">
        <f aca="false">W30+0.18</f>
        <v>2.608</v>
      </c>
      <c r="H30" s="16" t="n">
        <f aca="false">G30+I30</f>
        <v>2.636</v>
      </c>
      <c r="I30" s="16" t="n">
        <f aca="false">RANDBETWEEN(-20,70)/1000</f>
        <v>0.028</v>
      </c>
      <c r="J30" s="16" t="n">
        <f aca="false">X30+0.18</f>
        <v>2.725</v>
      </c>
      <c r="K30" s="16" t="n">
        <f aca="false">J30+L30</f>
        <v>2.785</v>
      </c>
      <c r="L30" s="16" t="n">
        <f aca="false">RANDBETWEEN(-20,70)/1000</f>
        <v>0.06</v>
      </c>
      <c r="M30" s="16" t="n">
        <v>5.25</v>
      </c>
      <c r="N30" s="16" t="n">
        <f aca="false">+M30+O30</f>
        <v>5.2554</v>
      </c>
      <c r="O30" s="16" t="n">
        <f aca="false">RANDBETWEEN(-105,115)/10000</f>
        <v>0.0054</v>
      </c>
      <c r="P30" s="16" t="n">
        <f aca="false">Y30+0.18</f>
        <v>2.608</v>
      </c>
      <c r="Q30" s="16" t="n">
        <f aca="false">P30+R30</f>
        <v>2.676</v>
      </c>
      <c r="R30" s="16" t="n">
        <f aca="false">RANDBETWEEN(-20,70)/1000</f>
        <v>0.068</v>
      </c>
      <c r="S30" s="17"/>
      <c r="T30" s="18" t="n">
        <v>17.05</v>
      </c>
      <c r="V30" s="19"/>
      <c r="W30" s="19" t="n">
        <f aca="false">'KTHH Lớp 2'!G30</f>
        <v>2.428</v>
      </c>
      <c r="X30" s="19" t="n">
        <f aca="false">'KTHH Lớp 2'!J30</f>
        <v>2.545</v>
      </c>
      <c r="Y30" s="19" t="n">
        <f aca="false">'KTHH Lớp 2'!P30</f>
        <v>2.428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631.83</v>
      </c>
      <c r="D31" s="16" t="n">
        <v>-5.25</v>
      </c>
      <c r="E31" s="16" t="n">
        <f aca="false">+D31+F31</f>
        <v>-5.2538</v>
      </c>
      <c r="F31" s="16" t="n">
        <f aca="false">RANDBETWEEN(-105,115)/10000</f>
        <v>-0.0038</v>
      </c>
      <c r="G31" s="16" t="n">
        <f aca="false">W31+0.18</f>
        <v>2.611</v>
      </c>
      <c r="H31" s="16" t="n">
        <f aca="false">G31+I31</f>
        <v>2.613</v>
      </c>
      <c r="I31" s="16" t="n">
        <f aca="false">RANDBETWEEN(-20,70)/1000</f>
        <v>0.002</v>
      </c>
      <c r="J31" s="16" t="n">
        <f aca="false">X31+0.18</f>
        <v>2.728</v>
      </c>
      <c r="K31" s="16" t="n">
        <f aca="false">J31+L31</f>
        <v>2.765</v>
      </c>
      <c r="L31" s="16" t="n">
        <f aca="false">RANDBETWEEN(-20,70)/1000</f>
        <v>0.037</v>
      </c>
      <c r="M31" s="16" t="n">
        <v>5.25</v>
      </c>
      <c r="N31" s="16" t="n">
        <f aca="false">+M31+O31</f>
        <v>5.252</v>
      </c>
      <c r="O31" s="16" t="n">
        <f aca="false">RANDBETWEEN(-105,115)/10000</f>
        <v>0.002</v>
      </c>
      <c r="P31" s="16" t="n">
        <f aca="false">Y31+0.18</f>
        <v>2.611</v>
      </c>
      <c r="Q31" s="16" t="n">
        <f aca="false">P31+R31</f>
        <v>2.602</v>
      </c>
      <c r="R31" s="16" t="n">
        <f aca="false">RANDBETWEEN(-20,70)/1000</f>
        <v>-0.009</v>
      </c>
      <c r="S31" s="17"/>
      <c r="T31" s="18" t="n">
        <v>11.7</v>
      </c>
      <c r="V31" s="19"/>
      <c r="W31" s="19" t="n">
        <f aca="false">'KTHH Lớp 2'!G31</f>
        <v>2.431</v>
      </c>
      <c r="X31" s="19" t="n">
        <f aca="false">'KTHH Lớp 2'!J31</f>
        <v>2.548</v>
      </c>
      <c r="Y31" s="19" t="n">
        <f aca="false">'KTHH Lớp 2'!P31</f>
        <v>2.431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643.53</v>
      </c>
      <c r="D32" s="16" t="n">
        <v>-5.25</v>
      </c>
      <c r="E32" s="16" t="n">
        <f aca="false">+D32+F32</f>
        <v>-5.2454</v>
      </c>
      <c r="F32" s="16" t="n">
        <f aca="false">RANDBETWEEN(-105,115)/10000</f>
        <v>0.0046</v>
      </c>
      <c r="G32" s="16" t="n">
        <f aca="false">W32+0.18</f>
        <v>2.613</v>
      </c>
      <c r="H32" s="16" t="n">
        <f aca="false">G32+I32</f>
        <v>2.593</v>
      </c>
      <c r="I32" s="16" t="n">
        <f aca="false">RANDBETWEEN(-20,70)/1000</f>
        <v>-0.02</v>
      </c>
      <c r="J32" s="16" t="n">
        <f aca="false">X32+0.18</f>
        <v>2.73</v>
      </c>
      <c r="K32" s="16" t="n">
        <f aca="false">J32+L32</f>
        <v>2.752</v>
      </c>
      <c r="L32" s="16" t="n">
        <f aca="false">RANDBETWEEN(-20,70)/1000</f>
        <v>0.022</v>
      </c>
      <c r="M32" s="16" t="n">
        <v>5.25</v>
      </c>
      <c r="N32" s="16" t="n">
        <f aca="false">+M32+O32</f>
        <v>5.2563</v>
      </c>
      <c r="O32" s="16" t="n">
        <f aca="false">RANDBETWEEN(-105,115)/10000</f>
        <v>0.0063</v>
      </c>
      <c r="P32" s="16" t="n">
        <f aca="false">Y32+0.18</f>
        <v>2.613</v>
      </c>
      <c r="Q32" s="16" t="n">
        <f aca="false">P32+R32</f>
        <v>2.625</v>
      </c>
      <c r="R32" s="16" t="n">
        <f aca="false">RANDBETWEEN(-20,70)/1000</f>
        <v>0.012</v>
      </c>
      <c r="S32" s="17"/>
      <c r="T32" s="18" t="n">
        <v>11.75</v>
      </c>
      <c r="V32" s="19"/>
      <c r="W32" s="19" t="n">
        <f aca="false">'KTHH Lớp 2'!G32</f>
        <v>2.433</v>
      </c>
      <c r="X32" s="19" t="n">
        <f aca="false">'KTHH Lớp 2'!J32</f>
        <v>2.55</v>
      </c>
      <c r="Y32" s="19" t="n">
        <f aca="false">'KTHH Lớp 2'!P32</f>
        <v>2.433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655.28</v>
      </c>
      <c r="D33" s="16" t="n">
        <v>-5.25</v>
      </c>
      <c r="E33" s="16" t="n">
        <f aca="false">+D33+F33</f>
        <v>-5.2403</v>
      </c>
      <c r="F33" s="16" t="n">
        <f aca="false">RANDBETWEEN(-105,115)/10000</f>
        <v>0.0097</v>
      </c>
      <c r="G33" s="16" t="n">
        <f aca="false">W33+0.18</f>
        <v>2.615</v>
      </c>
      <c r="H33" s="16" t="n">
        <f aca="false">G33+I33</f>
        <v>2.631</v>
      </c>
      <c r="I33" s="16" t="n">
        <f aca="false">RANDBETWEEN(-20,70)/1000</f>
        <v>0.016</v>
      </c>
      <c r="J33" s="16" t="n">
        <f aca="false">X33+0.18</f>
        <v>2.732</v>
      </c>
      <c r="K33" s="16" t="n">
        <f aca="false">J33+L33</f>
        <v>2.75</v>
      </c>
      <c r="L33" s="16" t="n">
        <f aca="false">RANDBETWEEN(-20,70)/1000</f>
        <v>0.018</v>
      </c>
      <c r="M33" s="16" t="n">
        <v>5.25</v>
      </c>
      <c r="N33" s="16" t="n">
        <f aca="false">+M33+O33</f>
        <v>5.2402</v>
      </c>
      <c r="O33" s="16" t="n">
        <f aca="false">RANDBETWEEN(-105,115)/10000</f>
        <v>-0.0098</v>
      </c>
      <c r="P33" s="16" t="n">
        <f aca="false">Y33+0.18</f>
        <v>2.615</v>
      </c>
      <c r="Q33" s="16" t="n">
        <f aca="false">P33+R33</f>
        <v>2.667</v>
      </c>
      <c r="R33" s="16" t="n">
        <f aca="false">RANDBETWEEN(-20,70)/1000</f>
        <v>0.052</v>
      </c>
      <c r="S33" s="17"/>
      <c r="T33" s="18" t="n">
        <v>17</v>
      </c>
      <c r="V33" s="19"/>
      <c r="W33" s="19" t="n">
        <f aca="false">'KTHH Lớp 2'!G33</f>
        <v>2.435</v>
      </c>
      <c r="X33" s="19" t="n">
        <f aca="false">'KTHH Lớp 2'!J33</f>
        <v>2.552</v>
      </c>
      <c r="Y33" s="19" t="n">
        <f aca="false">'KTHH Lớp 2'!P33</f>
        <v>2.435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672.28</v>
      </c>
      <c r="D34" s="16" t="n">
        <v>-5.25</v>
      </c>
      <c r="E34" s="16" t="n">
        <f aca="false">+D34+F34</f>
        <v>-5.2575</v>
      </c>
      <c r="F34" s="16" t="n">
        <f aca="false">RANDBETWEEN(-105,115)/10000</f>
        <v>-0.0075</v>
      </c>
      <c r="G34" s="16" t="n">
        <f aca="false">W34+0.18</f>
        <v>2.618</v>
      </c>
      <c r="H34" s="16" t="n">
        <f aca="false">G34+I34</f>
        <v>2.656</v>
      </c>
      <c r="I34" s="16" t="n">
        <f aca="false">RANDBETWEEN(-20,70)/1000</f>
        <v>0.038</v>
      </c>
      <c r="J34" s="16" t="n">
        <f aca="false">X34+0.18</f>
        <v>2.735</v>
      </c>
      <c r="K34" s="16" t="n">
        <f aca="false">J34+L34</f>
        <v>2.789</v>
      </c>
      <c r="L34" s="16" t="n">
        <f aca="false">RANDBETWEEN(-20,70)/1000</f>
        <v>0.054</v>
      </c>
      <c r="M34" s="16" t="n">
        <v>5.25</v>
      </c>
      <c r="N34" s="16" t="n">
        <f aca="false">+M34+O34</f>
        <v>5.2424</v>
      </c>
      <c r="O34" s="16" t="n">
        <f aca="false">RANDBETWEEN(-105,115)/10000</f>
        <v>-0.0076</v>
      </c>
      <c r="P34" s="16" t="n">
        <f aca="false">Y34+0.18</f>
        <v>2.618</v>
      </c>
      <c r="Q34" s="16" t="n">
        <f aca="false">P34+R34</f>
        <v>2.626</v>
      </c>
      <c r="R34" s="16" t="n">
        <f aca="false">RANDBETWEEN(-20,70)/1000</f>
        <v>0.008</v>
      </c>
      <c r="S34" s="17"/>
      <c r="T34" s="18"/>
      <c r="V34" s="19"/>
      <c r="W34" s="19" t="n">
        <f aca="false">'KTHH Lớp 2'!G34</f>
        <v>2.438</v>
      </c>
      <c r="X34" s="19" t="n">
        <f aca="false">'KTHH Lớp 2'!J34</f>
        <v>2.555</v>
      </c>
      <c r="Y34" s="19" t="n">
        <f aca="false">'KTHH Lớp 2'!P34</f>
        <v>2.438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49.NĐXD4/CVXD ngày 09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2 đoạn từ Km0+554,08 - Km0+672,28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32</v>
      </c>
      <c r="C11" s="133" t="n">
        <f aca="false">'Base A'!C23</f>
        <v>554.08</v>
      </c>
      <c r="D11" s="132" t="n">
        <f aca="false">'Base A'!T23</f>
        <v>15.4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29.106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33</v>
      </c>
      <c r="C12" s="133" t="n">
        <f aca="false">'Base A'!C24</f>
        <v>569.48</v>
      </c>
      <c r="D12" s="132" t="n">
        <f aca="false">'Base A'!T24</f>
        <v>3.64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6.8796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TD</v>
      </c>
      <c r="C13" s="133" t="n">
        <f aca="false">'Base A'!C25</f>
        <v>573.12</v>
      </c>
      <c r="D13" s="132" t="n">
        <f aca="false">'Base A'!T25</f>
        <v>6.56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12.3984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P</v>
      </c>
      <c r="C14" s="133" t="n">
        <f aca="false">'Base A'!C26</f>
        <v>579.68</v>
      </c>
      <c r="D14" s="132" t="n">
        <f aca="false">'Base A'!T26</f>
        <v>4.84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9.1476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E2</v>
      </c>
      <c r="C15" s="133" t="n">
        <f aca="false">'Base A'!C27</f>
        <v>584.52</v>
      </c>
      <c r="D15" s="132" t="n">
        <f aca="false">'Base A'!T27</f>
        <v>1.71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3.2319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TC</v>
      </c>
      <c r="C16" s="133" t="n">
        <f aca="false">'Base A'!C28</f>
        <v>586.23</v>
      </c>
      <c r="D16" s="132" t="n">
        <f aca="false">'Base A'!T28</f>
        <v>11.55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21.8295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34</v>
      </c>
      <c r="C17" s="133" t="n">
        <f aca="false">'Base A'!C29</f>
        <v>597.78</v>
      </c>
      <c r="D17" s="132" t="n">
        <f aca="false">'Base A'!T29</f>
        <v>17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32.13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35</v>
      </c>
      <c r="C18" s="133" t="n">
        <f aca="false">'Base A'!C30</f>
        <v>614.78</v>
      </c>
      <c r="D18" s="132" t="n">
        <f aca="false">'Base A'!T30</f>
        <v>17.05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32.2245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36</v>
      </c>
      <c r="C19" s="133" t="n">
        <f aca="false">'Base A'!C31</f>
        <v>631.83</v>
      </c>
      <c r="D19" s="132" t="n">
        <f aca="false">'Base A'!T31</f>
        <v>11.7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22.113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E9</v>
      </c>
      <c r="C20" s="133" t="n">
        <f aca="false">'Base A'!C32</f>
        <v>643.53</v>
      </c>
      <c r="D20" s="132" t="n">
        <f aca="false">'Base A'!T32</f>
        <v>11.75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22.2075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A'!B33</f>
        <v>37</v>
      </c>
      <c r="C21" s="133" t="n">
        <f aca="false">'Base A'!C33</f>
        <v>655.28</v>
      </c>
      <c r="D21" s="132" t="n">
        <f aca="false">'Base A'!T33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10.5*0.18</f>
        <v>1.89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32.13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A'!B34</f>
        <v>38</v>
      </c>
      <c r="C22" s="133" t="n">
        <f aca="false">'Base A'!C34</f>
        <v>672.28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10.5*0.18</f>
        <v>1.89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223.398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38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52.NĐXD4/CVXD ngày 10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52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1 đoạn từ Km0+554,08 - Km0+672,28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554.08</v>
      </c>
      <c r="D23" s="16" t="n">
        <v>-5.25</v>
      </c>
      <c r="E23" s="16" t="n">
        <f aca="false">+D23+F23</f>
        <v>-5.2482</v>
      </c>
      <c r="F23" s="16" t="n">
        <f aca="false">RANDBETWEEN(-105,115)/10000</f>
        <v>0.0018</v>
      </c>
      <c r="G23" s="16" t="n">
        <f aca="false">W23+0.15</f>
        <v>2.768</v>
      </c>
      <c r="H23" s="16" t="n">
        <f aca="false">G23+I23</f>
        <v>2.748</v>
      </c>
      <c r="I23" s="16" t="n">
        <f aca="false">RANDBETWEEN(-20,70)/1000</f>
        <v>-0.02</v>
      </c>
      <c r="J23" s="16" t="n">
        <f aca="false">X23+0.15</f>
        <v>2.885</v>
      </c>
      <c r="K23" s="16" t="n">
        <f aca="false">J23+L23</f>
        <v>2.888</v>
      </c>
      <c r="L23" s="16" t="n">
        <f aca="false">RANDBETWEEN(-20,70)/1000</f>
        <v>0.003</v>
      </c>
      <c r="M23" s="16" t="n">
        <v>5.25</v>
      </c>
      <c r="N23" s="16" t="n">
        <f aca="false">+M23+O23</f>
        <v>5.2496</v>
      </c>
      <c r="O23" s="16" t="n">
        <f aca="false">RANDBETWEEN(-105,115)/10000</f>
        <v>-0.0004</v>
      </c>
      <c r="P23" s="16" t="n">
        <f aca="false">Y23+0.15</f>
        <v>2.768</v>
      </c>
      <c r="Q23" s="16" t="n">
        <f aca="false">P23+R23</f>
        <v>2.836</v>
      </c>
      <c r="R23" s="16" t="n">
        <f aca="false">RANDBETWEEN(-20,70)/1000</f>
        <v>0.068</v>
      </c>
      <c r="S23" s="17"/>
      <c r="T23" s="18" t="n">
        <v>15.4</v>
      </c>
      <c r="V23" s="19"/>
      <c r="W23" s="19" t="n">
        <f aca="false">'Base A'!G23</f>
        <v>2.618</v>
      </c>
      <c r="X23" s="19" t="n">
        <f aca="false">'Base A'!J23</f>
        <v>2.735</v>
      </c>
      <c r="Y23" s="19" t="n">
        <f aca="false">'Base A'!P23</f>
        <v>2.618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569.48</v>
      </c>
      <c r="D24" s="16" t="n">
        <v>-5.25</v>
      </c>
      <c r="E24" s="16" t="n">
        <f aca="false">+D24+F24</f>
        <v>-5.2569</v>
      </c>
      <c r="F24" s="16" t="n">
        <f aca="false">RANDBETWEEN(-105,115)/10000</f>
        <v>-0.0069</v>
      </c>
      <c r="G24" s="16" t="n">
        <f aca="false">W24+0.15</f>
        <v>2.761</v>
      </c>
      <c r="H24" s="16" t="n">
        <f aca="false">G24+I24</f>
        <v>2.83</v>
      </c>
      <c r="I24" s="16" t="n">
        <f aca="false">RANDBETWEEN(-20,70)/1000</f>
        <v>0.069</v>
      </c>
      <c r="J24" s="16" t="n">
        <f aca="false">X24+0.15</f>
        <v>2.878</v>
      </c>
      <c r="K24" s="16" t="n">
        <f aca="false">J24+L24</f>
        <v>2.919</v>
      </c>
      <c r="L24" s="16" t="n">
        <f aca="false">RANDBETWEEN(-20,70)/1000</f>
        <v>0.041</v>
      </c>
      <c r="M24" s="16" t="n">
        <v>5.25</v>
      </c>
      <c r="N24" s="16" t="n">
        <f aca="false">+M24+O24</f>
        <v>5.2605</v>
      </c>
      <c r="O24" s="16" t="n">
        <f aca="false">RANDBETWEEN(-105,115)/10000</f>
        <v>0.0105</v>
      </c>
      <c r="P24" s="16" t="n">
        <f aca="false">Y24+0.15</f>
        <v>2.761</v>
      </c>
      <c r="Q24" s="16" t="n">
        <f aca="false">P24+R24</f>
        <v>2.769</v>
      </c>
      <c r="R24" s="16" t="n">
        <f aca="false">RANDBETWEEN(-20,70)/1000</f>
        <v>0.008</v>
      </c>
      <c r="S24" s="17"/>
      <c r="T24" s="18" t="n">
        <v>3.64</v>
      </c>
      <c r="V24" s="19"/>
      <c r="W24" s="19" t="n">
        <f aca="false">'Base A'!G24</f>
        <v>2.611</v>
      </c>
      <c r="X24" s="19" t="n">
        <f aca="false">'Base A'!J24</f>
        <v>2.728</v>
      </c>
      <c r="Y24" s="19" t="n">
        <f aca="false">'Base A'!P24</f>
        <v>2.611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573.12</v>
      </c>
      <c r="D25" s="16" t="n">
        <v>-5.25</v>
      </c>
      <c r="E25" s="16" t="n">
        <f aca="false">+D25+F25</f>
        <v>-5.2479</v>
      </c>
      <c r="F25" s="16" t="n">
        <f aca="false">RANDBETWEEN(-105,115)/10000</f>
        <v>0.0021</v>
      </c>
      <c r="G25" s="16" t="n">
        <f aca="false">W25+0.15</f>
        <v>2.76</v>
      </c>
      <c r="H25" s="16" t="n">
        <f aca="false">G25+I25</f>
        <v>2.82</v>
      </c>
      <c r="I25" s="16" t="n">
        <f aca="false">RANDBETWEEN(-20,70)/1000</f>
        <v>0.06</v>
      </c>
      <c r="J25" s="16" t="n">
        <f aca="false">X25+0.15</f>
        <v>2.877</v>
      </c>
      <c r="K25" s="16" t="n">
        <f aca="false">J25+L25</f>
        <v>2.93</v>
      </c>
      <c r="L25" s="16" t="n">
        <f aca="false">RANDBETWEEN(-20,70)/1000</f>
        <v>0.053</v>
      </c>
      <c r="M25" s="16" t="n">
        <v>5.25</v>
      </c>
      <c r="N25" s="16" t="n">
        <f aca="false">+M25+O25</f>
        <v>5.2487</v>
      </c>
      <c r="O25" s="16" t="n">
        <f aca="false">RANDBETWEEN(-105,115)/10000</f>
        <v>-0.0013</v>
      </c>
      <c r="P25" s="16" t="n">
        <f aca="false">Y25+0.15</f>
        <v>2.76</v>
      </c>
      <c r="Q25" s="16" t="n">
        <f aca="false">P25+R25</f>
        <v>2.789</v>
      </c>
      <c r="R25" s="16" t="n">
        <f aca="false">RANDBETWEEN(-20,70)/1000</f>
        <v>0.029</v>
      </c>
      <c r="S25" s="17"/>
      <c r="T25" s="18" t="n">
        <v>6.56</v>
      </c>
      <c r="V25" s="19"/>
      <c r="W25" s="19" t="n">
        <f aca="false">'Base A'!G25</f>
        <v>2.61</v>
      </c>
      <c r="X25" s="19" t="n">
        <f aca="false">'Base A'!J25</f>
        <v>2.727</v>
      </c>
      <c r="Y25" s="19" t="n">
        <f aca="false">'Base A'!P25</f>
        <v>2.61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579.68</v>
      </c>
      <c r="D26" s="16" t="n">
        <v>-5.25</v>
      </c>
      <c r="E26" s="16" t="n">
        <f aca="false">+D26+F26</f>
        <v>-5.239</v>
      </c>
      <c r="F26" s="16" t="n">
        <f aca="false">RANDBETWEEN(-105,115)/10000</f>
        <v>0.011</v>
      </c>
      <c r="G26" s="16" t="n">
        <f aca="false">W26+0.15</f>
        <v>2.759</v>
      </c>
      <c r="H26" s="16" t="n">
        <f aca="false">G26+I26</f>
        <v>2.742</v>
      </c>
      <c r="I26" s="16" t="n">
        <f aca="false">RANDBETWEEN(-20,70)/1000</f>
        <v>-0.017</v>
      </c>
      <c r="J26" s="16" t="n">
        <f aca="false">X26+0.15</f>
        <v>2.876</v>
      </c>
      <c r="K26" s="16" t="n">
        <f aca="false">J26+L26</f>
        <v>2.863</v>
      </c>
      <c r="L26" s="16" t="n">
        <f aca="false">RANDBETWEEN(-20,70)/1000</f>
        <v>-0.013</v>
      </c>
      <c r="M26" s="16" t="n">
        <v>5.25</v>
      </c>
      <c r="N26" s="16" t="n">
        <f aca="false">+M26+O26</f>
        <v>5.2395</v>
      </c>
      <c r="O26" s="16" t="n">
        <f aca="false">RANDBETWEEN(-105,115)/10000</f>
        <v>-0.0105</v>
      </c>
      <c r="P26" s="16" t="n">
        <f aca="false">Y26+0.15</f>
        <v>2.759</v>
      </c>
      <c r="Q26" s="16" t="n">
        <f aca="false">P26+R26</f>
        <v>2.751</v>
      </c>
      <c r="R26" s="16" t="n">
        <f aca="false">RANDBETWEEN(-20,70)/1000</f>
        <v>-0.008</v>
      </c>
      <c r="S26" s="17"/>
      <c r="T26" s="18" t="n">
        <v>4.84</v>
      </c>
      <c r="V26" s="19"/>
      <c r="W26" s="19" t="n">
        <f aca="false">'Base A'!G26</f>
        <v>2.609</v>
      </c>
      <c r="X26" s="19" t="n">
        <f aca="false">'Base A'!J26</f>
        <v>2.726</v>
      </c>
      <c r="Y26" s="19" t="n">
        <f aca="false">'Base A'!P26</f>
        <v>2.609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584.52</v>
      </c>
      <c r="D27" s="16" t="n">
        <v>-5.25</v>
      </c>
      <c r="E27" s="16" t="n">
        <f aca="false">+D27+F27</f>
        <v>-5.2524</v>
      </c>
      <c r="F27" s="16" t="n">
        <f aca="false">RANDBETWEEN(-105,115)/10000</f>
        <v>-0.0024</v>
      </c>
      <c r="G27" s="16" t="n">
        <f aca="false">W27+0.15</f>
        <v>2.758</v>
      </c>
      <c r="H27" s="16" t="n">
        <f aca="false">G27+I27</f>
        <v>2.772</v>
      </c>
      <c r="I27" s="16" t="n">
        <f aca="false">RANDBETWEEN(-20,70)/1000</f>
        <v>0.014</v>
      </c>
      <c r="J27" s="16" t="n">
        <f aca="false">X27+0.15</f>
        <v>2.875</v>
      </c>
      <c r="K27" s="16" t="n">
        <f aca="false">J27+L27</f>
        <v>2.857</v>
      </c>
      <c r="L27" s="16" t="n">
        <f aca="false">RANDBETWEEN(-20,70)/1000</f>
        <v>-0.018</v>
      </c>
      <c r="M27" s="16" t="n">
        <v>5.25</v>
      </c>
      <c r="N27" s="16" t="n">
        <f aca="false">+M27+O27</f>
        <v>5.2468</v>
      </c>
      <c r="O27" s="16" t="n">
        <f aca="false">RANDBETWEEN(-105,115)/10000</f>
        <v>-0.0032</v>
      </c>
      <c r="P27" s="16" t="n">
        <f aca="false">Y27+0.15</f>
        <v>2.758</v>
      </c>
      <c r="Q27" s="16" t="n">
        <f aca="false">P27+R27</f>
        <v>2.821</v>
      </c>
      <c r="R27" s="16" t="n">
        <f aca="false">RANDBETWEEN(-20,70)/1000</f>
        <v>0.063</v>
      </c>
      <c r="S27" s="17"/>
      <c r="T27" s="18" t="n">
        <v>1.71</v>
      </c>
      <c r="V27" s="19"/>
      <c r="W27" s="19" t="n">
        <f aca="false">'Base A'!G27</f>
        <v>2.608</v>
      </c>
      <c r="X27" s="19" t="n">
        <f aca="false">'Base A'!J27</f>
        <v>2.725</v>
      </c>
      <c r="Y27" s="19" t="n">
        <f aca="false">'Base A'!P27</f>
        <v>2.608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586.23</v>
      </c>
      <c r="D28" s="16" t="n">
        <v>-5.25</v>
      </c>
      <c r="E28" s="16" t="n">
        <f aca="false">+D28+F28</f>
        <v>-5.259</v>
      </c>
      <c r="F28" s="16" t="n">
        <f aca="false">RANDBETWEEN(-105,115)/10000</f>
        <v>-0.009</v>
      </c>
      <c r="G28" s="16" t="n">
        <f aca="false">W28+0.15</f>
        <v>2.757</v>
      </c>
      <c r="H28" s="16" t="n">
        <f aca="false">G28+I28</f>
        <v>2.806</v>
      </c>
      <c r="I28" s="16" t="n">
        <f aca="false">RANDBETWEEN(-20,70)/1000</f>
        <v>0.049</v>
      </c>
      <c r="J28" s="16" t="n">
        <f aca="false">X28+0.15</f>
        <v>2.874</v>
      </c>
      <c r="K28" s="16" t="n">
        <f aca="false">J28+L28</f>
        <v>2.908</v>
      </c>
      <c r="L28" s="16" t="n">
        <f aca="false">RANDBETWEEN(-20,70)/1000</f>
        <v>0.034</v>
      </c>
      <c r="M28" s="16" t="n">
        <v>5.25</v>
      </c>
      <c r="N28" s="16" t="n">
        <f aca="false">+M28+O28</f>
        <v>5.2472</v>
      </c>
      <c r="O28" s="16" t="n">
        <f aca="false">RANDBETWEEN(-105,115)/10000</f>
        <v>-0.0028</v>
      </c>
      <c r="P28" s="16" t="n">
        <f aca="false">Y28+0.15</f>
        <v>2.757</v>
      </c>
      <c r="Q28" s="16" t="n">
        <f aca="false">P28+R28</f>
        <v>2.775</v>
      </c>
      <c r="R28" s="16" t="n">
        <f aca="false">RANDBETWEEN(-20,70)/1000</f>
        <v>0.018</v>
      </c>
      <c r="S28" s="17"/>
      <c r="T28" s="18" t="n">
        <v>11.55</v>
      </c>
      <c r="V28" s="19"/>
      <c r="W28" s="19" t="n">
        <f aca="false">'Base A'!G28</f>
        <v>2.607</v>
      </c>
      <c r="X28" s="19" t="n">
        <f aca="false">'Base A'!J28</f>
        <v>2.724</v>
      </c>
      <c r="Y28" s="19" t="n">
        <f aca="false">'Base A'!P28</f>
        <v>2.607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597.78</v>
      </c>
      <c r="D29" s="16" t="n">
        <v>-5.25</v>
      </c>
      <c r="E29" s="16" t="n">
        <f aca="false">+D29+F29</f>
        <v>-5.2562</v>
      </c>
      <c r="F29" s="16" t="n">
        <f aca="false">RANDBETWEEN(-105,115)/10000</f>
        <v>-0.0062</v>
      </c>
      <c r="G29" s="16" t="n">
        <f aca="false">W29+0.15</f>
        <v>2.755</v>
      </c>
      <c r="H29" s="16" t="n">
        <f aca="false">G29+I29</f>
        <v>2.782</v>
      </c>
      <c r="I29" s="16" t="n">
        <f aca="false">RANDBETWEEN(-20,70)/1000</f>
        <v>0.027</v>
      </c>
      <c r="J29" s="16" t="n">
        <f aca="false">X29+0.15</f>
        <v>2.872</v>
      </c>
      <c r="K29" s="16" t="n">
        <f aca="false">J29+L29</f>
        <v>2.878</v>
      </c>
      <c r="L29" s="16" t="n">
        <f aca="false">RANDBETWEEN(-20,70)/1000</f>
        <v>0.006</v>
      </c>
      <c r="M29" s="16" t="n">
        <v>5.25</v>
      </c>
      <c r="N29" s="16" t="n">
        <f aca="false">+M29+O29</f>
        <v>5.243</v>
      </c>
      <c r="O29" s="16" t="n">
        <f aca="false">RANDBETWEEN(-105,115)/10000</f>
        <v>-0.007</v>
      </c>
      <c r="P29" s="16" t="n">
        <f aca="false">Y29+0.15</f>
        <v>2.755</v>
      </c>
      <c r="Q29" s="16" t="n">
        <f aca="false">P29+R29</f>
        <v>2.811</v>
      </c>
      <c r="R29" s="16" t="n">
        <f aca="false">RANDBETWEEN(-20,70)/1000</f>
        <v>0.056</v>
      </c>
      <c r="S29" s="17"/>
      <c r="T29" s="18" t="n">
        <v>17</v>
      </c>
      <c r="V29" s="19"/>
      <c r="W29" s="19" t="n">
        <f aca="false">'Base A'!G29</f>
        <v>2.605</v>
      </c>
      <c r="X29" s="19" t="n">
        <f aca="false">'Base A'!J29</f>
        <v>2.722</v>
      </c>
      <c r="Y29" s="19" t="n">
        <f aca="false">'Base A'!P29</f>
        <v>2.605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614.78</v>
      </c>
      <c r="D30" s="16" t="n">
        <v>-5.25</v>
      </c>
      <c r="E30" s="16" t="n">
        <f aca="false">+D30+F30</f>
        <v>-5.2531</v>
      </c>
      <c r="F30" s="16" t="n">
        <f aca="false">RANDBETWEEN(-105,115)/10000</f>
        <v>-0.0031</v>
      </c>
      <c r="G30" s="16" t="n">
        <f aca="false">W30+0.15</f>
        <v>2.758</v>
      </c>
      <c r="H30" s="16" t="n">
        <f aca="false">G30+I30</f>
        <v>2.826</v>
      </c>
      <c r="I30" s="16" t="n">
        <f aca="false">RANDBETWEEN(-20,70)/1000</f>
        <v>0.068</v>
      </c>
      <c r="J30" s="16" t="n">
        <f aca="false">X30+0.15</f>
        <v>2.875</v>
      </c>
      <c r="K30" s="16" t="n">
        <f aca="false">J30+L30</f>
        <v>2.901</v>
      </c>
      <c r="L30" s="16" t="n">
        <f aca="false">RANDBETWEEN(-20,70)/1000</f>
        <v>0.026</v>
      </c>
      <c r="M30" s="16" t="n">
        <v>5.25</v>
      </c>
      <c r="N30" s="16" t="n">
        <f aca="false">+M30+O30</f>
        <v>5.2591</v>
      </c>
      <c r="O30" s="16" t="n">
        <f aca="false">RANDBETWEEN(-105,115)/10000</f>
        <v>0.0091</v>
      </c>
      <c r="P30" s="16" t="n">
        <f aca="false">Y30+0.15</f>
        <v>2.758</v>
      </c>
      <c r="Q30" s="16" t="n">
        <f aca="false">P30+R30</f>
        <v>2.816</v>
      </c>
      <c r="R30" s="16" t="n">
        <f aca="false">RANDBETWEEN(-20,70)/1000</f>
        <v>0.058</v>
      </c>
      <c r="S30" s="17"/>
      <c r="T30" s="18" t="n">
        <v>17.05</v>
      </c>
      <c r="V30" s="19"/>
      <c r="W30" s="19" t="n">
        <f aca="false">'Base A'!G30</f>
        <v>2.608</v>
      </c>
      <c r="X30" s="19" t="n">
        <f aca="false">'Base A'!J30</f>
        <v>2.725</v>
      </c>
      <c r="Y30" s="19" t="n">
        <f aca="false">'Base A'!P30</f>
        <v>2.608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631.83</v>
      </c>
      <c r="D31" s="16" t="n">
        <v>-5.25</v>
      </c>
      <c r="E31" s="16" t="n">
        <f aca="false">+D31+F31</f>
        <v>-5.2479</v>
      </c>
      <c r="F31" s="16" t="n">
        <f aca="false">RANDBETWEEN(-105,115)/10000</f>
        <v>0.0021</v>
      </c>
      <c r="G31" s="16" t="n">
        <f aca="false">W31+0.15</f>
        <v>2.761</v>
      </c>
      <c r="H31" s="16" t="n">
        <f aca="false">G31+I31</f>
        <v>2.821</v>
      </c>
      <c r="I31" s="16" t="n">
        <f aca="false">RANDBETWEEN(-20,70)/1000</f>
        <v>0.06</v>
      </c>
      <c r="J31" s="16" t="n">
        <f aca="false">X31+0.15</f>
        <v>2.878</v>
      </c>
      <c r="K31" s="16" t="n">
        <f aca="false">J31+L31</f>
        <v>2.866</v>
      </c>
      <c r="L31" s="16" t="n">
        <f aca="false">RANDBETWEEN(-20,70)/1000</f>
        <v>-0.012</v>
      </c>
      <c r="M31" s="16" t="n">
        <v>5.25</v>
      </c>
      <c r="N31" s="16" t="n">
        <f aca="false">+M31+O31</f>
        <v>5.2501</v>
      </c>
      <c r="O31" s="16" t="n">
        <f aca="false">RANDBETWEEN(-105,115)/10000</f>
        <v>0.0001</v>
      </c>
      <c r="P31" s="16" t="n">
        <f aca="false">Y31+0.15</f>
        <v>2.761</v>
      </c>
      <c r="Q31" s="16" t="n">
        <f aca="false">P31+R31</f>
        <v>2.783</v>
      </c>
      <c r="R31" s="16" t="n">
        <f aca="false">RANDBETWEEN(-20,70)/1000</f>
        <v>0.022</v>
      </c>
      <c r="S31" s="17"/>
      <c r="T31" s="18" t="n">
        <v>11.7</v>
      </c>
      <c r="V31" s="19"/>
      <c r="W31" s="19" t="n">
        <f aca="false">'Base A'!G31</f>
        <v>2.611</v>
      </c>
      <c r="X31" s="19" t="n">
        <f aca="false">'Base A'!J31</f>
        <v>2.728</v>
      </c>
      <c r="Y31" s="19" t="n">
        <f aca="false">'Base A'!P31</f>
        <v>2.611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643.53</v>
      </c>
      <c r="D32" s="16" t="n">
        <v>-5.25</v>
      </c>
      <c r="E32" s="16" t="n">
        <f aca="false">+D32+F32</f>
        <v>-5.2503</v>
      </c>
      <c r="F32" s="16" t="n">
        <f aca="false">RANDBETWEEN(-105,115)/10000</f>
        <v>-0.0003</v>
      </c>
      <c r="G32" s="16" t="n">
        <f aca="false">W32+0.15</f>
        <v>2.763</v>
      </c>
      <c r="H32" s="16" t="n">
        <f aca="false">G32+I32</f>
        <v>2.78</v>
      </c>
      <c r="I32" s="16" t="n">
        <f aca="false">RANDBETWEEN(-20,70)/1000</f>
        <v>0.017</v>
      </c>
      <c r="J32" s="16" t="n">
        <f aca="false">X32+0.15</f>
        <v>2.88</v>
      </c>
      <c r="K32" s="16" t="n">
        <f aca="false">J32+L32</f>
        <v>2.929</v>
      </c>
      <c r="L32" s="16" t="n">
        <f aca="false">RANDBETWEEN(-20,70)/1000</f>
        <v>0.049</v>
      </c>
      <c r="M32" s="16" t="n">
        <v>5.25</v>
      </c>
      <c r="N32" s="16" t="n">
        <f aca="false">+M32+O32</f>
        <v>5.2475</v>
      </c>
      <c r="O32" s="16" t="n">
        <f aca="false">RANDBETWEEN(-105,115)/10000</f>
        <v>-0.0025</v>
      </c>
      <c r="P32" s="16" t="n">
        <f aca="false">Y32+0.15</f>
        <v>2.763</v>
      </c>
      <c r="Q32" s="16" t="n">
        <f aca="false">P32+R32</f>
        <v>2.803</v>
      </c>
      <c r="R32" s="16" t="n">
        <f aca="false">RANDBETWEEN(-20,70)/1000</f>
        <v>0.04</v>
      </c>
      <c r="S32" s="17"/>
      <c r="T32" s="18" t="n">
        <v>11.75</v>
      </c>
      <c r="V32" s="19"/>
      <c r="W32" s="19" t="n">
        <f aca="false">'Base A'!G32</f>
        <v>2.613</v>
      </c>
      <c r="X32" s="19" t="n">
        <f aca="false">'Base A'!J32</f>
        <v>2.73</v>
      </c>
      <c r="Y32" s="19" t="n">
        <f aca="false">'Base A'!P32</f>
        <v>2.613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655.28</v>
      </c>
      <c r="D33" s="16" t="n">
        <v>-5.25</v>
      </c>
      <c r="E33" s="16" t="n">
        <f aca="false">+D33+F33</f>
        <v>-5.241</v>
      </c>
      <c r="F33" s="16" t="n">
        <f aca="false">RANDBETWEEN(-105,115)/10000</f>
        <v>0.009</v>
      </c>
      <c r="G33" s="16" t="n">
        <f aca="false">W33+0.15</f>
        <v>2.765</v>
      </c>
      <c r="H33" s="16" t="n">
        <f aca="false">G33+I33</f>
        <v>2.812</v>
      </c>
      <c r="I33" s="16" t="n">
        <f aca="false">RANDBETWEEN(-20,70)/1000</f>
        <v>0.047</v>
      </c>
      <c r="J33" s="16" t="n">
        <f aca="false">X33+0.15</f>
        <v>2.882</v>
      </c>
      <c r="K33" s="16" t="n">
        <f aca="false">J33+L33</f>
        <v>2.951</v>
      </c>
      <c r="L33" s="16" t="n">
        <f aca="false">RANDBETWEEN(-20,70)/1000</f>
        <v>0.069</v>
      </c>
      <c r="M33" s="16" t="n">
        <v>5.25</v>
      </c>
      <c r="N33" s="16" t="n">
        <f aca="false">+M33+O33</f>
        <v>5.2407</v>
      </c>
      <c r="O33" s="16" t="n">
        <f aca="false">RANDBETWEEN(-105,115)/10000</f>
        <v>-0.0093</v>
      </c>
      <c r="P33" s="16" t="n">
        <f aca="false">Y33+0.15</f>
        <v>2.765</v>
      </c>
      <c r="Q33" s="16" t="n">
        <f aca="false">P33+R33</f>
        <v>2.802</v>
      </c>
      <c r="R33" s="16" t="n">
        <f aca="false">RANDBETWEEN(-20,70)/1000</f>
        <v>0.037</v>
      </c>
      <c r="S33" s="17"/>
      <c r="T33" s="18" t="n">
        <v>17</v>
      </c>
      <c r="V33" s="19"/>
      <c r="W33" s="19" t="n">
        <f aca="false">'Base A'!G33</f>
        <v>2.615</v>
      </c>
      <c r="X33" s="19" t="n">
        <f aca="false">'Base A'!J33</f>
        <v>2.732</v>
      </c>
      <c r="Y33" s="19" t="n">
        <f aca="false">'Base A'!P33</f>
        <v>2.615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672.28</v>
      </c>
      <c r="D34" s="16" t="n">
        <v>-5.25</v>
      </c>
      <c r="E34" s="16" t="n">
        <f aca="false">+D34+F34</f>
        <v>-5.2418</v>
      </c>
      <c r="F34" s="16" t="n">
        <f aca="false">RANDBETWEEN(-105,115)/10000</f>
        <v>0.0082</v>
      </c>
      <c r="G34" s="16" t="n">
        <f aca="false">W34+0.15</f>
        <v>2.768</v>
      </c>
      <c r="H34" s="16" t="n">
        <f aca="false">G34+I34</f>
        <v>2.806</v>
      </c>
      <c r="I34" s="16" t="n">
        <f aca="false">RANDBETWEEN(-20,70)/1000</f>
        <v>0.038</v>
      </c>
      <c r="J34" s="16" t="n">
        <f aca="false">X34+0.15</f>
        <v>2.885</v>
      </c>
      <c r="K34" s="16" t="n">
        <f aca="false">J34+L34</f>
        <v>2.895</v>
      </c>
      <c r="L34" s="16" t="n">
        <f aca="false">RANDBETWEEN(-20,70)/1000</f>
        <v>0.01</v>
      </c>
      <c r="M34" s="16" t="n">
        <v>5.25</v>
      </c>
      <c r="N34" s="16" t="n">
        <f aca="false">+M34+O34</f>
        <v>5.2601</v>
      </c>
      <c r="O34" s="16" t="n">
        <f aca="false">RANDBETWEEN(-105,115)/10000</f>
        <v>0.0101</v>
      </c>
      <c r="P34" s="16" t="n">
        <f aca="false">Y34+0.15</f>
        <v>2.768</v>
      </c>
      <c r="Q34" s="16" t="n">
        <f aca="false">P34+R34</f>
        <v>2.833</v>
      </c>
      <c r="R34" s="16" t="n">
        <f aca="false">RANDBETWEEN(-20,70)/1000</f>
        <v>0.065</v>
      </c>
      <c r="S34" s="17"/>
      <c r="T34" s="18"/>
      <c r="V34" s="19"/>
      <c r="W34" s="19" t="n">
        <f aca="false">'Base A'!G34</f>
        <v>2.618</v>
      </c>
      <c r="X34" s="19" t="n">
        <f aca="false">'Base A'!J34</f>
        <v>2.735</v>
      </c>
      <c r="Y34" s="19" t="n">
        <f aca="false">'Base A'!P34</f>
        <v>2.618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53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52.NĐXD4/CVXD ngày 10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52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1 đoạn từ Km0+554,08 - Km0+672,28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32</v>
      </c>
      <c r="C11" s="133" t="n">
        <f aca="false">'Base B'!C23</f>
        <v>554.08</v>
      </c>
      <c r="D11" s="132" t="n">
        <f aca="false">'Base B'!T23</f>
        <v>15.4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24.255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33</v>
      </c>
      <c r="C12" s="133" t="n">
        <f aca="false">'Base B'!C24</f>
        <v>569.48</v>
      </c>
      <c r="D12" s="132" t="n">
        <f aca="false">'Base B'!T24</f>
        <v>3.64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5.733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TD</v>
      </c>
      <c r="C13" s="133" t="n">
        <f aca="false">'Base B'!C25</f>
        <v>573.12</v>
      </c>
      <c r="D13" s="132" t="n">
        <f aca="false">'Base B'!T25</f>
        <v>6.56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10.332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P</v>
      </c>
      <c r="C14" s="133" t="n">
        <f aca="false">'Base B'!C26</f>
        <v>579.68</v>
      </c>
      <c r="D14" s="132" t="n">
        <f aca="false">'Base B'!T26</f>
        <v>4.84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7.623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E2</v>
      </c>
      <c r="C15" s="133" t="n">
        <f aca="false">'Base B'!C27</f>
        <v>584.52</v>
      </c>
      <c r="D15" s="132" t="n">
        <f aca="false">'Base B'!T27</f>
        <v>1.71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2.69325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TC</v>
      </c>
      <c r="C16" s="133" t="n">
        <f aca="false">'Base B'!C28</f>
        <v>586.23</v>
      </c>
      <c r="D16" s="132" t="n">
        <f aca="false">'Base B'!T28</f>
        <v>11.55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18.19125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34</v>
      </c>
      <c r="C17" s="133" t="n">
        <f aca="false">'Base B'!C29</f>
        <v>597.78</v>
      </c>
      <c r="D17" s="132" t="n">
        <f aca="false">'Base B'!T29</f>
        <v>17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26.775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35</v>
      </c>
      <c r="C18" s="133" t="n">
        <f aca="false">'Base B'!C30</f>
        <v>614.78</v>
      </c>
      <c r="D18" s="132" t="n">
        <f aca="false">'Base B'!T30</f>
        <v>17.05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26.85375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36</v>
      </c>
      <c r="C19" s="133" t="n">
        <f aca="false">'Base B'!C31</f>
        <v>631.83</v>
      </c>
      <c r="D19" s="132" t="n">
        <f aca="false">'Base B'!T31</f>
        <v>11.7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18.4275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E9</v>
      </c>
      <c r="C20" s="133" t="n">
        <f aca="false">'Base B'!C32</f>
        <v>643.53</v>
      </c>
      <c r="D20" s="132" t="n">
        <f aca="false">'Base B'!T32</f>
        <v>11.75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18.50625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B'!B33</f>
        <v>37</v>
      </c>
      <c r="C21" s="133" t="n">
        <f aca="false">'Base B'!C33</f>
        <v>655.28</v>
      </c>
      <c r="D21" s="132" t="n">
        <f aca="false">'Base B'!T33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10.5*0.15</f>
        <v>1.575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26.775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B'!B34</f>
        <v>38</v>
      </c>
      <c r="C22" s="133" t="n">
        <f aca="false">'Base B'!C34</f>
        <v>672.28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10.5*0.15</f>
        <v>1.575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186.165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2026-10-13T10:12:22Z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