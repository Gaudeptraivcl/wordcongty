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A'!$A$1:$S$40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B'!$A$1:$S$40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A'!$A$1:$AB$29</definedName>
    <definedName function="false" hidden="false" localSheetId="7" name="_xlnm.Print_Area" vbProcedure="false">'KL Basa B'!$A$1:$AB$29</definedName>
    <definedName function="false" hidden="false" localSheetId="1" name="_xlnm.Print_Area" vbProcedure="false">'KL lớp 1'!$A$1:$AB$29</definedName>
    <definedName function="false" hidden="false" localSheetId="3" name="_xlnm.Print_Area" vbProcedure="false">'KL lớp 2'!$A$1:$AB$29</definedName>
    <definedName function="false" hidden="false" localSheetId="0" name="_xlnm.Print_Area" vbProcedure="false">'KTHH Lớp 1'!$A$1:$S$40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2'!$A$1:$S$40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<sst xmlns="http://schemas.openxmlformats.org/spreadsheetml/2006/main" count="292" uniqueCount="51">
  <si>
    <t xml:space="preserve">PHỤ LỤC KIỂM TRA CAO ĐỘ, KÍCH THƯỚC HÌNH HỌC</t>
  </si>
  <si>
    <t xml:space="preserve">Kèm theo BBNT số: 17.NĐXB6A/CVXD ngày 03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</si>
  <si>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</si>
  <si>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</si>
  <si>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</si>
  <si>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XB6A</t>
  </si>
  <si>
    <t xml:space="preserve">- Đối tượng nghiệm thu:</t>
  </si>
  <si>
    <t xml:space="preserve">Đắp đất nền đường lớp 1, độ chặt K&gt;=0,98 đoạn từ Km0+000,00 - Km0+126,46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</si>
  <si>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</si>
  <si>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</si>
  <si>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</si>
  <si>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</si>
  <si>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</si>
  <si>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</si>
  <si>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</si>
  <si>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</si>
  <si>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</si>
  <si>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</si>
  <si>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</si>
  <si>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</si>
  <si>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</si>
  <si>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</si>
  <si>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</si>
  <si>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D3</t>
  </si>
  <si>
    <t xml:space="preserve">1</t>
  </si>
  <si>
    <t xml:space="preserve">2</t>
  </si>
  <si>
    <t xml:space="preserve">3</t>
  </si>
  <si>
    <t xml:space="preserve">D2</t>
  </si>
  <si>
    <t xml:space="preserve">4</t>
  </si>
  <si>
    <t xml:space="preserve">5</t>
  </si>
  <si>
    <t xml:space="preserve">6</t>
  </si>
  <si>
    <t xml:space="preserve">D1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</si>
  <si>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</si>
  <si>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</si>
  <si>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</si>
  <si>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</si>
  <si>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</si>
  <si>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</si>
  <si>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</si>
  <si>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</si>
  <si>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</si>
  <si>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</si>
  <si>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</si>
  <si>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</si>
  <si>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19.NĐXB6A/CVXD ngày 04 tháng 09 năm 2026</t>
  </si>
  <si>
    <t xml:space="preserve">Đắp đất nền đường lớp 2, độ chặt K&gt;=0,98 đoạn từ Km0+000,00 - Km0+126,46</t>
  </si>
  <si>
    <t xml:space="preserve">Kèm theo BBNT số: 21.NĐXB6A/CVXD ngày 05 tháng 09 năm 2026</t>
  </si>
  <si>
    <t xml:space="preserve">Đắp cấp phối đá dăm loại 2 đoạn từ Km0+000,00 - Km0+126,46</t>
  </si>
  <si>
    <t xml:space="preserve">Kèm theo BBNT số: 24.NĐXB6A/CVXD ngày 06 tháng 09 năm 2026</t>
  </si>
  <si>
    <t xml:space="preserve">Đắp cấp phối đá dăm loại 1 đoạn từ Km0+000,00 - Km0+126,46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</si>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</sst>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B6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B6A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Km0+000,00 -:- Km0+126,46</v>
          </cell>
          <cell r="D3" t="str">
            <v xml:space="preserve">ngày 14 tháng 08 năm 2026</v>
          </cell>
          <cell r="G3" t="str">
            <v xml:space="preserve">01.NĐXB6A/CVXD </v>
          </cell>
        </row>
        <row r="4">
          <cell r="A4">
            <v>2</v>
          </cell>
          <cell r="B4" t="str">
            <v xml:space="preserve">Đào đất xử lý nền đường đoạn từ Km0+000,00 - Km0+126,46</v>
          </cell>
          <cell r="D4" t="str">
            <v xml:space="preserve">ngày 15 tháng 08 năm 2026</v>
          </cell>
          <cell r="G4" t="str">
            <v xml:space="preserve">02.NĐXB6A/CVXD </v>
          </cell>
        </row>
        <row r="5">
          <cell r="A5">
            <v>3</v>
          </cell>
          <cell r="B5" t="str">
            <v xml:space="preserve">Rải vải địa kỹ thuật đoạn từ Km0+000,00 - Km0+126,46</v>
          </cell>
          <cell r="D5" t="str">
            <v xml:space="preserve">ngày 15 tháng 08 năm 2026</v>
          </cell>
          <cell r="G5" t="str">
            <v xml:space="preserve">03.NĐXB6A/CVXD </v>
          </cell>
        </row>
        <row r="6">
          <cell r="A6">
            <v>4</v>
          </cell>
          <cell r="B6" t="str">
            <v xml:space="preserve">Đắp cát nền đường lớp 1 đoạn từ Km0+000,00 - Km0+126,46, độ chặt K&gt;=0,95</v>
          </cell>
          <cell r="D6" t="str">
            <v xml:space="preserve">ngày 16 tháng 08 năm 2026</v>
          </cell>
          <cell r="G6" t="str">
            <v xml:space="preserve">04.NĐXB6A/CVXD </v>
          </cell>
        </row>
        <row r="7">
          <cell r="A7">
            <v>5</v>
          </cell>
          <cell r="B7" t="str">
            <v xml:space="preserve">Đắp cát nền đường lớp 2 đoạn từ Km0+000,00 - Km0+126,46, độ chặt K&gt;=0,95</v>
          </cell>
          <cell r="D7" t="str">
            <v xml:space="preserve">ngày 17 tháng 08 năm 2026</v>
          </cell>
          <cell r="G7" t="str">
            <v xml:space="preserve">05.NĐXB6A/CVXD </v>
          </cell>
        </row>
        <row r="8">
          <cell r="A8">
            <v>6</v>
          </cell>
          <cell r="B8" t="str">
            <v xml:space="preserve">Đắp cát nền đường lớp 3 đoạn từ Km0+000,00 - Km0+126,46, độ chặt K&gt;=0,95</v>
          </cell>
          <cell r="D8" t="str">
            <v xml:space="preserve">ngày 24 tháng 08 năm 2026</v>
          </cell>
          <cell r="G8" t="str">
            <v xml:space="preserve">06.NĐXB6A/CVXD </v>
          </cell>
        </row>
        <row r="9">
          <cell r="A9">
            <v>7</v>
          </cell>
          <cell r="B9" t="str">
            <v xml:space="preserve">Đắp cát nền đường lớp 4 đoạn từ Km0+000,00 - Km0+126,46, độ chặt K&gt;=0,95</v>
          </cell>
          <cell r="D9" t="str">
            <v xml:space="preserve">ngày 25 tháng 08 năm 2026</v>
          </cell>
          <cell r="G9" t="str">
            <v xml:space="preserve">07.NĐXB6A/CVXD </v>
          </cell>
        </row>
        <row r="10">
          <cell r="A10">
            <v>8</v>
          </cell>
          <cell r="B10" t="str">
            <v xml:space="preserve">Đắp đất nền đường lớp 1 đoạn từ Km0+000,00 - Km0+126,46, độ chặt K&gt;=0,95</v>
          </cell>
          <cell r="D10" t="str">
            <v xml:space="preserve">ngày 26 tháng 08 năm 2026</v>
          </cell>
          <cell r="G10" t="str">
            <v xml:space="preserve">08.NĐXB6A/CVXD </v>
          </cell>
        </row>
        <row r="11">
          <cell r="A11">
            <v>9</v>
          </cell>
          <cell r="B11" t="str">
            <v xml:space="preserve">Đắp đất nền đường lớp 2 đoạn từ Km0+000,00 - Km0+126,46, độ chặt K&gt;=0,95</v>
          </cell>
          <cell r="D11" t="str">
            <v xml:space="preserve">ngày 26 tháng 08 năm 2026</v>
          </cell>
          <cell r="G11" t="str">
            <v xml:space="preserve">09.NĐXB6A/CVXD </v>
          </cell>
        </row>
        <row r="12">
          <cell r="A12">
            <v>10</v>
          </cell>
          <cell r="B12" t="str">
            <v xml:space="preserve">Đắp đất nền đường lớp 3 đoạn từ Km0+000,00 - Km0+126,46, độ chặt K&gt;=0,95</v>
          </cell>
          <cell r="D12" t="str">
            <v xml:space="preserve">ngày 27 tháng 08 năm 2026</v>
          </cell>
          <cell r="G12" t="str">
            <v xml:space="preserve">10.NĐXB6A/CVXD </v>
          </cell>
        </row>
        <row r="13">
          <cell r="A13">
            <v>11</v>
          </cell>
          <cell r="B13" t="str">
            <v xml:space="preserve">Đắp đất nền đường lớp 4 đoạn từ Km0+000,00 - Km0+126,46, độ chặt K&gt;=0,95</v>
          </cell>
          <cell r="D13" t="str">
            <v xml:space="preserve">ngày 27 tháng 08 năm 2026</v>
          </cell>
          <cell r="G13" t="str">
            <v xml:space="preserve">11.NĐXB6A/CVXD </v>
          </cell>
        </row>
        <row r="14">
          <cell r="A14">
            <v>12</v>
          </cell>
          <cell r="B14" t="str">
            <v xml:space="preserve">Đắp đất nền đường lớp 5 đoạn từ Km0+000,00 - Km0+126,46, độ chặt K&gt;=0,95</v>
          </cell>
          <cell r="D14" t="str">
            <v xml:space="preserve">ngày 28 tháng 08 năm 2026</v>
          </cell>
          <cell r="G14" t="str">
            <v xml:space="preserve">12.NĐXB6A/CVXD </v>
          </cell>
        </row>
        <row r="15">
          <cell r="A15">
            <v>13</v>
          </cell>
          <cell r="B15" t="str">
            <v xml:space="preserve">Đắp đất nền đường lớp 6 đoạn từ Km0+000,00 - Km0+126,46, độ chặt K&gt;=0,95</v>
          </cell>
          <cell r="D15" t="str">
            <v xml:space="preserve">ngày 28 tháng 08 năm 2026</v>
          </cell>
          <cell r="G15" t="str">
            <v xml:space="preserve">13.NĐXB6A/CVXD </v>
          </cell>
        </row>
        <row r="16">
          <cell r="A16">
            <v>14</v>
          </cell>
          <cell r="B16" t="str">
            <v xml:space="preserve">Đắp đất nền đường lớp 7 đoạn từ Km0+000,00 - Km0+126,46, độ chặt K&gt;=0,95</v>
          </cell>
          <cell r="D16" t="str">
            <v xml:space="preserve">ngày 29 tháng 08 năm 2026</v>
          </cell>
          <cell r="G16" t="str">
            <v xml:space="preserve">14.NĐXB6A/CVXD </v>
          </cell>
        </row>
        <row r="17">
          <cell r="A17">
            <v>15</v>
          </cell>
          <cell r="B17" t="str">
            <v xml:space="preserve">Đắp đất nền đường lớp 8 đoạn từ Km0+000,00 - Km0+126,46, độ chặt K&gt;=0,95</v>
          </cell>
          <cell r="D17" t="str">
            <v xml:space="preserve">ngày 29 tháng 08 năm 2026</v>
          </cell>
          <cell r="G17" t="str">
            <v xml:space="preserve">15.NĐXB6A/CVXD </v>
          </cell>
        </row>
        <row r="18">
          <cell r="A18">
            <v>16</v>
          </cell>
          <cell r="B18" t="str">
            <v xml:space="preserve">Đắp đất nền đường lớp 9 đoạn từ Km0+000,00 - Km0+126,46, độ chặt K&gt;=0,95</v>
          </cell>
          <cell r="D18" t="str">
            <v xml:space="preserve">ngày 30 tháng 08 năm 2026</v>
          </cell>
          <cell r="G18" t="str">
            <v xml:space="preserve">16.NĐXB6A/CVXD </v>
          </cell>
        </row>
        <row r="19">
          <cell r="A19">
            <v>17</v>
          </cell>
          <cell r="B19" t="str">
            <v xml:space="preserve">Đắp đất nền đường lớp 1, độ chặt K&gt;=0,98 đoạn từ Km0+000,00 - Km0+126,46</v>
          </cell>
          <cell r="D19" t="str">
            <v xml:space="preserve">ngày 03 tháng 09 năm 2026</v>
          </cell>
          <cell r="G19" t="str">
            <v xml:space="preserve">17.NĐXB6A/CVXD </v>
          </cell>
        </row>
        <row r="20">
          <cell r="A20">
            <v>18</v>
          </cell>
          <cell r="B20" t="str">
            <v xml:space="preserve">Đắp đất lề đường lớp 1, độ chặt K&gt;=0,95 đoạn từ Km0+000,00 - Km0+126,46</v>
          </cell>
          <cell r="D20" t="str">
            <v xml:space="preserve">ngày 03 tháng 09 năm 2026</v>
          </cell>
          <cell r="G20" t="str">
            <v xml:space="preserve">18.NĐXB6A/CVXD </v>
          </cell>
        </row>
        <row r="21">
          <cell r="A21">
            <v>19</v>
          </cell>
          <cell r="B21" t="str">
            <v xml:space="preserve">Đắp đất nền đường lớp 2, độ chặt K&gt;=0,98 đoạn từ Km0+000,00 - Km0+126,46</v>
          </cell>
          <cell r="D21" t="str">
            <v xml:space="preserve">ngày 04 tháng 09 năm 2026</v>
          </cell>
          <cell r="G21" t="str">
            <v xml:space="preserve">19.NĐXB6A/CVXD </v>
          </cell>
        </row>
        <row r="22">
          <cell r="A22">
            <v>20</v>
          </cell>
          <cell r="B22" t="str">
            <v xml:space="preserve">Đắp đất lề đường lớp 2, độ chặt K&gt;=0,95 đoạn từ Km0+000,00 - Km0+126,46</v>
          </cell>
          <cell r="D22" t="str">
            <v xml:space="preserve">ngày 04 tháng 09 năm 2026</v>
          </cell>
          <cell r="G22" t="str">
            <v xml:space="preserve">20.NĐXB6A/CVXD </v>
          </cell>
        </row>
        <row r="23">
          <cell r="A23">
            <v>21</v>
          </cell>
          <cell r="B23" t="str">
            <v xml:space="preserve">Đắp cấp phối đá dăm loại 2 đoạn từ Km0+000,00 - Km0+126,46</v>
          </cell>
          <cell r="D23" t="str">
            <v xml:space="preserve">ngày 05 tháng 09 năm 2026</v>
          </cell>
          <cell r="G23" t="str">
            <v xml:space="preserve">21.NĐXB6A/CVXD </v>
          </cell>
        </row>
        <row r="24">
          <cell r="A24">
            <v>22</v>
          </cell>
          <cell r="B24" t="str">
            <v xml:space="preserve">Đắp đất lề đường lớp 3, độ chặt K&gt;=0,95 đoạn từ Km0+000,00 - Km0+126,46</v>
          </cell>
          <cell r="D24" t="str">
            <v xml:space="preserve">ngày 05 tháng 09 năm 2026</v>
          </cell>
          <cell r="G24" t="str">
            <v xml:space="preserve">22.NĐXB6A/CVXD </v>
          </cell>
        </row>
        <row r="25">
          <cell r="A25">
            <v>23</v>
          </cell>
          <cell r="B25" t="str">
            <v xml:space="preserve">Đắp đất lề đường lớp 4, độ chặt K&gt;=0,95 đoạn từ Km0+000,00 - Km0+126,46</v>
          </cell>
          <cell r="D25" t="str">
            <v xml:space="preserve">ngày 06 tháng 09 năm 2026</v>
          </cell>
          <cell r="G25" t="str">
            <v xml:space="preserve">23.NĐXB6A/CVXD </v>
          </cell>
        </row>
        <row r="26">
          <cell r="A26">
            <v>24</v>
          </cell>
          <cell r="B26" t="str">
            <v xml:space="preserve">Đắp cấp phối đá dăm loại 1 đoạn từ Km0+000,00 - Km0+126,46</v>
          </cell>
          <cell r="D26" t="str">
            <v xml:space="preserve">ngày 06 tháng 09 năm 2026</v>
          </cell>
          <cell r="G26" t="str">
            <v xml:space="preserve">24.NĐXB6A/CVXD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08 tháng 09 năm 2026</v>
          </cell>
          <cell r="G27" t="str">
            <v xml:space="preserve">25.NĐXB6A/CVXD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10 tháng 09 năm 2026</v>
          </cell>
          <cell r="G28" t="str">
            <v xml:space="preserve">26.NĐXB6A/CVXD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12 tháng 09 năm 2026</v>
          </cell>
          <cell r="G29" t="str">
            <v xml:space="preserve">27.NĐXB6A/CVXD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28.NĐXB6A/CVXD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XB6A'!$A$2:$G$60,7,0)&amp;VLOOKUP(AZ2,'[1]Tuyến XB6A'!$A$2:$G$60,4,0)</f>
        <v xml:space="preserve">Kèm theo BBNT số: 17.NĐXB6A/CVXD ngày 03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17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XB6A'!$A$2:$B$60,2,0)</f>
        <v xml:space="preserve">Đắp đất nền đường lớp 1, độ chặt K&gt;=0,98 đoạn từ Km0+000,00 - Km0+126,46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0</v>
      </c>
      <c r="D23" s="16" t="n">
        <v>-3.75</v>
      </c>
      <c r="E23" s="16" t="n">
        <f aca="false">+D23+F23</f>
        <v>-3.7444</v>
      </c>
      <c r="F23" s="16" t="n">
        <f aca="false">RANDBETWEEN(-105,115)/10000</f>
        <v>0.0056</v>
      </c>
      <c r="G23" s="16" t="n">
        <f aca="false">J23-3.45*2%-0.3*6%</f>
        <v>2.092</v>
      </c>
      <c r="H23" s="16" t="n">
        <f aca="false">G23+I23</f>
        <v>2.11</v>
      </c>
      <c r="I23" s="16" t="n">
        <f aca="false">RANDBETWEEN(-20,70)/1000</f>
        <v>0.018</v>
      </c>
      <c r="J23" s="16" t="n">
        <f aca="false">W23+0.25</f>
        <v>2.179</v>
      </c>
      <c r="K23" s="16" t="n">
        <f aca="false">J23+L23</f>
        <v>2.161</v>
      </c>
      <c r="L23" s="16" t="n">
        <f aca="false">RANDBETWEEN(-20,70)/1000</f>
        <v>-0.018</v>
      </c>
      <c r="M23" s="16" t="n">
        <v>3.75</v>
      </c>
      <c r="N23" s="16" t="n">
        <f aca="false">+M23+O23</f>
        <v>3.7567</v>
      </c>
      <c r="O23" s="16" t="n">
        <f aca="false">RANDBETWEEN(-105,115)/10000</f>
        <v>0.0067</v>
      </c>
      <c r="P23" s="16" t="n">
        <f aca="false">G23</f>
        <v>2.092</v>
      </c>
      <c r="Q23" s="16" t="n">
        <f aca="false">P23+R23</f>
        <v>2.151</v>
      </c>
      <c r="R23" s="16" t="n">
        <f aca="false">RANDBETWEEN(-20,70)/1000</f>
        <v>0.059</v>
      </c>
      <c r="S23" s="17"/>
      <c r="T23" s="18" t="n">
        <v>19.63</v>
      </c>
      <c r="V23" s="19"/>
      <c r="W23" s="20" t="n">
        <v>1.929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19.63</v>
      </c>
      <c r="D24" s="16" t="n">
        <v>-3.75</v>
      </c>
      <c r="E24" s="16" t="n">
        <f aca="false">+D24+F24</f>
        <v>-3.7571</v>
      </c>
      <c r="F24" s="16" t="n">
        <f aca="false">RANDBETWEEN(-105,115)/10000</f>
        <v>-0.0071</v>
      </c>
      <c r="G24" s="16" t="n">
        <f aca="false">J24-3.45*2%-0.3*6%</f>
        <v>2.092</v>
      </c>
      <c r="H24" s="16" t="n">
        <f aca="false">G24+I24</f>
        <v>2.101</v>
      </c>
      <c r="I24" s="16" t="n">
        <f aca="false">RANDBETWEEN(-20,70)/1000</f>
        <v>0.009</v>
      </c>
      <c r="J24" s="16" t="n">
        <f aca="false">W24+0.25</f>
        <v>2.179</v>
      </c>
      <c r="K24" s="16" t="n">
        <f aca="false">J24+L24</f>
        <v>2.204</v>
      </c>
      <c r="L24" s="16" t="n">
        <f aca="false">RANDBETWEEN(-20,70)/1000</f>
        <v>0.025</v>
      </c>
      <c r="M24" s="16" t="n">
        <v>3.75</v>
      </c>
      <c r="N24" s="16" t="n">
        <f aca="false">+M24+O24</f>
        <v>3.7561</v>
      </c>
      <c r="O24" s="16" t="n">
        <f aca="false">RANDBETWEEN(-105,115)/10000</f>
        <v>0.0061</v>
      </c>
      <c r="P24" s="16" t="n">
        <f aca="false">G24</f>
        <v>2.092</v>
      </c>
      <c r="Q24" s="16" t="n">
        <f aca="false">P24+R24</f>
        <v>2.146</v>
      </c>
      <c r="R24" s="16" t="n">
        <f aca="false">RANDBETWEEN(-20,70)/1000</f>
        <v>0.054</v>
      </c>
      <c r="S24" s="17"/>
      <c r="T24" s="18" t="n">
        <v>17.17</v>
      </c>
      <c r="V24" s="19"/>
      <c r="W24" s="20" t="n">
        <v>1.929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36.8</v>
      </c>
      <c r="D25" s="16" t="n">
        <v>-3.75</v>
      </c>
      <c r="E25" s="16" t="n">
        <f aca="false">+D25+F25</f>
        <v>-3.7395</v>
      </c>
      <c r="F25" s="16" t="n">
        <f aca="false">RANDBETWEEN(-105,115)/10000</f>
        <v>0.0105</v>
      </c>
      <c r="G25" s="16" t="n">
        <f aca="false">J25-3.45*2%-0.3*6%</f>
        <v>2.1</v>
      </c>
      <c r="H25" s="16" t="n">
        <f aca="false">G25+I25</f>
        <v>2.16</v>
      </c>
      <c r="I25" s="16" t="n">
        <f aca="false">RANDBETWEEN(-20,70)/1000</f>
        <v>0.06</v>
      </c>
      <c r="J25" s="16" t="n">
        <f aca="false">W25+0.25</f>
        <v>2.187</v>
      </c>
      <c r="K25" s="16" t="n">
        <f aca="false">J25+L25</f>
        <v>2.254</v>
      </c>
      <c r="L25" s="16" t="n">
        <f aca="false">RANDBETWEEN(-20,70)/1000</f>
        <v>0.067</v>
      </c>
      <c r="M25" s="16" t="n">
        <v>3.75</v>
      </c>
      <c r="N25" s="16" t="n">
        <f aca="false">+M25+O25</f>
        <v>3.7509</v>
      </c>
      <c r="O25" s="16" t="n">
        <f aca="false">RANDBETWEEN(-105,115)/10000</f>
        <v>0.0009</v>
      </c>
      <c r="P25" s="16" t="n">
        <f aca="false">G25</f>
        <v>2.1</v>
      </c>
      <c r="Q25" s="16" t="n">
        <f aca="false">P25+R25</f>
        <v>2.081</v>
      </c>
      <c r="R25" s="16" t="n">
        <f aca="false">RANDBETWEEN(-20,70)/1000</f>
        <v>-0.019</v>
      </c>
      <c r="S25" s="17"/>
      <c r="T25" s="18" t="n">
        <v>17.18</v>
      </c>
      <c r="V25" s="19"/>
      <c r="W25" s="20" t="n">
        <v>1.937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53.98</v>
      </c>
      <c r="D26" s="16" t="n">
        <v>-3.75</v>
      </c>
      <c r="E26" s="16" t="n">
        <f aca="false">+D26+F26</f>
        <v>-3.7479</v>
      </c>
      <c r="F26" s="16" t="n">
        <f aca="false">RANDBETWEEN(-105,115)/10000</f>
        <v>0.0021</v>
      </c>
      <c r="G26" s="16" t="n">
        <f aca="false">J26-3.45*2%-0.3*6%</f>
        <v>2.107</v>
      </c>
      <c r="H26" s="16" t="n">
        <f aca="false">G26+I26</f>
        <v>2.174</v>
      </c>
      <c r="I26" s="16" t="n">
        <f aca="false">RANDBETWEEN(-20,70)/1000</f>
        <v>0.067</v>
      </c>
      <c r="J26" s="16" t="n">
        <f aca="false">W26+0.25</f>
        <v>2.194</v>
      </c>
      <c r="K26" s="16" t="n">
        <f aca="false">J26+L26</f>
        <v>2.253</v>
      </c>
      <c r="L26" s="16" t="n">
        <f aca="false">RANDBETWEEN(-20,70)/1000</f>
        <v>0.059</v>
      </c>
      <c r="M26" s="16" t="n">
        <v>3.75</v>
      </c>
      <c r="N26" s="16" t="n">
        <f aca="false">+M26+O26</f>
        <v>3.7464</v>
      </c>
      <c r="O26" s="16" t="n">
        <f aca="false">RANDBETWEEN(-105,115)/10000</f>
        <v>-0.0036</v>
      </c>
      <c r="P26" s="16" t="n">
        <f aca="false">G26</f>
        <v>2.107</v>
      </c>
      <c r="Q26" s="16" t="n">
        <f aca="false">P26+R26</f>
        <v>2.143</v>
      </c>
      <c r="R26" s="16" t="n">
        <f aca="false">RANDBETWEEN(-20,70)/1000</f>
        <v>0.036</v>
      </c>
      <c r="S26" s="17"/>
      <c r="T26" s="18" t="n">
        <v>12.97</v>
      </c>
      <c r="V26" s="19"/>
      <c r="W26" s="20" t="n">
        <v>1.944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66.95</v>
      </c>
      <c r="D27" s="16" t="n">
        <v>-3.75</v>
      </c>
      <c r="E27" s="16" t="n">
        <f aca="false">+D27+F27</f>
        <v>-3.754</v>
      </c>
      <c r="F27" s="16" t="n">
        <f aca="false">RANDBETWEEN(-105,115)/10000</f>
        <v>-0.004</v>
      </c>
      <c r="G27" s="16" t="n">
        <f aca="false">J27-3.45*2%-0.3*6%</f>
        <v>2.113</v>
      </c>
      <c r="H27" s="16" t="n">
        <f aca="false">G27+I27</f>
        <v>2.13</v>
      </c>
      <c r="I27" s="16" t="n">
        <f aca="false">RANDBETWEEN(-20,70)/1000</f>
        <v>0.017</v>
      </c>
      <c r="J27" s="16" t="n">
        <f aca="false">W27+0.25</f>
        <v>2.2</v>
      </c>
      <c r="K27" s="16" t="n">
        <f aca="false">J27+L27</f>
        <v>2.2</v>
      </c>
      <c r="L27" s="16" t="n">
        <f aca="false">RANDBETWEEN(-20,70)/1000</f>
        <v>0</v>
      </c>
      <c r="M27" s="16" t="n">
        <v>3.75</v>
      </c>
      <c r="N27" s="16" t="n">
        <f aca="false">+M27+O27</f>
        <v>3.7501</v>
      </c>
      <c r="O27" s="16" t="n">
        <f aca="false">RANDBETWEEN(-105,115)/10000</f>
        <v>0.0001</v>
      </c>
      <c r="P27" s="16" t="n">
        <f aca="false">G27</f>
        <v>2.113</v>
      </c>
      <c r="Q27" s="16" t="n">
        <f aca="false">P27+R27</f>
        <v>2.147</v>
      </c>
      <c r="R27" s="16" t="n">
        <f aca="false">RANDBETWEEN(-20,70)/1000</f>
        <v>0.034</v>
      </c>
      <c r="S27" s="17"/>
      <c r="T27" s="18" t="n">
        <v>10.68</v>
      </c>
      <c r="V27" s="19"/>
      <c r="W27" s="20" t="n">
        <v>1.95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77.63</v>
      </c>
      <c r="D28" s="16" t="n">
        <v>-3.75</v>
      </c>
      <c r="E28" s="16" t="n">
        <f aca="false">+D28+F28</f>
        <v>-3.7582</v>
      </c>
      <c r="F28" s="16" t="n">
        <f aca="false">RANDBETWEEN(-105,115)/10000</f>
        <v>-0.0082</v>
      </c>
      <c r="G28" s="16" t="n">
        <f aca="false">J28-3.45*2%-0.3*6%</f>
        <v>2.118</v>
      </c>
      <c r="H28" s="16" t="n">
        <f aca="false">G28+I28</f>
        <v>2.144</v>
      </c>
      <c r="I28" s="16" t="n">
        <f aca="false">RANDBETWEEN(-20,70)/1000</f>
        <v>0.026</v>
      </c>
      <c r="J28" s="16" t="n">
        <f aca="false">W28+0.25</f>
        <v>2.205</v>
      </c>
      <c r="K28" s="16" t="n">
        <f aca="false">J28+L28</f>
        <v>2.212</v>
      </c>
      <c r="L28" s="16" t="n">
        <f aca="false">RANDBETWEEN(-20,70)/1000</f>
        <v>0.007</v>
      </c>
      <c r="M28" s="16" t="n">
        <v>3.75</v>
      </c>
      <c r="N28" s="16" t="n">
        <f aca="false">+M28+O28</f>
        <v>3.7555</v>
      </c>
      <c r="O28" s="16" t="n">
        <f aca="false">RANDBETWEEN(-105,115)/10000</f>
        <v>0.0055</v>
      </c>
      <c r="P28" s="16" t="n">
        <f aca="false">G28</f>
        <v>2.118</v>
      </c>
      <c r="Q28" s="16" t="n">
        <f aca="false">P28+R28</f>
        <v>2.111</v>
      </c>
      <c r="R28" s="16" t="n">
        <f aca="false">RANDBETWEEN(-20,70)/1000</f>
        <v>-0.007</v>
      </c>
      <c r="S28" s="17"/>
      <c r="T28" s="18" t="n">
        <v>17.17</v>
      </c>
      <c r="V28" s="19"/>
      <c r="W28" s="20" t="n">
        <v>1.955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94.8</v>
      </c>
      <c r="D29" s="16" t="n">
        <v>-3.75</v>
      </c>
      <c r="E29" s="16" t="n">
        <f aca="false">+D29+F29</f>
        <v>-3.759</v>
      </c>
      <c r="F29" s="16" t="n">
        <f aca="false">RANDBETWEEN(-105,115)/10000</f>
        <v>-0.009</v>
      </c>
      <c r="G29" s="16" t="n">
        <f aca="false">J29-3.45*2%-0.3*6%</f>
        <v>2.127</v>
      </c>
      <c r="H29" s="16" t="n">
        <f aca="false">G29+I29</f>
        <v>2.172</v>
      </c>
      <c r="I29" s="16" t="n">
        <f aca="false">RANDBETWEEN(-20,70)/1000</f>
        <v>0.045</v>
      </c>
      <c r="J29" s="16" t="n">
        <f aca="false">W29+0.25</f>
        <v>2.214</v>
      </c>
      <c r="K29" s="16" t="n">
        <f aca="false">J29+L29</f>
        <v>2.26</v>
      </c>
      <c r="L29" s="16" t="n">
        <f aca="false">RANDBETWEEN(-20,70)/1000</f>
        <v>0.046</v>
      </c>
      <c r="M29" s="16" t="n">
        <v>3.75</v>
      </c>
      <c r="N29" s="16" t="n">
        <f aca="false">+M29+O29</f>
        <v>3.7462</v>
      </c>
      <c r="O29" s="16" t="n">
        <f aca="false">RANDBETWEEN(-105,115)/10000</f>
        <v>-0.0038</v>
      </c>
      <c r="P29" s="16" t="n">
        <f aca="false">G29</f>
        <v>2.127</v>
      </c>
      <c r="Q29" s="16" t="n">
        <f aca="false">P29+R29</f>
        <v>2.151</v>
      </c>
      <c r="R29" s="16" t="n">
        <f aca="false">RANDBETWEEN(-20,70)/1000</f>
        <v>0.024</v>
      </c>
      <c r="S29" s="17"/>
      <c r="T29" s="18" t="n">
        <v>17.17</v>
      </c>
      <c r="V29" s="19"/>
      <c r="W29" s="20" t="n">
        <v>1.964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111.97</v>
      </c>
      <c r="D30" s="16" t="n">
        <v>-3.75</v>
      </c>
      <c r="E30" s="16" t="n">
        <f aca="false">+D30+F30</f>
        <v>-3.7434</v>
      </c>
      <c r="F30" s="16" t="n">
        <f aca="false">RANDBETWEEN(-105,115)/10000</f>
        <v>0.0066</v>
      </c>
      <c r="G30" s="16" t="n">
        <f aca="false">J30-3.45*2%-0.3*6%</f>
        <v>2.136</v>
      </c>
      <c r="H30" s="16" t="n">
        <f aca="false">G30+I30</f>
        <v>2.158</v>
      </c>
      <c r="I30" s="16" t="n">
        <f aca="false">RANDBETWEEN(-20,70)/1000</f>
        <v>0.022</v>
      </c>
      <c r="J30" s="16" t="n">
        <f aca="false">W30+0.25</f>
        <v>2.223</v>
      </c>
      <c r="K30" s="16" t="n">
        <f aca="false">J30+L30</f>
        <v>2.207</v>
      </c>
      <c r="L30" s="16" t="n">
        <f aca="false">RANDBETWEEN(-20,70)/1000</f>
        <v>-0.016</v>
      </c>
      <c r="M30" s="16" t="n">
        <v>3.75</v>
      </c>
      <c r="N30" s="16" t="n">
        <f aca="false">+M30+O30</f>
        <v>3.7608</v>
      </c>
      <c r="O30" s="16" t="n">
        <f aca="false">RANDBETWEEN(-105,115)/10000</f>
        <v>0.0108</v>
      </c>
      <c r="P30" s="16" t="n">
        <f aca="false">G30</f>
        <v>2.136</v>
      </c>
      <c r="Q30" s="16" t="n">
        <f aca="false">P30+R30</f>
        <v>2.126</v>
      </c>
      <c r="R30" s="16" t="n">
        <f aca="false">RANDBETWEEN(-20,70)/1000</f>
        <v>-0.01</v>
      </c>
      <c r="S30" s="17"/>
      <c r="T30" s="18" t="n">
        <v>14.49</v>
      </c>
      <c r="V30" s="19"/>
      <c r="W30" s="20" t="n">
        <v>1.973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126.46</v>
      </c>
      <c r="D31" s="16" t="n">
        <v>-3.75</v>
      </c>
      <c r="E31" s="16" t="n">
        <f aca="false">+D31+F31</f>
        <v>-3.7405</v>
      </c>
      <c r="F31" s="16" t="n">
        <f aca="false">RANDBETWEEN(-105,115)/10000</f>
        <v>0.0095</v>
      </c>
      <c r="G31" s="16" t="n">
        <f aca="false">J31-3.45*2%-0.3*6%</f>
        <v>2.136</v>
      </c>
      <c r="H31" s="16" t="n">
        <f aca="false">G31+I31</f>
        <v>2.206</v>
      </c>
      <c r="I31" s="16" t="n">
        <f aca="false">RANDBETWEEN(-20,70)/1000</f>
        <v>0.07</v>
      </c>
      <c r="J31" s="16" t="n">
        <f aca="false">W31+0.25</f>
        <v>2.223</v>
      </c>
      <c r="K31" s="16" t="n">
        <f aca="false">J31+L31</f>
        <v>2.23</v>
      </c>
      <c r="L31" s="16" t="n">
        <f aca="false">RANDBETWEEN(-20,70)/1000</f>
        <v>0.007</v>
      </c>
      <c r="M31" s="16" t="n">
        <v>3.75</v>
      </c>
      <c r="N31" s="16" t="n">
        <f aca="false">+M31+O31</f>
        <v>3.7442</v>
      </c>
      <c r="O31" s="16" t="n">
        <f aca="false">RANDBETWEEN(-105,115)/10000</f>
        <v>-0.0058</v>
      </c>
      <c r="P31" s="16" t="n">
        <f aca="false">G31</f>
        <v>2.136</v>
      </c>
      <c r="Q31" s="16" t="n">
        <f aca="false">P31+R31</f>
        <v>2.172</v>
      </c>
      <c r="R31" s="16" t="n">
        <f aca="false">RANDBETWEEN(-20,70)/1000</f>
        <v>0.036</v>
      </c>
      <c r="S31" s="17"/>
      <c r="T31" s="18"/>
      <c r="V31" s="19"/>
      <c r="W31" s="20" t="n">
        <v>1.973</v>
      </c>
    </row>
    <row r="32" customFormat="false" ht="15.75" hidden="false" customHeight="true" outlineLevel="0" collapsed="false"/>
    <row r="33" customFormat="false" ht="15.75" hidden="false" customHeight="true" outlineLevel="0" collapsed="false">
      <c r="C33" s="21" t="s">
        <v>32</v>
      </c>
      <c r="D33" s="21"/>
      <c r="E33" s="21"/>
      <c r="F33" s="21"/>
      <c r="G33" s="21"/>
      <c r="H33" s="21"/>
      <c r="I33" s="21"/>
      <c r="K33" s="22"/>
      <c r="L33" s="22"/>
      <c r="M33" s="22"/>
      <c r="N33" s="22"/>
      <c r="O33" s="21" t="s">
        <v>33</v>
      </c>
      <c r="P33" s="21"/>
      <c r="Q33" s="21"/>
      <c r="R33" s="21"/>
    </row>
    <row r="34" customFormat="false" ht="15.75" hidden="false" customHeight="true" outlineLevel="0" collapsed="false">
      <c r="E34" s="23"/>
      <c r="F34" s="23"/>
      <c r="G34" s="23"/>
      <c r="H34" s="23"/>
      <c r="K34" s="23"/>
      <c r="L34" s="23"/>
      <c r="M34" s="23"/>
      <c r="N34" s="23"/>
      <c r="O34" s="23"/>
      <c r="P34" s="23"/>
      <c r="Q34" s="23"/>
      <c r="R34" s="23"/>
    </row>
    <row r="35" customFormat="false" ht="15.75" hidden="false" customHeight="true" outlineLevel="0" collapsed="false">
      <c r="E35" s="23"/>
      <c r="F35" s="23"/>
      <c r="G35" s="23"/>
      <c r="H35" s="23"/>
      <c r="K35" s="23"/>
      <c r="L35" s="23"/>
      <c r="M35" s="23"/>
      <c r="N35" s="23"/>
      <c r="O35" s="23"/>
      <c r="P35" s="23"/>
      <c r="Q35" s="23"/>
      <c r="R35" s="23"/>
    </row>
    <row r="36" customFormat="false" ht="15.75" hidden="false" customHeight="true" outlineLevel="0" collapsed="false">
      <c r="E36" s="23"/>
      <c r="F36" s="23"/>
      <c r="G36" s="23"/>
      <c r="H36" s="23"/>
      <c r="K36" s="23"/>
      <c r="L36" s="23"/>
      <c r="M36" s="23"/>
      <c r="N36" s="23"/>
      <c r="O36" s="23"/>
      <c r="P36" s="23"/>
      <c r="Q36" s="23"/>
      <c r="R36" s="23"/>
    </row>
    <row r="37" customFormat="false" ht="15.75" hidden="false" customHeight="true" outlineLevel="0" collapsed="false">
      <c r="E37" s="23"/>
      <c r="F37" s="23"/>
      <c r="G37" s="23"/>
      <c r="H37" s="23"/>
      <c r="K37" s="23"/>
      <c r="L37" s="23"/>
      <c r="M37" s="23"/>
      <c r="N37" s="23"/>
      <c r="O37" s="23"/>
      <c r="P37" s="23"/>
      <c r="Q37" s="23"/>
      <c r="R37" s="23"/>
    </row>
    <row r="38" customFormat="false" ht="15.75" hidden="false" customHeight="true" outlineLevel="0" collapsed="false">
      <c r="C38" s="21" t="s">
        <v>34</v>
      </c>
      <c r="D38" s="21"/>
      <c r="E38" s="21"/>
      <c r="F38" s="21"/>
      <c r="G38" s="21"/>
      <c r="H38" s="21"/>
      <c r="I38" s="21"/>
      <c r="K38" s="22"/>
      <c r="L38" s="22"/>
      <c r="M38" s="22"/>
      <c r="N38" s="22"/>
      <c r="O38" s="21" t="s">
        <v>35</v>
      </c>
      <c r="P38" s="21"/>
      <c r="Q38" s="21"/>
      <c r="R38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05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17.NĐXB6A/CVXD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17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XB6A'!$A$2:$B$60,2,0)</f>
        <v xml:space="preserve">Đắp đất nền đường lớp 1, độ chặt K&gt;=0,98 đoạn từ Km0+000,00 - Km0+126,46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37</v>
      </c>
      <c r="B9" s="36" t="s">
        <v>10</v>
      </c>
      <c r="C9" s="36" t="s">
        <v>11</v>
      </c>
      <c r="D9" s="37" t="s">
        <v>38</v>
      </c>
      <c r="E9" s="38"/>
      <c r="F9" s="38"/>
      <c r="G9" s="37"/>
      <c r="H9" s="38"/>
      <c r="I9" s="38"/>
      <c r="J9" s="38"/>
      <c r="K9" s="38"/>
      <c r="L9" s="38"/>
      <c r="M9" s="39" t="s">
        <v>39</v>
      </c>
      <c r="N9" s="40"/>
      <c r="O9" s="41" t="s">
        <v>40</v>
      </c>
      <c r="P9" s="42"/>
      <c r="Q9" s="42"/>
      <c r="R9" s="42"/>
      <c r="S9" s="42"/>
      <c r="T9" s="42"/>
      <c r="U9" s="42"/>
      <c r="V9" s="42"/>
      <c r="W9" s="41" t="s">
        <v>41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40</v>
      </c>
      <c r="O10" s="41"/>
      <c r="P10" s="41" t="s">
        <v>40</v>
      </c>
      <c r="Q10" s="41" t="s">
        <v>40</v>
      </c>
      <c r="R10" s="41"/>
      <c r="S10" s="41"/>
      <c r="T10" s="41"/>
      <c r="U10" s="41" t="s">
        <v>41</v>
      </c>
      <c r="V10" s="41" t="s">
        <v>41</v>
      </c>
      <c r="W10" s="41"/>
      <c r="X10" s="41" t="s">
        <v>41</v>
      </c>
      <c r="Y10" s="41" t="s">
        <v>41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D3</v>
      </c>
      <c r="C11" s="15" t="n">
        <f aca="false">'KTHH Lớp 1'!C23</f>
        <v>0</v>
      </c>
      <c r="D11" s="13" t="n">
        <f aca="false">'KTHH Lớp 1'!T23</f>
        <v>19.63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7.5*0.25</f>
        <v>1.875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36.80625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1</v>
      </c>
      <c r="C12" s="15" t="n">
        <f aca="false">'KTHH Lớp 1'!C24</f>
        <v>19.63</v>
      </c>
      <c r="D12" s="13" t="n">
        <f aca="false">'KTHH Lớp 1'!T24</f>
        <v>17.17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7.5*0.25</f>
        <v>1.875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32.19375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2</v>
      </c>
      <c r="C13" s="15" t="n">
        <f aca="false">'KTHH Lớp 1'!C25</f>
        <v>36.8</v>
      </c>
      <c r="D13" s="13" t="n">
        <f aca="false">'KTHH Lớp 1'!T25</f>
        <v>17.18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7.5*0.25</f>
        <v>1.875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32.2125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3</v>
      </c>
      <c r="C14" s="15" t="n">
        <f aca="false">'KTHH Lớp 1'!C26</f>
        <v>53.98</v>
      </c>
      <c r="D14" s="13" t="n">
        <f aca="false">'KTHH Lớp 1'!T26</f>
        <v>12.97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7.5*0.25</f>
        <v>1.875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24.31875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D2</v>
      </c>
      <c r="C15" s="15" t="n">
        <f aca="false">'KTHH Lớp 1'!C27</f>
        <v>66.95</v>
      </c>
      <c r="D15" s="13" t="n">
        <f aca="false">'KTHH Lớp 1'!T27</f>
        <v>10.68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7.5*0.25</f>
        <v>1.875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20.025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4</v>
      </c>
      <c r="C16" s="15" t="n">
        <f aca="false">'KTHH Lớp 1'!C28</f>
        <v>77.63</v>
      </c>
      <c r="D16" s="13" t="n">
        <f aca="false">'KTHH Lớp 1'!T28</f>
        <v>17.17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7.5*0.25</f>
        <v>1.875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32.19375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5</v>
      </c>
      <c r="C17" s="15" t="n">
        <f aca="false">'KTHH Lớp 1'!C29</f>
        <v>94.8</v>
      </c>
      <c r="D17" s="13" t="n">
        <f aca="false">'KTHH Lớp 1'!T29</f>
        <v>17.17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7.5*0.25</f>
        <v>1.875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32.19375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6</v>
      </c>
      <c r="C18" s="15" t="n">
        <f aca="false">'KTHH Lớp 1'!C30</f>
        <v>111.97</v>
      </c>
      <c r="D18" s="13" t="n">
        <f aca="false">'KTHH Lớp 1'!T30</f>
        <v>14.49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7.5*0.25</f>
        <v>1.875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27.16875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D1</v>
      </c>
      <c r="C19" s="15" t="n">
        <f aca="false">'KTHH Lớp 1'!C31</f>
        <v>126.46</v>
      </c>
      <c r="D19" s="13"/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7.5*0.25</f>
        <v>1.875</v>
      </c>
      <c r="P19" s="52"/>
      <c r="Q19" s="52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5"/>
      <c r="AC19" s="56"/>
      <c r="AE19" s="57"/>
      <c r="AF19" s="57"/>
    </row>
    <row r="20" customFormat="false" ht="16.5" hidden="false" customHeight="true" outlineLevel="0" collapsed="false">
      <c r="A20" s="58" t="s">
        <v>42</v>
      </c>
      <c r="B20" s="58"/>
      <c r="C20" s="58"/>
      <c r="D20" s="58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0"/>
      <c r="R20" s="61" t="n">
        <f aca="false">SUM(R11:R5)</f>
        <v>0</v>
      </c>
      <c r="S20" s="61" t="n">
        <f aca="false">SUM(S11:S5)</f>
        <v>0</v>
      </c>
      <c r="T20" s="61"/>
      <c r="U20" s="62" t="n">
        <f aca="false">SUM(U11:U5)</f>
        <v>0</v>
      </c>
      <c r="V20" s="62" t="n">
        <f aca="false">SUM(V11:V5)</f>
        <v>0</v>
      </c>
      <c r="W20" s="63" t="n">
        <f aca="false">SUM(W11:W19)</f>
        <v>237.1125</v>
      </c>
      <c r="X20" s="62" t="n">
        <f aca="false">SUM(X11:X5)</f>
        <v>0</v>
      </c>
      <c r="Y20" s="62" t="n">
        <f aca="false">SUM(Y11:Y5)</f>
        <v>0</v>
      </c>
      <c r="Z20" s="62" t="n">
        <f aca="false">SUM(Z11:Z5)</f>
        <v>0</v>
      </c>
      <c r="AA20" s="62" t="n">
        <f aca="false">SUM(AA11:AA5)</f>
        <v>0</v>
      </c>
      <c r="AB20" s="62"/>
      <c r="AE20" s="64"/>
      <c r="AF20" s="65"/>
      <c r="AG20" s="65"/>
      <c r="AH20" s="50"/>
      <c r="AI20" s="64"/>
      <c r="AJ20" s="64"/>
      <c r="AK20" s="64"/>
      <c r="AL20" s="64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</row>
    <row r="21" customFormat="false" ht="16.5" hidden="false" customHeight="true" outlineLevel="0" collapsed="false">
      <c r="A21" s="66"/>
      <c r="B21" s="66"/>
      <c r="C21" s="66"/>
      <c r="D21" s="66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8"/>
      <c r="S21" s="68"/>
      <c r="T21" s="68"/>
      <c r="U21" s="69"/>
      <c r="V21" s="69"/>
      <c r="W21" s="69"/>
      <c r="X21" s="69"/>
      <c r="Y21" s="69"/>
      <c r="Z21" s="69"/>
      <c r="AA21" s="69"/>
      <c r="AB21" s="69"/>
      <c r="AE21" s="70"/>
      <c r="AF21" s="71"/>
      <c r="AG21" s="65"/>
      <c r="AH21" s="71"/>
      <c r="AI21" s="72"/>
      <c r="AJ21" s="72"/>
      <c r="AK21" s="73"/>
      <c r="AL21" s="72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  <c r="HR21" s="74"/>
      <c r="HS21" s="74"/>
      <c r="HT21" s="74"/>
      <c r="HU21" s="74"/>
    </row>
    <row r="22" customFormat="false" ht="16.5" hidden="false" customHeight="true" outlineLevel="0" collapsed="false">
      <c r="A22" s="21" t="s">
        <v>32</v>
      </c>
      <c r="B22" s="21"/>
      <c r="C22" s="21"/>
      <c r="D22" s="75" t="s">
        <v>43</v>
      </c>
      <c r="E22" s="21" t="s">
        <v>33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E22" s="72"/>
      <c r="AF22" s="71"/>
      <c r="AI22" s="50"/>
      <c r="AJ22" s="50"/>
      <c r="AK22" s="50"/>
      <c r="AL22" s="50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  <c r="HR22" s="74"/>
      <c r="HS22" s="74"/>
      <c r="HT22" s="74"/>
      <c r="HU22" s="74"/>
    </row>
    <row r="23" customFormat="false" ht="16.5" hidden="false" customHeight="true" outlineLevel="0" collapsed="false">
      <c r="A23" s="76"/>
      <c r="B23" s="76"/>
      <c r="C23" s="76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67"/>
      <c r="Y23" s="67"/>
      <c r="Z23" s="67"/>
      <c r="AA23" s="67"/>
      <c r="AB23" s="67"/>
      <c r="AC23" s="74"/>
      <c r="AD23" s="74"/>
      <c r="AI23" s="50"/>
      <c r="AJ23" s="50"/>
      <c r="AK23" s="50"/>
      <c r="AL23" s="50"/>
      <c r="HV23" s="74"/>
    </row>
    <row r="24" customFormat="false" ht="15.75" hidden="false" customHeight="true" outlineLevel="0" collapsed="false">
      <c r="A24" s="76"/>
      <c r="B24" s="76"/>
      <c r="C24" s="78"/>
      <c r="D24" s="78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67"/>
      <c r="Y24" s="67"/>
      <c r="Z24" s="67"/>
      <c r="AA24" s="67"/>
      <c r="AB24" s="67"/>
      <c r="AC24" s="74"/>
      <c r="AD24" s="74"/>
      <c r="AE24" s="74"/>
      <c r="AF24" s="79"/>
      <c r="AG24" s="74"/>
      <c r="AH24" s="74"/>
      <c r="AI24" s="74"/>
      <c r="AJ24" s="74"/>
      <c r="AK24" s="74"/>
      <c r="AL24" s="74"/>
      <c r="AM24" s="74"/>
      <c r="HV24" s="74"/>
    </row>
    <row r="25" customFormat="false" ht="15" hidden="false" customHeight="true" outlineLevel="0" collapsed="false">
      <c r="A25" s="76"/>
      <c r="B25" s="76"/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67"/>
      <c r="Y25" s="67"/>
      <c r="Z25" s="67"/>
      <c r="AA25" s="67"/>
      <c r="AB25" s="67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HV25" s="74"/>
    </row>
    <row r="26" customFormat="false" ht="15" hidden="false" customHeight="true" outlineLevel="0" collapsed="false">
      <c r="A26" s="76"/>
      <c r="B26" s="76"/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67"/>
      <c r="Y26" s="67"/>
      <c r="Z26" s="67"/>
      <c r="AA26" s="67"/>
      <c r="AB26" s="67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HV26" s="74"/>
    </row>
    <row r="27" customFormat="false" ht="15" hidden="false" customHeight="true" outlineLevel="0" collapsed="false">
      <c r="A27" s="76"/>
      <c r="B27" s="76"/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67"/>
      <c r="Y27" s="67"/>
      <c r="Z27" s="67"/>
      <c r="AA27" s="67"/>
      <c r="AB27" s="67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HV27" s="74"/>
    </row>
    <row r="28" customFormat="false" ht="15" hidden="false" customHeight="true" outlineLevel="0" collapsed="false">
      <c r="A28" s="21" t="s">
        <v>34</v>
      </c>
      <c r="B28" s="21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1" t="s">
        <v>35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HV28" s="74"/>
    </row>
    <row r="29" customFormat="false" ht="15" hidden="false" customHeight="true" outlineLevel="0" collapsed="false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</row>
    <row r="32" customFormat="false" ht="12.75" hidden="false" customHeight="false" outlineLevel="0" collapsed="false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customFormat="false" ht="12.75" hidden="false" customHeight="false" outlineLevel="0" collapsed="false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</row>
    <row r="34" customFormat="false" ht="12.75" hidden="false" customHeight="fals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</row>
    <row r="35" customFormat="false" ht="12.75" hidden="false" customHeight="fals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</row>
    <row r="36" customFormat="false" ht="12.75" hidden="false" customHeight="fals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</row>
    <row r="37" customFormat="false" ht="12.75" hidden="false" customHeight="fals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</row>
    <row r="38" customFormat="false" ht="12.75" hidden="false" customHeight="fals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</row>
    <row r="39" customFormat="false" ht="12.7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</row>
    <row r="40" customFormat="false" ht="12.7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customFormat="false" ht="12.7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customFormat="false" ht="12.7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</row>
    <row r="43" customFormat="false" ht="12.7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</row>
    <row r="44" customFormat="false" ht="12.7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</row>
    <row r="45" customFormat="false" ht="12.7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</row>
    <row r="46" customFormat="false" ht="12.7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</row>
    <row r="47" customFormat="false" ht="12.7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</row>
    <row r="48" customFormat="false" ht="12.7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customFormat="false" ht="12.7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</row>
    <row r="50" customFormat="false" ht="12.7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</row>
    <row r="51" customFormat="false" ht="12.7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</row>
    <row r="52" customFormat="false" ht="12.7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</row>
    <row r="53" customFormat="false" ht="12.7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</row>
    <row r="54" customFormat="false" ht="12.7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</row>
    <row r="55" customFormat="false" ht="12.7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</row>
    <row r="56" customFormat="false" ht="12.7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</row>
    <row r="57" customFormat="false" ht="12.7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8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XB6A'!$A$2:$G$60,7,0)&amp;VLOOKUP(AZ2,'[1]Tuyến XB6A'!$A$2:$G$60,4,0)</f>
        <v xml:space="preserve">Kèm theo BBNT số: 19.NĐXB6A/CVXD ngày 04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19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XB6A'!$A$2:$B$60,2,0)</f>
        <v xml:space="preserve">Đắp đất nền đường lớp 2, độ chặt K&gt;=0,98 đoạn từ Km0+000,00 - Km0+126,46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0</v>
      </c>
      <c r="D23" s="16" t="n">
        <v>-3.75</v>
      </c>
      <c r="E23" s="16" t="n">
        <f aca="false">+D23+F23</f>
        <v>-3.7566</v>
      </c>
      <c r="F23" s="16" t="n">
        <f aca="false">RANDBETWEEN(-105,115)/10000</f>
        <v>-0.0066</v>
      </c>
      <c r="G23" s="16" t="n">
        <f aca="false">W23+0.25</f>
        <v>2.342</v>
      </c>
      <c r="H23" s="16" t="n">
        <f aca="false">G23+I23</f>
        <v>2.384</v>
      </c>
      <c r="I23" s="16" t="n">
        <f aca="false">RANDBETWEEN(-20,70)/1000</f>
        <v>0.042</v>
      </c>
      <c r="J23" s="16" t="n">
        <f aca="false">X23+0.25</f>
        <v>2.429</v>
      </c>
      <c r="K23" s="16" t="n">
        <f aca="false">J23+L23</f>
        <v>2.468</v>
      </c>
      <c r="L23" s="16" t="n">
        <f aca="false">RANDBETWEEN(-20,70)/1000</f>
        <v>0.039</v>
      </c>
      <c r="M23" s="16" t="n">
        <v>3.75</v>
      </c>
      <c r="N23" s="16" t="n">
        <f aca="false">+M23+O23</f>
        <v>3.7579</v>
      </c>
      <c r="O23" s="16" t="n">
        <f aca="false">RANDBETWEEN(-105,115)/10000</f>
        <v>0.0079</v>
      </c>
      <c r="P23" s="16" t="n">
        <f aca="false">Y23+0.25</f>
        <v>2.342</v>
      </c>
      <c r="Q23" s="16" t="n">
        <f aca="false">P23+R23</f>
        <v>2.398</v>
      </c>
      <c r="R23" s="16" t="n">
        <f aca="false">RANDBETWEEN(-20,70)/1000</f>
        <v>0.056</v>
      </c>
      <c r="S23" s="17"/>
      <c r="T23" s="18" t="n">
        <v>19.63</v>
      </c>
      <c r="V23" s="19"/>
      <c r="W23" s="19" t="n">
        <f aca="false">'KTHH Lớp 1'!G23</f>
        <v>2.092</v>
      </c>
      <c r="X23" s="19" t="n">
        <f aca="false">'KTHH Lớp 1'!J23</f>
        <v>2.179</v>
      </c>
      <c r="Y23" s="19" t="n">
        <f aca="false">'KTHH Lớp 1'!P23</f>
        <v>2.092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19.63</v>
      </c>
      <c r="D24" s="16" t="n">
        <v>-3.75</v>
      </c>
      <c r="E24" s="16" t="n">
        <f aca="false">+D24+F24</f>
        <v>-3.7407</v>
      </c>
      <c r="F24" s="16" t="n">
        <f aca="false">RANDBETWEEN(-105,115)/10000</f>
        <v>0.0093</v>
      </c>
      <c r="G24" s="16" t="n">
        <f aca="false">W24+0.25</f>
        <v>2.342</v>
      </c>
      <c r="H24" s="16" t="n">
        <f aca="false">G24+I24</f>
        <v>2.356</v>
      </c>
      <c r="I24" s="16" t="n">
        <f aca="false">RANDBETWEEN(-20,70)/1000</f>
        <v>0.014</v>
      </c>
      <c r="J24" s="16" t="n">
        <f aca="false">X24+0.25</f>
        <v>2.429</v>
      </c>
      <c r="K24" s="16" t="n">
        <f aca="false">J24+L24</f>
        <v>2.472</v>
      </c>
      <c r="L24" s="16" t="n">
        <f aca="false">RANDBETWEEN(-20,70)/1000</f>
        <v>0.043</v>
      </c>
      <c r="M24" s="16" t="n">
        <v>3.75</v>
      </c>
      <c r="N24" s="16" t="n">
        <f aca="false">+M24+O24</f>
        <v>3.7478</v>
      </c>
      <c r="O24" s="16" t="n">
        <f aca="false">RANDBETWEEN(-105,115)/10000</f>
        <v>-0.0022</v>
      </c>
      <c r="P24" s="16" t="n">
        <f aca="false">Y24+0.25</f>
        <v>2.342</v>
      </c>
      <c r="Q24" s="16" t="n">
        <f aca="false">P24+R24</f>
        <v>2.358</v>
      </c>
      <c r="R24" s="16" t="n">
        <f aca="false">RANDBETWEEN(-20,70)/1000</f>
        <v>0.016</v>
      </c>
      <c r="S24" s="17"/>
      <c r="T24" s="18" t="n">
        <v>17.17</v>
      </c>
      <c r="V24" s="19"/>
      <c r="W24" s="19" t="n">
        <f aca="false">'KTHH Lớp 1'!G24</f>
        <v>2.092</v>
      </c>
      <c r="X24" s="19" t="n">
        <f aca="false">'KTHH Lớp 1'!J24</f>
        <v>2.179</v>
      </c>
      <c r="Y24" s="19" t="n">
        <f aca="false">'KTHH Lớp 1'!P24</f>
        <v>2.092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36.8</v>
      </c>
      <c r="D25" s="16" t="n">
        <v>-3.75</v>
      </c>
      <c r="E25" s="16" t="n">
        <f aca="false">+D25+F25</f>
        <v>-3.7426</v>
      </c>
      <c r="F25" s="16" t="n">
        <f aca="false">RANDBETWEEN(-105,115)/10000</f>
        <v>0.0074</v>
      </c>
      <c r="G25" s="16" t="n">
        <f aca="false">W25+0.25</f>
        <v>2.35</v>
      </c>
      <c r="H25" s="16" t="n">
        <f aca="false">G25+I25</f>
        <v>2.42</v>
      </c>
      <c r="I25" s="16" t="n">
        <f aca="false">RANDBETWEEN(-20,70)/1000</f>
        <v>0.07</v>
      </c>
      <c r="J25" s="16" t="n">
        <f aca="false">X25+0.25</f>
        <v>2.437</v>
      </c>
      <c r="K25" s="16" t="n">
        <f aca="false">J25+L25</f>
        <v>2.435</v>
      </c>
      <c r="L25" s="16" t="n">
        <f aca="false">RANDBETWEEN(-20,70)/1000</f>
        <v>-0.002</v>
      </c>
      <c r="M25" s="16" t="n">
        <v>3.75</v>
      </c>
      <c r="N25" s="16" t="n">
        <f aca="false">+M25+O25</f>
        <v>3.7541</v>
      </c>
      <c r="O25" s="16" t="n">
        <f aca="false">RANDBETWEEN(-105,115)/10000</f>
        <v>0.0041</v>
      </c>
      <c r="P25" s="16" t="n">
        <f aca="false">Y25+0.25</f>
        <v>2.35</v>
      </c>
      <c r="Q25" s="16" t="n">
        <f aca="false">P25+R25</f>
        <v>2.375</v>
      </c>
      <c r="R25" s="16" t="n">
        <f aca="false">RANDBETWEEN(-20,70)/1000</f>
        <v>0.025</v>
      </c>
      <c r="S25" s="17"/>
      <c r="T25" s="18" t="n">
        <v>17.18</v>
      </c>
      <c r="V25" s="19"/>
      <c r="W25" s="19" t="n">
        <f aca="false">'KTHH Lớp 1'!G25</f>
        <v>2.1</v>
      </c>
      <c r="X25" s="19" t="n">
        <f aca="false">'KTHH Lớp 1'!J25</f>
        <v>2.187</v>
      </c>
      <c r="Y25" s="19" t="n">
        <f aca="false">'KTHH Lớp 1'!P25</f>
        <v>2.1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53.98</v>
      </c>
      <c r="D26" s="16" t="n">
        <v>-3.75</v>
      </c>
      <c r="E26" s="16" t="n">
        <f aca="false">+D26+F26</f>
        <v>-3.7506</v>
      </c>
      <c r="F26" s="16" t="n">
        <f aca="false">RANDBETWEEN(-105,115)/10000</f>
        <v>-0.0006</v>
      </c>
      <c r="G26" s="16" t="n">
        <f aca="false">W26+0.25</f>
        <v>2.357</v>
      </c>
      <c r="H26" s="16" t="n">
        <f aca="false">G26+I26</f>
        <v>2.374</v>
      </c>
      <c r="I26" s="16" t="n">
        <f aca="false">RANDBETWEEN(-20,70)/1000</f>
        <v>0.017</v>
      </c>
      <c r="J26" s="16" t="n">
        <f aca="false">X26+0.25</f>
        <v>2.444</v>
      </c>
      <c r="K26" s="16" t="n">
        <f aca="false">J26+L26</f>
        <v>2.43</v>
      </c>
      <c r="L26" s="16" t="n">
        <f aca="false">RANDBETWEEN(-20,70)/1000</f>
        <v>-0.014</v>
      </c>
      <c r="M26" s="16" t="n">
        <v>3.75</v>
      </c>
      <c r="N26" s="16" t="n">
        <f aca="false">+M26+O26</f>
        <v>3.7431</v>
      </c>
      <c r="O26" s="16" t="n">
        <f aca="false">RANDBETWEEN(-105,115)/10000</f>
        <v>-0.0069</v>
      </c>
      <c r="P26" s="16" t="n">
        <f aca="false">Y26+0.25</f>
        <v>2.357</v>
      </c>
      <c r="Q26" s="16" t="n">
        <f aca="false">P26+R26</f>
        <v>2.413</v>
      </c>
      <c r="R26" s="16" t="n">
        <f aca="false">RANDBETWEEN(-20,70)/1000</f>
        <v>0.056</v>
      </c>
      <c r="S26" s="17"/>
      <c r="T26" s="18" t="n">
        <v>12.97</v>
      </c>
      <c r="V26" s="19"/>
      <c r="W26" s="19" t="n">
        <f aca="false">'KTHH Lớp 1'!G26</f>
        <v>2.107</v>
      </c>
      <c r="X26" s="19" t="n">
        <f aca="false">'KTHH Lớp 1'!J26</f>
        <v>2.194</v>
      </c>
      <c r="Y26" s="19" t="n">
        <f aca="false">'KTHH Lớp 1'!P26</f>
        <v>2.107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66.95</v>
      </c>
      <c r="D27" s="16" t="n">
        <v>-3.75</v>
      </c>
      <c r="E27" s="16" t="n">
        <f aca="false">+D27+F27</f>
        <v>-3.7498</v>
      </c>
      <c r="F27" s="16" t="n">
        <f aca="false">RANDBETWEEN(-105,115)/10000</f>
        <v>0.0002</v>
      </c>
      <c r="G27" s="16" t="n">
        <f aca="false">W27+0.25</f>
        <v>2.363</v>
      </c>
      <c r="H27" s="16" t="n">
        <f aca="false">G27+I27</f>
        <v>2.356</v>
      </c>
      <c r="I27" s="16" t="n">
        <f aca="false">RANDBETWEEN(-20,70)/1000</f>
        <v>-0.007</v>
      </c>
      <c r="J27" s="16" t="n">
        <f aca="false">X27+0.25</f>
        <v>2.45</v>
      </c>
      <c r="K27" s="16" t="n">
        <f aca="false">J27+L27</f>
        <v>2.512</v>
      </c>
      <c r="L27" s="16" t="n">
        <f aca="false">RANDBETWEEN(-20,70)/1000</f>
        <v>0.062</v>
      </c>
      <c r="M27" s="16" t="n">
        <v>3.75</v>
      </c>
      <c r="N27" s="16" t="n">
        <f aca="false">+M27+O27</f>
        <v>3.7454</v>
      </c>
      <c r="O27" s="16" t="n">
        <f aca="false">RANDBETWEEN(-105,115)/10000</f>
        <v>-0.0046</v>
      </c>
      <c r="P27" s="16" t="n">
        <f aca="false">Y27+0.25</f>
        <v>2.363</v>
      </c>
      <c r="Q27" s="16" t="n">
        <f aca="false">P27+R27</f>
        <v>2.355</v>
      </c>
      <c r="R27" s="16" t="n">
        <f aca="false">RANDBETWEEN(-20,70)/1000</f>
        <v>-0.008</v>
      </c>
      <c r="S27" s="17"/>
      <c r="T27" s="18" t="n">
        <v>10.68</v>
      </c>
      <c r="V27" s="19"/>
      <c r="W27" s="19" t="n">
        <f aca="false">'KTHH Lớp 1'!G27</f>
        <v>2.113</v>
      </c>
      <c r="X27" s="19" t="n">
        <f aca="false">'KTHH Lớp 1'!J27</f>
        <v>2.2</v>
      </c>
      <c r="Y27" s="19" t="n">
        <f aca="false">'KTHH Lớp 1'!P27</f>
        <v>2.113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77.63</v>
      </c>
      <c r="D28" s="16" t="n">
        <v>-3.75</v>
      </c>
      <c r="E28" s="16" t="n">
        <f aca="false">+D28+F28</f>
        <v>-3.7531</v>
      </c>
      <c r="F28" s="16" t="n">
        <f aca="false">RANDBETWEEN(-105,115)/10000</f>
        <v>-0.0031</v>
      </c>
      <c r="G28" s="16" t="n">
        <f aca="false">W28+0.25</f>
        <v>2.368</v>
      </c>
      <c r="H28" s="16" t="n">
        <f aca="false">G28+I28</f>
        <v>2.37</v>
      </c>
      <c r="I28" s="16" t="n">
        <f aca="false">RANDBETWEEN(-20,70)/1000</f>
        <v>0.002</v>
      </c>
      <c r="J28" s="16" t="n">
        <f aca="false">X28+0.25</f>
        <v>2.455</v>
      </c>
      <c r="K28" s="16" t="n">
        <f aca="false">J28+L28</f>
        <v>2.465</v>
      </c>
      <c r="L28" s="16" t="n">
        <f aca="false">RANDBETWEEN(-20,70)/1000</f>
        <v>0.01</v>
      </c>
      <c r="M28" s="16" t="n">
        <v>3.75</v>
      </c>
      <c r="N28" s="16" t="n">
        <f aca="false">+M28+O28</f>
        <v>3.7513</v>
      </c>
      <c r="O28" s="16" t="n">
        <f aca="false">RANDBETWEEN(-105,115)/10000</f>
        <v>0.0013</v>
      </c>
      <c r="P28" s="16" t="n">
        <f aca="false">Y28+0.25</f>
        <v>2.368</v>
      </c>
      <c r="Q28" s="16" t="n">
        <f aca="false">P28+R28</f>
        <v>2.362</v>
      </c>
      <c r="R28" s="16" t="n">
        <f aca="false">RANDBETWEEN(-20,70)/1000</f>
        <v>-0.006</v>
      </c>
      <c r="S28" s="17"/>
      <c r="T28" s="18" t="n">
        <v>17.17</v>
      </c>
      <c r="V28" s="19"/>
      <c r="W28" s="19" t="n">
        <f aca="false">'KTHH Lớp 1'!G28</f>
        <v>2.118</v>
      </c>
      <c r="X28" s="19" t="n">
        <f aca="false">'KTHH Lớp 1'!J28</f>
        <v>2.205</v>
      </c>
      <c r="Y28" s="19" t="n">
        <f aca="false">'KTHH Lớp 1'!P28</f>
        <v>2.118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94.8</v>
      </c>
      <c r="D29" s="16" t="n">
        <v>-3.75</v>
      </c>
      <c r="E29" s="16" t="n">
        <f aca="false">+D29+F29</f>
        <v>-3.7419</v>
      </c>
      <c r="F29" s="16" t="n">
        <f aca="false">RANDBETWEEN(-105,115)/10000</f>
        <v>0.0081</v>
      </c>
      <c r="G29" s="16" t="n">
        <f aca="false">W29+0.25</f>
        <v>2.377</v>
      </c>
      <c r="H29" s="16" t="n">
        <f aca="false">G29+I29</f>
        <v>2.396</v>
      </c>
      <c r="I29" s="16" t="n">
        <f aca="false">RANDBETWEEN(-20,70)/1000</f>
        <v>0.019</v>
      </c>
      <c r="J29" s="16" t="n">
        <f aca="false">X29+0.25</f>
        <v>2.464</v>
      </c>
      <c r="K29" s="16" t="n">
        <f aca="false">J29+L29</f>
        <v>2.458</v>
      </c>
      <c r="L29" s="16" t="n">
        <f aca="false">RANDBETWEEN(-20,70)/1000</f>
        <v>-0.006</v>
      </c>
      <c r="M29" s="16" t="n">
        <v>3.75</v>
      </c>
      <c r="N29" s="16" t="n">
        <f aca="false">+M29+O29</f>
        <v>3.7578</v>
      </c>
      <c r="O29" s="16" t="n">
        <f aca="false">RANDBETWEEN(-105,115)/10000</f>
        <v>0.0078</v>
      </c>
      <c r="P29" s="16" t="n">
        <f aca="false">Y29+0.25</f>
        <v>2.377</v>
      </c>
      <c r="Q29" s="16" t="n">
        <f aca="false">P29+R29</f>
        <v>2.374</v>
      </c>
      <c r="R29" s="16" t="n">
        <f aca="false">RANDBETWEEN(-20,70)/1000</f>
        <v>-0.003</v>
      </c>
      <c r="S29" s="17"/>
      <c r="T29" s="18" t="n">
        <v>17.17</v>
      </c>
      <c r="V29" s="19"/>
      <c r="W29" s="19" t="n">
        <f aca="false">'KTHH Lớp 1'!G29</f>
        <v>2.127</v>
      </c>
      <c r="X29" s="19" t="n">
        <f aca="false">'KTHH Lớp 1'!J29</f>
        <v>2.214</v>
      </c>
      <c r="Y29" s="19" t="n">
        <f aca="false">'KTHH Lớp 1'!P29</f>
        <v>2.127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111.97</v>
      </c>
      <c r="D30" s="16" t="n">
        <v>-3.75</v>
      </c>
      <c r="E30" s="16" t="n">
        <f aca="false">+D30+F30</f>
        <v>-3.741</v>
      </c>
      <c r="F30" s="16" t="n">
        <f aca="false">RANDBETWEEN(-105,115)/10000</f>
        <v>0.009</v>
      </c>
      <c r="G30" s="16" t="n">
        <f aca="false">W30+0.25</f>
        <v>2.386</v>
      </c>
      <c r="H30" s="16" t="n">
        <f aca="false">G30+I30</f>
        <v>2.449</v>
      </c>
      <c r="I30" s="16" t="n">
        <f aca="false">RANDBETWEEN(-20,70)/1000</f>
        <v>0.063</v>
      </c>
      <c r="J30" s="16" t="n">
        <f aca="false">X30+0.25</f>
        <v>2.473</v>
      </c>
      <c r="K30" s="16" t="n">
        <f aca="false">J30+L30</f>
        <v>2.522</v>
      </c>
      <c r="L30" s="16" t="n">
        <f aca="false">RANDBETWEEN(-20,70)/1000</f>
        <v>0.049</v>
      </c>
      <c r="M30" s="16" t="n">
        <v>3.75</v>
      </c>
      <c r="N30" s="16" t="n">
        <f aca="false">+M30+O30</f>
        <v>3.7511</v>
      </c>
      <c r="O30" s="16" t="n">
        <f aca="false">RANDBETWEEN(-105,115)/10000</f>
        <v>0.0011</v>
      </c>
      <c r="P30" s="16" t="n">
        <f aca="false">Y30+0.25</f>
        <v>2.386</v>
      </c>
      <c r="Q30" s="16" t="n">
        <f aca="false">P30+R30</f>
        <v>2.415</v>
      </c>
      <c r="R30" s="16" t="n">
        <f aca="false">RANDBETWEEN(-20,70)/1000</f>
        <v>0.029</v>
      </c>
      <c r="S30" s="17"/>
      <c r="T30" s="18" t="n">
        <v>14.49</v>
      </c>
      <c r="V30" s="19"/>
      <c r="W30" s="19" t="n">
        <f aca="false">'KTHH Lớp 1'!G30</f>
        <v>2.136</v>
      </c>
      <c r="X30" s="19" t="n">
        <f aca="false">'KTHH Lớp 1'!J30</f>
        <v>2.223</v>
      </c>
      <c r="Y30" s="19" t="n">
        <f aca="false">'KTHH Lớp 1'!P30</f>
        <v>2.136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126.46</v>
      </c>
      <c r="D31" s="16" t="n">
        <v>-3.75</v>
      </c>
      <c r="E31" s="16" t="n">
        <f aca="false">+D31+F31</f>
        <v>-3.7434</v>
      </c>
      <c r="F31" s="16" t="n">
        <f aca="false">RANDBETWEEN(-105,115)/10000</f>
        <v>0.0066</v>
      </c>
      <c r="G31" s="16" t="n">
        <f aca="false">W31+0.25</f>
        <v>2.386</v>
      </c>
      <c r="H31" s="16" t="n">
        <f aca="false">G31+I31</f>
        <v>2.441</v>
      </c>
      <c r="I31" s="16" t="n">
        <f aca="false">RANDBETWEEN(-20,70)/1000</f>
        <v>0.055</v>
      </c>
      <c r="J31" s="16" t="n">
        <f aca="false">X31+0.25</f>
        <v>2.473</v>
      </c>
      <c r="K31" s="16" t="n">
        <f aca="false">J31+L31</f>
        <v>2.463</v>
      </c>
      <c r="L31" s="16" t="n">
        <f aca="false">RANDBETWEEN(-20,70)/1000</f>
        <v>-0.01</v>
      </c>
      <c r="M31" s="16" t="n">
        <v>3.75</v>
      </c>
      <c r="N31" s="16" t="n">
        <f aca="false">+M31+O31</f>
        <v>3.7444</v>
      </c>
      <c r="O31" s="16" t="n">
        <f aca="false">RANDBETWEEN(-105,115)/10000</f>
        <v>-0.0056</v>
      </c>
      <c r="P31" s="16" t="n">
        <f aca="false">Y31+0.25</f>
        <v>2.386</v>
      </c>
      <c r="Q31" s="16" t="n">
        <f aca="false">P31+R31</f>
        <v>2.367</v>
      </c>
      <c r="R31" s="16" t="n">
        <f aca="false">RANDBETWEEN(-20,70)/1000</f>
        <v>-0.019</v>
      </c>
      <c r="S31" s="17"/>
      <c r="T31" s="18"/>
      <c r="V31" s="19"/>
      <c r="W31" s="19" t="n">
        <f aca="false">'KTHH Lớp 1'!G31</f>
        <v>2.136</v>
      </c>
      <c r="X31" s="19" t="n">
        <f aca="false">'KTHH Lớp 1'!J31</f>
        <v>2.223</v>
      </c>
      <c r="Y31" s="19" t="n">
        <f aca="false">'KTHH Lớp 1'!P31</f>
        <v>2.136</v>
      </c>
    </row>
    <row r="32" customFormat="false" ht="15.75" hidden="false" customHeight="true" outlineLevel="0" collapsed="false"/>
    <row r="33" customFormat="false" ht="15.75" hidden="false" customHeight="true" outlineLevel="0" collapsed="false">
      <c r="C33" s="21" t="s">
        <v>32</v>
      </c>
      <c r="D33" s="21"/>
      <c r="E33" s="21"/>
      <c r="F33" s="21"/>
      <c r="G33" s="21"/>
      <c r="H33" s="21"/>
      <c r="I33" s="21"/>
      <c r="K33" s="22"/>
      <c r="L33" s="22"/>
      <c r="M33" s="22"/>
      <c r="N33" s="22"/>
      <c r="O33" s="21" t="s">
        <v>33</v>
      </c>
      <c r="P33" s="21"/>
      <c r="Q33" s="21"/>
      <c r="R33" s="21"/>
    </row>
    <row r="34" customFormat="false" ht="15.75" hidden="false" customHeight="true" outlineLevel="0" collapsed="false">
      <c r="E34" s="23"/>
      <c r="F34" s="23"/>
      <c r="G34" s="23"/>
      <c r="H34" s="23"/>
      <c r="K34" s="23"/>
      <c r="L34" s="23"/>
      <c r="M34" s="23"/>
      <c r="N34" s="23"/>
      <c r="O34" s="23"/>
      <c r="P34" s="23"/>
      <c r="Q34" s="23"/>
      <c r="R34" s="23"/>
    </row>
    <row r="35" customFormat="false" ht="15.75" hidden="false" customHeight="true" outlineLevel="0" collapsed="false">
      <c r="E35" s="23"/>
      <c r="F35" s="23"/>
      <c r="G35" s="23"/>
      <c r="H35" s="23"/>
      <c r="K35" s="23"/>
      <c r="L35" s="23"/>
      <c r="M35" s="23"/>
      <c r="N35" s="23"/>
      <c r="O35" s="23"/>
      <c r="P35" s="23"/>
      <c r="Q35" s="23"/>
      <c r="R35" s="23"/>
    </row>
    <row r="36" customFormat="false" ht="15.75" hidden="false" customHeight="true" outlineLevel="0" collapsed="false">
      <c r="E36" s="23"/>
      <c r="F36" s="23"/>
      <c r="G36" s="23"/>
      <c r="H36" s="23"/>
      <c r="K36" s="23"/>
      <c r="L36" s="23"/>
      <c r="M36" s="23"/>
      <c r="N36" s="23"/>
      <c r="O36" s="23"/>
      <c r="P36" s="23"/>
      <c r="Q36" s="23"/>
      <c r="R36" s="23"/>
    </row>
    <row r="37" customFormat="false" ht="15.75" hidden="false" customHeight="true" outlineLevel="0" collapsed="false">
      <c r="E37" s="23"/>
      <c r="F37" s="23"/>
      <c r="G37" s="23"/>
      <c r="H37" s="23"/>
      <c r="K37" s="23"/>
      <c r="L37" s="23"/>
      <c r="M37" s="23"/>
      <c r="N37" s="23"/>
      <c r="O37" s="23"/>
      <c r="P37" s="23"/>
      <c r="Q37" s="23"/>
      <c r="R37" s="23"/>
    </row>
    <row r="38" customFormat="false" ht="15.75" hidden="false" customHeight="true" outlineLevel="0" collapsed="false">
      <c r="C38" s="21" t="s">
        <v>34</v>
      </c>
      <c r="D38" s="21"/>
      <c r="E38" s="21"/>
      <c r="F38" s="21"/>
      <c r="G38" s="21"/>
      <c r="H38" s="21"/>
      <c r="I38" s="21"/>
      <c r="K38" s="22"/>
      <c r="L38" s="22"/>
      <c r="M38" s="22"/>
      <c r="N38" s="22"/>
      <c r="O38" s="21" t="s">
        <v>35</v>
      </c>
      <c r="P38" s="21"/>
      <c r="Q38" s="21"/>
      <c r="R38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05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19.NĐXB6A/CVXD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19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XB6A'!$A$2:$B$60,2,0)</f>
        <v xml:space="preserve">Đắp đất nền đường lớp 2, độ chặt K&gt;=0,98 đoạn từ Km0+000,00 - Km0+126,46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37</v>
      </c>
      <c r="B9" s="83" t="s">
        <v>10</v>
      </c>
      <c r="C9" s="83" t="s">
        <v>11</v>
      </c>
      <c r="D9" s="84" t="s">
        <v>38</v>
      </c>
      <c r="E9" s="85"/>
      <c r="F9" s="85"/>
      <c r="G9" s="84"/>
      <c r="H9" s="85"/>
      <c r="I9" s="85"/>
      <c r="J9" s="85"/>
      <c r="K9" s="85"/>
      <c r="L9" s="85"/>
      <c r="M9" s="86" t="s">
        <v>39</v>
      </c>
      <c r="N9" s="87"/>
      <c r="O9" s="88" t="s">
        <v>40</v>
      </c>
      <c r="P9" s="89"/>
      <c r="Q9" s="89"/>
      <c r="R9" s="89"/>
      <c r="S9" s="89"/>
      <c r="T9" s="89"/>
      <c r="U9" s="89"/>
      <c r="V9" s="89"/>
      <c r="W9" s="88" t="s">
        <v>41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40</v>
      </c>
      <c r="O10" s="88"/>
      <c r="P10" s="88" t="s">
        <v>40</v>
      </c>
      <c r="Q10" s="88" t="s">
        <v>40</v>
      </c>
      <c r="R10" s="88"/>
      <c r="S10" s="88"/>
      <c r="T10" s="88"/>
      <c r="U10" s="88" t="s">
        <v>41</v>
      </c>
      <c r="V10" s="88" t="s">
        <v>41</v>
      </c>
      <c r="W10" s="88"/>
      <c r="X10" s="88" t="s">
        <v>41</v>
      </c>
      <c r="Y10" s="88" t="s">
        <v>41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D3</v>
      </c>
      <c r="C11" s="94" t="n">
        <f aca="false">'KTHH Lớp 2'!C23</f>
        <v>0</v>
      </c>
      <c r="D11" s="93" t="n">
        <f aca="false">'KTHH Lớp 2'!T23</f>
        <v>19.63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7.5*0.25</f>
        <v>1.875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36.80625</v>
      </c>
      <c r="X11" s="56"/>
      <c r="Y11" s="56"/>
      <c r="Z11" s="56"/>
      <c r="AA11" s="56"/>
      <c r="AB11" s="100"/>
      <c r="AC11" s="56"/>
      <c r="AE11" s="72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1</v>
      </c>
      <c r="C12" s="94" t="n">
        <f aca="false">'KTHH Lớp 2'!C24</f>
        <v>19.63</v>
      </c>
      <c r="D12" s="93" t="n">
        <f aca="false">'KTHH Lớp 2'!T24</f>
        <v>17.17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7.5*0.25</f>
        <v>1.875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32.19375</v>
      </c>
      <c r="X12" s="56"/>
      <c r="Y12" s="56"/>
      <c r="Z12" s="56"/>
      <c r="AA12" s="56"/>
      <c r="AB12" s="100"/>
      <c r="AC12" s="56"/>
      <c r="AE12" s="72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2</v>
      </c>
      <c r="C13" s="94" t="n">
        <f aca="false">'KTHH Lớp 2'!C25</f>
        <v>36.8</v>
      </c>
      <c r="D13" s="93" t="n">
        <f aca="false">'KTHH Lớp 2'!T25</f>
        <v>17.18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7.5*0.25</f>
        <v>1.875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32.2125</v>
      </c>
      <c r="X13" s="56"/>
      <c r="Y13" s="56"/>
      <c r="Z13" s="56"/>
      <c r="AA13" s="56"/>
      <c r="AB13" s="100"/>
      <c r="AC13" s="56"/>
      <c r="AE13" s="72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3</v>
      </c>
      <c r="C14" s="94" t="n">
        <f aca="false">'KTHH Lớp 2'!C26</f>
        <v>53.98</v>
      </c>
      <c r="D14" s="93" t="n">
        <f aca="false">'KTHH Lớp 2'!T26</f>
        <v>12.97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7.5*0.25</f>
        <v>1.875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24.31875</v>
      </c>
      <c r="X14" s="56"/>
      <c r="Y14" s="56"/>
      <c r="Z14" s="56"/>
      <c r="AA14" s="56"/>
      <c r="AB14" s="100"/>
      <c r="AC14" s="56"/>
      <c r="AE14" s="72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D2</v>
      </c>
      <c r="C15" s="94" t="n">
        <f aca="false">'KTHH Lớp 2'!C27</f>
        <v>66.95</v>
      </c>
      <c r="D15" s="93" t="n">
        <f aca="false">'KTHH Lớp 2'!T27</f>
        <v>10.68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7.5*0.25</f>
        <v>1.875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20.025</v>
      </c>
      <c r="X15" s="56"/>
      <c r="Y15" s="56"/>
      <c r="Z15" s="56"/>
      <c r="AA15" s="56"/>
      <c r="AB15" s="100"/>
      <c r="AC15" s="56"/>
      <c r="AE15" s="72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4</v>
      </c>
      <c r="C16" s="94" t="n">
        <f aca="false">'KTHH Lớp 2'!C28</f>
        <v>77.63</v>
      </c>
      <c r="D16" s="93" t="n">
        <f aca="false">'KTHH Lớp 2'!T28</f>
        <v>17.17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7.5*0.25</f>
        <v>1.875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32.19375</v>
      </c>
      <c r="X16" s="56"/>
      <c r="Y16" s="56"/>
      <c r="Z16" s="56"/>
      <c r="AA16" s="56"/>
      <c r="AB16" s="100"/>
      <c r="AC16" s="56"/>
      <c r="AE16" s="72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5</v>
      </c>
      <c r="C17" s="94" t="n">
        <f aca="false">'KTHH Lớp 2'!C29</f>
        <v>94.8</v>
      </c>
      <c r="D17" s="93" t="n">
        <f aca="false">'KTHH Lớp 2'!T29</f>
        <v>17.17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7.5*0.25</f>
        <v>1.875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32.19375</v>
      </c>
      <c r="X17" s="56"/>
      <c r="Y17" s="56"/>
      <c r="Z17" s="56"/>
      <c r="AA17" s="56"/>
      <c r="AB17" s="100"/>
      <c r="AC17" s="56"/>
      <c r="AE17" s="72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6</v>
      </c>
      <c r="C18" s="94" t="n">
        <f aca="false">'KTHH Lớp 2'!C30</f>
        <v>111.97</v>
      </c>
      <c r="D18" s="93" t="n">
        <f aca="false">'KTHH Lớp 2'!T30</f>
        <v>14.49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7.5*0.25</f>
        <v>1.875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27.16875</v>
      </c>
      <c r="X18" s="56"/>
      <c r="Y18" s="56"/>
      <c r="Z18" s="56"/>
      <c r="AA18" s="56"/>
      <c r="AB18" s="100"/>
      <c r="AC18" s="56"/>
      <c r="AE18" s="72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D1</v>
      </c>
      <c r="C19" s="94" t="n">
        <f aca="false">'KTHH Lớp 2'!C31</f>
        <v>126.46</v>
      </c>
      <c r="D19" s="93"/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7.5*0.25</f>
        <v>1.875</v>
      </c>
      <c r="P19" s="96"/>
      <c r="Q19" s="9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100"/>
      <c r="AC19" s="56"/>
      <c r="AE19" s="72"/>
    </row>
    <row r="20" customFormat="false" ht="16.5" hidden="false" customHeight="true" outlineLevel="0" collapsed="false">
      <c r="A20" s="101" t="s">
        <v>42</v>
      </c>
      <c r="B20" s="101"/>
      <c r="C20" s="101"/>
      <c r="D20" s="101"/>
      <c r="E20" s="102"/>
      <c r="F20" s="102"/>
      <c r="G20" s="102"/>
      <c r="H20" s="102"/>
      <c r="I20" s="102"/>
      <c r="J20" s="102"/>
      <c r="K20" s="102"/>
      <c r="L20" s="102"/>
      <c r="M20" s="103"/>
      <c r="N20" s="103"/>
      <c r="O20" s="104"/>
      <c r="P20" s="104"/>
      <c r="Q20" s="104"/>
      <c r="R20" s="105" t="n">
        <f aca="false">SUM(R11:R5)</f>
        <v>0</v>
      </c>
      <c r="S20" s="105" t="n">
        <f aca="false">SUM(S11:S5)</f>
        <v>0</v>
      </c>
      <c r="T20" s="105"/>
      <c r="U20" s="106" t="n">
        <f aca="false">SUM(U11:U5)</f>
        <v>0</v>
      </c>
      <c r="V20" s="106" t="n">
        <f aca="false">SUM(V11:V5)</f>
        <v>0</v>
      </c>
      <c r="W20" s="107" t="n">
        <f aca="false">SUM(W11:W19)</f>
        <v>237.1125</v>
      </c>
      <c r="X20" s="106" t="n">
        <f aca="false">SUM(X11:X5)</f>
        <v>0</v>
      </c>
      <c r="Y20" s="106" t="n">
        <f aca="false">SUM(Y11:Y5)</f>
        <v>0</v>
      </c>
      <c r="Z20" s="106" t="n">
        <f aca="false">SUM(Z11:Z5)</f>
        <v>0</v>
      </c>
      <c r="AA20" s="106" t="n">
        <f aca="false">SUM(AA11:AA5)</f>
        <v>0</v>
      </c>
      <c r="AB20" s="106"/>
      <c r="AE20" s="64"/>
      <c r="AF20" s="65"/>
      <c r="AG20" s="65"/>
      <c r="AH20" s="50"/>
      <c r="AI20" s="64"/>
      <c r="AJ20" s="64"/>
      <c r="AK20" s="64"/>
      <c r="AL20" s="64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</row>
    <row r="21" customFormat="false" ht="16.5" hidden="false" customHeight="true" outlineLevel="0" collapsed="false">
      <c r="A21" s="108"/>
      <c r="B21" s="108"/>
      <c r="C21" s="108"/>
      <c r="D21" s="108"/>
      <c r="E21" s="74"/>
      <c r="F21" s="74"/>
      <c r="G21" s="74"/>
      <c r="H21" s="74"/>
      <c r="I21" s="74"/>
      <c r="J21" s="74"/>
      <c r="R21" s="109"/>
      <c r="S21" s="109"/>
      <c r="T21" s="109"/>
      <c r="U21" s="110"/>
      <c r="V21" s="110"/>
      <c r="W21" s="110"/>
      <c r="X21" s="110"/>
      <c r="Y21" s="110"/>
      <c r="Z21" s="110"/>
      <c r="AA21" s="110"/>
      <c r="AB21" s="110"/>
      <c r="AE21" s="70"/>
      <c r="AF21" s="71"/>
      <c r="AG21" s="65"/>
      <c r="AH21" s="71"/>
      <c r="AI21" s="72"/>
      <c r="AJ21" s="72"/>
      <c r="AK21" s="73"/>
      <c r="AL21" s="72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  <c r="HR21" s="74"/>
      <c r="HS21" s="74"/>
      <c r="HT21" s="74"/>
      <c r="HU21" s="74"/>
    </row>
    <row r="22" customFormat="false" ht="16.5" hidden="false" customHeight="true" outlineLevel="0" collapsed="false">
      <c r="A22" s="111" t="s">
        <v>32</v>
      </c>
      <c r="B22" s="111"/>
      <c r="C22" s="111"/>
      <c r="D22" s="112" t="s">
        <v>43</v>
      </c>
      <c r="E22" s="111" t="s">
        <v>33</v>
      </c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E22" s="72"/>
      <c r="AF22" s="71"/>
      <c r="AI22" s="50"/>
      <c r="AJ22" s="50"/>
      <c r="AK22" s="50"/>
      <c r="AL22" s="50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  <c r="HR22" s="74"/>
      <c r="HS22" s="74"/>
      <c r="HT22" s="74"/>
      <c r="HU22" s="74"/>
    </row>
    <row r="23" customFormat="false" ht="16.5" hidden="false" customHeight="true" outlineLevel="0" collapsed="false">
      <c r="A23" s="113"/>
      <c r="B23" s="113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Z23" s="74"/>
      <c r="AA23" s="74"/>
      <c r="AB23" s="74"/>
      <c r="AC23" s="74"/>
      <c r="AD23" s="74"/>
      <c r="AI23" s="50"/>
      <c r="AJ23" s="50"/>
      <c r="AK23" s="50"/>
      <c r="AL23" s="50"/>
      <c r="HV23" s="74"/>
    </row>
    <row r="24" customFormat="false" ht="15.75" hidden="false" customHeight="true" outlineLevel="0" collapsed="false">
      <c r="A24" s="113"/>
      <c r="B24" s="113"/>
      <c r="C24" s="115"/>
      <c r="D24" s="115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Z24" s="74"/>
      <c r="AA24" s="74"/>
      <c r="AB24" s="74"/>
      <c r="AC24" s="74"/>
      <c r="AD24" s="74"/>
      <c r="AE24" s="74"/>
      <c r="AF24" s="79"/>
      <c r="AG24" s="74"/>
      <c r="AH24" s="74"/>
      <c r="AI24" s="74"/>
      <c r="AJ24" s="74"/>
      <c r="AK24" s="74"/>
      <c r="AL24" s="74"/>
      <c r="AM24" s="74"/>
      <c r="HV24" s="74"/>
    </row>
    <row r="25" customFormat="false" ht="15" hidden="false" customHeight="true" outlineLevel="0" collapsed="false">
      <c r="A25" s="113"/>
      <c r="B25" s="113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HV25" s="74"/>
    </row>
    <row r="26" customFormat="false" ht="15" hidden="false" customHeight="true" outlineLevel="0" collapsed="false">
      <c r="A26" s="113"/>
      <c r="B26" s="113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HV26" s="74"/>
    </row>
    <row r="27" customFormat="false" ht="15" hidden="false" customHeight="true" outlineLevel="0" collapsed="false">
      <c r="A27" s="113"/>
      <c r="B27" s="113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HV27" s="74"/>
    </row>
    <row r="28" customFormat="false" ht="16.5" hidden="false" customHeight="true" outlineLevel="0" collapsed="false">
      <c r="A28" s="111" t="s">
        <v>34</v>
      </c>
      <c r="B28" s="111"/>
      <c r="C28" s="111"/>
      <c r="D28" s="116"/>
      <c r="E28" s="116"/>
      <c r="F28" s="116"/>
      <c r="G28" s="116"/>
      <c r="H28" s="116"/>
      <c r="I28" s="116"/>
      <c r="J28" s="116"/>
      <c r="K28" s="116"/>
      <c r="L28" s="116"/>
      <c r="M28" s="111" t="s">
        <v>35</v>
      </c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HV28" s="74"/>
    </row>
    <row r="29" customFormat="false" ht="12.75" hidden="false" customHeight="false" outlineLevel="0" collapsed="false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</row>
    <row r="32" customFormat="false" ht="12.75" hidden="false" customHeight="false" outlineLevel="0" collapsed="false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customFormat="false" ht="12.75" hidden="false" customHeight="false" outlineLevel="0" collapsed="false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</row>
    <row r="34" customFormat="false" ht="12.75" hidden="false" customHeight="fals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</row>
    <row r="35" customFormat="false" ht="12.75" hidden="false" customHeight="fals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</row>
    <row r="36" customFormat="false" ht="12.75" hidden="false" customHeight="fals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</row>
    <row r="37" customFormat="false" ht="12.75" hidden="false" customHeight="fals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</row>
    <row r="38" customFormat="false" ht="12.75" hidden="false" customHeight="fals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</row>
    <row r="39" customFormat="false" ht="12.7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</row>
    <row r="40" customFormat="false" ht="12.7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customFormat="false" ht="12.7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customFormat="false" ht="12.7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</row>
    <row r="43" customFormat="false" ht="12.7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</row>
    <row r="44" customFormat="false" ht="12.7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</row>
    <row r="45" customFormat="false" ht="12.7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</row>
    <row r="46" customFormat="false" ht="12.7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</row>
    <row r="47" customFormat="false" ht="12.7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</row>
    <row r="48" customFormat="false" ht="12.7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customFormat="false" ht="12.7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</row>
    <row r="50" customFormat="false" ht="12.7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</row>
    <row r="51" customFormat="false" ht="12.7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</row>
    <row r="52" customFormat="false" ht="12.7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</row>
    <row r="53" customFormat="false" ht="12.7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</row>
    <row r="54" customFormat="false" ht="12.7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</row>
    <row r="55" customFormat="false" ht="12.7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</row>
    <row r="56" customFormat="false" ht="12.7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</row>
    <row r="57" customFormat="false" ht="12.7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XB6A'!$A$2:$G$60,7,0)&amp;VLOOKUP(AZ2,'[1]Tuyến XB6A'!$A$2:$G$60,4,0)</f>
        <v xml:space="preserve">Kèm theo BBNT số: 21.NĐXB6A/CVXD ngày 05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21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XB6A'!$A$2:$B$60,2,0)</f>
        <v xml:space="preserve">Đắp cấp phối đá dăm loại 2 đoạn từ Km0+000,00 - Km0+126,46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0</v>
      </c>
      <c r="D23" s="16" t="n">
        <v>-3.75</v>
      </c>
      <c r="E23" s="16" t="n">
        <f aca="false">+D23+F23</f>
        <v>-3.7598</v>
      </c>
      <c r="F23" s="16" t="n">
        <f aca="false">RANDBETWEEN(-105,115)/10000</f>
        <v>-0.0098</v>
      </c>
      <c r="G23" s="16" t="n">
        <f aca="false">W23+0.18</f>
        <v>2.522</v>
      </c>
      <c r="H23" s="16" t="n">
        <f aca="false">G23+I23</f>
        <v>2.579</v>
      </c>
      <c r="I23" s="16" t="n">
        <f aca="false">RANDBETWEEN(-20,70)/1000</f>
        <v>0.057</v>
      </c>
      <c r="J23" s="16" t="n">
        <f aca="false">X23+0.18</f>
        <v>2.609</v>
      </c>
      <c r="K23" s="16" t="n">
        <f aca="false">J23+L23</f>
        <v>2.635</v>
      </c>
      <c r="L23" s="16" t="n">
        <f aca="false">RANDBETWEEN(-20,70)/1000</f>
        <v>0.026</v>
      </c>
      <c r="M23" s="16" t="n">
        <v>3.75</v>
      </c>
      <c r="N23" s="16" t="n">
        <f aca="false">+M23+O23</f>
        <v>3.7542</v>
      </c>
      <c r="O23" s="16" t="n">
        <f aca="false">RANDBETWEEN(-105,115)/10000</f>
        <v>0.0042</v>
      </c>
      <c r="P23" s="16" t="n">
        <f aca="false">Y23+0.18</f>
        <v>2.522</v>
      </c>
      <c r="Q23" s="16" t="n">
        <f aca="false">P23+R23</f>
        <v>2.527</v>
      </c>
      <c r="R23" s="16" t="n">
        <f aca="false">RANDBETWEEN(-20,70)/1000</f>
        <v>0.005</v>
      </c>
      <c r="S23" s="17"/>
      <c r="T23" s="18" t="n">
        <v>19.63</v>
      </c>
      <c r="V23" s="19"/>
      <c r="W23" s="19" t="n">
        <f aca="false">'KTHH Lớp 2'!G23</f>
        <v>2.342</v>
      </c>
      <c r="X23" s="19" t="n">
        <f aca="false">'KTHH Lớp 2'!J23</f>
        <v>2.429</v>
      </c>
      <c r="Y23" s="19" t="n">
        <f aca="false">'KTHH Lớp 2'!P23</f>
        <v>2.342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19.63</v>
      </c>
      <c r="D24" s="16" t="n">
        <v>-3.75</v>
      </c>
      <c r="E24" s="16" t="n">
        <f aca="false">+D24+F24</f>
        <v>-3.7525</v>
      </c>
      <c r="F24" s="16" t="n">
        <f aca="false">RANDBETWEEN(-105,115)/10000</f>
        <v>-0.0025</v>
      </c>
      <c r="G24" s="16" t="n">
        <f aca="false">W24+0.18</f>
        <v>2.522</v>
      </c>
      <c r="H24" s="16" t="n">
        <f aca="false">G24+I24</f>
        <v>2.558</v>
      </c>
      <c r="I24" s="16" t="n">
        <f aca="false">RANDBETWEEN(-20,70)/1000</f>
        <v>0.036</v>
      </c>
      <c r="J24" s="16" t="n">
        <f aca="false">X24+0.18</f>
        <v>2.609</v>
      </c>
      <c r="K24" s="16" t="n">
        <f aca="false">J24+L24</f>
        <v>2.606</v>
      </c>
      <c r="L24" s="16" t="n">
        <f aca="false">RANDBETWEEN(-20,70)/1000</f>
        <v>-0.003</v>
      </c>
      <c r="M24" s="16" t="n">
        <v>3.75</v>
      </c>
      <c r="N24" s="16" t="n">
        <f aca="false">+M24+O24</f>
        <v>3.7567</v>
      </c>
      <c r="O24" s="16" t="n">
        <f aca="false">RANDBETWEEN(-105,115)/10000</f>
        <v>0.0067</v>
      </c>
      <c r="P24" s="16" t="n">
        <f aca="false">Y24+0.18</f>
        <v>2.522</v>
      </c>
      <c r="Q24" s="16" t="n">
        <f aca="false">P24+R24</f>
        <v>2.57</v>
      </c>
      <c r="R24" s="16" t="n">
        <f aca="false">RANDBETWEEN(-20,70)/1000</f>
        <v>0.048</v>
      </c>
      <c r="S24" s="17"/>
      <c r="T24" s="18" t="n">
        <v>17.17</v>
      </c>
      <c r="V24" s="19"/>
      <c r="W24" s="19" t="n">
        <f aca="false">'KTHH Lớp 2'!G24</f>
        <v>2.342</v>
      </c>
      <c r="X24" s="19" t="n">
        <f aca="false">'KTHH Lớp 2'!J24</f>
        <v>2.429</v>
      </c>
      <c r="Y24" s="19" t="n">
        <f aca="false">'KTHH Lớp 2'!P24</f>
        <v>2.342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36.8</v>
      </c>
      <c r="D25" s="16" t="n">
        <v>-3.75</v>
      </c>
      <c r="E25" s="16" t="n">
        <f aca="false">+D25+F25</f>
        <v>-3.7436</v>
      </c>
      <c r="F25" s="16" t="n">
        <f aca="false">RANDBETWEEN(-105,115)/10000</f>
        <v>0.0064</v>
      </c>
      <c r="G25" s="16" t="n">
        <f aca="false">W25+0.18</f>
        <v>2.53</v>
      </c>
      <c r="H25" s="16" t="n">
        <f aca="false">G25+I25</f>
        <v>2.527</v>
      </c>
      <c r="I25" s="16" t="n">
        <f aca="false">RANDBETWEEN(-20,70)/1000</f>
        <v>-0.003</v>
      </c>
      <c r="J25" s="16" t="n">
        <f aca="false">X25+0.18</f>
        <v>2.617</v>
      </c>
      <c r="K25" s="16" t="n">
        <f aca="false">J25+L25</f>
        <v>2.659</v>
      </c>
      <c r="L25" s="16" t="n">
        <f aca="false">RANDBETWEEN(-20,70)/1000</f>
        <v>0.042</v>
      </c>
      <c r="M25" s="16" t="n">
        <v>3.75</v>
      </c>
      <c r="N25" s="16" t="n">
        <f aca="false">+M25+O25</f>
        <v>3.754</v>
      </c>
      <c r="O25" s="16" t="n">
        <f aca="false">RANDBETWEEN(-105,115)/10000</f>
        <v>0.004</v>
      </c>
      <c r="P25" s="16" t="n">
        <f aca="false">Y25+0.18</f>
        <v>2.53</v>
      </c>
      <c r="Q25" s="16" t="n">
        <f aca="false">P25+R25</f>
        <v>2.549</v>
      </c>
      <c r="R25" s="16" t="n">
        <f aca="false">RANDBETWEEN(-20,70)/1000</f>
        <v>0.019</v>
      </c>
      <c r="S25" s="17"/>
      <c r="T25" s="18" t="n">
        <v>17.18</v>
      </c>
      <c r="V25" s="19"/>
      <c r="W25" s="19" t="n">
        <f aca="false">'KTHH Lớp 2'!G25</f>
        <v>2.35</v>
      </c>
      <c r="X25" s="19" t="n">
        <f aca="false">'KTHH Lớp 2'!J25</f>
        <v>2.437</v>
      </c>
      <c r="Y25" s="19" t="n">
        <f aca="false">'KTHH Lớp 2'!P25</f>
        <v>2.35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53.98</v>
      </c>
      <c r="D26" s="16" t="n">
        <v>-3.75</v>
      </c>
      <c r="E26" s="16" t="n">
        <f aca="false">+D26+F26</f>
        <v>-3.7469</v>
      </c>
      <c r="F26" s="16" t="n">
        <f aca="false">RANDBETWEEN(-105,115)/10000</f>
        <v>0.0031</v>
      </c>
      <c r="G26" s="16" t="n">
        <f aca="false">W26+0.18</f>
        <v>2.537</v>
      </c>
      <c r="H26" s="16" t="n">
        <f aca="false">G26+I26</f>
        <v>2.593</v>
      </c>
      <c r="I26" s="16" t="n">
        <f aca="false">RANDBETWEEN(-20,70)/1000</f>
        <v>0.056</v>
      </c>
      <c r="J26" s="16" t="n">
        <f aca="false">X26+0.18</f>
        <v>2.624</v>
      </c>
      <c r="K26" s="16" t="n">
        <f aca="false">J26+L26</f>
        <v>2.631</v>
      </c>
      <c r="L26" s="16" t="n">
        <f aca="false">RANDBETWEEN(-20,70)/1000</f>
        <v>0.007</v>
      </c>
      <c r="M26" s="16" t="n">
        <v>3.75</v>
      </c>
      <c r="N26" s="16" t="n">
        <f aca="false">+M26+O26</f>
        <v>3.7559</v>
      </c>
      <c r="O26" s="16" t="n">
        <f aca="false">RANDBETWEEN(-105,115)/10000</f>
        <v>0.0059</v>
      </c>
      <c r="P26" s="16" t="n">
        <f aca="false">Y26+0.18</f>
        <v>2.537</v>
      </c>
      <c r="Q26" s="16" t="n">
        <f aca="false">P26+R26</f>
        <v>2.553</v>
      </c>
      <c r="R26" s="16" t="n">
        <f aca="false">RANDBETWEEN(-20,70)/1000</f>
        <v>0.016</v>
      </c>
      <c r="S26" s="17"/>
      <c r="T26" s="18" t="n">
        <v>12.97</v>
      </c>
      <c r="V26" s="19"/>
      <c r="W26" s="19" t="n">
        <f aca="false">'KTHH Lớp 2'!G26</f>
        <v>2.357</v>
      </c>
      <c r="X26" s="19" t="n">
        <f aca="false">'KTHH Lớp 2'!J26</f>
        <v>2.444</v>
      </c>
      <c r="Y26" s="19" t="n">
        <f aca="false">'KTHH Lớp 2'!P26</f>
        <v>2.357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66.95</v>
      </c>
      <c r="D27" s="16" t="n">
        <v>-3.75</v>
      </c>
      <c r="E27" s="16" t="n">
        <f aca="false">+D27+F27</f>
        <v>-3.7539</v>
      </c>
      <c r="F27" s="16" t="n">
        <f aca="false">RANDBETWEEN(-105,115)/10000</f>
        <v>-0.0039</v>
      </c>
      <c r="G27" s="16" t="n">
        <f aca="false">W27+0.18</f>
        <v>2.543</v>
      </c>
      <c r="H27" s="16" t="n">
        <f aca="false">G27+I27</f>
        <v>2.612</v>
      </c>
      <c r="I27" s="16" t="n">
        <f aca="false">RANDBETWEEN(-20,70)/1000</f>
        <v>0.069</v>
      </c>
      <c r="J27" s="16" t="n">
        <f aca="false">X27+0.18</f>
        <v>2.63</v>
      </c>
      <c r="K27" s="16" t="n">
        <f aca="false">J27+L27</f>
        <v>2.616</v>
      </c>
      <c r="L27" s="16" t="n">
        <f aca="false">RANDBETWEEN(-20,70)/1000</f>
        <v>-0.014</v>
      </c>
      <c r="M27" s="16" t="n">
        <v>3.75</v>
      </c>
      <c r="N27" s="16" t="n">
        <f aca="false">+M27+O27</f>
        <v>3.7518</v>
      </c>
      <c r="O27" s="16" t="n">
        <f aca="false">RANDBETWEEN(-105,115)/10000</f>
        <v>0.0018</v>
      </c>
      <c r="P27" s="16" t="n">
        <f aca="false">Y27+0.18</f>
        <v>2.543</v>
      </c>
      <c r="Q27" s="16" t="n">
        <f aca="false">P27+R27</f>
        <v>2.527</v>
      </c>
      <c r="R27" s="16" t="n">
        <f aca="false">RANDBETWEEN(-20,70)/1000</f>
        <v>-0.016</v>
      </c>
      <c r="S27" s="17"/>
      <c r="T27" s="18" t="n">
        <v>10.68</v>
      </c>
      <c r="V27" s="19"/>
      <c r="W27" s="19" t="n">
        <f aca="false">'KTHH Lớp 2'!G27</f>
        <v>2.363</v>
      </c>
      <c r="X27" s="19" t="n">
        <f aca="false">'KTHH Lớp 2'!J27</f>
        <v>2.45</v>
      </c>
      <c r="Y27" s="19" t="n">
        <f aca="false">'KTHH Lớp 2'!P27</f>
        <v>2.363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77.63</v>
      </c>
      <c r="D28" s="16" t="n">
        <v>-3.75</v>
      </c>
      <c r="E28" s="16" t="n">
        <f aca="false">+D28+F28</f>
        <v>-3.7388</v>
      </c>
      <c r="F28" s="16" t="n">
        <f aca="false">RANDBETWEEN(-105,115)/10000</f>
        <v>0.0112</v>
      </c>
      <c r="G28" s="16" t="n">
        <f aca="false">W28+0.18</f>
        <v>2.548</v>
      </c>
      <c r="H28" s="16" t="n">
        <f aca="false">G28+I28</f>
        <v>2.612</v>
      </c>
      <c r="I28" s="16" t="n">
        <f aca="false">RANDBETWEEN(-20,70)/1000</f>
        <v>0.064</v>
      </c>
      <c r="J28" s="16" t="n">
        <f aca="false">X28+0.18</f>
        <v>2.635</v>
      </c>
      <c r="K28" s="16" t="n">
        <f aca="false">J28+L28</f>
        <v>2.621</v>
      </c>
      <c r="L28" s="16" t="n">
        <f aca="false">RANDBETWEEN(-20,70)/1000</f>
        <v>-0.014</v>
      </c>
      <c r="M28" s="16" t="n">
        <v>3.75</v>
      </c>
      <c r="N28" s="16" t="n">
        <f aca="false">+M28+O28</f>
        <v>3.7549</v>
      </c>
      <c r="O28" s="16" t="n">
        <f aca="false">RANDBETWEEN(-105,115)/10000</f>
        <v>0.0049</v>
      </c>
      <c r="P28" s="16" t="n">
        <f aca="false">Y28+0.18</f>
        <v>2.548</v>
      </c>
      <c r="Q28" s="16" t="n">
        <f aca="false">P28+R28</f>
        <v>2.579</v>
      </c>
      <c r="R28" s="16" t="n">
        <f aca="false">RANDBETWEEN(-20,70)/1000</f>
        <v>0.031</v>
      </c>
      <c r="S28" s="17"/>
      <c r="T28" s="18" t="n">
        <v>17.17</v>
      </c>
      <c r="V28" s="19"/>
      <c r="W28" s="19" t="n">
        <f aca="false">'KTHH Lớp 2'!G28</f>
        <v>2.368</v>
      </c>
      <c r="X28" s="19" t="n">
        <f aca="false">'KTHH Lớp 2'!J28</f>
        <v>2.455</v>
      </c>
      <c r="Y28" s="19" t="n">
        <f aca="false">'KTHH Lớp 2'!P28</f>
        <v>2.368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94.8</v>
      </c>
      <c r="D29" s="16" t="n">
        <v>-3.75</v>
      </c>
      <c r="E29" s="16" t="n">
        <f aca="false">+D29+F29</f>
        <v>-3.7539</v>
      </c>
      <c r="F29" s="16" t="n">
        <f aca="false">RANDBETWEEN(-105,115)/10000</f>
        <v>-0.0039</v>
      </c>
      <c r="G29" s="16" t="n">
        <f aca="false">W29+0.18</f>
        <v>2.557</v>
      </c>
      <c r="H29" s="16" t="n">
        <f aca="false">G29+I29</f>
        <v>2.552</v>
      </c>
      <c r="I29" s="16" t="n">
        <f aca="false">RANDBETWEEN(-20,70)/1000</f>
        <v>-0.005</v>
      </c>
      <c r="J29" s="16" t="n">
        <f aca="false">X29+0.18</f>
        <v>2.644</v>
      </c>
      <c r="K29" s="16" t="n">
        <f aca="false">J29+L29</f>
        <v>2.637</v>
      </c>
      <c r="L29" s="16" t="n">
        <f aca="false">RANDBETWEEN(-20,70)/1000</f>
        <v>-0.007</v>
      </c>
      <c r="M29" s="16" t="n">
        <v>3.75</v>
      </c>
      <c r="N29" s="16" t="n">
        <f aca="false">+M29+O29</f>
        <v>3.7505</v>
      </c>
      <c r="O29" s="16" t="n">
        <f aca="false">RANDBETWEEN(-105,115)/10000</f>
        <v>0.0005</v>
      </c>
      <c r="P29" s="16" t="n">
        <f aca="false">Y29+0.18</f>
        <v>2.557</v>
      </c>
      <c r="Q29" s="16" t="n">
        <f aca="false">P29+R29</f>
        <v>2.582</v>
      </c>
      <c r="R29" s="16" t="n">
        <f aca="false">RANDBETWEEN(-20,70)/1000</f>
        <v>0.025</v>
      </c>
      <c r="S29" s="17"/>
      <c r="T29" s="18" t="n">
        <v>17.17</v>
      </c>
      <c r="V29" s="19"/>
      <c r="W29" s="19" t="n">
        <f aca="false">'KTHH Lớp 2'!G29</f>
        <v>2.377</v>
      </c>
      <c r="X29" s="19" t="n">
        <f aca="false">'KTHH Lớp 2'!J29</f>
        <v>2.464</v>
      </c>
      <c r="Y29" s="19" t="n">
        <f aca="false">'KTHH Lớp 2'!P29</f>
        <v>2.377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111.97</v>
      </c>
      <c r="D30" s="16" t="n">
        <v>-3.75</v>
      </c>
      <c r="E30" s="16" t="n">
        <f aca="false">+D30+F30</f>
        <v>-3.7427</v>
      </c>
      <c r="F30" s="16" t="n">
        <f aca="false">RANDBETWEEN(-105,115)/10000</f>
        <v>0.0073</v>
      </c>
      <c r="G30" s="16" t="n">
        <f aca="false">W30+0.18</f>
        <v>2.566</v>
      </c>
      <c r="H30" s="16" t="n">
        <f aca="false">G30+I30</f>
        <v>2.625</v>
      </c>
      <c r="I30" s="16" t="n">
        <f aca="false">RANDBETWEEN(-20,70)/1000</f>
        <v>0.059</v>
      </c>
      <c r="J30" s="16" t="n">
        <f aca="false">X30+0.18</f>
        <v>2.653</v>
      </c>
      <c r="K30" s="16" t="n">
        <f aca="false">J30+L30</f>
        <v>2.668</v>
      </c>
      <c r="L30" s="16" t="n">
        <f aca="false">RANDBETWEEN(-20,70)/1000</f>
        <v>0.015</v>
      </c>
      <c r="M30" s="16" t="n">
        <v>3.75</v>
      </c>
      <c r="N30" s="16" t="n">
        <f aca="false">+M30+O30</f>
        <v>3.7586</v>
      </c>
      <c r="O30" s="16" t="n">
        <f aca="false">RANDBETWEEN(-105,115)/10000</f>
        <v>0.0086</v>
      </c>
      <c r="P30" s="16" t="n">
        <f aca="false">Y30+0.18</f>
        <v>2.566</v>
      </c>
      <c r="Q30" s="16" t="n">
        <f aca="false">P30+R30</f>
        <v>2.621</v>
      </c>
      <c r="R30" s="16" t="n">
        <f aca="false">RANDBETWEEN(-20,70)/1000</f>
        <v>0.055</v>
      </c>
      <c r="S30" s="17"/>
      <c r="T30" s="18" t="n">
        <v>14.49</v>
      </c>
      <c r="V30" s="19"/>
      <c r="W30" s="19" t="n">
        <f aca="false">'KTHH Lớp 2'!G30</f>
        <v>2.386</v>
      </c>
      <c r="X30" s="19" t="n">
        <f aca="false">'KTHH Lớp 2'!J30</f>
        <v>2.473</v>
      </c>
      <c r="Y30" s="19" t="n">
        <f aca="false">'KTHH Lớp 2'!P30</f>
        <v>2.386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126.46</v>
      </c>
      <c r="D31" s="16" t="n">
        <v>-3.75</v>
      </c>
      <c r="E31" s="16" t="n">
        <f aca="false">+D31+F31</f>
        <v>-3.7447</v>
      </c>
      <c r="F31" s="16" t="n">
        <f aca="false">RANDBETWEEN(-105,115)/10000</f>
        <v>0.0053</v>
      </c>
      <c r="G31" s="16" t="n">
        <f aca="false">W31+0.18</f>
        <v>2.566</v>
      </c>
      <c r="H31" s="16" t="n">
        <f aca="false">G31+I31</f>
        <v>2.579</v>
      </c>
      <c r="I31" s="16" t="n">
        <f aca="false">RANDBETWEEN(-20,70)/1000</f>
        <v>0.013</v>
      </c>
      <c r="J31" s="16" t="n">
        <f aca="false">X31+0.18</f>
        <v>2.653</v>
      </c>
      <c r="K31" s="16" t="n">
        <f aca="false">J31+L31</f>
        <v>2.672</v>
      </c>
      <c r="L31" s="16" t="n">
        <f aca="false">RANDBETWEEN(-20,70)/1000</f>
        <v>0.019</v>
      </c>
      <c r="M31" s="16" t="n">
        <v>3.75</v>
      </c>
      <c r="N31" s="16" t="n">
        <f aca="false">+M31+O31</f>
        <v>3.7532</v>
      </c>
      <c r="O31" s="16" t="n">
        <f aca="false">RANDBETWEEN(-105,115)/10000</f>
        <v>0.0032</v>
      </c>
      <c r="P31" s="16" t="n">
        <f aca="false">Y31+0.18</f>
        <v>2.566</v>
      </c>
      <c r="Q31" s="16" t="n">
        <f aca="false">P31+R31</f>
        <v>2.612</v>
      </c>
      <c r="R31" s="16" t="n">
        <f aca="false">RANDBETWEEN(-20,70)/1000</f>
        <v>0.046</v>
      </c>
      <c r="S31" s="17"/>
      <c r="T31" s="18"/>
      <c r="V31" s="19"/>
      <c r="W31" s="19" t="n">
        <f aca="false">'KTHH Lớp 2'!G31</f>
        <v>2.386</v>
      </c>
      <c r="X31" s="19" t="n">
        <f aca="false">'KTHH Lớp 2'!J31</f>
        <v>2.473</v>
      </c>
      <c r="Y31" s="19" t="n">
        <f aca="false">'KTHH Lớp 2'!P31</f>
        <v>2.386</v>
      </c>
    </row>
    <row r="32" customFormat="false" ht="15.75" hidden="false" customHeight="true" outlineLevel="0" collapsed="false"/>
    <row r="33" customFormat="false" ht="15.75" hidden="false" customHeight="true" outlineLevel="0" collapsed="false">
      <c r="C33" s="21" t="s">
        <v>32</v>
      </c>
      <c r="D33" s="21"/>
      <c r="E33" s="21"/>
      <c r="F33" s="21"/>
      <c r="G33" s="21"/>
      <c r="H33" s="21"/>
      <c r="I33" s="21"/>
      <c r="K33" s="22"/>
      <c r="L33" s="22"/>
      <c r="M33" s="22"/>
      <c r="N33" s="22"/>
      <c r="O33" s="21" t="s">
        <v>33</v>
      </c>
      <c r="P33" s="21"/>
      <c r="Q33" s="21"/>
      <c r="R33" s="21"/>
    </row>
    <row r="34" customFormat="false" ht="15.75" hidden="false" customHeight="true" outlineLevel="0" collapsed="false">
      <c r="E34" s="23"/>
      <c r="F34" s="23"/>
      <c r="G34" s="23"/>
      <c r="H34" s="23"/>
      <c r="K34" s="23"/>
      <c r="L34" s="23"/>
      <c r="M34" s="23"/>
      <c r="N34" s="23"/>
      <c r="O34" s="23"/>
      <c r="P34" s="23"/>
      <c r="Q34" s="23"/>
      <c r="R34" s="23"/>
    </row>
    <row r="35" customFormat="false" ht="15.75" hidden="false" customHeight="true" outlineLevel="0" collapsed="false">
      <c r="E35" s="23"/>
      <c r="F35" s="23"/>
      <c r="G35" s="23"/>
      <c r="H35" s="23"/>
      <c r="K35" s="23"/>
      <c r="L35" s="23"/>
      <c r="M35" s="23"/>
      <c r="N35" s="23"/>
      <c r="O35" s="23"/>
      <c r="P35" s="23"/>
      <c r="Q35" s="23"/>
      <c r="R35" s="23"/>
    </row>
    <row r="36" customFormat="false" ht="15.75" hidden="false" customHeight="true" outlineLevel="0" collapsed="false">
      <c r="E36" s="23"/>
      <c r="F36" s="23"/>
      <c r="G36" s="23"/>
      <c r="H36" s="23"/>
      <c r="K36" s="23"/>
      <c r="L36" s="23"/>
      <c r="M36" s="23"/>
      <c r="N36" s="23"/>
      <c r="O36" s="23"/>
      <c r="P36" s="23"/>
      <c r="Q36" s="23"/>
      <c r="R36" s="23"/>
    </row>
    <row r="37" customFormat="false" ht="15.75" hidden="false" customHeight="true" outlineLevel="0" collapsed="false">
      <c r="E37" s="23"/>
      <c r="F37" s="23"/>
      <c r="G37" s="23"/>
      <c r="H37" s="23"/>
      <c r="K37" s="23"/>
      <c r="L37" s="23"/>
      <c r="M37" s="23"/>
      <c r="N37" s="23"/>
      <c r="O37" s="23"/>
      <c r="P37" s="23"/>
      <c r="Q37" s="23"/>
      <c r="R37" s="23"/>
    </row>
    <row r="38" customFormat="false" ht="15.75" hidden="false" customHeight="true" outlineLevel="0" collapsed="false">
      <c r="C38" s="21" t="s">
        <v>34</v>
      </c>
      <c r="D38" s="21"/>
      <c r="E38" s="21"/>
      <c r="F38" s="21"/>
      <c r="G38" s="21"/>
      <c r="H38" s="21"/>
      <c r="I38" s="21"/>
      <c r="K38" s="22"/>
      <c r="L38" s="22"/>
      <c r="M38" s="22"/>
      <c r="N38" s="22"/>
      <c r="O38" s="21" t="s">
        <v>35</v>
      </c>
      <c r="P38" s="21"/>
      <c r="Q38" s="21"/>
      <c r="R38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05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21.NĐXB6A/CVXD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21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XB6A'!$A$2:$B$60,2,0)</f>
        <v xml:space="preserve">Đắp cấp phối đá dăm loại 2 đoạn từ Km0+000,00 - Km0+126,46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37</v>
      </c>
      <c r="B9" s="117" t="s">
        <v>10</v>
      </c>
      <c r="C9" s="117" t="s">
        <v>11</v>
      </c>
      <c r="D9" s="118" t="s">
        <v>38</v>
      </c>
      <c r="E9" s="119"/>
      <c r="F9" s="119"/>
      <c r="G9" s="118"/>
      <c r="H9" s="119"/>
      <c r="I9" s="119"/>
      <c r="J9" s="119"/>
      <c r="K9" s="119"/>
      <c r="L9" s="119"/>
      <c r="M9" s="120" t="s">
        <v>39</v>
      </c>
      <c r="N9" s="121"/>
      <c r="O9" s="122" t="s">
        <v>40</v>
      </c>
      <c r="P9" s="123"/>
      <c r="Q9" s="123"/>
      <c r="R9" s="123"/>
      <c r="S9" s="123"/>
      <c r="T9" s="123"/>
      <c r="U9" s="123"/>
      <c r="V9" s="123"/>
      <c r="W9" s="122" t="s">
        <v>41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40</v>
      </c>
      <c r="O10" s="122"/>
      <c r="P10" s="122" t="s">
        <v>40</v>
      </c>
      <c r="Q10" s="122" t="s">
        <v>40</v>
      </c>
      <c r="R10" s="122"/>
      <c r="S10" s="122"/>
      <c r="T10" s="122"/>
      <c r="U10" s="122" t="s">
        <v>41</v>
      </c>
      <c r="V10" s="122" t="s">
        <v>41</v>
      </c>
      <c r="W10" s="122"/>
      <c r="X10" s="122" t="s">
        <v>41</v>
      </c>
      <c r="Y10" s="122" t="s">
        <v>41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D3</v>
      </c>
      <c r="C11" s="133" t="n">
        <f aca="false">'Base A'!C23</f>
        <v>0</v>
      </c>
      <c r="D11" s="132" t="n">
        <f aca="false">'Base A'!T23</f>
        <v>19.63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7.5*0.18</f>
        <v>1.35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26.5005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1</v>
      </c>
      <c r="C12" s="133" t="n">
        <f aca="false">'Base A'!C24</f>
        <v>19.63</v>
      </c>
      <c r="D12" s="132" t="n">
        <f aca="false">'Base A'!T24</f>
        <v>17.17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7.5*0.18</f>
        <v>1.35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23.1795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2</v>
      </c>
      <c r="C13" s="133" t="n">
        <f aca="false">'Base A'!C25</f>
        <v>36.8</v>
      </c>
      <c r="D13" s="132" t="n">
        <f aca="false">'Base A'!T25</f>
        <v>17.18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7.5*0.18</f>
        <v>1.35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23.193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3</v>
      </c>
      <c r="C14" s="133" t="n">
        <f aca="false">'Base A'!C26</f>
        <v>53.98</v>
      </c>
      <c r="D14" s="132" t="n">
        <f aca="false">'Base A'!T26</f>
        <v>12.97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7.5*0.18</f>
        <v>1.35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17.5095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D2</v>
      </c>
      <c r="C15" s="133" t="n">
        <f aca="false">'Base A'!C27</f>
        <v>66.95</v>
      </c>
      <c r="D15" s="132" t="n">
        <f aca="false">'Base A'!T27</f>
        <v>10.68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7.5*0.18</f>
        <v>1.35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14.418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4</v>
      </c>
      <c r="C16" s="133" t="n">
        <f aca="false">'Base A'!C28</f>
        <v>77.63</v>
      </c>
      <c r="D16" s="132" t="n">
        <f aca="false">'Base A'!T28</f>
        <v>17.17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7.5*0.18</f>
        <v>1.35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23.1795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5</v>
      </c>
      <c r="C17" s="133" t="n">
        <f aca="false">'Base A'!C29</f>
        <v>94.8</v>
      </c>
      <c r="D17" s="132" t="n">
        <f aca="false">'Base A'!T29</f>
        <v>17.17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7.5*0.18</f>
        <v>1.35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23.1795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6</v>
      </c>
      <c r="C18" s="133" t="n">
        <f aca="false">'Base A'!C30</f>
        <v>111.97</v>
      </c>
      <c r="D18" s="132" t="n">
        <f aca="false">'Base A'!T30</f>
        <v>14.49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7.5*0.18</f>
        <v>1.35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19.5615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D1</v>
      </c>
      <c r="C19" s="133" t="n">
        <f aca="false">'Base A'!C31</f>
        <v>126.46</v>
      </c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7.5*0.18</f>
        <v>1.35</v>
      </c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customFormat="false" ht="15.75" hidden="false" customHeight="true" outlineLevel="0" collapsed="false">
      <c r="A20" s="142" t="s">
        <v>42</v>
      </c>
      <c r="B20" s="142"/>
      <c r="C20" s="142"/>
      <c r="D20" s="142"/>
      <c r="E20" s="143"/>
      <c r="F20" s="143"/>
      <c r="G20" s="143"/>
      <c r="H20" s="143"/>
      <c r="I20" s="143"/>
      <c r="J20" s="143"/>
      <c r="K20" s="143"/>
      <c r="L20" s="143"/>
      <c r="M20" s="144"/>
      <c r="N20" s="144"/>
      <c r="O20" s="145"/>
      <c r="P20" s="145"/>
      <c r="Q20" s="145"/>
      <c r="R20" s="146" t="n">
        <f aca="false">SUM(R11:R5)</f>
        <v>0</v>
      </c>
      <c r="S20" s="146" t="n">
        <f aca="false">SUM(S11:S5)</f>
        <v>0</v>
      </c>
      <c r="T20" s="146"/>
      <c r="U20" s="147" t="n">
        <f aca="false">SUM(U11:U5)</f>
        <v>0</v>
      </c>
      <c r="V20" s="147" t="n">
        <f aca="false">SUM(V11:V5)</f>
        <v>0</v>
      </c>
      <c r="W20" s="148" t="n">
        <f aca="false">SUM(W11:W19)</f>
        <v>170.721</v>
      </c>
      <c r="X20" s="147" t="n">
        <f aca="false">SUM(X11:X5)</f>
        <v>0</v>
      </c>
      <c r="Y20" s="147" t="n">
        <f aca="false">SUM(Y11:Y5)</f>
        <v>0</v>
      </c>
      <c r="Z20" s="147" t="n">
        <f aca="false">SUM(Z11:Z5)</f>
        <v>0</v>
      </c>
      <c r="AA20" s="147" t="n">
        <f aca="false">SUM(AA11:AA5)</f>
        <v>0</v>
      </c>
      <c r="AB20" s="147"/>
      <c r="AE20" s="149"/>
      <c r="AF20" s="150"/>
      <c r="AG20" s="150"/>
      <c r="AH20" s="131"/>
      <c r="AI20" s="149"/>
      <c r="AJ20" s="149"/>
      <c r="AK20" s="149"/>
      <c r="AL20" s="149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  <c r="HM20" s="74"/>
      <c r="HN20" s="74"/>
      <c r="HO20" s="74"/>
      <c r="HP20" s="74"/>
      <c r="HQ20" s="74"/>
      <c r="HR20" s="74"/>
      <c r="HS20" s="74"/>
      <c r="HT20" s="74"/>
      <c r="HU20" s="74"/>
    </row>
    <row r="21" customFormat="false" ht="15.75" hidden="false" customHeight="true" outlineLevel="0" collapsed="false">
      <c r="A21" s="108"/>
      <c r="B21" s="108"/>
      <c r="C21" s="108"/>
      <c r="D21" s="108"/>
      <c r="E21" s="74"/>
      <c r="F21" s="74"/>
      <c r="G21" s="74"/>
      <c r="H21" s="74"/>
      <c r="I21" s="74"/>
      <c r="J21" s="74"/>
      <c r="R21" s="109"/>
      <c r="S21" s="109"/>
      <c r="T21" s="109"/>
      <c r="U21" s="110"/>
      <c r="V21" s="110"/>
      <c r="W21" s="110"/>
      <c r="X21" s="110"/>
      <c r="Y21" s="110"/>
      <c r="Z21" s="110"/>
      <c r="AA21" s="110"/>
      <c r="AB21" s="110"/>
      <c r="AE21" s="110"/>
      <c r="AF21" s="151"/>
      <c r="AG21" s="150"/>
      <c r="AH21" s="151"/>
      <c r="AI21" s="141"/>
      <c r="AJ21" s="141"/>
      <c r="AK21" s="152"/>
      <c r="AL21" s="141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  <c r="HR21" s="74"/>
      <c r="HS21" s="74"/>
      <c r="HT21" s="74"/>
      <c r="HU21" s="74"/>
    </row>
    <row r="22" customFormat="false" ht="15.75" hidden="false" customHeight="true" outlineLevel="0" collapsed="false">
      <c r="A22" s="153" t="s">
        <v>32</v>
      </c>
      <c r="B22" s="153"/>
      <c r="C22" s="153"/>
      <c r="D22" s="154" t="s">
        <v>43</v>
      </c>
      <c r="E22" s="153" t="s">
        <v>33</v>
      </c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E22" s="141"/>
      <c r="AF22" s="151"/>
      <c r="AI22" s="131"/>
      <c r="AJ22" s="131"/>
      <c r="AK22" s="131"/>
      <c r="AL22" s="131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  <c r="HR22" s="74"/>
      <c r="HS22" s="74"/>
      <c r="HT22" s="74"/>
      <c r="HU22" s="74"/>
    </row>
    <row r="23" customFormat="false" ht="15.75" hidden="false" customHeight="true" outlineLevel="0" collapsed="false">
      <c r="A23" s="113"/>
      <c r="B23" s="113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Z23" s="74"/>
      <c r="AA23" s="74"/>
      <c r="AB23" s="74"/>
      <c r="AC23" s="74"/>
      <c r="AD23" s="74"/>
      <c r="AI23" s="131"/>
      <c r="AJ23" s="131"/>
      <c r="AK23" s="131"/>
      <c r="AL23" s="131"/>
      <c r="HV23" s="74"/>
    </row>
    <row r="24" customFormat="false" ht="15.75" hidden="false" customHeight="true" outlineLevel="0" collapsed="false">
      <c r="A24" s="113"/>
      <c r="B24" s="113"/>
      <c r="C24" s="115"/>
      <c r="D24" s="115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Z24" s="74"/>
      <c r="AA24" s="74"/>
      <c r="AB24" s="74"/>
      <c r="AC24" s="74"/>
      <c r="AD24" s="74"/>
      <c r="AE24" s="74"/>
      <c r="AF24" s="79"/>
      <c r="AG24" s="74"/>
      <c r="AH24" s="74"/>
      <c r="AI24" s="74"/>
      <c r="AJ24" s="74"/>
      <c r="AK24" s="74"/>
      <c r="AL24" s="74"/>
      <c r="AM24" s="74"/>
      <c r="HV24" s="74"/>
    </row>
    <row r="25" customFormat="false" ht="15" hidden="false" customHeight="true" outlineLevel="0" collapsed="false">
      <c r="A25" s="113"/>
      <c r="B25" s="113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HV25" s="74"/>
    </row>
    <row r="26" customFormat="false" ht="15" hidden="false" customHeight="true" outlineLevel="0" collapsed="false">
      <c r="A26" s="113"/>
      <c r="B26" s="113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HV26" s="74"/>
    </row>
    <row r="27" customFormat="false" ht="15" hidden="false" customHeight="true" outlineLevel="0" collapsed="false">
      <c r="A27" s="113"/>
      <c r="B27" s="113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HV27" s="74"/>
    </row>
    <row r="28" customFormat="false" ht="15.75" hidden="false" customHeight="true" outlineLevel="0" collapsed="false">
      <c r="A28" s="153" t="s">
        <v>34</v>
      </c>
      <c r="B28" s="153"/>
      <c r="C28" s="153"/>
      <c r="D28" s="155"/>
      <c r="E28" s="155"/>
      <c r="F28" s="155"/>
      <c r="G28" s="155"/>
      <c r="H28" s="155"/>
      <c r="I28" s="155"/>
      <c r="J28" s="155"/>
      <c r="K28" s="155"/>
      <c r="L28" s="155"/>
      <c r="M28" s="153" t="s">
        <v>35</v>
      </c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HV28" s="74"/>
    </row>
    <row r="29" customFormat="false" ht="15.75" hidden="false" customHeight="true" outlineLevel="0" collapsed="false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</row>
    <row r="32" customFormat="false" ht="12.75" hidden="false" customHeight="false" outlineLevel="0" collapsed="false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customFormat="false" ht="12.75" hidden="false" customHeight="false" outlineLevel="0" collapsed="false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</row>
    <row r="34" customFormat="false" ht="12.75" hidden="false" customHeight="fals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</row>
    <row r="35" customFormat="false" ht="12.75" hidden="false" customHeight="fals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</row>
    <row r="36" customFormat="false" ht="12.75" hidden="false" customHeight="fals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</row>
    <row r="37" customFormat="false" ht="12.75" hidden="false" customHeight="fals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</row>
    <row r="38" customFormat="false" ht="12.75" hidden="false" customHeight="fals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</row>
    <row r="39" customFormat="false" ht="12.7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</row>
    <row r="40" customFormat="false" ht="12.7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customFormat="false" ht="12.7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customFormat="false" ht="12.7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</row>
    <row r="43" customFormat="false" ht="12.7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</row>
    <row r="44" customFormat="false" ht="12.7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</row>
    <row r="45" customFormat="false" ht="12.7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</row>
    <row r="46" customFormat="false" ht="12.7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</row>
    <row r="47" customFormat="false" ht="12.7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</row>
    <row r="48" customFormat="false" ht="12.7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customFormat="false" ht="12.7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</row>
    <row r="50" customFormat="false" ht="12.7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</row>
    <row r="51" customFormat="false" ht="12.7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</row>
    <row r="52" customFormat="false" ht="12.7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</row>
    <row r="53" customFormat="false" ht="12.7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</row>
    <row r="54" customFormat="false" ht="12.7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</row>
    <row r="55" customFormat="false" ht="12.7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</row>
    <row r="56" customFormat="false" ht="12.7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</row>
    <row r="57" customFormat="false" ht="12.7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8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XB6A'!$A$2:$G$60,7,0)&amp;VLOOKUP(AZ2,'[1]Tuyến XB6A'!$A$2:$G$60,4,0)</f>
        <v xml:space="preserve">Kèm theo BBNT số: 24.NĐXB6A/CVXD ngày 06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24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XB6A'!$A$2:$B$60,2,0)</f>
        <v xml:space="preserve">Đắp cấp phối đá dăm loại 1 đoạn từ Km0+000,00 - Km0+126,46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0</v>
      </c>
      <c r="D23" s="16" t="n">
        <v>-3.75</v>
      </c>
      <c r="E23" s="16" t="n">
        <f aca="false">+D23+F23</f>
        <v>-3.7466</v>
      </c>
      <c r="F23" s="16" t="n">
        <f aca="false">RANDBETWEEN(-105,115)/10000</f>
        <v>0.0034</v>
      </c>
      <c r="G23" s="16" t="n">
        <f aca="false">W23+0.15</f>
        <v>2.672</v>
      </c>
      <c r="H23" s="16" t="n">
        <f aca="false">G23+I23</f>
        <v>2.684</v>
      </c>
      <c r="I23" s="16" t="n">
        <f aca="false">RANDBETWEEN(-20,70)/1000</f>
        <v>0.012</v>
      </c>
      <c r="J23" s="16" t="n">
        <f aca="false">X23+0.15</f>
        <v>2.759</v>
      </c>
      <c r="K23" s="16" t="n">
        <f aca="false">J23+L23</f>
        <v>2.802</v>
      </c>
      <c r="L23" s="16" t="n">
        <f aca="false">RANDBETWEEN(-20,70)/1000</f>
        <v>0.043</v>
      </c>
      <c r="M23" s="16" t="n">
        <v>3.75</v>
      </c>
      <c r="N23" s="16" t="n">
        <f aca="false">+M23+O23</f>
        <v>3.7532</v>
      </c>
      <c r="O23" s="16" t="n">
        <f aca="false">RANDBETWEEN(-105,115)/10000</f>
        <v>0.0032</v>
      </c>
      <c r="P23" s="16" t="n">
        <f aca="false">Y23+0.15</f>
        <v>2.672</v>
      </c>
      <c r="Q23" s="16" t="n">
        <f aca="false">P23+R23</f>
        <v>2.711</v>
      </c>
      <c r="R23" s="16" t="n">
        <f aca="false">RANDBETWEEN(-20,70)/1000</f>
        <v>0.039</v>
      </c>
      <c r="S23" s="17"/>
      <c r="T23" s="18" t="n">
        <v>19.63</v>
      </c>
      <c r="V23" s="19"/>
      <c r="W23" s="19" t="n">
        <f aca="false">'Base A'!G23</f>
        <v>2.522</v>
      </c>
      <c r="X23" s="19" t="n">
        <f aca="false">'Base A'!J23</f>
        <v>2.609</v>
      </c>
      <c r="Y23" s="19" t="n">
        <f aca="false">'Base A'!P23</f>
        <v>2.522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19.63</v>
      </c>
      <c r="D24" s="16" t="n">
        <v>-3.75</v>
      </c>
      <c r="E24" s="16" t="n">
        <f aca="false">+D24+F24</f>
        <v>-3.7538</v>
      </c>
      <c r="F24" s="16" t="n">
        <f aca="false">RANDBETWEEN(-105,115)/10000</f>
        <v>-0.0038</v>
      </c>
      <c r="G24" s="16" t="n">
        <f aca="false">W24+0.15</f>
        <v>2.672</v>
      </c>
      <c r="H24" s="16" t="n">
        <f aca="false">G24+I24</f>
        <v>2.687</v>
      </c>
      <c r="I24" s="16" t="n">
        <f aca="false">RANDBETWEEN(-20,70)/1000</f>
        <v>0.015</v>
      </c>
      <c r="J24" s="16" t="n">
        <f aca="false">X24+0.15</f>
        <v>2.759</v>
      </c>
      <c r="K24" s="16" t="n">
        <f aca="false">J24+L24</f>
        <v>2.786</v>
      </c>
      <c r="L24" s="16" t="n">
        <f aca="false">RANDBETWEEN(-20,70)/1000</f>
        <v>0.027</v>
      </c>
      <c r="M24" s="16" t="n">
        <v>3.75</v>
      </c>
      <c r="N24" s="16" t="n">
        <f aca="false">+M24+O24</f>
        <v>3.7455</v>
      </c>
      <c r="O24" s="16" t="n">
        <f aca="false">RANDBETWEEN(-105,115)/10000</f>
        <v>-0.0045</v>
      </c>
      <c r="P24" s="16" t="n">
        <f aca="false">Y24+0.15</f>
        <v>2.672</v>
      </c>
      <c r="Q24" s="16" t="n">
        <f aca="false">P24+R24</f>
        <v>2.672</v>
      </c>
      <c r="R24" s="16" t="n">
        <f aca="false">RANDBETWEEN(-20,70)/1000</f>
        <v>0</v>
      </c>
      <c r="S24" s="17"/>
      <c r="T24" s="18" t="n">
        <v>17.17</v>
      </c>
      <c r="V24" s="19"/>
      <c r="W24" s="19" t="n">
        <f aca="false">'Base A'!G24</f>
        <v>2.522</v>
      </c>
      <c r="X24" s="19" t="n">
        <f aca="false">'Base A'!J24</f>
        <v>2.609</v>
      </c>
      <c r="Y24" s="19" t="n">
        <f aca="false">'Base A'!P24</f>
        <v>2.522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36.8</v>
      </c>
      <c r="D25" s="16" t="n">
        <v>-3.75</v>
      </c>
      <c r="E25" s="16" t="n">
        <f aca="false">+D25+F25</f>
        <v>-3.7531</v>
      </c>
      <c r="F25" s="16" t="n">
        <f aca="false">RANDBETWEEN(-105,115)/10000</f>
        <v>-0.0031</v>
      </c>
      <c r="G25" s="16" t="n">
        <f aca="false">W25+0.15</f>
        <v>2.68</v>
      </c>
      <c r="H25" s="16" t="n">
        <f aca="false">G25+I25</f>
        <v>2.725</v>
      </c>
      <c r="I25" s="16" t="n">
        <f aca="false">RANDBETWEEN(-20,70)/1000</f>
        <v>0.045</v>
      </c>
      <c r="J25" s="16" t="n">
        <f aca="false">X25+0.15</f>
        <v>2.767</v>
      </c>
      <c r="K25" s="16" t="n">
        <f aca="false">J25+L25</f>
        <v>2.756</v>
      </c>
      <c r="L25" s="16" t="n">
        <f aca="false">RANDBETWEEN(-20,70)/1000</f>
        <v>-0.011</v>
      </c>
      <c r="M25" s="16" t="n">
        <v>3.75</v>
      </c>
      <c r="N25" s="16" t="n">
        <f aca="false">+M25+O25</f>
        <v>3.7405</v>
      </c>
      <c r="O25" s="16" t="n">
        <f aca="false">RANDBETWEEN(-105,115)/10000</f>
        <v>-0.0095</v>
      </c>
      <c r="P25" s="16" t="n">
        <f aca="false">Y25+0.15</f>
        <v>2.68</v>
      </c>
      <c r="Q25" s="16" t="n">
        <f aca="false">P25+R25</f>
        <v>2.705</v>
      </c>
      <c r="R25" s="16" t="n">
        <f aca="false">RANDBETWEEN(-20,70)/1000</f>
        <v>0.025</v>
      </c>
      <c r="S25" s="17"/>
      <c r="T25" s="18" t="n">
        <v>17.18</v>
      </c>
      <c r="V25" s="19"/>
      <c r="W25" s="19" t="n">
        <f aca="false">'Base A'!G25</f>
        <v>2.53</v>
      </c>
      <c r="X25" s="19" t="n">
        <f aca="false">'Base A'!J25</f>
        <v>2.617</v>
      </c>
      <c r="Y25" s="19" t="n">
        <f aca="false">'Base A'!P25</f>
        <v>2.53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53.98</v>
      </c>
      <c r="D26" s="16" t="n">
        <v>-3.75</v>
      </c>
      <c r="E26" s="16" t="n">
        <f aca="false">+D26+F26</f>
        <v>-3.7569</v>
      </c>
      <c r="F26" s="16" t="n">
        <f aca="false">RANDBETWEEN(-105,115)/10000</f>
        <v>-0.0069</v>
      </c>
      <c r="G26" s="16" t="n">
        <f aca="false">W26+0.15</f>
        <v>2.687</v>
      </c>
      <c r="H26" s="16" t="n">
        <f aca="false">G26+I26</f>
        <v>2.672</v>
      </c>
      <c r="I26" s="16" t="n">
        <f aca="false">RANDBETWEEN(-20,70)/1000</f>
        <v>-0.015</v>
      </c>
      <c r="J26" s="16" t="n">
        <f aca="false">X26+0.15</f>
        <v>2.774</v>
      </c>
      <c r="K26" s="16" t="n">
        <f aca="false">J26+L26</f>
        <v>2.791</v>
      </c>
      <c r="L26" s="16" t="n">
        <f aca="false">RANDBETWEEN(-20,70)/1000</f>
        <v>0.017</v>
      </c>
      <c r="M26" s="16" t="n">
        <v>3.75</v>
      </c>
      <c r="N26" s="16" t="n">
        <f aca="false">+M26+O26</f>
        <v>3.7593</v>
      </c>
      <c r="O26" s="16" t="n">
        <f aca="false">RANDBETWEEN(-105,115)/10000</f>
        <v>0.0093</v>
      </c>
      <c r="P26" s="16" t="n">
        <f aca="false">Y26+0.15</f>
        <v>2.687</v>
      </c>
      <c r="Q26" s="16" t="n">
        <f aca="false">P26+R26</f>
        <v>2.681</v>
      </c>
      <c r="R26" s="16" t="n">
        <f aca="false">RANDBETWEEN(-20,70)/1000</f>
        <v>-0.006</v>
      </c>
      <c r="S26" s="17"/>
      <c r="T26" s="18" t="n">
        <v>12.97</v>
      </c>
      <c r="V26" s="19"/>
      <c r="W26" s="19" t="n">
        <f aca="false">'Base A'!G26</f>
        <v>2.537</v>
      </c>
      <c r="X26" s="19" t="n">
        <f aca="false">'Base A'!J26</f>
        <v>2.624</v>
      </c>
      <c r="Y26" s="19" t="n">
        <f aca="false">'Base A'!P26</f>
        <v>2.537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66.95</v>
      </c>
      <c r="D27" s="16" t="n">
        <v>-3.75</v>
      </c>
      <c r="E27" s="16" t="n">
        <f aca="false">+D27+F27</f>
        <v>-3.7491</v>
      </c>
      <c r="F27" s="16" t="n">
        <f aca="false">RANDBETWEEN(-105,115)/10000</f>
        <v>0.0009</v>
      </c>
      <c r="G27" s="16" t="n">
        <f aca="false">W27+0.15</f>
        <v>2.693</v>
      </c>
      <c r="H27" s="16" t="n">
        <f aca="false">G27+I27</f>
        <v>2.686</v>
      </c>
      <c r="I27" s="16" t="n">
        <f aca="false">RANDBETWEEN(-20,70)/1000</f>
        <v>-0.007</v>
      </c>
      <c r="J27" s="16" t="n">
        <f aca="false">X27+0.15</f>
        <v>2.78</v>
      </c>
      <c r="K27" s="16" t="n">
        <f aca="false">J27+L27</f>
        <v>2.804</v>
      </c>
      <c r="L27" s="16" t="n">
        <f aca="false">RANDBETWEEN(-20,70)/1000</f>
        <v>0.024</v>
      </c>
      <c r="M27" s="16" t="n">
        <v>3.75</v>
      </c>
      <c r="N27" s="16" t="n">
        <f aca="false">+M27+O27</f>
        <v>3.7587</v>
      </c>
      <c r="O27" s="16" t="n">
        <f aca="false">RANDBETWEEN(-105,115)/10000</f>
        <v>0.0087</v>
      </c>
      <c r="P27" s="16" t="n">
        <f aca="false">Y27+0.15</f>
        <v>2.693</v>
      </c>
      <c r="Q27" s="16" t="n">
        <f aca="false">P27+R27</f>
        <v>2.736</v>
      </c>
      <c r="R27" s="16" t="n">
        <f aca="false">RANDBETWEEN(-20,70)/1000</f>
        <v>0.043</v>
      </c>
      <c r="S27" s="17"/>
      <c r="T27" s="18" t="n">
        <v>10.68</v>
      </c>
      <c r="V27" s="19"/>
      <c r="W27" s="19" t="n">
        <f aca="false">'Base A'!G27</f>
        <v>2.543</v>
      </c>
      <c r="X27" s="19" t="n">
        <f aca="false">'Base A'!J27</f>
        <v>2.63</v>
      </c>
      <c r="Y27" s="19" t="n">
        <f aca="false">'Base A'!P27</f>
        <v>2.543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77.63</v>
      </c>
      <c r="D28" s="16" t="n">
        <v>-3.75</v>
      </c>
      <c r="E28" s="16" t="n">
        <f aca="false">+D28+F28</f>
        <v>-3.7587</v>
      </c>
      <c r="F28" s="16" t="n">
        <f aca="false">RANDBETWEEN(-105,115)/10000</f>
        <v>-0.0087</v>
      </c>
      <c r="G28" s="16" t="n">
        <f aca="false">W28+0.15</f>
        <v>2.698</v>
      </c>
      <c r="H28" s="16" t="n">
        <f aca="false">G28+I28</f>
        <v>2.712</v>
      </c>
      <c r="I28" s="16" t="n">
        <f aca="false">RANDBETWEEN(-20,70)/1000</f>
        <v>0.014</v>
      </c>
      <c r="J28" s="16" t="n">
        <f aca="false">X28+0.15</f>
        <v>2.785</v>
      </c>
      <c r="K28" s="16" t="n">
        <f aca="false">J28+L28</f>
        <v>2.838</v>
      </c>
      <c r="L28" s="16" t="n">
        <f aca="false">RANDBETWEEN(-20,70)/1000</f>
        <v>0.053</v>
      </c>
      <c r="M28" s="16" t="n">
        <v>3.75</v>
      </c>
      <c r="N28" s="16" t="n">
        <f aca="false">+M28+O28</f>
        <v>3.753</v>
      </c>
      <c r="O28" s="16" t="n">
        <f aca="false">RANDBETWEEN(-105,115)/10000</f>
        <v>0.003</v>
      </c>
      <c r="P28" s="16" t="n">
        <f aca="false">Y28+0.15</f>
        <v>2.698</v>
      </c>
      <c r="Q28" s="16" t="n">
        <f aca="false">P28+R28</f>
        <v>2.721</v>
      </c>
      <c r="R28" s="16" t="n">
        <f aca="false">RANDBETWEEN(-20,70)/1000</f>
        <v>0.023</v>
      </c>
      <c r="S28" s="17"/>
      <c r="T28" s="18" t="n">
        <v>17.17</v>
      </c>
      <c r="V28" s="19"/>
      <c r="W28" s="19" t="n">
        <f aca="false">'Base A'!G28</f>
        <v>2.548</v>
      </c>
      <c r="X28" s="19" t="n">
        <f aca="false">'Base A'!J28</f>
        <v>2.635</v>
      </c>
      <c r="Y28" s="19" t="n">
        <f aca="false">'Base A'!P28</f>
        <v>2.548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94.8</v>
      </c>
      <c r="D29" s="16" t="n">
        <v>-3.75</v>
      </c>
      <c r="E29" s="16" t="n">
        <f aca="false">+D29+F29</f>
        <v>-3.7438</v>
      </c>
      <c r="F29" s="16" t="n">
        <f aca="false">RANDBETWEEN(-105,115)/10000</f>
        <v>0.0062</v>
      </c>
      <c r="G29" s="16" t="n">
        <f aca="false">W29+0.15</f>
        <v>2.707</v>
      </c>
      <c r="H29" s="16" t="n">
        <f aca="false">G29+I29</f>
        <v>2.73</v>
      </c>
      <c r="I29" s="16" t="n">
        <f aca="false">RANDBETWEEN(-20,70)/1000</f>
        <v>0.023</v>
      </c>
      <c r="J29" s="16" t="n">
        <f aca="false">X29+0.15</f>
        <v>2.794</v>
      </c>
      <c r="K29" s="16" t="n">
        <f aca="false">J29+L29</f>
        <v>2.824</v>
      </c>
      <c r="L29" s="16" t="n">
        <f aca="false">RANDBETWEEN(-20,70)/1000</f>
        <v>0.03</v>
      </c>
      <c r="M29" s="16" t="n">
        <v>3.75</v>
      </c>
      <c r="N29" s="16" t="n">
        <f aca="false">+M29+O29</f>
        <v>3.7504</v>
      </c>
      <c r="O29" s="16" t="n">
        <f aca="false">RANDBETWEEN(-105,115)/10000</f>
        <v>0.0004</v>
      </c>
      <c r="P29" s="16" t="n">
        <f aca="false">Y29+0.15</f>
        <v>2.707</v>
      </c>
      <c r="Q29" s="16" t="n">
        <f aca="false">P29+R29</f>
        <v>2.74</v>
      </c>
      <c r="R29" s="16" t="n">
        <f aca="false">RANDBETWEEN(-20,70)/1000</f>
        <v>0.033</v>
      </c>
      <c r="S29" s="17"/>
      <c r="T29" s="18" t="n">
        <v>17.17</v>
      </c>
      <c r="V29" s="19"/>
      <c r="W29" s="19" t="n">
        <f aca="false">'Base A'!G29</f>
        <v>2.557</v>
      </c>
      <c r="X29" s="19" t="n">
        <f aca="false">'Base A'!J29</f>
        <v>2.644</v>
      </c>
      <c r="Y29" s="19" t="n">
        <f aca="false">'Base A'!P29</f>
        <v>2.557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111.97</v>
      </c>
      <c r="D30" s="16" t="n">
        <v>-3.75</v>
      </c>
      <c r="E30" s="16" t="n">
        <f aca="false">+D30+F30</f>
        <v>-3.7454</v>
      </c>
      <c r="F30" s="16" t="n">
        <f aca="false">RANDBETWEEN(-105,115)/10000</f>
        <v>0.0046</v>
      </c>
      <c r="G30" s="16" t="n">
        <f aca="false">W30+0.15</f>
        <v>2.716</v>
      </c>
      <c r="H30" s="16" t="n">
        <f aca="false">G30+I30</f>
        <v>2.748</v>
      </c>
      <c r="I30" s="16" t="n">
        <f aca="false">RANDBETWEEN(-20,70)/1000</f>
        <v>0.032</v>
      </c>
      <c r="J30" s="16" t="n">
        <f aca="false">X30+0.15</f>
        <v>2.803</v>
      </c>
      <c r="K30" s="16" t="n">
        <f aca="false">J30+L30</f>
        <v>2.872</v>
      </c>
      <c r="L30" s="16" t="n">
        <f aca="false">RANDBETWEEN(-20,70)/1000</f>
        <v>0.069</v>
      </c>
      <c r="M30" s="16" t="n">
        <v>3.75</v>
      </c>
      <c r="N30" s="16" t="n">
        <f aca="false">+M30+O30</f>
        <v>3.7495</v>
      </c>
      <c r="O30" s="16" t="n">
        <f aca="false">RANDBETWEEN(-105,115)/10000</f>
        <v>-0.0005</v>
      </c>
      <c r="P30" s="16" t="n">
        <f aca="false">Y30+0.15</f>
        <v>2.716</v>
      </c>
      <c r="Q30" s="16" t="n">
        <f aca="false">P30+R30</f>
        <v>2.727</v>
      </c>
      <c r="R30" s="16" t="n">
        <f aca="false">RANDBETWEEN(-20,70)/1000</f>
        <v>0.011</v>
      </c>
      <c r="S30" s="17"/>
      <c r="T30" s="18" t="n">
        <v>14.49</v>
      </c>
      <c r="V30" s="19"/>
      <c r="W30" s="19" t="n">
        <f aca="false">'Base A'!G30</f>
        <v>2.566</v>
      </c>
      <c r="X30" s="19" t="n">
        <f aca="false">'Base A'!J30</f>
        <v>2.653</v>
      </c>
      <c r="Y30" s="19" t="n">
        <f aca="false">'Base A'!P30</f>
        <v>2.566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126.46</v>
      </c>
      <c r="D31" s="16" t="n">
        <v>-3.75</v>
      </c>
      <c r="E31" s="16" t="n">
        <f aca="false">+D31+F31</f>
        <v>-3.7459</v>
      </c>
      <c r="F31" s="16" t="n">
        <f aca="false">RANDBETWEEN(-105,115)/10000</f>
        <v>0.0041</v>
      </c>
      <c r="G31" s="16" t="n">
        <f aca="false">W31+0.15</f>
        <v>2.716</v>
      </c>
      <c r="H31" s="16" t="n">
        <f aca="false">G31+I31</f>
        <v>2.747</v>
      </c>
      <c r="I31" s="16" t="n">
        <f aca="false">RANDBETWEEN(-20,70)/1000</f>
        <v>0.031</v>
      </c>
      <c r="J31" s="16" t="n">
        <f aca="false">X31+0.15</f>
        <v>2.803</v>
      </c>
      <c r="K31" s="16" t="n">
        <f aca="false">J31+L31</f>
        <v>2.864</v>
      </c>
      <c r="L31" s="16" t="n">
        <f aca="false">RANDBETWEEN(-20,70)/1000</f>
        <v>0.061</v>
      </c>
      <c r="M31" s="16" t="n">
        <v>3.75</v>
      </c>
      <c r="N31" s="16" t="n">
        <f aca="false">+M31+O31</f>
        <v>3.7534</v>
      </c>
      <c r="O31" s="16" t="n">
        <f aca="false">RANDBETWEEN(-105,115)/10000</f>
        <v>0.0034</v>
      </c>
      <c r="P31" s="16" t="n">
        <f aca="false">Y31+0.15</f>
        <v>2.716</v>
      </c>
      <c r="Q31" s="16" t="n">
        <f aca="false">P31+R31</f>
        <v>2.749</v>
      </c>
      <c r="R31" s="16" t="n">
        <f aca="false">RANDBETWEEN(-20,70)/1000</f>
        <v>0.033</v>
      </c>
      <c r="S31" s="17"/>
      <c r="T31" s="18"/>
      <c r="V31" s="19"/>
      <c r="W31" s="19" t="n">
        <f aca="false">'Base A'!G31</f>
        <v>2.566</v>
      </c>
      <c r="X31" s="19" t="n">
        <f aca="false">'Base A'!J31</f>
        <v>2.653</v>
      </c>
      <c r="Y31" s="19" t="n">
        <f aca="false">'Base A'!P31</f>
        <v>2.566</v>
      </c>
    </row>
    <row r="32" customFormat="false" ht="15.75" hidden="false" customHeight="true" outlineLevel="0" collapsed="false"/>
    <row r="33" customFormat="false" ht="15.75" hidden="false" customHeight="true" outlineLevel="0" collapsed="false">
      <c r="C33" s="21" t="s">
        <v>32</v>
      </c>
      <c r="D33" s="21"/>
      <c r="E33" s="21"/>
      <c r="F33" s="21"/>
      <c r="G33" s="21"/>
      <c r="H33" s="21"/>
      <c r="I33" s="21"/>
      <c r="K33" s="22"/>
      <c r="L33" s="22"/>
      <c r="M33" s="22"/>
      <c r="N33" s="22"/>
      <c r="O33" s="21" t="s">
        <v>33</v>
      </c>
      <c r="P33" s="21"/>
      <c r="Q33" s="21"/>
      <c r="R33" s="21"/>
    </row>
    <row r="34" customFormat="false" ht="15.75" hidden="false" customHeight="true" outlineLevel="0" collapsed="false">
      <c r="E34" s="23"/>
      <c r="F34" s="23"/>
      <c r="G34" s="23"/>
      <c r="H34" s="23"/>
      <c r="K34" s="23"/>
      <c r="L34" s="23"/>
      <c r="M34" s="23"/>
      <c r="N34" s="23"/>
      <c r="O34" s="23"/>
      <c r="P34" s="23"/>
      <c r="Q34" s="23"/>
      <c r="R34" s="23"/>
    </row>
    <row r="35" customFormat="false" ht="15.75" hidden="false" customHeight="true" outlineLevel="0" collapsed="false">
      <c r="E35" s="23"/>
      <c r="F35" s="23"/>
      <c r="G35" s="23"/>
      <c r="H35" s="23"/>
      <c r="K35" s="23"/>
      <c r="L35" s="23"/>
      <c r="M35" s="23"/>
      <c r="N35" s="23"/>
      <c r="O35" s="23"/>
      <c r="P35" s="23"/>
      <c r="Q35" s="23"/>
      <c r="R35" s="23"/>
    </row>
    <row r="36" customFormat="false" ht="15.75" hidden="false" customHeight="true" outlineLevel="0" collapsed="false">
      <c r="E36" s="23"/>
      <c r="F36" s="23"/>
      <c r="G36" s="23"/>
      <c r="H36" s="23"/>
      <c r="K36" s="23"/>
      <c r="L36" s="23"/>
      <c r="M36" s="23"/>
      <c r="N36" s="23"/>
      <c r="O36" s="23"/>
      <c r="P36" s="23"/>
      <c r="Q36" s="23"/>
      <c r="R36" s="23"/>
    </row>
    <row r="37" customFormat="false" ht="15.75" hidden="false" customHeight="true" outlineLevel="0" collapsed="false">
      <c r="E37" s="23"/>
      <c r="F37" s="23"/>
      <c r="G37" s="23"/>
      <c r="H37" s="23"/>
      <c r="K37" s="23"/>
      <c r="L37" s="23"/>
      <c r="M37" s="23"/>
      <c r="N37" s="23"/>
      <c r="O37" s="23"/>
      <c r="P37" s="23"/>
      <c r="Q37" s="23"/>
      <c r="R37" s="23"/>
    </row>
    <row r="38" customFormat="false" ht="15.75" hidden="false" customHeight="true" outlineLevel="0" collapsed="false">
      <c r="C38" s="21" t="s">
        <v>34</v>
      </c>
      <c r="D38" s="21"/>
      <c r="E38" s="21"/>
      <c r="F38" s="21"/>
      <c r="G38" s="21"/>
      <c r="H38" s="21"/>
      <c r="I38" s="21"/>
      <c r="K38" s="22"/>
      <c r="L38" s="22"/>
      <c r="M38" s="22"/>
      <c r="N38" s="22"/>
      <c r="O38" s="21" t="s">
        <v>50</v>
      </c>
      <c r="P38" s="21"/>
      <c r="Q38" s="21"/>
      <c r="R38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33:I33"/>
    <mergeCell ref="O33:R33"/>
    <mergeCell ref="C38:I38"/>
    <mergeCell ref="O38:R38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05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24.NĐXB6A/CVXD ngày 06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24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XB6A'!$A$2:$B$60,2,0)</f>
        <v xml:space="preserve">Đắp cấp phối đá dăm loại 1 đoạn từ Km0+000,00 - Km0+126,46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37</v>
      </c>
      <c r="B9" s="117" t="s">
        <v>10</v>
      </c>
      <c r="C9" s="117" t="s">
        <v>11</v>
      </c>
      <c r="D9" s="118" t="s">
        <v>38</v>
      </c>
      <c r="E9" s="119"/>
      <c r="F9" s="119"/>
      <c r="G9" s="118"/>
      <c r="H9" s="119"/>
      <c r="I9" s="119"/>
      <c r="J9" s="119"/>
      <c r="K9" s="119"/>
      <c r="L9" s="119"/>
      <c r="M9" s="120" t="s">
        <v>39</v>
      </c>
      <c r="N9" s="121"/>
      <c r="O9" s="122" t="s">
        <v>40</v>
      </c>
      <c r="P9" s="123"/>
      <c r="Q9" s="123"/>
      <c r="R9" s="123"/>
      <c r="S9" s="123"/>
      <c r="T9" s="123"/>
      <c r="U9" s="123"/>
      <c r="V9" s="123"/>
      <c r="W9" s="122" t="s">
        <v>41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40</v>
      </c>
      <c r="O10" s="122"/>
      <c r="P10" s="122" t="s">
        <v>40</v>
      </c>
      <c r="Q10" s="122" t="s">
        <v>40</v>
      </c>
      <c r="R10" s="122"/>
      <c r="S10" s="122"/>
      <c r="T10" s="122"/>
      <c r="U10" s="122" t="s">
        <v>41</v>
      </c>
      <c r="V10" s="122" t="s">
        <v>41</v>
      </c>
      <c r="W10" s="122"/>
      <c r="X10" s="122" t="s">
        <v>41</v>
      </c>
      <c r="Y10" s="122" t="s">
        <v>41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D3</v>
      </c>
      <c r="C11" s="133" t="n">
        <f aca="false">'Base B'!C23</f>
        <v>0</v>
      </c>
      <c r="D11" s="132" t="n">
        <f aca="false">'Base B'!T23</f>
        <v>19.63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7.5*0.15</f>
        <v>1.125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22.08375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1</v>
      </c>
      <c r="C12" s="133" t="n">
        <f aca="false">'Base B'!C24</f>
        <v>19.63</v>
      </c>
      <c r="D12" s="132" t="n">
        <f aca="false">'Base B'!T24</f>
        <v>17.17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7.5*0.15</f>
        <v>1.125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19.31625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2</v>
      </c>
      <c r="C13" s="133" t="n">
        <f aca="false">'Base B'!C25</f>
        <v>36.8</v>
      </c>
      <c r="D13" s="132" t="n">
        <f aca="false">'Base B'!T25</f>
        <v>17.18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7.5*0.15</f>
        <v>1.125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19.3275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3</v>
      </c>
      <c r="C14" s="133" t="n">
        <f aca="false">'Base B'!C26</f>
        <v>53.98</v>
      </c>
      <c r="D14" s="132" t="n">
        <f aca="false">'Base B'!T26</f>
        <v>12.97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7.5*0.15</f>
        <v>1.125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14.59125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D2</v>
      </c>
      <c r="C15" s="133" t="n">
        <f aca="false">'Base B'!C27</f>
        <v>66.95</v>
      </c>
      <c r="D15" s="132" t="n">
        <f aca="false">'Base B'!T27</f>
        <v>10.68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7.5*0.15</f>
        <v>1.125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12.015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4</v>
      </c>
      <c r="C16" s="133" t="n">
        <f aca="false">'Base B'!C28</f>
        <v>77.63</v>
      </c>
      <c r="D16" s="132" t="n">
        <f aca="false">'Base B'!T28</f>
        <v>17.17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7.5*0.15</f>
        <v>1.125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19.31625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5</v>
      </c>
      <c r="C17" s="133" t="n">
        <f aca="false">'Base B'!C29</f>
        <v>94.8</v>
      </c>
      <c r="D17" s="132" t="n">
        <f aca="false">'Base B'!T29</f>
        <v>17.17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7.5*0.15</f>
        <v>1.125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19.31625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6</v>
      </c>
      <c r="C18" s="133" t="n">
        <f aca="false">'Base B'!C30</f>
        <v>111.97</v>
      </c>
      <c r="D18" s="132" t="n">
        <f aca="false">'Base B'!T30</f>
        <v>14.49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7.5*0.15</f>
        <v>1.125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16.30125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D1</v>
      </c>
      <c r="C19" s="133" t="n">
        <f aca="false">'Base B'!C31</f>
        <v>126.46</v>
      </c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7.5*0.15</f>
        <v>1.125</v>
      </c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customFormat="false" ht="15.75" hidden="false" customHeight="true" outlineLevel="0" collapsed="false">
      <c r="A20" s="142" t="s">
        <v>42</v>
      </c>
      <c r="B20" s="142"/>
      <c r="C20" s="142"/>
      <c r="D20" s="142"/>
      <c r="E20" s="143"/>
      <c r="F20" s="143"/>
      <c r="G20" s="143"/>
      <c r="H20" s="143"/>
      <c r="I20" s="143"/>
      <c r="J20" s="143"/>
      <c r="K20" s="143"/>
      <c r="L20" s="143"/>
      <c r="M20" s="144"/>
      <c r="N20" s="144"/>
      <c r="O20" s="145"/>
      <c r="P20" s="145"/>
      <c r="Q20" s="145"/>
      <c r="R20" s="146" t="n">
        <f aca="false">SUM(R11:R5)</f>
        <v>0</v>
      </c>
      <c r="S20" s="146" t="n">
        <f aca="false">SUM(S11:S5)</f>
        <v>0</v>
      </c>
      <c r="T20" s="146"/>
      <c r="U20" s="147" t="n">
        <f aca="false">SUM(U11:U5)</f>
        <v>0</v>
      </c>
      <c r="V20" s="147" t="n">
        <f aca="false">SUM(V11:V5)</f>
        <v>0</v>
      </c>
      <c r="W20" s="148" t="n">
        <f aca="false">SUM(W11:W19)</f>
        <v>142.2675</v>
      </c>
      <c r="X20" s="147" t="n">
        <f aca="false">SUM(X11:X5)</f>
        <v>0</v>
      </c>
      <c r="Y20" s="147" t="n">
        <f aca="false">SUM(Y11:Y5)</f>
        <v>0</v>
      </c>
      <c r="Z20" s="147" t="n">
        <f aca="false">SUM(Z11:Z5)</f>
        <v>0</v>
      </c>
      <c r="AA20" s="147" t="n">
        <f aca="false">SUM(AA11:AA5)</f>
        <v>0</v>
      </c>
      <c r="AB20" s="147"/>
      <c r="AE20" s="149"/>
      <c r="AF20" s="150"/>
      <c r="AG20" s="150"/>
      <c r="AH20" s="131"/>
      <c r="AI20" s="149"/>
      <c r="AJ20" s="149"/>
      <c r="AK20" s="149"/>
      <c r="AL20" s="149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  <c r="HM20" s="74"/>
      <c r="HN20" s="74"/>
      <c r="HO20" s="74"/>
      <c r="HP20" s="74"/>
      <c r="HQ20" s="74"/>
      <c r="HR20" s="74"/>
      <c r="HS20" s="74"/>
      <c r="HT20" s="74"/>
      <c r="HU20" s="74"/>
    </row>
    <row r="21" customFormat="false" ht="15.75" hidden="false" customHeight="true" outlineLevel="0" collapsed="false">
      <c r="A21" s="108"/>
      <c r="B21" s="108"/>
      <c r="C21" s="108"/>
      <c r="D21" s="108"/>
      <c r="E21" s="74"/>
      <c r="F21" s="74"/>
      <c r="G21" s="74"/>
      <c r="H21" s="74"/>
      <c r="I21" s="74"/>
      <c r="J21" s="74"/>
      <c r="R21" s="109"/>
      <c r="S21" s="109"/>
      <c r="T21" s="109"/>
      <c r="U21" s="110"/>
      <c r="V21" s="110"/>
      <c r="W21" s="110"/>
      <c r="X21" s="110"/>
      <c r="Y21" s="110"/>
      <c r="Z21" s="110"/>
      <c r="AA21" s="110"/>
      <c r="AB21" s="110"/>
      <c r="AE21" s="110"/>
      <c r="AF21" s="151"/>
      <c r="AG21" s="150"/>
      <c r="AH21" s="151"/>
      <c r="AI21" s="141"/>
      <c r="AJ21" s="141"/>
      <c r="AK21" s="152"/>
      <c r="AL21" s="141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  <c r="HR21" s="74"/>
      <c r="HS21" s="74"/>
      <c r="HT21" s="74"/>
      <c r="HU21" s="74"/>
    </row>
    <row r="22" customFormat="false" ht="15.75" hidden="false" customHeight="true" outlineLevel="0" collapsed="false">
      <c r="A22" s="153" t="s">
        <v>32</v>
      </c>
      <c r="B22" s="153"/>
      <c r="C22" s="153"/>
      <c r="D22" s="154" t="s">
        <v>43</v>
      </c>
      <c r="E22" s="153" t="s">
        <v>33</v>
      </c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E22" s="141"/>
      <c r="AF22" s="151"/>
      <c r="AI22" s="131"/>
      <c r="AJ22" s="131"/>
      <c r="AK22" s="131"/>
      <c r="AL22" s="131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  <c r="HR22" s="74"/>
      <c r="HS22" s="74"/>
      <c r="HT22" s="74"/>
      <c r="HU22" s="74"/>
    </row>
    <row r="23" customFormat="false" ht="15.75" hidden="false" customHeight="true" outlineLevel="0" collapsed="false">
      <c r="A23" s="113"/>
      <c r="B23" s="113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Z23" s="74"/>
      <c r="AA23" s="74"/>
      <c r="AB23" s="74"/>
      <c r="AC23" s="74"/>
      <c r="AD23" s="74"/>
      <c r="AI23" s="131"/>
      <c r="AJ23" s="131"/>
      <c r="AK23" s="131"/>
      <c r="AL23" s="131"/>
      <c r="HV23" s="74"/>
    </row>
    <row r="24" customFormat="false" ht="15.75" hidden="false" customHeight="true" outlineLevel="0" collapsed="false">
      <c r="A24" s="113"/>
      <c r="B24" s="113"/>
      <c r="C24" s="115"/>
      <c r="D24" s="115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Z24" s="74"/>
      <c r="AA24" s="74"/>
      <c r="AB24" s="74"/>
      <c r="AC24" s="74"/>
      <c r="AD24" s="74"/>
      <c r="AE24" s="74"/>
      <c r="AF24" s="79"/>
      <c r="AG24" s="74"/>
      <c r="AH24" s="74"/>
      <c r="AI24" s="74"/>
      <c r="AJ24" s="74"/>
      <c r="AK24" s="74"/>
      <c r="AL24" s="74"/>
      <c r="AM24" s="74"/>
      <c r="HV24" s="74"/>
    </row>
    <row r="25" customFormat="false" ht="15" hidden="false" customHeight="true" outlineLevel="0" collapsed="false">
      <c r="A25" s="113"/>
      <c r="B25" s="113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HV25" s="74"/>
    </row>
    <row r="26" customFormat="false" ht="15" hidden="false" customHeight="true" outlineLevel="0" collapsed="false">
      <c r="A26" s="113"/>
      <c r="B26" s="113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HV26" s="74"/>
    </row>
    <row r="27" customFormat="false" ht="15" hidden="false" customHeight="true" outlineLevel="0" collapsed="false">
      <c r="A27" s="113"/>
      <c r="B27" s="113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HV27" s="74"/>
    </row>
    <row r="28" customFormat="false" ht="15.75" hidden="false" customHeight="true" outlineLevel="0" collapsed="false">
      <c r="A28" s="153" t="s">
        <v>34</v>
      </c>
      <c r="B28" s="153"/>
      <c r="C28" s="153"/>
      <c r="D28" s="155"/>
      <c r="E28" s="155"/>
      <c r="F28" s="155"/>
      <c r="G28" s="155"/>
      <c r="H28" s="155"/>
      <c r="I28" s="155"/>
      <c r="J28" s="155"/>
      <c r="K28" s="155"/>
      <c r="L28" s="155"/>
      <c r="M28" s="153" t="str">
        <f aca="false">'Base B'!O38</f>
        <v>Lê Minh Hải</v>
      </c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HV28" s="74"/>
    </row>
    <row r="29" customFormat="false" ht="15.75" hidden="false" customHeight="true" outlineLevel="0" collapsed="false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</row>
    <row r="32" customFormat="false" ht="12.75" hidden="false" customHeight="false" outlineLevel="0" collapsed="false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customFormat="false" ht="12.75" hidden="false" customHeight="false" outlineLevel="0" collapsed="false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</row>
    <row r="34" customFormat="false" ht="12.75" hidden="false" customHeight="fals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</row>
    <row r="35" customFormat="false" ht="12.75" hidden="false" customHeight="fals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</row>
    <row r="36" customFormat="false" ht="12.75" hidden="false" customHeight="fals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</row>
    <row r="37" customFormat="false" ht="12.75" hidden="false" customHeight="fals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</row>
    <row r="38" customFormat="false" ht="12.75" hidden="false" customHeight="fals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</row>
    <row r="39" customFormat="false" ht="12.7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</row>
    <row r="40" customFormat="false" ht="12.7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customFormat="false" ht="12.7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customFormat="false" ht="12.7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</row>
    <row r="43" customFormat="false" ht="12.7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</row>
    <row r="44" customFormat="false" ht="12.7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</row>
    <row r="45" customFormat="false" ht="12.7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</row>
    <row r="46" customFormat="false" ht="12.7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</row>
    <row r="47" customFormat="false" ht="12.7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</row>
    <row r="48" customFormat="false" ht="12.7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customFormat="false" ht="12.7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</row>
    <row r="50" customFormat="false" ht="12.7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</row>
    <row r="51" customFormat="false" ht="12.7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</row>
    <row r="52" customFormat="false" ht="12.7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</row>
    <row r="53" customFormat="false" ht="12.7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</row>
    <row r="54" customFormat="false" ht="12.7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</row>
    <row r="55" customFormat="false" ht="12.7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</row>
    <row r="56" customFormat="false" ht="12.7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</row>
    <row r="57" customFormat="false" ht="12.7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2026-10-14T02:59:19Z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