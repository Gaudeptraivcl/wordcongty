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_rels/sheet7.xml.rels" ContentType="application/vnd.openxmlformats-package.relationships+xml"/>
  <Override PartName="/xl/worksheets/_rels/sheet5.xml.rels" ContentType="application/vnd.openxmlformats-package.relationships+xml"/>
  <Override PartName="/xl/worksheets/_rels/sheet3.xml.rels" ContentType="application/vnd.openxmlformats-package.relationships+xml"/>
  <Override PartName="/xl/worksheets/_rels/sheet1.xml.rels" ContentType="application/vnd.openxmlformats-package.relationships+xml"/>
  <Override PartName="/xl/worksheets/sheet8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_rels/drawing4.xml.rels" ContentType="application/vnd.openxmlformats-package.relationships+xml"/>
  <Override PartName="/xl/drawings/_rels/drawing3.xml.rels" ContentType="application/vnd.openxmlformats-package.relationships+xml"/>
  <Override PartName="/xl/drawings/_rels/drawing2.xml.rels" ContentType="application/vnd.openxmlformats-package.relationships+xml"/>
  <Override PartName="/xl/drawings/_rels/drawing1.xml.rels" ContentType="application/vnd.openxmlformats-package.relationships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_rels/workbook.xml.rels" ContentType="application/vnd.openxmlformats-package.relationships+xml"/>
  <Override PartName="/xl/media/image1.png" ContentType="image/png"/>
  <Override PartName="/xl/media/image2.png" ContentType="image/png"/>
  <Override PartName="/xl/media/image3.png" ContentType="image/png"/>
  <Override PartName="/xl/media/image4.png" ContentType="image/png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externalLinks/externalLink1.xml" ContentType="application/vnd.openxmlformats-officedocument.spreadsheetml.externalLink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7"/>
  </bookViews>
  <sheets>
    <sheet name="KTHH Lớp 1" sheetId="1" state="visible" r:id="rId3"/>
    <sheet name="KL lớp 1" sheetId="2" state="visible" r:id="rId4"/>
    <sheet name="KTHH Lớp 2" sheetId="3" state="visible" r:id="rId5"/>
    <sheet name="KL lớp 2" sheetId="4" state="visible" r:id="rId6"/>
    <sheet name="Base A" sheetId="5" state="visible" r:id="rId7"/>
    <sheet name="KL Basa A" sheetId="6" state="visible" r:id="rId8"/>
    <sheet name="Base B" sheetId="7" state="visible" r:id="rId9"/>
    <sheet name="KL Basa B" sheetId="8" state="visible" r:id="rId10"/>
  </sheets>
  <externalReferences>
    <externalReference r:id="rIdExt1"/>
  </externalReferences>
  <definedNames>
    <definedName function="false" hidden="false" localSheetId="4" name="_xlnm.Print_Area" vbProcedure="false">'Base A'!$A$1:$S$40</definedName>
    <definedName function="false" hidden="false" localSheetId="4" name="_xlnm.Print_Titles" vbProcedure="false">'Base A'!$21:$22</definedName>
    <definedName function="false" hidden="false" localSheetId="6" name="_xlnm.Print_Area" vbProcedure="false">'Base B'!$A$1:$S$40</definedName>
    <definedName function="false" hidden="false" localSheetId="6" name="_xlnm.Print_Titles" vbProcedure="false">'Base B'!$21:$22</definedName>
    <definedName function="false" hidden="false" localSheetId="5" name="_xlnm.Print_Area" vbProcedure="false">'KL Basa A'!$A$1:$AB$29</definedName>
    <definedName function="false" hidden="false" localSheetId="7" name="_xlnm.Print_Area" vbProcedure="false">'KL Basa B'!$A$1:$AB$29</definedName>
    <definedName function="false" hidden="false" localSheetId="1" name="_xlnm.Print_Area" vbProcedure="false">'KL lớp 1'!$A$1:$AB$29</definedName>
    <definedName function="false" hidden="false" localSheetId="3" name="_xlnm.Print_Area" vbProcedure="false">'KL lớp 2'!$A$1:$AB$29</definedName>
    <definedName function="false" hidden="false" localSheetId="0" name="_xlnm.Print_Area" vbProcedure="false">'KTHH Lớp 1'!$A$1:$S$40</definedName>
    <definedName function="false" hidden="false" localSheetId="0" name="_xlnm.Print_Titles" vbProcedure="false">'KTHH Lớp 1'!$21:$22</definedName>
    <definedName function="false" hidden="false" localSheetId="2" name="_xlnm.Print_Area" vbProcedure="false">'KTHH Lớp 2'!$A$1:$S$40</definedName>
    <definedName function="false" hidden="false" localSheetId="2" name="_xlnm.Print_Titles" vbProcedure="false">'KTHH Lớp 2'!$21:$22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<sst xmlns="http://schemas.openxmlformats.org/spreadsheetml/2006/main" count="292" uniqueCount="51">
  <si>
    <t xml:space="preserve">PHỤ LỤC KIỂM TRA CAO ĐỘ, KÍCH THƯỚC HÌNH HỌC</t>
  </si>
  <si>
    <t xml:space="preserve">Kèm theo BBNT số: 17.NĐXB6A/CVXD ngày 06 tháng 09 năm 2026</t>
  </si>
  <si>
    <t xml:space="preserve">Dự án: Xây dựng HTKT Khu tái định cư phục vụ di dân xã Hải Hà, thị xã Nghi Sơn, tỉnh Thanh Hóa.</t>
  </si>
  <si>
    <t xml:space="preserve">Gói thầu số 12: Xây dựng HTKT khu vực Hải Bình và Xuân Lâm (bao gồm cả bảo hiểm xây dựng công trình)</t>
  </si>
  <si>
    <t xml:space="preserve">Nhà thầu thi công: Công ty TNHH Hoàng Tuấn</t>
  </si>
  <si>
    <t xml:space="preserve">Hạng mục:  Móng đường tuyến XB6A</t>
  </si>
  <si>
    <t xml:space="preserve">- Đối tượng nghiệm thu:</t>
  </si>
  <si>
    <t xml:space="preserve">Đắp đất nền đường lớp 1, độ chặt K&gt;=0,98 đoạn từ Km0+000,00 - Km0+126,46</t>
  </si>
  <si>
    <t xml:space="preserve">Sơ họa:</t>
  </si>
  <si>
    <t xml:space="preserve">TT</t>
  </si>
  <si>
    <t xml:space="preserve">Tên cọc</t>
  </si>
  <si>
    <t xml:space="preserve">Lý trình</t>
  </si>
  <si>
    <t xml:space="preserve">Bên trái (H1)</t>
  </si>
  <si>
    <t xml:space="preserve">Tim (H2)</t>
  </si>
  <si>
    <t xml:space="preserve">Bên phải (H3)</t>
  </si>
  <si>
    <t xml:space="preserve">Ghi chú</t>
  </si>
  <si>
    <t xml:space="preserve">CĐ đỉnh K95 tại tim (từ CAD)</t>
  </si>
  <si>
    <t xml:space="preserve">KCTK</t>
  </si>
  <si>
    <t xml:space="preserve">KCTC</t>
  </si>
  <si>
    <t xml:space="preserve">Chênh KC (m)</t>
  </si>
  <si>
    <t xml:space="preserve">CDTK (m)</t>
  </si>
  <si>
    <t xml:space="preserve">CDTC (m)</t>
  </si>
  <si>
    <t xml:space="preserve">Chênh CD (m)</t>
  </si>
  <si>
    <t xml:space="preserve">D3</t>
  </si>
  <si>
    <t xml:space="preserve">1</t>
  </si>
  <si>
    <t xml:space="preserve">2</t>
  </si>
  <si>
    <t xml:space="preserve">3</t>
  </si>
  <si>
    <t xml:space="preserve">D2</t>
  </si>
  <si>
    <t xml:space="preserve">4</t>
  </si>
  <si>
    <t xml:space="preserve">5</t>
  </si>
  <si>
    <t xml:space="preserve">6</t>
  </si>
  <si>
    <t xml:space="preserve">D1</t>
  </si>
  <si>
    <t xml:space="preserve">NHÀ THẦU THI CÔNG</t>
  </si>
  <si>
    <t xml:space="preserve">TƯ VẤN GIÁM SÁT</t>
  </si>
  <si>
    <t xml:space="preserve">Nguyễn Xuân Hưng</t>
  </si>
  <si>
    <t xml:space="preserve">Lê Quốc Huy</t>
  </si>
  <si>
    <t xml:space="preserve">PHỤ LỤC KHỐI LƯỢNG </t>
  </si>
  <si>
    <t xml:space="preserve">STT</t>
  </si>
  <si>
    <t xml:space="preserve">K/c lẻ</t>
  </si>
  <si>
    <t xml:space="preserve">Đào xử lý nền đường</t>
  </si>
  <si>
    <t xml:space="preserve">Diện tích</t>
  </si>
  <si>
    <t xml:space="preserve">Khối lượng</t>
  </si>
  <si>
    <t xml:space="preserve">Tổng cộng (m3)</t>
  </si>
  <si>
    <t xml:space="preserve">                 </t>
  </si>
  <si>
    <t xml:space="preserve">Kèm theo BBNT số: 19.NĐXB6A/CVXD ngày 07 tháng 09 năm 2026</t>
  </si>
  <si>
    <t xml:space="preserve">Đắp đất nền đường lớp 2, độ chặt K&gt;=0,98 đoạn từ Km0+000,00 - Km0+126,46</t>
  </si>
  <si>
    <t xml:space="preserve">Kèm theo BBNT số: 21.NĐXB6A/CVXD ngày 08 tháng 09 năm 2026</t>
  </si>
  <si>
    <t xml:space="preserve">Đắp cấp phối đá dăm loại 2 đoạn từ Km0+000,00 - Km0+126,46</t>
  </si>
  <si>
    <t xml:space="preserve">Kèm theo BBNT số: 24.NĐXB6A/CVXD ngày 09 tháng 09 năm 2026</t>
  </si>
  <si>
    <t xml:space="preserve">Đắp cấp phối đá dăm loại 1 đoạn từ Km0+000,00 - Km0+126,46</t>
  </si>
  <si>
    <t xml:space="preserve">Lê Minh Hải</t>
  </si>
</sst>
</file>

<file path=xl/styles.xml><?xml version="1.0" encoding="utf-8"?>
<styleSheet xmlns="http://schemas.openxmlformats.org/spreadsheetml/2006/main">
  <numFmts count="12">
    <numFmt numFmtId="164" formatCode="General"/>
    <numFmt numFmtId="165" formatCode="_(* #,##0.00_);_(* \(#,##0.00\);_(* \-??_);_(@_)"/>
    <numFmt numFmtId="166" formatCode="#,##0.00;\-#,##0.00;;@"/>
    <numFmt numFmtId="167" formatCode="&quot;Km&quot;0\+000.00"/>
    <numFmt numFmtId="168" formatCode="#,##0.000"/>
    <numFmt numFmtId="169" formatCode="0.00"/>
    <numFmt numFmtId="170" formatCode="0.00_);\(0.00\)"/>
    <numFmt numFmtId="171" formatCode="_-* #,##0.00\ _₫_-;\-* #,##0.00\ _₫_-;_-* \-??\ _₫_-;_-@_-"/>
    <numFmt numFmtId="172" formatCode="_(* #,##0.000_);_(* \(#,##0.000\);_(* \-??_);_(@_)"/>
    <numFmt numFmtId="173" formatCode="_-* #,##0\ _₫_-;\-* #,##0\ _₫_-;_-* \-??\ _₫_-;_-@_-"/>
    <numFmt numFmtId="174" formatCode="_(* #,##0_);_(* \(#,##0\);_(* \-??_);_(@_)"/>
    <numFmt numFmtId="175" formatCode="0"/>
  </numFmts>
  <fonts count="32">
    <font>
      <sz val="11"/>
      <color theme="1"/>
      <name val="Calibri"/>
      <family val="2"/>
      <charset val="163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1"/>
      <color theme="1"/>
      <name val="Times New Roman"/>
      <family val="2"/>
      <charset val="1"/>
    </font>
    <font>
      <sz val="14"/>
      <color theme="1"/>
      <name val="Times New Roman"/>
      <family val="2"/>
      <charset val="163"/>
    </font>
    <font>
      <b val="true"/>
      <sz val="12"/>
      <name val="Times New Roman"/>
      <family val="1"/>
      <charset val="1"/>
    </font>
    <font>
      <sz val="16"/>
      <name val="Times New Roman"/>
      <family val="1"/>
      <charset val="1"/>
    </font>
    <font>
      <i val="true"/>
      <sz val="14"/>
      <name val="Times New Roman"/>
      <family val="1"/>
      <charset val="1"/>
    </font>
    <font>
      <sz val="14"/>
      <name val="Times New Roman"/>
      <family val="1"/>
      <charset val="1"/>
    </font>
    <font>
      <b val="true"/>
      <sz val="14"/>
      <name val="Times New Roman"/>
      <family val="1"/>
      <charset val="1"/>
    </font>
    <font>
      <sz val="11"/>
      <name val="Times New Roman"/>
      <family val="1"/>
      <charset val="1"/>
    </font>
    <font>
      <b val="true"/>
      <sz val="11"/>
      <name val="Times New Roman"/>
      <family val="1"/>
      <charset val="1"/>
    </font>
    <font>
      <sz val="12"/>
      <color theme="1"/>
      <name val="Calibri"/>
      <family val="2"/>
      <charset val="163"/>
    </font>
    <font>
      <sz val="12"/>
      <name val="Times New Roman"/>
      <family val="1"/>
      <charset val="1"/>
    </font>
    <font>
      <sz val="10"/>
      <name val="Times New Roman"/>
      <family val="1"/>
      <charset val="1"/>
    </font>
    <font>
      <b val="true"/>
      <sz val="13"/>
      <name val="Times New Roman"/>
      <family val="1"/>
      <charset val="1"/>
    </font>
    <font>
      <sz val="13"/>
      <name val="Times New Roman"/>
      <family val="2"/>
      <charset val="1"/>
    </font>
    <font>
      <i val="true"/>
      <sz val="13"/>
      <name val="Times New Roman"/>
      <family val="1"/>
      <charset val="1"/>
    </font>
    <font>
      <sz val="13"/>
      <name val="Times New Roman"/>
      <family val="1"/>
      <charset val="1"/>
    </font>
    <font>
      <sz val="13"/>
      <name val=".VnTime"/>
      <family val="2"/>
      <charset val="1"/>
    </font>
    <font>
      <b val="true"/>
      <sz val="12"/>
      <color theme="1"/>
      <name val="Times New Roman"/>
      <family val="1"/>
      <charset val="1"/>
    </font>
    <font>
      <sz val="12"/>
      <color theme="1"/>
      <name val="Times New Roman"/>
      <family val="2"/>
      <charset val="163"/>
    </font>
    <font>
      <sz val="13"/>
      <name val=".VnTimeH"/>
      <family val="2"/>
      <charset val="1"/>
    </font>
    <font>
      <sz val="11"/>
      <name val="Arial"/>
      <family val="2"/>
      <charset val="1"/>
    </font>
    <font>
      <sz val="11"/>
      <name val=".VnTime"/>
      <family val="2"/>
      <charset val="1"/>
    </font>
    <font>
      <sz val="12"/>
      <name val=".VnTime"/>
      <family val="2"/>
      <charset val="1"/>
    </font>
    <font>
      <b val="true"/>
      <sz val="11"/>
      <name val=".vntime"/>
      <family val="2"/>
      <charset val="1"/>
    </font>
    <font>
      <b val="true"/>
      <sz val="12"/>
      <name val=".VnTime"/>
      <family val="2"/>
      <charset val="1"/>
    </font>
    <font>
      <sz val="13"/>
      <name val="Arial"/>
      <family val="2"/>
      <charset val="1"/>
    </font>
    <font>
      <b val="true"/>
      <sz val="13"/>
      <name val=".vntime"/>
      <family val="2"/>
      <charset val="1"/>
    </font>
    <font>
      <sz val="12"/>
      <name val="Arial"/>
      <family val="2"/>
      <charset val="1"/>
    </font>
  </fonts>
  <fills count="3">
    <fill>
      <patternFill patternType="none"/>
    </fill>
    <fill>
      <patternFill patternType="gray125"/>
    </fill>
    <fill>
      <patternFill patternType="solid">
        <fgColor theme="0"/>
        <bgColor rgb="FFFFFFCC"/>
      </patternFill>
    </fill>
  </fills>
  <borders count="11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thin"/>
      <right style="thin"/>
      <top style="thin"/>
      <bottom/>
      <diagonal/>
    </border>
    <border diagonalUp="false" diagonalDown="false">
      <left style="thin"/>
      <right/>
      <top/>
      <bottom/>
      <diagonal/>
    </border>
    <border diagonalUp="false" diagonalDown="false">
      <left style="thin"/>
      <right style="thin"/>
      <top style="hair"/>
      <bottom style="hair"/>
      <diagonal/>
    </border>
    <border diagonalUp="false" diagonalDown="false">
      <left/>
      <right/>
      <top/>
      <bottom style="thin"/>
      <diagonal/>
    </border>
    <border diagonalUp="false" diagonalDown="false">
      <left style="thin"/>
      <right/>
      <top style="thin"/>
      <bottom style="thin"/>
      <diagonal/>
    </border>
    <border diagonalUp="false" diagonalDown="false">
      <left/>
      <right/>
      <top style="thin"/>
      <bottom style="thin"/>
      <diagonal/>
    </border>
    <border diagonalUp="false" diagonalDown="false">
      <left/>
      <right style="thin"/>
      <top style="thin"/>
      <bottom style="thin"/>
      <diagonal/>
    </border>
    <border diagonalUp="false" diagonalDown="false">
      <left style="thin"/>
      <right style="thin"/>
      <top/>
      <bottom style="thin"/>
      <diagonal/>
    </border>
    <border diagonalUp="false" diagonalDown="false">
      <left style="thin"/>
      <right style="thin"/>
      <top style="thin"/>
      <bottom style="hair"/>
      <diagonal/>
    </border>
  </borders>
  <cellStyleXfs count="24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165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5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</cellStyleXfs>
  <cellXfs count="15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4" fontId="8" fillId="0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9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10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11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12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1" fillId="0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14" fillId="0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1" fillId="0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1" fillId="0" borderId="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11" fillId="0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11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3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8" fontId="1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1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2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11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15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9" fontId="15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6" fillId="0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8" fillId="0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9" fillId="0" borderId="0" xfId="22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20" fillId="0" borderId="0" xfId="22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2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1" fillId="0" borderId="0" xfId="23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22" fillId="0" borderId="0" xfId="23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22" fillId="0" borderId="0" xfId="23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23" fillId="0" borderId="5" xfId="22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2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9" fontId="12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9" fontId="12" fillId="0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9" fontId="12" fillId="0" borderId="6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9" fontId="12" fillId="0" borderId="7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9" fontId="12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9" fontId="12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9" fontId="12" fillId="0" borderId="8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9" fontId="12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16" fillId="0" borderId="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9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9" fontId="12" fillId="0" borderId="9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9" fontId="19" fillId="0" borderId="1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19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1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11" fillId="0" borderId="4" xfId="2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9" fontId="11" fillId="0" borderId="4" xfId="2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1" fontId="24" fillId="2" borderId="4" xfId="15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1" fillId="0" borderId="4" xfId="2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2" fontId="11" fillId="0" borderId="4" xfId="2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19" fillId="0" borderId="4" xfId="2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9" fontId="1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9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5" fillId="0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5" fillId="0" borderId="9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25" fillId="0" borderId="9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25" fillId="0" borderId="9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2" fillId="0" borderId="9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16" fillId="0" borderId="0" xfId="15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2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2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2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2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19" fillId="0" borderId="0" xfId="15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5" fontId="1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7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25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25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25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2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2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6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9" fontId="16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9" fontId="16" fillId="0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9" fontId="16" fillId="0" borderId="6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9" fontId="16" fillId="0" borderId="7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9" fontId="16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9" fontId="16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9" fontId="16" fillId="0" borderId="8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9" fontId="16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16" fillId="0" borderId="9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9" fillId="0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19" fillId="0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0" fontId="19" fillId="0" borderId="4" xfId="2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9" fontId="19" fillId="0" borderId="4" xfId="2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19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9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29" fillId="2" borderId="4" xfId="15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2" fontId="19" fillId="0" borderId="4" xfId="2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6" fillId="0" borderId="9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0" fillId="0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0" fillId="0" borderId="9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2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2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9" fontId="2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2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6" fillId="0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0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26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26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26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16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6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9" fontId="6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9" fontId="6" fillId="0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9" fontId="6" fillId="0" borderId="6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9" fontId="6" fillId="0" borderId="7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9" fontId="6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9" fontId="6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9" fontId="6" fillId="0" borderId="8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9" fontId="6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6" fillId="0" borderId="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9" fontId="6" fillId="0" borderId="9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9" fontId="14" fillId="0" borderId="1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14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1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4" fillId="0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14" fillId="0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0" fontId="14" fillId="0" borderId="4" xfId="2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9" fontId="14" fillId="0" borderId="4" xfId="2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14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4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31" fillId="2" borderId="4" xfId="15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4" fillId="0" borderId="4" xfId="2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2" fontId="14" fillId="0" borderId="4" xfId="2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3" fontId="14" fillId="0" borderId="0" xfId="15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9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6" fillId="0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6" fillId="0" borderId="9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2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2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6" fillId="0" borderId="0" xfId="15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5" fontId="1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8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</cellXfs>
  <cellStyles count="10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Comma 2" xfId="20"/>
    <cellStyle name="Comma 2 2" xfId="21"/>
    <cellStyle name="Normal 2" xfId="22"/>
    <cellStyle name="Normal 2 2" xfId="23"/>
  </cellStyles>
</styleSheet>
</file>

<file path=xl/_rels/workbook.xml.rels><?xml version='1.0' encoding='UTF-8' standalone='yes'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sharedStrings" Target="sharedStrings.xml"/>
<Relationship Id="rIdExt1" Type="http://schemas.openxmlformats.org/officeDocument/2006/relationships/externalLink" Target="externalLinks/externalLink1.xml"/></Relationships>
</file>

<file path=xl/drawings/_rels/drawing1.xml.rels><?xml version="1.0" encoding="UTF-8"?>
<Relationships xmlns="http://schemas.openxmlformats.org/package/2006/relationships"><Relationship Id="rId1" Type="http://schemas.openxmlformats.org/officeDocument/2006/relationships/image" Target="../media/image1.png"/>
</Relationships>
</file>

<file path=xl/drawings/_rels/drawing2.xml.rels><?xml version="1.0" encoding="UTF-8"?>
<Relationships xmlns="http://schemas.openxmlformats.org/package/2006/relationships"><Relationship Id="rId1" Type="http://schemas.openxmlformats.org/officeDocument/2006/relationships/image" Target="../media/image2.png"/>
</Relationships>
</file>

<file path=xl/drawings/_rels/drawing3.xml.rels><?xml version="1.0" encoding="UTF-8"?>
<Relationships xmlns="http://schemas.openxmlformats.org/package/2006/relationships"><Relationship Id="rId1" Type="http://schemas.openxmlformats.org/officeDocument/2006/relationships/image" Target="../media/image3.png"/>
</Relationships>
</file>

<file path=xl/drawings/_rels/drawing4.xml.rels><?xml version="1.0" encoding="UTF-8"?>
<Relationships xmlns="http://schemas.openxmlformats.org/package/2006/relationships"><Relationship Id="rId1" Type="http://schemas.openxmlformats.org/officeDocument/2006/relationships/image" Target="../media/image4.png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</xdr:col>
      <xdr:colOff>228600</xdr:colOff>
      <xdr:row>7</xdr:row>
      <xdr:rowOff>228600</xdr:rowOff>
    </xdr:from>
    <xdr:to>
      <xdr:col>18</xdr:col>
      <xdr:colOff>130680</xdr:colOff>
      <xdr:row>19</xdr:row>
      <xdr:rowOff>56880</xdr:rowOff>
    </xdr:to>
    <xdr:pic>
      <xdr:nvPicPr>
        <xdr:cNvPr id="0" name="Picture 3" descr=""/>
        <xdr:cNvPicPr/>
      </xdr:nvPicPr>
      <xdr:blipFill>
        <a:blip r:embed="rId1"/>
        <a:stretch/>
      </xdr:blipFill>
      <xdr:spPr>
        <a:xfrm>
          <a:off x="701640" y="1914480"/>
          <a:ext cx="9355320" cy="2161800"/>
        </a:xfrm>
        <a:prstGeom prst="rect">
          <a:avLst/>
        </a:prstGeom>
        <a:ln w="0">
          <a:noFill/>
        </a:ln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</xdr:col>
      <xdr:colOff>530640</xdr:colOff>
      <xdr:row>7</xdr:row>
      <xdr:rowOff>204120</xdr:rowOff>
    </xdr:from>
    <xdr:to>
      <xdr:col>17</xdr:col>
      <xdr:colOff>108360</xdr:colOff>
      <xdr:row>18</xdr:row>
      <xdr:rowOff>59760</xdr:rowOff>
    </xdr:to>
    <xdr:pic>
      <xdr:nvPicPr>
        <xdr:cNvPr id="1" name="Picture 3" descr=""/>
        <xdr:cNvPicPr/>
      </xdr:nvPicPr>
      <xdr:blipFill>
        <a:blip r:embed="rId1"/>
        <a:stretch/>
      </xdr:blipFill>
      <xdr:spPr>
        <a:xfrm>
          <a:off x="1003680" y="1890000"/>
          <a:ext cx="8205480" cy="1998720"/>
        </a:xfrm>
        <a:prstGeom prst="rect">
          <a:avLst/>
        </a:prstGeom>
        <a:ln w="0">
          <a:noFill/>
        </a:ln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</xdr:col>
      <xdr:colOff>612360</xdr:colOff>
      <xdr:row>7</xdr:row>
      <xdr:rowOff>149760</xdr:rowOff>
    </xdr:from>
    <xdr:to>
      <xdr:col>17</xdr:col>
      <xdr:colOff>494640</xdr:colOff>
      <xdr:row>18</xdr:row>
      <xdr:rowOff>108720</xdr:rowOff>
    </xdr:to>
    <xdr:pic>
      <xdr:nvPicPr>
        <xdr:cNvPr id="2" name="Picture 3" descr=""/>
        <xdr:cNvPicPr/>
      </xdr:nvPicPr>
      <xdr:blipFill>
        <a:blip r:embed="rId1"/>
        <a:stretch/>
      </xdr:blipFill>
      <xdr:spPr>
        <a:xfrm>
          <a:off x="1085400" y="1835640"/>
          <a:ext cx="8510040" cy="2102040"/>
        </a:xfrm>
        <a:prstGeom prst="rect">
          <a:avLst/>
        </a:prstGeom>
        <a:ln w="0">
          <a:noFill/>
        </a:ln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</xdr:col>
      <xdr:colOff>585000</xdr:colOff>
      <xdr:row>7</xdr:row>
      <xdr:rowOff>136080</xdr:rowOff>
    </xdr:from>
    <xdr:to>
      <xdr:col>18</xdr:col>
      <xdr:colOff>103320</xdr:colOff>
      <xdr:row>17</xdr:row>
      <xdr:rowOff>135720</xdr:rowOff>
    </xdr:to>
    <xdr:pic>
      <xdr:nvPicPr>
        <xdr:cNvPr id="3" name="Picture 3" descr=""/>
        <xdr:cNvPicPr/>
      </xdr:nvPicPr>
      <xdr:blipFill>
        <a:blip r:embed="rId1"/>
        <a:stretch/>
      </xdr:blipFill>
      <xdr:spPr>
        <a:xfrm>
          <a:off x="1058040" y="1821960"/>
          <a:ext cx="8971560" cy="1952280"/>
        </a:xfrm>
        <a:prstGeom prst="rect">
          <a:avLst/>
        </a:prstGeom>
        <a:ln w="0">
          <a:noFill/>
        </a:ln>
      </xdr:spPr>
    </xdr:pic>
    <xdr:clientData/>
  </xdr:twoCellAnchor>
</xdr:wsDr>
</file>

<file path=xl/externalLinks/_rels/externalLink1.xml.rels><?xml version="1.0" encoding="UTF-8" standalone="yes"?>
<Relationships xmlns="http://schemas.openxmlformats.org/package/2006/relationships"><Relationship Id="rId1" Type="http://schemas.openxmlformats.org/officeDocument/2006/relationships/externalLinkPath" Target="1.%20Danh%20m%E1%BB%A5c%20nghi%E1%BB%87m%20thu%20-%20XB6A.xlsx" TargetMode="External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IN"/>
      <sheetName val="Tuyến XB6A"/>
      <sheetName val="1. PL đường đen"/>
      <sheetName val="2. Cao độ đào nền"/>
      <sheetName val="2. KL đào nền"/>
      <sheetName val="3. KTHH vải lọc"/>
      <sheetName val="3. KL vải lọc"/>
      <sheetName val="chạy VL"/>
      <sheetName val="KL tưới nhựa"/>
      <sheetName val="CĐ mặt đường"/>
      <sheetName val="KL BTN"/>
    </sheetNames>
    <sheetDataSet>
      <sheetData sheetId="0"/>
      <sheetData sheetId="1">
        <row r="3">
          <cell r="A3">
            <v>1</v>
          </cell>
          <cell r="B3" t="str">
            <v xml:space="preserve">Kiểm tra cao độ đường đen đoạn từ Km0+000,00 -:- Km0+126,46</v>
          </cell>
          <cell r="D3" t="str">
            <v xml:space="preserve">ngày 20 tháng 08 năm 2026</v>
          </cell>
          <cell r="G3" t="str">
            <v xml:space="preserve">01.NĐXB6A/CVXD </v>
          </cell>
        </row>
        <row r="4">
          <cell r="A4">
            <v>2</v>
          </cell>
          <cell r="B4" t="str">
            <v xml:space="preserve">Đào đất xử lý nền đường đoạn từ Km0+000,00 - Km0+126,46</v>
          </cell>
          <cell r="D4" t="str">
            <v xml:space="preserve">ngày 24 tháng 08 năm 2026</v>
          </cell>
          <cell r="G4" t="str">
            <v xml:space="preserve">02.NĐXB6A/CVXD </v>
          </cell>
        </row>
        <row r="5">
          <cell r="A5">
            <v>3</v>
          </cell>
          <cell r="B5" t="str">
            <v xml:space="preserve">Rải vải địa kỹ thuật đoạn từ Km0+000,00 - Km0+126,46</v>
          </cell>
          <cell r="D5" t="str">
            <v xml:space="preserve">ngày 24 tháng 08 năm 2026</v>
          </cell>
          <cell r="G5" t="str">
            <v xml:space="preserve">03.NĐXB6A/CVXD </v>
          </cell>
        </row>
        <row r="6">
          <cell r="A6">
            <v>4</v>
          </cell>
          <cell r="B6" t="str">
            <v xml:space="preserve">Đắp cát nền đường lớp 1 đoạn từ Km0+000,00 - Km0+126,46, độ chặt K&gt;=0,95</v>
          </cell>
          <cell r="D6" t="str">
            <v xml:space="preserve">ngày 25 tháng 08 năm 2026</v>
          </cell>
          <cell r="G6" t="str">
            <v xml:space="preserve">04.NĐXB6A/CVXD </v>
          </cell>
        </row>
        <row r="7">
          <cell r="A7">
            <v>5</v>
          </cell>
          <cell r="B7" t="str">
            <v xml:space="preserve">Đắp cát nền đường lớp 2 đoạn từ Km0+000,00 - Km0+126,46, độ chặt K&gt;=0,95</v>
          </cell>
          <cell r="D7" t="str">
            <v xml:space="preserve">ngày 26 tháng 08 năm 2026</v>
          </cell>
          <cell r="G7" t="str">
            <v xml:space="preserve">05.NĐXB6A/CVXD </v>
          </cell>
        </row>
        <row r="8">
          <cell r="A8">
            <v>6</v>
          </cell>
          <cell r="B8" t="str">
            <v xml:space="preserve">Đắp cát nền đường lớp 3 đoạn từ Km0+000,00 - Km0+126,46, độ chặt K&gt;=0,95</v>
          </cell>
          <cell r="D8" t="str">
            <v xml:space="preserve">ngày 27 tháng 08 năm 2026</v>
          </cell>
          <cell r="G8" t="str">
            <v xml:space="preserve">06.NĐXB6A/CVXD </v>
          </cell>
        </row>
        <row r="9">
          <cell r="A9">
            <v>7</v>
          </cell>
          <cell r="B9" t="str">
            <v xml:space="preserve">Đắp cát nền đường lớp 4 đoạn từ Km0+000,00 - Km0+126,46, độ chặt K&gt;=0,95</v>
          </cell>
          <cell r="D9" t="str">
            <v xml:space="preserve">ngày 28 tháng 08 năm 2026</v>
          </cell>
          <cell r="G9" t="str">
            <v xml:space="preserve">07.NĐXB6A/CVXD </v>
          </cell>
        </row>
        <row r="10">
          <cell r="A10">
            <v>8</v>
          </cell>
          <cell r="B10" t="str">
            <v xml:space="preserve">Đắp đất nền đường lớp 1 đoạn từ Km0+000,00 - Km0+126,46, độ chặt K&gt;=0,95</v>
          </cell>
          <cell r="D10" t="str">
            <v xml:space="preserve">ngày 29 tháng 08 năm 2026</v>
          </cell>
          <cell r="G10" t="str">
            <v xml:space="preserve">08.NĐXB6A/CVXD </v>
          </cell>
        </row>
        <row r="11">
          <cell r="A11">
            <v>9</v>
          </cell>
          <cell r="B11" t="str">
            <v xml:space="preserve">Đắp đất nền đường lớp 2 đoạn từ Km0+000,00 - Km0+126,46, độ chặt K&gt;=0,95</v>
          </cell>
          <cell r="D11" t="str">
            <v xml:space="preserve">ngày 29 tháng 08 năm 2026</v>
          </cell>
          <cell r="G11" t="str">
            <v xml:space="preserve">09.NĐXB6A/CVXD </v>
          </cell>
        </row>
        <row r="12">
          <cell r="A12">
            <v>10</v>
          </cell>
          <cell r="B12" t="str">
            <v xml:space="preserve">Đắp đất nền đường lớp 3 đoạn từ Km0+000,00 - Km0+126,46, độ chặt K&gt;=0,95</v>
          </cell>
          <cell r="D12" t="str">
            <v xml:space="preserve">ngày 30 tháng 08 năm 2026</v>
          </cell>
          <cell r="G12" t="str">
            <v xml:space="preserve">10.NĐXB6A/CVXD </v>
          </cell>
        </row>
        <row r="13">
          <cell r="A13">
            <v>11</v>
          </cell>
          <cell r="B13" t="str">
            <v xml:space="preserve">Đắp đất nền đường lớp 4 đoạn từ Km0+000,00 - Km0+126,46, độ chặt K&gt;=0,95</v>
          </cell>
          <cell r="D13" t="str">
            <v xml:space="preserve">ngày 30 tháng 08 năm 2026</v>
          </cell>
          <cell r="G13" t="str">
            <v xml:space="preserve">11.NĐXB6A/CVXD </v>
          </cell>
        </row>
        <row r="14">
          <cell r="A14">
            <v>12</v>
          </cell>
          <cell r="B14" t="str">
            <v xml:space="preserve">Đắp đất nền đường lớp 5 đoạn từ Km0+000,00 - Km0+126,46, độ chặt K&gt;=0,95</v>
          </cell>
          <cell r="D14" t="str">
            <v xml:space="preserve">ngày 03 tháng 09 năm 2026</v>
          </cell>
          <cell r="G14" t="str">
            <v xml:space="preserve">12.NĐXB6A/CVXD </v>
          </cell>
        </row>
        <row r="15">
          <cell r="A15">
            <v>13</v>
          </cell>
          <cell r="B15" t="str">
            <v xml:space="preserve">Đắp đất nền đường lớp 6 đoạn từ Km0+000,00 - Km0+126,46, độ chặt K&gt;=0,95</v>
          </cell>
          <cell r="D15" t="str">
            <v xml:space="preserve">ngày 03 tháng 09 năm 2026</v>
          </cell>
          <cell r="G15" t="str">
            <v xml:space="preserve">13.NĐXB6A/CVXD </v>
          </cell>
        </row>
        <row r="16">
          <cell r="A16">
            <v>14</v>
          </cell>
          <cell r="B16" t="str">
            <v xml:space="preserve">Đắp đất nền đường lớp 7 đoạn từ Km0+000,00 - Km0+126,46, độ chặt K&gt;=0,95</v>
          </cell>
          <cell r="D16" t="str">
            <v xml:space="preserve">ngày 04 tháng 09 năm 2026</v>
          </cell>
          <cell r="G16" t="str">
            <v xml:space="preserve">14.NĐXB6A/CVXD </v>
          </cell>
        </row>
        <row r="17">
          <cell r="A17">
            <v>15</v>
          </cell>
          <cell r="B17" t="str">
            <v xml:space="preserve">Đắp đất nền đường lớp 8 đoạn từ Km0+000,00 - Km0+126,46, độ chặt K&gt;=0,95</v>
          </cell>
          <cell r="D17" t="str">
            <v xml:space="preserve">ngày 04 tháng 09 năm 2026</v>
          </cell>
          <cell r="G17" t="str">
            <v xml:space="preserve">15.NĐXB6A/CVXD </v>
          </cell>
        </row>
        <row r="18">
          <cell r="A18">
            <v>16</v>
          </cell>
          <cell r="B18" t="str">
            <v xml:space="preserve">Đắp đất nền đường lớp 9 đoạn từ Km0+000,00 - Km0+126,46, độ chặt K&gt;=0,95</v>
          </cell>
          <cell r="D18" t="str">
            <v xml:space="preserve">ngày 05 tháng 09 năm 2026</v>
          </cell>
          <cell r="G18" t="str">
            <v xml:space="preserve">16.NĐXB6A/CVXD </v>
          </cell>
        </row>
        <row r="19">
          <cell r="A19">
            <v>17</v>
          </cell>
          <cell r="B19" t="str">
            <v xml:space="preserve">Đắp đất nền đường lớp 1, độ chặt K&gt;=0,98 đoạn từ Km0+000,00 - Km0+126,46</v>
          </cell>
          <cell r="D19" t="str">
            <v xml:space="preserve">ngày 06 tháng 09 năm 2026</v>
          </cell>
          <cell r="G19" t="str">
            <v xml:space="preserve">17.NĐXB6A/CVXD </v>
          </cell>
        </row>
        <row r="20">
          <cell r="A20">
            <v>18</v>
          </cell>
          <cell r="B20" t="str">
            <v xml:space="preserve">Đắp đất lề đường lớp 1, độ chặt K&gt;=0,95 đoạn từ Km0+000,00 - Km0+126,46</v>
          </cell>
          <cell r="D20" t="str">
            <v xml:space="preserve">ngày 06 tháng 09 năm 2026</v>
          </cell>
          <cell r="G20" t="str">
            <v xml:space="preserve">18.NĐXB6A/CVXD </v>
          </cell>
        </row>
        <row r="21">
          <cell r="A21">
            <v>19</v>
          </cell>
          <cell r="B21" t="str">
            <v xml:space="preserve">Đắp đất nền đường lớp 2, độ chặt K&gt;=0,98 đoạn từ Km0+000,00 - Km0+126,46</v>
          </cell>
          <cell r="D21" t="str">
            <v xml:space="preserve">ngày 07 tháng 09 năm 2026</v>
          </cell>
          <cell r="G21" t="str">
            <v xml:space="preserve">19.NĐXB6A/CVXD </v>
          </cell>
        </row>
        <row r="22">
          <cell r="A22">
            <v>20</v>
          </cell>
          <cell r="B22" t="str">
            <v xml:space="preserve">Đắp đất lề đường lớp 2, độ chặt K&gt;=0,95 đoạn từ Km0+000,00 - Km0+126,46</v>
          </cell>
          <cell r="D22" t="str">
            <v xml:space="preserve">ngày 07 tháng 09 năm 2026</v>
          </cell>
          <cell r="G22" t="str">
            <v xml:space="preserve">20.NĐXB6A/CVXD </v>
          </cell>
        </row>
        <row r="23">
          <cell r="A23">
            <v>21</v>
          </cell>
          <cell r="B23" t="str">
            <v xml:space="preserve">Đắp cấp phối đá dăm loại 2 đoạn từ Km0+000,00 - Km0+126,46</v>
          </cell>
          <cell r="D23" t="str">
            <v xml:space="preserve">ngày 08 tháng 09 năm 2026</v>
          </cell>
          <cell r="G23" t="str">
            <v xml:space="preserve">21.NĐXB6A/CVXD </v>
          </cell>
        </row>
        <row r="24">
          <cell r="A24">
            <v>22</v>
          </cell>
          <cell r="B24" t="str">
            <v xml:space="preserve">Đắp đất lề đường lớp 3, độ chặt K&gt;=0,95 đoạn từ Km0+000,00 - Km0+126,46</v>
          </cell>
          <cell r="D24" t="str">
            <v xml:space="preserve">ngày 08 tháng 09 năm 2026</v>
          </cell>
          <cell r="G24" t="str">
            <v xml:space="preserve">22.NĐXB6A/CVXD </v>
          </cell>
        </row>
        <row r="25">
          <cell r="A25">
            <v>23</v>
          </cell>
          <cell r="B25" t="str">
            <v xml:space="preserve">Đắp đất lề đường lớp 4, độ chặt K&gt;=0,95 đoạn từ Km0+000,00 - Km0+126,46</v>
          </cell>
          <cell r="D25" t="str">
            <v xml:space="preserve">ngày 09 tháng 09 năm 2026</v>
          </cell>
          <cell r="G25" t="str">
            <v xml:space="preserve">23.NĐXB6A/CVXD </v>
          </cell>
        </row>
        <row r="26">
          <cell r="A26">
            <v>24</v>
          </cell>
          <cell r="B26" t="str">
            <v xml:space="preserve">Đắp cấp phối đá dăm loại 1 đoạn từ Km0+000,00 - Km0+126,46</v>
          </cell>
          <cell r="D26" t="str">
            <v xml:space="preserve">ngày 09 tháng 09 năm 2026</v>
          </cell>
          <cell r="G26" t="str">
            <v xml:space="preserve">24.NĐXB6A/CVXD </v>
          </cell>
        </row>
        <row r="27">
          <cell r="A27">
            <v>25</v>
          </cell>
          <cell r="B27" t="str">
            <v xml:space="preserve">Vệ sinh, thổi bụi mặt đường </v>
          </cell>
          <cell r="D27" t="str">
            <v xml:space="preserve">ngày 11 tháng 09 năm 2026</v>
          </cell>
          <cell r="G27" t="str">
            <v xml:space="preserve">25.NĐXB6A/CVXD </v>
          </cell>
        </row>
        <row r="28">
          <cell r="A28">
            <v>26</v>
          </cell>
          <cell r="B28" t="str">
            <v xml:space="preserve">Tưới lớp thấm bám mặt đường, nhựa MC70, lượng nhựa 1kg/m2</v>
          </cell>
          <cell r="D28" t="str">
            <v xml:space="preserve">ngày 13 tháng 09 năm 2026</v>
          </cell>
          <cell r="G28" t="str">
            <v xml:space="preserve">26.NĐXB6A/CVXD </v>
          </cell>
        </row>
        <row r="29">
          <cell r="A29">
            <v>27</v>
          </cell>
          <cell r="B29" t="str">
            <v xml:space="preserve">Rải thảm mặt đường bê tông nhựa C16 - Chiều dày mặt đường đã lèn ép 6cm</v>
          </cell>
          <cell r="D29" t="str">
            <v xml:space="preserve">ngày 19 tháng 09 năm 2026</v>
          </cell>
          <cell r="G29" t="str">
            <v xml:space="preserve">27.NĐXB6A/CVXD </v>
          </cell>
        </row>
        <row r="30">
          <cell r="A30">
            <v>28</v>
          </cell>
          <cell r="B30" t="str">
            <v xml:space="preserve">Bê tông nhựa C16 - Chiều dày mặt đường đã lèn ép 6cm</v>
          </cell>
          <cell r="D30" t="str">
            <v xml:space="preserve">ngày 21 tháng 09 năm 2026</v>
          </cell>
          <cell r="G30" t="str">
            <v xml:space="preserve">28.NĐXB6A/CVXD </v>
          </cell>
        </row>
      </sheetData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</sheetDataSet>
  </externalBook>
</externalLink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drawing" Target="../drawings/drawing4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W38"/>
  <sheetViews>
    <sheetView showFormulas="false" showGridLines="true" showRowColHeaders="true" showZeros="true" rightToLeft="false" tabSelected="false" showOutlineSymbols="true" defaultGridColor="true" view="normal" topLeftCell="A35" colorId="64" zoomScale="70" zoomScaleNormal="70" zoomScalePageLayoutView="100" workbookViewId="0">
      <selection pane="topLeft" activeCell="I73" activeCellId="0" sqref="I73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6.71"/>
    <col collapsed="false" customWidth="true" hidden="false" outlineLevel="0" max="2" min="2" style="1" width="12.29"/>
    <col collapsed="false" customWidth="true" hidden="false" outlineLevel="0" max="3" min="3" style="1" width="16.43"/>
    <col collapsed="false" customWidth="true" hidden="true" outlineLevel="0" max="4" min="4" style="1" width="8.29"/>
    <col collapsed="false" customWidth="false" hidden="true" outlineLevel="0" max="5" min="5" style="1" width="8.71"/>
    <col collapsed="false" customWidth="true" hidden="true" outlineLevel="0" max="6" min="6" style="1" width="9.14"/>
    <col collapsed="false" customWidth="true" hidden="false" outlineLevel="0" max="12" min="7" style="1" width="11.71"/>
    <col collapsed="false" customWidth="true" hidden="true" outlineLevel="0" max="15" min="13" style="1" width="8.57"/>
    <col collapsed="false" customWidth="true" hidden="false" outlineLevel="0" max="18" min="16" style="1" width="11.71"/>
    <col collapsed="false" customWidth="true" hidden="false" outlineLevel="0" max="19" min="19" style="1" width="7"/>
  </cols>
  <sheetData>
    <row r="1" customFormat="false" ht="20.25" hidden="false" customHeight="true" outlineLevel="0" collapsed="false">
      <c r="A1" s="2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3"/>
      <c r="U1" s="3"/>
      <c r="V1" s="3"/>
      <c r="W1" s="3"/>
    </row>
    <row r="2" customFormat="false" ht="18.75" hidden="false" customHeight="true" outlineLevel="0" collapsed="false">
      <c r="A2" s="4" t="str">
        <f>"Kèm theo BBNT số: "&amp;VLOOKUP(AZ2,'[1]Tuyến XB6A'!$A$2:$G$60,7,0)&amp;VLOOKUP(AZ2,'[1]Tuyến XB6A'!$A$2:$G$60,4,0)</f>
        <v xml:space="preserve">Kèm theo BBNT số: 17.NĐXB6A/CVXD ngày 06 tháng 09 năm 2026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4"/>
      <c r="U2" s="5"/>
      <c r="V2" s="5"/>
      <c r="W2" s="5"/>
      <c r="AZ2">
        <v>17</v>
      </c>
    </row>
    <row r="3" customFormat="false" ht="18.75" hidden="false" customHeight="true" outlineLevel="0" collapsed="false">
      <c r="A3" s="6" t="s">
        <v>2</v>
      </c>
      <c r="C3" s="6"/>
      <c r="D3" s="6"/>
      <c r="E3" s="6"/>
      <c r="F3" s="6"/>
      <c r="G3" s="6"/>
      <c r="H3" s="6"/>
      <c r="I3" s="6"/>
      <c r="J3" s="6"/>
      <c r="K3" s="6"/>
      <c r="L3" s="6"/>
      <c r="M3" s="6"/>
      <c r="N3" s="6"/>
      <c r="O3" s="6"/>
      <c r="P3" s="6"/>
      <c r="Q3" s="6"/>
      <c r="R3" s="6"/>
      <c r="S3" s="6"/>
      <c r="T3" s="6"/>
      <c r="U3" s="6"/>
      <c r="V3" s="6"/>
      <c r="W3" s="6"/>
    </row>
    <row r="4" customFormat="false" ht="18.75" hidden="false" customHeight="true" outlineLevel="0" collapsed="false">
      <c r="A4" s="6" t="s">
        <v>3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/>
      <c r="O4" s="6"/>
      <c r="P4" s="6"/>
      <c r="Q4" s="6"/>
      <c r="R4" s="6"/>
      <c r="S4" s="6"/>
      <c r="T4" s="6"/>
      <c r="U4" s="6"/>
      <c r="V4" s="6"/>
      <c r="W4" s="6"/>
    </row>
    <row r="5" customFormat="false" ht="18.75" hidden="false" customHeight="true" outlineLevel="0" collapsed="false">
      <c r="A5" s="6" t="s">
        <v>4</v>
      </c>
      <c r="C5" s="6"/>
      <c r="D5" s="6"/>
      <c r="E5" s="6"/>
      <c r="F5" s="6"/>
      <c r="G5" s="6"/>
      <c r="H5" s="6"/>
      <c r="I5" s="6"/>
      <c r="J5" s="6"/>
      <c r="K5" s="6"/>
      <c r="L5" s="6"/>
      <c r="M5" s="6"/>
      <c r="N5" s="6"/>
      <c r="O5" s="6"/>
      <c r="P5" s="6"/>
      <c r="Q5" s="6"/>
      <c r="R5" s="6"/>
      <c r="S5" s="6"/>
      <c r="T5" s="6"/>
      <c r="U5" s="6"/>
      <c r="V5" s="6"/>
      <c r="W5" s="6"/>
    </row>
    <row r="6" customFormat="false" ht="18.75" hidden="false" customHeight="true" outlineLevel="0" collapsed="false">
      <c r="A6" s="6" t="s">
        <v>5</v>
      </c>
      <c r="C6" s="6"/>
      <c r="D6" s="6"/>
      <c r="E6" s="6"/>
      <c r="F6" s="6"/>
      <c r="G6" s="6"/>
      <c r="H6" s="6"/>
      <c r="I6" s="6"/>
      <c r="J6" s="6"/>
      <c r="K6" s="6"/>
      <c r="L6" s="6"/>
      <c r="M6" s="6"/>
      <c r="N6" s="6"/>
      <c r="O6" s="6"/>
      <c r="P6" s="6"/>
      <c r="Q6" s="6"/>
      <c r="R6" s="6"/>
      <c r="S6" s="6"/>
      <c r="T6" s="6"/>
      <c r="U6" s="6"/>
      <c r="V6" s="6"/>
      <c r="W6" s="6"/>
    </row>
    <row r="7" customFormat="false" ht="18.75" hidden="false" customHeight="true" outlineLevel="0" collapsed="false">
      <c r="A7" s="7" t="s">
        <v>6</v>
      </c>
      <c r="C7" s="6"/>
      <c r="D7" s="6"/>
      <c r="F7" s="6"/>
      <c r="G7" s="6" t="str">
        <f>VLOOKUP(AZ2,'[1]Tuyến XB6A'!$A$2:$B$60,2,0)</f>
        <v xml:space="preserve">Đắp đất nền đường lớp 1, độ chặt K&gt;=0,98 đoạn từ Km0+000,00 - Km0+126,46</v>
      </c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  <c r="U7" s="6"/>
      <c r="V7" s="6"/>
      <c r="W7" s="6"/>
    </row>
    <row r="8" customFormat="false" ht="18.75" hidden="false" customHeight="true" outlineLevel="0" collapsed="false">
      <c r="A8" s="7" t="s">
        <v>8</v>
      </c>
      <c r="C8" s="6"/>
      <c r="D8" s="6"/>
      <c r="E8" s="6"/>
      <c r="F8" s="6"/>
      <c r="G8" s="6"/>
      <c r="H8" s="6"/>
      <c r="I8" s="6"/>
      <c r="J8" s="6"/>
      <c r="K8" s="6"/>
      <c r="L8" s="6"/>
      <c r="M8" s="6"/>
      <c r="N8" s="6"/>
      <c r="O8" s="6"/>
      <c r="P8" s="6"/>
      <c r="Q8" s="6"/>
      <c r="R8" s="6"/>
      <c r="S8" s="6"/>
      <c r="T8" s="6"/>
      <c r="U8" s="6"/>
      <c r="V8" s="6"/>
      <c r="W8" s="6"/>
    </row>
    <row r="21" s="10" customFormat="true" ht="15.75" hidden="false" customHeight="true" outlineLevel="0" collapsed="false">
      <c r="A21" s="8" t="s">
        <v>9</v>
      </c>
      <c r="B21" s="8" t="s">
        <v>10</v>
      </c>
      <c r="C21" s="8" t="s">
        <v>11</v>
      </c>
      <c r="D21" s="9" t="s">
        <v>12</v>
      </c>
      <c r="E21" s="9"/>
      <c r="F21" s="9"/>
      <c r="G21" s="9"/>
      <c r="H21" s="9"/>
      <c r="I21" s="9"/>
      <c r="J21" s="9" t="s">
        <v>13</v>
      </c>
      <c r="K21" s="9"/>
      <c r="L21" s="9"/>
      <c r="M21" s="9" t="s">
        <v>14</v>
      </c>
      <c r="N21" s="9"/>
      <c r="O21" s="9"/>
      <c r="P21" s="9"/>
      <c r="Q21" s="9"/>
      <c r="R21" s="9"/>
      <c r="S21" s="8" t="s">
        <v>15</v>
      </c>
      <c r="W21" s="10" t="s">
        <v>16</v>
      </c>
    </row>
    <row r="22" s="10" customFormat="true" ht="30" hidden="false" customHeight="true" outlineLevel="0" collapsed="false">
      <c r="A22" s="8"/>
      <c r="B22" s="8"/>
      <c r="C22" s="8"/>
      <c r="D22" s="11" t="s">
        <v>17</v>
      </c>
      <c r="E22" s="11" t="s">
        <v>18</v>
      </c>
      <c r="F22" s="11" t="s">
        <v>19</v>
      </c>
      <c r="G22" s="11" t="s">
        <v>20</v>
      </c>
      <c r="H22" s="11" t="s">
        <v>21</v>
      </c>
      <c r="I22" s="11" t="s">
        <v>22</v>
      </c>
      <c r="J22" s="11" t="s">
        <v>20</v>
      </c>
      <c r="K22" s="11" t="s">
        <v>21</v>
      </c>
      <c r="L22" s="11" t="s">
        <v>22</v>
      </c>
      <c r="M22" s="11" t="s">
        <v>17</v>
      </c>
      <c r="N22" s="11" t="s">
        <v>18</v>
      </c>
      <c r="O22" s="11" t="s">
        <v>19</v>
      </c>
      <c r="P22" s="11" t="s">
        <v>20</v>
      </c>
      <c r="Q22" s="11" t="s">
        <v>21</v>
      </c>
      <c r="R22" s="11" t="s">
        <v>22</v>
      </c>
      <c r="S22" s="8"/>
      <c r="T22" s="12"/>
    </row>
    <row r="23" s="10" customFormat="true" ht="18" hidden="false" customHeight="true" outlineLevel="0" collapsed="false">
      <c r="A23" s="13" t="n">
        <v>1</v>
      </c>
      <c r="B23" s="14" t="s">
        <v>23</v>
      </c>
      <c r="C23" s="15" t="n">
        <v>0</v>
      </c>
      <c r="D23" s="16" t="n">
        <v>-3.75</v>
      </c>
      <c r="E23" s="16" t="n">
        <f aca="false">+D23+F23</f>
        <v>-3.7587</v>
      </c>
      <c r="F23" s="16" t="n">
        <f aca="false">RANDBETWEEN(-105,115)/10000</f>
        <v>-0.0087</v>
      </c>
      <c r="G23" s="16" t="n">
        <f aca="false">J23-3.45*2%-0.3*6%</f>
        <v>2.092</v>
      </c>
      <c r="H23" s="16" t="n">
        <f aca="false">G23+I23</f>
        <v>2.162</v>
      </c>
      <c r="I23" s="16" t="n">
        <f aca="false">RANDBETWEEN(-20,70)/1000</f>
        <v>0.07</v>
      </c>
      <c r="J23" s="16" t="n">
        <f aca="false">W23+0.25</f>
        <v>2.179</v>
      </c>
      <c r="K23" s="16" t="n">
        <f aca="false">J23+L23</f>
        <v>2.209</v>
      </c>
      <c r="L23" s="16" t="n">
        <f aca="false">RANDBETWEEN(-20,70)/1000</f>
        <v>0.03</v>
      </c>
      <c r="M23" s="16" t="n">
        <v>3.75</v>
      </c>
      <c r="N23" s="16" t="n">
        <f aca="false">+M23+O23</f>
        <v>3.7497</v>
      </c>
      <c r="O23" s="16" t="n">
        <f aca="false">RANDBETWEEN(-105,115)/10000</f>
        <v>-0.0003</v>
      </c>
      <c r="P23" s="16" t="n">
        <f aca="false">G23</f>
        <v>2.092</v>
      </c>
      <c r="Q23" s="16" t="n">
        <f aca="false">P23+R23</f>
        <v>2.087</v>
      </c>
      <c r="R23" s="16" t="n">
        <f aca="false">RANDBETWEEN(-20,70)/1000</f>
        <v>-0.005</v>
      </c>
      <c r="S23" s="17"/>
      <c r="T23" s="18" t="n">
        <v>19.63</v>
      </c>
      <c r="V23" s="19"/>
      <c r="W23" s="20" t="n">
        <v>1.929</v>
      </c>
    </row>
    <row r="24" s="10" customFormat="true" ht="18" hidden="false" customHeight="true" outlineLevel="0" collapsed="false">
      <c r="A24" s="13" t="n">
        <v>2</v>
      </c>
      <c r="B24" s="14" t="s">
        <v>24</v>
      </c>
      <c r="C24" s="15" t="n">
        <f aca="false">+C23+T23</f>
        <v>19.63</v>
      </c>
      <c r="D24" s="16" t="n">
        <v>-3.75</v>
      </c>
      <c r="E24" s="16" t="n">
        <f aca="false">+D24+F24</f>
        <v>-3.7581</v>
      </c>
      <c r="F24" s="16" t="n">
        <f aca="false">RANDBETWEEN(-105,115)/10000</f>
        <v>-0.0081</v>
      </c>
      <c r="G24" s="16" t="n">
        <f aca="false">J24-3.45*2%-0.3*6%</f>
        <v>2.092</v>
      </c>
      <c r="H24" s="16" t="n">
        <f aca="false">G24+I24</f>
        <v>2.111</v>
      </c>
      <c r="I24" s="16" t="n">
        <f aca="false">RANDBETWEEN(-20,70)/1000</f>
        <v>0.019</v>
      </c>
      <c r="J24" s="16" t="n">
        <f aca="false">W24+0.25</f>
        <v>2.179</v>
      </c>
      <c r="K24" s="16" t="n">
        <f aca="false">J24+L24</f>
        <v>2.194</v>
      </c>
      <c r="L24" s="16" t="n">
        <f aca="false">RANDBETWEEN(-20,70)/1000</f>
        <v>0.015</v>
      </c>
      <c r="M24" s="16" t="n">
        <v>3.75</v>
      </c>
      <c r="N24" s="16" t="n">
        <f aca="false">+M24+O24</f>
        <v>3.7527</v>
      </c>
      <c r="O24" s="16" t="n">
        <f aca="false">RANDBETWEEN(-105,115)/10000</f>
        <v>0.0027</v>
      </c>
      <c r="P24" s="16" t="n">
        <f aca="false">G24</f>
        <v>2.092</v>
      </c>
      <c r="Q24" s="16" t="n">
        <f aca="false">P24+R24</f>
        <v>2.13</v>
      </c>
      <c r="R24" s="16" t="n">
        <f aca="false">RANDBETWEEN(-20,70)/1000</f>
        <v>0.038</v>
      </c>
      <c r="S24" s="17"/>
      <c r="T24" s="18" t="n">
        <v>17.17</v>
      </c>
      <c r="V24" s="19"/>
      <c r="W24" s="20" t="n">
        <v>1.929</v>
      </c>
    </row>
    <row r="25" s="10" customFormat="true" ht="18" hidden="false" customHeight="true" outlineLevel="0" collapsed="false">
      <c r="A25" s="13" t="n">
        <v>3</v>
      </c>
      <c r="B25" s="14" t="s">
        <v>25</v>
      </c>
      <c r="C25" s="15" t="n">
        <f aca="false">+C24+T24</f>
        <v>36.8</v>
      </c>
      <c r="D25" s="16" t="n">
        <v>-3.75</v>
      </c>
      <c r="E25" s="16" t="n">
        <f aca="false">+D25+F25</f>
        <v>-3.7401</v>
      </c>
      <c r="F25" s="16" t="n">
        <f aca="false">RANDBETWEEN(-105,115)/10000</f>
        <v>0.0099</v>
      </c>
      <c r="G25" s="16" t="n">
        <f aca="false">J25-3.45*2%-0.3*6%</f>
        <v>2.1</v>
      </c>
      <c r="H25" s="16" t="n">
        <f aca="false">G25+I25</f>
        <v>2.143</v>
      </c>
      <c r="I25" s="16" t="n">
        <f aca="false">RANDBETWEEN(-20,70)/1000</f>
        <v>0.043</v>
      </c>
      <c r="J25" s="16" t="n">
        <f aca="false">W25+0.25</f>
        <v>2.187</v>
      </c>
      <c r="K25" s="16" t="n">
        <f aca="false">J25+L25</f>
        <v>2.243</v>
      </c>
      <c r="L25" s="16" t="n">
        <f aca="false">RANDBETWEEN(-20,70)/1000</f>
        <v>0.056</v>
      </c>
      <c r="M25" s="16" t="n">
        <v>3.75</v>
      </c>
      <c r="N25" s="16" t="n">
        <f aca="false">+M25+O25</f>
        <v>3.7593</v>
      </c>
      <c r="O25" s="16" t="n">
        <f aca="false">RANDBETWEEN(-105,115)/10000</f>
        <v>0.0093</v>
      </c>
      <c r="P25" s="16" t="n">
        <f aca="false">G25</f>
        <v>2.1</v>
      </c>
      <c r="Q25" s="16" t="n">
        <f aca="false">P25+R25</f>
        <v>2.093</v>
      </c>
      <c r="R25" s="16" t="n">
        <f aca="false">RANDBETWEEN(-20,70)/1000</f>
        <v>-0.007</v>
      </c>
      <c r="S25" s="17"/>
      <c r="T25" s="18" t="n">
        <v>17.18</v>
      </c>
      <c r="V25" s="19"/>
      <c r="W25" s="20" t="n">
        <v>1.937</v>
      </c>
    </row>
    <row r="26" s="10" customFormat="true" ht="18" hidden="false" customHeight="true" outlineLevel="0" collapsed="false">
      <c r="A26" s="13" t="n">
        <v>4</v>
      </c>
      <c r="B26" s="14" t="s">
        <v>26</v>
      </c>
      <c r="C26" s="15" t="n">
        <f aca="false">+C25+T25</f>
        <v>53.98</v>
      </c>
      <c r="D26" s="16" t="n">
        <v>-3.75</v>
      </c>
      <c r="E26" s="16" t="n">
        <f aca="false">+D26+F26</f>
        <v>-3.7394</v>
      </c>
      <c r="F26" s="16" t="n">
        <f aca="false">RANDBETWEEN(-105,115)/10000</f>
        <v>0.0106</v>
      </c>
      <c r="G26" s="16" t="n">
        <f aca="false">J26-3.45*2%-0.3*6%</f>
        <v>2.107</v>
      </c>
      <c r="H26" s="16" t="n">
        <f aca="false">G26+I26</f>
        <v>2.096</v>
      </c>
      <c r="I26" s="16" t="n">
        <f aca="false">RANDBETWEEN(-20,70)/1000</f>
        <v>-0.011</v>
      </c>
      <c r="J26" s="16" t="n">
        <f aca="false">W26+0.25</f>
        <v>2.194</v>
      </c>
      <c r="K26" s="16" t="n">
        <f aca="false">J26+L26</f>
        <v>2.245</v>
      </c>
      <c r="L26" s="16" t="n">
        <f aca="false">RANDBETWEEN(-20,70)/1000</f>
        <v>0.051</v>
      </c>
      <c r="M26" s="16" t="n">
        <v>3.75</v>
      </c>
      <c r="N26" s="16" t="n">
        <f aca="false">+M26+O26</f>
        <v>3.7446</v>
      </c>
      <c r="O26" s="16" t="n">
        <f aca="false">RANDBETWEEN(-105,115)/10000</f>
        <v>-0.0054</v>
      </c>
      <c r="P26" s="16" t="n">
        <f aca="false">G26</f>
        <v>2.107</v>
      </c>
      <c r="Q26" s="16" t="n">
        <f aca="false">P26+R26</f>
        <v>2.129</v>
      </c>
      <c r="R26" s="16" t="n">
        <f aca="false">RANDBETWEEN(-20,70)/1000</f>
        <v>0.022</v>
      </c>
      <c r="S26" s="17"/>
      <c r="T26" s="18" t="n">
        <v>12.97</v>
      </c>
      <c r="V26" s="19"/>
      <c r="W26" s="20" t="n">
        <v>1.944</v>
      </c>
    </row>
    <row r="27" s="10" customFormat="true" ht="18" hidden="false" customHeight="true" outlineLevel="0" collapsed="false">
      <c r="A27" s="13" t="n">
        <v>5</v>
      </c>
      <c r="B27" s="14" t="s">
        <v>27</v>
      </c>
      <c r="C27" s="15" t="n">
        <f aca="false">+C26+T26</f>
        <v>66.95</v>
      </c>
      <c r="D27" s="16" t="n">
        <v>-3.75</v>
      </c>
      <c r="E27" s="16" t="n">
        <f aca="false">+D27+F27</f>
        <v>-3.7489</v>
      </c>
      <c r="F27" s="16" t="n">
        <f aca="false">RANDBETWEEN(-105,115)/10000</f>
        <v>0.0011</v>
      </c>
      <c r="G27" s="16" t="n">
        <f aca="false">J27-3.45*2%-0.3*6%</f>
        <v>2.113</v>
      </c>
      <c r="H27" s="16" t="n">
        <f aca="false">G27+I27</f>
        <v>2.166</v>
      </c>
      <c r="I27" s="16" t="n">
        <f aca="false">RANDBETWEEN(-20,70)/1000</f>
        <v>0.053</v>
      </c>
      <c r="J27" s="16" t="n">
        <f aca="false">W27+0.25</f>
        <v>2.2</v>
      </c>
      <c r="K27" s="16" t="n">
        <f aca="false">J27+L27</f>
        <v>2.254</v>
      </c>
      <c r="L27" s="16" t="n">
        <f aca="false">RANDBETWEEN(-20,70)/1000</f>
        <v>0.054</v>
      </c>
      <c r="M27" s="16" t="n">
        <v>3.75</v>
      </c>
      <c r="N27" s="16" t="n">
        <f aca="false">+M27+O27</f>
        <v>3.7547</v>
      </c>
      <c r="O27" s="16" t="n">
        <f aca="false">RANDBETWEEN(-105,115)/10000</f>
        <v>0.0047</v>
      </c>
      <c r="P27" s="16" t="n">
        <f aca="false">G27</f>
        <v>2.113</v>
      </c>
      <c r="Q27" s="16" t="n">
        <f aca="false">P27+R27</f>
        <v>2.123</v>
      </c>
      <c r="R27" s="16" t="n">
        <f aca="false">RANDBETWEEN(-20,70)/1000</f>
        <v>0.01</v>
      </c>
      <c r="S27" s="17"/>
      <c r="T27" s="18" t="n">
        <v>10.68</v>
      </c>
      <c r="V27" s="19"/>
      <c r="W27" s="20" t="n">
        <v>1.95</v>
      </c>
    </row>
    <row r="28" s="10" customFormat="true" ht="18" hidden="false" customHeight="true" outlineLevel="0" collapsed="false">
      <c r="A28" s="13" t="n">
        <v>6</v>
      </c>
      <c r="B28" s="14" t="s">
        <v>28</v>
      </c>
      <c r="C28" s="15" t="n">
        <f aca="false">+C27+T27</f>
        <v>77.63</v>
      </c>
      <c r="D28" s="16" t="n">
        <v>-3.75</v>
      </c>
      <c r="E28" s="16" t="n">
        <f aca="false">+D28+F28</f>
        <v>-3.7413</v>
      </c>
      <c r="F28" s="16" t="n">
        <f aca="false">RANDBETWEEN(-105,115)/10000</f>
        <v>0.0087</v>
      </c>
      <c r="G28" s="16" t="n">
        <f aca="false">J28-3.45*2%-0.3*6%</f>
        <v>2.118</v>
      </c>
      <c r="H28" s="16" t="n">
        <f aca="false">G28+I28</f>
        <v>2.128</v>
      </c>
      <c r="I28" s="16" t="n">
        <f aca="false">RANDBETWEEN(-20,70)/1000</f>
        <v>0.01</v>
      </c>
      <c r="J28" s="16" t="n">
        <f aca="false">W28+0.25</f>
        <v>2.205</v>
      </c>
      <c r="K28" s="16" t="n">
        <f aca="false">J28+L28</f>
        <v>2.27</v>
      </c>
      <c r="L28" s="16" t="n">
        <f aca="false">RANDBETWEEN(-20,70)/1000</f>
        <v>0.065</v>
      </c>
      <c r="M28" s="16" t="n">
        <v>3.75</v>
      </c>
      <c r="N28" s="16" t="n">
        <f aca="false">+M28+O28</f>
        <v>3.75</v>
      </c>
      <c r="O28" s="16" t="n">
        <f aca="false">RANDBETWEEN(-105,115)/10000</f>
        <v>0</v>
      </c>
      <c r="P28" s="16" t="n">
        <f aca="false">G28</f>
        <v>2.118</v>
      </c>
      <c r="Q28" s="16" t="n">
        <f aca="false">P28+R28</f>
        <v>2.168</v>
      </c>
      <c r="R28" s="16" t="n">
        <f aca="false">RANDBETWEEN(-20,70)/1000</f>
        <v>0.05</v>
      </c>
      <c r="S28" s="17"/>
      <c r="T28" s="18" t="n">
        <v>17.17</v>
      </c>
      <c r="V28" s="19"/>
      <c r="W28" s="20" t="n">
        <v>1.955</v>
      </c>
    </row>
    <row r="29" s="10" customFormat="true" ht="18" hidden="false" customHeight="true" outlineLevel="0" collapsed="false">
      <c r="A29" s="13" t="n">
        <v>7</v>
      </c>
      <c r="B29" s="14" t="s">
        <v>29</v>
      </c>
      <c r="C29" s="15" t="n">
        <f aca="false">+C28+T28</f>
        <v>94.8</v>
      </c>
      <c r="D29" s="16" t="n">
        <v>-3.75</v>
      </c>
      <c r="E29" s="16" t="n">
        <f aca="false">+D29+F29</f>
        <v>-3.7428</v>
      </c>
      <c r="F29" s="16" t="n">
        <f aca="false">RANDBETWEEN(-105,115)/10000</f>
        <v>0.0072</v>
      </c>
      <c r="G29" s="16" t="n">
        <f aca="false">J29-3.45*2%-0.3*6%</f>
        <v>2.127</v>
      </c>
      <c r="H29" s="16" t="n">
        <f aca="false">G29+I29</f>
        <v>2.157</v>
      </c>
      <c r="I29" s="16" t="n">
        <f aca="false">RANDBETWEEN(-20,70)/1000</f>
        <v>0.03</v>
      </c>
      <c r="J29" s="16" t="n">
        <f aca="false">W29+0.25</f>
        <v>2.214</v>
      </c>
      <c r="K29" s="16" t="n">
        <f aca="false">J29+L29</f>
        <v>2.264</v>
      </c>
      <c r="L29" s="16" t="n">
        <f aca="false">RANDBETWEEN(-20,70)/1000</f>
        <v>0.05</v>
      </c>
      <c r="M29" s="16" t="n">
        <v>3.75</v>
      </c>
      <c r="N29" s="16" t="n">
        <f aca="false">+M29+O29</f>
        <v>3.7434</v>
      </c>
      <c r="O29" s="16" t="n">
        <f aca="false">RANDBETWEEN(-105,115)/10000</f>
        <v>-0.0066</v>
      </c>
      <c r="P29" s="16" t="n">
        <f aca="false">G29</f>
        <v>2.127</v>
      </c>
      <c r="Q29" s="16" t="n">
        <f aca="false">P29+R29</f>
        <v>2.171</v>
      </c>
      <c r="R29" s="16" t="n">
        <f aca="false">RANDBETWEEN(-20,70)/1000</f>
        <v>0.044</v>
      </c>
      <c r="S29" s="17"/>
      <c r="T29" s="18" t="n">
        <v>17.17</v>
      </c>
      <c r="V29" s="19"/>
      <c r="W29" s="20" t="n">
        <v>1.964</v>
      </c>
    </row>
    <row r="30" s="10" customFormat="true" ht="18" hidden="false" customHeight="true" outlineLevel="0" collapsed="false">
      <c r="A30" s="13" t="n">
        <v>8</v>
      </c>
      <c r="B30" s="14" t="s">
        <v>30</v>
      </c>
      <c r="C30" s="15" t="n">
        <f aca="false">+C29+T29</f>
        <v>111.97</v>
      </c>
      <c r="D30" s="16" t="n">
        <v>-3.75</v>
      </c>
      <c r="E30" s="16" t="n">
        <f aca="false">+D30+F30</f>
        <v>-3.752</v>
      </c>
      <c r="F30" s="16" t="n">
        <f aca="false">RANDBETWEEN(-105,115)/10000</f>
        <v>-0.002</v>
      </c>
      <c r="G30" s="16" t="n">
        <f aca="false">J30-3.45*2%-0.3*6%</f>
        <v>2.136</v>
      </c>
      <c r="H30" s="16" t="n">
        <f aca="false">G30+I30</f>
        <v>2.183</v>
      </c>
      <c r="I30" s="16" t="n">
        <f aca="false">RANDBETWEEN(-20,70)/1000</f>
        <v>0.047</v>
      </c>
      <c r="J30" s="16" t="n">
        <f aca="false">W30+0.25</f>
        <v>2.223</v>
      </c>
      <c r="K30" s="16" t="n">
        <f aca="false">J30+L30</f>
        <v>2.223</v>
      </c>
      <c r="L30" s="16" t="n">
        <f aca="false">RANDBETWEEN(-20,70)/1000</f>
        <v>0</v>
      </c>
      <c r="M30" s="16" t="n">
        <v>3.75</v>
      </c>
      <c r="N30" s="16" t="n">
        <f aca="false">+M30+O30</f>
        <v>3.7597</v>
      </c>
      <c r="O30" s="16" t="n">
        <f aca="false">RANDBETWEEN(-105,115)/10000</f>
        <v>0.0097</v>
      </c>
      <c r="P30" s="16" t="n">
        <f aca="false">G30</f>
        <v>2.136</v>
      </c>
      <c r="Q30" s="16" t="n">
        <f aca="false">P30+R30</f>
        <v>2.126</v>
      </c>
      <c r="R30" s="16" t="n">
        <f aca="false">RANDBETWEEN(-20,70)/1000</f>
        <v>-0.01</v>
      </c>
      <c r="S30" s="17"/>
      <c r="T30" s="18" t="n">
        <v>14.49</v>
      </c>
      <c r="V30" s="19"/>
      <c r="W30" s="20" t="n">
        <v>1.973</v>
      </c>
    </row>
    <row r="31" s="10" customFormat="true" ht="18" hidden="false" customHeight="true" outlineLevel="0" collapsed="false">
      <c r="A31" s="13" t="n">
        <v>9</v>
      </c>
      <c r="B31" s="14" t="s">
        <v>31</v>
      </c>
      <c r="C31" s="15" t="n">
        <f aca="false">+C30+T30</f>
        <v>126.46</v>
      </c>
      <c r="D31" s="16" t="n">
        <v>-3.75</v>
      </c>
      <c r="E31" s="16" t="n">
        <f aca="false">+D31+F31</f>
        <v>-3.7484</v>
      </c>
      <c r="F31" s="16" t="n">
        <f aca="false">RANDBETWEEN(-105,115)/10000</f>
        <v>0.0016</v>
      </c>
      <c r="G31" s="16" t="n">
        <f aca="false">J31-3.45*2%-0.3*6%</f>
        <v>2.136</v>
      </c>
      <c r="H31" s="16" t="n">
        <f aca="false">G31+I31</f>
        <v>2.204</v>
      </c>
      <c r="I31" s="16" t="n">
        <f aca="false">RANDBETWEEN(-20,70)/1000</f>
        <v>0.068</v>
      </c>
      <c r="J31" s="16" t="n">
        <f aca="false">W31+0.25</f>
        <v>2.223</v>
      </c>
      <c r="K31" s="16" t="n">
        <f aca="false">J31+L31</f>
        <v>2.21</v>
      </c>
      <c r="L31" s="16" t="n">
        <f aca="false">RANDBETWEEN(-20,70)/1000</f>
        <v>-0.013</v>
      </c>
      <c r="M31" s="16" t="n">
        <v>3.75</v>
      </c>
      <c r="N31" s="16" t="n">
        <f aca="false">+M31+O31</f>
        <v>3.741</v>
      </c>
      <c r="O31" s="16" t="n">
        <f aca="false">RANDBETWEEN(-105,115)/10000</f>
        <v>-0.009</v>
      </c>
      <c r="P31" s="16" t="n">
        <f aca="false">G31</f>
        <v>2.136</v>
      </c>
      <c r="Q31" s="16" t="n">
        <f aca="false">P31+R31</f>
        <v>2.178</v>
      </c>
      <c r="R31" s="16" t="n">
        <f aca="false">RANDBETWEEN(-20,70)/1000</f>
        <v>0.042</v>
      </c>
      <c r="S31" s="17"/>
      <c r="T31" s="18"/>
      <c r="V31" s="19"/>
      <c r="W31" s="20" t="n">
        <v>1.973</v>
      </c>
    </row>
    <row r="32" customFormat="false" ht="15.75" hidden="false" customHeight="true" outlineLevel="0" collapsed="false"/>
    <row r="33" customFormat="false" ht="15.75" hidden="false" customHeight="true" outlineLevel="0" collapsed="false">
      <c r="C33" s="21" t="s">
        <v>32</v>
      </c>
      <c r="D33" s="21"/>
      <c r="E33" s="21"/>
      <c r="F33" s="21"/>
      <c r="G33" s="21"/>
      <c r="H33" s="21"/>
      <c r="I33" s="21"/>
      <c r="K33" s="22"/>
      <c r="L33" s="22"/>
      <c r="M33" s="22"/>
      <c r="N33" s="22"/>
      <c r="O33" s="21" t="s">
        <v>33</v>
      </c>
      <c r="P33" s="21"/>
      <c r="Q33" s="21"/>
      <c r="R33" s="21"/>
    </row>
    <row r="34" customFormat="false" ht="15.75" hidden="false" customHeight="true" outlineLevel="0" collapsed="false">
      <c r="E34" s="23"/>
      <c r="F34" s="23"/>
      <c r="G34" s="23"/>
      <c r="H34" s="23"/>
      <c r="K34" s="23"/>
      <c r="L34" s="23"/>
      <c r="M34" s="23"/>
      <c r="N34" s="23"/>
      <c r="O34" s="23"/>
      <c r="P34" s="23"/>
      <c r="Q34" s="23"/>
      <c r="R34" s="23"/>
    </row>
    <row r="35" customFormat="false" ht="15.75" hidden="false" customHeight="true" outlineLevel="0" collapsed="false">
      <c r="E35" s="23"/>
      <c r="F35" s="23"/>
      <c r="G35" s="23"/>
      <c r="H35" s="23"/>
      <c r="K35" s="23"/>
      <c r="L35" s="23"/>
      <c r="M35" s="23"/>
      <c r="N35" s="23"/>
      <c r="O35" s="23"/>
      <c r="P35" s="23"/>
      <c r="Q35" s="23"/>
      <c r="R35" s="23"/>
    </row>
    <row r="36" customFormat="false" ht="15.75" hidden="false" customHeight="true" outlineLevel="0" collapsed="false">
      <c r="E36" s="23"/>
      <c r="F36" s="23"/>
      <c r="G36" s="23"/>
      <c r="H36" s="23"/>
      <c r="K36" s="23"/>
      <c r="L36" s="23"/>
      <c r="M36" s="23"/>
      <c r="N36" s="23"/>
      <c r="O36" s="23"/>
      <c r="P36" s="23"/>
      <c r="Q36" s="23"/>
      <c r="R36" s="23"/>
    </row>
    <row r="37" customFormat="false" ht="15.75" hidden="false" customHeight="true" outlineLevel="0" collapsed="false">
      <c r="E37" s="23"/>
      <c r="F37" s="23"/>
      <c r="G37" s="23"/>
      <c r="H37" s="23"/>
      <c r="K37" s="23"/>
      <c r="L37" s="23"/>
      <c r="M37" s="23"/>
      <c r="N37" s="23"/>
      <c r="O37" s="23"/>
      <c r="P37" s="23"/>
      <c r="Q37" s="23"/>
      <c r="R37" s="23"/>
    </row>
    <row r="38" customFormat="false" ht="15.75" hidden="false" customHeight="true" outlineLevel="0" collapsed="false">
      <c r="C38" s="21" t="s">
        <v>34</v>
      </c>
      <c r="D38" s="21"/>
      <c r="E38" s="21"/>
      <c r="F38" s="21"/>
      <c r="G38" s="21"/>
      <c r="H38" s="21"/>
      <c r="I38" s="21"/>
      <c r="K38" s="22"/>
      <c r="L38" s="22"/>
      <c r="M38" s="22"/>
      <c r="N38" s="22"/>
      <c r="O38" s="21" t="s">
        <v>35</v>
      </c>
      <c r="P38" s="21"/>
      <c r="Q38" s="21"/>
      <c r="R38" s="21"/>
    </row>
  </sheetData>
  <mergeCells count="13">
    <mergeCell ref="A1:S1"/>
    <mergeCell ref="A2:S2"/>
    <mergeCell ref="A21:A22"/>
    <mergeCell ref="B21:B22"/>
    <mergeCell ref="C21:C22"/>
    <mergeCell ref="D21:I21"/>
    <mergeCell ref="J21:L21"/>
    <mergeCell ref="M21:R21"/>
    <mergeCell ref="S21:S22"/>
    <mergeCell ref="C33:I33"/>
    <mergeCell ref="O33:R33"/>
    <mergeCell ref="C38:I38"/>
    <mergeCell ref="O38:R38"/>
  </mergeCells>
  <printOptions headings="false" gridLines="false" gridLinesSet="true" horizontalCentered="true" verticalCentered="false"/>
  <pageMargins left="0.590277777777778" right="0.157638888888889" top="0.579861111111111" bottom="0.479861111111111" header="0.511811023622047" footer="0.157638888888889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>&amp;C&amp;P</oddFooter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HY105"/>
  <sheetViews>
    <sheetView showFormulas="false" showGridLines="true" showRowColHeaders="true" showZeros="true" rightToLeft="false" tabSelected="false" showOutlineSymbols="true" defaultGridColor="true" view="normal" topLeftCell="A11" colorId="64" zoomScale="70" zoomScaleNormal="70" zoomScalePageLayoutView="100" workbookViewId="0">
      <selection pane="topLeft" activeCell="AH55" activeCellId="0" sqref="AH55"/>
    </sheetView>
  </sheetViews>
  <sheetFormatPr defaultColWidth="9.2890625" defaultRowHeight="12.75" zeroHeight="false" outlineLevelRow="0" outlineLevelCol="0"/>
  <cols>
    <col collapsed="false" customWidth="true" hidden="false" outlineLevel="0" max="1" min="1" style="24" width="6.71"/>
    <col collapsed="false" customWidth="true" hidden="false" outlineLevel="0" max="2" min="2" style="24" width="12.29"/>
    <col collapsed="false" customWidth="true" hidden="false" outlineLevel="0" max="3" min="3" style="24" width="19.57"/>
    <col collapsed="false" customWidth="true" hidden="false" outlineLevel="0" max="4" min="4" style="25" width="12.71"/>
    <col collapsed="false" customWidth="true" hidden="true" outlineLevel="0" max="6" min="5" style="25" width="8.42"/>
    <col collapsed="false" customWidth="true" hidden="true" outlineLevel="0" max="7" min="7" style="25" width="11"/>
    <col collapsed="false" customWidth="true" hidden="true" outlineLevel="0" max="12" min="8" style="25" width="8.42"/>
    <col collapsed="false" customWidth="true" hidden="true" outlineLevel="0" max="14" min="13" style="25" width="14.29"/>
    <col collapsed="false" customWidth="true" hidden="false" outlineLevel="0" max="15" min="15" style="25" width="15.42"/>
    <col collapsed="false" customWidth="true" hidden="true" outlineLevel="0" max="22" min="16" style="25" width="14.29"/>
    <col collapsed="false" customWidth="true" hidden="false" outlineLevel="0" max="23" min="23" style="25" width="15.29"/>
    <col collapsed="false" customWidth="true" hidden="true" outlineLevel="0" max="25" min="24" style="25" width="14.29"/>
    <col collapsed="false" customWidth="true" hidden="true" outlineLevel="0" max="27" min="26" style="25" width="12.86"/>
    <col collapsed="false" customWidth="true" hidden="false" outlineLevel="0" max="28" min="28" style="25" width="10.29"/>
    <col collapsed="false" customWidth="false" hidden="true" outlineLevel="0" max="29" min="29" style="25" width="9.29"/>
    <col collapsed="false" customWidth="true" hidden="false" outlineLevel="0" max="30" min="30" style="24" width="3.86"/>
    <col collapsed="false" customWidth="true" hidden="false" outlineLevel="0" max="31" min="31" style="24" width="10"/>
    <col collapsed="false" customWidth="true" hidden="false" outlineLevel="0" max="32" min="32" style="24" width="11.43"/>
    <col collapsed="false" customWidth="true" hidden="false" outlineLevel="0" max="34" min="33" style="24" width="10.57"/>
    <col collapsed="false" customWidth="true" hidden="false" outlineLevel="0" max="35" min="35" style="24" width="11.29"/>
    <col collapsed="false" customWidth="true" hidden="false" outlineLevel="0" max="36" min="36" style="24" width="10.57"/>
    <col collapsed="false" customWidth="true" hidden="false" outlineLevel="0" max="37" min="37" style="24" width="6.43"/>
    <col collapsed="false" customWidth="true" hidden="false" outlineLevel="0" max="38" min="38" style="24" width="10.57"/>
    <col collapsed="false" customWidth="true" hidden="false" outlineLevel="0" max="39" min="39" style="24" width="11.57"/>
    <col collapsed="false" customWidth="false" hidden="false" outlineLevel="0" max="16384" min="40" style="24" width="9.29"/>
  </cols>
  <sheetData>
    <row r="1" s="27" customFormat="true" ht="16.5" hidden="false" customHeight="true" outlineLevel="0" collapsed="false">
      <c r="A1" s="26" t="s">
        <v>36</v>
      </c>
      <c r="B1" s="26"/>
      <c r="C1" s="26"/>
      <c r="D1" s="26"/>
      <c r="E1" s="26"/>
      <c r="F1" s="26"/>
      <c r="G1" s="26"/>
      <c r="H1" s="26"/>
      <c r="I1" s="26"/>
      <c r="J1" s="26"/>
      <c r="K1" s="26"/>
      <c r="L1" s="26"/>
      <c r="M1" s="26"/>
      <c r="N1" s="26"/>
      <c r="O1" s="26"/>
      <c r="P1" s="26"/>
      <c r="Q1" s="26"/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</row>
    <row r="2" s="27" customFormat="true" ht="16.5" hidden="false" customHeight="true" outlineLevel="0" collapsed="false">
      <c r="A2" s="28" t="str">
        <f>"Kèm theo BBNT số: "&amp;VLOOKUP(AZ2,'[1]Tuyến XB6A'!$A$2:$G$60,7,0)&amp;VLOOKUP(AZ2,'[1]Tuyến XB6A'!$A$2:$G$60,4,0)</f>
        <v xml:space="preserve">Kèm theo BBNT số: 17.NĐXB6A/CVXD ngày 06 tháng 09 năm 2026</v>
      </c>
      <c r="B2" s="28"/>
      <c r="C2" s="28"/>
      <c r="D2" s="28"/>
      <c r="E2" s="28"/>
      <c r="F2" s="28"/>
      <c r="G2" s="28"/>
      <c r="H2" s="28"/>
      <c r="I2" s="28"/>
      <c r="J2" s="28"/>
      <c r="K2" s="28"/>
      <c r="L2" s="28"/>
      <c r="M2" s="28"/>
      <c r="N2" s="28"/>
      <c r="O2" s="28"/>
      <c r="P2" s="28"/>
      <c r="Q2" s="28"/>
      <c r="R2" s="28"/>
      <c r="S2" s="28"/>
      <c r="T2" s="28"/>
      <c r="U2" s="28"/>
      <c r="V2" s="28"/>
      <c r="W2" s="28"/>
      <c r="X2" s="28"/>
      <c r="Y2" s="28"/>
      <c r="Z2" s="28"/>
      <c r="AA2" s="28"/>
      <c r="AB2" s="28"/>
      <c r="AZ2">
        <v>17</v>
      </c>
    </row>
    <row r="3" s="31" customFormat="true" ht="37.5" hidden="false" customHeight="true" outlineLevel="0" collapsed="false">
      <c r="A3" s="29" t="s">
        <v>2</v>
      </c>
      <c r="B3" s="29"/>
      <c r="C3" s="29"/>
      <c r="D3" s="29"/>
      <c r="E3" s="29"/>
      <c r="F3" s="29"/>
      <c r="G3" s="29"/>
      <c r="H3" s="29"/>
      <c r="I3" s="29"/>
      <c r="J3" s="29"/>
      <c r="K3" s="29"/>
      <c r="L3" s="29"/>
      <c r="M3" s="29"/>
      <c r="N3" s="29"/>
      <c r="O3" s="29"/>
      <c r="P3" s="29"/>
      <c r="Q3" s="29"/>
      <c r="R3" s="29"/>
      <c r="S3" s="29"/>
      <c r="T3" s="29"/>
      <c r="U3" s="29"/>
      <c r="V3" s="29"/>
      <c r="W3" s="29"/>
      <c r="X3" s="29"/>
      <c r="Y3" s="29"/>
      <c r="Z3" s="29"/>
      <c r="AA3" s="29"/>
      <c r="AB3" s="29"/>
      <c r="AC3" s="30"/>
      <c r="AD3" s="30"/>
      <c r="AE3" s="30"/>
      <c r="AF3" s="30"/>
      <c r="AG3" s="30"/>
      <c r="AH3" s="30"/>
      <c r="AI3" s="30"/>
      <c r="AJ3" s="30"/>
      <c r="AK3" s="30"/>
      <c r="AL3" s="30"/>
      <c r="AM3" s="30"/>
      <c r="AN3" s="30"/>
      <c r="AO3" s="30"/>
      <c r="AP3" s="30"/>
      <c r="AQ3" s="30"/>
      <c r="AR3" s="30"/>
      <c r="AS3" s="30"/>
      <c r="AT3" s="30"/>
      <c r="AU3" s="30"/>
      <c r="AV3" s="30"/>
      <c r="AW3" s="30"/>
      <c r="AX3" s="30"/>
      <c r="AY3" s="30"/>
      <c r="AZ3" s="30"/>
      <c r="BA3" s="30"/>
      <c r="BB3" s="30"/>
      <c r="BC3" s="30"/>
      <c r="BD3" s="30"/>
      <c r="BE3" s="30"/>
      <c r="BF3" s="30"/>
      <c r="BG3" s="30"/>
      <c r="BH3" s="30"/>
      <c r="BI3" s="30"/>
      <c r="BJ3" s="30"/>
      <c r="BK3" s="30"/>
      <c r="BL3" s="30"/>
      <c r="BM3" s="30"/>
      <c r="BN3" s="30"/>
      <c r="BO3" s="30"/>
      <c r="BP3" s="30"/>
      <c r="BQ3" s="30"/>
      <c r="BR3" s="30"/>
      <c r="BS3" s="30"/>
      <c r="BT3" s="30"/>
      <c r="BU3" s="30"/>
      <c r="BV3" s="30"/>
      <c r="BW3" s="30"/>
      <c r="BX3" s="30"/>
      <c r="BY3" s="30"/>
      <c r="BZ3" s="30"/>
      <c r="CA3" s="30"/>
      <c r="CB3" s="30"/>
      <c r="CC3" s="30"/>
      <c r="CD3" s="30"/>
      <c r="CE3" s="30"/>
      <c r="CF3" s="30"/>
      <c r="CG3" s="30"/>
      <c r="CH3" s="30"/>
      <c r="CI3" s="30"/>
      <c r="CJ3" s="30"/>
      <c r="CK3" s="30"/>
      <c r="CL3" s="30"/>
      <c r="CM3" s="30"/>
      <c r="CN3" s="30"/>
      <c r="CO3" s="30"/>
      <c r="CP3" s="30"/>
      <c r="CQ3" s="30"/>
      <c r="CR3" s="30"/>
      <c r="CS3" s="30"/>
      <c r="CT3" s="30"/>
      <c r="CU3" s="30"/>
      <c r="CV3" s="30"/>
      <c r="CW3" s="30"/>
      <c r="CX3" s="30"/>
      <c r="CY3" s="30"/>
      <c r="CZ3" s="30"/>
      <c r="DA3" s="30"/>
      <c r="DB3" s="30"/>
      <c r="DC3" s="30"/>
      <c r="DD3" s="30"/>
      <c r="DE3" s="30"/>
      <c r="DF3" s="30"/>
      <c r="DG3" s="30"/>
      <c r="DH3" s="30"/>
      <c r="DI3" s="30"/>
      <c r="DJ3" s="30"/>
      <c r="DK3" s="30"/>
      <c r="DL3" s="30"/>
      <c r="DM3" s="30"/>
      <c r="DN3" s="30"/>
      <c r="DO3" s="30"/>
      <c r="DP3" s="30"/>
      <c r="DQ3" s="30"/>
      <c r="DR3" s="30"/>
      <c r="DS3" s="30"/>
      <c r="DT3" s="30"/>
      <c r="DU3" s="30"/>
      <c r="DV3" s="30"/>
      <c r="DW3" s="30"/>
      <c r="DX3" s="30"/>
      <c r="DY3" s="30"/>
      <c r="DZ3" s="30"/>
      <c r="EA3" s="30"/>
      <c r="EB3" s="30"/>
      <c r="EC3" s="30"/>
      <c r="ED3" s="30"/>
      <c r="EE3" s="30"/>
      <c r="EF3" s="30"/>
      <c r="EG3" s="30"/>
      <c r="EH3" s="30"/>
      <c r="EI3" s="30"/>
      <c r="EJ3" s="30"/>
      <c r="EK3" s="30"/>
      <c r="EL3" s="30"/>
      <c r="EM3" s="30"/>
      <c r="EN3" s="30"/>
      <c r="EO3" s="30"/>
      <c r="EP3" s="30"/>
      <c r="EQ3" s="30"/>
      <c r="ER3" s="30"/>
      <c r="ES3" s="30"/>
      <c r="ET3" s="30"/>
      <c r="EU3" s="30"/>
      <c r="EV3" s="30"/>
      <c r="EW3" s="30"/>
      <c r="EX3" s="30"/>
      <c r="EY3" s="30"/>
      <c r="EZ3" s="30"/>
      <c r="FA3" s="30"/>
      <c r="FB3" s="30"/>
      <c r="FC3" s="30"/>
      <c r="FD3" s="30"/>
      <c r="FE3" s="30"/>
      <c r="FF3" s="30"/>
      <c r="FG3" s="30"/>
      <c r="FH3" s="30"/>
      <c r="FI3" s="30"/>
      <c r="FJ3" s="30"/>
      <c r="FK3" s="30"/>
      <c r="FL3" s="30"/>
      <c r="FM3" s="30"/>
      <c r="FN3" s="30"/>
      <c r="FO3" s="30"/>
      <c r="FP3" s="30"/>
      <c r="FQ3" s="30"/>
      <c r="FR3" s="30"/>
      <c r="FS3" s="30"/>
      <c r="FT3" s="30"/>
      <c r="FU3" s="30"/>
      <c r="FV3" s="30"/>
      <c r="FW3" s="30"/>
      <c r="FX3" s="30"/>
      <c r="FY3" s="30"/>
      <c r="FZ3" s="30"/>
      <c r="GA3" s="30"/>
      <c r="GB3" s="30"/>
      <c r="GC3" s="30"/>
      <c r="GD3" s="30"/>
      <c r="GE3" s="30"/>
      <c r="GF3" s="30"/>
      <c r="GG3" s="30"/>
      <c r="GH3" s="30"/>
      <c r="GI3" s="30"/>
      <c r="GJ3" s="30"/>
      <c r="GK3" s="30"/>
      <c r="GL3" s="30"/>
      <c r="GM3" s="30"/>
      <c r="GN3" s="30"/>
      <c r="GO3" s="30"/>
      <c r="GP3" s="30"/>
      <c r="GQ3" s="30"/>
      <c r="GR3" s="30"/>
      <c r="GS3" s="30"/>
      <c r="GT3" s="30"/>
      <c r="GU3" s="30"/>
      <c r="GV3" s="30"/>
      <c r="GW3" s="30"/>
      <c r="GX3" s="30"/>
      <c r="GY3" s="30"/>
      <c r="GZ3" s="30"/>
      <c r="HA3" s="30"/>
      <c r="HB3" s="30"/>
      <c r="HC3" s="30"/>
      <c r="HD3" s="30"/>
      <c r="HE3" s="30"/>
      <c r="HF3" s="30"/>
      <c r="HG3" s="30"/>
      <c r="HH3" s="30"/>
      <c r="HI3" s="30"/>
      <c r="HJ3" s="30"/>
      <c r="HK3" s="30"/>
      <c r="HL3" s="30"/>
      <c r="HM3" s="30"/>
      <c r="HN3" s="30"/>
      <c r="HO3" s="30"/>
      <c r="HP3" s="30"/>
      <c r="HQ3" s="30"/>
      <c r="HR3" s="30"/>
      <c r="HS3" s="30"/>
      <c r="HT3" s="30"/>
      <c r="HU3" s="30"/>
      <c r="HV3" s="30"/>
      <c r="HW3" s="30"/>
      <c r="HX3" s="30"/>
      <c r="HY3" s="30"/>
    </row>
    <row r="4" s="31" customFormat="true" ht="37.5" hidden="false" customHeight="true" outlineLevel="0" collapsed="false">
      <c r="A4" s="29" t="s">
        <v>3</v>
      </c>
      <c r="B4" s="29"/>
      <c r="C4" s="29"/>
      <c r="D4" s="29"/>
      <c r="E4" s="29"/>
      <c r="F4" s="29"/>
      <c r="G4" s="29"/>
      <c r="H4" s="29"/>
      <c r="I4" s="29"/>
      <c r="J4" s="29"/>
      <c r="K4" s="29"/>
      <c r="L4" s="29"/>
      <c r="M4" s="29"/>
      <c r="N4" s="29"/>
      <c r="O4" s="29"/>
      <c r="P4" s="29"/>
      <c r="Q4" s="29"/>
      <c r="R4" s="29"/>
      <c r="S4" s="29"/>
      <c r="T4" s="29"/>
      <c r="U4" s="29"/>
      <c r="V4" s="29"/>
      <c r="W4" s="29"/>
      <c r="X4" s="29"/>
      <c r="Y4" s="29"/>
      <c r="Z4" s="29"/>
      <c r="AA4" s="29"/>
      <c r="AB4" s="29"/>
      <c r="AC4" s="30"/>
      <c r="AD4" s="30"/>
      <c r="AE4" s="30"/>
      <c r="AF4" s="30"/>
      <c r="AG4" s="30"/>
      <c r="AH4" s="30"/>
      <c r="AI4" s="30"/>
      <c r="AJ4" s="30"/>
      <c r="AK4" s="30"/>
      <c r="AL4" s="30"/>
      <c r="AM4" s="30"/>
      <c r="AN4" s="30"/>
      <c r="AO4" s="30"/>
      <c r="AP4" s="30"/>
      <c r="AQ4" s="30"/>
      <c r="AR4" s="30"/>
      <c r="AS4" s="30"/>
      <c r="AT4" s="30"/>
      <c r="AU4" s="30"/>
      <c r="AV4" s="30"/>
      <c r="AW4" s="30"/>
      <c r="AX4" s="30"/>
      <c r="AY4" s="30"/>
      <c r="AZ4" s="30"/>
      <c r="BA4" s="30"/>
      <c r="BB4" s="30"/>
      <c r="BC4" s="30"/>
      <c r="BD4" s="30"/>
      <c r="BE4" s="30"/>
      <c r="BF4" s="30"/>
      <c r="BG4" s="30"/>
      <c r="BH4" s="30"/>
      <c r="BI4" s="30"/>
      <c r="BJ4" s="30"/>
      <c r="BK4" s="30"/>
      <c r="BL4" s="30"/>
      <c r="BM4" s="30"/>
      <c r="BN4" s="30"/>
      <c r="BO4" s="30"/>
      <c r="BP4" s="30"/>
      <c r="BQ4" s="30"/>
      <c r="BR4" s="30"/>
      <c r="BS4" s="30"/>
      <c r="BT4" s="30"/>
      <c r="BU4" s="30"/>
      <c r="BV4" s="30"/>
      <c r="BW4" s="30"/>
      <c r="BX4" s="30"/>
      <c r="BY4" s="30"/>
      <c r="BZ4" s="30"/>
      <c r="CA4" s="30"/>
      <c r="CB4" s="30"/>
      <c r="CC4" s="30"/>
      <c r="CD4" s="30"/>
      <c r="CE4" s="30"/>
      <c r="CF4" s="30"/>
      <c r="CG4" s="30"/>
      <c r="CH4" s="30"/>
      <c r="CI4" s="30"/>
      <c r="CJ4" s="30"/>
      <c r="CK4" s="30"/>
      <c r="CL4" s="30"/>
      <c r="CM4" s="30"/>
      <c r="CN4" s="30"/>
      <c r="CO4" s="30"/>
      <c r="CP4" s="30"/>
      <c r="CQ4" s="30"/>
      <c r="CR4" s="30"/>
      <c r="CS4" s="30"/>
      <c r="CT4" s="30"/>
      <c r="CU4" s="30"/>
      <c r="CV4" s="30"/>
      <c r="CW4" s="30"/>
      <c r="CX4" s="30"/>
      <c r="CY4" s="30"/>
      <c r="CZ4" s="30"/>
      <c r="DA4" s="30"/>
      <c r="DB4" s="30"/>
      <c r="DC4" s="30"/>
      <c r="DD4" s="30"/>
      <c r="DE4" s="30"/>
      <c r="DF4" s="30"/>
      <c r="DG4" s="30"/>
      <c r="DH4" s="30"/>
      <c r="DI4" s="30"/>
      <c r="DJ4" s="30"/>
      <c r="DK4" s="30"/>
      <c r="DL4" s="30"/>
      <c r="DM4" s="30"/>
      <c r="DN4" s="30"/>
      <c r="DO4" s="30"/>
      <c r="DP4" s="30"/>
      <c r="DQ4" s="30"/>
      <c r="DR4" s="30"/>
      <c r="DS4" s="30"/>
      <c r="DT4" s="30"/>
      <c r="DU4" s="30"/>
      <c r="DV4" s="30"/>
      <c r="DW4" s="30"/>
      <c r="DX4" s="30"/>
      <c r="DY4" s="30"/>
      <c r="DZ4" s="30"/>
      <c r="EA4" s="30"/>
      <c r="EB4" s="30"/>
      <c r="EC4" s="30"/>
      <c r="ED4" s="30"/>
      <c r="EE4" s="30"/>
      <c r="EF4" s="30"/>
      <c r="EG4" s="30"/>
      <c r="EH4" s="30"/>
      <c r="EI4" s="30"/>
      <c r="EJ4" s="30"/>
      <c r="EK4" s="30"/>
      <c r="EL4" s="30"/>
      <c r="EM4" s="30"/>
      <c r="EN4" s="30"/>
      <c r="EO4" s="30"/>
      <c r="EP4" s="30"/>
      <c r="EQ4" s="30"/>
      <c r="ER4" s="30"/>
      <c r="ES4" s="30"/>
      <c r="ET4" s="30"/>
      <c r="EU4" s="30"/>
      <c r="EV4" s="30"/>
      <c r="EW4" s="30"/>
      <c r="EX4" s="30"/>
      <c r="EY4" s="30"/>
      <c r="EZ4" s="30"/>
      <c r="FA4" s="30"/>
      <c r="FB4" s="30"/>
      <c r="FC4" s="30"/>
      <c r="FD4" s="30"/>
      <c r="FE4" s="30"/>
      <c r="FF4" s="30"/>
      <c r="FG4" s="30"/>
      <c r="FH4" s="30"/>
      <c r="FI4" s="30"/>
      <c r="FJ4" s="30"/>
      <c r="FK4" s="30"/>
      <c r="FL4" s="30"/>
      <c r="FM4" s="30"/>
      <c r="FN4" s="30"/>
      <c r="FO4" s="30"/>
      <c r="FP4" s="30"/>
      <c r="FQ4" s="30"/>
      <c r="FR4" s="30"/>
      <c r="FS4" s="30"/>
      <c r="FT4" s="30"/>
      <c r="FU4" s="30"/>
      <c r="FV4" s="30"/>
      <c r="FW4" s="30"/>
      <c r="FX4" s="30"/>
      <c r="FY4" s="30"/>
      <c r="FZ4" s="30"/>
      <c r="GA4" s="30"/>
      <c r="GB4" s="30"/>
      <c r="GC4" s="30"/>
      <c r="GD4" s="30"/>
      <c r="GE4" s="30"/>
      <c r="GF4" s="30"/>
      <c r="GG4" s="30"/>
      <c r="GH4" s="30"/>
      <c r="GI4" s="30"/>
      <c r="GJ4" s="30"/>
      <c r="GK4" s="30"/>
      <c r="GL4" s="30"/>
      <c r="GM4" s="30"/>
      <c r="GN4" s="30"/>
      <c r="GO4" s="30"/>
      <c r="GP4" s="30"/>
      <c r="GQ4" s="30"/>
      <c r="GR4" s="30"/>
      <c r="GS4" s="30"/>
      <c r="GT4" s="30"/>
      <c r="GU4" s="30"/>
      <c r="GV4" s="30"/>
      <c r="GW4" s="30"/>
      <c r="GX4" s="30"/>
      <c r="GY4" s="30"/>
      <c r="GZ4" s="30"/>
      <c r="HA4" s="30"/>
      <c r="HB4" s="30"/>
      <c r="HC4" s="30"/>
      <c r="HD4" s="30"/>
      <c r="HE4" s="30"/>
      <c r="HF4" s="30"/>
      <c r="HG4" s="30"/>
      <c r="HH4" s="30"/>
      <c r="HI4" s="30"/>
      <c r="HJ4" s="30"/>
      <c r="HK4" s="30"/>
      <c r="HL4" s="30"/>
      <c r="HM4" s="30"/>
      <c r="HN4" s="30"/>
      <c r="HO4" s="30"/>
      <c r="HP4" s="30"/>
      <c r="HQ4" s="30"/>
      <c r="HR4" s="30"/>
      <c r="HS4" s="30"/>
      <c r="HT4" s="30"/>
      <c r="HU4" s="30"/>
      <c r="HV4" s="30"/>
      <c r="HW4" s="30"/>
      <c r="HX4" s="30"/>
      <c r="HY4" s="30"/>
    </row>
    <row r="5" s="31" customFormat="true" ht="16.5" hidden="false" customHeight="true" outlineLevel="0" collapsed="false">
      <c r="A5" s="29" t="s">
        <v>4</v>
      </c>
      <c r="B5" s="29"/>
      <c r="C5" s="29"/>
      <c r="D5" s="29"/>
      <c r="E5" s="29"/>
      <c r="F5" s="29"/>
      <c r="G5" s="29"/>
      <c r="H5" s="29"/>
      <c r="I5" s="29"/>
      <c r="J5" s="29"/>
      <c r="K5" s="29"/>
      <c r="L5" s="29"/>
      <c r="M5" s="29"/>
      <c r="N5" s="29"/>
      <c r="O5" s="29"/>
      <c r="P5" s="29"/>
      <c r="Q5" s="29"/>
      <c r="R5" s="29"/>
      <c r="S5" s="29"/>
      <c r="T5" s="29"/>
      <c r="U5" s="29"/>
      <c r="V5" s="29"/>
      <c r="W5" s="29"/>
      <c r="X5" s="29"/>
      <c r="Y5" s="29"/>
      <c r="Z5" s="29"/>
      <c r="AA5" s="29"/>
      <c r="AB5" s="29"/>
      <c r="AC5" s="30"/>
      <c r="AD5" s="30"/>
      <c r="AE5" s="30"/>
      <c r="AF5" s="30"/>
      <c r="AG5" s="30"/>
      <c r="AH5" s="30"/>
      <c r="AI5" s="30"/>
      <c r="AJ5" s="30"/>
      <c r="AK5" s="30"/>
      <c r="AL5" s="30"/>
      <c r="AM5" s="30"/>
      <c r="AN5" s="30"/>
      <c r="AO5" s="30"/>
      <c r="AP5" s="30"/>
      <c r="AQ5" s="30"/>
      <c r="AR5" s="30"/>
      <c r="AS5" s="30"/>
      <c r="AT5" s="30"/>
      <c r="AU5" s="30"/>
      <c r="AV5" s="30"/>
      <c r="AW5" s="30"/>
      <c r="AX5" s="30"/>
      <c r="AY5" s="30"/>
      <c r="AZ5" s="30"/>
      <c r="BA5" s="30"/>
      <c r="BB5" s="30"/>
      <c r="BC5" s="30"/>
      <c r="BD5" s="30"/>
      <c r="BE5" s="30"/>
      <c r="BF5" s="30"/>
      <c r="BG5" s="30"/>
      <c r="BH5" s="30"/>
      <c r="BI5" s="30"/>
      <c r="BJ5" s="30"/>
      <c r="BK5" s="30"/>
      <c r="BL5" s="30"/>
      <c r="BM5" s="30"/>
      <c r="BN5" s="30"/>
      <c r="BO5" s="30"/>
      <c r="BP5" s="30"/>
      <c r="BQ5" s="30"/>
      <c r="BR5" s="30"/>
      <c r="BS5" s="30"/>
      <c r="BT5" s="30"/>
      <c r="BU5" s="30"/>
      <c r="BV5" s="30"/>
      <c r="BW5" s="30"/>
      <c r="BX5" s="30"/>
      <c r="BY5" s="30"/>
      <c r="BZ5" s="30"/>
      <c r="CA5" s="30"/>
      <c r="CB5" s="30"/>
      <c r="CC5" s="30"/>
      <c r="CD5" s="30"/>
      <c r="CE5" s="30"/>
      <c r="CF5" s="30"/>
      <c r="CG5" s="30"/>
      <c r="CH5" s="30"/>
      <c r="CI5" s="30"/>
      <c r="CJ5" s="30"/>
      <c r="CK5" s="30"/>
      <c r="CL5" s="30"/>
      <c r="CM5" s="30"/>
      <c r="CN5" s="30"/>
      <c r="CO5" s="30"/>
      <c r="CP5" s="30"/>
      <c r="CQ5" s="30"/>
      <c r="CR5" s="30"/>
      <c r="CS5" s="30"/>
      <c r="CT5" s="30"/>
      <c r="CU5" s="30"/>
      <c r="CV5" s="30"/>
      <c r="CW5" s="30"/>
      <c r="CX5" s="30"/>
      <c r="CY5" s="30"/>
      <c r="CZ5" s="30"/>
      <c r="DA5" s="30"/>
      <c r="DB5" s="30"/>
      <c r="DC5" s="30"/>
      <c r="DD5" s="30"/>
      <c r="DE5" s="30"/>
      <c r="DF5" s="30"/>
      <c r="DG5" s="30"/>
      <c r="DH5" s="30"/>
      <c r="DI5" s="30"/>
      <c r="DJ5" s="30"/>
      <c r="DK5" s="30"/>
      <c r="DL5" s="30"/>
      <c r="DM5" s="30"/>
      <c r="DN5" s="30"/>
      <c r="DO5" s="30"/>
      <c r="DP5" s="30"/>
      <c r="DQ5" s="30"/>
      <c r="DR5" s="30"/>
      <c r="DS5" s="30"/>
      <c r="DT5" s="30"/>
      <c r="DU5" s="30"/>
      <c r="DV5" s="30"/>
      <c r="DW5" s="30"/>
      <c r="DX5" s="30"/>
      <c r="DY5" s="30"/>
      <c r="DZ5" s="30"/>
      <c r="EA5" s="30"/>
      <c r="EB5" s="30"/>
      <c r="EC5" s="30"/>
      <c r="ED5" s="30"/>
      <c r="EE5" s="30"/>
      <c r="EF5" s="30"/>
      <c r="EG5" s="30"/>
      <c r="EH5" s="30"/>
      <c r="EI5" s="30"/>
      <c r="EJ5" s="30"/>
      <c r="EK5" s="30"/>
      <c r="EL5" s="30"/>
      <c r="EM5" s="30"/>
      <c r="EN5" s="30"/>
      <c r="EO5" s="30"/>
      <c r="EP5" s="30"/>
      <c r="EQ5" s="30"/>
      <c r="ER5" s="30"/>
      <c r="ES5" s="30"/>
      <c r="ET5" s="30"/>
      <c r="EU5" s="30"/>
      <c r="EV5" s="30"/>
      <c r="EW5" s="30"/>
      <c r="EX5" s="30"/>
      <c r="EY5" s="30"/>
      <c r="EZ5" s="30"/>
      <c r="FA5" s="30"/>
      <c r="FB5" s="30"/>
      <c r="FC5" s="30"/>
      <c r="FD5" s="30"/>
      <c r="FE5" s="30"/>
      <c r="FF5" s="30"/>
      <c r="FG5" s="30"/>
      <c r="FH5" s="30"/>
      <c r="FI5" s="30"/>
      <c r="FJ5" s="30"/>
      <c r="FK5" s="30"/>
      <c r="FL5" s="30"/>
      <c r="FM5" s="30"/>
      <c r="FN5" s="30"/>
      <c r="FO5" s="30"/>
      <c r="FP5" s="30"/>
      <c r="FQ5" s="30"/>
      <c r="FR5" s="30"/>
      <c r="FS5" s="30"/>
      <c r="FT5" s="30"/>
      <c r="FU5" s="30"/>
      <c r="FV5" s="30"/>
      <c r="FW5" s="30"/>
      <c r="FX5" s="30"/>
      <c r="FY5" s="30"/>
      <c r="FZ5" s="30"/>
      <c r="GA5" s="30"/>
      <c r="GB5" s="30"/>
      <c r="GC5" s="30"/>
      <c r="GD5" s="30"/>
      <c r="GE5" s="30"/>
      <c r="GF5" s="30"/>
      <c r="GG5" s="30"/>
      <c r="GH5" s="30"/>
      <c r="GI5" s="30"/>
      <c r="GJ5" s="30"/>
      <c r="GK5" s="30"/>
      <c r="GL5" s="30"/>
      <c r="GM5" s="30"/>
      <c r="GN5" s="30"/>
      <c r="GO5" s="30"/>
      <c r="GP5" s="30"/>
      <c r="GQ5" s="30"/>
      <c r="GR5" s="30"/>
      <c r="GS5" s="30"/>
      <c r="GT5" s="30"/>
      <c r="GU5" s="30"/>
      <c r="GV5" s="30"/>
      <c r="GW5" s="30"/>
      <c r="GX5" s="30"/>
      <c r="GY5" s="30"/>
      <c r="GZ5" s="30"/>
      <c r="HA5" s="30"/>
      <c r="HB5" s="30"/>
      <c r="HC5" s="30"/>
      <c r="HD5" s="30"/>
      <c r="HE5" s="30"/>
      <c r="HF5" s="30"/>
      <c r="HG5" s="30"/>
      <c r="HH5" s="30"/>
      <c r="HI5" s="30"/>
      <c r="HJ5" s="30"/>
      <c r="HK5" s="30"/>
      <c r="HL5" s="30"/>
      <c r="HM5" s="30"/>
      <c r="HN5" s="30"/>
      <c r="HO5" s="30"/>
      <c r="HP5" s="30"/>
      <c r="HQ5" s="30"/>
      <c r="HR5" s="30"/>
      <c r="HS5" s="30"/>
      <c r="HT5" s="30"/>
      <c r="HU5" s="30"/>
      <c r="HV5" s="30"/>
      <c r="HW5" s="30"/>
      <c r="HX5" s="30"/>
      <c r="HY5" s="30"/>
    </row>
    <row r="6" s="31" customFormat="true" ht="16.5" hidden="false" customHeight="true" outlineLevel="0" collapsed="false">
      <c r="A6" s="29" t="s">
        <v>5</v>
      </c>
      <c r="B6" s="29"/>
      <c r="C6" s="29"/>
      <c r="D6" s="29"/>
      <c r="E6" s="29"/>
      <c r="F6" s="29"/>
      <c r="G6" s="29"/>
      <c r="H6" s="29"/>
      <c r="I6" s="29"/>
      <c r="J6" s="29"/>
      <c r="K6" s="29"/>
      <c r="L6" s="29"/>
      <c r="M6" s="29"/>
      <c r="N6" s="29"/>
      <c r="O6" s="29"/>
      <c r="P6" s="29"/>
      <c r="Q6" s="29"/>
      <c r="R6" s="29"/>
      <c r="S6" s="29"/>
      <c r="T6" s="29"/>
      <c r="U6" s="29"/>
      <c r="V6" s="29"/>
      <c r="W6" s="29"/>
      <c r="X6" s="29"/>
      <c r="Y6" s="29"/>
      <c r="Z6" s="29"/>
      <c r="AA6" s="29"/>
      <c r="AB6" s="29"/>
      <c r="AC6" s="30"/>
      <c r="AD6" s="30"/>
      <c r="AE6" s="30"/>
      <c r="AF6" s="30"/>
      <c r="AG6" s="30"/>
      <c r="AH6" s="30"/>
      <c r="AI6" s="30"/>
      <c r="AJ6" s="30"/>
      <c r="AK6" s="30"/>
      <c r="AL6" s="30"/>
      <c r="AM6" s="30"/>
      <c r="AN6" s="30"/>
      <c r="AO6" s="30"/>
      <c r="AP6" s="30"/>
      <c r="AQ6" s="30"/>
      <c r="AR6" s="30"/>
      <c r="AS6" s="30"/>
      <c r="AT6" s="30"/>
      <c r="AU6" s="30"/>
      <c r="AV6" s="30"/>
      <c r="AW6" s="30"/>
      <c r="AX6" s="30"/>
      <c r="AY6" s="30"/>
      <c r="AZ6" s="30"/>
      <c r="BA6" s="30"/>
      <c r="BB6" s="30"/>
      <c r="BC6" s="30"/>
      <c r="BD6" s="30"/>
      <c r="BE6" s="30"/>
      <c r="BF6" s="30"/>
      <c r="BG6" s="30"/>
      <c r="BH6" s="30"/>
      <c r="BI6" s="30"/>
      <c r="BJ6" s="30"/>
      <c r="BK6" s="30"/>
      <c r="BL6" s="30"/>
      <c r="BM6" s="30"/>
      <c r="BN6" s="30"/>
      <c r="BO6" s="30"/>
      <c r="BP6" s="30"/>
      <c r="BQ6" s="30"/>
      <c r="BR6" s="30"/>
      <c r="BS6" s="30"/>
      <c r="BT6" s="30"/>
      <c r="BU6" s="30"/>
      <c r="BV6" s="30"/>
      <c r="BW6" s="30"/>
      <c r="BX6" s="30"/>
      <c r="BY6" s="30"/>
      <c r="BZ6" s="30"/>
      <c r="CA6" s="30"/>
      <c r="CB6" s="30"/>
      <c r="CC6" s="30"/>
      <c r="CD6" s="30"/>
      <c r="CE6" s="30"/>
      <c r="CF6" s="30"/>
      <c r="CG6" s="30"/>
      <c r="CH6" s="30"/>
      <c r="CI6" s="30"/>
      <c r="CJ6" s="30"/>
      <c r="CK6" s="30"/>
      <c r="CL6" s="30"/>
      <c r="CM6" s="30"/>
      <c r="CN6" s="30"/>
      <c r="CO6" s="30"/>
      <c r="CP6" s="30"/>
      <c r="CQ6" s="30"/>
      <c r="CR6" s="30"/>
      <c r="CS6" s="30"/>
      <c r="CT6" s="30"/>
      <c r="CU6" s="30"/>
      <c r="CV6" s="30"/>
      <c r="CW6" s="30"/>
      <c r="CX6" s="30"/>
      <c r="CY6" s="30"/>
      <c r="CZ6" s="30"/>
      <c r="DA6" s="30"/>
      <c r="DB6" s="30"/>
      <c r="DC6" s="30"/>
      <c r="DD6" s="30"/>
      <c r="DE6" s="30"/>
      <c r="DF6" s="30"/>
      <c r="DG6" s="30"/>
      <c r="DH6" s="30"/>
      <c r="DI6" s="30"/>
      <c r="DJ6" s="30"/>
      <c r="DK6" s="30"/>
      <c r="DL6" s="30"/>
      <c r="DM6" s="30"/>
      <c r="DN6" s="30"/>
      <c r="DO6" s="30"/>
      <c r="DP6" s="30"/>
      <c r="DQ6" s="30"/>
      <c r="DR6" s="30"/>
      <c r="DS6" s="30"/>
      <c r="DT6" s="30"/>
      <c r="DU6" s="30"/>
      <c r="DV6" s="30"/>
      <c r="DW6" s="30"/>
      <c r="DX6" s="30"/>
      <c r="DY6" s="30"/>
      <c r="DZ6" s="30"/>
      <c r="EA6" s="30"/>
      <c r="EB6" s="30"/>
      <c r="EC6" s="30"/>
      <c r="ED6" s="30"/>
      <c r="EE6" s="30"/>
      <c r="EF6" s="30"/>
      <c r="EG6" s="30"/>
      <c r="EH6" s="30"/>
      <c r="EI6" s="30"/>
      <c r="EJ6" s="30"/>
      <c r="EK6" s="30"/>
      <c r="EL6" s="30"/>
      <c r="EM6" s="30"/>
      <c r="EN6" s="30"/>
      <c r="EO6" s="30"/>
      <c r="EP6" s="30"/>
      <c r="EQ6" s="30"/>
      <c r="ER6" s="30"/>
      <c r="ES6" s="30"/>
      <c r="ET6" s="30"/>
      <c r="EU6" s="30"/>
      <c r="EV6" s="30"/>
      <c r="EW6" s="30"/>
      <c r="EX6" s="30"/>
      <c r="EY6" s="30"/>
      <c r="EZ6" s="30"/>
      <c r="FA6" s="30"/>
      <c r="FB6" s="30"/>
      <c r="FC6" s="30"/>
      <c r="FD6" s="30"/>
      <c r="FE6" s="30"/>
      <c r="FF6" s="30"/>
      <c r="FG6" s="30"/>
      <c r="FH6" s="30"/>
      <c r="FI6" s="30"/>
      <c r="FJ6" s="30"/>
      <c r="FK6" s="30"/>
      <c r="FL6" s="30"/>
      <c r="FM6" s="30"/>
      <c r="FN6" s="30"/>
      <c r="FO6" s="30"/>
      <c r="FP6" s="30"/>
      <c r="FQ6" s="30"/>
      <c r="FR6" s="30"/>
      <c r="FS6" s="30"/>
      <c r="FT6" s="30"/>
      <c r="FU6" s="30"/>
      <c r="FV6" s="30"/>
      <c r="FW6" s="30"/>
      <c r="FX6" s="30"/>
      <c r="FY6" s="30"/>
      <c r="FZ6" s="30"/>
      <c r="GA6" s="30"/>
      <c r="GB6" s="30"/>
      <c r="GC6" s="30"/>
      <c r="GD6" s="30"/>
      <c r="GE6" s="30"/>
      <c r="GF6" s="30"/>
      <c r="GG6" s="30"/>
      <c r="GH6" s="30"/>
      <c r="GI6" s="30"/>
      <c r="GJ6" s="30"/>
      <c r="GK6" s="30"/>
      <c r="GL6" s="30"/>
      <c r="GM6" s="30"/>
      <c r="GN6" s="30"/>
      <c r="GO6" s="30"/>
      <c r="GP6" s="30"/>
      <c r="GQ6" s="30"/>
      <c r="GR6" s="30"/>
      <c r="GS6" s="30"/>
      <c r="GT6" s="30"/>
      <c r="GU6" s="30"/>
      <c r="GV6" s="30"/>
      <c r="GW6" s="30"/>
      <c r="GX6" s="30"/>
      <c r="GY6" s="30"/>
      <c r="GZ6" s="30"/>
      <c r="HA6" s="30"/>
      <c r="HB6" s="30"/>
      <c r="HC6" s="30"/>
      <c r="HD6" s="30"/>
      <c r="HE6" s="30"/>
      <c r="HF6" s="30"/>
      <c r="HG6" s="30"/>
      <c r="HH6" s="30"/>
      <c r="HI6" s="30"/>
      <c r="HJ6" s="30"/>
      <c r="HK6" s="30"/>
      <c r="HL6" s="30"/>
      <c r="HM6" s="30"/>
      <c r="HN6" s="30"/>
      <c r="HO6" s="30"/>
      <c r="HP6" s="30"/>
      <c r="HQ6" s="30"/>
      <c r="HR6" s="30"/>
      <c r="HS6" s="30"/>
      <c r="HT6" s="30"/>
      <c r="HU6" s="30"/>
      <c r="HV6" s="30"/>
      <c r="HW6" s="30"/>
      <c r="HX6" s="30"/>
      <c r="HY6" s="30"/>
    </row>
    <row r="7" s="31" customFormat="true" ht="30.75" hidden="false" customHeight="true" outlineLevel="0" collapsed="false">
      <c r="A7" s="32" t="s">
        <v>6</v>
      </c>
      <c r="B7" s="33"/>
      <c r="D7" s="34" t="str">
        <f>VLOOKUP(AZ2,'[1]Tuyến XB6A'!$A$2:$B$60,2,0)</f>
        <v xml:space="preserve">Đắp đất nền đường lớp 1, độ chặt K&gt;=0,98 đoạn từ Km0+000,00 - Km0+126,46</v>
      </c>
      <c r="E7" s="34"/>
      <c r="F7" s="34"/>
      <c r="G7" s="34"/>
      <c r="H7" s="34"/>
      <c r="I7" s="34"/>
      <c r="J7" s="34"/>
      <c r="K7" s="34"/>
      <c r="L7" s="34"/>
      <c r="M7" s="34"/>
      <c r="N7" s="34"/>
      <c r="O7" s="34"/>
      <c r="P7" s="34"/>
      <c r="Q7" s="34"/>
      <c r="R7" s="34"/>
      <c r="S7" s="34"/>
      <c r="T7" s="34"/>
      <c r="U7" s="34"/>
      <c r="V7" s="34"/>
      <c r="W7" s="34"/>
      <c r="X7" s="34"/>
      <c r="Y7" s="34"/>
      <c r="Z7" s="34"/>
      <c r="AA7" s="34"/>
      <c r="AB7" s="34"/>
      <c r="AC7" s="30"/>
      <c r="AD7" s="30"/>
      <c r="AE7" s="30"/>
      <c r="AF7" s="30"/>
      <c r="AG7" s="30"/>
      <c r="AH7" s="30"/>
      <c r="AI7" s="30"/>
      <c r="AJ7" s="30"/>
      <c r="AK7" s="30"/>
      <c r="AL7" s="30"/>
      <c r="AM7" s="30"/>
      <c r="AN7" s="30"/>
      <c r="AO7" s="30"/>
      <c r="AP7" s="30"/>
      <c r="AQ7" s="30"/>
      <c r="AR7" s="30"/>
      <c r="AS7" s="30"/>
      <c r="AT7" s="30"/>
      <c r="AU7" s="30"/>
      <c r="AV7" s="30"/>
      <c r="AW7" s="30"/>
      <c r="AX7" s="30"/>
      <c r="AY7" s="30"/>
      <c r="AZ7" s="30"/>
      <c r="BA7" s="30"/>
      <c r="BB7" s="30"/>
      <c r="BC7" s="30"/>
      <c r="BD7" s="30"/>
      <c r="BE7" s="30"/>
      <c r="BF7" s="30"/>
      <c r="BG7" s="30"/>
      <c r="BH7" s="30"/>
      <c r="BI7" s="30"/>
      <c r="BJ7" s="30"/>
      <c r="BK7" s="30"/>
      <c r="BL7" s="30"/>
      <c r="BM7" s="30"/>
      <c r="BN7" s="30"/>
      <c r="BO7" s="30"/>
      <c r="BP7" s="30"/>
      <c r="BQ7" s="30"/>
      <c r="BR7" s="30"/>
      <c r="BS7" s="30"/>
      <c r="BT7" s="30"/>
      <c r="BU7" s="30"/>
      <c r="BV7" s="30"/>
      <c r="BW7" s="30"/>
      <c r="BX7" s="30"/>
      <c r="BY7" s="30"/>
      <c r="BZ7" s="30"/>
      <c r="CA7" s="30"/>
      <c r="CB7" s="30"/>
      <c r="CC7" s="30"/>
      <c r="CD7" s="30"/>
      <c r="CE7" s="30"/>
      <c r="CF7" s="30"/>
      <c r="CG7" s="30"/>
      <c r="CH7" s="30"/>
      <c r="CI7" s="30"/>
      <c r="CJ7" s="30"/>
      <c r="CK7" s="30"/>
      <c r="CL7" s="30"/>
      <c r="CM7" s="30"/>
      <c r="CN7" s="30"/>
      <c r="CO7" s="30"/>
      <c r="CP7" s="30"/>
      <c r="CQ7" s="30"/>
      <c r="CR7" s="30"/>
      <c r="CS7" s="30"/>
      <c r="CT7" s="30"/>
      <c r="CU7" s="30"/>
      <c r="CV7" s="30"/>
      <c r="CW7" s="30"/>
      <c r="CX7" s="30"/>
      <c r="CY7" s="30"/>
      <c r="CZ7" s="30"/>
      <c r="DA7" s="30"/>
      <c r="DB7" s="30"/>
      <c r="DC7" s="30"/>
      <c r="DD7" s="30"/>
      <c r="DE7" s="30"/>
      <c r="DF7" s="30"/>
      <c r="DG7" s="30"/>
      <c r="DH7" s="30"/>
      <c r="DI7" s="30"/>
      <c r="DJ7" s="30"/>
      <c r="DK7" s="30"/>
      <c r="DL7" s="30"/>
      <c r="DM7" s="30"/>
      <c r="DN7" s="30"/>
      <c r="DO7" s="30"/>
      <c r="DP7" s="30"/>
      <c r="DQ7" s="30"/>
      <c r="DR7" s="30"/>
      <c r="DS7" s="30"/>
      <c r="DT7" s="30"/>
      <c r="DU7" s="30"/>
      <c r="DV7" s="30"/>
      <c r="DW7" s="30"/>
      <c r="DX7" s="30"/>
      <c r="DY7" s="30"/>
      <c r="DZ7" s="30"/>
      <c r="EA7" s="30"/>
      <c r="EB7" s="30"/>
      <c r="EC7" s="30"/>
      <c r="ED7" s="30"/>
      <c r="EE7" s="30"/>
      <c r="EF7" s="30"/>
      <c r="EG7" s="30"/>
      <c r="EH7" s="30"/>
      <c r="EI7" s="30"/>
      <c r="EJ7" s="30"/>
      <c r="EK7" s="30"/>
      <c r="EL7" s="30"/>
      <c r="EM7" s="30"/>
      <c r="EN7" s="30"/>
      <c r="EO7" s="30"/>
      <c r="EP7" s="30"/>
      <c r="EQ7" s="30"/>
      <c r="ER7" s="30"/>
      <c r="ES7" s="30"/>
      <c r="ET7" s="30"/>
      <c r="EU7" s="30"/>
      <c r="EV7" s="30"/>
      <c r="EW7" s="30"/>
      <c r="EX7" s="30"/>
      <c r="EY7" s="30"/>
      <c r="EZ7" s="30"/>
      <c r="FA7" s="30"/>
      <c r="FB7" s="30"/>
      <c r="FC7" s="30"/>
      <c r="FD7" s="30"/>
      <c r="FE7" s="30"/>
      <c r="FF7" s="30"/>
      <c r="FG7" s="30"/>
      <c r="FH7" s="30"/>
      <c r="FI7" s="30"/>
      <c r="FJ7" s="30"/>
      <c r="FK7" s="30"/>
      <c r="FL7" s="30"/>
      <c r="FM7" s="30"/>
      <c r="FN7" s="30"/>
      <c r="FO7" s="30"/>
      <c r="FP7" s="30"/>
      <c r="FQ7" s="30"/>
      <c r="FR7" s="30"/>
      <c r="FS7" s="30"/>
      <c r="FT7" s="30"/>
      <c r="FU7" s="30"/>
      <c r="FV7" s="30"/>
      <c r="FW7" s="30"/>
      <c r="FX7" s="30"/>
      <c r="FY7" s="30"/>
      <c r="FZ7" s="30"/>
      <c r="GA7" s="30"/>
      <c r="GB7" s="30"/>
      <c r="GC7" s="30"/>
      <c r="GD7" s="30"/>
      <c r="GE7" s="30"/>
      <c r="GF7" s="30"/>
      <c r="GG7" s="30"/>
      <c r="GH7" s="30"/>
      <c r="GI7" s="30"/>
      <c r="GJ7" s="30"/>
      <c r="GK7" s="30"/>
      <c r="GL7" s="30"/>
      <c r="GM7" s="30"/>
      <c r="GN7" s="30"/>
      <c r="GO7" s="30"/>
      <c r="GP7" s="30"/>
      <c r="GQ7" s="30"/>
      <c r="GR7" s="30"/>
      <c r="GS7" s="30"/>
      <c r="GT7" s="30"/>
      <c r="GU7" s="30"/>
      <c r="GV7" s="30"/>
      <c r="GW7" s="30"/>
      <c r="GX7" s="30"/>
      <c r="GY7" s="30"/>
      <c r="GZ7" s="30"/>
      <c r="HA7" s="30"/>
      <c r="HB7" s="30"/>
      <c r="HC7" s="30"/>
      <c r="HD7" s="30"/>
      <c r="HE7" s="30"/>
      <c r="HF7" s="30"/>
      <c r="HG7" s="30"/>
      <c r="HH7" s="30"/>
      <c r="HI7" s="30"/>
      <c r="HJ7" s="30"/>
      <c r="HK7" s="30"/>
      <c r="HL7" s="30"/>
      <c r="HM7" s="30"/>
      <c r="HN7" s="30"/>
      <c r="HO7" s="30"/>
      <c r="HP7" s="30"/>
      <c r="HQ7" s="30"/>
      <c r="HR7" s="30"/>
      <c r="HS7" s="30"/>
      <c r="HT7" s="30"/>
      <c r="HU7" s="30"/>
      <c r="HV7" s="30"/>
      <c r="HW7" s="30"/>
      <c r="HX7" s="30"/>
      <c r="HY7" s="30"/>
    </row>
    <row r="8" s="30" customFormat="true" ht="13.5" hidden="false" customHeight="true" outlineLevel="0" collapsed="false">
      <c r="A8" s="35"/>
      <c r="B8" s="35"/>
      <c r="C8" s="35"/>
      <c r="D8" s="35"/>
      <c r="E8" s="35"/>
      <c r="F8" s="35"/>
      <c r="G8" s="35"/>
      <c r="H8" s="35"/>
      <c r="I8" s="35"/>
      <c r="J8" s="35"/>
      <c r="K8" s="35"/>
      <c r="L8" s="35"/>
      <c r="M8" s="35"/>
      <c r="N8" s="35"/>
      <c r="O8" s="35"/>
      <c r="P8" s="35"/>
      <c r="Q8" s="35"/>
      <c r="R8" s="35"/>
      <c r="S8" s="35"/>
      <c r="T8" s="35"/>
      <c r="U8" s="35"/>
      <c r="V8" s="35"/>
      <c r="W8" s="35"/>
      <c r="X8" s="35"/>
      <c r="Y8" s="35"/>
      <c r="Z8" s="35"/>
      <c r="AA8" s="35"/>
      <c r="AB8" s="35"/>
    </row>
    <row r="9" s="46" customFormat="true" ht="22.5" hidden="false" customHeight="true" outlineLevel="0" collapsed="false">
      <c r="A9" s="36" t="s">
        <v>37</v>
      </c>
      <c r="B9" s="36" t="s">
        <v>10</v>
      </c>
      <c r="C9" s="36" t="s">
        <v>11</v>
      </c>
      <c r="D9" s="37" t="s">
        <v>38</v>
      </c>
      <c r="E9" s="38"/>
      <c r="F9" s="38"/>
      <c r="G9" s="37"/>
      <c r="H9" s="38"/>
      <c r="I9" s="38"/>
      <c r="J9" s="38"/>
      <c r="K9" s="38"/>
      <c r="L9" s="38"/>
      <c r="M9" s="39" t="s">
        <v>39</v>
      </c>
      <c r="N9" s="40"/>
      <c r="O9" s="41" t="s">
        <v>40</v>
      </c>
      <c r="P9" s="42"/>
      <c r="Q9" s="42"/>
      <c r="R9" s="42"/>
      <c r="S9" s="42"/>
      <c r="T9" s="42"/>
      <c r="U9" s="42"/>
      <c r="V9" s="42"/>
      <c r="W9" s="41" t="s">
        <v>41</v>
      </c>
      <c r="X9" s="40"/>
      <c r="Y9" s="43"/>
      <c r="Z9" s="44"/>
      <c r="AA9" s="44"/>
      <c r="AB9" s="37" t="s">
        <v>15</v>
      </c>
      <c r="AC9" s="45"/>
    </row>
    <row r="10" s="50" customFormat="true" ht="22.5" hidden="false" customHeight="true" outlineLevel="0" collapsed="false">
      <c r="A10" s="36"/>
      <c r="B10" s="36"/>
      <c r="C10" s="36"/>
      <c r="D10" s="36"/>
      <c r="E10" s="41"/>
      <c r="F10" s="41"/>
      <c r="G10" s="41"/>
      <c r="H10" s="41"/>
      <c r="I10" s="41"/>
      <c r="J10" s="41"/>
      <c r="K10" s="41"/>
      <c r="L10" s="41"/>
      <c r="M10" s="41"/>
      <c r="N10" s="41" t="s">
        <v>40</v>
      </c>
      <c r="O10" s="41"/>
      <c r="P10" s="41" t="s">
        <v>40</v>
      </c>
      <c r="Q10" s="41" t="s">
        <v>40</v>
      </c>
      <c r="R10" s="41"/>
      <c r="S10" s="41"/>
      <c r="T10" s="41"/>
      <c r="U10" s="41" t="s">
        <v>41</v>
      </c>
      <c r="V10" s="41" t="s">
        <v>41</v>
      </c>
      <c r="W10" s="41"/>
      <c r="X10" s="41" t="s">
        <v>41</v>
      </c>
      <c r="Y10" s="41" t="s">
        <v>41</v>
      </c>
      <c r="Z10" s="47"/>
      <c r="AA10" s="47"/>
      <c r="AB10" s="37"/>
      <c r="AC10" s="48"/>
      <c r="AD10" s="49"/>
      <c r="AE10" s="49"/>
    </row>
    <row r="11" s="50" customFormat="true" ht="15" hidden="false" customHeight="true" outlineLevel="0" collapsed="false">
      <c r="A11" s="13" t="n">
        <v>1</v>
      </c>
      <c r="B11" s="13" t="str">
        <f aca="false">'KTHH Lớp 1'!B23</f>
        <v>D3</v>
      </c>
      <c r="C11" s="15" t="n">
        <f aca="false">'KTHH Lớp 1'!C23</f>
        <v>0</v>
      </c>
      <c r="D11" s="13" t="n">
        <f aca="false">'KTHH Lớp 1'!T23</f>
        <v>19.63</v>
      </c>
      <c r="E11" s="51"/>
      <c r="F11" s="51"/>
      <c r="G11" s="51"/>
      <c r="H11" s="51"/>
      <c r="I11" s="51"/>
      <c r="J11" s="51"/>
      <c r="K11" s="52"/>
      <c r="L11" s="16"/>
      <c r="M11" s="17"/>
      <c r="N11" s="53"/>
      <c r="O11" s="52" t="n">
        <f aca="false">7.5*0.25</f>
        <v>1.875</v>
      </c>
      <c r="P11" s="52"/>
      <c r="Q11" s="52"/>
      <c r="R11" s="54"/>
      <c r="S11" s="54"/>
      <c r="T11" s="54"/>
      <c r="U11" s="54"/>
      <c r="V11" s="54"/>
      <c r="W11" s="54" t="n">
        <f aca="false">(O11+O12)*D11/2</f>
        <v>36.80625</v>
      </c>
      <c r="X11" s="54"/>
      <c r="Y11" s="54"/>
      <c r="Z11" s="54"/>
      <c r="AA11" s="54"/>
      <c r="AB11" s="55"/>
      <c r="AC11" s="56"/>
      <c r="AE11" s="57"/>
      <c r="AF11" s="57"/>
    </row>
    <row r="12" s="50" customFormat="true" ht="15" hidden="false" customHeight="true" outlineLevel="0" collapsed="false">
      <c r="A12" s="13" t="n">
        <v>2</v>
      </c>
      <c r="B12" s="13" t="str">
        <f aca="false">'KTHH Lớp 1'!B24</f>
        <v>1</v>
      </c>
      <c r="C12" s="15" t="n">
        <f aca="false">'KTHH Lớp 1'!C24</f>
        <v>19.63</v>
      </c>
      <c r="D12" s="13" t="n">
        <f aca="false">'KTHH Lớp 1'!T24</f>
        <v>17.17</v>
      </c>
      <c r="E12" s="51"/>
      <c r="F12" s="51"/>
      <c r="G12" s="51"/>
      <c r="H12" s="51"/>
      <c r="I12" s="51"/>
      <c r="J12" s="51"/>
      <c r="K12" s="52"/>
      <c r="L12" s="16"/>
      <c r="M12" s="17"/>
      <c r="N12" s="53"/>
      <c r="O12" s="52" t="n">
        <f aca="false">7.5*0.25</f>
        <v>1.875</v>
      </c>
      <c r="P12" s="52"/>
      <c r="Q12" s="52"/>
      <c r="R12" s="54"/>
      <c r="S12" s="54"/>
      <c r="T12" s="54"/>
      <c r="U12" s="54"/>
      <c r="V12" s="54"/>
      <c r="W12" s="54" t="n">
        <f aca="false">(O12+O13)*D12/2</f>
        <v>32.19375</v>
      </c>
      <c r="X12" s="54"/>
      <c r="Y12" s="54"/>
      <c r="Z12" s="54"/>
      <c r="AA12" s="54"/>
      <c r="AB12" s="55"/>
      <c r="AC12" s="56"/>
      <c r="AE12" s="57"/>
      <c r="AF12" s="57"/>
    </row>
    <row r="13" s="50" customFormat="true" ht="15" hidden="false" customHeight="true" outlineLevel="0" collapsed="false">
      <c r="A13" s="13" t="n">
        <v>3</v>
      </c>
      <c r="B13" s="13" t="str">
        <f aca="false">'KTHH Lớp 1'!B25</f>
        <v>2</v>
      </c>
      <c r="C13" s="15" t="n">
        <f aca="false">'KTHH Lớp 1'!C25</f>
        <v>36.8</v>
      </c>
      <c r="D13" s="13" t="n">
        <f aca="false">'KTHH Lớp 1'!T25</f>
        <v>17.18</v>
      </c>
      <c r="E13" s="51"/>
      <c r="F13" s="51"/>
      <c r="G13" s="51"/>
      <c r="H13" s="51"/>
      <c r="I13" s="51"/>
      <c r="J13" s="51"/>
      <c r="K13" s="52"/>
      <c r="L13" s="16"/>
      <c r="M13" s="17"/>
      <c r="N13" s="53"/>
      <c r="O13" s="52" t="n">
        <f aca="false">7.5*0.25</f>
        <v>1.875</v>
      </c>
      <c r="P13" s="52"/>
      <c r="Q13" s="52"/>
      <c r="R13" s="54"/>
      <c r="S13" s="54"/>
      <c r="T13" s="54"/>
      <c r="U13" s="54"/>
      <c r="V13" s="54"/>
      <c r="W13" s="54" t="n">
        <f aca="false">(O13+O14)*D13/2</f>
        <v>32.2125</v>
      </c>
      <c r="X13" s="54"/>
      <c r="Y13" s="54"/>
      <c r="Z13" s="54"/>
      <c r="AA13" s="54"/>
      <c r="AB13" s="55"/>
      <c r="AC13" s="56"/>
      <c r="AE13" s="57"/>
      <c r="AF13" s="57"/>
    </row>
    <row r="14" s="50" customFormat="true" ht="15" hidden="false" customHeight="true" outlineLevel="0" collapsed="false">
      <c r="A14" s="13" t="n">
        <v>4</v>
      </c>
      <c r="B14" s="13" t="str">
        <f aca="false">'KTHH Lớp 1'!B26</f>
        <v>3</v>
      </c>
      <c r="C14" s="15" t="n">
        <f aca="false">'KTHH Lớp 1'!C26</f>
        <v>53.98</v>
      </c>
      <c r="D14" s="13" t="n">
        <f aca="false">'KTHH Lớp 1'!T26</f>
        <v>12.97</v>
      </c>
      <c r="E14" s="51"/>
      <c r="F14" s="51"/>
      <c r="G14" s="51"/>
      <c r="H14" s="51"/>
      <c r="I14" s="51"/>
      <c r="J14" s="51"/>
      <c r="K14" s="52"/>
      <c r="L14" s="16"/>
      <c r="M14" s="17"/>
      <c r="N14" s="53"/>
      <c r="O14" s="52" t="n">
        <f aca="false">7.5*0.25</f>
        <v>1.875</v>
      </c>
      <c r="P14" s="52"/>
      <c r="Q14" s="52"/>
      <c r="R14" s="54"/>
      <c r="S14" s="54"/>
      <c r="T14" s="54"/>
      <c r="U14" s="54"/>
      <c r="V14" s="54"/>
      <c r="W14" s="54" t="n">
        <f aca="false">(O14+O15)*D14/2</f>
        <v>24.31875</v>
      </c>
      <c r="X14" s="54"/>
      <c r="Y14" s="54"/>
      <c r="Z14" s="54"/>
      <c r="AA14" s="54"/>
      <c r="AB14" s="55"/>
      <c r="AC14" s="56"/>
      <c r="AE14" s="57"/>
      <c r="AF14" s="57"/>
    </row>
    <row r="15" s="50" customFormat="true" ht="15" hidden="false" customHeight="true" outlineLevel="0" collapsed="false">
      <c r="A15" s="13" t="n">
        <v>5</v>
      </c>
      <c r="B15" s="13" t="str">
        <f aca="false">'KTHH Lớp 1'!B27</f>
        <v>D2</v>
      </c>
      <c r="C15" s="15" t="n">
        <f aca="false">'KTHH Lớp 1'!C27</f>
        <v>66.95</v>
      </c>
      <c r="D15" s="13" t="n">
        <f aca="false">'KTHH Lớp 1'!T27</f>
        <v>10.68</v>
      </c>
      <c r="E15" s="51"/>
      <c r="F15" s="51"/>
      <c r="G15" s="51"/>
      <c r="H15" s="51"/>
      <c r="I15" s="51"/>
      <c r="J15" s="51"/>
      <c r="K15" s="52"/>
      <c r="L15" s="16"/>
      <c r="M15" s="17"/>
      <c r="N15" s="53"/>
      <c r="O15" s="52" t="n">
        <f aca="false">7.5*0.25</f>
        <v>1.875</v>
      </c>
      <c r="P15" s="52"/>
      <c r="Q15" s="52"/>
      <c r="R15" s="54"/>
      <c r="S15" s="54"/>
      <c r="T15" s="54"/>
      <c r="U15" s="54"/>
      <c r="V15" s="54"/>
      <c r="W15" s="54" t="n">
        <f aca="false">(O15+O16)*D15/2</f>
        <v>20.025</v>
      </c>
      <c r="X15" s="54"/>
      <c r="Y15" s="54"/>
      <c r="Z15" s="54"/>
      <c r="AA15" s="54"/>
      <c r="AB15" s="55"/>
      <c r="AC15" s="56"/>
      <c r="AE15" s="57"/>
      <c r="AF15" s="57"/>
    </row>
    <row r="16" s="50" customFormat="true" ht="15" hidden="false" customHeight="true" outlineLevel="0" collapsed="false">
      <c r="A16" s="13" t="n">
        <v>6</v>
      </c>
      <c r="B16" s="13" t="str">
        <f aca="false">'KTHH Lớp 1'!B28</f>
        <v>4</v>
      </c>
      <c r="C16" s="15" t="n">
        <f aca="false">'KTHH Lớp 1'!C28</f>
        <v>77.63</v>
      </c>
      <c r="D16" s="13" t="n">
        <f aca="false">'KTHH Lớp 1'!T28</f>
        <v>17.17</v>
      </c>
      <c r="E16" s="51"/>
      <c r="F16" s="51"/>
      <c r="G16" s="51"/>
      <c r="H16" s="51"/>
      <c r="I16" s="51"/>
      <c r="J16" s="51"/>
      <c r="K16" s="52"/>
      <c r="L16" s="16"/>
      <c r="M16" s="17"/>
      <c r="N16" s="53"/>
      <c r="O16" s="52" t="n">
        <f aca="false">7.5*0.25</f>
        <v>1.875</v>
      </c>
      <c r="P16" s="52"/>
      <c r="Q16" s="52"/>
      <c r="R16" s="54"/>
      <c r="S16" s="54"/>
      <c r="T16" s="54"/>
      <c r="U16" s="54"/>
      <c r="V16" s="54"/>
      <c r="W16" s="54" t="n">
        <f aca="false">(O16+O17)*D16/2</f>
        <v>32.19375</v>
      </c>
      <c r="X16" s="54"/>
      <c r="Y16" s="54"/>
      <c r="Z16" s="54"/>
      <c r="AA16" s="54"/>
      <c r="AB16" s="55"/>
      <c r="AC16" s="56"/>
      <c r="AE16" s="57"/>
      <c r="AF16" s="57"/>
    </row>
    <row r="17" s="50" customFormat="true" ht="15" hidden="false" customHeight="true" outlineLevel="0" collapsed="false">
      <c r="A17" s="13" t="n">
        <v>7</v>
      </c>
      <c r="B17" s="13" t="str">
        <f aca="false">'KTHH Lớp 1'!B29</f>
        <v>5</v>
      </c>
      <c r="C17" s="15" t="n">
        <f aca="false">'KTHH Lớp 1'!C29</f>
        <v>94.8</v>
      </c>
      <c r="D17" s="13" t="n">
        <f aca="false">'KTHH Lớp 1'!T29</f>
        <v>17.17</v>
      </c>
      <c r="E17" s="51"/>
      <c r="F17" s="51"/>
      <c r="G17" s="51"/>
      <c r="H17" s="51"/>
      <c r="I17" s="51"/>
      <c r="J17" s="51"/>
      <c r="K17" s="52"/>
      <c r="L17" s="16"/>
      <c r="M17" s="17"/>
      <c r="N17" s="53"/>
      <c r="O17" s="52" t="n">
        <f aca="false">7.5*0.25</f>
        <v>1.875</v>
      </c>
      <c r="P17" s="52"/>
      <c r="Q17" s="52"/>
      <c r="R17" s="54"/>
      <c r="S17" s="54"/>
      <c r="T17" s="54"/>
      <c r="U17" s="54"/>
      <c r="V17" s="54"/>
      <c r="W17" s="54" t="n">
        <f aca="false">(O17+O18)*D17/2</f>
        <v>32.19375</v>
      </c>
      <c r="X17" s="54"/>
      <c r="Y17" s="54"/>
      <c r="Z17" s="54"/>
      <c r="AA17" s="54"/>
      <c r="AB17" s="55"/>
      <c r="AC17" s="56"/>
      <c r="AE17" s="57"/>
      <c r="AF17" s="57"/>
    </row>
    <row r="18" s="50" customFormat="true" ht="15" hidden="false" customHeight="true" outlineLevel="0" collapsed="false">
      <c r="A18" s="13" t="n">
        <v>8</v>
      </c>
      <c r="B18" s="13" t="str">
        <f aca="false">'KTHH Lớp 1'!B30</f>
        <v>6</v>
      </c>
      <c r="C18" s="15" t="n">
        <f aca="false">'KTHH Lớp 1'!C30</f>
        <v>111.97</v>
      </c>
      <c r="D18" s="13" t="n">
        <f aca="false">'KTHH Lớp 1'!T30</f>
        <v>14.49</v>
      </c>
      <c r="E18" s="51"/>
      <c r="F18" s="51"/>
      <c r="G18" s="51"/>
      <c r="H18" s="51"/>
      <c r="I18" s="51"/>
      <c r="J18" s="51"/>
      <c r="K18" s="52"/>
      <c r="L18" s="16"/>
      <c r="M18" s="17"/>
      <c r="N18" s="53"/>
      <c r="O18" s="52" t="n">
        <f aca="false">7.5*0.25</f>
        <v>1.875</v>
      </c>
      <c r="P18" s="52"/>
      <c r="Q18" s="52"/>
      <c r="R18" s="54"/>
      <c r="S18" s="54"/>
      <c r="T18" s="54"/>
      <c r="U18" s="54"/>
      <c r="V18" s="54"/>
      <c r="W18" s="54" t="n">
        <f aca="false">(O18+O19)*D18/2</f>
        <v>27.16875</v>
      </c>
      <c r="X18" s="54"/>
      <c r="Y18" s="54"/>
      <c r="Z18" s="54"/>
      <c r="AA18" s="54"/>
      <c r="AB18" s="55"/>
      <c r="AC18" s="56"/>
      <c r="AE18" s="57"/>
      <c r="AF18" s="57"/>
    </row>
    <row r="19" s="50" customFormat="true" ht="15" hidden="false" customHeight="true" outlineLevel="0" collapsed="false">
      <c r="A19" s="13" t="n">
        <v>9</v>
      </c>
      <c r="B19" s="13" t="str">
        <f aca="false">'KTHH Lớp 1'!B31</f>
        <v>D1</v>
      </c>
      <c r="C19" s="15" t="n">
        <f aca="false">'KTHH Lớp 1'!C31</f>
        <v>126.46</v>
      </c>
      <c r="D19" s="13"/>
      <c r="E19" s="51"/>
      <c r="F19" s="51"/>
      <c r="G19" s="51"/>
      <c r="H19" s="51"/>
      <c r="I19" s="51"/>
      <c r="J19" s="51"/>
      <c r="K19" s="52"/>
      <c r="L19" s="16"/>
      <c r="M19" s="17"/>
      <c r="N19" s="53"/>
      <c r="O19" s="52" t="n">
        <f aca="false">7.5*0.25</f>
        <v>1.875</v>
      </c>
      <c r="P19" s="52"/>
      <c r="Q19" s="52"/>
      <c r="R19" s="54"/>
      <c r="S19" s="54"/>
      <c r="T19" s="54"/>
      <c r="U19" s="54"/>
      <c r="V19" s="54"/>
      <c r="W19" s="54"/>
      <c r="X19" s="54"/>
      <c r="Y19" s="54"/>
      <c r="Z19" s="54"/>
      <c r="AA19" s="54"/>
      <c r="AB19" s="55"/>
      <c r="AC19" s="56"/>
      <c r="AE19" s="57"/>
      <c r="AF19" s="57"/>
    </row>
    <row r="20" customFormat="false" ht="16.5" hidden="false" customHeight="true" outlineLevel="0" collapsed="false">
      <c r="A20" s="58" t="s">
        <v>42</v>
      </c>
      <c r="B20" s="58"/>
      <c r="C20" s="58"/>
      <c r="D20" s="58"/>
      <c r="E20" s="59"/>
      <c r="F20" s="59"/>
      <c r="G20" s="59"/>
      <c r="H20" s="59"/>
      <c r="I20" s="59"/>
      <c r="J20" s="59"/>
      <c r="K20" s="59"/>
      <c r="L20" s="59"/>
      <c r="M20" s="60"/>
      <c r="N20" s="60"/>
      <c r="O20" s="60"/>
      <c r="P20" s="60"/>
      <c r="Q20" s="60"/>
      <c r="R20" s="61" t="n">
        <f aca="false">SUM(R11:R5)</f>
        <v>0</v>
      </c>
      <c r="S20" s="61" t="n">
        <f aca="false">SUM(S11:S5)</f>
        <v>0</v>
      </c>
      <c r="T20" s="61"/>
      <c r="U20" s="62" t="n">
        <f aca="false">SUM(U11:U5)</f>
        <v>0</v>
      </c>
      <c r="V20" s="62" t="n">
        <f aca="false">SUM(V11:V5)</f>
        <v>0</v>
      </c>
      <c r="W20" s="63" t="n">
        <f aca="false">SUM(W11:W19)</f>
        <v>237.1125</v>
      </c>
      <c r="X20" s="62" t="n">
        <f aca="false">SUM(X11:X5)</f>
        <v>0</v>
      </c>
      <c r="Y20" s="62" t="n">
        <f aca="false">SUM(Y11:Y5)</f>
        <v>0</v>
      </c>
      <c r="Z20" s="62" t="n">
        <f aca="false">SUM(Z11:Z5)</f>
        <v>0</v>
      </c>
      <c r="AA20" s="62" t="n">
        <f aca="false">SUM(AA11:AA5)</f>
        <v>0</v>
      </c>
      <c r="AB20" s="62"/>
      <c r="AE20" s="64"/>
      <c r="AF20" s="65"/>
      <c r="AG20" s="65"/>
      <c r="AH20" s="50"/>
      <c r="AI20" s="64"/>
      <c r="AJ20" s="64"/>
      <c r="AK20" s="64"/>
      <c r="AL20" s="64"/>
      <c r="AP20" s="31"/>
      <c r="AQ20" s="31"/>
      <c r="AR20" s="31"/>
      <c r="AS20" s="31"/>
      <c r="AT20" s="31"/>
      <c r="AU20" s="31"/>
      <c r="AV20" s="31"/>
      <c r="AW20" s="31"/>
      <c r="AX20" s="31"/>
      <c r="AY20" s="31"/>
      <c r="AZ20" s="31"/>
      <c r="BA20" s="31"/>
      <c r="BB20" s="31"/>
      <c r="BC20" s="31"/>
      <c r="BD20" s="31"/>
      <c r="BE20" s="31"/>
      <c r="BF20" s="31"/>
      <c r="BG20" s="31"/>
      <c r="BH20" s="31"/>
      <c r="BI20" s="31"/>
      <c r="BJ20" s="31"/>
      <c r="BK20" s="31"/>
      <c r="BL20" s="31"/>
      <c r="BM20" s="31"/>
      <c r="BN20" s="31"/>
      <c r="BO20" s="31"/>
      <c r="BP20" s="31"/>
      <c r="BQ20" s="31"/>
      <c r="BR20" s="31"/>
      <c r="BS20" s="31"/>
      <c r="BT20" s="31"/>
      <c r="BU20" s="31"/>
      <c r="BV20" s="31"/>
      <c r="BW20" s="31"/>
      <c r="BX20" s="31"/>
      <c r="BY20" s="31"/>
      <c r="BZ20" s="31"/>
      <c r="CA20" s="31"/>
      <c r="CB20" s="31"/>
      <c r="CC20" s="31"/>
      <c r="CD20" s="31"/>
      <c r="CE20" s="31"/>
      <c r="CF20" s="31"/>
      <c r="CG20" s="31"/>
      <c r="CH20" s="31"/>
      <c r="CI20" s="31"/>
      <c r="CJ20" s="31"/>
      <c r="CK20" s="31"/>
      <c r="CL20" s="31"/>
      <c r="CM20" s="31"/>
      <c r="CN20" s="31"/>
      <c r="CO20" s="31"/>
      <c r="CP20" s="31"/>
      <c r="CQ20" s="31"/>
      <c r="CR20" s="31"/>
      <c r="CS20" s="31"/>
      <c r="CT20" s="31"/>
      <c r="CU20" s="31"/>
      <c r="CV20" s="31"/>
      <c r="CW20" s="31"/>
      <c r="CX20" s="31"/>
      <c r="CY20" s="31"/>
      <c r="CZ20" s="31"/>
      <c r="DA20" s="31"/>
      <c r="DB20" s="31"/>
      <c r="DC20" s="31"/>
      <c r="DD20" s="31"/>
      <c r="DE20" s="31"/>
      <c r="DF20" s="31"/>
      <c r="DG20" s="31"/>
      <c r="DH20" s="31"/>
      <c r="DI20" s="31"/>
      <c r="DJ20" s="31"/>
      <c r="DK20" s="31"/>
      <c r="DL20" s="31"/>
      <c r="DM20" s="31"/>
      <c r="DN20" s="31"/>
      <c r="DO20" s="31"/>
      <c r="DP20" s="31"/>
      <c r="DQ20" s="31"/>
      <c r="DR20" s="31"/>
      <c r="DS20" s="31"/>
      <c r="DT20" s="31"/>
      <c r="DU20" s="31"/>
      <c r="DV20" s="31"/>
      <c r="DW20" s="31"/>
      <c r="DX20" s="31"/>
      <c r="DY20" s="31"/>
      <c r="DZ20" s="31"/>
      <c r="EA20" s="31"/>
      <c r="EB20" s="31"/>
      <c r="EC20" s="31"/>
      <c r="ED20" s="31"/>
      <c r="EE20" s="31"/>
      <c r="EF20" s="31"/>
      <c r="EG20" s="31"/>
      <c r="EH20" s="31"/>
      <c r="EI20" s="31"/>
      <c r="EJ20" s="31"/>
      <c r="EK20" s="31"/>
      <c r="EL20" s="31"/>
      <c r="EM20" s="31"/>
      <c r="EN20" s="31"/>
      <c r="EO20" s="31"/>
      <c r="EP20" s="31"/>
      <c r="EQ20" s="31"/>
      <c r="ER20" s="31"/>
      <c r="ES20" s="31"/>
      <c r="ET20" s="31"/>
      <c r="EU20" s="31"/>
      <c r="EV20" s="31"/>
      <c r="EW20" s="31"/>
      <c r="EX20" s="31"/>
      <c r="EY20" s="31"/>
      <c r="EZ20" s="31"/>
      <c r="FA20" s="31"/>
      <c r="FB20" s="31"/>
      <c r="FC20" s="31"/>
      <c r="FD20" s="31"/>
      <c r="FE20" s="31"/>
      <c r="FF20" s="31"/>
      <c r="FG20" s="31"/>
      <c r="FH20" s="31"/>
      <c r="FI20" s="31"/>
      <c r="FJ20" s="31"/>
      <c r="FK20" s="31"/>
      <c r="FL20" s="31"/>
      <c r="FM20" s="31"/>
      <c r="FN20" s="31"/>
      <c r="FO20" s="31"/>
      <c r="FP20" s="31"/>
      <c r="FQ20" s="31"/>
      <c r="FR20" s="31"/>
      <c r="FS20" s="31"/>
      <c r="FT20" s="31"/>
      <c r="FU20" s="31"/>
      <c r="FV20" s="31"/>
      <c r="FW20" s="31"/>
      <c r="FX20" s="31"/>
      <c r="FY20" s="31"/>
      <c r="FZ20" s="31"/>
      <c r="GA20" s="31"/>
      <c r="GB20" s="31"/>
      <c r="GC20" s="31"/>
      <c r="GD20" s="31"/>
      <c r="GE20" s="31"/>
      <c r="GF20" s="31"/>
      <c r="GG20" s="31"/>
      <c r="GH20" s="31"/>
      <c r="GI20" s="31"/>
      <c r="GJ20" s="31"/>
      <c r="GK20" s="31"/>
      <c r="GL20" s="31"/>
      <c r="GM20" s="31"/>
      <c r="GN20" s="31"/>
      <c r="GO20" s="31"/>
      <c r="GP20" s="31"/>
      <c r="GQ20" s="31"/>
      <c r="GR20" s="31"/>
      <c r="GS20" s="31"/>
      <c r="GT20" s="31"/>
      <c r="GU20" s="31"/>
      <c r="GV20" s="31"/>
      <c r="GW20" s="31"/>
      <c r="GX20" s="31"/>
      <c r="GY20" s="31"/>
      <c r="GZ20" s="31"/>
      <c r="HA20" s="31"/>
      <c r="HB20" s="31"/>
      <c r="HC20" s="31"/>
      <c r="HD20" s="31"/>
      <c r="HE20" s="31"/>
      <c r="HF20" s="31"/>
      <c r="HG20" s="31"/>
      <c r="HH20" s="31"/>
      <c r="HI20" s="31"/>
      <c r="HJ20" s="31"/>
      <c r="HK20" s="31"/>
      <c r="HL20" s="31"/>
      <c r="HM20" s="31"/>
      <c r="HN20" s="31"/>
      <c r="HO20" s="31"/>
      <c r="HP20" s="31"/>
      <c r="HQ20" s="31"/>
      <c r="HR20" s="31"/>
      <c r="HS20" s="31"/>
      <c r="HT20" s="31"/>
      <c r="HU20" s="31"/>
    </row>
    <row r="21" customFormat="false" ht="16.5" hidden="false" customHeight="true" outlineLevel="0" collapsed="false">
      <c r="A21" s="66"/>
      <c r="B21" s="66"/>
      <c r="C21" s="66"/>
      <c r="D21" s="66"/>
      <c r="E21" s="67"/>
      <c r="F21" s="67"/>
      <c r="G21" s="67"/>
      <c r="H21" s="67"/>
      <c r="I21" s="67"/>
      <c r="J21" s="67"/>
      <c r="K21" s="67"/>
      <c r="L21" s="67"/>
      <c r="M21" s="67"/>
      <c r="N21" s="67"/>
      <c r="O21" s="67"/>
      <c r="P21" s="67"/>
      <c r="Q21" s="67"/>
      <c r="R21" s="68"/>
      <c r="S21" s="68"/>
      <c r="T21" s="68"/>
      <c r="U21" s="69"/>
      <c r="V21" s="69"/>
      <c r="W21" s="69"/>
      <c r="X21" s="69"/>
      <c r="Y21" s="69"/>
      <c r="Z21" s="69"/>
      <c r="AA21" s="69"/>
      <c r="AB21" s="69"/>
      <c r="AE21" s="70"/>
      <c r="AF21" s="71"/>
      <c r="AG21" s="65"/>
      <c r="AH21" s="71"/>
      <c r="AI21" s="72"/>
      <c r="AJ21" s="72"/>
      <c r="AK21" s="73"/>
      <c r="AL21" s="72"/>
      <c r="AP21" s="74"/>
      <c r="AQ21" s="74"/>
      <c r="AR21" s="74"/>
      <c r="AS21" s="74"/>
      <c r="AT21" s="74"/>
      <c r="AU21" s="74"/>
      <c r="AV21" s="74"/>
      <c r="AW21" s="74"/>
      <c r="AX21" s="74"/>
      <c r="AY21" s="74"/>
      <c r="AZ21" s="74"/>
      <c r="BA21" s="74"/>
      <c r="BB21" s="74"/>
      <c r="BC21" s="74"/>
      <c r="BD21" s="74"/>
      <c r="BE21" s="74"/>
      <c r="BF21" s="74"/>
      <c r="BG21" s="74"/>
      <c r="BH21" s="74"/>
      <c r="BI21" s="74"/>
      <c r="BJ21" s="74"/>
      <c r="BK21" s="74"/>
      <c r="BL21" s="74"/>
      <c r="BM21" s="74"/>
      <c r="BN21" s="74"/>
      <c r="BO21" s="74"/>
      <c r="BP21" s="74"/>
      <c r="BQ21" s="74"/>
      <c r="BR21" s="74"/>
      <c r="BS21" s="74"/>
      <c r="BT21" s="74"/>
      <c r="BU21" s="74"/>
      <c r="BV21" s="74"/>
      <c r="BW21" s="74"/>
      <c r="BX21" s="74"/>
      <c r="BY21" s="74"/>
      <c r="BZ21" s="74"/>
      <c r="CA21" s="74"/>
      <c r="CB21" s="74"/>
      <c r="CC21" s="74"/>
      <c r="CD21" s="74"/>
      <c r="CE21" s="74"/>
      <c r="CF21" s="74"/>
      <c r="CG21" s="74"/>
      <c r="CH21" s="74"/>
      <c r="CI21" s="74"/>
      <c r="CJ21" s="74"/>
      <c r="CK21" s="74"/>
      <c r="CL21" s="74"/>
      <c r="CM21" s="74"/>
      <c r="CN21" s="74"/>
      <c r="CO21" s="74"/>
      <c r="CP21" s="74"/>
      <c r="CQ21" s="74"/>
      <c r="CR21" s="74"/>
      <c r="CS21" s="74"/>
      <c r="CT21" s="74"/>
      <c r="CU21" s="74"/>
      <c r="CV21" s="74"/>
      <c r="CW21" s="74"/>
      <c r="CX21" s="74"/>
      <c r="CY21" s="74"/>
      <c r="CZ21" s="74"/>
      <c r="DA21" s="74"/>
      <c r="DB21" s="74"/>
      <c r="DC21" s="74"/>
      <c r="DD21" s="74"/>
      <c r="DE21" s="74"/>
      <c r="DF21" s="74"/>
      <c r="DG21" s="74"/>
      <c r="DH21" s="74"/>
      <c r="DI21" s="74"/>
      <c r="DJ21" s="74"/>
      <c r="DK21" s="74"/>
      <c r="DL21" s="74"/>
      <c r="DM21" s="74"/>
      <c r="DN21" s="74"/>
      <c r="DO21" s="74"/>
      <c r="DP21" s="74"/>
      <c r="DQ21" s="74"/>
      <c r="DR21" s="74"/>
      <c r="DS21" s="74"/>
      <c r="DT21" s="74"/>
      <c r="DU21" s="74"/>
      <c r="DV21" s="74"/>
      <c r="DW21" s="74"/>
      <c r="DX21" s="74"/>
      <c r="DY21" s="74"/>
      <c r="DZ21" s="74"/>
      <c r="EA21" s="74"/>
      <c r="EB21" s="74"/>
      <c r="EC21" s="74"/>
      <c r="ED21" s="74"/>
      <c r="EE21" s="74"/>
      <c r="EF21" s="74"/>
      <c r="EG21" s="74"/>
      <c r="EH21" s="74"/>
      <c r="EI21" s="74"/>
      <c r="EJ21" s="74"/>
      <c r="EK21" s="74"/>
      <c r="EL21" s="74"/>
      <c r="EM21" s="74"/>
      <c r="EN21" s="74"/>
      <c r="EO21" s="74"/>
      <c r="EP21" s="74"/>
      <c r="EQ21" s="74"/>
      <c r="ER21" s="74"/>
      <c r="ES21" s="74"/>
      <c r="ET21" s="74"/>
      <c r="EU21" s="74"/>
      <c r="EV21" s="74"/>
      <c r="EW21" s="74"/>
      <c r="EX21" s="74"/>
      <c r="EY21" s="74"/>
      <c r="EZ21" s="74"/>
      <c r="FA21" s="74"/>
      <c r="FB21" s="74"/>
      <c r="FC21" s="74"/>
      <c r="FD21" s="74"/>
      <c r="FE21" s="74"/>
      <c r="FF21" s="74"/>
      <c r="FG21" s="74"/>
      <c r="FH21" s="74"/>
      <c r="FI21" s="74"/>
      <c r="FJ21" s="74"/>
      <c r="FK21" s="74"/>
      <c r="FL21" s="74"/>
      <c r="FM21" s="74"/>
      <c r="FN21" s="74"/>
      <c r="FO21" s="74"/>
      <c r="FP21" s="74"/>
      <c r="FQ21" s="74"/>
      <c r="FR21" s="74"/>
      <c r="FS21" s="74"/>
      <c r="FT21" s="74"/>
      <c r="FU21" s="74"/>
      <c r="FV21" s="74"/>
      <c r="FW21" s="74"/>
      <c r="FX21" s="74"/>
      <c r="FY21" s="74"/>
      <c r="FZ21" s="74"/>
      <c r="GA21" s="74"/>
      <c r="GB21" s="74"/>
      <c r="GC21" s="74"/>
      <c r="GD21" s="74"/>
      <c r="GE21" s="74"/>
      <c r="GF21" s="74"/>
      <c r="GG21" s="74"/>
      <c r="GH21" s="74"/>
      <c r="GI21" s="74"/>
      <c r="GJ21" s="74"/>
      <c r="GK21" s="74"/>
      <c r="GL21" s="74"/>
      <c r="GM21" s="74"/>
      <c r="GN21" s="74"/>
      <c r="GO21" s="74"/>
      <c r="GP21" s="74"/>
      <c r="GQ21" s="74"/>
      <c r="GR21" s="74"/>
      <c r="GS21" s="74"/>
      <c r="GT21" s="74"/>
      <c r="GU21" s="74"/>
      <c r="GV21" s="74"/>
      <c r="GW21" s="74"/>
      <c r="GX21" s="74"/>
      <c r="GY21" s="74"/>
      <c r="GZ21" s="74"/>
      <c r="HA21" s="74"/>
      <c r="HB21" s="74"/>
      <c r="HC21" s="74"/>
      <c r="HD21" s="74"/>
      <c r="HE21" s="74"/>
      <c r="HF21" s="74"/>
      <c r="HG21" s="74"/>
      <c r="HH21" s="74"/>
      <c r="HI21" s="74"/>
      <c r="HJ21" s="74"/>
      <c r="HK21" s="74"/>
      <c r="HL21" s="74"/>
      <c r="HM21" s="74"/>
      <c r="HN21" s="74"/>
      <c r="HO21" s="74"/>
      <c r="HP21" s="74"/>
      <c r="HQ21" s="74"/>
      <c r="HR21" s="74"/>
      <c r="HS21" s="74"/>
      <c r="HT21" s="74"/>
      <c r="HU21" s="74"/>
    </row>
    <row r="22" customFormat="false" ht="16.5" hidden="false" customHeight="true" outlineLevel="0" collapsed="false">
      <c r="A22" s="21" t="s">
        <v>32</v>
      </c>
      <c r="B22" s="21"/>
      <c r="C22" s="21"/>
      <c r="D22" s="75" t="s">
        <v>43</v>
      </c>
      <c r="E22" s="21" t="s">
        <v>33</v>
      </c>
      <c r="F22" s="21"/>
      <c r="G22" s="21"/>
      <c r="H22" s="21"/>
      <c r="I22" s="21"/>
      <c r="J22" s="21"/>
      <c r="K22" s="21"/>
      <c r="L22" s="21"/>
      <c r="M22" s="21"/>
      <c r="N22" s="21"/>
      <c r="O22" s="21"/>
      <c r="P22" s="21"/>
      <c r="Q22" s="21"/>
      <c r="R22" s="21"/>
      <c r="S22" s="21"/>
      <c r="T22" s="21"/>
      <c r="U22" s="21"/>
      <c r="V22" s="21"/>
      <c r="W22" s="21"/>
      <c r="X22" s="21"/>
      <c r="Y22" s="21"/>
      <c r="Z22" s="21"/>
      <c r="AA22" s="21"/>
      <c r="AB22" s="21"/>
      <c r="AE22" s="72"/>
      <c r="AF22" s="71"/>
      <c r="AI22" s="50"/>
      <c r="AJ22" s="50"/>
      <c r="AK22" s="50"/>
      <c r="AL22" s="50"/>
      <c r="AP22" s="74"/>
      <c r="AQ22" s="74"/>
      <c r="AR22" s="74"/>
      <c r="AS22" s="74"/>
      <c r="AT22" s="74"/>
      <c r="AU22" s="74"/>
      <c r="AV22" s="74"/>
      <c r="AW22" s="74"/>
      <c r="AX22" s="74"/>
      <c r="AY22" s="74"/>
      <c r="AZ22" s="74"/>
      <c r="BA22" s="74"/>
      <c r="BB22" s="74"/>
      <c r="BC22" s="74"/>
      <c r="BD22" s="74"/>
      <c r="BE22" s="74"/>
      <c r="BF22" s="74"/>
      <c r="BG22" s="74"/>
      <c r="BH22" s="74"/>
      <c r="BI22" s="74"/>
      <c r="BJ22" s="74"/>
      <c r="BK22" s="74"/>
      <c r="BL22" s="74"/>
      <c r="BM22" s="74"/>
      <c r="BN22" s="74"/>
      <c r="BO22" s="74"/>
      <c r="BP22" s="74"/>
      <c r="BQ22" s="74"/>
      <c r="BR22" s="74"/>
      <c r="BS22" s="74"/>
      <c r="BT22" s="74"/>
      <c r="BU22" s="74"/>
      <c r="BV22" s="74"/>
      <c r="BW22" s="74"/>
      <c r="BX22" s="74"/>
      <c r="BY22" s="74"/>
      <c r="BZ22" s="74"/>
      <c r="CA22" s="74"/>
      <c r="CB22" s="74"/>
      <c r="CC22" s="74"/>
      <c r="CD22" s="74"/>
      <c r="CE22" s="74"/>
      <c r="CF22" s="74"/>
      <c r="CG22" s="74"/>
      <c r="CH22" s="74"/>
      <c r="CI22" s="74"/>
      <c r="CJ22" s="74"/>
      <c r="CK22" s="74"/>
      <c r="CL22" s="74"/>
      <c r="CM22" s="74"/>
      <c r="CN22" s="74"/>
      <c r="CO22" s="74"/>
      <c r="CP22" s="74"/>
      <c r="CQ22" s="74"/>
      <c r="CR22" s="74"/>
      <c r="CS22" s="74"/>
      <c r="CT22" s="74"/>
      <c r="CU22" s="74"/>
      <c r="CV22" s="74"/>
      <c r="CW22" s="74"/>
      <c r="CX22" s="74"/>
      <c r="CY22" s="74"/>
      <c r="CZ22" s="74"/>
      <c r="DA22" s="74"/>
      <c r="DB22" s="74"/>
      <c r="DC22" s="74"/>
      <c r="DD22" s="74"/>
      <c r="DE22" s="74"/>
      <c r="DF22" s="74"/>
      <c r="DG22" s="74"/>
      <c r="DH22" s="74"/>
      <c r="DI22" s="74"/>
      <c r="DJ22" s="74"/>
      <c r="DK22" s="74"/>
      <c r="DL22" s="74"/>
      <c r="DM22" s="74"/>
      <c r="DN22" s="74"/>
      <c r="DO22" s="74"/>
      <c r="DP22" s="74"/>
      <c r="DQ22" s="74"/>
      <c r="DR22" s="74"/>
      <c r="DS22" s="74"/>
      <c r="DT22" s="74"/>
      <c r="DU22" s="74"/>
      <c r="DV22" s="74"/>
      <c r="DW22" s="74"/>
      <c r="DX22" s="74"/>
      <c r="DY22" s="74"/>
      <c r="DZ22" s="74"/>
      <c r="EA22" s="74"/>
      <c r="EB22" s="74"/>
      <c r="EC22" s="74"/>
      <c r="ED22" s="74"/>
      <c r="EE22" s="74"/>
      <c r="EF22" s="74"/>
      <c r="EG22" s="74"/>
      <c r="EH22" s="74"/>
      <c r="EI22" s="74"/>
      <c r="EJ22" s="74"/>
      <c r="EK22" s="74"/>
      <c r="EL22" s="74"/>
      <c r="EM22" s="74"/>
      <c r="EN22" s="74"/>
      <c r="EO22" s="74"/>
      <c r="EP22" s="74"/>
      <c r="EQ22" s="74"/>
      <c r="ER22" s="74"/>
      <c r="ES22" s="74"/>
      <c r="ET22" s="74"/>
      <c r="EU22" s="74"/>
      <c r="EV22" s="74"/>
      <c r="EW22" s="74"/>
      <c r="EX22" s="74"/>
      <c r="EY22" s="74"/>
      <c r="EZ22" s="74"/>
      <c r="FA22" s="74"/>
      <c r="FB22" s="74"/>
      <c r="FC22" s="74"/>
      <c r="FD22" s="74"/>
      <c r="FE22" s="74"/>
      <c r="FF22" s="74"/>
      <c r="FG22" s="74"/>
      <c r="FH22" s="74"/>
      <c r="FI22" s="74"/>
      <c r="FJ22" s="74"/>
      <c r="FK22" s="74"/>
      <c r="FL22" s="74"/>
      <c r="FM22" s="74"/>
      <c r="FN22" s="74"/>
      <c r="FO22" s="74"/>
      <c r="FP22" s="74"/>
      <c r="FQ22" s="74"/>
      <c r="FR22" s="74"/>
      <c r="FS22" s="74"/>
      <c r="FT22" s="74"/>
      <c r="FU22" s="74"/>
      <c r="FV22" s="74"/>
      <c r="FW22" s="74"/>
      <c r="FX22" s="74"/>
      <c r="FY22" s="74"/>
      <c r="FZ22" s="74"/>
      <c r="GA22" s="74"/>
      <c r="GB22" s="74"/>
      <c r="GC22" s="74"/>
      <c r="GD22" s="74"/>
      <c r="GE22" s="74"/>
      <c r="GF22" s="74"/>
      <c r="GG22" s="74"/>
      <c r="GH22" s="74"/>
      <c r="GI22" s="74"/>
      <c r="GJ22" s="74"/>
      <c r="GK22" s="74"/>
      <c r="GL22" s="74"/>
      <c r="GM22" s="74"/>
      <c r="GN22" s="74"/>
      <c r="GO22" s="74"/>
      <c r="GP22" s="74"/>
      <c r="GQ22" s="74"/>
      <c r="GR22" s="74"/>
      <c r="GS22" s="74"/>
      <c r="GT22" s="74"/>
      <c r="GU22" s="74"/>
      <c r="GV22" s="74"/>
      <c r="GW22" s="74"/>
      <c r="GX22" s="74"/>
      <c r="GY22" s="74"/>
      <c r="GZ22" s="74"/>
      <c r="HA22" s="74"/>
      <c r="HB22" s="74"/>
      <c r="HC22" s="74"/>
      <c r="HD22" s="74"/>
      <c r="HE22" s="74"/>
      <c r="HF22" s="74"/>
      <c r="HG22" s="74"/>
      <c r="HH22" s="74"/>
      <c r="HI22" s="74"/>
      <c r="HJ22" s="74"/>
      <c r="HK22" s="74"/>
      <c r="HL22" s="74"/>
      <c r="HM22" s="74"/>
      <c r="HN22" s="74"/>
      <c r="HO22" s="74"/>
      <c r="HP22" s="74"/>
      <c r="HQ22" s="74"/>
      <c r="HR22" s="74"/>
      <c r="HS22" s="74"/>
      <c r="HT22" s="74"/>
      <c r="HU22" s="74"/>
    </row>
    <row r="23" customFormat="false" ht="16.5" hidden="false" customHeight="true" outlineLevel="0" collapsed="false">
      <c r="A23" s="76"/>
      <c r="B23" s="76"/>
      <c r="C23" s="76"/>
      <c r="D23" s="77"/>
      <c r="E23" s="77"/>
      <c r="F23" s="77"/>
      <c r="G23" s="77"/>
      <c r="H23" s="77"/>
      <c r="I23" s="77"/>
      <c r="J23" s="77"/>
      <c r="K23" s="77"/>
      <c r="L23" s="77"/>
      <c r="M23" s="77"/>
      <c r="N23" s="77"/>
      <c r="O23" s="77"/>
      <c r="P23" s="77"/>
      <c r="Q23" s="77"/>
      <c r="R23" s="77"/>
      <c r="S23" s="77"/>
      <c r="T23" s="77"/>
      <c r="U23" s="77"/>
      <c r="V23" s="77"/>
      <c r="W23" s="77"/>
      <c r="X23" s="67"/>
      <c r="Y23" s="67"/>
      <c r="Z23" s="67"/>
      <c r="AA23" s="67"/>
      <c r="AB23" s="67"/>
      <c r="AC23" s="74"/>
      <c r="AD23" s="74"/>
      <c r="AI23" s="50"/>
      <c r="AJ23" s="50"/>
      <c r="AK23" s="50"/>
      <c r="AL23" s="50"/>
      <c r="HV23" s="74"/>
    </row>
    <row r="24" customFormat="false" ht="15.75" hidden="false" customHeight="true" outlineLevel="0" collapsed="false">
      <c r="A24" s="76"/>
      <c r="B24" s="76"/>
      <c r="C24" s="78"/>
      <c r="D24" s="78"/>
      <c r="E24" s="77"/>
      <c r="F24" s="77"/>
      <c r="G24" s="77"/>
      <c r="H24" s="77"/>
      <c r="I24" s="77"/>
      <c r="J24" s="77"/>
      <c r="K24" s="77"/>
      <c r="L24" s="77"/>
      <c r="M24" s="77"/>
      <c r="N24" s="77"/>
      <c r="O24" s="77"/>
      <c r="P24" s="77"/>
      <c r="Q24" s="77"/>
      <c r="R24" s="77"/>
      <c r="S24" s="77"/>
      <c r="T24" s="77"/>
      <c r="U24" s="77"/>
      <c r="V24" s="77"/>
      <c r="W24" s="77"/>
      <c r="X24" s="67"/>
      <c r="Y24" s="67"/>
      <c r="Z24" s="67"/>
      <c r="AA24" s="67"/>
      <c r="AB24" s="67"/>
      <c r="AC24" s="74"/>
      <c r="AD24" s="74"/>
      <c r="AE24" s="74"/>
      <c r="AF24" s="79"/>
      <c r="AG24" s="74"/>
      <c r="AH24" s="74"/>
      <c r="AI24" s="74"/>
      <c r="AJ24" s="74"/>
      <c r="AK24" s="74"/>
      <c r="AL24" s="74"/>
      <c r="AM24" s="74"/>
      <c r="HV24" s="74"/>
    </row>
    <row r="25" customFormat="false" ht="15" hidden="false" customHeight="true" outlineLevel="0" collapsed="false">
      <c r="A25" s="76"/>
      <c r="B25" s="76"/>
      <c r="C25" s="76"/>
      <c r="D25" s="77"/>
      <c r="E25" s="77"/>
      <c r="F25" s="77"/>
      <c r="G25" s="77"/>
      <c r="H25" s="77"/>
      <c r="I25" s="77"/>
      <c r="J25" s="77"/>
      <c r="K25" s="77"/>
      <c r="L25" s="77"/>
      <c r="M25" s="77"/>
      <c r="N25" s="77"/>
      <c r="O25" s="77"/>
      <c r="P25" s="77"/>
      <c r="Q25" s="77"/>
      <c r="R25" s="77"/>
      <c r="S25" s="77"/>
      <c r="T25" s="77"/>
      <c r="U25" s="77"/>
      <c r="V25" s="77"/>
      <c r="W25" s="77"/>
      <c r="X25" s="67"/>
      <c r="Y25" s="67"/>
      <c r="Z25" s="67"/>
      <c r="AA25" s="67"/>
      <c r="AB25" s="67"/>
      <c r="AC25" s="74"/>
      <c r="AD25" s="74"/>
      <c r="AE25" s="74"/>
      <c r="AF25" s="74"/>
      <c r="AG25" s="74"/>
      <c r="AH25" s="74"/>
      <c r="AI25" s="74"/>
      <c r="AJ25" s="74"/>
      <c r="AK25" s="74"/>
      <c r="AL25" s="74"/>
      <c r="AM25" s="74"/>
      <c r="HV25" s="74"/>
    </row>
    <row r="26" customFormat="false" ht="15" hidden="false" customHeight="true" outlineLevel="0" collapsed="false">
      <c r="A26" s="76"/>
      <c r="B26" s="76"/>
      <c r="C26" s="76"/>
      <c r="D26" s="77"/>
      <c r="E26" s="77"/>
      <c r="F26" s="77"/>
      <c r="G26" s="77"/>
      <c r="H26" s="77"/>
      <c r="I26" s="77"/>
      <c r="J26" s="77"/>
      <c r="K26" s="77"/>
      <c r="L26" s="77"/>
      <c r="M26" s="77"/>
      <c r="N26" s="77"/>
      <c r="O26" s="77"/>
      <c r="P26" s="77"/>
      <c r="Q26" s="77"/>
      <c r="R26" s="77"/>
      <c r="S26" s="77"/>
      <c r="T26" s="77"/>
      <c r="U26" s="77"/>
      <c r="V26" s="77"/>
      <c r="W26" s="77"/>
      <c r="X26" s="67"/>
      <c r="Y26" s="67"/>
      <c r="Z26" s="67"/>
      <c r="AA26" s="67"/>
      <c r="AB26" s="67"/>
      <c r="AC26" s="74"/>
      <c r="AD26" s="74"/>
      <c r="AE26" s="74"/>
      <c r="AF26" s="74"/>
      <c r="AG26" s="74"/>
      <c r="AH26" s="74"/>
      <c r="AI26" s="74"/>
      <c r="AJ26" s="74"/>
      <c r="AK26" s="74"/>
      <c r="AL26" s="74"/>
      <c r="AM26" s="74"/>
      <c r="HV26" s="74"/>
    </row>
    <row r="27" customFormat="false" ht="15" hidden="false" customHeight="true" outlineLevel="0" collapsed="false">
      <c r="A27" s="76"/>
      <c r="B27" s="76"/>
      <c r="C27" s="76"/>
      <c r="D27" s="77"/>
      <c r="E27" s="77"/>
      <c r="F27" s="77"/>
      <c r="G27" s="77"/>
      <c r="H27" s="77"/>
      <c r="I27" s="77"/>
      <c r="J27" s="77"/>
      <c r="K27" s="77"/>
      <c r="L27" s="77"/>
      <c r="M27" s="77"/>
      <c r="N27" s="77"/>
      <c r="O27" s="77"/>
      <c r="P27" s="77"/>
      <c r="Q27" s="77"/>
      <c r="R27" s="77"/>
      <c r="S27" s="77"/>
      <c r="T27" s="77"/>
      <c r="U27" s="77"/>
      <c r="V27" s="77"/>
      <c r="W27" s="77"/>
      <c r="X27" s="67"/>
      <c r="Y27" s="67"/>
      <c r="Z27" s="67"/>
      <c r="AA27" s="67"/>
      <c r="AB27" s="67"/>
      <c r="AC27" s="74"/>
      <c r="AD27" s="74"/>
      <c r="AE27" s="74"/>
      <c r="AF27" s="74"/>
      <c r="AG27" s="74"/>
      <c r="AH27" s="74"/>
      <c r="AI27" s="74"/>
      <c r="AJ27" s="74"/>
      <c r="AK27" s="74"/>
      <c r="AL27" s="74"/>
      <c r="AM27" s="74"/>
      <c r="HV27" s="74"/>
    </row>
    <row r="28" customFormat="false" ht="15" hidden="false" customHeight="true" outlineLevel="0" collapsed="false">
      <c r="A28" s="21" t="s">
        <v>34</v>
      </c>
      <c r="B28" s="21"/>
      <c r="C28" s="21"/>
      <c r="D28" s="22"/>
      <c r="E28" s="22"/>
      <c r="F28" s="22"/>
      <c r="G28" s="22"/>
      <c r="H28" s="22"/>
      <c r="I28" s="22"/>
      <c r="J28" s="22"/>
      <c r="K28" s="22"/>
      <c r="L28" s="22"/>
      <c r="M28" s="21" t="s">
        <v>35</v>
      </c>
      <c r="N28" s="21"/>
      <c r="O28" s="21"/>
      <c r="P28" s="21"/>
      <c r="Q28" s="21"/>
      <c r="R28" s="21"/>
      <c r="S28" s="21"/>
      <c r="T28" s="21"/>
      <c r="U28" s="21"/>
      <c r="V28" s="21"/>
      <c r="W28" s="21"/>
      <c r="X28" s="21"/>
      <c r="Y28" s="21"/>
      <c r="Z28" s="21"/>
      <c r="AA28" s="21"/>
      <c r="AB28" s="21"/>
      <c r="AC28" s="74"/>
      <c r="AD28" s="74"/>
      <c r="AE28" s="74"/>
      <c r="AF28" s="74"/>
      <c r="AG28" s="74"/>
      <c r="AH28" s="74"/>
      <c r="AI28" s="74"/>
      <c r="AJ28" s="74"/>
      <c r="AK28" s="74"/>
      <c r="AL28" s="74"/>
      <c r="AM28" s="74"/>
      <c r="HV28" s="74"/>
    </row>
    <row r="29" customFormat="false" ht="15" hidden="false" customHeight="true" outlineLevel="0" collapsed="false">
      <c r="A29" s="80"/>
      <c r="B29" s="80"/>
      <c r="C29" s="80"/>
      <c r="D29" s="80"/>
      <c r="E29" s="80"/>
      <c r="F29" s="80"/>
      <c r="G29" s="80"/>
      <c r="H29" s="80"/>
      <c r="I29" s="80"/>
      <c r="J29" s="80"/>
      <c r="K29" s="80"/>
      <c r="L29" s="80"/>
      <c r="M29" s="80"/>
      <c r="N29" s="80"/>
      <c r="O29" s="80"/>
      <c r="P29" s="80"/>
      <c r="Q29" s="80"/>
      <c r="R29" s="80"/>
      <c r="S29" s="80"/>
      <c r="T29" s="80"/>
      <c r="U29" s="80"/>
      <c r="V29" s="80"/>
      <c r="W29" s="80"/>
      <c r="X29" s="80"/>
      <c r="Y29" s="80"/>
      <c r="Z29" s="80"/>
      <c r="AA29" s="80"/>
      <c r="AB29" s="80"/>
      <c r="AC29" s="81"/>
    </row>
    <row r="30" customFormat="false" ht="12.75" hidden="false" customHeight="false" outlineLevel="0" collapsed="false">
      <c r="A30" s="81"/>
      <c r="B30" s="81"/>
      <c r="C30" s="81"/>
      <c r="D30" s="81"/>
      <c r="E30" s="81"/>
      <c r="F30" s="81"/>
      <c r="G30" s="81"/>
      <c r="H30" s="81"/>
      <c r="I30" s="81"/>
      <c r="J30" s="81"/>
      <c r="K30" s="81"/>
      <c r="L30" s="81"/>
      <c r="M30" s="81"/>
      <c r="N30" s="81"/>
      <c r="O30" s="81"/>
      <c r="P30" s="81"/>
      <c r="Q30" s="81"/>
      <c r="R30" s="81"/>
      <c r="S30" s="81"/>
      <c r="T30" s="81"/>
      <c r="U30" s="81"/>
      <c r="V30" s="81"/>
      <c r="W30" s="81"/>
      <c r="X30" s="81"/>
      <c r="Y30" s="81"/>
      <c r="Z30" s="81"/>
      <c r="AA30" s="81"/>
      <c r="AB30" s="81"/>
      <c r="AC30" s="81"/>
    </row>
    <row r="31" customFormat="false" ht="12.75" hidden="false" customHeight="false" outlineLevel="0" collapsed="false">
      <c r="A31" s="81"/>
      <c r="B31" s="81"/>
      <c r="C31" s="81"/>
      <c r="D31" s="81"/>
      <c r="E31" s="81"/>
      <c r="F31" s="81"/>
      <c r="G31" s="81"/>
      <c r="H31" s="81"/>
      <c r="I31" s="81"/>
      <c r="J31" s="81"/>
      <c r="K31" s="81"/>
      <c r="L31" s="81"/>
      <c r="M31" s="81"/>
      <c r="N31" s="81"/>
      <c r="O31" s="81"/>
      <c r="P31" s="81"/>
      <c r="Q31" s="81"/>
      <c r="R31" s="81"/>
      <c r="S31" s="81"/>
      <c r="T31" s="81"/>
      <c r="U31" s="81"/>
      <c r="V31" s="81"/>
      <c r="W31" s="81"/>
      <c r="X31" s="81"/>
      <c r="Y31" s="81"/>
      <c r="Z31" s="81"/>
      <c r="AA31" s="81"/>
      <c r="AB31" s="81"/>
      <c r="AC31" s="81"/>
    </row>
    <row r="32" customFormat="false" ht="12.75" hidden="false" customHeight="false" outlineLevel="0" collapsed="false">
      <c r="A32" s="81"/>
      <c r="B32" s="81"/>
      <c r="C32" s="81"/>
      <c r="D32" s="81"/>
      <c r="E32" s="81"/>
      <c r="F32" s="81"/>
      <c r="G32" s="81"/>
      <c r="H32" s="81"/>
      <c r="I32" s="81"/>
      <c r="J32" s="81"/>
      <c r="K32" s="81"/>
      <c r="L32" s="81"/>
      <c r="M32" s="81"/>
      <c r="N32" s="81"/>
      <c r="O32" s="81"/>
      <c r="P32" s="81"/>
      <c r="Q32" s="81"/>
      <c r="R32" s="81"/>
      <c r="S32" s="81"/>
      <c r="T32" s="81"/>
      <c r="U32" s="81"/>
      <c r="V32" s="81"/>
      <c r="W32" s="81"/>
      <c r="X32" s="81"/>
      <c r="Y32" s="81"/>
      <c r="Z32" s="81"/>
      <c r="AA32" s="81"/>
      <c r="AB32" s="81"/>
      <c r="AC32" s="81"/>
    </row>
    <row r="33" customFormat="false" ht="12.75" hidden="false" customHeight="false" outlineLevel="0" collapsed="false">
      <c r="A33" s="81"/>
      <c r="B33" s="81"/>
      <c r="C33" s="81"/>
      <c r="D33" s="81"/>
      <c r="E33" s="81"/>
      <c r="F33" s="81"/>
      <c r="G33" s="81"/>
      <c r="H33" s="81"/>
      <c r="I33" s="81"/>
      <c r="J33" s="81"/>
      <c r="K33" s="81"/>
      <c r="L33" s="81"/>
      <c r="M33" s="81"/>
      <c r="N33" s="81"/>
      <c r="O33" s="81"/>
      <c r="P33" s="81"/>
      <c r="Q33" s="81"/>
      <c r="R33" s="81"/>
      <c r="S33" s="81"/>
      <c r="T33" s="81"/>
      <c r="U33" s="81"/>
      <c r="V33" s="81"/>
      <c r="W33" s="81"/>
      <c r="X33" s="81"/>
      <c r="Y33" s="81"/>
      <c r="Z33" s="81"/>
      <c r="AA33" s="81"/>
      <c r="AB33" s="81"/>
      <c r="AC33" s="81"/>
    </row>
    <row r="34" customFormat="false" ht="12.75" hidden="false" customHeight="false" outlineLevel="0" collapsed="false">
      <c r="A34" s="81"/>
      <c r="B34" s="81"/>
      <c r="C34" s="81"/>
      <c r="D34" s="81"/>
      <c r="E34" s="81"/>
      <c r="F34" s="81"/>
      <c r="G34" s="81"/>
      <c r="H34" s="81"/>
      <c r="I34" s="81"/>
      <c r="J34" s="81"/>
      <c r="K34" s="81"/>
      <c r="L34" s="81"/>
      <c r="M34" s="81"/>
      <c r="N34" s="81"/>
      <c r="O34" s="81"/>
      <c r="P34" s="81"/>
      <c r="Q34" s="81"/>
      <c r="R34" s="81"/>
      <c r="S34" s="81"/>
      <c r="T34" s="81"/>
      <c r="U34" s="81"/>
      <c r="V34" s="81"/>
      <c r="W34" s="81"/>
      <c r="X34" s="81"/>
      <c r="Y34" s="81"/>
      <c r="Z34" s="81"/>
      <c r="AA34" s="81"/>
      <c r="AB34" s="81"/>
      <c r="AC34" s="81"/>
    </row>
    <row r="35" customFormat="false" ht="12.75" hidden="false" customHeight="false" outlineLevel="0" collapsed="false">
      <c r="A35" s="81"/>
      <c r="B35" s="81"/>
      <c r="C35" s="81"/>
      <c r="D35" s="81"/>
      <c r="E35" s="81"/>
      <c r="F35" s="81"/>
      <c r="G35" s="81"/>
      <c r="H35" s="81"/>
      <c r="I35" s="81"/>
      <c r="J35" s="81"/>
      <c r="K35" s="81"/>
      <c r="L35" s="81"/>
      <c r="M35" s="81"/>
      <c r="N35" s="81"/>
      <c r="O35" s="81"/>
      <c r="P35" s="81"/>
      <c r="Q35" s="81"/>
      <c r="R35" s="81"/>
      <c r="S35" s="81"/>
      <c r="T35" s="81"/>
      <c r="U35" s="81"/>
      <c r="V35" s="81"/>
      <c r="W35" s="81"/>
      <c r="X35" s="81"/>
      <c r="Y35" s="81"/>
      <c r="Z35" s="81"/>
      <c r="AA35" s="81"/>
      <c r="AB35" s="81"/>
      <c r="AC35" s="81"/>
    </row>
    <row r="36" customFormat="false" ht="12.75" hidden="false" customHeight="false" outlineLevel="0" collapsed="false">
      <c r="A36" s="81"/>
      <c r="B36" s="81"/>
      <c r="C36" s="81"/>
      <c r="D36" s="81"/>
      <c r="E36" s="81"/>
      <c r="F36" s="81"/>
      <c r="G36" s="81"/>
      <c r="H36" s="81"/>
      <c r="I36" s="81"/>
      <c r="J36" s="81"/>
      <c r="K36" s="81"/>
      <c r="L36" s="81"/>
      <c r="M36" s="81"/>
      <c r="N36" s="81"/>
      <c r="O36" s="81"/>
      <c r="P36" s="81"/>
      <c r="Q36" s="81"/>
      <c r="R36" s="81"/>
      <c r="S36" s="81"/>
      <c r="T36" s="81"/>
      <c r="U36" s="81"/>
      <c r="V36" s="81"/>
      <c r="W36" s="81"/>
      <c r="X36" s="81"/>
      <c r="Y36" s="81"/>
      <c r="Z36" s="81"/>
      <c r="AA36" s="81"/>
      <c r="AB36" s="81"/>
      <c r="AC36" s="81"/>
    </row>
    <row r="37" customFormat="false" ht="12.75" hidden="false" customHeight="false" outlineLevel="0" collapsed="false">
      <c r="A37" s="81"/>
      <c r="B37" s="81"/>
      <c r="C37" s="81"/>
      <c r="D37" s="81"/>
      <c r="E37" s="81"/>
      <c r="F37" s="81"/>
      <c r="G37" s="81"/>
      <c r="H37" s="81"/>
      <c r="I37" s="81"/>
      <c r="J37" s="81"/>
      <c r="K37" s="81"/>
      <c r="L37" s="81"/>
      <c r="M37" s="81"/>
      <c r="N37" s="81"/>
      <c r="O37" s="81"/>
      <c r="P37" s="81"/>
      <c r="Q37" s="81"/>
      <c r="R37" s="81"/>
      <c r="S37" s="81"/>
      <c r="T37" s="81"/>
      <c r="U37" s="81"/>
      <c r="V37" s="81"/>
      <c r="W37" s="81"/>
      <c r="X37" s="81"/>
      <c r="Y37" s="81"/>
      <c r="Z37" s="81"/>
      <c r="AA37" s="81"/>
      <c r="AB37" s="81"/>
      <c r="AC37" s="81"/>
    </row>
    <row r="38" customFormat="false" ht="12.75" hidden="false" customHeight="false" outlineLevel="0" collapsed="false">
      <c r="A38" s="81"/>
      <c r="B38" s="81"/>
      <c r="C38" s="81"/>
      <c r="D38" s="81"/>
      <c r="E38" s="81"/>
      <c r="F38" s="81"/>
      <c r="G38" s="81"/>
      <c r="H38" s="81"/>
      <c r="I38" s="81"/>
      <c r="J38" s="81"/>
      <c r="K38" s="81"/>
      <c r="L38" s="81"/>
      <c r="M38" s="81"/>
      <c r="N38" s="81"/>
      <c r="O38" s="81"/>
      <c r="P38" s="81"/>
      <c r="Q38" s="81"/>
      <c r="R38" s="81"/>
      <c r="S38" s="81"/>
      <c r="T38" s="81"/>
      <c r="U38" s="81"/>
      <c r="V38" s="81"/>
      <c r="W38" s="81"/>
      <c r="X38" s="81"/>
      <c r="Y38" s="81"/>
      <c r="Z38" s="81"/>
      <c r="AA38" s="81"/>
      <c r="AB38" s="81"/>
      <c r="AC38" s="81"/>
    </row>
    <row r="39" customFormat="false" ht="12.75" hidden="false" customHeight="false" outlineLevel="0" collapsed="false">
      <c r="A39" s="81"/>
      <c r="B39" s="81"/>
      <c r="C39" s="81"/>
      <c r="D39" s="81"/>
      <c r="E39" s="81"/>
      <c r="F39" s="81"/>
      <c r="G39" s="81"/>
      <c r="H39" s="81"/>
      <c r="I39" s="81"/>
      <c r="J39" s="81"/>
      <c r="K39" s="81"/>
      <c r="L39" s="81"/>
      <c r="M39" s="81"/>
      <c r="N39" s="81"/>
      <c r="O39" s="81"/>
      <c r="P39" s="81"/>
      <c r="Q39" s="81"/>
      <c r="R39" s="81"/>
      <c r="S39" s="81"/>
      <c r="T39" s="81"/>
      <c r="U39" s="81"/>
      <c r="V39" s="81"/>
      <c r="W39" s="81"/>
      <c r="X39" s="81"/>
      <c r="Y39" s="81"/>
      <c r="Z39" s="81"/>
      <c r="AA39" s="81"/>
      <c r="AB39" s="81"/>
      <c r="AC39" s="81"/>
    </row>
    <row r="40" customFormat="false" ht="12.75" hidden="false" customHeight="false" outlineLevel="0" collapsed="false">
      <c r="A40" s="81"/>
      <c r="B40" s="81"/>
      <c r="C40" s="81"/>
      <c r="D40" s="81"/>
      <c r="E40" s="81"/>
      <c r="F40" s="81"/>
      <c r="G40" s="81"/>
      <c r="H40" s="81"/>
      <c r="I40" s="81"/>
      <c r="J40" s="81"/>
      <c r="K40" s="81"/>
      <c r="L40" s="81"/>
      <c r="M40" s="81"/>
      <c r="N40" s="81"/>
      <c r="O40" s="81"/>
      <c r="P40" s="81"/>
      <c r="Q40" s="81"/>
      <c r="R40" s="81"/>
      <c r="S40" s="81"/>
      <c r="T40" s="81"/>
      <c r="U40" s="81"/>
      <c r="V40" s="81"/>
      <c r="W40" s="81"/>
      <c r="X40" s="81"/>
      <c r="Y40" s="81"/>
      <c r="Z40" s="81"/>
      <c r="AA40" s="81"/>
      <c r="AB40" s="81"/>
      <c r="AC40" s="81"/>
    </row>
    <row r="41" customFormat="false" ht="12.75" hidden="false" customHeight="false" outlineLevel="0" collapsed="false">
      <c r="A41" s="81"/>
      <c r="B41" s="81"/>
      <c r="C41" s="81"/>
      <c r="D41" s="81"/>
      <c r="E41" s="81"/>
      <c r="F41" s="81"/>
      <c r="G41" s="81"/>
      <c r="H41" s="81"/>
      <c r="I41" s="81"/>
      <c r="J41" s="81"/>
      <c r="K41" s="81"/>
      <c r="L41" s="81"/>
      <c r="M41" s="81"/>
      <c r="N41" s="81"/>
      <c r="O41" s="81"/>
      <c r="P41" s="81"/>
      <c r="Q41" s="81"/>
      <c r="R41" s="81"/>
      <c r="S41" s="81"/>
      <c r="T41" s="81"/>
      <c r="U41" s="81"/>
      <c r="V41" s="81"/>
      <c r="W41" s="81"/>
      <c r="X41" s="81"/>
      <c r="Y41" s="81"/>
      <c r="Z41" s="81"/>
      <c r="AA41" s="81"/>
      <c r="AB41" s="81"/>
      <c r="AC41" s="81"/>
    </row>
    <row r="42" customFormat="false" ht="12.75" hidden="false" customHeight="false" outlineLevel="0" collapsed="false">
      <c r="A42" s="81"/>
      <c r="B42" s="81"/>
      <c r="C42" s="81"/>
      <c r="D42" s="81"/>
      <c r="E42" s="81"/>
      <c r="F42" s="81"/>
      <c r="G42" s="81"/>
      <c r="H42" s="81"/>
      <c r="I42" s="81"/>
      <c r="J42" s="81"/>
      <c r="K42" s="81"/>
      <c r="L42" s="81"/>
      <c r="M42" s="81"/>
      <c r="N42" s="81"/>
      <c r="O42" s="81"/>
      <c r="P42" s="81"/>
      <c r="Q42" s="81"/>
      <c r="R42" s="81"/>
      <c r="S42" s="81"/>
      <c r="T42" s="81"/>
      <c r="U42" s="81"/>
      <c r="V42" s="81"/>
      <c r="W42" s="81"/>
      <c r="X42" s="81"/>
      <c r="Y42" s="81"/>
      <c r="Z42" s="81"/>
      <c r="AA42" s="81"/>
      <c r="AB42" s="81"/>
      <c r="AC42" s="81"/>
    </row>
    <row r="43" customFormat="false" ht="12.75" hidden="false" customHeight="false" outlineLevel="0" collapsed="false">
      <c r="A43" s="81"/>
      <c r="B43" s="81"/>
      <c r="C43" s="81"/>
      <c r="D43" s="81"/>
      <c r="E43" s="81"/>
      <c r="F43" s="81"/>
      <c r="G43" s="81"/>
      <c r="H43" s="81"/>
      <c r="I43" s="81"/>
      <c r="J43" s="81"/>
      <c r="K43" s="81"/>
      <c r="L43" s="81"/>
      <c r="M43" s="81"/>
      <c r="N43" s="81"/>
      <c r="O43" s="81"/>
      <c r="P43" s="81"/>
      <c r="Q43" s="81"/>
      <c r="R43" s="81"/>
      <c r="S43" s="81"/>
      <c r="T43" s="81"/>
      <c r="U43" s="81"/>
      <c r="V43" s="81"/>
      <c r="W43" s="81"/>
      <c r="X43" s="81"/>
      <c r="Y43" s="81"/>
      <c r="Z43" s="81"/>
      <c r="AA43" s="81"/>
      <c r="AB43" s="81"/>
      <c r="AC43" s="81"/>
    </row>
    <row r="44" customFormat="false" ht="12.75" hidden="false" customHeight="false" outlineLevel="0" collapsed="false">
      <c r="A44" s="81"/>
      <c r="B44" s="81"/>
      <c r="C44" s="81"/>
      <c r="D44" s="81"/>
      <c r="E44" s="81"/>
      <c r="F44" s="81"/>
      <c r="G44" s="81"/>
      <c r="H44" s="81"/>
      <c r="I44" s="81"/>
      <c r="J44" s="81"/>
      <c r="K44" s="81"/>
      <c r="L44" s="81"/>
      <c r="M44" s="81"/>
      <c r="N44" s="81"/>
      <c r="O44" s="81"/>
      <c r="P44" s="81"/>
      <c r="Q44" s="81"/>
      <c r="R44" s="81"/>
      <c r="S44" s="81"/>
      <c r="T44" s="81"/>
      <c r="U44" s="81"/>
      <c r="V44" s="81"/>
      <c r="W44" s="81"/>
      <c r="X44" s="81"/>
      <c r="Y44" s="81"/>
      <c r="Z44" s="81"/>
      <c r="AA44" s="81"/>
      <c r="AB44" s="81"/>
      <c r="AC44" s="81"/>
    </row>
    <row r="45" customFormat="false" ht="12.75" hidden="false" customHeight="false" outlineLevel="0" collapsed="false">
      <c r="A45" s="81"/>
      <c r="B45" s="81"/>
      <c r="C45" s="81"/>
      <c r="D45" s="81"/>
      <c r="E45" s="81"/>
      <c r="F45" s="81"/>
      <c r="G45" s="81"/>
      <c r="H45" s="81"/>
      <c r="I45" s="81"/>
      <c r="J45" s="81"/>
      <c r="K45" s="81"/>
      <c r="L45" s="81"/>
      <c r="M45" s="81"/>
      <c r="N45" s="81"/>
      <c r="O45" s="81"/>
      <c r="P45" s="81"/>
      <c r="Q45" s="81"/>
      <c r="R45" s="81"/>
      <c r="S45" s="81"/>
      <c r="T45" s="81"/>
      <c r="U45" s="81"/>
      <c r="V45" s="81"/>
      <c r="W45" s="81"/>
      <c r="X45" s="81"/>
      <c r="Y45" s="81"/>
      <c r="Z45" s="81"/>
      <c r="AA45" s="81"/>
      <c r="AB45" s="81"/>
      <c r="AC45" s="81"/>
    </row>
    <row r="46" customFormat="false" ht="12.75" hidden="false" customHeight="false" outlineLevel="0" collapsed="false">
      <c r="A46" s="81"/>
      <c r="B46" s="81"/>
      <c r="C46" s="81"/>
      <c r="D46" s="81"/>
      <c r="E46" s="81"/>
      <c r="F46" s="81"/>
      <c r="G46" s="81"/>
      <c r="H46" s="81"/>
      <c r="I46" s="81"/>
      <c r="J46" s="81"/>
      <c r="K46" s="81"/>
      <c r="L46" s="81"/>
      <c r="M46" s="81"/>
      <c r="N46" s="81"/>
      <c r="O46" s="81"/>
      <c r="P46" s="81"/>
      <c r="Q46" s="81"/>
      <c r="R46" s="81"/>
      <c r="S46" s="81"/>
      <c r="T46" s="81"/>
      <c r="U46" s="81"/>
      <c r="V46" s="81"/>
      <c r="W46" s="81"/>
      <c r="X46" s="81"/>
      <c r="Y46" s="81"/>
      <c r="Z46" s="81"/>
      <c r="AA46" s="81"/>
      <c r="AB46" s="81"/>
      <c r="AC46" s="81"/>
    </row>
    <row r="47" customFormat="false" ht="12.75" hidden="false" customHeight="false" outlineLevel="0" collapsed="false">
      <c r="A47" s="81"/>
      <c r="B47" s="81"/>
      <c r="C47" s="81"/>
      <c r="D47" s="81"/>
      <c r="E47" s="81"/>
      <c r="F47" s="81"/>
      <c r="G47" s="81"/>
      <c r="H47" s="81"/>
      <c r="I47" s="81"/>
      <c r="J47" s="81"/>
      <c r="K47" s="81"/>
      <c r="L47" s="81"/>
      <c r="M47" s="81"/>
      <c r="N47" s="81"/>
      <c r="O47" s="81"/>
      <c r="P47" s="81"/>
      <c r="Q47" s="81"/>
      <c r="R47" s="81"/>
      <c r="S47" s="81"/>
      <c r="T47" s="81"/>
      <c r="U47" s="81"/>
      <c r="V47" s="81"/>
      <c r="W47" s="81"/>
      <c r="X47" s="81"/>
      <c r="Y47" s="81"/>
      <c r="Z47" s="81"/>
      <c r="AA47" s="81"/>
      <c r="AB47" s="81"/>
      <c r="AC47" s="81"/>
    </row>
    <row r="48" customFormat="false" ht="12.75" hidden="false" customHeight="false" outlineLevel="0" collapsed="false">
      <c r="A48" s="81"/>
      <c r="B48" s="81"/>
      <c r="C48" s="81"/>
      <c r="D48" s="81"/>
      <c r="E48" s="81"/>
      <c r="F48" s="81"/>
      <c r="G48" s="81"/>
      <c r="H48" s="81"/>
      <c r="I48" s="81"/>
      <c r="J48" s="81"/>
      <c r="K48" s="81"/>
      <c r="L48" s="81"/>
      <c r="M48" s="81"/>
      <c r="N48" s="81"/>
      <c r="O48" s="81"/>
      <c r="P48" s="81"/>
      <c r="Q48" s="81"/>
      <c r="R48" s="81"/>
      <c r="S48" s="81"/>
      <c r="T48" s="81"/>
      <c r="U48" s="81"/>
      <c r="V48" s="81"/>
      <c r="W48" s="81"/>
      <c r="X48" s="81"/>
      <c r="Y48" s="81"/>
      <c r="Z48" s="81"/>
      <c r="AA48" s="81"/>
      <c r="AB48" s="81"/>
      <c r="AC48" s="81"/>
    </row>
    <row r="49" customFormat="false" ht="12.75" hidden="false" customHeight="false" outlineLevel="0" collapsed="false">
      <c r="A49" s="81"/>
      <c r="B49" s="81"/>
      <c r="C49" s="81"/>
      <c r="D49" s="81"/>
      <c r="E49" s="81"/>
      <c r="F49" s="81"/>
      <c r="G49" s="81"/>
      <c r="H49" s="81"/>
      <c r="I49" s="81"/>
      <c r="J49" s="81"/>
      <c r="K49" s="81"/>
      <c r="L49" s="81"/>
      <c r="M49" s="81"/>
      <c r="N49" s="81"/>
      <c r="O49" s="81"/>
      <c r="P49" s="81"/>
      <c r="Q49" s="81"/>
      <c r="R49" s="81"/>
      <c r="S49" s="81"/>
      <c r="T49" s="81"/>
      <c r="U49" s="81"/>
      <c r="V49" s="81"/>
      <c r="W49" s="81"/>
      <c r="X49" s="81"/>
      <c r="Y49" s="81"/>
      <c r="Z49" s="81"/>
      <c r="AA49" s="81"/>
      <c r="AB49" s="81"/>
      <c r="AC49" s="81"/>
    </row>
    <row r="50" customFormat="false" ht="12.75" hidden="false" customHeight="false" outlineLevel="0" collapsed="false">
      <c r="A50" s="81"/>
      <c r="B50" s="81"/>
      <c r="C50" s="81"/>
      <c r="D50" s="81"/>
      <c r="E50" s="81"/>
      <c r="F50" s="81"/>
      <c r="G50" s="81"/>
      <c r="H50" s="81"/>
      <c r="I50" s="81"/>
      <c r="J50" s="81"/>
      <c r="K50" s="81"/>
      <c r="L50" s="81"/>
      <c r="M50" s="81"/>
      <c r="N50" s="81"/>
      <c r="O50" s="81"/>
      <c r="P50" s="81"/>
      <c r="Q50" s="81"/>
      <c r="R50" s="81"/>
      <c r="S50" s="81"/>
      <c r="T50" s="81"/>
      <c r="U50" s="81"/>
      <c r="V50" s="81"/>
      <c r="W50" s="81"/>
      <c r="X50" s="81"/>
      <c r="Y50" s="81"/>
      <c r="Z50" s="81"/>
      <c r="AA50" s="81"/>
      <c r="AB50" s="81"/>
      <c r="AC50" s="81"/>
    </row>
    <row r="51" customFormat="false" ht="12.75" hidden="false" customHeight="false" outlineLevel="0" collapsed="false">
      <c r="A51" s="81"/>
      <c r="B51" s="81"/>
      <c r="C51" s="81"/>
      <c r="D51" s="81"/>
      <c r="E51" s="81"/>
      <c r="F51" s="81"/>
      <c r="G51" s="81"/>
      <c r="H51" s="81"/>
      <c r="I51" s="81"/>
      <c r="J51" s="81"/>
      <c r="K51" s="81"/>
      <c r="L51" s="81"/>
      <c r="M51" s="81"/>
      <c r="N51" s="81"/>
      <c r="O51" s="81"/>
      <c r="P51" s="81"/>
      <c r="Q51" s="81"/>
      <c r="R51" s="81"/>
      <c r="S51" s="81"/>
      <c r="T51" s="81"/>
      <c r="U51" s="81"/>
      <c r="V51" s="81"/>
      <c r="W51" s="81"/>
      <c r="X51" s="81"/>
      <c r="Y51" s="81"/>
      <c r="Z51" s="81"/>
      <c r="AA51" s="81"/>
      <c r="AB51" s="81"/>
      <c r="AC51" s="81"/>
    </row>
    <row r="52" customFormat="false" ht="12.75" hidden="false" customHeight="false" outlineLevel="0" collapsed="false">
      <c r="A52" s="81"/>
      <c r="B52" s="81"/>
      <c r="C52" s="81"/>
      <c r="D52" s="81"/>
      <c r="E52" s="81"/>
      <c r="F52" s="81"/>
      <c r="G52" s="81"/>
      <c r="H52" s="81"/>
      <c r="I52" s="81"/>
      <c r="J52" s="81"/>
      <c r="K52" s="81"/>
      <c r="L52" s="81"/>
      <c r="M52" s="81"/>
      <c r="N52" s="81"/>
      <c r="O52" s="81"/>
      <c r="P52" s="81"/>
      <c r="Q52" s="81"/>
      <c r="R52" s="81"/>
      <c r="S52" s="81"/>
      <c r="T52" s="81"/>
      <c r="U52" s="81"/>
      <c r="V52" s="81"/>
      <c r="W52" s="81"/>
      <c r="X52" s="81"/>
      <c r="Y52" s="81"/>
      <c r="Z52" s="81"/>
      <c r="AA52" s="81"/>
      <c r="AB52" s="81"/>
      <c r="AC52" s="81"/>
    </row>
    <row r="53" customFormat="false" ht="12.75" hidden="false" customHeight="false" outlineLevel="0" collapsed="false">
      <c r="A53" s="81"/>
      <c r="B53" s="81"/>
      <c r="C53" s="81"/>
      <c r="D53" s="81"/>
      <c r="E53" s="81"/>
      <c r="F53" s="81"/>
      <c r="G53" s="81"/>
      <c r="H53" s="81"/>
      <c r="I53" s="81"/>
      <c r="J53" s="81"/>
      <c r="K53" s="81"/>
      <c r="L53" s="81"/>
      <c r="M53" s="81"/>
      <c r="N53" s="81"/>
      <c r="O53" s="81"/>
      <c r="P53" s="81"/>
      <c r="Q53" s="81"/>
      <c r="R53" s="81"/>
      <c r="S53" s="81"/>
      <c r="T53" s="81"/>
      <c r="U53" s="81"/>
      <c r="V53" s="81"/>
      <c r="W53" s="81"/>
      <c r="X53" s="81"/>
      <c r="Y53" s="81"/>
      <c r="Z53" s="81"/>
      <c r="AA53" s="81"/>
      <c r="AB53" s="81"/>
      <c r="AC53" s="81"/>
    </row>
    <row r="54" customFormat="false" ht="12.75" hidden="false" customHeight="false" outlineLevel="0" collapsed="false">
      <c r="A54" s="81"/>
      <c r="B54" s="81"/>
      <c r="C54" s="81"/>
      <c r="D54" s="81"/>
      <c r="E54" s="81"/>
      <c r="F54" s="81"/>
      <c r="G54" s="81"/>
      <c r="H54" s="81"/>
      <c r="I54" s="81"/>
      <c r="J54" s="81"/>
      <c r="K54" s="81"/>
      <c r="L54" s="81"/>
      <c r="M54" s="81"/>
      <c r="N54" s="81"/>
      <c r="O54" s="81"/>
      <c r="P54" s="81"/>
      <c r="Q54" s="81"/>
      <c r="R54" s="81"/>
      <c r="S54" s="81"/>
      <c r="T54" s="81"/>
      <c r="U54" s="81"/>
      <c r="V54" s="81"/>
      <c r="W54" s="81"/>
      <c r="X54" s="81"/>
      <c r="Y54" s="81"/>
      <c r="Z54" s="81"/>
      <c r="AA54" s="81"/>
      <c r="AB54" s="81"/>
      <c r="AC54" s="81"/>
    </row>
    <row r="55" customFormat="false" ht="12.75" hidden="false" customHeight="false" outlineLevel="0" collapsed="false">
      <c r="A55" s="81"/>
      <c r="B55" s="81"/>
      <c r="C55" s="81"/>
      <c r="D55" s="81"/>
      <c r="E55" s="81"/>
      <c r="F55" s="81"/>
      <c r="G55" s="81"/>
      <c r="H55" s="81"/>
      <c r="I55" s="81"/>
      <c r="J55" s="81"/>
      <c r="K55" s="81"/>
      <c r="L55" s="81"/>
      <c r="M55" s="81"/>
      <c r="N55" s="81"/>
      <c r="O55" s="81"/>
      <c r="P55" s="81"/>
      <c r="Q55" s="81"/>
      <c r="R55" s="81"/>
      <c r="S55" s="81"/>
      <c r="T55" s="81"/>
      <c r="U55" s="81"/>
      <c r="V55" s="81"/>
      <c r="W55" s="81"/>
      <c r="X55" s="81"/>
      <c r="Y55" s="81"/>
      <c r="Z55" s="81"/>
      <c r="AA55" s="81"/>
      <c r="AB55" s="81"/>
      <c r="AC55" s="81"/>
    </row>
    <row r="56" customFormat="false" ht="12.75" hidden="false" customHeight="false" outlineLevel="0" collapsed="false">
      <c r="A56" s="81"/>
      <c r="B56" s="81"/>
      <c r="C56" s="81"/>
      <c r="D56" s="81"/>
      <c r="E56" s="81"/>
      <c r="F56" s="81"/>
      <c r="G56" s="81"/>
      <c r="H56" s="81"/>
      <c r="I56" s="81"/>
      <c r="J56" s="81"/>
      <c r="K56" s="81"/>
      <c r="L56" s="81"/>
      <c r="M56" s="81"/>
      <c r="N56" s="81"/>
      <c r="O56" s="81"/>
      <c r="P56" s="81"/>
      <c r="Q56" s="81"/>
      <c r="R56" s="81"/>
      <c r="S56" s="81"/>
      <c r="T56" s="81"/>
      <c r="U56" s="81"/>
      <c r="V56" s="81"/>
      <c r="W56" s="81"/>
      <c r="X56" s="81"/>
      <c r="Y56" s="81"/>
      <c r="Z56" s="81"/>
      <c r="AA56" s="81"/>
      <c r="AB56" s="81"/>
      <c r="AC56" s="81"/>
    </row>
    <row r="57" customFormat="false" ht="12.75" hidden="false" customHeight="false" outlineLevel="0" collapsed="false">
      <c r="A57" s="81"/>
      <c r="B57" s="81"/>
      <c r="C57" s="81"/>
      <c r="D57" s="81"/>
      <c r="E57" s="81"/>
      <c r="F57" s="81"/>
      <c r="G57" s="81"/>
      <c r="H57" s="81"/>
      <c r="I57" s="81"/>
      <c r="J57" s="81"/>
      <c r="K57" s="81"/>
      <c r="L57" s="81"/>
      <c r="M57" s="81"/>
      <c r="N57" s="81"/>
      <c r="O57" s="81"/>
      <c r="P57" s="81"/>
      <c r="Q57" s="81"/>
      <c r="R57" s="81"/>
      <c r="S57" s="81"/>
      <c r="T57" s="81"/>
      <c r="U57" s="81"/>
      <c r="V57" s="81"/>
      <c r="W57" s="81"/>
      <c r="X57" s="81"/>
      <c r="Y57" s="81"/>
      <c r="Z57" s="81"/>
      <c r="AA57" s="81"/>
      <c r="AB57" s="81"/>
      <c r="AC57" s="81"/>
    </row>
    <row r="58" customFormat="false" ht="12.75" hidden="false" customHeight="false" outlineLevel="0" collapsed="false">
      <c r="A58" s="81"/>
      <c r="B58" s="81"/>
      <c r="C58" s="81"/>
      <c r="D58" s="81"/>
      <c r="E58" s="81"/>
      <c r="F58" s="81"/>
      <c r="G58" s="81"/>
      <c r="H58" s="81"/>
      <c r="I58" s="81"/>
      <c r="J58" s="81"/>
      <c r="K58" s="81"/>
      <c r="L58" s="81"/>
      <c r="M58" s="81"/>
      <c r="N58" s="81"/>
      <c r="O58" s="81"/>
      <c r="P58" s="81"/>
      <c r="Q58" s="81"/>
      <c r="R58" s="81"/>
      <c r="S58" s="81"/>
      <c r="T58" s="81"/>
      <c r="U58" s="81"/>
      <c r="V58" s="81"/>
      <c r="W58" s="81"/>
      <c r="X58" s="81"/>
      <c r="Y58" s="81"/>
      <c r="Z58" s="81"/>
      <c r="AA58" s="81"/>
      <c r="AB58" s="81"/>
      <c r="AC58" s="81"/>
    </row>
    <row r="59" customFormat="false" ht="12.75" hidden="false" customHeight="false" outlineLevel="0" collapsed="false">
      <c r="A59" s="81"/>
      <c r="B59" s="81"/>
      <c r="C59" s="81"/>
      <c r="D59" s="81"/>
      <c r="E59" s="81"/>
      <c r="F59" s="81"/>
      <c r="G59" s="81"/>
      <c r="H59" s="81"/>
      <c r="I59" s="81"/>
      <c r="J59" s="81"/>
      <c r="K59" s="81"/>
      <c r="L59" s="81"/>
      <c r="M59" s="81"/>
      <c r="N59" s="81"/>
      <c r="O59" s="81"/>
      <c r="P59" s="81"/>
      <c r="Q59" s="81"/>
      <c r="R59" s="81"/>
      <c r="S59" s="81"/>
      <c r="T59" s="81"/>
      <c r="U59" s="81"/>
      <c r="V59" s="81"/>
      <c r="W59" s="81"/>
      <c r="X59" s="81"/>
      <c r="Y59" s="81"/>
      <c r="Z59" s="81"/>
      <c r="AA59" s="81"/>
      <c r="AB59" s="81"/>
      <c r="AC59" s="81"/>
    </row>
    <row r="60" customFormat="false" ht="12.75" hidden="false" customHeight="false" outlineLevel="0" collapsed="false">
      <c r="A60" s="81"/>
      <c r="B60" s="81"/>
      <c r="C60" s="81"/>
      <c r="D60" s="81"/>
      <c r="E60" s="81"/>
      <c r="F60" s="81"/>
      <c r="G60" s="81"/>
      <c r="H60" s="81"/>
      <c r="I60" s="81"/>
      <c r="J60" s="81"/>
      <c r="K60" s="81"/>
      <c r="L60" s="81"/>
      <c r="M60" s="81"/>
      <c r="N60" s="81"/>
      <c r="O60" s="81"/>
      <c r="P60" s="81"/>
      <c r="Q60" s="81"/>
      <c r="R60" s="81"/>
      <c r="S60" s="81"/>
      <c r="T60" s="81"/>
      <c r="U60" s="81"/>
      <c r="V60" s="81"/>
      <c r="W60" s="81"/>
      <c r="X60" s="81"/>
      <c r="Y60" s="81"/>
      <c r="Z60" s="81"/>
      <c r="AA60" s="81"/>
      <c r="AB60" s="81"/>
      <c r="AC60" s="81"/>
    </row>
    <row r="61" customFormat="false" ht="12.75" hidden="false" customHeight="false" outlineLevel="0" collapsed="false">
      <c r="A61" s="81"/>
      <c r="B61" s="81"/>
      <c r="C61" s="81"/>
      <c r="D61" s="81"/>
      <c r="E61" s="81"/>
      <c r="F61" s="81"/>
      <c r="G61" s="81"/>
      <c r="H61" s="81"/>
      <c r="I61" s="81"/>
      <c r="J61" s="81"/>
      <c r="K61" s="81"/>
      <c r="L61" s="81"/>
      <c r="M61" s="81"/>
      <c r="N61" s="81"/>
      <c r="O61" s="81"/>
      <c r="P61" s="81"/>
      <c r="Q61" s="81"/>
      <c r="R61" s="81"/>
      <c r="S61" s="81"/>
      <c r="T61" s="81"/>
      <c r="U61" s="81"/>
      <c r="V61" s="81"/>
      <c r="W61" s="81"/>
      <c r="X61" s="81"/>
      <c r="Y61" s="81"/>
      <c r="Z61" s="81"/>
      <c r="AA61" s="81"/>
      <c r="AB61" s="81"/>
      <c r="AC61" s="81"/>
    </row>
    <row r="62" customFormat="false" ht="12.75" hidden="false" customHeight="false" outlineLevel="0" collapsed="false">
      <c r="A62" s="81"/>
      <c r="B62" s="81"/>
      <c r="C62" s="81"/>
      <c r="D62" s="81"/>
      <c r="E62" s="81"/>
      <c r="F62" s="81"/>
      <c r="G62" s="81"/>
      <c r="H62" s="81"/>
      <c r="I62" s="81"/>
      <c r="J62" s="81"/>
      <c r="K62" s="81"/>
      <c r="L62" s="81"/>
      <c r="M62" s="81"/>
      <c r="N62" s="81"/>
      <c r="O62" s="81"/>
      <c r="P62" s="81"/>
      <c r="Q62" s="81"/>
      <c r="R62" s="81"/>
      <c r="S62" s="81"/>
      <c r="T62" s="81"/>
      <c r="U62" s="81"/>
      <c r="V62" s="81"/>
      <c r="W62" s="81"/>
      <c r="X62" s="81"/>
      <c r="Y62" s="81"/>
      <c r="Z62" s="81"/>
      <c r="AA62" s="81"/>
      <c r="AB62" s="81"/>
      <c r="AC62" s="81"/>
    </row>
    <row r="63" customFormat="false" ht="12.75" hidden="false" customHeight="false" outlineLevel="0" collapsed="false">
      <c r="A63" s="81"/>
      <c r="B63" s="81"/>
      <c r="C63" s="81"/>
      <c r="D63" s="81"/>
      <c r="E63" s="81"/>
      <c r="F63" s="81"/>
      <c r="G63" s="81"/>
      <c r="H63" s="81"/>
      <c r="I63" s="81"/>
      <c r="J63" s="81"/>
      <c r="K63" s="81"/>
      <c r="L63" s="81"/>
      <c r="M63" s="81"/>
      <c r="N63" s="81"/>
      <c r="O63" s="81"/>
      <c r="P63" s="81"/>
      <c r="Q63" s="81"/>
      <c r="R63" s="81"/>
      <c r="S63" s="81"/>
      <c r="T63" s="81"/>
      <c r="U63" s="81"/>
      <c r="V63" s="81"/>
      <c r="W63" s="81"/>
      <c r="X63" s="81"/>
      <c r="Y63" s="81"/>
      <c r="Z63" s="81"/>
      <c r="AA63" s="81"/>
      <c r="AB63" s="81"/>
      <c r="AC63" s="81"/>
    </row>
    <row r="64" customFormat="false" ht="12.75" hidden="false" customHeight="false" outlineLevel="0" collapsed="false">
      <c r="A64" s="81"/>
      <c r="B64" s="81"/>
      <c r="C64" s="81"/>
      <c r="D64" s="81"/>
      <c r="E64" s="81"/>
      <c r="F64" s="81"/>
      <c r="G64" s="81"/>
      <c r="H64" s="81"/>
      <c r="I64" s="81"/>
      <c r="J64" s="81"/>
      <c r="K64" s="81"/>
      <c r="L64" s="81"/>
      <c r="M64" s="81"/>
      <c r="N64" s="81"/>
      <c r="O64" s="81"/>
      <c r="P64" s="81"/>
      <c r="Q64" s="81"/>
      <c r="R64" s="81"/>
      <c r="S64" s="81"/>
      <c r="T64" s="81"/>
      <c r="U64" s="81"/>
      <c r="V64" s="81"/>
      <c r="W64" s="81"/>
      <c r="X64" s="81"/>
      <c r="Y64" s="81"/>
      <c r="Z64" s="81"/>
      <c r="AA64" s="81"/>
      <c r="AB64" s="81"/>
      <c r="AC64" s="81"/>
    </row>
    <row r="65" customFormat="false" ht="12.75" hidden="false" customHeight="false" outlineLevel="0" collapsed="false">
      <c r="A65" s="81"/>
      <c r="B65" s="81"/>
      <c r="C65" s="81"/>
      <c r="D65" s="81"/>
      <c r="E65" s="81"/>
      <c r="F65" s="81"/>
      <c r="G65" s="81"/>
      <c r="H65" s="81"/>
      <c r="I65" s="81"/>
      <c r="J65" s="81"/>
      <c r="K65" s="81"/>
      <c r="L65" s="81"/>
      <c r="M65" s="81"/>
      <c r="N65" s="81"/>
      <c r="O65" s="81"/>
      <c r="P65" s="81"/>
      <c r="Q65" s="81"/>
      <c r="R65" s="81"/>
      <c r="S65" s="81"/>
      <c r="T65" s="81"/>
      <c r="U65" s="81"/>
      <c r="V65" s="81"/>
      <c r="W65" s="81"/>
      <c r="X65" s="81"/>
      <c r="Y65" s="81"/>
      <c r="Z65" s="81"/>
      <c r="AA65" s="81"/>
      <c r="AB65" s="81"/>
      <c r="AC65" s="81"/>
    </row>
    <row r="66" customFormat="false" ht="12.75" hidden="false" customHeight="false" outlineLevel="0" collapsed="false">
      <c r="A66" s="81"/>
      <c r="B66" s="81"/>
      <c r="C66" s="81"/>
      <c r="D66" s="81"/>
      <c r="E66" s="81"/>
      <c r="F66" s="81"/>
      <c r="G66" s="81"/>
      <c r="H66" s="81"/>
      <c r="I66" s="81"/>
      <c r="J66" s="81"/>
      <c r="K66" s="81"/>
      <c r="L66" s="81"/>
      <c r="M66" s="81"/>
      <c r="N66" s="81"/>
      <c r="O66" s="81"/>
      <c r="P66" s="81"/>
      <c r="Q66" s="81"/>
      <c r="R66" s="81"/>
      <c r="S66" s="81"/>
      <c r="T66" s="81"/>
      <c r="U66" s="81"/>
      <c r="V66" s="81"/>
      <c r="W66" s="81"/>
      <c r="X66" s="81"/>
      <c r="Y66" s="81"/>
      <c r="Z66" s="81"/>
      <c r="AA66" s="81"/>
      <c r="AB66" s="81"/>
      <c r="AC66" s="81"/>
    </row>
    <row r="67" customFormat="false" ht="12.75" hidden="false" customHeight="false" outlineLevel="0" collapsed="false">
      <c r="A67" s="81"/>
      <c r="B67" s="81"/>
      <c r="C67" s="81"/>
      <c r="D67" s="81"/>
      <c r="E67" s="81"/>
      <c r="F67" s="81"/>
      <c r="G67" s="81"/>
      <c r="H67" s="81"/>
      <c r="I67" s="81"/>
      <c r="J67" s="81"/>
      <c r="K67" s="81"/>
      <c r="L67" s="81"/>
      <c r="M67" s="81"/>
      <c r="N67" s="81"/>
      <c r="O67" s="81"/>
      <c r="P67" s="81"/>
      <c r="Q67" s="81"/>
      <c r="R67" s="81"/>
      <c r="S67" s="81"/>
      <c r="T67" s="81"/>
      <c r="U67" s="81"/>
      <c r="V67" s="81"/>
      <c r="W67" s="81"/>
      <c r="X67" s="81"/>
      <c r="Y67" s="81"/>
      <c r="Z67" s="81"/>
      <c r="AA67" s="81"/>
      <c r="AB67" s="81"/>
      <c r="AC67" s="81"/>
    </row>
    <row r="68" customFormat="false" ht="12.75" hidden="false" customHeight="false" outlineLevel="0" collapsed="false">
      <c r="A68" s="81"/>
      <c r="B68" s="81"/>
      <c r="C68" s="81"/>
      <c r="D68" s="81"/>
      <c r="E68" s="81"/>
      <c r="F68" s="81"/>
      <c r="G68" s="81"/>
      <c r="H68" s="81"/>
      <c r="I68" s="81"/>
      <c r="J68" s="81"/>
      <c r="K68" s="81"/>
      <c r="L68" s="81"/>
      <c r="M68" s="81"/>
      <c r="N68" s="81"/>
      <c r="O68" s="81"/>
      <c r="P68" s="81"/>
      <c r="Q68" s="81"/>
      <c r="R68" s="81"/>
      <c r="S68" s="81"/>
      <c r="T68" s="81"/>
      <c r="U68" s="81"/>
      <c r="V68" s="81"/>
      <c r="W68" s="81"/>
      <c r="X68" s="81"/>
      <c r="Y68" s="81"/>
      <c r="Z68" s="81"/>
      <c r="AA68" s="81"/>
      <c r="AB68" s="81"/>
      <c r="AC68" s="81"/>
    </row>
    <row r="69" customFormat="false" ht="12.75" hidden="false" customHeight="false" outlineLevel="0" collapsed="false">
      <c r="A69" s="81"/>
      <c r="B69" s="81"/>
      <c r="C69" s="81"/>
      <c r="D69" s="81"/>
      <c r="E69" s="81"/>
      <c r="F69" s="81"/>
      <c r="G69" s="81"/>
      <c r="H69" s="81"/>
      <c r="I69" s="81"/>
      <c r="J69" s="81"/>
      <c r="K69" s="81"/>
      <c r="L69" s="81"/>
      <c r="M69" s="81"/>
      <c r="N69" s="81"/>
      <c r="O69" s="81"/>
      <c r="P69" s="81"/>
      <c r="Q69" s="81"/>
      <c r="R69" s="81"/>
      <c r="S69" s="81"/>
      <c r="T69" s="81"/>
      <c r="U69" s="81"/>
      <c r="V69" s="81"/>
      <c r="W69" s="81"/>
      <c r="X69" s="81"/>
      <c r="Y69" s="81"/>
      <c r="Z69" s="81"/>
      <c r="AA69" s="81"/>
      <c r="AB69" s="81"/>
      <c r="AC69" s="81"/>
    </row>
    <row r="70" customFormat="false" ht="12.75" hidden="false" customHeight="false" outlineLevel="0" collapsed="false">
      <c r="A70" s="81"/>
      <c r="B70" s="81"/>
      <c r="C70" s="81"/>
      <c r="D70" s="81"/>
      <c r="E70" s="81"/>
      <c r="F70" s="81"/>
      <c r="G70" s="81"/>
      <c r="H70" s="81"/>
      <c r="I70" s="81"/>
      <c r="J70" s="81"/>
      <c r="K70" s="81"/>
      <c r="L70" s="81"/>
      <c r="M70" s="81"/>
      <c r="N70" s="81"/>
      <c r="O70" s="81"/>
      <c r="P70" s="81"/>
      <c r="Q70" s="81"/>
      <c r="R70" s="81"/>
      <c r="S70" s="81"/>
      <c r="T70" s="81"/>
      <c r="U70" s="81"/>
      <c r="V70" s="81"/>
      <c r="W70" s="81"/>
      <c r="X70" s="81"/>
      <c r="Y70" s="81"/>
      <c r="Z70" s="81"/>
      <c r="AA70" s="81"/>
      <c r="AB70" s="81"/>
      <c r="AC70" s="81"/>
    </row>
    <row r="71" customFormat="false" ht="12.75" hidden="false" customHeight="false" outlineLevel="0" collapsed="false">
      <c r="A71" s="81"/>
      <c r="B71" s="81"/>
      <c r="C71" s="81"/>
      <c r="D71" s="81"/>
      <c r="E71" s="81"/>
      <c r="F71" s="81"/>
      <c r="G71" s="81"/>
      <c r="H71" s="81"/>
      <c r="I71" s="81"/>
      <c r="J71" s="81"/>
      <c r="K71" s="81"/>
      <c r="L71" s="81"/>
      <c r="M71" s="81"/>
      <c r="N71" s="81"/>
      <c r="O71" s="81"/>
      <c r="P71" s="81"/>
      <c r="Q71" s="81"/>
      <c r="R71" s="81"/>
      <c r="S71" s="81"/>
      <c r="T71" s="81"/>
      <c r="U71" s="81"/>
      <c r="V71" s="81"/>
      <c r="W71" s="81"/>
      <c r="X71" s="81"/>
      <c r="Y71" s="81"/>
      <c r="Z71" s="81"/>
      <c r="AA71" s="81"/>
      <c r="AB71" s="81"/>
      <c r="AC71" s="81"/>
    </row>
    <row r="72" customFormat="false" ht="12.75" hidden="false" customHeight="false" outlineLevel="0" collapsed="false">
      <c r="A72" s="81"/>
      <c r="B72" s="81"/>
      <c r="C72" s="81"/>
      <c r="D72" s="81"/>
      <c r="E72" s="81"/>
      <c r="F72" s="81"/>
      <c r="G72" s="81"/>
      <c r="H72" s="81"/>
      <c r="I72" s="81"/>
      <c r="J72" s="81"/>
      <c r="K72" s="81"/>
      <c r="L72" s="81"/>
      <c r="M72" s="81"/>
      <c r="N72" s="81"/>
      <c r="O72" s="81"/>
      <c r="P72" s="81"/>
      <c r="Q72" s="81"/>
      <c r="R72" s="81"/>
      <c r="S72" s="81"/>
      <c r="T72" s="81"/>
      <c r="U72" s="81"/>
      <c r="V72" s="81"/>
      <c r="W72" s="81"/>
      <c r="X72" s="81"/>
      <c r="Y72" s="81"/>
      <c r="Z72" s="81"/>
      <c r="AA72" s="81"/>
      <c r="AB72" s="81"/>
      <c r="AC72" s="81"/>
    </row>
    <row r="73" customFormat="false" ht="12.75" hidden="false" customHeight="false" outlineLevel="0" collapsed="false">
      <c r="A73" s="81"/>
      <c r="B73" s="81"/>
      <c r="C73" s="81"/>
      <c r="D73" s="81"/>
      <c r="E73" s="81"/>
      <c r="F73" s="81"/>
      <c r="G73" s="81"/>
      <c r="H73" s="81"/>
      <c r="I73" s="81"/>
      <c r="J73" s="81"/>
      <c r="K73" s="81"/>
      <c r="L73" s="81"/>
      <c r="M73" s="81"/>
      <c r="N73" s="81"/>
      <c r="O73" s="81"/>
      <c r="P73" s="81"/>
      <c r="Q73" s="81"/>
      <c r="R73" s="81"/>
      <c r="S73" s="81"/>
      <c r="T73" s="81"/>
      <c r="U73" s="81"/>
      <c r="V73" s="81"/>
      <c r="W73" s="81"/>
      <c r="X73" s="81"/>
      <c r="Y73" s="81"/>
      <c r="Z73" s="81"/>
      <c r="AA73" s="81"/>
      <c r="AB73" s="81"/>
      <c r="AC73" s="81"/>
    </row>
    <row r="74" customFormat="false" ht="12.75" hidden="false" customHeight="false" outlineLevel="0" collapsed="false">
      <c r="A74" s="81"/>
      <c r="B74" s="81"/>
      <c r="C74" s="81"/>
      <c r="D74" s="81"/>
      <c r="E74" s="81"/>
      <c r="F74" s="81"/>
      <c r="G74" s="81"/>
      <c r="H74" s="81"/>
      <c r="I74" s="81"/>
      <c r="J74" s="81"/>
      <c r="K74" s="81"/>
      <c r="L74" s="81"/>
      <c r="M74" s="81"/>
      <c r="N74" s="81"/>
      <c r="O74" s="81"/>
      <c r="P74" s="81"/>
      <c r="Q74" s="81"/>
      <c r="R74" s="81"/>
      <c r="S74" s="81"/>
      <c r="T74" s="81"/>
      <c r="U74" s="81"/>
      <c r="V74" s="81"/>
      <c r="W74" s="81"/>
      <c r="X74" s="81"/>
      <c r="Y74" s="81"/>
      <c r="Z74" s="81"/>
      <c r="AA74" s="81"/>
      <c r="AB74" s="81"/>
      <c r="AC74" s="81"/>
    </row>
    <row r="75" customFormat="false" ht="12.75" hidden="false" customHeight="false" outlineLevel="0" collapsed="false">
      <c r="A75" s="81"/>
      <c r="B75" s="81"/>
      <c r="C75" s="81"/>
      <c r="D75" s="81"/>
      <c r="E75" s="81"/>
      <c r="F75" s="81"/>
      <c r="G75" s="81"/>
      <c r="H75" s="81"/>
      <c r="I75" s="81"/>
      <c r="J75" s="81"/>
      <c r="K75" s="81"/>
      <c r="L75" s="81"/>
      <c r="M75" s="81"/>
      <c r="N75" s="81"/>
      <c r="O75" s="81"/>
      <c r="P75" s="81"/>
      <c r="Q75" s="81"/>
      <c r="R75" s="81"/>
      <c r="S75" s="81"/>
      <c r="T75" s="81"/>
      <c r="U75" s="81"/>
      <c r="V75" s="81"/>
      <c r="W75" s="81"/>
      <c r="X75" s="81"/>
      <c r="Y75" s="81"/>
      <c r="Z75" s="81"/>
      <c r="AA75" s="81"/>
      <c r="AB75" s="81"/>
      <c r="AC75" s="81"/>
    </row>
    <row r="76" customFormat="false" ht="12.75" hidden="false" customHeight="false" outlineLevel="0" collapsed="false">
      <c r="A76" s="81"/>
      <c r="B76" s="81"/>
      <c r="C76" s="81"/>
      <c r="D76" s="81"/>
      <c r="E76" s="81"/>
      <c r="F76" s="81"/>
      <c r="G76" s="81"/>
      <c r="H76" s="81"/>
      <c r="I76" s="81"/>
      <c r="J76" s="81"/>
      <c r="K76" s="81"/>
      <c r="L76" s="81"/>
      <c r="M76" s="81"/>
      <c r="N76" s="81"/>
      <c r="O76" s="81"/>
      <c r="P76" s="81"/>
      <c r="Q76" s="81"/>
      <c r="R76" s="81"/>
      <c r="S76" s="81"/>
      <c r="T76" s="81"/>
      <c r="U76" s="81"/>
      <c r="V76" s="81"/>
      <c r="W76" s="81"/>
      <c r="X76" s="81"/>
      <c r="Y76" s="81"/>
      <c r="Z76" s="81"/>
      <c r="AA76" s="81"/>
      <c r="AB76" s="81"/>
      <c r="AC76" s="81"/>
    </row>
    <row r="77" customFormat="false" ht="12.75" hidden="false" customHeight="false" outlineLevel="0" collapsed="false">
      <c r="A77" s="81"/>
      <c r="B77" s="81"/>
      <c r="C77" s="81"/>
      <c r="D77" s="81"/>
      <c r="E77" s="81"/>
      <c r="F77" s="81"/>
      <c r="G77" s="81"/>
      <c r="H77" s="81"/>
      <c r="I77" s="81"/>
      <c r="J77" s="81"/>
      <c r="K77" s="81"/>
      <c r="L77" s="81"/>
      <c r="M77" s="81"/>
      <c r="N77" s="81"/>
      <c r="O77" s="81"/>
      <c r="P77" s="81"/>
      <c r="Q77" s="81"/>
      <c r="R77" s="81"/>
      <c r="S77" s="81"/>
      <c r="T77" s="81"/>
      <c r="U77" s="81"/>
      <c r="V77" s="81"/>
      <c r="W77" s="81"/>
      <c r="X77" s="81"/>
      <c r="Y77" s="81"/>
      <c r="Z77" s="81"/>
      <c r="AA77" s="81"/>
      <c r="AB77" s="81"/>
      <c r="AC77" s="81"/>
    </row>
    <row r="78" customFormat="false" ht="12.75" hidden="false" customHeight="false" outlineLevel="0" collapsed="false">
      <c r="A78" s="81"/>
      <c r="B78" s="81"/>
      <c r="C78" s="81"/>
      <c r="D78" s="81"/>
      <c r="E78" s="81"/>
      <c r="F78" s="81"/>
      <c r="G78" s="81"/>
      <c r="H78" s="81"/>
      <c r="I78" s="81"/>
      <c r="J78" s="81"/>
      <c r="K78" s="81"/>
      <c r="L78" s="81"/>
      <c r="M78" s="81"/>
      <c r="N78" s="81"/>
      <c r="O78" s="81"/>
      <c r="P78" s="81"/>
      <c r="Q78" s="81"/>
      <c r="R78" s="81"/>
      <c r="S78" s="81"/>
      <c r="T78" s="81"/>
      <c r="U78" s="81"/>
      <c r="V78" s="81"/>
      <c r="W78" s="81"/>
      <c r="X78" s="81"/>
      <c r="Y78" s="81"/>
      <c r="Z78" s="81"/>
      <c r="AA78" s="81"/>
      <c r="AB78" s="81"/>
      <c r="AC78" s="81"/>
    </row>
    <row r="79" customFormat="false" ht="12.75" hidden="false" customHeight="false" outlineLevel="0" collapsed="false">
      <c r="A79" s="81"/>
      <c r="B79" s="81"/>
      <c r="C79" s="81"/>
      <c r="D79" s="81"/>
      <c r="E79" s="81"/>
      <c r="F79" s="81"/>
      <c r="G79" s="81"/>
      <c r="H79" s="81"/>
      <c r="I79" s="81"/>
      <c r="J79" s="81"/>
      <c r="K79" s="81"/>
      <c r="L79" s="81"/>
      <c r="M79" s="81"/>
      <c r="N79" s="81"/>
      <c r="O79" s="81"/>
      <c r="P79" s="81"/>
      <c r="Q79" s="81"/>
      <c r="R79" s="81"/>
      <c r="S79" s="81"/>
      <c r="T79" s="81"/>
      <c r="U79" s="81"/>
      <c r="V79" s="81"/>
      <c r="W79" s="81"/>
      <c r="X79" s="81"/>
      <c r="Y79" s="81"/>
      <c r="Z79" s="81"/>
      <c r="AA79" s="81"/>
      <c r="AB79" s="81"/>
      <c r="AC79" s="81"/>
    </row>
    <row r="80" customFormat="false" ht="12.75" hidden="false" customHeight="false" outlineLevel="0" collapsed="false">
      <c r="A80" s="81"/>
      <c r="B80" s="81"/>
      <c r="C80" s="81"/>
      <c r="D80" s="81"/>
      <c r="E80" s="81"/>
      <c r="F80" s="81"/>
      <c r="G80" s="81"/>
      <c r="H80" s="81"/>
      <c r="I80" s="81"/>
      <c r="J80" s="81"/>
      <c r="K80" s="81"/>
      <c r="L80" s="81"/>
      <c r="M80" s="81"/>
      <c r="N80" s="81"/>
      <c r="O80" s="81"/>
      <c r="P80" s="81"/>
      <c r="Q80" s="81"/>
      <c r="R80" s="81"/>
      <c r="S80" s="81"/>
      <c r="T80" s="81"/>
      <c r="U80" s="81"/>
      <c r="V80" s="81"/>
      <c r="W80" s="81"/>
      <c r="X80" s="81"/>
      <c r="Y80" s="81"/>
      <c r="Z80" s="81"/>
      <c r="AA80" s="81"/>
      <c r="AB80" s="81"/>
      <c r="AC80" s="81"/>
    </row>
    <row r="81" customFormat="false" ht="12.75" hidden="false" customHeight="false" outlineLevel="0" collapsed="false">
      <c r="A81" s="81"/>
      <c r="B81" s="81"/>
      <c r="C81" s="81"/>
      <c r="D81" s="81"/>
      <c r="E81" s="81"/>
      <c r="F81" s="81"/>
      <c r="G81" s="81"/>
      <c r="H81" s="81"/>
      <c r="I81" s="81"/>
      <c r="J81" s="81"/>
      <c r="K81" s="81"/>
      <c r="L81" s="81"/>
      <c r="M81" s="81"/>
      <c r="N81" s="81"/>
      <c r="O81" s="81"/>
      <c r="P81" s="81"/>
      <c r="Q81" s="81"/>
      <c r="R81" s="81"/>
      <c r="S81" s="81"/>
      <c r="T81" s="81"/>
      <c r="U81" s="81"/>
      <c r="V81" s="81"/>
      <c r="W81" s="81"/>
      <c r="X81" s="81"/>
      <c r="Y81" s="81"/>
      <c r="Z81" s="81"/>
      <c r="AA81" s="81"/>
      <c r="AB81" s="81"/>
      <c r="AC81" s="81"/>
    </row>
    <row r="82" customFormat="false" ht="12.75" hidden="false" customHeight="false" outlineLevel="0" collapsed="false">
      <c r="A82" s="81"/>
      <c r="B82" s="81"/>
      <c r="C82" s="81"/>
      <c r="D82" s="81"/>
      <c r="E82" s="81"/>
      <c r="F82" s="81"/>
      <c r="G82" s="81"/>
      <c r="H82" s="81"/>
      <c r="I82" s="81"/>
      <c r="J82" s="81"/>
      <c r="K82" s="81"/>
      <c r="L82" s="81"/>
      <c r="M82" s="81"/>
      <c r="N82" s="81"/>
      <c r="O82" s="81"/>
      <c r="P82" s="81"/>
      <c r="Q82" s="81"/>
      <c r="R82" s="81"/>
      <c r="S82" s="81"/>
      <c r="T82" s="81"/>
      <c r="U82" s="81"/>
      <c r="V82" s="81"/>
      <c r="W82" s="81"/>
      <c r="X82" s="81"/>
      <c r="Y82" s="81"/>
      <c r="Z82" s="81"/>
      <c r="AA82" s="81"/>
      <c r="AB82" s="81"/>
      <c r="AC82" s="81"/>
    </row>
    <row r="83" customFormat="false" ht="12.75" hidden="false" customHeight="false" outlineLevel="0" collapsed="false">
      <c r="A83" s="81"/>
      <c r="B83" s="81"/>
      <c r="C83" s="81"/>
      <c r="D83" s="81"/>
      <c r="E83" s="81"/>
      <c r="F83" s="81"/>
      <c r="G83" s="81"/>
      <c r="H83" s="81"/>
      <c r="I83" s="81"/>
      <c r="J83" s="81"/>
      <c r="K83" s="81"/>
      <c r="L83" s="81"/>
      <c r="M83" s="81"/>
      <c r="N83" s="81"/>
      <c r="O83" s="81"/>
      <c r="P83" s="81"/>
      <c r="Q83" s="81"/>
      <c r="R83" s="81"/>
      <c r="S83" s="81"/>
      <c r="T83" s="81"/>
      <c r="U83" s="81"/>
      <c r="V83" s="81"/>
      <c r="W83" s="81"/>
      <c r="X83" s="81"/>
      <c r="Y83" s="81"/>
      <c r="Z83" s="81"/>
      <c r="AA83" s="81"/>
      <c r="AB83" s="81"/>
      <c r="AC83" s="81"/>
    </row>
    <row r="84" customFormat="false" ht="12.75" hidden="false" customHeight="false" outlineLevel="0" collapsed="false">
      <c r="A84" s="81"/>
      <c r="B84" s="81"/>
      <c r="C84" s="81"/>
      <c r="D84" s="81"/>
      <c r="E84" s="81"/>
      <c r="F84" s="81"/>
      <c r="G84" s="81"/>
      <c r="H84" s="81"/>
      <c r="I84" s="81"/>
      <c r="J84" s="81"/>
      <c r="K84" s="81"/>
      <c r="L84" s="81"/>
      <c r="M84" s="81"/>
      <c r="N84" s="81"/>
      <c r="O84" s="81"/>
      <c r="P84" s="81"/>
      <c r="Q84" s="81"/>
      <c r="R84" s="81"/>
      <c r="S84" s="81"/>
      <c r="T84" s="81"/>
      <c r="U84" s="81"/>
      <c r="V84" s="81"/>
      <c r="W84" s="81"/>
      <c r="X84" s="81"/>
      <c r="Y84" s="81"/>
      <c r="Z84" s="81"/>
      <c r="AA84" s="81"/>
      <c r="AB84" s="81"/>
      <c r="AC84" s="81"/>
    </row>
    <row r="85" customFormat="false" ht="12.75" hidden="false" customHeight="false" outlineLevel="0" collapsed="false">
      <c r="A85" s="81"/>
      <c r="B85" s="81"/>
      <c r="C85" s="81"/>
      <c r="D85" s="81"/>
      <c r="E85" s="81"/>
      <c r="F85" s="81"/>
      <c r="G85" s="81"/>
      <c r="H85" s="81"/>
      <c r="I85" s="81"/>
      <c r="J85" s="81"/>
      <c r="K85" s="81"/>
      <c r="L85" s="81"/>
      <c r="M85" s="81"/>
      <c r="N85" s="81"/>
      <c r="O85" s="81"/>
      <c r="P85" s="81"/>
      <c r="Q85" s="81"/>
      <c r="R85" s="81"/>
      <c r="S85" s="81"/>
      <c r="T85" s="81"/>
      <c r="U85" s="81"/>
      <c r="V85" s="81"/>
      <c r="W85" s="81"/>
      <c r="X85" s="81"/>
      <c r="Y85" s="81"/>
      <c r="Z85" s="81"/>
      <c r="AA85" s="81"/>
      <c r="AB85" s="81"/>
      <c r="AC85" s="81"/>
    </row>
    <row r="86" customFormat="false" ht="12.75" hidden="false" customHeight="false" outlineLevel="0" collapsed="false">
      <c r="A86" s="81"/>
      <c r="B86" s="81"/>
      <c r="C86" s="81"/>
      <c r="D86" s="81"/>
      <c r="E86" s="81"/>
      <c r="F86" s="81"/>
      <c r="G86" s="81"/>
      <c r="H86" s="81"/>
      <c r="I86" s="81"/>
      <c r="J86" s="81"/>
      <c r="K86" s="81"/>
      <c r="L86" s="81"/>
      <c r="M86" s="81"/>
      <c r="N86" s="81"/>
      <c r="O86" s="81"/>
      <c r="P86" s="81"/>
      <c r="Q86" s="81"/>
      <c r="R86" s="81"/>
      <c r="S86" s="81"/>
      <c r="T86" s="81"/>
      <c r="U86" s="81"/>
      <c r="V86" s="81"/>
      <c r="W86" s="81"/>
      <c r="X86" s="81"/>
      <c r="Y86" s="81"/>
      <c r="Z86" s="81"/>
      <c r="AA86" s="81"/>
      <c r="AB86" s="81"/>
      <c r="AC86" s="81"/>
    </row>
    <row r="87" customFormat="false" ht="12.75" hidden="false" customHeight="false" outlineLevel="0" collapsed="false">
      <c r="A87" s="81"/>
      <c r="B87" s="81"/>
      <c r="C87" s="81"/>
      <c r="D87" s="81"/>
      <c r="E87" s="81"/>
      <c r="F87" s="81"/>
      <c r="G87" s="81"/>
      <c r="H87" s="81"/>
      <c r="I87" s="81"/>
      <c r="J87" s="81"/>
      <c r="K87" s="81"/>
      <c r="L87" s="81"/>
      <c r="M87" s="81"/>
      <c r="N87" s="81"/>
      <c r="O87" s="81"/>
      <c r="P87" s="81"/>
      <c r="Q87" s="81"/>
      <c r="R87" s="81"/>
      <c r="S87" s="81"/>
      <c r="T87" s="81"/>
      <c r="U87" s="81"/>
      <c r="V87" s="81"/>
      <c r="W87" s="81"/>
      <c r="X87" s="81"/>
      <c r="Y87" s="81"/>
      <c r="Z87" s="81"/>
      <c r="AA87" s="81"/>
      <c r="AB87" s="81"/>
      <c r="AC87" s="81"/>
    </row>
    <row r="88" customFormat="false" ht="12.75" hidden="false" customHeight="false" outlineLevel="0" collapsed="false">
      <c r="A88" s="81"/>
      <c r="B88" s="81"/>
      <c r="C88" s="81"/>
      <c r="D88" s="81"/>
      <c r="E88" s="81"/>
      <c r="F88" s="81"/>
      <c r="G88" s="81"/>
      <c r="H88" s="81"/>
      <c r="I88" s="81"/>
      <c r="J88" s="81"/>
      <c r="K88" s="81"/>
      <c r="L88" s="81"/>
      <c r="M88" s="81"/>
      <c r="N88" s="81"/>
      <c r="O88" s="81"/>
      <c r="P88" s="81"/>
      <c r="Q88" s="81"/>
      <c r="R88" s="81"/>
      <c r="S88" s="81"/>
      <c r="T88" s="81"/>
      <c r="U88" s="81"/>
      <c r="V88" s="81"/>
      <c r="W88" s="81"/>
      <c r="X88" s="81"/>
      <c r="Y88" s="81"/>
      <c r="Z88" s="81"/>
      <c r="AA88" s="81"/>
      <c r="AB88" s="81"/>
      <c r="AC88" s="81"/>
    </row>
    <row r="89" customFormat="false" ht="12.75" hidden="false" customHeight="false" outlineLevel="0" collapsed="false">
      <c r="A89" s="81"/>
      <c r="B89" s="81"/>
      <c r="C89" s="81"/>
      <c r="D89" s="81"/>
      <c r="E89" s="81"/>
      <c r="F89" s="81"/>
      <c r="G89" s="81"/>
      <c r="H89" s="81"/>
      <c r="I89" s="81"/>
      <c r="J89" s="81"/>
      <c r="K89" s="81"/>
      <c r="L89" s="81"/>
      <c r="M89" s="81"/>
      <c r="N89" s="81"/>
      <c r="O89" s="81"/>
      <c r="P89" s="81"/>
      <c r="Q89" s="81"/>
      <c r="R89" s="81"/>
      <c r="S89" s="81"/>
      <c r="T89" s="81"/>
      <c r="U89" s="81"/>
      <c r="V89" s="81"/>
      <c r="W89" s="81"/>
      <c r="X89" s="81"/>
      <c r="Y89" s="81"/>
      <c r="Z89" s="81"/>
      <c r="AA89" s="81"/>
      <c r="AB89" s="81"/>
      <c r="AC89" s="81"/>
    </row>
    <row r="90" customFormat="false" ht="12.75" hidden="false" customHeight="false" outlineLevel="0" collapsed="false">
      <c r="A90" s="81"/>
      <c r="B90" s="81"/>
      <c r="C90" s="81"/>
      <c r="D90" s="81"/>
      <c r="E90" s="81"/>
      <c r="F90" s="81"/>
      <c r="G90" s="81"/>
      <c r="H90" s="81"/>
      <c r="I90" s="81"/>
      <c r="J90" s="81"/>
      <c r="K90" s="81"/>
      <c r="L90" s="81"/>
      <c r="M90" s="81"/>
      <c r="N90" s="81"/>
      <c r="O90" s="81"/>
      <c r="P90" s="81"/>
      <c r="Q90" s="81"/>
      <c r="R90" s="81"/>
      <c r="S90" s="81"/>
      <c r="T90" s="81"/>
      <c r="U90" s="81"/>
      <c r="V90" s="81"/>
      <c r="W90" s="81"/>
      <c r="X90" s="81"/>
      <c r="Y90" s="81"/>
      <c r="Z90" s="81"/>
      <c r="AA90" s="81"/>
      <c r="AB90" s="81"/>
      <c r="AC90" s="81"/>
    </row>
    <row r="91" customFormat="false" ht="12.75" hidden="false" customHeight="false" outlineLevel="0" collapsed="false">
      <c r="A91" s="81"/>
      <c r="B91" s="81"/>
      <c r="C91" s="81"/>
      <c r="D91" s="81"/>
      <c r="E91" s="81"/>
      <c r="F91" s="81"/>
      <c r="G91" s="81"/>
      <c r="H91" s="81"/>
      <c r="I91" s="81"/>
      <c r="J91" s="81"/>
      <c r="K91" s="81"/>
      <c r="L91" s="81"/>
      <c r="M91" s="81"/>
      <c r="N91" s="81"/>
      <c r="O91" s="81"/>
      <c r="P91" s="81"/>
      <c r="Q91" s="81"/>
      <c r="R91" s="81"/>
      <c r="S91" s="81"/>
      <c r="T91" s="81"/>
      <c r="U91" s="81"/>
      <c r="V91" s="81"/>
      <c r="W91" s="81"/>
      <c r="X91" s="81"/>
      <c r="Y91" s="81"/>
      <c r="Z91" s="81"/>
      <c r="AA91" s="81"/>
      <c r="AB91" s="81"/>
      <c r="AC91" s="81"/>
    </row>
    <row r="92" customFormat="false" ht="12.75" hidden="false" customHeight="false" outlineLevel="0" collapsed="false">
      <c r="A92" s="81"/>
      <c r="B92" s="81"/>
      <c r="C92" s="81"/>
      <c r="D92" s="81"/>
      <c r="E92" s="81"/>
      <c r="F92" s="81"/>
      <c r="G92" s="81"/>
      <c r="H92" s="81"/>
      <c r="I92" s="81"/>
      <c r="J92" s="81"/>
      <c r="K92" s="81"/>
      <c r="L92" s="81"/>
      <c r="M92" s="81"/>
      <c r="N92" s="81"/>
      <c r="O92" s="81"/>
      <c r="P92" s="81"/>
      <c r="Q92" s="81"/>
      <c r="R92" s="81"/>
      <c r="S92" s="81"/>
      <c r="T92" s="81"/>
      <c r="U92" s="81"/>
      <c r="V92" s="81"/>
      <c r="W92" s="81"/>
      <c r="X92" s="81"/>
      <c r="Y92" s="81"/>
      <c r="Z92" s="81"/>
      <c r="AA92" s="81"/>
      <c r="AB92" s="81"/>
      <c r="AC92" s="81"/>
    </row>
    <row r="93" customFormat="false" ht="12.75" hidden="false" customHeight="false" outlineLevel="0" collapsed="false">
      <c r="A93" s="81"/>
      <c r="B93" s="81"/>
      <c r="C93" s="81"/>
      <c r="D93" s="81"/>
      <c r="E93" s="81"/>
      <c r="F93" s="81"/>
      <c r="G93" s="81"/>
      <c r="H93" s="81"/>
      <c r="I93" s="81"/>
      <c r="J93" s="81"/>
      <c r="K93" s="81"/>
      <c r="L93" s="81"/>
      <c r="M93" s="81"/>
      <c r="N93" s="81"/>
      <c r="O93" s="81"/>
      <c r="P93" s="81"/>
      <c r="Q93" s="81"/>
      <c r="R93" s="81"/>
      <c r="S93" s="81"/>
      <c r="T93" s="81"/>
      <c r="U93" s="81"/>
      <c r="V93" s="81"/>
      <c r="W93" s="81"/>
      <c r="X93" s="81"/>
      <c r="Y93" s="81"/>
      <c r="Z93" s="81"/>
      <c r="AA93" s="81"/>
      <c r="AB93" s="81"/>
      <c r="AC93" s="81"/>
    </row>
    <row r="94" customFormat="false" ht="12.75" hidden="false" customHeight="false" outlineLevel="0" collapsed="false">
      <c r="A94" s="81"/>
      <c r="B94" s="81"/>
      <c r="C94" s="81"/>
      <c r="D94" s="81"/>
      <c r="E94" s="81"/>
      <c r="F94" s="81"/>
      <c r="G94" s="81"/>
      <c r="H94" s="81"/>
      <c r="I94" s="81"/>
      <c r="J94" s="81"/>
      <c r="K94" s="81"/>
      <c r="L94" s="81"/>
      <c r="M94" s="81"/>
      <c r="N94" s="81"/>
      <c r="O94" s="81"/>
      <c r="P94" s="81"/>
      <c r="Q94" s="81"/>
      <c r="R94" s="81"/>
      <c r="S94" s="81"/>
      <c r="T94" s="81"/>
      <c r="U94" s="81"/>
      <c r="V94" s="81"/>
      <c r="W94" s="81"/>
      <c r="X94" s="81"/>
      <c r="Y94" s="81"/>
      <c r="Z94" s="81"/>
      <c r="AA94" s="81"/>
      <c r="AB94" s="81"/>
      <c r="AC94" s="81"/>
    </row>
    <row r="95" customFormat="false" ht="12.75" hidden="false" customHeight="false" outlineLevel="0" collapsed="false">
      <c r="A95" s="81"/>
      <c r="B95" s="81"/>
      <c r="C95" s="81"/>
      <c r="D95" s="81"/>
      <c r="E95" s="81"/>
      <c r="F95" s="81"/>
      <c r="G95" s="81"/>
      <c r="H95" s="81"/>
      <c r="I95" s="81"/>
      <c r="J95" s="81"/>
      <c r="K95" s="81"/>
      <c r="L95" s="81"/>
      <c r="M95" s="81"/>
      <c r="N95" s="81"/>
      <c r="O95" s="81"/>
      <c r="P95" s="81"/>
      <c r="Q95" s="81"/>
      <c r="R95" s="81"/>
      <c r="S95" s="81"/>
      <c r="T95" s="81"/>
      <c r="U95" s="81"/>
      <c r="V95" s="81"/>
      <c r="W95" s="81"/>
      <c r="X95" s="81"/>
      <c r="Y95" s="81"/>
      <c r="Z95" s="81"/>
      <c r="AA95" s="81"/>
      <c r="AB95" s="81"/>
      <c r="AC95" s="81"/>
    </row>
    <row r="96" customFormat="false" ht="12.75" hidden="false" customHeight="false" outlineLevel="0" collapsed="false">
      <c r="A96" s="81"/>
      <c r="B96" s="81"/>
      <c r="C96" s="81"/>
      <c r="D96" s="81"/>
      <c r="E96" s="81"/>
      <c r="F96" s="81"/>
      <c r="G96" s="81"/>
      <c r="H96" s="81"/>
      <c r="I96" s="81"/>
      <c r="J96" s="81"/>
      <c r="K96" s="81"/>
      <c r="L96" s="81"/>
      <c r="M96" s="81"/>
      <c r="N96" s="81"/>
      <c r="O96" s="81"/>
      <c r="P96" s="81"/>
      <c r="Q96" s="81"/>
      <c r="R96" s="81"/>
      <c r="S96" s="81"/>
      <c r="T96" s="81"/>
      <c r="U96" s="81"/>
      <c r="V96" s="81"/>
      <c r="W96" s="81"/>
      <c r="X96" s="81"/>
      <c r="Y96" s="81"/>
      <c r="Z96" s="81"/>
      <c r="AA96" s="81"/>
      <c r="AB96" s="81"/>
      <c r="AC96" s="81"/>
    </row>
    <row r="97" customFormat="false" ht="12.75" hidden="false" customHeight="false" outlineLevel="0" collapsed="false">
      <c r="A97" s="81"/>
      <c r="B97" s="81"/>
      <c r="C97" s="81"/>
      <c r="D97" s="81"/>
      <c r="E97" s="81"/>
      <c r="F97" s="81"/>
      <c r="G97" s="81"/>
      <c r="H97" s="81"/>
      <c r="I97" s="81"/>
      <c r="J97" s="81"/>
      <c r="K97" s="81"/>
      <c r="L97" s="81"/>
      <c r="M97" s="81"/>
      <c r="N97" s="81"/>
      <c r="O97" s="81"/>
      <c r="P97" s="81"/>
      <c r="Q97" s="81"/>
      <c r="R97" s="81"/>
      <c r="S97" s="81"/>
      <c r="T97" s="81"/>
      <c r="U97" s="81"/>
      <c r="V97" s="81"/>
      <c r="W97" s="81"/>
      <c r="X97" s="81"/>
      <c r="Y97" s="81"/>
      <c r="Z97" s="81"/>
      <c r="AA97" s="81"/>
      <c r="AB97" s="81"/>
      <c r="AC97" s="81"/>
    </row>
    <row r="98" customFormat="false" ht="12.75" hidden="false" customHeight="false" outlineLevel="0" collapsed="false">
      <c r="A98" s="81"/>
      <c r="B98" s="81"/>
      <c r="C98" s="81"/>
      <c r="D98" s="81"/>
      <c r="E98" s="81"/>
      <c r="F98" s="81"/>
      <c r="G98" s="81"/>
      <c r="H98" s="81"/>
      <c r="I98" s="81"/>
      <c r="J98" s="81"/>
      <c r="K98" s="81"/>
      <c r="L98" s="81"/>
      <c r="M98" s="81"/>
      <c r="N98" s="81"/>
      <c r="O98" s="81"/>
      <c r="P98" s="81"/>
      <c r="Q98" s="81"/>
      <c r="R98" s="81"/>
      <c r="S98" s="81"/>
      <c r="T98" s="81"/>
      <c r="U98" s="81"/>
      <c r="V98" s="81"/>
      <c r="W98" s="81"/>
      <c r="X98" s="81"/>
      <c r="Y98" s="81"/>
      <c r="Z98" s="81"/>
      <c r="AA98" s="81"/>
      <c r="AB98" s="81"/>
      <c r="AC98" s="81"/>
    </row>
    <row r="99" customFormat="false" ht="12.75" hidden="false" customHeight="false" outlineLevel="0" collapsed="false">
      <c r="A99" s="81"/>
      <c r="B99" s="81"/>
      <c r="C99" s="81"/>
      <c r="D99" s="81"/>
      <c r="E99" s="81"/>
      <c r="F99" s="81"/>
      <c r="G99" s="81"/>
      <c r="H99" s="81"/>
      <c r="I99" s="81"/>
      <c r="J99" s="81"/>
      <c r="K99" s="81"/>
      <c r="L99" s="81"/>
      <c r="M99" s="81"/>
      <c r="N99" s="81"/>
      <c r="O99" s="81"/>
      <c r="P99" s="81"/>
      <c r="Q99" s="81"/>
      <c r="R99" s="81"/>
      <c r="S99" s="81"/>
      <c r="T99" s="81"/>
      <c r="U99" s="81"/>
      <c r="V99" s="81"/>
      <c r="W99" s="81"/>
      <c r="X99" s="81"/>
      <c r="Y99" s="81"/>
      <c r="Z99" s="81"/>
      <c r="AA99" s="81"/>
      <c r="AB99" s="81"/>
      <c r="AC99" s="81"/>
    </row>
    <row r="100" customFormat="false" ht="12.75" hidden="false" customHeight="false" outlineLevel="0" collapsed="false">
      <c r="A100" s="81"/>
      <c r="B100" s="81"/>
      <c r="C100" s="81"/>
      <c r="D100" s="81"/>
      <c r="E100" s="81"/>
      <c r="F100" s="81"/>
      <c r="G100" s="81"/>
      <c r="H100" s="81"/>
      <c r="I100" s="81"/>
      <c r="J100" s="81"/>
      <c r="K100" s="81"/>
      <c r="L100" s="81"/>
      <c r="M100" s="81"/>
      <c r="N100" s="81"/>
      <c r="O100" s="81"/>
      <c r="P100" s="81"/>
      <c r="Q100" s="81"/>
      <c r="R100" s="81"/>
      <c r="S100" s="81"/>
      <c r="T100" s="81"/>
      <c r="U100" s="81"/>
      <c r="V100" s="81"/>
      <c r="W100" s="81"/>
      <c r="X100" s="81"/>
      <c r="Y100" s="81"/>
      <c r="Z100" s="81"/>
      <c r="AA100" s="81"/>
      <c r="AB100" s="81"/>
      <c r="AC100" s="81"/>
    </row>
    <row r="101" customFormat="false" ht="12.75" hidden="false" customHeight="false" outlineLevel="0" collapsed="false">
      <c r="A101" s="81"/>
      <c r="B101" s="81"/>
      <c r="C101" s="81"/>
      <c r="D101" s="81"/>
      <c r="E101" s="81"/>
      <c r="F101" s="81"/>
      <c r="G101" s="81"/>
      <c r="H101" s="81"/>
      <c r="I101" s="81"/>
      <c r="J101" s="81"/>
      <c r="K101" s="81"/>
      <c r="L101" s="81"/>
      <c r="M101" s="81"/>
      <c r="N101" s="81"/>
      <c r="O101" s="81"/>
      <c r="P101" s="81"/>
      <c r="Q101" s="81"/>
      <c r="R101" s="81"/>
      <c r="S101" s="81"/>
      <c r="T101" s="81"/>
      <c r="U101" s="81"/>
      <c r="V101" s="81"/>
      <c r="W101" s="81"/>
      <c r="X101" s="81"/>
      <c r="Y101" s="81"/>
      <c r="Z101" s="81"/>
      <c r="AA101" s="81"/>
      <c r="AB101" s="81"/>
      <c r="AC101" s="81"/>
    </row>
    <row r="102" customFormat="false" ht="12.75" hidden="false" customHeight="false" outlineLevel="0" collapsed="false">
      <c r="A102" s="81"/>
      <c r="B102" s="81"/>
      <c r="C102" s="81"/>
      <c r="D102" s="81"/>
      <c r="E102" s="81"/>
      <c r="F102" s="81"/>
      <c r="G102" s="81"/>
      <c r="H102" s="81"/>
      <c r="I102" s="81"/>
      <c r="J102" s="81"/>
      <c r="K102" s="81"/>
      <c r="L102" s="81"/>
      <c r="M102" s="81"/>
      <c r="N102" s="81"/>
      <c r="O102" s="81"/>
      <c r="P102" s="81"/>
      <c r="Q102" s="81"/>
      <c r="R102" s="81"/>
      <c r="S102" s="81"/>
      <c r="T102" s="81"/>
      <c r="U102" s="81"/>
      <c r="V102" s="81"/>
      <c r="W102" s="81"/>
      <c r="X102" s="81"/>
      <c r="Y102" s="81"/>
      <c r="Z102" s="81"/>
      <c r="AA102" s="81"/>
      <c r="AB102" s="81"/>
      <c r="AC102" s="81"/>
    </row>
    <row r="103" customFormat="false" ht="12.75" hidden="false" customHeight="false" outlineLevel="0" collapsed="false">
      <c r="A103" s="81"/>
      <c r="B103" s="81"/>
      <c r="C103" s="81"/>
      <c r="D103" s="81"/>
      <c r="E103" s="81"/>
      <c r="F103" s="81"/>
      <c r="G103" s="81"/>
      <c r="H103" s="81"/>
      <c r="I103" s="81"/>
      <c r="J103" s="81"/>
      <c r="K103" s="81"/>
      <c r="L103" s="81"/>
      <c r="M103" s="81"/>
      <c r="N103" s="81"/>
      <c r="O103" s="81"/>
      <c r="P103" s="81"/>
      <c r="Q103" s="81"/>
      <c r="R103" s="81"/>
      <c r="S103" s="81"/>
      <c r="T103" s="81"/>
      <c r="U103" s="81"/>
      <c r="V103" s="81"/>
      <c r="W103" s="81"/>
      <c r="X103" s="81"/>
      <c r="Y103" s="81"/>
      <c r="Z103" s="81"/>
      <c r="AA103" s="81"/>
      <c r="AB103" s="81"/>
      <c r="AC103" s="81"/>
    </row>
    <row r="104" customFormat="false" ht="12.75" hidden="false" customHeight="false" outlineLevel="0" collapsed="false">
      <c r="A104" s="81"/>
      <c r="B104" s="81"/>
      <c r="C104" s="81"/>
      <c r="D104" s="81"/>
      <c r="E104" s="81"/>
      <c r="F104" s="81"/>
      <c r="G104" s="81"/>
      <c r="H104" s="81"/>
      <c r="I104" s="81"/>
      <c r="J104" s="81"/>
      <c r="K104" s="81"/>
      <c r="L104" s="81"/>
      <c r="M104" s="81"/>
      <c r="N104" s="81"/>
      <c r="O104" s="81"/>
      <c r="P104" s="81"/>
      <c r="Q104" s="81"/>
      <c r="R104" s="81"/>
      <c r="S104" s="81"/>
      <c r="T104" s="81"/>
      <c r="U104" s="81"/>
      <c r="V104" s="81"/>
      <c r="W104" s="81"/>
      <c r="X104" s="81"/>
      <c r="Y104" s="81"/>
      <c r="Z104" s="81"/>
      <c r="AA104" s="81"/>
      <c r="AB104" s="81"/>
      <c r="AC104" s="81"/>
    </row>
    <row r="105" customFormat="false" ht="12.75" hidden="false" customHeight="false" outlineLevel="0" collapsed="false">
      <c r="A105" s="81"/>
      <c r="B105" s="81"/>
      <c r="C105" s="81"/>
      <c r="D105" s="81"/>
      <c r="E105" s="81"/>
      <c r="F105" s="81"/>
      <c r="G105" s="81"/>
      <c r="H105" s="81"/>
      <c r="I105" s="81"/>
      <c r="J105" s="81"/>
      <c r="K105" s="81"/>
      <c r="L105" s="81"/>
      <c r="M105" s="81"/>
      <c r="N105" s="81"/>
      <c r="O105" s="81"/>
      <c r="P105" s="81"/>
      <c r="Q105" s="81"/>
      <c r="R105" s="81"/>
      <c r="S105" s="81"/>
      <c r="T105" s="81"/>
      <c r="U105" s="81"/>
      <c r="V105" s="81"/>
      <c r="W105" s="81"/>
      <c r="X105" s="81"/>
      <c r="Y105" s="81"/>
      <c r="Z105" s="81"/>
      <c r="AA105" s="81"/>
      <c r="AB105" s="81"/>
      <c r="AC105" s="81"/>
    </row>
  </sheetData>
  <mergeCells count="20">
    <mergeCell ref="A1:AB1"/>
    <mergeCell ref="A2:AB2"/>
    <mergeCell ref="A3:AB3"/>
    <mergeCell ref="A4:AB4"/>
    <mergeCell ref="A5:AB5"/>
    <mergeCell ref="A6:AB6"/>
    <mergeCell ref="D7:AB7"/>
    <mergeCell ref="A8:AB8"/>
    <mergeCell ref="A9:A10"/>
    <mergeCell ref="B9:B10"/>
    <mergeCell ref="C9:C10"/>
    <mergeCell ref="D9:D10"/>
    <mergeCell ref="O9:O10"/>
    <mergeCell ref="W9:W10"/>
    <mergeCell ref="AB9:AB10"/>
    <mergeCell ref="A20:D20"/>
    <mergeCell ref="A22:C22"/>
    <mergeCell ref="E22:AB22"/>
    <mergeCell ref="A28:C28"/>
    <mergeCell ref="M28:AB28"/>
  </mergeCells>
  <printOptions headings="false" gridLines="false" gridLinesSet="true" horizontalCentered="false" verticalCentered="false"/>
  <pageMargins left="0.7" right="0.159722222222222" top="0.290277777777778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Y38"/>
  <sheetViews>
    <sheetView showFormulas="false" showGridLines="true" showRowColHeaders="true" showZeros="true" rightToLeft="false" tabSelected="false" showOutlineSymbols="true" defaultGridColor="true" view="normal" topLeftCell="A34" colorId="64" zoomScale="70" zoomScaleNormal="70" zoomScalePageLayoutView="100" workbookViewId="0">
      <selection pane="topLeft" activeCell="T3" activeCellId="0" sqref="T3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6.71"/>
    <col collapsed="false" customWidth="true" hidden="false" outlineLevel="0" max="2" min="2" style="1" width="12.29"/>
    <col collapsed="false" customWidth="true" hidden="false" outlineLevel="0" max="3" min="3" style="1" width="16.43"/>
    <col collapsed="false" customWidth="true" hidden="true" outlineLevel="0" max="4" min="4" style="1" width="8.29"/>
    <col collapsed="false" customWidth="false" hidden="true" outlineLevel="0" max="5" min="5" style="1" width="8.71"/>
    <col collapsed="false" customWidth="true" hidden="true" outlineLevel="0" max="6" min="6" style="1" width="9.14"/>
    <col collapsed="false" customWidth="true" hidden="false" outlineLevel="0" max="12" min="7" style="1" width="11.71"/>
    <col collapsed="false" customWidth="true" hidden="true" outlineLevel="0" max="15" min="13" style="1" width="8.57"/>
    <col collapsed="false" customWidth="true" hidden="false" outlineLevel="0" max="18" min="16" style="1" width="11.71"/>
    <col collapsed="false" customWidth="true" hidden="false" outlineLevel="0" max="19" min="19" style="1" width="7"/>
  </cols>
  <sheetData>
    <row r="1" customFormat="false" ht="20.25" hidden="false" customHeight="true" outlineLevel="0" collapsed="false">
      <c r="A1" s="2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3"/>
      <c r="U1" s="3"/>
      <c r="V1" s="3"/>
      <c r="W1" s="3"/>
    </row>
    <row r="2" customFormat="false" ht="18.75" hidden="false" customHeight="true" outlineLevel="0" collapsed="false">
      <c r="A2" s="4" t="str">
        <f>"Kèm theo BBNT số: "&amp;VLOOKUP(AZ2,'[1]Tuyến XB6A'!$A$2:$G$60,7,0)&amp;VLOOKUP(AZ2,'[1]Tuyến XB6A'!$A$2:$G$60,4,0)</f>
        <v xml:space="preserve">Kèm theo BBNT số: 19.NĐXB6A/CVXD ngày 07 tháng 09 năm 2026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4"/>
      <c r="U2" s="5"/>
      <c r="V2" s="5"/>
      <c r="W2" s="5"/>
      <c r="AZ2">
        <v>19</v>
      </c>
    </row>
    <row r="3" customFormat="false" ht="18.75" hidden="false" customHeight="true" outlineLevel="0" collapsed="false">
      <c r="A3" s="6" t="s">
        <v>2</v>
      </c>
      <c r="C3" s="6"/>
      <c r="D3" s="6"/>
      <c r="E3" s="6"/>
      <c r="F3" s="6"/>
      <c r="G3" s="6"/>
      <c r="H3" s="6"/>
      <c r="I3" s="6"/>
      <c r="J3" s="6"/>
      <c r="K3" s="6"/>
      <c r="L3" s="6"/>
      <c r="M3" s="6"/>
      <c r="N3" s="6"/>
      <c r="O3" s="6"/>
      <c r="P3" s="6"/>
      <c r="Q3" s="6"/>
      <c r="R3" s="6"/>
      <c r="S3" s="6"/>
      <c r="T3" s="6"/>
      <c r="U3" s="6"/>
      <c r="V3" s="6"/>
      <c r="W3" s="6"/>
    </row>
    <row r="4" customFormat="false" ht="18.75" hidden="false" customHeight="true" outlineLevel="0" collapsed="false">
      <c r="A4" s="6" t="s">
        <v>3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/>
      <c r="O4" s="6"/>
      <c r="P4" s="6"/>
      <c r="Q4" s="6"/>
      <c r="R4" s="6"/>
      <c r="S4" s="6"/>
      <c r="T4" s="6"/>
      <c r="U4" s="6"/>
      <c r="V4" s="6"/>
      <c r="W4" s="6"/>
    </row>
    <row r="5" customFormat="false" ht="18.75" hidden="false" customHeight="true" outlineLevel="0" collapsed="false">
      <c r="A5" s="6" t="s">
        <v>4</v>
      </c>
      <c r="C5" s="6"/>
      <c r="D5" s="6"/>
      <c r="E5" s="6"/>
      <c r="F5" s="6"/>
      <c r="G5" s="6"/>
      <c r="H5" s="6"/>
      <c r="I5" s="6"/>
      <c r="J5" s="6"/>
      <c r="K5" s="6"/>
      <c r="L5" s="6"/>
      <c r="M5" s="6"/>
      <c r="N5" s="6"/>
      <c r="O5" s="6"/>
      <c r="P5" s="6"/>
      <c r="Q5" s="6"/>
      <c r="R5" s="6"/>
      <c r="S5" s="6"/>
      <c r="T5" s="6"/>
      <c r="U5" s="6"/>
      <c r="V5" s="6"/>
      <c r="W5" s="6"/>
    </row>
    <row r="6" customFormat="false" ht="18.75" hidden="false" customHeight="true" outlineLevel="0" collapsed="false">
      <c r="A6" s="6" t="s">
        <v>5</v>
      </c>
      <c r="C6" s="6"/>
      <c r="D6" s="6"/>
      <c r="E6" s="6"/>
      <c r="F6" s="6"/>
      <c r="G6" s="6"/>
      <c r="H6" s="6"/>
      <c r="I6" s="6"/>
      <c r="J6" s="6"/>
      <c r="K6" s="6"/>
      <c r="L6" s="6"/>
      <c r="M6" s="6"/>
      <c r="N6" s="6"/>
      <c r="O6" s="6"/>
      <c r="P6" s="6"/>
      <c r="Q6" s="6"/>
      <c r="R6" s="6"/>
      <c r="S6" s="6"/>
      <c r="T6" s="6"/>
      <c r="U6" s="6"/>
      <c r="V6" s="6"/>
      <c r="W6" s="6"/>
    </row>
    <row r="7" customFormat="false" ht="18.75" hidden="false" customHeight="true" outlineLevel="0" collapsed="false">
      <c r="A7" s="7" t="s">
        <v>6</v>
      </c>
      <c r="C7" s="6"/>
      <c r="D7" s="6"/>
      <c r="F7" s="6"/>
      <c r="G7" s="6" t="str">
        <f>VLOOKUP(AZ2,'[1]Tuyến XB6A'!$A$2:$B$60,2,0)</f>
        <v xml:space="preserve">Đắp đất nền đường lớp 2, độ chặt K&gt;=0,98 đoạn từ Km0+000,00 - Km0+126,46</v>
      </c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  <c r="U7" s="6"/>
      <c r="V7" s="6"/>
      <c r="W7" s="6"/>
    </row>
    <row r="8" customFormat="false" ht="18.75" hidden="false" customHeight="true" outlineLevel="0" collapsed="false">
      <c r="A8" s="7" t="s">
        <v>8</v>
      </c>
      <c r="C8" s="6"/>
      <c r="D8" s="6"/>
      <c r="E8" s="6"/>
      <c r="F8" s="6"/>
      <c r="G8" s="6"/>
      <c r="H8" s="6"/>
      <c r="I8" s="6"/>
      <c r="J8" s="6"/>
      <c r="K8" s="6"/>
      <c r="L8" s="6"/>
      <c r="M8" s="6"/>
      <c r="N8" s="6"/>
      <c r="O8" s="6"/>
      <c r="P8" s="6"/>
      <c r="Q8" s="6"/>
      <c r="R8" s="6"/>
      <c r="S8" s="6"/>
      <c r="T8" s="6"/>
      <c r="U8" s="6"/>
      <c r="V8" s="6"/>
      <c r="W8" s="6"/>
    </row>
    <row r="21" s="10" customFormat="true" ht="15.75" hidden="false" customHeight="true" outlineLevel="0" collapsed="false">
      <c r="A21" s="8" t="s">
        <v>9</v>
      </c>
      <c r="B21" s="8" t="s">
        <v>10</v>
      </c>
      <c r="C21" s="8" t="s">
        <v>11</v>
      </c>
      <c r="D21" s="9" t="s">
        <v>12</v>
      </c>
      <c r="E21" s="9"/>
      <c r="F21" s="9"/>
      <c r="G21" s="9"/>
      <c r="H21" s="9"/>
      <c r="I21" s="9"/>
      <c r="J21" s="9" t="s">
        <v>13</v>
      </c>
      <c r="K21" s="9"/>
      <c r="L21" s="9"/>
      <c r="M21" s="9" t="s">
        <v>14</v>
      </c>
      <c r="N21" s="9"/>
      <c r="O21" s="9"/>
      <c r="P21" s="9"/>
      <c r="Q21" s="9"/>
      <c r="R21" s="9"/>
      <c r="S21" s="8" t="s">
        <v>15</v>
      </c>
    </row>
    <row r="22" s="10" customFormat="true" ht="30" hidden="false" customHeight="true" outlineLevel="0" collapsed="false">
      <c r="A22" s="8"/>
      <c r="B22" s="8"/>
      <c r="C22" s="8"/>
      <c r="D22" s="11" t="s">
        <v>17</v>
      </c>
      <c r="E22" s="11" t="s">
        <v>18</v>
      </c>
      <c r="F22" s="11" t="s">
        <v>19</v>
      </c>
      <c r="G22" s="11" t="s">
        <v>20</v>
      </c>
      <c r="H22" s="11" t="s">
        <v>21</v>
      </c>
      <c r="I22" s="11" t="s">
        <v>22</v>
      </c>
      <c r="J22" s="11" t="s">
        <v>20</v>
      </c>
      <c r="K22" s="11" t="s">
        <v>21</v>
      </c>
      <c r="L22" s="11" t="s">
        <v>22</v>
      </c>
      <c r="M22" s="11" t="s">
        <v>17</v>
      </c>
      <c r="N22" s="11" t="s">
        <v>18</v>
      </c>
      <c r="O22" s="11" t="s">
        <v>19</v>
      </c>
      <c r="P22" s="11" t="s">
        <v>20</v>
      </c>
      <c r="Q22" s="11" t="s">
        <v>21</v>
      </c>
      <c r="R22" s="11" t="s">
        <v>22</v>
      </c>
      <c r="S22" s="8"/>
      <c r="T22" s="12"/>
    </row>
    <row r="23" s="10" customFormat="true" ht="18" hidden="false" customHeight="true" outlineLevel="0" collapsed="false">
      <c r="A23" s="13" t="n">
        <v>1</v>
      </c>
      <c r="B23" s="82" t="s">
        <v>23</v>
      </c>
      <c r="C23" s="15" t="n">
        <v>0</v>
      </c>
      <c r="D23" s="16" t="n">
        <v>-3.75</v>
      </c>
      <c r="E23" s="16" t="n">
        <f aca="false">+D23+F23</f>
        <v>-3.7576</v>
      </c>
      <c r="F23" s="16" t="n">
        <f aca="false">RANDBETWEEN(-105,115)/10000</f>
        <v>-0.0076</v>
      </c>
      <c r="G23" s="16" t="n">
        <f aca="false">W23+0.25</f>
        <v>2.342</v>
      </c>
      <c r="H23" s="16" t="n">
        <f aca="false">G23+I23</f>
        <v>2.395</v>
      </c>
      <c r="I23" s="16" t="n">
        <f aca="false">RANDBETWEEN(-20,70)/1000</f>
        <v>0.053</v>
      </c>
      <c r="J23" s="16" t="n">
        <f aca="false">X23+0.25</f>
        <v>2.429</v>
      </c>
      <c r="K23" s="16" t="n">
        <f aca="false">J23+L23</f>
        <v>2.492</v>
      </c>
      <c r="L23" s="16" t="n">
        <f aca="false">RANDBETWEEN(-20,70)/1000</f>
        <v>0.063</v>
      </c>
      <c r="M23" s="16" t="n">
        <v>3.75</v>
      </c>
      <c r="N23" s="16" t="n">
        <f aca="false">+M23+O23</f>
        <v>3.7519</v>
      </c>
      <c r="O23" s="16" t="n">
        <f aca="false">RANDBETWEEN(-105,115)/10000</f>
        <v>0.0019</v>
      </c>
      <c r="P23" s="16" t="n">
        <f aca="false">Y23+0.25</f>
        <v>2.342</v>
      </c>
      <c r="Q23" s="16" t="n">
        <f aca="false">P23+R23</f>
        <v>2.387</v>
      </c>
      <c r="R23" s="16" t="n">
        <f aca="false">RANDBETWEEN(-20,70)/1000</f>
        <v>0.045</v>
      </c>
      <c r="S23" s="17"/>
      <c r="T23" s="18" t="n">
        <v>19.63</v>
      </c>
      <c r="V23" s="19"/>
      <c r="W23" s="19" t="n">
        <f aca="false">'KTHH Lớp 1'!G23</f>
        <v>2.092</v>
      </c>
      <c r="X23" s="19" t="n">
        <f aca="false">'KTHH Lớp 1'!J23</f>
        <v>2.179</v>
      </c>
      <c r="Y23" s="19" t="n">
        <f aca="false">'KTHH Lớp 1'!P23</f>
        <v>2.092</v>
      </c>
    </row>
    <row r="24" s="10" customFormat="true" ht="18" hidden="false" customHeight="true" outlineLevel="0" collapsed="false">
      <c r="A24" s="13" t="n">
        <v>2</v>
      </c>
      <c r="B24" s="82" t="s">
        <v>24</v>
      </c>
      <c r="C24" s="15" t="n">
        <f aca="false">+C23+T23</f>
        <v>19.63</v>
      </c>
      <c r="D24" s="16" t="n">
        <v>-3.75</v>
      </c>
      <c r="E24" s="16" t="n">
        <f aca="false">+D24+F24</f>
        <v>-3.7534</v>
      </c>
      <c r="F24" s="16" t="n">
        <f aca="false">RANDBETWEEN(-105,115)/10000</f>
        <v>-0.0034</v>
      </c>
      <c r="G24" s="16" t="n">
        <f aca="false">W24+0.25</f>
        <v>2.342</v>
      </c>
      <c r="H24" s="16" t="n">
        <f aca="false">G24+I24</f>
        <v>2.386</v>
      </c>
      <c r="I24" s="16" t="n">
        <f aca="false">RANDBETWEEN(-20,70)/1000</f>
        <v>0.044</v>
      </c>
      <c r="J24" s="16" t="n">
        <f aca="false">X24+0.25</f>
        <v>2.429</v>
      </c>
      <c r="K24" s="16" t="n">
        <f aca="false">J24+L24</f>
        <v>2.471</v>
      </c>
      <c r="L24" s="16" t="n">
        <f aca="false">RANDBETWEEN(-20,70)/1000</f>
        <v>0.042</v>
      </c>
      <c r="M24" s="16" t="n">
        <v>3.75</v>
      </c>
      <c r="N24" s="16" t="n">
        <f aca="false">+M24+O24</f>
        <v>3.7438</v>
      </c>
      <c r="O24" s="16" t="n">
        <f aca="false">RANDBETWEEN(-105,115)/10000</f>
        <v>-0.0062</v>
      </c>
      <c r="P24" s="16" t="n">
        <f aca="false">Y24+0.25</f>
        <v>2.342</v>
      </c>
      <c r="Q24" s="16" t="n">
        <f aca="false">P24+R24</f>
        <v>2.399</v>
      </c>
      <c r="R24" s="16" t="n">
        <f aca="false">RANDBETWEEN(-20,70)/1000</f>
        <v>0.057</v>
      </c>
      <c r="S24" s="17"/>
      <c r="T24" s="18" t="n">
        <v>17.17</v>
      </c>
      <c r="V24" s="19"/>
      <c r="W24" s="19" t="n">
        <f aca="false">'KTHH Lớp 1'!G24</f>
        <v>2.092</v>
      </c>
      <c r="X24" s="19" t="n">
        <f aca="false">'KTHH Lớp 1'!J24</f>
        <v>2.179</v>
      </c>
      <c r="Y24" s="19" t="n">
        <f aca="false">'KTHH Lớp 1'!P24</f>
        <v>2.092</v>
      </c>
    </row>
    <row r="25" s="10" customFormat="true" ht="18" hidden="false" customHeight="true" outlineLevel="0" collapsed="false">
      <c r="A25" s="13" t="n">
        <v>3</v>
      </c>
      <c r="B25" s="82" t="s">
        <v>25</v>
      </c>
      <c r="C25" s="15" t="n">
        <f aca="false">+C24+T24</f>
        <v>36.8</v>
      </c>
      <c r="D25" s="16" t="n">
        <v>-3.75</v>
      </c>
      <c r="E25" s="16" t="n">
        <f aca="false">+D25+F25</f>
        <v>-3.7537</v>
      </c>
      <c r="F25" s="16" t="n">
        <f aca="false">RANDBETWEEN(-105,115)/10000</f>
        <v>-0.0037</v>
      </c>
      <c r="G25" s="16" t="n">
        <f aca="false">W25+0.25</f>
        <v>2.35</v>
      </c>
      <c r="H25" s="16" t="n">
        <f aca="false">G25+I25</f>
        <v>2.344</v>
      </c>
      <c r="I25" s="16" t="n">
        <f aca="false">RANDBETWEEN(-20,70)/1000</f>
        <v>-0.006</v>
      </c>
      <c r="J25" s="16" t="n">
        <f aca="false">X25+0.25</f>
        <v>2.437</v>
      </c>
      <c r="K25" s="16" t="n">
        <f aca="false">J25+L25</f>
        <v>2.492</v>
      </c>
      <c r="L25" s="16" t="n">
        <f aca="false">RANDBETWEEN(-20,70)/1000</f>
        <v>0.055</v>
      </c>
      <c r="M25" s="16" t="n">
        <v>3.75</v>
      </c>
      <c r="N25" s="16" t="n">
        <f aca="false">+M25+O25</f>
        <v>3.7452</v>
      </c>
      <c r="O25" s="16" t="n">
        <f aca="false">RANDBETWEEN(-105,115)/10000</f>
        <v>-0.0048</v>
      </c>
      <c r="P25" s="16" t="n">
        <f aca="false">Y25+0.25</f>
        <v>2.35</v>
      </c>
      <c r="Q25" s="16" t="n">
        <f aca="false">P25+R25</f>
        <v>2.338</v>
      </c>
      <c r="R25" s="16" t="n">
        <f aca="false">RANDBETWEEN(-20,70)/1000</f>
        <v>-0.012</v>
      </c>
      <c r="S25" s="17"/>
      <c r="T25" s="18" t="n">
        <v>17.18</v>
      </c>
      <c r="V25" s="19"/>
      <c r="W25" s="19" t="n">
        <f aca="false">'KTHH Lớp 1'!G25</f>
        <v>2.1</v>
      </c>
      <c r="X25" s="19" t="n">
        <f aca="false">'KTHH Lớp 1'!J25</f>
        <v>2.187</v>
      </c>
      <c r="Y25" s="19" t="n">
        <f aca="false">'KTHH Lớp 1'!P25</f>
        <v>2.1</v>
      </c>
    </row>
    <row r="26" s="10" customFormat="true" ht="18" hidden="false" customHeight="true" outlineLevel="0" collapsed="false">
      <c r="A26" s="13" t="n">
        <v>4</v>
      </c>
      <c r="B26" s="82" t="s">
        <v>26</v>
      </c>
      <c r="C26" s="15" t="n">
        <f aca="false">+C25+T25</f>
        <v>53.98</v>
      </c>
      <c r="D26" s="16" t="n">
        <v>-3.75</v>
      </c>
      <c r="E26" s="16" t="n">
        <f aca="false">+D26+F26</f>
        <v>-3.7445</v>
      </c>
      <c r="F26" s="16" t="n">
        <f aca="false">RANDBETWEEN(-105,115)/10000</f>
        <v>0.0055</v>
      </c>
      <c r="G26" s="16" t="n">
        <f aca="false">W26+0.25</f>
        <v>2.357</v>
      </c>
      <c r="H26" s="16" t="n">
        <f aca="false">G26+I26</f>
        <v>2.387</v>
      </c>
      <c r="I26" s="16" t="n">
        <f aca="false">RANDBETWEEN(-20,70)/1000</f>
        <v>0.03</v>
      </c>
      <c r="J26" s="16" t="n">
        <f aca="false">X26+0.25</f>
        <v>2.444</v>
      </c>
      <c r="K26" s="16" t="n">
        <f aca="false">J26+L26</f>
        <v>2.465</v>
      </c>
      <c r="L26" s="16" t="n">
        <f aca="false">RANDBETWEEN(-20,70)/1000</f>
        <v>0.021</v>
      </c>
      <c r="M26" s="16" t="n">
        <v>3.75</v>
      </c>
      <c r="N26" s="16" t="n">
        <f aca="false">+M26+O26</f>
        <v>3.7414</v>
      </c>
      <c r="O26" s="16" t="n">
        <f aca="false">RANDBETWEEN(-105,115)/10000</f>
        <v>-0.0086</v>
      </c>
      <c r="P26" s="16" t="n">
        <f aca="false">Y26+0.25</f>
        <v>2.357</v>
      </c>
      <c r="Q26" s="16" t="n">
        <f aca="false">P26+R26</f>
        <v>2.357</v>
      </c>
      <c r="R26" s="16" t="n">
        <f aca="false">RANDBETWEEN(-20,70)/1000</f>
        <v>0</v>
      </c>
      <c r="S26" s="17"/>
      <c r="T26" s="18" t="n">
        <v>12.97</v>
      </c>
      <c r="V26" s="19"/>
      <c r="W26" s="19" t="n">
        <f aca="false">'KTHH Lớp 1'!G26</f>
        <v>2.107</v>
      </c>
      <c r="X26" s="19" t="n">
        <f aca="false">'KTHH Lớp 1'!J26</f>
        <v>2.194</v>
      </c>
      <c r="Y26" s="19" t="n">
        <f aca="false">'KTHH Lớp 1'!P26</f>
        <v>2.107</v>
      </c>
    </row>
    <row r="27" s="10" customFormat="true" ht="18" hidden="false" customHeight="true" outlineLevel="0" collapsed="false">
      <c r="A27" s="13" t="n">
        <v>5</v>
      </c>
      <c r="B27" s="82" t="s">
        <v>27</v>
      </c>
      <c r="C27" s="15" t="n">
        <f aca="false">+C26+T26</f>
        <v>66.95</v>
      </c>
      <c r="D27" s="16" t="n">
        <v>-3.75</v>
      </c>
      <c r="E27" s="16" t="n">
        <f aca="false">+D27+F27</f>
        <v>-3.7566</v>
      </c>
      <c r="F27" s="16" t="n">
        <f aca="false">RANDBETWEEN(-105,115)/10000</f>
        <v>-0.0066</v>
      </c>
      <c r="G27" s="16" t="n">
        <f aca="false">W27+0.25</f>
        <v>2.363</v>
      </c>
      <c r="H27" s="16" t="n">
        <f aca="false">G27+I27</f>
        <v>2.36</v>
      </c>
      <c r="I27" s="16" t="n">
        <f aca="false">RANDBETWEEN(-20,70)/1000</f>
        <v>-0.003</v>
      </c>
      <c r="J27" s="16" t="n">
        <f aca="false">X27+0.25</f>
        <v>2.45</v>
      </c>
      <c r="K27" s="16" t="n">
        <f aca="false">J27+L27</f>
        <v>2.467</v>
      </c>
      <c r="L27" s="16" t="n">
        <f aca="false">RANDBETWEEN(-20,70)/1000</f>
        <v>0.017</v>
      </c>
      <c r="M27" s="16" t="n">
        <v>3.75</v>
      </c>
      <c r="N27" s="16" t="n">
        <f aca="false">+M27+O27</f>
        <v>3.7459</v>
      </c>
      <c r="O27" s="16" t="n">
        <f aca="false">RANDBETWEEN(-105,115)/10000</f>
        <v>-0.0041</v>
      </c>
      <c r="P27" s="16" t="n">
        <f aca="false">Y27+0.25</f>
        <v>2.363</v>
      </c>
      <c r="Q27" s="16" t="n">
        <f aca="false">P27+R27</f>
        <v>2.35</v>
      </c>
      <c r="R27" s="16" t="n">
        <f aca="false">RANDBETWEEN(-20,70)/1000</f>
        <v>-0.013</v>
      </c>
      <c r="S27" s="17"/>
      <c r="T27" s="18" t="n">
        <v>10.68</v>
      </c>
      <c r="V27" s="19"/>
      <c r="W27" s="19" t="n">
        <f aca="false">'KTHH Lớp 1'!G27</f>
        <v>2.113</v>
      </c>
      <c r="X27" s="19" t="n">
        <f aca="false">'KTHH Lớp 1'!J27</f>
        <v>2.2</v>
      </c>
      <c r="Y27" s="19" t="n">
        <f aca="false">'KTHH Lớp 1'!P27</f>
        <v>2.113</v>
      </c>
    </row>
    <row r="28" s="10" customFormat="true" ht="18" hidden="false" customHeight="true" outlineLevel="0" collapsed="false">
      <c r="A28" s="13" t="n">
        <v>6</v>
      </c>
      <c r="B28" s="82" t="s">
        <v>28</v>
      </c>
      <c r="C28" s="15" t="n">
        <f aca="false">+C27+T27</f>
        <v>77.63</v>
      </c>
      <c r="D28" s="16" t="n">
        <v>-3.75</v>
      </c>
      <c r="E28" s="16" t="n">
        <f aca="false">+D28+F28</f>
        <v>-3.7566</v>
      </c>
      <c r="F28" s="16" t="n">
        <f aca="false">RANDBETWEEN(-105,115)/10000</f>
        <v>-0.0066</v>
      </c>
      <c r="G28" s="16" t="n">
        <f aca="false">W28+0.25</f>
        <v>2.368</v>
      </c>
      <c r="H28" s="16" t="n">
        <f aca="false">G28+I28</f>
        <v>2.418</v>
      </c>
      <c r="I28" s="16" t="n">
        <f aca="false">RANDBETWEEN(-20,70)/1000</f>
        <v>0.05</v>
      </c>
      <c r="J28" s="16" t="n">
        <f aca="false">X28+0.25</f>
        <v>2.455</v>
      </c>
      <c r="K28" s="16" t="n">
        <f aca="false">J28+L28</f>
        <v>2.52</v>
      </c>
      <c r="L28" s="16" t="n">
        <f aca="false">RANDBETWEEN(-20,70)/1000</f>
        <v>0.065</v>
      </c>
      <c r="M28" s="16" t="n">
        <v>3.75</v>
      </c>
      <c r="N28" s="16" t="n">
        <f aca="false">+M28+O28</f>
        <v>3.7403</v>
      </c>
      <c r="O28" s="16" t="n">
        <f aca="false">RANDBETWEEN(-105,115)/10000</f>
        <v>-0.0097</v>
      </c>
      <c r="P28" s="16" t="n">
        <f aca="false">Y28+0.25</f>
        <v>2.368</v>
      </c>
      <c r="Q28" s="16" t="n">
        <f aca="false">P28+R28</f>
        <v>2.39</v>
      </c>
      <c r="R28" s="16" t="n">
        <f aca="false">RANDBETWEEN(-20,70)/1000</f>
        <v>0.022</v>
      </c>
      <c r="S28" s="17"/>
      <c r="T28" s="18" t="n">
        <v>17.17</v>
      </c>
      <c r="V28" s="19"/>
      <c r="W28" s="19" t="n">
        <f aca="false">'KTHH Lớp 1'!G28</f>
        <v>2.118</v>
      </c>
      <c r="X28" s="19" t="n">
        <f aca="false">'KTHH Lớp 1'!J28</f>
        <v>2.205</v>
      </c>
      <c r="Y28" s="19" t="n">
        <f aca="false">'KTHH Lớp 1'!P28</f>
        <v>2.118</v>
      </c>
    </row>
    <row r="29" s="10" customFormat="true" ht="18" hidden="false" customHeight="true" outlineLevel="0" collapsed="false">
      <c r="A29" s="13" t="n">
        <v>7</v>
      </c>
      <c r="B29" s="82" t="s">
        <v>29</v>
      </c>
      <c r="C29" s="15" t="n">
        <f aca="false">+C28+T28</f>
        <v>94.8</v>
      </c>
      <c r="D29" s="16" t="n">
        <v>-3.75</v>
      </c>
      <c r="E29" s="16" t="n">
        <f aca="false">+D29+F29</f>
        <v>-3.7459</v>
      </c>
      <c r="F29" s="16" t="n">
        <f aca="false">RANDBETWEEN(-105,115)/10000</f>
        <v>0.0041</v>
      </c>
      <c r="G29" s="16" t="n">
        <f aca="false">W29+0.25</f>
        <v>2.377</v>
      </c>
      <c r="H29" s="16" t="n">
        <f aca="false">G29+I29</f>
        <v>2.36</v>
      </c>
      <c r="I29" s="16" t="n">
        <f aca="false">RANDBETWEEN(-20,70)/1000</f>
        <v>-0.017</v>
      </c>
      <c r="J29" s="16" t="n">
        <f aca="false">X29+0.25</f>
        <v>2.464</v>
      </c>
      <c r="K29" s="16" t="n">
        <f aca="false">J29+L29</f>
        <v>2.502</v>
      </c>
      <c r="L29" s="16" t="n">
        <f aca="false">RANDBETWEEN(-20,70)/1000</f>
        <v>0.038</v>
      </c>
      <c r="M29" s="16" t="n">
        <v>3.75</v>
      </c>
      <c r="N29" s="16" t="n">
        <f aca="false">+M29+O29</f>
        <v>3.753</v>
      </c>
      <c r="O29" s="16" t="n">
        <f aca="false">RANDBETWEEN(-105,115)/10000</f>
        <v>0.003</v>
      </c>
      <c r="P29" s="16" t="n">
        <f aca="false">Y29+0.25</f>
        <v>2.377</v>
      </c>
      <c r="Q29" s="16" t="n">
        <f aca="false">P29+R29</f>
        <v>2.382</v>
      </c>
      <c r="R29" s="16" t="n">
        <f aca="false">RANDBETWEEN(-20,70)/1000</f>
        <v>0.005</v>
      </c>
      <c r="S29" s="17"/>
      <c r="T29" s="18" t="n">
        <v>17.17</v>
      </c>
      <c r="V29" s="19"/>
      <c r="W29" s="19" t="n">
        <f aca="false">'KTHH Lớp 1'!G29</f>
        <v>2.127</v>
      </c>
      <c r="X29" s="19" t="n">
        <f aca="false">'KTHH Lớp 1'!J29</f>
        <v>2.214</v>
      </c>
      <c r="Y29" s="19" t="n">
        <f aca="false">'KTHH Lớp 1'!P29</f>
        <v>2.127</v>
      </c>
    </row>
    <row r="30" s="10" customFormat="true" ht="18" hidden="false" customHeight="true" outlineLevel="0" collapsed="false">
      <c r="A30" s="13" t="n">
        <v>8</v>
      </c>
      <c r="B30" s="82" t="s">
        <v>30</v>
      </c>
      <c r="C30" s="15" t="n">
        <f aca="false">+C29+T29</f>
        <v>111.97</v>
      </c>
      <c r="D30" s="16" t="n">
        <v>-3.75</v>
      </c>
      <c r="E30" s="16" t="n">
        <f aca="false">+D30+F30</f>
        <v>-3.7593</v>
      </c>
      <c r="F30" s="16" t="n">
        <f aca="false">RANDBETWEEN(-105,115)/10000</f>
        <v>-0.0093</v>
      </c>
      <c r="G30" s="16" t="n">
        <f aca="false">W30+0.25</f>
        <v>2.386</v>
      </c>
      <c r="H30" s="16" t="n">
        <f aca="false">G30+I30</f>
        <v>2.389</v>
      </c>
      <c r="I30" s="16" t="n">
        <f aca="false">RANDBETWEEN(-20,70)/1000</f>
        <v>0.003</v>
      </c>
      <c r="J30" s="16" t="n">
        <f aca="false">X30+0.25</f>
        <v>2.473</v>
      </c>
      <c r="K30" s="16" t="n">
        <f aca="false">J30+L30</f>
        <v>2.488</v>
      </c>
      <c r="L30" s="16" t="n">
        <f aca="false">RANDBETWEEN(-20,70)/1000</f>
        <v>0.015</v>
      </c>
      <c r="M30" s="16" t="n">
        <v>3.75</v>
      </c>
      <c r="N30" s="16" t="n">
        <f aca="false">+M30+O30</f>
        <v>3.7518</v>
      </c>
      <c r="O30" s="16" t="n">
        <f aca="false">RANDBETWEEN(-105,115)/10000</f>
        <v>0.0018</v>
      </c>
      <c r="P30" s="16" t="n">
        <f aca="false">Y30+0.25</f>
        <v>2.386</v>
      </c>
      <c r="Q30" s="16" t="n">
        <f aca="false">P30+R30</f>
        <v>2.37</v>
      </c>
      <c r="R30" s="16" t="n">
        <f aca="false">RANDBETWEEN(-20,70)/1000</f>
        <v>-0.016</v>
      </c>
      <c r="S30" s="17"/>
      <c r="T30" s="18" t="n">
        <v>14.49</v>
      </c>
      <c r="V30" s="19"/>
      <c r="W30" s="19" t="n">
        <f aca="false">'KTHH Lớp 1'!G30</f>
        <v>2.136</v>
      </c>
      <c r="X30" s="19" t="n">
        <f aca="false">'KTHH Lớp 1'!J30</f>
        <v>2.223</v>
      </c>
      <c r="Y30" s="19" t="n">
        <f aca="false">'KTHH Lớp 1'!P30</f>
        <v>2.136</v>
      </c>
    </row>
    <row r="31" s="10" customFormat="true" ht="18" hidden="false" customHeight="true" outlineLevel="0" collapsed="false">
      <c r="A31" s="13" t="n">
        <v>9</v>
      </c>
      <c r="B31" s="82" t="s">
        <v>31</v>
      </c>
      <c r="C31" s="15" t="n">
        <f aca="false">+C30+T30</f>
        <v>126.46</v>
      </c>
      <c r="D31" s="16" t="n">
        <v>-3.75</v>
      </c>
      <c r="E31" s="16" t="n">
        <f aca="false">+D31+F31</f>
        <v>-3.7494</v>
      </c>
      <c r="F31" s="16" t="n">
        <f aca="false">RANDBETWEEN(-105,115)/10000</f>
        <v>0.0006</v>
      </c>
      <c r="G31" s="16" t="n">
        <f aca="false">W31+0.25</f>
        <v>2.386</v>
      </c>
      <c r="H31" s="16" t="n">
        <f aca="false">G31+I31</f>
        <v>2.401</v>
      </c>
      <c r="I31" s="16" t="n">
        <f aca="false">RANDBETWEEN(-20,70)/1000</f>
        <v>0.015</v>
      </c>
      <c r="J31" s="16" t="n">
        <f aca="false">X31+0.25</f>
        <v>2.473</v>
      </c>
      <c r="K31" s="16" t="n">
        <f aca="false">J31+L31</f>
        <v>2.515</v>
      </c>
      <c r="L31" s="16" t="n">
        <f aca="false">RANDBETWEEN(-20,70)/1000</f>
        <v>0.042</v>
      </c>
      <c r="M31" s="16" t="n">
        <v>3.75</v>
      </c>
      <c r="N31" s="16" t="n">
        <f aca="false">+M31+O31</f>
        <v>3.7401</v>
      </c>
      <c r="O31" s="16" t="n">
        <f aca="false">RANDBETWEEN(-105,115)/10000</f>
        <v>-0.0099</v>
      </c>
      <c r="P31" s="16" t="n">
        <f aca="false">Y31+0.25</f>
        <v>2.386</v>
      </c>
      <c r="Q31" s="16" t="n">
        <f aca="false">P31+R31</f>
        <v>2.414</v>
      </c>
      <c r="R31" s="16" t="n">
        <f aca="false">RANDBETWEEN(-20,70)/1000</f>
        <v>0.028</v>
      </c>
      <c r="S31" s="17"/>
      <c r="T31" s="18"/>
      <c r="V31" s="19"/>
      <c r="W31" s="19" t="n">
        <f aca="false">'KTHH Lớp 1'!G31</f>
        <v>2.136</v>
      </c>
      <c r="X31" s="19" t="n">
        <f aca="false">'KTHH Lớp 1'!J31</f>
        <v>2.223</v>
      </c>
      <c r="Y31" s="19" t="n">
        <f aca="false">'KTHH Lớp 1'!P31</f>
        <v>2.136</v>
      </c>
    </row>
    <row r="32" customFormat="false" ht="15.75" hidden="false" customHeight="true" outlineLevel="0" collapsed="false"/>
    <row r="33" customFormat="false" ht="15.75" hidden="false" customHeight="true" outlineLevel="0" collapsed="false">
      <c r="C33" s="21" t="s">
        <v>32</v>
      </c>
      <c r="D33" s="21"/>
      <c r="E33" s="21"/>
      <c r="F33" s="21"/>
      <c r="G33" s="21"/>
      <c r="H33" s="21"/>
      <c r="I33" s="21"/>
      <c r="K33" s="22"/>
      <c r="L33" s="22"/>
      <c r="M33" s="22"/>
      <c r="N33" s="22"/>
      <c r="O33" s="21" t="s">
        <v>33</v>
      </c>
      <c r="P33" s="21"/>
      <c r="Q33" s="21"/>
      <c r="R33" s="21"/>
    </row>
    <row r="34" customFormat="false" ht="15.75" hidden="false" customHeight="true" outlineLevel="0" collapsed="false">
      <c r="E34" s="23"/>
      <c r="F34" s="23"/>
      <c r="G34" s="23"/>
      <c r="H34" s="23"/>
      <c r="K34" s="23"/>
      <c r="L34" s="23"/>
      <c r="M34" s="23"/>
      <c r="N34" s="23"/>
      <c r="O34" s="23"/>
      <c r="P34" s="23"/>
      <c r="Q34" s="23"/>
      <c r="R34" s="23"/>
    </row>
    <row r="35" customFormat="false" ht="15.75" hidden="false" customHeight="true" outlineLevel="0" collapsed="false">
      <c r="E35" s="23"/>
      <c r="F35" s="23"/>
      <c r="G35" s="23"/>
      <c r="H35" s="23"/>
      <c r="K35" s="23"/>
      <c r="L35" s="23"/>
      <c r="M35" s="23"/>
      <c r="N35" s="23"/>
      <c r="O35" s="23"/>
      <c r="P35" s="23"/>
      <c r="Q35" s="23"/>
      <c r="R35" s="23"/>
    </row>
    <row r="36" customFormat="false" ht="15.75" hidden="false" customHeight="true" outlineLevel="0" collapsed="false">
      <c r="E36" s="23"/>
      <c r="F36" s="23"/>
      <c r="G36" s="23"/>
      <c r="H36" s="23"/>
      <c r="K36" s="23"/>
      <c r="L36" s="23"/>
      <c r="M36" s="23"/>
      <c r="N36" s="23"/>
      <c r="O36" s="23"/>
      <c r="P36" s="23"/>
      <c r="Q36" s="23"/>
      <c r="R36" s="23"/>
    </row>
    <row r="37" customFormat="false" ht="15.75" hidden="false" customHeight="true" outlineLevel="0" collapsed="false">
      <c r="E37" s="23"/>
      <c r="F37" s="23"/>
      <c r="G37" s="23"/>
      <c r="H37" s="23"/>
      <c r="K37" s="23"/>
      <c r="L37" s="23"/>
      <c r="M37" s="23"/>
      <c r="N37" s="23"/>
      <c r="O37" s="23"/>
      <c r="P37" s="23"/>
      <c r="Q37" s="23"/>
      <c r="R37" s="23"/>
    </row>
    <row r="38" customFormat="false" ht="15.75" hidden="false" customHeight="true" outlineLevel="0" collapsed="false">
      <c r="C38" s="21" t="s">
        <v>34</v>
      </c>
      <c r="D38" s="21"/>
      <c r="E38" s="21"/>
      <c r="F38" s="21"/>
      <c r="G38" s="21"/>
      <c r="H38" s="21"/>
      <c r="I38" s="21"/>
      <c r="K38" s="22"/>
      <c r="L38" s="22"/>
      <c r="M38" s="22"/>
      <c r="N38" s="22"/>
      <c r="O38" s="21" t="s">
        <v>35</v>
      </c>
      <c r="P38" s="21"/>
      <c r="Q38" s="21"/>
      <c r="R38" s="21"/>
    </row>
  </sheetData>
  <mergeCells count="13">
    <mergeCell ref="A1:S1"/>
    <mergeCell ref="A2:S2"/>
    <mergeCell ref="A21:A22"/>
    <mergeCell ref="B21:B22"/>
    <mergeCell ref="C21:C22"/>
    <mergeCell ref="D21:I21"/>
    <mergeCell ref="J21:L21"/>
    <mergeCell ref="M21:R21"/>
    <mergeCell ref="S21:S22"/>
    <mergeCell ref="C33:I33"/>
    <mergeCell ref="O33:R33"/>
    <mergeCell ref="C38:I38"/>
    <mergeCell ref="O38:R38"/>
  </mergeCells>
  <printOptions headings="false" gridLines="false" gridLinesSet="true" horizontalCentered="true" verticalCentered="false"/>
  <pageMargins left="0.590277777777778" right="0.157638888888889" top="0.579861111111111" bottom="0.479861111111111" header="0.511811023622047" footer="0.157638888888889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>&amp;C&amp;P</oddFooter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HY105"/>
  <sheetViews>
    <sheetView showFormulas="false" showGridLines="true" showRowColHeaders="true" showZeros="true" rightToLeft="false" tabSelected="false" showOutlineSymbols="true" defaultGridColor="true" view="normal" topLeftCell="A10" colorId="64" zoomScale="70" zoomScaleNormal="70" zoomScalePageLayoutView="100" workbookViewId="0">
      <selection pane="topLeft" activeCell="AK50" activeCellId="0" sqref="AK50"/>
    </sheetView>
  </sheetViews>
  <sheetFormatPr defaultColWidth="9.2890625" defaultRowHeight="12.75" zeroHeight="false" outlineLevelRow="0" outlineLevelCol="0"/>
  <cols>
    <col collapsed="false" customWidth="true" hidden="false" outlineLevel="0" max="1" min="1" style="24" width="6.71"/>
    <col collapsed="false" customWidth="true" hidden="false" outlineLevel="0" max="2" min="2" style="24" width="12.29"/>
    <col collapsed="false" customWidth="true" hidden="false" outlineLevel="0" max="3" min="3" style="24" width="19.57"/>
    <col collapsed="false" customWidth="true" hidden="false" outlineLevel="0" max="4" min="4" style="25" width="12.71"/>
    <col collapsed="false" customWidth="true" hidden="true" outlineLevel="0" max="6" min="5" style="25" width="8.42"/>
    <col collapsed="false" customWidth="true" hidden="true" outlineLevel="0" max="7" min="7" style="25" width="11"/>
    <col collapsed="false" customWidth="true" hidden="true" outlineLevel="0" max="12" min="8" style="25" width="8.42"/>
    <col collapsed="false" customWidth="true" hidden="true" outlineLevel="0" max="14" min="13" style="25" width="14.29"/>
    <col collapsed="false" customWidth="true" hidden="false" outlineLevel="0" max="15" min="15" style="25" width="15.42"/>
    <col collapsed="false" customWidth="true" hidden="true" outlineLevel="0" max="22" min="16" style="25" width="14.29"/>
    <col collapsed="false" customWidth="true" hidden="false" outlineLevel="0" max="23" min="23" style="25" width="15.29"/>
    <col collapsed="false" customWidth="true" hidden="true" outlineLevel="0" max="25" min="24" style="25" width="14.29"/>
    <col collapsed="false" customWidth="true" hidden="true" outlineLevel="0" max="27" min="26" style="25" width="12.86"/>
    <col collapsed="false" customWidth="true" hidden="false" outlineLevel="0" max="28" min="28" style="25" width="10.29"/>
    <col collapsed="false" customWidth="false" hidden="true" outlineLevel="0" max="29" min="29" style="25" width="9.29"/>
    <col collapsed="false" customWidth="true" hidden="false" outlineLevel="0" max="30" min="30" style="24" width="3.86"/>
    <col collapsed="false" customWidth="true" hidden="false" outlineLevel="0" max="31" min="31" style="24" width="10"/>
    <col collapsed="false" customWidth="true" hidden="false" outlineLevel="0" max="32" min="32" style="24" width="11.43"/>
    <col collapsed="false" customWidth="true" hidden="false" outlineLevel="0" max="34" min="33" style="24" width="10.57"/>
    <col collapsed="false" customWidth="true" hidden="false" outlineLevel="0" max="35" min="35" style="24" width="11.29"/>
    <col collapsed="false" customWidth="true" hidden="false" outlineLevel="0" max="36" min="36" style="24" width="10.57"/>
    <col collapsed="false" customWidth="true" hidden="false" outlineLevel="0" max="37" min="37" style="24" width="6.43"/>
    <col collapsed="false" customWidth="true" hidden="false" outlineLevel="0" max="38" min="38" style="24" width="10.57"/>
    <col collapsed="false" customWidth="true" hidden="false" outlineLevel="0" max="39" min="39" style="24" width="11.57"/>
    <col collapsed="false" customWidth="false" hidden="false" outlineLevel="0" max="16384" min="40" style="24" width="9.29"/>
  </cols>
  <sheetData>
    <row r="1" s="27" customFormat="true" ht="16.5" hidden="false" customHeight="true" outlineLevel="0" collapsed="false">
      <c r="A1" s="26" t="s">
        <v>36</v>
      </c>
      <c r="B1" s="26"/>
      <c r="C1" s="26"/>
      <c r="D1" s="26"/>
      <c r="E1" s="26"/>
      <c r="F1" s="26"/>
      <c r="G1" s="26"/>
      <c r="H1" s="26"/>
      <c r="I1" s="26"/>
      <c r="J1" s="26"/>
      <c r="K1" s="26"/>
      <c r="L1" s="26"/>
      <c r="M1" s="26"/>
      <c r="N1" s="26"/>
      <c r="O1" s="26"/>
      <c r="P1" s="26"/>
      <c r="Q1" s="26"/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</row>
    <row r="2" s="27" customFormat="true" ht="16.5" hidden="false" customHeight="true" outlineLevel="0" collapsed="false">
      <c r="A2" s="28" t="str">
        <f>"Kèm theo BBNT số: "&amp;VLOOKUP(AZ2,'[1]Tuyến XB6A'!$A$2:$G$60,7,0)&amp;VLOOKUP(AZ2,'[1]Tuyến XB6A'!$A$2:$G$60,4,0)</f>
        <v xml:space="preserve">Kèm theo BBNT số: 19.NĐXB6A/CVXD ngày 07 tháng 09 năm 2026</v>
      </c>
      <c r="B2" s="28"/>
      <c r="C2" s="28"/>
      <c r="D2" s="28"/>
      <c r="E2" s="28"/>
      <c r="F2" s="28"/>
      <c r="G2" s="28"/>
      <c r="H2" s="28"/>
      <c r="I2" s="28"/>
      <c r="J2" s="28"/>
      <c r="K2" s="28"/>
      <c r="L2" s="28"/>
      <c r="M2" s="28"/>
      <c r="N2" s="28"/>
      <c r="O2" s="28"/>
      <c r="P2" s="28"/>
      <c r="Q2" s="28"/>
      <c r="R2" s="28"/>
      <c r="S2" s="28"/>
      <c r="T2" s="28"/>
      <c r="U2" s="28"/>
      <c r="V2" s="28"/>
      <c r="W2" s="28"/>
      <c r="X2" s="28"/>
      <c r="Y2" s="28"/>
      <c r="Z2" s="28"/>
      <c r="AA2" s="28"/>
      <c r="AB2" s="28"/>
      <c r="AZ2">
        <v>19</v>
      </c>
    </row>
    <row r="3" s="31" customFormat="true" ht="37.5" hidden="false" customHeight="true" outlineLevel="0" collapsed="false">
      <c r="A3" s="29" t="s">
        <v>2</v>
      </c>
      <c r="B3" s="29"/>
      <c r="C3" s="29"/>
      <c r="D3" s="29"/>
      <c r="E3" s="29"/>
      <c r="F3" s="29"/>
      <c r="G3" s="29"/>
      <c r="H3" s="29"/>
      <c r="I3" s="29"/>
      <c r="J3" s="29"/>
      <c r="K3" s="29"/>
      <c r="L3" s="29"/>
      <c r="M3" s="29"/>
      <c r="N3" s="29"/>
      <c r="O3" s="29"/>
      <c r="P3" s="29"/>
      <c r="Q3" s="29"/>
      <c r="R3" s="29"/>
      <c r="S3" s="29"/>
      <c r="T3" s="29"/>
      <c r="U3" s="29"/>
      <c r="V3" s="29"/>
      <c r="W3" s="29"/>
      <c r="X3" s="29"/>
      <c r="Y3" s="29"/>
      <c r="Z3" s="29"/>
      <c r="AA3" s="29"/>
      <c r="AB3" s="29"/>
      <c r="AC3" s="30"/>
      <c r="AD3" s="30"/>
      <c r="AE3" s="30"/>
      <c r="AF3" s="30"/>
      <c r="AG3" s="30"/>
      <c r="AH3" s="30"/>
      <c r="AI3" s="30"/>
      <c r="AJ3" s="30"/>
      <c r="AK3" s="30"/>
      <c r="AL3" s="30"/>
      <c r="AM3" s="30"/>
      <c r="AN3" s="30"/>
      <c r="AO3" s="30"/>
      <c r="AP3" s="30"/>
      <c r="AQ3" s="30"/>
      <c r="AR3" s="30"/>
      <c r="AS3" s="30"/>
      <c r="AT3" s="30"/>
      <c r="AU3" s="30"/>
      <c r="AV3" s="30"/>
      <c r="AW3" s="30"/>
      <c r="AX3" s="30"/>
      <c r="AY3" s="30"/>
      <c r="AZ3" s="30"/>
      <c r="BA3" s="30"/>
      <c r="BB3" s="30"/>
      <c r="BC3" s="30"/>
      <c r="BD3" s="30"/>
      <c r="BE3" s="30"/>
      <c r="BF3" s="30"/>
      <c r="BG3" s="30"/>
      <c r="BH3" s="30"/>
      <c r="BI3" s="30"/>
      <c r="BJ3" s="30"/>
      <c r="BK3" s="30"/>
      <c r="BL3" s="30"/>
      <c r="BM3" s="30"/>
      <c r="BN3" s="30"/>
      <c r="BO3" s="30"/>
      <c r="BP3" s="30"/>
      <c r="BQ3" s="30"/>
      <c r="BR3" s="30"/>
      <c r="BS3" s="30"/>
      <c r="BT3" s="30"/>
      <c r="BU3" s="30"/>
      <c r="BV3" s="30"/>
      <c r="BW3" s="30"/>
      <c r="BX3" s="30"/>
      <c r="BY3" s="30"/>
      <c r="BZ3" s="30"/>
      <c r="CA3" s="30"/>
      <c r="CB3" s="30"/>
      <c r="CC3" s="30"/>
      <c r="CD3" s="30"/>
      <c r="CE3" s="30"/>
      <c r="CF3" s="30"/>
      <c r="CG3" s="30"/>
      <c r="CH3" s="30"/>
      <c r="CI3" s="30"/>
      <c r="CJ3" s="30"/>
      <c r="CK3" s="30"/>
      <c r="CL3" s="30"/>
      <c r="CM3" s="30"/>
      <c r="CN3" s="30"/>
      <c r="CO3" s="30"/>
      <c r="CP3" s="30"/>
      <c r="CQ3" s="30"/>
      <c r="CR3" s="30"/>
      <c r="CS3" s="30"/>
      <c r="CT3" s="30"/>
      <c r="CU3" s="30"/>
      <c r="CV3" s="30"/>
      <c r="CW3" s="30"/>
      <c r="CX3" s="30"/>
      <c r="CY3" s="30"/>
      <c r="CZ3" s="30"/>
      <c r="DA3" s="30"/>
      <c r="DB3" s="30"/>
      <c r="DC3" s="30"/>
      <c r="DD3" s="30"/>
      <c r="DE3" s="30"/>
      <c r="DF3" s="30"/>
      <c r="DG3" s="30"/>
      <c r="DH3" s="30"/>
      <c r="DI3" s="30"/>
      <c r="DJ3" s="30"/>
      <c r="DK3" s="30"/>
      <c r="DL3" s="30"/>
      <c r="DM3" s="30"/>
      <c r="DN3" s="30"/>
      <c r="DO3" s="30"/>
      <c r="DP3" s="30"/>
      <c r="DQ3" s="30"/>
      <c r="DR3" s="30"/>
      <c r="DS3" s="30"/>
      <c r="DT3" s="30"/>
      <c r="DU3" s="30"/>
      <c r="DV3" s="30"/>
      <c r="DW3" s="30"/>
      <c r="DX3" s="30"/>
      <c r="DY3" s="30"/>
      <c r="DZ3" s="30"/>
      <c r="EA3" s="30"/>
      <c r="EB3" s="30"/>
      <c r="EC3" s="30"/>
      <c r="ED3" s="30"/>
      <c r="EE3" s="30"/>
      <c r="EF3" s="30"/>
      <c r="EG3" s="30"/>
      <c r="EH3" s="30"/>
      <c r="EI3" s="30"/>
      <c r="EJ3" s="30"/>
      <c r="EK3" s="30"/>
      <c r="EL3" s="30"/>
      <c r="EM3" s="30"/>
      <c r="EN3" s="30"/>
      <c r="EO3" s="30"/>
      <c r="EP3" s="30"/>
      <c r="EQ3" s="30"/>
      <c r="ER3" s="30"/>
      <c r="ES3" s="30"/>
      <c r="ET3" s="30"/>
      <c r="EU3" s="30"/>
      <c r="EV3" s="30"/>
      <c r="EW3" s="30"/>
      <c r="EX3" s="30"/>
      <c r="EY3" s="30"/>
      <c r="EZ3" s="30"/>
      <c r="FA3" s="30"/>
      <c r="FB3" s="30"/>
      <c r="FC3" s="30"/>
      <c r="FD3" s="30"/>
      <c r="FE3" s="30"/>
      <c r="FF3" s="30"/>
      <c r="FG3" s="30"/>
      <c r="FH3" s="30"/>
      <c r="FI3" s="30"/>
      <c r="FJ3" s="30"/>
      <c r="FK3" s="30"/>
      <c r="FL3" s="30"/>
      <c r="FM3" s="30"/>
      <c r="FN3" s="30"/>
      <c r="FO3" s="30"/>
      <c r="FP3" s="30"/>
      <c r="FQ3" s="30"/>
      <c r="FR3" s="30"/>
      <c r="FS3" s="30"/>
      <c r="FT3" s="30"/>
      <c r="FU3" s="30"/>
      <c r="FV3" s="30"/>
      <c r="FW3" s="30"/>
      <c r="FX3" s="30"/>
      <c r="FY3" s="30"/>
      <c r="FZ3" s="30"/>
      <c r="GA3" s="30"/>
      <c r="GB3" s="30"/>
      <c r="GC3" s="30"/>
      <c r="GD3" s="30"/>
      <c r="GE3" s="30"/>
      <c r="GF3" s="30"/>
      <c r="GG3" s="30"/>
      <c r="GH3" s="30"/>
      <c r="GI3" s="30"/>
      <c r="GJ3" s="30"/>
      <c r="GK3" s="30"/>
      <c r="GL3" s="30"/>
      <c r="GM3" s="30"/>
      <c r="GN3" s="30"/>
      <c r="GO3" s="30"/>
      <c r="GP3" s="30"/>
      <c r="GQ3" s="30"/>
      <c r="GR3" s="30"/>
      <c r="GS3" s="30"/>
      <c r="GT3" s="30"/>
      <c r="GU3" s="30"/>
      <c r="GV3" s="30"/>
      <c r="GW3" s="30"/>
      <c r="GX3" s="30"/>
      <c r="GY3" s="30"/>
      <c r="GZ3" s="30"/>
      <c r="HA3" s="30"/>
      <c r="HB3" s="30"/>
      <c r="HC3" s="30"/>
      <c r="HD3" s="30"/>
      <c r="HE3" s="30"/>
      <c r="HF3" s="30"/>
      <c r="HG3" s="30"/>
      <c r="HH3" s="30"/>
      <c r="HI3" s="30"/>
      <c r="HJ3" s="30"/>
      <c r="HK3" s="30"/>
      <c r="HL3" s="30"/>
      <c r="HM3" s="30"/>
      <c r="HN3" s="30"/>
      <c r="HO3" s="30"/>
      <c r="HP3" s="30"/>
      <c r="HQ3" s="30"/>
      <c r="HR3" s="30"/>
      <c r="HS3" s="30"/>
      <c r="HT3" s="30"/>
      <c r="HU3" s="30"/>
      <c r="HV3" s="30"/>
      <c r="HW3" s="30"/>
      <c r="HX3" s="30"/>
      <c r="HY3" s="30"/>
    </row>
    <row r="4" s="31" customFormat="true" ht="37.5" hidden="false" customHeight="true" outlineLevel="0" collapsed="false">
      <c r="A4" s="29" t="s">
        <v>3</v>
      </c>
      <c r="B4" s="29"/>
      <c r="C4" s="29"/>
      <c r="D4" s="29"/>
      <c r="E4" s="29"/>
      <c r="F4" s="29"/>
      <c r="G4" s="29"/>
      <c r="H4" s="29"/>
      <c r="I4" s="29"/>
      <c r="J4" s="29"/>
      <c r="K4" s="29"/>
      <c r="L4" s="29"/>
      <c r="M4" s="29"/>
      <c r="N4" s="29"/>
      <c r="O4" s="29"/>
      <c r="P4" s="29"/>
      <c r="Q4" s="29"/>
      <c r="R4" s="29"/>
      <c r="S4" s="29"/>
      <c r="T4" s="29"/>
      <c r="U4" s="29"/>
      <c r="V4" s="29"/>
      <c r="W4" s="29"/>
      <c r="X4" s="29"/>
      <c r="Y4" s="29"/>
      <c r="Z4" s="29"/>
      <c r="AA4" s="29"/>
      <c r="AB4" s="29"/>
      <c r="AC4" s="30"/>
      <c r="AD4" s="30"/>
      <c r="AE4" s="30"/>
      <c r="AF4" s="30"/>
      <c r="AG4" s="30"/>
      <c r="AH4" s="30"/>
      <c r="AI4" s="30"/>
      <c r="AJ4" s="30"/>
      <c r="AK4" s="30"/>
      <c r="AL4" s="30"/>
      <c r="AM4" s="30"/>
      <c r="AN4" s="30"/>
      <c r="AO4" s="30"/>
      <c r="AP4" s="30"/>
      <c r="AQ4" s="30"/>
      <c r="AR4" s="30"/>
      <c r="AS4" s="30"/>
      <c r="AT4" s="30"/>
      <c r="AU4" s="30"/>
      <c r="AV4" s="30"/>
      <c r="AW4" s="30"/>
      <c r="AX4" s="30"/>
      <c r="AY4" s="30"/>
      <c r="AZ4" s="30"/>
      <c r="BA4" s="30"/>
      <c r="BB4" s="30"/>
      <c r="BC4" s="30"/>
      <c r="BD4" s="30"/>
      <c r="BE4" s="30"/>
      <c r="BF4" s="30"/>
      <c r="BG4" s="30"/>
      <c r="BH4" s="30"/>
      <c r="BI4" s="30"/>
      <c r="BJ4" s="30"/>
      <c r="BK4" s="30"/>
      <c r="BL4" s="30"/>
      <c r="BM4" s="30"/>
      <c r="BN4" s="30"/>
      <c r="BO4" s="30"/>
      <c r="BP4" s="30"/>
      <c r="BQ4" s="30"/>
      <c r="BR4" s="30"/>
      <c r="BS4" s="30"/>
      <c r="BT4" s="30"/>
      <c r="BU4" s="30"/>
      <c r="BV4" s="30"/>
      <c r="BW4" s="30"/>
      <c r="BX4" s="30"/>
      <c r="BY4" s="30"/>
      <c r="BZ4" s="30"/>
      <c r="CA4" s="30"/>
      <c r="CB4" s="30"/>
      <c r="CC4" s="30"/>
      <c r="CD4" s="30"/>
      <c r="CE4" s="30"/>
      <c r="CF4" s="30"/>
      <c r="CG4" s="30"/>
      <c r="CH4" s="30"/>
      <c r="CI4" s="30"/>
      <c r="CJ4" s="30"/>
      <c r="CK4" s="30"/>
      <c r="CL4" s="30"/>
      <c r="CM4" s="30"/>
      <c r="CN4" s="30"/>
      <c r="CO4" s="30"/>
      <c r="CP4" s="30"/>
      <c r="CQ4" s="30"/>
      <c r="CR4" s="30"/>
      <c r="CS4" s="30"/>
      <c r="CT4" s="30"/>
      <c r="CU4" s="30"/>
      <c r="CV4" s="30"/>
      <c r="CW4" s="30"/>
      <c r="CX4" s="30"/>
      <c r="CY4" s="30"/>
      <c r="CZ4" s="30"/>
      <c r="DA4" s="30"/>
      <c r="DB4" s="30"/>
      <c r="DC4" s="30"/>
      <c r="DD4" s="30"/>
      <c r="DE4" s="30"/>
      <c r="DF4" s="30"/>
      <c r="DG4" s="30"/>
      <c r="DH4" s="30"/>
      <c r="DI4" s="30"/>
      <c r="DJ4" s="30"/>
      <c r="DK4" s="30"/>
      <c r="DL4" s="30"/>
      <c r="DM4" s="30"/>
      <c r="DN4" s="30"/>
      <c r="DO4" s="30"/>
      <c r="DP4" s="30"/>
      <c r="DQ4" s="30"/>
      <c r="DR4" s="30"/>
      <c r="DS4" s="30"/>
      <c r="DT4" s="30"/>
      <c r="DU4" s="30"/>
      <c r="DV4" s="30"/>
      <c r="DW4" s="30"/>
      <c r="DX4" s="30"/>
      <c r="DY4" s="30"/>
      <c r="DZ4" s="30"/>
      <c r="EA4" s="30"/>
      <c r="EB4" s="30"/>
      <c r="EC4" s="30"/>
      <c r="ED4" s="30"/>
      <c r="EE4" s="30"/>
      <c r="EF4" s="30"/>
      <c r="EG4" s="30"/>
      <c r="EH4" s="30"/>
      <c r="EI4" s="30"/>
      <c r="EJ4" s="30"/>
      <c r="EK4" s="30"/>
      <c r="EL4" s="30"/>
      <c r="EM4" s="30"/>
      <c r="EN4" s="30"/>
      <c r="EO4" s="30"/>
      <c r="EP4" s="30"/>
      <c r="EQ4" s="30"/>
      <c r="ER4" s="30"/>
      <c r="ES4" s="30"/>
      <c r="ET4" s="30"/>
      <c r="EU4" s="30"/>
      <c r="EV4" s="30"/>
      <c r="EW4" s="30"/>
      <c r="EX4" s="30"/>
      <c r="EY4" s="30"/>
      <c r="EZ4" s="30"/>
      <c r="FA4" s="30"/>
      <c r="FB4" s="30"/>
      <c r="FC4" s="30"/>
      <c r="FD4" s="30"/>
      <c r="FE4" s="30"/>
      <c r="FF4" s="30"/>
      <c r="FG4" s="30"/>
      <c r="FH4" s="30"/>
      <c r="FI4" s="30"/>
      <c r="FJ4" s="30"/>
      <c r="FK4" s="30"/>
      <c r="FL4" s="30"/>
      <c r="FM4" s="30"/>
      <c r="FN4" s="30"/>
      <c r="FO4" s="30"/>
      <c r="FP4" s="30"/>
      <c r="FQ4" s="30"/>
      <c r="FR4" s="30"/>
      <c r="FS4" s="30"/>
      <c r="FT4" s="30"/>
      <c r="FU4" s="30"/>
      <c r="FV4" s="30"/>
      <c r="FW4" s="30"/>
      <c r="FX4" s="30"/>
      <c r="FY4" s="30"/>
      <c r="FZ4" s="30"/>
      <c r="GA4" s="30"/>
      <c r="GB4" s="30"/>
      <c r="GC4" s="30"/>
      <c r="GD4" s="30"/>
      <c r="GE4" s="30"/>
      <c r="GF4" s="30"/>
      <c r="GG4" s="30"/>
      <c r="GH4" s="30"/>
      <c r="GI4" s="30"/>
      <c r="GJ4" s="30"/>
      <c r="GK4" s="30"/>
      <c r="GL4" s="30"/>
      <c r="GM4" s="30"/>
      <c r="GN4" s="30"/>
      <c r="GO4" s="30"/>
      <c r="GP4" s="30"/>
      <c r="GQ4" s="30"/>
      <c r="GR4" s="30"/>
      <c r="GS4" s="30"/>
      <c r="GT4" s="30"/>
      <c r="GU4" s="30"/>
      <c r="GV4" s="30"/>
      <c r="GW4" s="30"/>
      <c r="GX4" s="30"/>
      <c r="GY4" s="30"/>
      <c r="GZ4" s="30"/>
      <c r="HA4" s="30"/>
      <c r="HB4" s="30"/>
      <c r="HC4" s="30"/>
      <c r="HD4" s="30"/>
      <c r="HE4" s="30"/>
      <c r="HF4" s="30"/>
      <c r="HG4" s="30"/>
      <c r="HH4" s="30"/>
      <c r="HI4" s="30"/>
      <c r="HJ4" s="30"/>
      <c r="HK4" s="30"/>
      <c r="HL4" s="30"/>
      <c r="HM4" s="30"/>
      <c r="HN4" s="30"/>
      <c r="HO4" s="30"/>
      <c r="HP4" s="30"/>
      <c r="HQ4" s="30"/>
      <c r="HR4" s="30"/>
      <c r="HS4" s="30"/>
      <c r="HT4" s="30"/>
      <c r="HU4" s="30"/>
      <c r="HV4" s="30"/>
      <c r="HW4" s="30"/>
      <c r="HX4" s="30"/>
      <c r="HY4" s="30"/>
    </row>
    <row r="5" s="31" customFormat="true" ht="16.5" hidden="false" customHeight="true" outlineLevel="0" collapsed="false">
      <c r="A5" s="29" t="s">
        <v>4</v>
      </c>
      <c r="B5" s="29"/>
      <c r="C5" s="29"/>
      <c r="D5" s="29"/>
      <c r="E5" s="29"/>
      <c r="F5" s="29"/>
      <c r="G5" s="29"/>
      <c r="H5" s="29"/>
      <c r="I5" s="29"/>
      <c r="J5" s="29"/>
      <c r="K5" s="29"/>
      <c r="L5" s="29"/>
      <c r="M5" s="29"/>
      <c r="N5" s="29"/>
      <c r="O5" s="29"/>
      <c r="P5" s="29"/>
      <c r="Q5" s="29"/>
      <c r="R5" s="29"/>
      <c r="S5" s="29"/>
      <c r="T5" s="29"/>
      <c r="U5" s="29"/>
      <c r="V5" s="29"/>
      <c r="W5" s="29"/>
      <c r="X5" s="29"/>
      <c r="Y5" s="29"/>
      <c r="Z5" s="29"/>
      <c r="AA5" s="29"/>
      <c r="AB5" s="29"/>
      <c r="AC5" s="30"/>
      <c r="AD5" s="30"/>
      <c r="AE5" s="30"/>
      <c r="AF5" s="30"/>
      <c r="AG5" s="30"/>
      <c r="AH5" s="30"/>
      <c r="AI5" s="30"/>
      <c r="AJ5" s="30"/>
      <c r="AK5" s="30"/>
      <c r="AL5" s="30"/>
      <c r="AM5" s="30"/>
      <c r="AN5" s="30"/>
      <c r="AO5" s="30"/>
      <c r="AP5" s="30"/>
      <c r="AQ5" s="30"/>
      <c r="AR5" s="30"/>
      <c r="AS5" s="30"/>
      <c r="AT5" s="30"/>
      <c r="AU5" s="30"/>
      <c r="AV5" s="30"/>
      <c r="AW5" s="30"/>
      <c r="AX5" s="30"/>
      <c r="AY5" s="30"/>
      <c r="AZ5" s="30"/>
      <c r="BA5" s="30"/>
      <c r="BB5" s="30"/>
      <c r="BC5" s="30"/>
      <c r="BD5" s="30"/>
      <c r="BE5" s="30"/>
      <c r="BF5" s="30"/>
      <c r="BG5" s="30"/>
      <c r="BH5" s="30"/>
      <c r="BI5" s="30"/>
      <c r="BJ5" s="30"/>
      <c r="BK5" s="30"/>
      <c r="BL5" s="30"/>
      <c r="BM5" s="30"/>
      <c r="BN5" s="30"/>
      <c r="BO5" s="30"/>
      <c r="BP5" s="30"/>
      <c r="BQ5" s="30"/>
      <c r="BR5" s="30"/>
      <c r="BS5" s="30"/>
      <c r="BT5" s="30"/>
      <c r="BU5" s="30"/>
      <c r="BV5" s="30"/>
      <c r="BW5" s="30"/>
      <c r="BX5" s="30"/>
      <c r="BY5" s="30"/>
      <c r="BZ5" s="30"/>
      <c r="CA5" s="30"/>
      <c r="CB5" s="30"/>
      <c r="CC5" s="30"/>
      <c r="CD5" s="30"/>
      <c r="CE5" s="30"/>
      <c r="CF5" s="30"/>
      <c r="CG5" s="30"/>
      <c r="CH5" s="30"/>
      <c r="CI5" s="30"/>
      <c r="CJ5" s="30"/>
      <c r="CK5" s="30"/>
      <c r="CL5" s="30"/>
      <c r="CM5" s="30"/>
      <c r="CN5" s="30"/>
      <c r="CO5" s="30"/>
      <c r="CP5" s="30"/>
      <c r="CQ5" s="30"/>
      <c r="CR5" s="30"/>
      <c r="CS5" s="30"/>
      <c r="CT5" s="30"/>
      <c r="CU5" s="30"/>
      <c r="CV5" s="30"/>
      <c r="CW5" s="30"/>
      <c r="CX5" s="30"/>
      <c r="CY5" s="30"/>
      <c r="CZ5" s="30"/>
      <c r="DA5" s="30"/>
      <c r="DB5" s="30"/>
      <c r="DC5" s="30"/>
      <c r="DD5" s="30"/>
      <c r="DE5" s="30"/>
      <c r="DF5" s="30"/>
      <c r="DG5" s="30"/>
      <c r="DH5" s="30"/>
      <c r="DI5" s="30"/>
      <c r="DJ5" s="30"/>
      <c r="DK5" s="30"/>
      <c r="DL5" s="30"/>
      <c r="DM5" s="30"/>
      <c r="DN5" s="30"/>
      <c r="DO5" s="30"/>
      <c r="DP5" s="30"/>
      <c r="DQ5" s="30"/>
      <c r="DR5" s="30"/>
      <c r="DS5" s="30"/>
      <c r="DT5" s="30"/>
      <c r="DU5" s="30"/>
      <c r="DV5" s="30"/>
      <c r="DW5" s="30"/>
      <c r="DX5" s="30"/>
      <c r="DY5" s="30"/>
      <c r="DZ5" s="30"/>
      <c r="EA5" s="30"/>
      <c r="EB5" s="30"/>
      <c r="EC5" s="30"/>
      <c r="ED5" s="30"/>
      <c r="EE5" s="30"/>
      <c r="EF5" s="30"/>
      <c r="EG5" s="30"/>
      <c r="EH5" s="30"/>
      <c r="EI5" s="30"/>
      <c r="EJ5" s="30"/>
      <c r="EK5" s="30"/>
      <c r="EL5" s="30"/>
      <c r="EM5" s="30"/>
      <c r="EN5" s="30"/>
      <c r="EO5" s="30"/>
      <c r="EP5" s="30"/>
      <c r="EQ5" s="30"/>
      <c r="ER5" s="30"/>
      <c r="ES5" s="30"/>
      <c r="ET5" s="30"/>
      <c r="EU5" s="30"/>
      <c r="EV5" s="30"/>
      <c r="EW5" s="30"/>
      <c r="EX5" s="30"/>
      <c r="EY5" s="30"/>
      <c r="EZ5" s="30"/>
      <c r="FA5" s="30"/>
      <c r="FB5" s="30"/>
      <c r="FC5" s="30"/>
      <c r="FD5" s="30"/>
      <c r="FE5" s="30"/>
      <c r="FF5" s="30"/>
      <c r="FG5" s="30"/>
      <c r="FH5" s="30"/>
      <c r="FI5" s="30"/>
      <c r="FJ5" s="30"/>
      <c r="FK5" s="30"/>
      <c r="FL5" s="30"/>
      <c r="FM5" s="30"/>
      <c r="FN5" s="30"/>
      <c r="FO5" s="30"/>
      <c r="FP5" s="30"/>
      <c r="FQ5" s="30"/>
      <c r="FR5" s="30"/>
      <c r="FS5" s="30"/>
      <c r="FT5" s="30"/>
      <c r="FU5" s="30"/>
      <c r="FV5" s="30"/>
      <c r="FW5" s="30"/>
      <c r="FX5" s="30"/>
      <c r="FY5" s="30"/>
      <c r="FZ5" s="30"/>
      <c r="GA5" s="30"/>
      <c r="GB5" s="30"/>
      <c r="GC5" s="30"/>
      <c r="GD5" s="30"/>
      <c r="GE5" s="30"/>
      <c r="GF5" s="30"/>
      <c r="GG5" s="30"/>
      <c r="GH5" s="30"/>
      <c r="GI5" s="30"/>
      <c r="GJ5" s="30"/>
      <c r="GK5" s="30"/>
      <c r="GL5" s="30"/>
      <c r="GM5" s="30"/>
      <c r="GN5" s="30"/>
      <c r="GO5" s="30"/>
      <c r="GP5" s="30"/>
      <c r="GQ5" s="30"/>
      <c r="GR5" s="30"/>
      <c r="GS5" s="30"/>
      <c r="GT5" s="30"/>
      <c r="GU5" s="30"/>
      <c r="GV5" s="30"/>
      <c r="GW5" s="30"/>
      <c r="GX5" s="30"/>
      <c r="GY5" s="30"/>
      <c r="GZ5" s="30"/>
      <c r="HA5" s="30"/>
      <c r="HB5" s="30"/>
      <c r="HC5" s="30"/>
      <c r="HD5" s="30"/>
      <c r="HE5" s="30"/>
      <c r="HF5" s="30"/>
      <c r="HG5" s="30"/>
      <c r="HH5" s="30"/>
      <c r="HI5" s="30"/>
      <c r="HJ5" s="30"/>
      <c r="HK5" s="30"/>
      <c r="HL5" s="30"/>
      <c r="HM5" s="30"/>
      <c r="HN5" s="30"/>
      <c r="HO5" s="30"/>
      <c r="HP5" s="30"/>
      <c r="HQ5" s="30"/>
      <c r="HR5" s="30"/>
      <c r="HS5" s="30"/>
      <c r="HT5" s="30"/>
      <c r="HU5" s="30"/>
      <c r="HV5" s="30"/>
      <c r="HW5" s="30"/>
      <c r="HX5" s="30"/>
      <c r="HY5" s="30"/>
    </row>
    <row r="6" s="31" customFormat="true" ht="16.5" hidden="false" customHeight="true" outlineLevel="0" collapsed="false">
      <c r="A6" s="29" t="s">
        <v>5</v>
      </c>
      <c r="B6" s="29"/>
      <c r="C6" s="29"/>
      <c r="D6" s="29"/>
      <c r="E6" s="29"/>
      <c r="F6" s="29"/>
      <c r="G6" s="29"/>
      <c r="H6" s="29"/>
      <c r="I6" s="29"/>
      <c r="J6" s="29"/>
      <c r="K6" s="29"/>
      <c r="L6" s="29"/>
      <c r="M6" s="29"/>
      <c r="N6" s="29"/>
      <c r="O6" s="29"/>
      <c r="P6" s="29"/>
      <c r="Q6" s="29"/>
      <c r="R6" s="29"/>
      <c r="S6" s="29"/>
      <c r="T6" s="29"/>
      <c r="U6" s="29"/>
      <c r="V6" s="29"/>
      <c r="W6" s="29"/>
      <c r="X6" s="29"/>
      <c r="Y6" s="29"/>
      <c r="Z6" s="29"/>
      <c r="AA6" s="29"/>
      <c r="AB6" s="29"/>
      <c r="AC6" s="30"/>
      <c r="AD6" s="30"/>
      <c r="AE6" s="30"/>
      <c r="AF6" s="30"/>
      <c r="AG6" s="30"/>
      <c r="AH6" s="30"/>
      <c r="AI6" s="30"/>
      <c r="AJ6" s="30"/>
      <c r="AK6" s="30"/>
      <c r="AL6" s="30"/>
      <c r="AM6" s="30"/>
      <c r="AN6" s="30"/>
      <c r="AO6" s="30"/>
      <c r="AP6" s="30"/>
      <c r="AQ6" s="30"/>
      <c r="AR6" s="30"/>
      <c r="AS6" s="30"/>
      <c r="AT6" s="30"/>
      <c r="AU6" s="30"/>
      <c r="AV6" s="30"/>
      <c r="AW6" s="30"/>
      <c r="AX6" s="30"/>
      <c r="AY6" s="30"/>
      <c r="AZ6" s="30"/>
      <c r="BA6" s="30"/>
      <c r="BB6" s="30"/>
      <c r="BC6" s="30"/>
      <c r="BD6" s="30"/>
      <c r="BE6" s="30"/>
      <c r="BF6" s="30"/>
      <c r="BG6" s="30"/>
      <c r="BH6" s="30"/>
      <c r="BI6" s="30"/>
      <c r="BJ6" s="30"/>
      <c r="BK6" s="30"/>
      <c r="BL6" s="30"/>
      <c r="BM6" s="30"/>
      <c r="BN6" s="30"/>
      <c r="BO6" s="30"/>
      <c r="BP6" s="30"/>
      <c r="BQ6" s="30"/>
      <c r="BR6" s="30"/>
      <c r="BS6" s="30"/>
      <c r="BT6" s="30"/>
      <c r="BU6" s="30"/>
      <c r="BV6" s="30"/>
      <c r="BW6" s="30"/>
      <c r="BX6" s="30"/>
      <c r="BY6" s="30"/>
      <c r="BZ6" s="30"/>
      <c r="CA6" s="30"/>
      <c r="CB6" s="30"/>
      <c r="CC6" s="30"/>
      <c r="CD6" s="30"/>
      <c r="CE6" s="30"/>
      <c r="CF6" s="30"/>
      <c r="CG6" s="30"/>
      <c r="CH6" s="30"/>
      <c r="CI6" s="30"/>
      <c r="CJ6" s="30"/>
      <c r="CK6" s="30"/>
      <c r="CL6" s="30"/>
      <c r="CM6" s="30"/>
      <c r="CN6" s="30"/>
      <c r="CO6" s="30"/>
      <c r="CP6" s="30"/>
      <c r="CQ6" s="30"/>
      <c r="CR6" s="30"/>
      <c r="CS6" s="30"/>
      <c r="CT6" s="30"/>
      <c r="CU6" s="30"/>
      <c r="CV6" s="30"/>
      <c r="CW6" s="30"/>
      <c r="CX6" s="30"/>
      <c r="CY6" s="30"/>
      <c r="CZ6" s="30"/>
      <c r="DA6" s="30"/>
      <c r="DB6" s="30"/>
      <c r="DC6" s="30"/>
      <c r="DD6" s="30"/>
      <c r="DE6" s="30"/>
      <c r="DF6" s="30"/>
      <c r="DG6" s="30"/>
      <c r="DH6" s="30"/>
      <c r="DI6" s="30"/>
      <c r="DJ6" s="30"/>
      <c r="DK6" s="30"/>
      <c r="DL6" s="30"/>
      <c r="DM6" s="30"/>
      <c r="DN6" s="30"/>
      <c r="DO6" s="30"/>
      <c r="DP6" s="30"/>
      <c r="DQ6" s="30"/>
      <c r="DR6" s="30"/>
      <c r="DS6" s="30"/>
      <c r="DT6" s="30"/>
      <c r="DU6" s="30"/>
      <c r="DV6" s="30"/>
      <c r="DW6" s="30"/>
      <c r="DX6" s="30"/>
      <c r="DY6" s="30"/>
      <c r="DZ6" s="30"/>
      <c r="EA6" s="30"/>
      <c r="EB6" s="30"/>
      <c r="EC6" s="30"/>
      <c r="ED6" s="30"/>
      <c r="EE6" s="30"/>
      <c r="EF6" s="30"/>
      <c r="EG6" s="30"/>
      <c r="EH6" s="30"/>
      <c r="EI6" s="30"/>
      <c r="EJ6" s="30"/>
      <c r="EK6" s="30"/>
      <c r="EL6" s="30"/>
      <c r="EM6" s="30"/>
      <c r="EN6" s="30"/>
      <c r="EO6" s="30"/>
      <c r="EP6" s="30"/>
      <c r="EQ6" s="30"/>
      <c r="ER6" s="30"/>
      <c r="ES6" s="30"/>
      <c r="ET6" s="30"/>
      <c r="EU6" s="30"/>
      <c r="EV6" s="30"/>
      <c r="EW6" s="30"/>
      <c r="EX6" s="30"/>
      <c r="EY6" s="30"/>
      <c r="EZ6" s="30"/>
      <c r="FA6" s="30"/>
      <c r="FB6" s="30"/>
      <c r="FC6" s="30"/>
      <c r="FD6" s="30"/>
      <c r="FE6" s="30"/>
      <c r="FF6" s="30"/>
      <c r="FG6" s="30"/>
      <c r="FH6" s="30"/>
      <c r="FI6" s="30"/>
      <c r="FJ6" s="30"/>
      <c r="FK6" s="30"/>
      <c r="FL6" s="30"/>
      <c r="FM6" s="30"/>
      <c r="FN6" s="30"/>
      <c r="FO6" s="30"/>
      <c r="FP6" s="30"/>
      <c r="FQ6" s="30"/>
      <c r="FR6" s="30"/>
      <c r="FS6" s="30"/>
      <c r="FT6" s="30"/>
      <c r="FU6" s="30"/>
      <c r="FV6" s="30"/>
      <c r="FW6" s="30"/>
      <c r="FX6" s="30"/>
      <c r="FY6" s="30"/>
      <c r="FZ6" s="30"/>
      <c r="GA6" s="30"/>
      <c r="GB6" s="30"/>
      <c r="GC6" s="30"/>
      <c r="GD6" s="30"/>
      <c r="GE6" s="30"/>
      <c r="GF6" s="30"/>
      <c r="GG6" s="30"/>
      <c r="GH6" s="30"/>
      <c r="GI6" s="30"/>
      <c r="GJ6" s="30"/>
      <c r="GK6" s="30"/>
      <c r="GL6" s="30"/>
      <c r="GM6" s="30"/>
      <c r="GN6" s="30"/>
      <c r="GO6" s="30"/>
      <c r="GP6" s="30"/>
      <c r="GQ6" s="30"/>
      <c r="GR6" s="30"/>
      <c r="GS6" s="30"/>
      <c r="GT6" s="30"/>
      <c r="GU6" s="30"/>
      <c r="GV6" s="30"/>
      <c r="GW6" s="30"/>
      <c r="GX6" s="30"/>
      <c r="GY6" s="30"/>
      <c r="GZ6" s="30"/>
      <c r="HA6" s="30"/>
      <c r="HB6" s="30"/>
      <c r="HC6" s="30"/>
      <c r="HD6" s="30"/>
      <c r="HE6" s="30"/>
      <c r="HF6" s="30"/>
      <c r="HG6" s="30"/>
      <c r="HH6" s="30"/>
      <c r="HI6" s="30"/>
      <c r="HJ6" s="30"/>
      <c r="HK6" s="30"/>
      <c r="HL6" s="30"/>
      <c r="HM6" s="30"/>
      <c r="HN6" s="30"/>
      <c r="HO6" s="30"/>
      <c r="HP6" s="30"/>
      <c r="HQ6" s="30"/>
      <c r="HR6" s="30"/>
      <c r="HS6" s="30"/>
      <c r="HT6" s="30"/>
      <c r="HU6" s="30"/>
      <c r="HV6" s="30"/>
      <c r="HW6" s="30"/>
      <c r="HX6" s="30"/>
      <c r="HY6" s="30"/>
    </row>
    <row r="7" s="31" customFormat="true" ht="30.75" hidden="false" customHeight="true" outlineLevel="0" collapsed="false">
      <c r="A7" s="32" t="s">
        <v>6</v>
      </c>
      <c r="B7" s="33"/>
      <c r="D7" s="34" t="str">
        <f>VLOOKUP(AZ2,'[1]Tuyến XB6A'!$A$2:$B$60,2,0)</f>
        <v xml:space="preserve">Đắp đất nền đường lớp 2, độ chặt K&gt;=0,98 đoạn từ Km0+000,00 - Km0+126,46</v>
      </c>
      <c r="E7" s="34"/>
      <c r="F7" s="34"/>
      <c r="G7" s="34"/>
      <c r="H7" s="34"/>
      <c r="I7" s="34"/>
      <c r="J7" s="34"/>
      <c r="K7" s="34"/>
      <c r="L7" s="34"/>
      <c r="M7" s="34"/>
      <c r="N7" s="34"/>
      <c r="O7" s="34"/>
      <c r="P7" s="34"/>
      <c r="Q7" s="34"/>
      <c r="R7" s="34"/>
      <c r="S7" s="34"/>
      <c r="T7" s="34"/>
      <c r="U7" s="34"/>
      <c r="V7" s="34"/>
      <c r="W7" s="34"/>
      <c r="X7" s="34"/>
      <c r="Y7" s="34"/>
      <c r="Z7" s="34"/>
      <c r="AA7" s="34"/>
      <c r="AB7" s="34"/>
      <c r="AC7" s="30"/>
      <c r="AD7" s="30"/>
      <c r="AE7" s="30"/>
      <c r="AF7" s="30"/>
      <c r="AG7" s="30"/>
      <c r="AH7" s="30"/>
      <c r="AI7" s="30"/>
      <c r="AJ7" s="30"/>
      <c r="AK7" s="30"/>
      <c r="AL7" s="30"/>
      <c r="AM7" s="30"/>
      <c r="AN7" s="30"/>
      <c r="AO7" s="30"/>
      <c r="AP7" s="30"/>
      <c r="AQ7" s="30"/>
      <c r="AR7" s="30"/>
      <c r="AS7" s="30"/>
      <c r="AT7" s="30"/>
      <c r="AU7" s="30"/>
      <c r="AV7" s="30"/>
      <c r="AW7" s="30"/>
      <c r="AX7" s="30"/>
      <c r="AY7" s="30"/>
      <c r="AZ7" s="30"/>
      <c r="BA7" s="30"/>
      <c r="BB7" s="30"/>
      <c r="BC7" s="30"/>
      <c r="BD7" s="30"/>
      <c r="BE7" s="30"/>
      <c r="BF7" s="30"/>
      <c r="BG7" s="30"/>
      <c r="BH7" s="30"/>
      <c r="BI7" s="30"/>
      <c r="BJ7" s="30"/>
      <c r="BK7" s="30"/>
      <c r="BL7" s="30"/>
      <c r="BM7" s="30"/>
      <c r="BN7" s="30"/>
      <c r="BO7" s="30"/>
      <c r="BP7" s="30"/>
      <c r="BQ7" s="30"/>
      <c r="BR7" s="30"/>
      <c r="BS7" s="30"/>
      <c r="BT7" s="30"/>
      <c r="BU7" s="30"/>
      <c r="BV7" s="30"/>
      <c r="BW7" s="30"/>
      <c r="BX7" s="30"/>
      <c r="BY7" s="30"/>
      <c r="BZ7" s="30"/>
      <c r="CA7" s="30"/>
      <c r="CB7" s="30"/>
      <c r="CC7" s="30"/>
      <c r="CD7" s="30"/>
      <c r="CE7" s="30"/>
      <c r="CF7" s="30"/>
      <c r="CG7" s="30"/>
      <c r="CH7" s="30"/>
      <c r="CI7" s="30"/>
      <c r="CJ7" s="30"/>
      <c r="CK7" s="30"/>
      <c r="CL7" s="30"/>
      <c r="CM7" s="30"/>
      <c r="CN7" s="30"/>
      <c r="CO7" s="30"/>
      <c r="CP7" s="30"/>
      <c r="CQ7" s="30"/>
      <c r="CR7" s="30"/>
      <c r="CS7" s="30"/>
      <c r="CT7" s="30"/>
      <c r="CU7" s="30"/>
      <c r="CV7" s="30"/>
      <c r="CW7" s="30"/>
      <c r="CX7" s="30"/>
      <c r="CY7" s="30"/>
      <c r="CZ7" s="30"/>
      <c r="DA7" s="30"/>
      <c r="DB7" s="30"/>
      <c r="DC7" s="30"/>
      <c r="DD7" s="30"/>
      <c r="DE7" s="30"/>
      <c r="DF7" s="30"/>
      <c r="DG7" s="30"/>
      <c r="DH7" s="30"/>
      <c r="DI7" s="30"/>
      <c r="DJ7" s="30"/>
      <c r="DK7" s="30"/>
      <c r="DL7" s="30"/>
      <c r="DM7" s="30"/>
      <c r="DN7" s="30"/>
      <c r="DO7" s="30"/>
      <c r="DP7" s="30"/>
      <c r="DQ7" s="30"/>
      <c r="DR7" s="30"/>
      <c r="DS7" s="30"/>
      <c r="DT7" s="30"/>
      <c r="DU7" s="30"/>
      <c r="DV7" s="30"/>
      <c r="DW7" s="30"/>
      <c r="DX7" s="30"/>
      <c r="DY7" s="30"/>
      <c r="DZ7" s="30"/>
      <c r="EA7" s="30"/>
      <c r="EB7" s="30"/>
      <c r="EC7" s="30"/>
      <c r="ED7" s="30"/>
      <c r="EE7" s="30"/>
      <c r="EF7" s="30"/>
      <c r="EG7" s="30"/>
      <c r="EH7" s="30"/>
      <c r="EI7" s="30"/>
      <c r="EJ7" s="30"/>
      <c r="EK7" s="30"/>
      <c r="EL7" s="30"/>
      <c r="EM7" s="30"/>
      <c r="EN7" s="30"/>
      <c r="EO7" s="30"/>
      <c r="EP7" s="30"/>
      <c r="EQ7" s="30"/>
      <c r="ER7" s="30"/>
      <c r="ES7" s="30"/>
      <c r="ET7" s="30"/>
      <c r="EU7" s="30"/>
      <c r="EV7" s="30"/>
      <c r="EW7" s="30"/>
      <c r="EX7" s="30"/>
      <c r="EY7" s="30"/>
      <c r="EZ7" s="30"/>
      <c r="FA7" s="30"/>
      <c r="FB7" s="30"/>
      <c r="FC7" s="30"/>
      <c r="FD7" s="30"/>
      <c r="FE7" s="30"/>
      <c r="FF7" s="30"/>
      <c r="FG7" s="30"/>
      <c r="FH7" s="30"/>
      <c r="FI7" s="30"/>
      <c r="FJ7" s="30"/>
      <c r="FK7" s="30"/>
      <c r="FL7" s="30"/>
      <c r="FM7" s="30"/>
      <c r="FN7" s="30"/>
      <c r="FO7" s="30"/>
      <c r="FP7" s="30"/>
      <c r="FQ7" s="30"/>
      <c r="FR7" s="30"/>
      <c r="FS7" s="30"/>
      <c r="FT7" s="30"/>
      <c r="FU7" s="30"/>
      <c r="FV7" s="30"/>
      <c r="FW7" s="30"/>
      <c r="FX7" s="30"/>
      <c r="FY7" s="30"/>
      <c r="FZ7" s="30"/>
      <c r="GA7" s="30"/>
      <c r="GB7" s="30"/>
      <c r="GC7" s="30"/>
      <c r="GD7" s="30"/>
      <c r="GE7" s="30"/>
      <c r="GF7" s="30"/>
      <c r="GG7" s="30"/>
      <c r="GH7" s="30"/>
      <c r="GI7" s="30"/>
      <c r="GJ7" s="30"/>
      <c r="GK7" s="30"/>
      <c r="GL7" s="30"/>
      <c r="GM7" s="30"/>
      <c r="GN7" s="30"/>
      <c r="GO7" s="30"/>
      <c r="GP7" s="30"/>
      <c r="GQ7" s="30"/>
      <c r="GR7" s="30"/>
      <c r="GS7" s="30"/>
      <c r="GT7" s="30"/>
      <c r="GU7" s="30"/>
      <c r="GV7" s="30"/>
      <c r="GW7" s="30"/>
      <c r="GX7" s="30"/>
      <c r="GY7" s="30"/>
      <c r="GZ7" s="30"/>
      <c r="HA7" s="30"/>
      <c r="HB7" s="30"/>
      <c r="HC7" s="30"/>
      <c r="HD7" s="30"/>
      <c r="HE7" s="30"/>
      <c r="HF7" s="30"/>
      <c r="HG7" s="30"/>
      <c r="HH7" s="30"/>
      <c r="HI7" s="30"/>
      <c r="HJ7" s="30"/>
      <c r="HK7" s="30"/>
      <c r="HL7" s="30"/>
      <c r="HM7" s="30"/>
      <c r="HN7" s="30"/>
      <c r="HO7" s="30"/>
      <c r="HP7" s="30"/>
      <c r="HQ7" s="30"/>
      <c r="HR7" s="30"/>
      <c r="HS7" s="30"/>
      <c r="HT7" s="30"/>
      <c r="HU7" s="30"/>
      <c r="HV7" s="30"/>
      <c r="HW7" s="30"/>
      <c r="HX7" s="30"/>
      <c r="HY7" s="30"/>
    </row>
    <row r="8" s="30" customFormat="true" ht="13.5" hidden="false" customHeight="true" outlineLevel="0" collapsed="false">
      <c r="A8" s="35"/>
      <c r="B8" s="35"/>
      <c r="C8" s="35"/>
      <c r="D8" s="35"/>
      <c r="E8" s="35"/>
      <c r="F8" s="35"/>
      <c r="G8" s="35"/>
      <c r="H8" s="35"/>
      <c r="I8" s="35"/>
      <c r="J8" s="35"/>
      <c r="K8" s="35"/>
      <c r="L8" s="35"/>
      <c r="M8" s="35"/>
      <c r="N8" s="35"/>
      <c r="O8" s="35"/>
      <c r="P8" s="35"/>
      <c r="Q8" s="35"/>
      <c r="R8" s="35"/>
      <c r="S8" s="35"/>
      <c r="T8" s="35"/>
      <c r="U8" s="35"/>
      <c r="V8" s="35"/>
      <c r="W8" s="35"/>
      <c r="X8" s="35"/>
      <c r="Y8" s="35"/>
      <c r="Z8" s="35"/>
      <c r="AA8" s="35"/>
      <c r="AB8" s="35"/>
    </row>
    <row r="9" s="46" customFormat="true" ht="22.5" hidden="false" customHeight="true" outlineLevel="0" collapsed="false">
      <c r="A9" s="83" t="s">
        <v>37</v>
      </c>
      <c r="B9" s="83" t="s">
        <v>10</v>
      </c>
      <c r="C9" s="83" t="s">
        <v>11</v>
      </c>
      <c r="D9" s="84" t="s">
        <v>38</v>
      </c>
      <c r="E9" s="85"/>
      <c r="F9" s="85"/>
      <c r="G9" s="84"/>
      <c r="H9" s="85"/>
      <c r="I9" s="85"/>
      <c r="J9" s="85"/>
      <c r="K9" s="85"/>
      <c r="L9" s="85"/>
      <c r="M9" s="86" t="s">
        <v>39</v>
      </c>
      <c r="N9" s="87"/>
      <c r="O9" s="88" t="s">
        <v>40</v>
      </c>
      <c r="P9" s="89"/>
      <c r="Q9" s="89"/>
      <c r="R9" s="89"/>
      <c r="S9" s="89"/>
      <c r="T9" s="89"/>
      <c r="U9" s="89"/>
      <c r="V9" s="89"/>
      <c r="W9" s="88" t="s">
        <v>41</v>
      </c>
      <c r="X9" s="87"/>
      <c r="Y9" s="90"/>
      <c r="Z9" s="91"/>
      <c r="AA9" s="91"/>
      <c r="AB9" s="84" t="s">
        <v>15</v>
      </c>
      <c r="AC9" s="45"/>
    </row>
    <row r="10" s="50" customFormat="true" ht="22.5" hidden="false" customHeight="true" outlineLevel="0" collapsed="false">
      <c r="A10" s="83"/>
      <c r="B10" s="83"/>
      <c r="C10" s="83"/>
      <c r="D10" s="83"/>
      <c r="E10" s="88"/>
      <c r="F10" s="88"/>
      <c r="G10" s="88"/>
      <c r="H10" s="88"/>
      <c r="I10" s="88"/>
      <c r="J10" s="88"/>
      <c r="K10" s="88"/>
      <c r="L10" s="88"/>
      <c r="M10" s="88"/>
      <c r="N10" s="88" t="s">
        <v>40</v>
      </c>
      <c r="O10" s="88"/>
      <c r="P10" s="88" t="s">
        <v>40</v>
      </c>
      <c r="Q10" s="88" t="s">
        <v>40</v>
      </c>
      <c r="R10" s="88"/>
      <c r="S10" s="88"/>
      <c r="T10" s="88"/>
      <c r="U10" s="88" t="s">
        <v>41</v>
      </c>
      <c r="V10" s="88" t="s">
        <v>41</v>
      </c>
      <c r="W10" s="88"/>
      <c r="X10" s="88" t="s">
        <v>41</v>
      </c>
      <c r="Y10" s="88" t="s">
        <v>41</v>
      </c>
      <c r="Z10" s="92"/>
      <c r="AA10" s="92"/>
      <c r="AB10" s="84"/>
      <c r="AC10" s="48"/>
      <c r="AD10" s="49"/>
      <c r="AE10" s="49"/>
    </row>
    <row r="11" s="50" customFormat="true" ht="15" hidden="false" customHeight="true" outlineLevel="0" collapsed="false">
      <c r="A11" s="93" t="n">
        <v>1</v>
      </c>
      <c r="B11" s="93" t="str">
        <f aca="false">'KTHH Lớp 2'!B23</f>
        <v>D3</v>
      </c>
      <c r="C11" s="94" t="n">
        <f aca="false">'KTHH Lớp 2'!C23</f>
        <v>0</v>
      </c>
      <c r="D11" s="93" t="n">
        <f aca="false">'KTHH Lớp 2'!T23</f>
        <v>19.63</v>
      </c>
      <c r="E11" s="95"/>
      <c r="F11" s="95"/>
      <c r="G11" s="95"/>
      <c r="H11" s="95"/>
      <c r="I11" s="95"/>
      <c r="J11" s="95"/>
      <c r="K11" s="96"/>
      <c r="L11" s="97"/>
      <c r="M11" s="98"/>
      <c r="N11" s="99"/>
      <c r="O11" s="96" t="n">
        <f aca="false">7.5*0.25</f>
        <v>1.875</v>
      </c>
      <c r="P11" s="96"/>
      <c r="Q11" s="96"/>
      <c r="R11" s="56"/>
      <c r="S11" s="56"/>
      <c r="T11" s="56"/>
      <c r="U11" s="56"/>
      <c r="V11" s="56"/>
      <c r="W11" s="56" t="n">
        <f aca="false">(O11+O12)*D11/2</f>
        <v>36.80625</v>
      </c>
      <c r="X11" s="56"/>
      <c r="Y11" s="56"/>
      <c r="Z11" s="56"/>
      <c r="AA11" s="56"/>
      <c r="AB11" s="100"/>
      <c r="AC11" s="56"/>
      <c r="AE11" s="72"/>
    </row>
    <row r="12" s="50" customFormat="true" ht="15" hidden="false" customHeight="true" outlineLevel="0" collapsed="false">
      <c r="A12" s="93" t="n">
        <v>2</v>
      </c>
      <c r="B12" s="93" t="str">
        <f aca="false">'KTHH Lớp 2'!B24</f>
        <v>1</v>
      </c>
      <c r="C12" s="94" t="n">
        <f aca="false">'KTHH Lớp 2'!C24</f>
        <v>19.63</v>
      </c>
      <c r="D12" s="93" t="n">
        <f aca="false">'KTHH Lớp 2'!T24</f>
        <v>17.17</v>
      </c>
      <c r="E12" s="95"/>
      <c r="F12" s="95"/>
      <c r="G12" s="95"/>
      <c r="H12" s="95"/>
      <c r="I12" s="95"/>
      <c r="J12" s="95"/>
      <c r="K12" s="96"/>
      <c r="L12" s="97"/>
      <c r="M12" s="98"/>
      <c r="N12" s="99"/>
      <c r="O12" s="96" t="n">
        <f aca="false">7.5*0.25</f>
        <v>1.875</v>
      </c>
      <c r="P12" s="96"/>
      <c r="Q12" s="96"/>
      <c r="R12" s="56"/>
      <c r="S12" s="56"/>
      <c r="T12" s="56"/>
      <c r="U12" s="56"/>
      <c r="V12" s="56"/>
      <c r="W12" s="56" t="n">
        <f aca="false">(O12+O13)*D12/2</f>
        <v>32.19375</v>
      </c>
      <c r="X12" s="56"/>
      <c r="Y12" s="56"/>
      <c r="Z12" s="56"/>
      <c r="AA12" s="56"/>
      <c r="AB12" s="100"/>
      <c r="AC12" s="56"/>
      <c r="AE12" s="72"/>
    </row>
    <row r="13" s="50" customFormat="true" ht="15" hidden="false" customHeight="true" outlineLevel="0" collapsed="false">
      <c r="A13" s="93" t="n">
        <v>3</v>
      </c>
      <c r="B13" s="93" t="str">
        <f aca="false">'KTHH Lớp 2'!B25</f>
        <v>2</v>
      </c>
      <c r="C13" s="94" t="n">
        <f aca="false">'KTHH Lớp 2'!C25</f>
        <v>36.8</v>
      </c>
      <c r="D13" s="93" t="n">
        <f aca="false">'KTHH Lớp 2'!T25</f>
        <v>17.18</v>
      </c>
      <c r="E13" s="95"/>
      <c r="F13" s="95"/>
      <c r="G13" s="95"/>
      <c r="H13" s="95"/>
      <c r="I13" s="95"/>
      <c r="J13" s="95"/>
      <c r="K13" s="96"/>
      <c r="L13" s="97"/>
      <c r="M13" s="98"/>
      <c r="N13" s="99"/>
      <c r="O13" s="96" t="n">
        <f aca="false">7.5*0.25</f>
        <v>1.875</v>
      </c>
      <c r="P13" s="96"/>
      <c r="Q13" s="96"/>
      <c r="R13" s="56"/>
      <c r="S13" s="56"/>
      <c r="T13" s="56"/>
      <c r="U13" s="56"/>
      <c r="V13" s="56"/>
      <c r="W13" s="56" t="n">
        <f aca="false">(O13+O14)*D13/2</f>
        <v>32.2125</v>
      </c>
      <c r="X13" s="56"/>
      <c r="Y13" s="56"/>
      <c r="Z13" s="56"/>
      <c r="AA13" s="56"/>
      <c r="AB13" s="100"/>
      <c r="AC13" s="56"/>
      <c r="AE13" s="72"/>
    </row>
    <row r="14" s="50" customFormat="true" ht="15" hidden="false" customHeight="true" outlineLevel="0" collapsed="false">
      <c r="A14" s="93" t="n">
        <v>4</v>
      </c>
      <c r="B14" s="93" t="str">
        <f aca="false">'KTHH Lớp 2'!B26</f>
        <v>3</v>
      </c>
      <c r="C14" s="94" t="n">
        <f aca="false">'KTHH Lớp 2'!C26</f>
        <v>53.98</v>
      </c>
      <c r="D14" s="93" t="n">
        <f aca="false">'KTHH Lớp 2'!T26</f>
        <v>12.97</v>
      </c>
      <c r="E14" s="95"/>
      <c r="F14" s="95"/>
      <c r="G14" s="95"/>
      <c r="H14" s="95"/>
      <c r="I14" s="95"/>
      <c r="J14" s="95"/>
      <c r="K14" s="96"/>
      <c r="L14" s="97"/>
      <c r="M14" s="98"/>
      <c r="N14" s="99"/>
      <c r="O14" s="96" t="n">
        <f aca="false">7.5*0.25</f>
        <v>1.875</v>
      </c>
      <c r="P14" s="96"/>
      <c r="Q14" s="96"/>
      <c r="R14" s="56"/>
      <c r="S14" s="56"/>
      <c r="T14" s="56"/>
      <c r="U14" s="56"/>
      <c r="V14" s="56"/>
      <c r="W14" s="56" t="n">
        <f aca="false">(O14+O15)*D14/2</f>
        <v>24.31875</v>
      </c>
      <c r="X14" s="56"/>
      <c r="Y14" s="56"/>
      <c r="Z14" s="56"/>
      <c r="AA14" s="56"/>
      <c r="AB14" s="100"/>
      <c r="AC14" s="56"/>
      <c r="AE14" s="72"/>
    </row>
    <row r="15" s="50" customFormat="true" ht="15" hidden="false" customHeight="true" outlineLevel="0" collapsed="false">
      <c r="A15" s="93" t="n">
        <v>5</v>
      </c>
      <c r="B15" s="93" t="str">
        <f aca="false">'KTHH Lớp 2'!B27</f>
        <v>D2</v>
      </c>
      <c r="C15" s="94" t="n">
        <f aca="false">'KTHH Lớp 2'!C27</f>
        <v>66.95</v>
      </c>
      <c r="D15" s="93" t="n">
        <f aca="false">'KTHH Lớp 2'!T27</f>
        <v>10.68</v>
      </c>
      <c r="E15" s="95"/>
      <c r="F15" s="95"/>
      <c r="G15" s="95"/>
      <c r="H15" s="95"/>
      <c r="I15" s="95"/>
      <c r="J15" s="95"/>
      <c r="K15" s="96"/>
      <c r="L15" s="97"/>
      <c r="M15" s="98"/>
      <c r="N15" s="99"/>
      <c r="O15" s="96" t="n">
        <f aca="false">7.5*0.25</f>
        <v>1.875</v>
      </c>
      <c r="P15" s="96"/>
      <c r="Q15" s="96"/>
      <c r="R15" s="56"/>
      <c r="S15" s="56"/>
      <c r="T15" s="56"/>
      <c r="U15" s="56"/>
      <c r="V15" s="56"/>
      <c r="W15" s="56" t="n">
        <f aca="false">(O15+O16)*D15/2</f>
        <v>20.025</v>
      </c>
      <c r="X15" s="56"/>
      <c r="Y15" s="56"/>
      <c r="Z15" s="56"/>
      <c r="AA15" s="56"/>
      <c r="AB15" s="100"/>
      <c r="AC15" s="56"/>
      <c r="AE15" s="72"/>
    </row>
    <row r="16" s="50" customFormat="true" ht="15" hidden="false" customHeight="true" outlineLevel="0" collapsed="false">
      <c r="A16" s="93" t="n">
        <v>6</v>
      </c>
      <c r="B16" s="93" t="str">
        <f aca="false">'KTHH Lớp 2'!B28</f>
        <v>4</v>
      </c>
      <c r="C16" s="94" t="n">
        <f aca="false">'KTHH Lớp 2'!C28</f>
        <v>77.63</v>
      </c>
      <c r="D16" s="93" t="n">
        <f aca="false">'KTHH Lớp 2'!T28</f>
        <v>17.17</v>
      </c>
      <c r="E16" s="95"/>
      <c r="F16" s="95"/>
      <c r="G16" s="95"/>
      <c r="H16" s="95"/>
      <c r="I16" s="95"/>
      <c r="J16" s="95"/>
      <c r="K16" s="96"/>
      <c r="L16" s="97"/>
      <c r="M16" s="98"/>
      <c r="N16" s="99"/>
      <c r="O16" s="96" t="n">
        <f aca="false">7.5*0.25</f>
        <v>1.875</v>
      </c>
      <c r="P16" s="96"/>
      <c r="Q16" s="96"/>
      <c r="R16" s="56"/>
      <c r="S16" s="56"/>
      <c r="T16" s="56"/>
      <c r="U16" s="56"/>
      <c r="V16" s="56"/>
      <c r="W16" s="56" t="n">
        <f aca="false">(O16+O17)*D16/2</f>
        <v>32.19375</v>
      </c>
      <c r="X16" s="56"/>
      <c r="Y16" s="56"/>
      <c r="Z16" s="56"/>
      <c r="AA16" s="56"/>
      <c r="AB16" s="100"/>
      <c r="AC16" s="56"/>
      <c r="AE16" s="72"/>
    </row>
    <row r="17" s="50" customFormat="true" ht="15" hidden="false" customHeight="true" outlineLevel="0" collapsed="false">
      <c r="A17" s="93" t="n">
        <v>7</v>
      </c>
      <c r="B17" s="93" t="str">
        <f aca="false">'KTHH Lớp 2'!B29</f>
        <v>5</v>
      </c>
      <c r="C17" s="94" t="n">
        <f aca="false">'KTHH Lớp 2'!C29</f>
        <v>94.8</v>
      </c>
      <c r="D17" s="93" t="n">
        <f aca="false">'KTHH Lớp 2'!T29</f>
        <v>17.17</v>
      </c>
      <c r="E17" s="95"/>
      <c r="F17" s="95"/>
      <c r="G17" s="95"/>
      <c r="H17" s="95"/>
      <c r="I17" s="95"/>
      <c r="J17" s="95"/>
      <c r="K17" s="96"/>
      <c r="L17" s="97"/>
      <c r="M17" s="98"/>
      <c r="N17" s="99"/>
      <c r="O17" s="96" t="n">
        <f aca="false">7.5*0.25</f>
        <v>1.875</v>
      </c>
      <c r="P17" s="96"/>
      <c r="Q17" s="96"/>
      <c r="R17" s="56"/>
      <c r="S17" s="56"/>
      <c r="T17" s="56"/>
      <c r="U17" s="56"/>
      <c r="V17" s="56"/>
      <c r="W17" s="56" t="n">
        <f aca="false">(O17+O18)*D17/2</f>
        <v>32.19375</v>
      </c>
      <c r="X17" s="56"/>
      <c r="Y17" s="56"/>
      <c r="Z17" s="56"/>
      <c r="AA17" s="56"/>
      <c r="AB17" s="100"/>
      <c r="AC17" s="56"/>
      <c r="AE17" s="72"/>
    </row>
    <row r="18" s="50" customFormat="true" ht="15" hidden="false" customHeight="true" outlineLevel="0" collapsed="false">
      <c r="A18" s="93" t="n">
        <v>8</v>
      </c>
      <c r="B18" s="93" t="str">
        <f aca="false">'KTHH Lớp 2'!B30</f>
        <v>6</v>
      </c>
      <c r="C18" s="94" t="n">
        <f aca="false">'KTHH Lớp 2'!C30</f>
        <v>111.97</v>
      </c>
      <c r="D18" s="93" t="n">
        <f aca="false">'KTHH Lớp 2'!T30</f>
        <v>14.49</v>
      </c>
      <c r="E18" s="95"/>
      <c r="F18" s="95"/>
      <c r="G18" s="95"/>
      <c r="H18" s="95"/>
      <c r="I18" s="95"/>
      <c r="J18" s="95"/>
      <c r="K18" s="96"/>
      <c r="L18" s="97"/>
      <c r="M18" s="98"/>
      <c r="N18" s="99"/>
      <c r="O18" s="96" t="n">
        <f aca="false">7.5*0.25</f>
        <v>1.875</v>
      </c>
      <c r="P18" s="96"/>
      <c r="Q18" s="96"/>
      <c r="R18" s="56"/>
      <c r="S18" s="56"/>
      <c r="T18" s="56"/>
      <c r="U18" s="56"/>
      <c r="V18" s="56"/>
      <c r="W18" s="56" t="n">
        <f aca="false">(O18+O19)*D18/2</f>
        <v>27.16875</v>
      </c>
      <c r="X18" s="56"/>
      <c r="Y18" s="56"/>
      <c r="Z18" s="56"/>
      <c r="AA18" s="56"/>
      <c r="AB18" s="100"/>
      <c r="AC18" s="56"/>
      <c r="AE18" s="72"/>
    </row>
    <row r="19" s="50" customFormat="true" ht="15" hidden="false" customHeight="true" outlineLevel="0" collapsed="false">
      <c r="A19" s="93" t="n">
        <v>9</v>
      </c>
      <c r="B19" s="93" t="str">
        <f aca="false">'KTHH Lớp 2'!B31</f>
        <v>D1</v>
      </c>
      <c r="C19" s="94" t="n">
        <f aca="false">'KTHH Lớp 2'!C31</f>
        <v>126.46</v>
      </c>
      <c r="D19" s="93"/>
      <c r="E19" s="95"/>
      <c r="F19" s="95"/>
      <c r="G19" s="95"/>
      <c r="H19" s="95"/>
      <c r="I19" s="95"/>
      <c r="J19" s="95"/>
      <c r="K19" s="96"/>
      <c r="L19" s="97"/>
      <c r="M19" s="98"/>
      <c r="N19" s="99"/>
      <c r="O19" s="96" t="n">
        <f aca="false">7.5*0.25</f>
        <v>1.875</v>
      </c>
      <c r="P19" s="96"/>
      <c r="Q19" s="96"/>
      <c r="R19" s="56"/>
      <c r="S19" s="56"/>
      <c r="T19" s="56"/>
      <c r="U19" s="56"/>
      <c r="V19" s="56"/>
      <c r="W19" s="56"/>
      <c r="X19" s="56"/>
      <c r="Y19" s="56"/>
      <c r="Z19" s="56"/>
      <c r="AA19" s="56"/>
      <c r="AB19" s="100"/>
      <c r="AC19" s="56"/>
      <c r="AE19" s="72"/>
    </row>
    <row r="20" customFormat="false" ht="16.5" hidden="false" customHeight="true" outlineLevel="0" collapsed="false">
      <c r="A20" s="101" t="s">
        <v>42</v>
      </c>
      <c r="B20" s="101"/>
      <c r="C20" s="101"/>
      <c r="D20" s="101"/>
      <c r="E20" s="102"/>
      <c r="F20" s="102"/>
      <c r="G20" s="102"/>
      <c r="H20" s="102"/>
      <c r="I20" s="102"/>
      <c r="J20" s="102"/>
      <c r="K20" s="102"/>
      <c r="L20" s="102"/>
      <c r="M20" s="103"/>
      <c r="N20" s="103"/>
      <c r="O20" s="104"/>
      <c r="P20" s="104"/>
      <c r="Q20" s="104"/>
      <c r="R20" s="105" t="n">
        <f aca="false">SUM(R11:R5)</f>
        <v>0</v>
      </c>
      <c r="S20" s="105" t="n">
        <f aca="false">SUM(S11:S5)</f>
        <v>0</v>
      </c>
      <c r="T20" s="105"/>
      <c r="U20" s="106" t="n">
        <f aca="false">SUM(U11:U5)</f>
        <v>0</v>
      </c>
      <c r="V20" s="106" t="n">
        <f aca="false">SUM(V11:V5)</f>
        <v>0</v>
      </c>
      <c r="W20" s="107" t="n">
        <f aca="false">SUM(W11:W19)</f>
        <v>237.1125</v>
      </c>
      <c r="X20" s="106" t="n">
        <f aca="false">SUM(X11:X5)</f>
        <v>0</v>
      </c>
      <c r="Y20" s="106" t="n">
        <f aca="false">SUM(Y11:Y5)</f>
        <v>0</v>
      </c>
      <c r="Z20" s="106" t="n">
        <f aca="false">SUM(Z11:Z5)</f>
        <v>0</v>
      </c>
      <c r="AA20" s="106" t="n">
        <f aca="false">SUM(AA11:AA5)</f>
        <v>0</v>
      </c>
      <c r="AB20" s="106"/>
      <c r="AE20" s="64"/>
      <c r="AF20" s="65"/>
      <c r="AG20" s="65"/>
      <c r="AH20" s="50"/>
      <c r="AI20" s="64"/>
      <c r="AJ20" s="64"/>
      <c r="AK20" s="64"/>
      <c r="AL20" s="64"/>
      <c r="AP20" s="31"/>
      <c r="AQ20" s="31"/>
      <c r="AR20" s="31"/>
      <c r="AS20" s="31"/>
      <c r="AT20" s="31"/>
      <c r="AU20" s="31"/>
      <c r="AV20" s="31"/>
      <c r="AW20" s="31"/>
      <c r="AX20" s="31"/>
      <c r="AY20" s="31"/>
      <c r="AZ20" s="31"/>
      <c r="BA20" s="31"/>
      <c r="BB20" s="31"/>
      <c r="BC20" s="31"/>
      <c r="BD20" s="31"/>
      <c r="BE20" s="31"/>
      <c r="BF20" s="31"/>
      <c r="BG20" s="31"/>
      <c r="BH20" s="31"/>
      <c r="BI20" s="31"/>
      <c r="BJ20" s="31"/>
      <c r="BK20" s="31"/>
      <c r="BL20" s="31"/>
      <c r="BM20" s="31"/>
      <c r="BN20" s="31"/>
      <c r="BO20" s="31"/>
      <c r="BP20" s="31"/>
      <c r="BQ20" s="31"/>
      <c r="BR20" s="31"/>
      <c r="BS20" s="31"/>
      <c r="BT20" s="31"/>
      <c r="BU20" s="31"/>
      <c r="BV20" s="31"/>
      <c r="BW20" s="31"/>
      <c r="BX20" s="31"/>
      <c r="BY20" s="31"/>
      <c r="BZ20" s="31"/>
      <c r="CA20" s="31"/>
      <c r="CB20" s="31"/>
      <c r="CC20" s="31"/>
      <c r="CD20" s="31"/>
      <c r="CE20" s="31"/>
      <c r="CF20" s="31"/>
      <c r="CG20" s="31"/>
      <c r="CH20" s="31"/>
      <c r="CI20" s="31"/>
      <c r="CJ20" s="31"/>
      <c r="CK20" s="31"/>
      <c r="CL20" s="31"/>
      <c r="CM20" s="31"/>
      <c r="CN20" s="31"/>
      <c r="CO20" s="31"/>
      <c r="CP20" s="31"/>
      <c r="CQ20" s="31"/>
      <c r="CR20" s="31"/>
      <c r="CS20" s="31"/>
      <c r="CT20" s="31"/>
      <c r="CU20" s="31"/>
      <c r="CV20" s="31"/>
      <c r="CW20" s="31"/>
      <c r="CX20" s="31"/>
      <c r="CY20" s="31"/>
      <c r="CZ20" s="31"/>
      <c r="DA20" s="31"/>
      <c r="DB20" s="31"/>
      <c r="DC20" s="31"/>
      <c r="DD20" s="31"/>
      <c r="DE20" s="31"/>
      <c r="DF20" s="31"/>
      <c r="DG20" s="31"/>
      <c r="DH20" s="31"/>
      <c r="DI20" s="31"/>
      <c r="DJ20" s="31"/>
      <c r="DK20" s="31"/>
      <c r="DL20" s="31"/>
      <c r="DM20" s="31"/>
      <c r="DN20" s="31"/>
      <c r="DO20" s="31"/>
      <c r="DP20" s="31"/>
      <c r="DQ20" s="31"/>
      <c r="DR20" s="31"/>
      <c r="DS20" s="31"/>
      <c r="DT20" s="31"/>
      <c r="DU20" s="31"/>
      <c r="DV20" s="31"/>
      <c r="DW20" s="31"/>
      <c r="DX20" s="31"/>
      <c r="DY20" s="31"/>
      <c r="DZ20" s="31"/>
      <c r="EA20" s="31"/>
      <c r="EB20" s="31"/>
      <c r="EC20" s="31"/>
      <c r="ED20" s="31"/>
      <c r="EE20" s="31"/>
      <c r="EF20" s="31"/>
      <c r="EG20" s="31"/>
      <c r="EH20" s="31"/>
      <c r="EI20" s="31"/>
      <c r="EJ20" s="31"/>
      <c r="EK20" s="31"/>
      <c r="EL20" s="31"/>
      <c r="EM20" s="31"/>
      <c r="EN20" s="31"/>
      <c r="EO20" s="31"/>
      <c r="EP20" s="31"/>
      <c r="EQ20" s="31"/>
      <c r="ER20" s="31"/>
      <c r="ES20" s="31"/>
      <c r="ET20" s="31"/>
      <c r="EU20" s="31"/>
      <c r="EV20" s="31"/>
      <c r="EW20" s="31"/>
      <c r="EX20" s="31"/>
      <c r="EY20" s="31"/>
      <c r="EZ20" s="31"/>
      <c r="FA20" s="31"/>
      <c r="FB20" s="31"/>
      <c r="FC20" s="31"/>
      <c r="FD20" s="31"/>
      <c r="FE20" s="31"/>
      <c r="FF20" s="31"/>
      <c r="FG20" s="31"/>
      <c r="FH20" s="31"/>
      <c r="FI20" s="31"/>
      <c r="FJ20" s="31"/>
      <c r="FK20" s="31"/>
      <c r="FL20" s="31"/>
      <c r="FM20" s="31"/>
      <c r="FN20" s="31"/>
      <c r="FO20" s="31"/>
      <c r="FP20" s="31"/>
      <c r="FQ20" s="31"/>
      <c r="FR20" s="31"/>
      <c r="FS20" s="31"/>
      <c r="FT20" s="31"/>
      <c r="FU20" s="31"/>
      <c r="FV20" s="31"/>
      <c r="FW20" s="31"/>
      <c r="FX20" s="31"/>
      <c r="FY20" s="31"/>
      <c r="FZ20" s="31"/>
      <c r="GA20" s="31"/>
      <c r="GB20" s="31"/>
      <c r="GC20" s="31"/>
      <c r="GD20" s="31"/>
      <c r="GE20" s="31"/>
      <c r="GF20" s="31"/>
      <c r="GG20" s="31"/>
      <c r="GH20" s="31"/>
      <c r="GI20" s="31"/>
      <c r="GJ20" s="31"/>
      <c r="GK20" s="31"/>
      <c r="GL20" s="31"/>
      <c r="GM20" s="31"/>
      <c r="GN20" s="31"/>
      <c r="GO20" s="31"/>
      <c r="GP20" s="31"/>
      <c r="GQ20" s="31"/>
      <c r="GR20" s="31"/>
      <c r="GS20" s="31"/>
      <c r="GT20" s="31"/>
      <c r="GU20" s="31"/>
      <c r="GV20" s="31"/>
      <c r="GW20" s="31"/>
      <c r="GX20" s="31"/>
      <c r="GY20" s="31"/>
      <c r="GZ20" s="31"/>
      <c r="HA20" s="31"/>
      <c r="HB20" s="31"/>
      <c r="HC20" s="31"/>
      <c r="HD20" s="31"/>
      <c r="HE20" s="31"/>
      <c r="HF20" s="31"/>
      <c r="HG20" s="31"/>
      <c r="HH20" s="31"/>
      <c r="HI20" s="31"/>
      <c r="HJ20" s="31"/>
      <c r="HK20" s="31"/>
      <c r="HL20" s="31"/>
      <c r="HM20" s="31"/>
      <c r="HN20" s="31"/>
      <c r="HO20" s="31"/>
      <c r="HP20" s="31"/>
      <c r="HQ20" s="31"/>
      <c r="HR20" s="31"/>
      <c r="HS20" s="31"/>
      <c r="HT20" s="31"/>
      <c r="HU20" s="31"/>
    </row>
    <row r="21" customFormat="false" ht="16.5" hidden="false" customHeight="true" outlineLevel="0" collapsed="false">
      <c r="A21" s="108"/>
      <c r="B21" s="108"/>
      <c r="C21" s="108"/>
      <c r="D21" s="108"/>
      <c r="E21" s="74"/>
      <c r="F21" s="74"/>
      <c r="G21" s="74"/>
      <c r="H21" s="74"/>
      <c r="I21" s="74"/>
      <c r="J21" s="74"/>
      <c r="R21" s="109"/>
      <c r="S21" s="109"/>
      <c r="T21" s="109"/>
      <c r="U21" s="110"/>
      <c r="V21" s="110"/>
      <c r="W21" s="110"/>
      <c r="X21" s="110"/>
      <c r="Y21" s="110"/>
      <c r="Z21" s="110"/>
      <c r="AA21" s="110"/>
      <c r="AB21" s="110"/>
      <c r="AE21" s="70"/>
      <c r="AF21" s="71"/>
      <c r="AG21" s="65"/>
      <c r="AH21" s="71"/>
      <c r="AI21" s="72"/>
      <c r="AJ21" s="72"/>
      <c r="AK21" s="73"/>
      <c r="AL21" s="72"/>
      <c r="AP21" s="74"/>
      <c r="AQ21" s="74"/>
      <c r="AR21" s="74"/>
      <c r="AS21" s="74"/>
      <c r="AT21" s="74"/>
      <c r="AU21" s="74"/>
      <c r="AV21" s="74"/>
      <c r="AW21" s="74"/>
      <c r="AX21" s="74"/>
      <c r="AY21" s="74"/>
      <c r="AZ21" s="74"/>
      <c r="BA21" s="74"/>
      <c r="BB21" s="74"/>
      <c r="BC21" s="74"/>
      <c r="BD21" s="74"/>
      <c r="BE21" s="74"/>
      <c r="BF21" s="74"/>
      <c r="BG21" s="74"/>
      <c r="BH21" s="74"/>
      <c r="BI21" s="74"/>
      <c r="BJ21" s="74"/>
      <c r="BK21" s="74"/>
      <c r="BL21" s="74"/>
      <c r="BM21" s="74"/>
      <c r="BN21" s="74"/>
      <c r="BO21" s="74"/>
      <c r="BP21" s="74"/>
      <c r="BQ21" s="74"/>
      <c r="BR21" s="74"/>
      <c r="BS21" s="74"/>
      <c r="BT21" s="74"/>
      <c r="BU21" s="74"/>
      <c r="BV21" s="74"/>
      <c r="BW21" s="74"/>
      <c r="BX21" s="74"/>
      <c r="BY21" s="74"/>
      <c r="BZ21" s="74"/>
      <c r="CA21" s="74"/>
      <c r="CB21" s="74"/>
      <c r="CC21" s="74"/>
      <c r="CD21" s="74"/>
      <c r="CE21" s="74"/>
      <c r="CF21" s="74"/>
      <c r="CG21" s="74"/>
      <c r="CH21" s="74"/>
      <c r="CI21" s="74"/>
      <c r="CJ21" s="74"/>
      <c r="CK21" s="74"/>
      <c r="CL21" s="74"/>
      <c r="CM21" s="74"/>
      <c r="CN21" s="74"/>
      <c r="CO21" s="74"/>
      <c r="CP21" s="74"/>
      <c r="CQ21" s="74"/>
      <c r="CR21" s="74"/>
      <c r="CS21" s="74"/>
      <c r="CT21" s="74"/>
      <c r="CU21" s="74"/>
      <c r="CV21" s="74"/>
      <c r="CW21" s="74"/>
      <c r="CX21" s="74"/>
      <c r="CY21" s="74"/>
      <c r="CZ21" s="74"/>
      <c r="DA21" s="74"/>
      <c r="DB21" s="74"/>
      <c r="DC21" s="74"/>
      <c r="DD21" s="74"/>
      <c r="DE21" s="74"/>
      <c r="DF21" s="74"/>
      <c r="DG21" s="74"/>
      <c r="DH21" s="74"/>
      <c r="DI21" s="74"/>
      <c r="DJ21" s="74"/>
      <c r="DK21" s="74"/>
      <c r="DL21" s="74"/>
      <c r="DM21" s="74"/>
      <c r="DN21" s="74"/>
      <c r="DO21" s="74"/>
      <c r="DP21" s="74"/>
      <c r="DQ21" s="74"/>
      <c r="DR21" s="74"/>
      <c r="DS21" s="74"/>
      <c r="DT21" s="74"/>
      <c r="DU21" s="74"/>
      <c r="DV21" s="74"/>
      <c r="DW21" s="74"/>
      <c r="DX21" s="74"/>
      <c r="DY21" s="74"/>
      <c r="DZ21" s="74"/>
      <c r="EA21" s="74"/>
      <c r="EB21" s="74"/>
      <c r="EC21" s="74"/>
      <c r="ED21" s="74"/>
      <c r="EE21" s="74"/>
      <c r="EF21" s="74"/>
      <c r="EG21" s="74"/>
      <c r="EH21" s="74"/>
      <c r="EI21" s="74"/>
      <c r="EJ21" s="74"/>
      <c r="EK21" s="74"/>
      <c r="EL21" s="74"/>
      <c r="EM21" s="74"/>
      <c r="EN21" s="74"/>
      <c r="EO21" s="74"/>
      <c r="EP21" s="74"/>
      <c r="EQ21" s="74"/>
      <c r="ER21" s="74"/>
      <c r="ES21" s="74"/>
      <c r="ET21" s="74"/>
      <c r="EU21" s="74"/>
      <c r="EV21" s="74"/>
      <c r="EW21" s="74"/>
      <c r="EX21" s="74"/>
      <c r="EY21" s="74"/>
      <c r="EZ21" s="74"/>
      <c r="FA21" s="74"/>
      <c r="FB21" s="74"/>
      <c r="FC21" s="74"/>
      <c r="FD21" s="74"/>
      <c r="FE21" s="74"/>
      <c r="FF21" s="74"/>
      <c r="FG21" s="74"/>
      <c r="FH21" s="74"/>
      <c r="FI21" s="74"/>
      <c r="FJ21" s="74"/>
      <c r="FK21" s="74"/>
      <c r="FL21" s="74"/>
      <c r="FM21" s="74"/>
      <c r="FN21" s="74"/>
      <c r="FO21" s="74"/>
      <c r="FP21" s="74"/>
      <c r="FQ21" s="74"/>
      <c r="FR21" s="74"/>
      <c r="FS21" s="74"/>
      <c r="FT21" s="74"/>
      <c r="FU21" s="74"/>
      <c r="FV21" s="74"/>
      <c r="FW21" s="74"/>
      <c r="FX21" s="74"/>
      <c r="FY21" s="74"/>
      <c r="FZ21" s="74"/>
      <c r="GA21" s="74"/>
      <c r="GB21" s="74"/>
      <c r="GC21" s="74"/>
      <c r="GD21" s="74"/>
      <c r="GE21" s="74"/>
      <c r="GF21" s="74"/>
      <c r="GG21" s="74"/>
      <c r="GH21" s="74"/>
      <c r="GI21" s="74"/>
      <c r="GJ21" s="74"/>
      <c r="GK21" s="74"/>
      <c r="GL21" s="74"/>
      <c r="GM21" s="74"/>
      <c r="GN21" s="74"/>
      <c r="GO21" s="74"/>
      <c r="GP21" s="74"/>
      <c r="GQ21" s="74"/>
      <c r="GR21" s="74"/>
      <c r="GS21" s="74"/>
      <c r="GT21" s="74"/>
      <c r="GU21" s="74"/>
      <c r="GV21" s="74"/>
      <c r="GW21" s="74"/>
      <c r="GX21" s="74"/>
      <c r="GY21" s="74"/>
      <c r="GZ21" s="74"/>
      <c r="HA21" s="74"/>
      <c r="HB21" s="74"/>
      <c r="HC21" s="74"/>
      <c r="HD21" s="74"/>
      <c r="HE21" s="74"/>
      <c r="HF21" s="74"/>
      <c r="HG21" s="74"/>
      <c r="HH21" s="74"/>
      <c r="HI21" s="74"/>
      <c r="HJ21" s="74"/>
      <c r="HK21" s="74"/>
      <c r="HL21" s="74"/>
      <c r="HM21" s="74"/>
      <c r="HN21" s="74"/>
      <c r="HO21" s="74"/>
      <c r="HP21" s="74"/>
      <c r="HQ21" s="74"/>
      <c r="HR21" s="74"/>
      <c r="HS21" s="74"/>
      <c r="HT21" s="74"/>
      <c r="HU21" s="74"/>
    </row>
    <row r="22" customFormat="false" ht="16.5" hidden="false" customHeight="true" outlineLevel="0" collapsed="false">
      <c r="A22" s="111" t="s">
        <v>32</v>
      </c>
      <c r="B22" s="111"/>
      <c r="C22" s="111"/>
      <c r="D22" s="112" t="s">
        <v>43</v>
      </c>
      <c r="E22" s="111" t="s">
        <v>33</v>
      </c>
      <c r="F22" s="111"/>
      <c r="G22" s="111"/>
      <c r="H22" s="111"/>
      <c r="I22" s="111"/>
      <c r="J22" s="111"/>
      <c r="K22" s="111"/>
      <c r="L22" s="111"/>
      <c r="M22" s="111"/>
      <c r="N22" s="111"/>
      <c r="O22" s="111"/>
      <c r="P22" s="111"/>
      <c r="Q22" s="111"/>
      <c r="R22" s="111"/>
      <c r="S22" s="111"/>
      <c r="T22" s="111"/>
      <c r="U22" s="111"/>
      <c r="V22" s="111"/>
      <c r="W22" s="111"/>
      <c r="X22" s="111"/>
      <c r="Y22" s="111"/>
      <c r="Z22" s="111"/>
      <c r="AA22" s="111"/>
      <c r="AB22" s="111"/>
      <c r="AE22" s="72"/>
      <c r="AF22" s="71"/>
      <c r="AI22" s="50"/>
      <c r="AJ22" s="50"/>
      <c r="AK22" s="50"/>
      <c r="AL22" s="50"/>
      <c r="AP22" s="74"/>
      <c r="AQ22" s="74"/>
      <c r="AR22" s="74"/>
      <c r="AS22" s="74"/>
      <c r="AT22" s="74"/>
      <c r="AU22" s="74"/>
      <c r="AV22" s="74"/>
      <c r="AW22" s="74"/>
      <c r="AX22" s="74"/>
      <c r="AY22" s="74"/>
      <c r="AZ22" s="74"/>
      <c r="BA22" s="74"/>
      <c r="BB22" s="74"/>
      <c r="BC22" s="74"/>
      <c r="BD22" s="74"/>
      <c r="BE22" s="74"/>
      <c r="BF22" s="74"/>
      <c r="BG22" s="74"/>
      <c r="BH22" s="74"/>
      <c r="BI22" s="74"/>
      <c r="BJ22" s="74"/>
      <c r="BK22" s="74"/>
      <c r="BL22" s="74"/>
      <c r="BM22" s="74"/>
      <c r="BN22" s="74"/>
      <c r="BO22" s="74"/>
      <c r="BP22" s="74"/>
      <c r="BQ22" s="74"/>
      <c r="BR22" s="74"/>
      <c r="BS22" s="74"/>
      <c r="BT22" s="74"/>
      <c r="BU22" s="74"/>
      <c r="BV22" s="74"/>
      <c r="BW22" s="74"/>
      <c r="BX22" s="74"/>
      <c r="BY22" s="74"/>
      <c r="BZ22" s="74"/>
      <c r="CA22" s="74"/>
      <c r="CB22" s="74"/>
      <c r="CC22" s="74"/>
      <c r="CD22" s="74"/>
      <c r="CE22" s="74"/>
      <c r="CF22" s="74"/>
      <c r="CG22" s="74"/>
      <c r="CH22" s="74"/>
      <c r="CI22" s="74"/>
      <c r="CJ22" s="74"/>
      <c r="CK22" s="74"/>
      <c r="CL22" s="74"/>
      <c r="CM22" s="74"/>
      <c r="CN22" s="74"/>
      <c r="CO22" s="74"/>
      <c r="CP22" s="74"/>
      <c r="CQ22" s="74"/>
      <c r="CR22" s="74"/>
      <c r="CS22" s="74"/>
      <c r="CT22" s="74"/>
      <c r="CU22" s="74"/>
      <c r="CV22" s="74"/>
      <c r="CW22" s="74"/>
      <c r="CX22" s="74"/>
      <c r="CY22" s="74"/>
      <c r="CZ22" s="74"/>
      <c r="DA22" s="74"/>
      <c r="DB22" s="74"/>
      <c r="DC22" s="74"/>
      <c r="DD22" s="74"/>
      <c r="DE22" s="74"/>
      <c r="DF22" s="74"/>
      <c r="DG22" s="74"/>
      <c r="DH22" s="74"/>
      <c r="DI22" s="74"/>
      <c r="DJ22" s="74"/>
      <c r="DK22" s="74"/>
      <c r="DL22" s="74"/>
      <c r="DM22" s="74"/>
      <c r="DN22" s="74"/>
      <c r="DO22" s="74"/>
      <c r="DP22" s="74"/>
      <c r="DQ22" s="74"/>
      <c r="DR22" s="74"/>
      <c r="DS22" s="74"/>
      <c r="DT22" s="74"/>
      <c r="DU22" s="74"/>
      <c r="DV22" s="74"/>
      <c r="DW22" s="74"/>
      <c r="DX22" s="74"/>
      <c r="DY22" s="74"/>
      <c r="DZ22" s="74"/>
      <c r="EA22" s="74"/>
      <c r="EB22" s="74"/>
      <c r="EC22" s="74"/>
      <c r="ED22" s="74"/>
      <c r="EE22" s="74"/>
      <c r="EF22" s="74"/>
      <c r="EG22" s="74"/>
      <c r="EH22" s="74"/>
      <c r="EI22" s="74"/>
      <c r="EJ22" s="74"/>
      <c r="EK22" s="74"/>
      <c r="EL22" s="74"/>
      <c r="EM22" s="74"/>
      <c r="EN22" s="74"/>
      <c r="EO22" s="74"/>
      <c r="EP22" s="74"/>
      <c r="EQ22" s="74"/>
      <c r="ER22" s="74"/>
      <c r="ES22" s="74"/>
      <c r="ET22" s="74"/>
      <c r="EU22" s="74"/>
      <c r="EV22" s="74"/>
      <c r="EW22" s="74"/>
      <c r="EX22" s="74"/>
      <c r="EY22" s="74"/>
      <c r="EZ22" s="74"/>
      <c r="FA22" s="74"/>
      <c r="FB22" s="74"/>
      <c r="FC22" s="74"/>
      <c r="FD22" s="74"/>
      <c r="FE22" s="74"/>
      <c r="FF22" s="74"/>
      <c r="FG22" s="74"/>
      <c r="FH22" s="74"/>
      <c r="FI22" s="74"/>
      <c r="FJ22" s="74"/>
      <c r="FK22" s="74"/>
      <c r="FL22" s="74"/>
      <c r="FM22" s="74"/>
      <c r="FN22" s="74"/>
      <c r="FO22" s="74"/>
      <c r="FP22" s="74"/>
      <c r="FQ22" s="74"/>
      <c r="FR22" s="74"/>
      <c r="FS22" s="74"/>
      <c r="FT22" s="74"/>
      <c r="FU22" s="74"/>
      <c r="FV22" s="74"/>
      <c r="FW22" s="74"/>
      <c r="FX22" s="74"/>
      <c r="FY22" s="74"/>
      <c r="FZ22" s="74"/>
      <c r="GA22" s="74"/>
      <c r="GB22" s="74"/>
      <c r="GC22" s="74"/>
      <c r="GD22" s="74"/>
      <c r="GE22" s="74"/>
      <c r="GF22" s="74"/>
      <c r="GG22" s="74"/>
      <c r="GH22" s="74"/>
      <c r="GI22" s="74"/>
      <c r="GJ22" s="74"/>
      <c r="GK22" s="74"/>
      <c r="GL22" s="74"/>
      <c r="GM22" s="74"/>
      <c r="GN22" s="74"/>
      <c r="GO22" s="74"/>
      <c r="GP22" s="74"/>
      <c r="GQ22" s="74"/>
      <c r="GR22" s="74"/>
      <c r="GS22" s="74"/>
      <c r="GT22" s="74"/>
      <c r="GU22" s="74"/>
      <c r="GV22" s="74"/>
      <c r="GW22" s="74"/>
      <c r="GX22" s="74"/>
      <c r="GY22" s="74"/>
      <c r="GZ22" s="74"/>
      <c r="HA22" s="74"/>
      <c r="HB22" s="74"/>
      <c r="HC22" s="74"/>
      <c r="HD22" s="74"/>
      <c r="HE22" s="74"/>
      <c r="HF22" s="74"/>
      <c r="HG22" s="74"/>
      <c r="HH22" s="74"/>
      <c r="HI22" s="74"/>
      <c r="HJ22" s="74"/>
      <c r="HK22" s="74"/>
      <c r="HL22" s="74"/>
      <c r="HM22" s="74"/>
      <c r="HN22" s="74"/>
      <c r="HO22" s="74"/>
      <c r="HP22" s="74"/>
      <c r="HQ22" s="74"/>
      <c r="HR22" s="74"/>
      <c r="HS22" s="74"/>
      <c r="HT22" s="74"/>
      <c r="HU22" s="74"/>
    </row>
    <row r="23" customFormat="false" ht="16.5" hidden="false" customHeight="true" outlineLevel="0" collapsed="false">
      <c r="A23" s="113"/>
      <c r="B23" s="113"/>
      <c r="C23" s="113"/>
      <c r="D23" s="114"/>
      <c r="E23" s="114"/>
      <c r="F23" s="114"/>
      <c r="G23" s="114"/>
      <c r="H23" s="114"/>
      <c r="I23" s="114"/>
      <c r="J23" s="114"/>
      <c r="K23" s="114"/>
      <c r="L23" s="114"/>
      <c r="M23" s="114"/>
      <c r="N23" s="114"/>
      <c r="O23" s="114"/>
      <c r="P23" s="114"/>
      <c r="Q23" s="114"/>
      <c r="R23" s="114"/>
      <c r="S23" s="114"/>
      <c r="T23" s="114"/>
      <c r="U23" s="114"/>
      <c r="V23" s="114"/>
      <c r="W23" s="114"/>
      <c r="Z23" s="74"/>
      <c r="AA23" s="74"/>
      <c r="AB23" s="74"/>
      <c r="AC23" s="74"/>
      <c r="AD23" s="74"/>
      <c r="AI23" s="50"/>
      <c r="AJ23" s="50"/>
      <c r="AK23" s="50"/>
      <c r="AL23" s="50"/>
      <c r="HV23" s="74"/>
    </row>
    <row r="24" customFormat="false" ht="15.75" hidden="false" customHeight="true" outlineLevel="0" collapsed="false">
      <c r="A24" s="113"/>
      <c r="B24" s="113"/>
      <c r="C24" s="115"/>
      <c r="D24" s="115"/>
      <c r="E24" s="114"/>
      <c r="F24" s="114"/>
      <c r="G24" s="114"/>
      <c r="H24" s="114"/>
      <c r="I24" s="114"/>
      <c r="J24" s="114"/>
      <c r="K24" s="114"/>
      <c r="L24" s="114"/>
      <c r="M24" s="114"/>
      <c r="N24" s="114"/>
      <c r="O24" s="114"/>
      <c r="P24" s="114"/>
      <c r="Q24" s="114"/>
      <c r="R24" s="114"/>
      <c r="S24" s="114"/>
      <c r="T24" s="114"/>
      <c r="U24" s="114"/>
      <c r="V24" s="114"/>
      <c r="W24" s="114"/>
      <c r="Z24" s="74"/>
      <c r="AA24" s="74"/>
      <c r="AB24" s="74"/>
      <c r="AC24" s="74"/>
      <c r="AD24" s="74"/>
      <c r="AE24" s="74"/>
      <c r="AF24" s="79"/>
      <c r="AG24" s="74"/>
      <c r="AH24" s="74"/>
      <c r="AI24" s="74"/>
      <c r="AJ24" s="74"/>
      <c r="AK24" s="74"/>
      <c r="AL24" s="74"/>
      <c r="AM24" s="74"/>
      <c r="HV24" s="74"/>
    </row>
    <row r="25" customFormat="false" ht="15" hidden="false" customHeight="true" outlineLevel="0" collapsed="false">
      <c r="A25" s="113"/>
      <c r="B25" s="113"/>
      <c r="C25" s="113"/>
      <c r="D25" s="114"/>
      <c r="E25" s="114"/>
      <c r="F25" s="114"/>
      <c r="G25" s="114"/>
      <c r="H25" s="114"/>
      <c r="I25" s="114"/>
      <c r="J25" s="114"/>
      <c r="K25" s="114"/>
      <c r="L25" s="114"/>
      <c r="M25" s="114"/>
      <c r="N25" s="114"/>
      <c r="O25" s="114"/>
      <c r="P25" s="114"/>
      <c r="Q25" s="114"/>
      <c r="R25" s="114"/>
      <c r="S25" s="114"/>
      <c r="T25" s="114"/>
      <c r="U25" s="114"/>
      <c r="V25" s="114"/>
      <c r="W25" s="114"/>
      <c r="Z25" s="74"/>
      <c r="AA25" s="74"/>
      <c r="AB25" s="74"/>
      <c r="AC25" s="74"/>
      <c r="AD25" s="74"/>
      <c r="AE25" s="74"/>
      <c r="AF25" s="74"/>
      <c r="AG25" s="74"/>
      <c r="AH25" s="74"/>
      <c r="AI25" s="74"/>
      <c r="AJ25" s="74"/>
      <c r="AK25" s="74"/>
      <c r="AL25" s="74"/>
      <c r="AM25" s="74"/>
      <c r="HV25" s="74"/>
    </row>
    <row r="26" customFormat="false" ht="15" hidden="false" customHeight="true" outlineLevel="0" collapsed="false">
      <c r="A26" s="113"/>
      <c r="B26" s="113"/>
      <c r="C26" s="113"/>
      <c r="D26" s="114"/>
      <c r="E26" s="114"/>
      <c r="F26" s="114"/>
      <c r="G26" s="114"/>
      <c r="H26" s="114"/>
      <c r="I26" s="114"/>
      <c r="J26" s="114"/>
      <c r="K26" s="114"/>
      <c r="L26" s="114"/>
      <c r="M26" s="114"/>
      <c r="N26" s="114"/>
      <c r="O26" s="114"/>
      <c r="P26" s="114"/>
      <c r="Q26" s="114"/>
      <c r="R26" s="114"/>
      <c r="S26" s="114"/>
      <c r="T26" s="114"/>
      <c r="U26" s="114"/>
      <c r="V26" s="114"/>
      <c r="W26" s="114"/>
      <c r="Z26" s="74"/>
      <c r="AA26" s="74"/>
      <c r="AB26" s="74"/>
      <c r="AC26" s="74"/>
      <c r="AD26" s="74"/>
      <c r="AE26" s="74"/>
      <c r="AF26" s="74"/>
      <c r="AG26" s="74"/>
      <c r="AH26" s="74"/>
      <c r="AI26" s="74"/>
      <c r="AJ26" s="74"/>
      <c r="AK26" s="74"/>
      <c r="AL26" s="74"/>
      <c r="AM26" s="74"/>
      <c r="HV26" s="74"/>
    </row>
    <row r="27" customFormat="false" ht="15" hidden="false" customHeight="true" outlineLevel="0" collapsed="false">
      <c r="A27" s="113"/>
      <c r="B27" s="113"/>
      <c r="C27" s="113"/>
      <c r="D27" s="114"/>
      <c r="E27" s="114"/>
      <c r="F27" s="114"/>
      <c r="G27" s="114"/>
      <c r="H27" s="114"/>
      <c r="I27" s="114"/>
      <c r="J27" s="114"/>
      <c r="K27" s="114"/>
      <c r="L27" s="114"/>
      <c r="M27" s="114"/>
      <c r="N27" s="114"/>
      <c r="O27" s="114"/>
      <c r="P27" s="114"/>
      <c r="Q27" s="114"/>
      <c r="R27" s="114"/>
      <c r="S27" s="114"/>
      <c r="T27" s="114"/>
      <c r="U27" s="114"/>
      <c r="V27" s="114"/>
      <c r="W27" s="114"/>
      <c r="Z27" s="74"/>
      <c r="AA27" s="74"/>
      <c r="AB27" s="74"/>
      <c r="AC27" s="74"/>
      <c r="AD27" s="74"/>
      <c r="AE27" s="74"/>
      <c r="AF27" s="74"/>
      <c r="AG27" s="74"/>
      <c r="AH27" s="74"/>
      <c r="AI27" s="74"/>
      <c r="AJ27" s="74"/>
      <c r="AK27" s="74"/>
      <c r="AL27" s="74"/>
      <c r="AM27" s="74"/>
      <c r="HV27" s="74"/>
    </row>
    <row r="28" customFormat="false" ht="16.5" hidden="false" customHeight="true" outlineLevel="0" collapsed="false">
      <c r="A28" s="111" t="s">
        <v>34</v>
      </c>
      <c r="B28" s="111"/>
      <c r="C28" s="111"/>
      <c r="D28" s="116"/>
      <c r="E28" s="116"/>
      <c r="F28" s="116"/>
      <c r="G28" s="116"/>
      <c r="H28" s="116"/>
      <c r="I28" s="116"/>
      <c r="J28" s="116"/>
      <c r="K28" s="116"/>
      <c r="L28" s="116"/>
      <c r="M28" s="111" t="s">
        <v>35</v>
      </c>
      <c r="N28" s="111"/>
      <c r="O28" s="111"/>
      <c r="P28" s="111"/>
      <c r="Q28" s="111"/>
      <c r="R28" s="111"/>
      <c r="S28" s="111"/>
      <c r="T28" s="111"/>
      <c r="U28" s="111"/>
      <c r="V28" s="111"/>
      <c r="W28" s="111"/>
      <c r="X28" s="111"/>
      <c r="Y28" s="111"/>
      <c r="Z28" s="111"/>
      <c r="AA28" s="111"/>
      <c r="AB28" s="111"/>
      <c r="AC28" s="74"/>
      <c r="AD28" s="74"/>
      <c r="AE28" s="74"/>
      <c r="AF28" s="74"/>
      <c r="AG28" s="74"/>
      <c r="AH28" s="74"/>
      <c r="AI28" s="74"/>
      <c r="AJ28" s="74"/>
      <c r="AK28" s="74"/>
      <c r="AL28" s="74"/>
      <c r="AM28" s="74"/>
      <c r="HV28" s="74"/>
    </row>
    <row r="29" customFormat="false" ht="12.75" hidden="false" customHeight="false" outlineLevel="0" collapsed="false">
      <c r="A29" s="81"/>
      <c r="B29" s="81"/>
      <c r="C29" s="81"/>
      <c r="D29" s="81"/>
      <c r="E29" s="81"/>
      <c r="F29" s="81"/>
      <c r="G29" s="81"/>
      <c r="H29" s="81"/>
      <c r="I29" s="81"/>
      <c r="J29" s="81"/>
      <c r="K29" s="81"/>
      <c r="L29" s="81"/>
      <c r="M29" s="81"/>
      <c r="N29" s="81"/>
      <c r="O29" s="81"/>
      <c r="P29" s="81"/>
      <c r="Q29" s="81"/>
      <c r="R29" s="81"/>
      <c r="S29" s="81"/>
      <c r="T29" s="81"/>
      <c r="U29" s="81"/>
      <c r="V29" s="81"/>
      <c r="W29" s="81"/>
      <c r="X29" s="81"/>
      <c r="Y29" s="81"/>
      <c r="Z29" s="81"/>
      <c r="AA29" s="81"/>
      <c r="AB29" s="81"/>
      <c r="AC29" s="81"/>
    </row>
    <row r="30" customFormat="false" ht="12.75" hidden="false" customHeight="false" outlineLevel="0" collapsed="false">
      <c r="A30" s="81"/>
      <c r="B30" s="81"/>
      <c r="C30" s="81"/>
      <c r="D30" s="81"/>
      <c r="E30" s="81"/>
      <c r="F30" s="81"/>
      <c r="G30" s="81"/>
      <c r="H30" s="81"/>
      <c r="I30" s="81"/>
      <c r="J30" s="81"/>
      <c r="K30" s="81"/>
      <c r="L30" s="81"/>
      <c r="M30" s="81"/>
      <c r="N30" s="81"/>
      <c r="O30" s="81"/>
      <c r="P30" s="81"/>
      <c r="Q30" s="81"/>
      <c r="R30" s="81"/>
      <c r="S30" s="81"/>
      <c r="T30" s="81"/>
      <c r="U30" s="81"/>
      <c r="V30" s="81"/>
      <c r="W30" s="81"/>
      <c r="X30" s="81"/>
      <c r="Y30" s="81"/>
      <c r="Z30" s="81"/>
      <c r="AA30" s="81"/>
      <c r="AB30" s="81"/>
      <c r="AC30" s="81"/>
    </row>
    <row r="31" customFormat="false" ht="12.75" hidden="false" customHeight="false" outlineLevel="0" collapsed="false">
      <c r="A31" s="81"/>
      <c r="B31" s="81"/>
      <c r="C31" s="81"/>
      <c r="D31" s="81"/>
      <c r="E31" s="81"/>
      <c r="F31" s="81"/>
      <c r="G31" s="81"/>
      <c r="H31" s="81"/>
      <c r="I31" s="81"/>
      <c r="J31" s="81"/>
      <c r="K31" s="81"/>
      <c r="L31" s="81"/>
      <c r="M31" s="81"/>
      <c r="N31" s="81"/>
      <c r="O31" s="81"/>
      <c r="P31" s="81"/>
      <c r="Q31" s="81"/>
      <c r="R31" s="81"/>
      <c r="S31" s="81"/>
      <c r="T31" s="81"/>
      <c r="U31" s="81"/>
      <c r="V31" s="81"/>
      <c r="W31" s="81"/>
      <c r="X31" s="81"/>
      <c r="Y31" s="81"/>
      <c r="Z31" s="81"/>
      <c r="AA31" s="81"/>
      <c r="AB31" s="81"/>
      <c r="AC31" s="81"/>
    </row>
    <row r="32" customFormat="false" ht="12.75" hidden="false" customHeight="false" outlineLevel="0" collapsed="false">
      <c r="A32" s="81"/>
      <c r="B32" s="81"/>
      <c r="C32" s="81"/>
      <c r="D32" s="81"/>
      <c r="E32" s="81"/>
      <c r="F32" s="81"/>
      <c r="G32" s="81"/>
      <c r="H32" s="81"/>
      <c r="I32" s="81"/>
      <c r="J32" s="81"/>
      <c r="K32" s="81"/>
      <c r="L32" s="81"/>
      <c r="M32" s="81"/>
      <c r="N32" s="81"/>
      <c r="O32" s="81"/>
      <c r="P32" s="81"/>
      <c r="Q32" s="81"/>
      <c r="R32" s="81"/>
      <c r="S32" s="81"/>
      <c r="T32" s="81"/>
      <c r="U32" s="81"/>
      <c r="V32" s="81"/>
      <c r="W32" s="81"/>
      <c r="X32" s="81"/>
      <c r="Y32" s="81"/>
      <c r="Z32" s="81"/>
      <c r="AA32" s="81"/>
      <c r="AB32" s="81"/>
      <c r="AC32" s="81"/>
    </row>
    <row r="33" customFormat="false" ht="12.75" hidden="false" customHeight="false" outlineLevel="0" collapsed="false">
      <c r="A33" s="81"/>
      <c r="B33" s="81"/>
      <c r="C33" s="81"/>
      <c r="D33" s="81"/>
      <c r="E33" s="81"/>
      <c r="F33" s="81"/>
      <c r="G33" s="81"/>
      <c r="H33" s="81"/>
      <c r="I33" s="81"/>
      <c r="J33" s="81"/>
      <c r="K33" s="81"/>
      <c r="L33" s="81"/>
      <c r="M33" s="81"/>
      <c r="N33" s="81"/>
      <c r="O33" s="81"/>
      <c r="P33" s="81"/>
      <c r="Q33" s="81"/>
      <c r="R33" s="81"/>
      <c r="S33" s="81"/>
      <c r="T33" s="81"/>
      <c r="U33" s="81"/>
      <c r="V33" s="81"/>
      <c r="W33" s="81"/>
      <c r="X33" s="81"/>
      <c r="Y33" s="81"/>
      <c r="Z33" s="81"/>
      <c r="AA33" s="81"/>
      <c r="AB33" s="81"/>
      <c r="AC33" s="81"/>
    </row>
    <row r="34" customFormat="false" ht="12.75" hidden="false" customHeight="false" outlineLevel="0" collapsed="false">
      <c r="A34" s="81"/>
      <c r="B34" s="81"/>
      <c r="C34" s="81"/>
      <c r="D34" s="81"/>
      <c r="E34" s="81"/>
      <c r="F34" s="81"/>
      <c r="G34" s="81"/>
      <c r="H34" s="81"/>
      <c r="I34" s="81"/>
      <c r="J34" s="81"/>
      <c r="K34" s="81"/>
      <c r="L34" s="81"/>
      <c r="M34" s="81"/>
      <c r="N34" s="81"/>
      <c r="O34" s="81"/>
      <c r="P34" s="81"/>
      <c r="Q34" s="81"/>
      <c r="R34" s="81"/>
      <c r="S34" s="81"/>
      <c r="T34" s="81"/>
      <c r="U34" s="81"/>
      <c r="V34" s="81"/>
      <c r="W34" s="81"/>
      <c r="X34" s="81"/>
      <c r="Y34" s="81"/>
      <c r="Z34" s="81"/>
      <c r="AA34" s="81"/>
      <c r="AB34" s="81"/>
      <c r="AC34" s="81"/>
    </row>
    <row r="35" customFormat="false" ht="12.75" hidden="false" customHeight="false" outlineLevel="0" collapsed="false">
      <c r="A35" s="81"/>
      <c r="B35" s="81"/>
      <c r="C35" s="81"/>
      <c r="D35" s="81"/>
      <c r="E35" s="81"/>
      <c r="F35" s="81"/>
      <c r="G35" s="81"/>
      <c r="H35" s="81"/>
      <c r="I35" s="81"/>
      <c r="J35" s="81"/>
      <c r="K35" s="81"/>
      <c r="L35" s="81"/>
      <c r="M35" s="81"/>
      <c r="N35" s="81"/>
      <c r="O35" s="81"/>
      <c r="P35" s="81"/>
      <c r="Q35" s="81"/>
      <c r="R35" s="81"/>
      <c r="S35" s="81"/>
      <c r="T35" s="81"/>
      <c r="U35" s="81"/>
      <c r="V35" s="81"/>
      <c r="W35" s="81"/>
      <c r="X35" s="81"/>
      <c r="Y35" s="81"/>
      <c r="Z35" s="81"/>
      <c r="AA35" s="81"/>
      <c r="AB35" s="81"/>
      <c r="AC35" s="81"/>
    </row>
    <row r="36" customFormat="false" ht="12.75" hidden="false" customHeight="false" outlineLevel="0" collapsed="false">
      <c r="A36" s="81"/>
      <c r="B36" s="81"/>
      <c r="C36" s="81"/>
      <c r="D36" s="81"/>
      <c r="E36" s="81"/>
      <c r="F36" s="81"/>
      <c r="G36" s="81"/>
      <c r="H36" s="81"/>
      <c r="I36" s="81"/>
      <c r="J36" s="81"/>
      <c r="K36" s="81"/>
      <c r="L36" s="81"/>
      <c r="M36" s="81"/>
      <c r="N36" s="81"/>
      <c r="O36" s="81"/>
      <c r="P36" s="81"/>
      <c r="Q36" s="81"/>
      <c r="R36" s="81"/>
      <c r="S36" s="81"/>
      <c r="T36" s="81"/>
      <c r="U36" s="81"/>
      <c r="V36" s="81"/>
      <c r="W36" s="81"/>
      <c r="X36" s="81"/>
      <c r="Y36" s="81"/>
      <c r="Z36" s="81"/>
      <c r="AA36" s="81"/>
      <c r="AB36" s="81"/>
      <c r="AC36" s="81"/>
    </row>
    <row r="37" customFormat="false" ht="12.75" hidden="false" customHeight="false" outlineLevel="0" collapsed="false">
      <c r="A37" s="81"/>
      <c r="B37" s="81"/>
      <c r="C37" s="81"/>
      <c r="D37" s="81"/>
      <c r="E37" s="81"/>
      <c r="F37" s="81"/>
      <c r="G37" s="81"/>
      <c r="H37" s="81"/>
      <c r="I37" s="81"/>
      <c r="J37" s="81"/>
      <c r="K37" s="81"/>
      <c r="L37" s="81"/>
      <c r="M37" s="81"/>
      <c r="N37" s="81"/>
      <c r="O37" s="81"/>
      <c r="P37" s="81"/>
      <c r="Q37" s="81"/>
      <c r="R37" s="81"/>
      <c r="S37" s="81"/>
      <c r="T37" s="81"/>
      <c r="U37" s="81"/>
      <c r="V37" s="81"/>
      <c r="W37" s="81"/>
      <c r="X37" s="81"/>
      <c r="Y37" s="81"/>
      <c r="Z37" s="81"/>
      <c r="AA37" s="81"/>
      <c r="AB37" s="81"/>
      <c r="AC37" s="81"/>
    </row>
    <row r="38" customFormat="false" ht="12.75" hidden="false" customHeight="false" outlineLevel="0" collapsed="false">
      <c r="A38" s="81"/>
      <c r="B38" s="81"/>
      <c r="C38" s="81"/>
      <c r="D38" s="81"/>
      <c r="E38" s="81"/>
      <c r="F38" s="81"/>
      <c r="G38" s="81"/>
      <c r="H38" s="81"/>
      <c r="I38" s="81"/>
      <c r="J38" s="81"/>
      <c r="K38" s="81"/>
      <c r="L38" s="81"/>
      <c r="M38" s="81"/>
      <c r="N38" s="81"/>
      <c r="O38" s="81"/>
      <c r="P38" s="81"/>
      <c r="Q38" s="81"/>
      <c r="R38" s="81"/>
      <c r="S38" s="81"/>
      <c r="T38" s="81"/>
      <c r="U38" s="81"/>
      <c r="V38" s="81"/>
      <c r="W38" s="81"/>
      <c r="X38" s="81"/>
      <c r="Y38" s="81"/>
      <c r="Z38" s="81"/>
      <c r="AA38" s="81"/>
      <c r="AB38" s="81"/>
      <c r="AC38" s="81"/>
    </row>
    <row r="39" customFormat="false" ht="12.75" hidden="false" customHeight="false" outlineLevel="0" collapsed="false">
      <c r="A39" s="81"/>
      <c r="B39" s="81"/>
      <c r="C39" s="81"/>
      <c r="D39" s="81"/>
      <c r="E39" s="81"/>
      <c r="F39" s="81"/>
      <c r="G39" s="81"/>
      <c r="H39" s="81"/>
      <c r="I39" s="81"/>
      <c r="J39" s="81"/>
      <c r="K39" s="81"/>
      <c r="L39" s="81"/>
      <c r="M39" s="81"/>
      <c r="N39" s="81"/>
      <c r="O39" s="81"/>
      <c r="P39" s="81"/>
      <c r="Q39" s="81"/>
      <c r="R39" s="81"/>
      <c r="S39" s="81"/>
      <c r="T39" s="81"/>
      <c r="U39" s="81"/>
      <c r="V39" s="81"/>
      <c r="W39" s="81"/>
      <c r="X39" s="81"/>
      <c r="Y39" s="81"/>
      <c r="Z39" s="81"/>
      <c r="AA39" s="81"/>
      <c r="AB39" s="81"/>
      <c r="AC39" s="81"/>
    </row>
    <row r="40" customFormat="false" ht="12.75" hidden="false" customHeight="false" outlineLevel="0" collapsed="false">
      <c r="A40" s="81"/>
      <c r="B40" s="81"/>
      <c r="C40" s="81"/>
      <c r="D40" s="81"/>
      <c r="E40" s="81"/>
      <c r="F40" s="81"/>
      <c r="G40" s="81"/>
      <c r="H40" s="81"/>
      <c r="I40" s="81"/>
      <c r="J40" s="81"/>
      <c r="K40" s="81"/>
      <c r="L40" s="81"/>
      <c r="M40" s="81"/>
      <c r="N40" s="81"/>
      <c r="O40" s="81"/>
      <c r="P40" s="81"/>
      <c r="Q40" s="81"/>
      <c r="R40" s="81"/>
      <c r="S40" s="81"/>
      <c r="T40" s="81"/>
      <c r="U40" s="81"/>
      <c r="V40" s="81"/>
      <c r="W40" s="81"/>
      <c r="X40" s="81"/>
      <c r="Y40" s="81"/>
      <c r="Z40" s="81"/>
      <c r="AA40" s="81"/>
      <c r="AB40" s="81"/>
      <c r="AC40" s="81"/>
    </row>
    <row r="41" customFormat="false" ht="12.75" hidden="false" customHeight="false" outlineLevel="0" collapsed="false">
      <c r="A41" s="81"/>
      <c r="B41" s="81"/>
      <c r="C41" s="81"/>
      <c r="D41" s="81"/>
      <c r="E41" s="81"/>
      <c r="F41" s="81"/>
      <c r="G41" s="81"/>
      <c r="H41" s="81"/>
      <c r="I41" s="81"/>
      <c r="J41" s="81"/>
      <c r="K41" s="81"/>
      <c r="L41" s="81"/>
      <c r="M41" s="81"/>
      <c r="N41" s="81"/>
      <c r="O41" s="81"/>
      <c r="P41" s="81"/>
      <c r="Q41" s="81"/>
      <c r="R41" s="81"/>
      <c r="S41" s="81"/>
      <c r="T41" s="81"/>
      <c r="U41" s="81"/>
      <c r="V41" s="81"/>
      <c r="W41" s="81"/>
      <c r="X41" s="81"/>
      <c r="Y41" s="81"/>
      <c r="Z41" s="81"/>
      <c r="AA41" s="81"/>
      <c r="AB41" s="81"/>
      <c r="AC41" s="81"/>
    </row>
    <row r="42" customFormat="false" ht="12.75" hidden="false" customHeight="false" outlineLevel="0" collapsed="false">
      <c r="A42" s="81"/>
      <c r="B42" s="81"/>
      <c r="C42" s="81"/>
      <c r="D42" s="81"/>
      <c r="E42" s="81"/>
      <c r="F42" s="81"/>
      <c r="G42" s="81"/>
      <c r="H42" s="81"/>
      <c r="I42" s="81"/>
      <c r="J42" s="81"/>
      <c r="K42" s="81"/>
      <c r="L42" s="81"/>
      <c r="M42" s="81"/>
      <c r="N42" s="81"/>
      <c r="O42" s="81"/>
      <c r="P42" s="81"/>
      <c r="Q42" s="81"/>
      <c r="R42" s="81"/>
      <c r="S42" s="81"/>
      <c r="T42" s="81"/>
      <c r="U42" s="81"/>
      <c r="V42" s="81"/>
      <c r="W42" s="81"/>
      <c r="X42" s="81"/>
      <c r="Y42" s="81"/>
      <c r="Z42" s="81"/>
      <c r="AA42" s="81"/>
      <c r="AB42" s="81"/>
      <c r="AC42" s="81"/>
    </row>
    <row r="43" customFormat="false" ht="12.75" hidden="false" customHeight="false" outlineLevel="0" collapsed="false">
      <c r="A43" s="81"/>
      <c r="B43" s="81"/>
      <c r="C43" s="81"/>
      <c r="D43" s="81"/>
      <c r="E43" s="81"/>
      <c r="F43" s="81"/>
      <c r="G43" s="81"/>
      <c r="H43" s="81"/>
      <c r="I43" s="81"/>
      <c r="J43" s="81"/>
      <c r="K43" s="81"/>
      <c r="L43" s="81"/>
      <c r="M43" s="81"/>
      <c r="N43" s="81"/>
      <c r="O43" s="81"/>
      <c r="P43" s="81"/>
      <c r="Q43" s="81"/>
      <c r="R43" s="81"/>
      <c r="S43" s="81"/>
      <c r="T43" s="81"/>
      <c r="U43" s="81"/>
      <c r="V43" s="81"/>
      <c r="W43" s="81"/>
      <c r="X43" s="81"/>
      <c r="Y43" s="81"/>
      <c r="Z43" s="81"/>
      <c r="AA43" s="81"/>
      <c r="AB43" s="81"/>
      <c r="AC43" s="81"/>
    </row>
    <row r="44" customFormat="false" ht="12.75" hidden="false" customHeight="false" outlineLevel="0" collapsed="false">
      <c r="A44" s="81"/>
      <c r="B44" s="81"/>
      <c r="C44" s="81"/>
      <c r="D44" s="81"/>
      <c r="E44" s="81"/>
      <c r="F44" s="81"/>
      <c r="G44" s="81"/>
      <c r="H44" s="81"/>
      <c r="I44" s="81"/>
      <c r="J44" s="81"/>
      <c r="K44" s="81"/>
      <c r="L44" s="81"/>
      <c r="M44" s="81"/>
      <c r="N44" s="81"/>
      <c r="O44" s="81"/>
      <c r="P44" s="81"/>
      <c r="Q44" s="81"/>
      <c r="R44" s="81"/>
      <c r="S44" s="81"/>
      <c r="T44" s="81"/>
      <c r="U44" s="81"/>
      <c r="V44" s="81"/>
      <c r="W44" s="81"/>
      <c r="X44" s="81"/>
      <c r="Y44" s="81"/>
      <c r="Z44" s="81"/>
      <c r="AA44" s="81"/>
      <c r="AB44" s="81"/>
      <c r="AC44" s="81"/>
    </row>
    <row r="45" customFormat="false" ht="12.75" hidden="false" customHeight="false" outlineLevel="0" collapsed="false">
      <c r="A45" s="81"/>
      <c r="B45" s="81"/>
      <c r="C45" s="81"/>
      <c r="D45" s="81"/>
      <c r="E45" s="81"/>
      <c r="F45" s="81"/>
      <c r="G45" s="81"/>
      <c r="H45" s="81"/>
      <c r="I45" s="81"/>
      <c r="J45" s="81"/>
      <c r="K45" s="81"/>
      <c r="L45" s="81"/>
      <c r="M45" s="81"/>
      <c r="N45" s="81"/>
      <c r="O45" s="81"/>
      <c r="P45" s="81"/>
      <c r="Q45" s="81"/>
      <c r="R45" s="81"/>
      <c r="S45" s="81"/>
      <c r="T45" s="81"/>
      <c r="U45" s="81"/>
      <c r="V45" s="81"/>
      <c r="W45" s="81"/>
      <c r="X45" s="81"/>
      <c r="Y45" s="81"/>
      <c r="Z45" s="81"/>
      <c r="AA45" s="81"/>
      <c r="AB45" s="81"/>
      <c r="AC45" s="81"/>
    </row>
    <row r="46" customFormat="false" ht="12.75" hidden="false" customHeight="false" outlineLevel="0" collapsed="false">
      <c r="A46" s="81"/>
      <c r="B46" s="81"/>
      <c r="C46" s="81"/>
      <c r="D46" s="81"/>
      <c r="E46" s="81"/>
      <c r="F46" s="81"/>
      <c r="G46" s="81"/>
      <c r="H46" s="81"/>
      <c r="I46" s="81"/>
      <c r="J46" s="81"/>
      <c r="K46" s="81"/>
      <c r="L46" s="81"/>
      <c r="M46" s="81"/>
      <c r="N46" s="81"/>
      <c r="O46" s="81"/>
      <c r="P46" s="81"/>
      <c r="Q46" s="81"/>
      <c r="R46" s="81"/>
      <c r="S46" s="81"/>
      <c r="T46" s="81"/>
      <c r="U46" s="81"/>
      <c r="V46" s="81"/>
      <c r="W46" s="81"/>
      <c r="X46" s="81"/>
      <c r="Y46" s="81"/>
      <c r="Z46" s="81"/>
      <c r="AA46" s="81"/>
      <c r="AB46" s="81"/>
      <c r="AC46" s="81"/>
    </row>
    <row r="47" customFormat="false" ht="12.75" hidden="false" customHeight="false" outlineLevel="0" collapsed="false">
      <c r="A47" s="81"/>
      <c r="B47" s="81"/>
      <c r="C47" s="81"/>
      <c r="D47" s="81"/>
      <c r="E47" s="81"/>
      <c r="F47" s="81"/>
      <c r="G47" s="81"/>
      <c r="H47" s="81"/>
      <c r="I47" s="81"/>
      <c r="J47" s="81"/>
      <c r="K47" s="81"/>
      <c r="L47" s="81"/>
      <c r="M47" s="81"/>
      <c r="N47" s="81"/>
      <c r="O47" s="81"/>
      <c r="P47" s="81"/>
      <c r="Q47" s="81"/>
      <c r="R47" s="81"/>
      <c r="S47" s="81"/>
      <c r="T47" s="81"/>
      <c r="U47" s="81"/>
      <c r="V47" s="81"/>
      <c r="W47" s="81"/>
      <c r="X47" s="81"/>
      <c r="Y47" s="81"/>
      <c r="Z47" s="81"/>
      <c r="AA47" s="81"/>
      <c r="AB47" s="81"/>
      <c r="AC47" s="81"/>
    </row>
    <row r="48" customFormat="false" ht="12.75" hidden="false" customHeight="false" outlineLevel="0" collapsed="false">
      <c r="A48" s="81"/>
      <c r="B48" s="81"/>
      <c r="C48" s="81"/>
      <c r="D48" s="81"/>
      <c r="E48" s="81"/>
      <c r="F48" s="81"/>
      <c r="G48" s="81"/>
      <c r="H48" s="81"/>
      <c r="I48" s="81"/>
      <c r="J48" s="81"/>
      <c r="K48" s="81"/>
      <c r="L48" s="81"/>
      <c r="M48" s="81"/>
      <c r="N48" s="81"/>
      <c r="O48" s="81"/>
      <c r="P48" s="81"/>
      <c r="Q48" s="81"/>
      <c r="R48" s="81"/>
      <c r="S48" s="81"/>
      <c r="T48" s="81"/>
      <c r="U48" s="81"/>
      <c r="V48" s="81"/>
      <c r="W48" s="81"/>
      <c r="X48" s="81"/>
      <c r="Y48" s="81"/>
      <c r="Z48" s="81"/>
      <c r="AA48" s="81"/>
      <c r="AB48" s="81"/>
      <c r="AC48" s="81"/>
    </row>
    <row r="49" customFormat="false" ht="12.75" hidden="false" customHeight="false" outlineLevel="0" collapsed="false">
      <c r="A49" s="81"/>
      <c r="B49" s="81"/>
      <c r="C49" s="81"/>
      <c r="D49" s="81"/>
      <c r="E49" s="81"/>
      <c r="F49" s="81"/>
      <c r="G49" s="81"/>
      <c r="H49" s="81"/>
      <c r="I49" s="81"/>
      <c r="J49" s="81"/>
      <c r="K49" s="81"/>
      <c r="L49" s="81"/>
      <c r="M49" s="81"/>
      <c r="N49" s="81"/>
      <c r="O49" s="81"/>
      <c r="P49" s="81"/>
      <c r="Q49" s="81"/>
      <c r="R49" s="81"/>
      <c r="S49" s="81"/>
      <c r="T49" s="81"/>
      <c r="U49" s="81"/>
      <c r="V49" s="81"/>
      <c r="W49" s="81"/>
      <c r="X49" s="81"/>
      <c r="Y49" s="81"/>
      <c r="Z49" s="81"/>
      <c r="AA49" s="81"/>
      <c r="AB49" s="81"/>
      <c r="AC49" s="81"/>
    </row>
    <row r="50" customFormat="false" ht="12.75" hidden="false" customHeight="false" outlineLevel="0" collapsed="false">
      <c r="A50" s="81"/>
      <c r="B50" s="81"/>
      <c r="C50" s="81"/>
      <c r="D50" s="81"/>
      <c r="E50" s="81"/>
      <c r="F50" s="81"/>
      <c r="G50" s="81"/>
      <c r="H50" s="81"/>
      <c r="I50" s="81"/>
      <c r="J50" s="81"/>
      <c r="K50" s="81"/>
      <c r="L50" s="81"/>
      <c r="M50" s="81"/>
      <c r="N50" s="81"/>
      <c r="O50" s="81"/>
      <c r="P50" s="81"/>
      <c r="Q50" s="81"/>
      <c r="R50" s="81"/>
      <c r="S50" s="81"/>
      <c r="T50" s="81"/>
      <c r="U50" s="81"/>
      <c r="V50" s="81"/>
      <c r="W50" s="81"/>
      <c r="X50" s="81"/>
      <c r="Y50" s="81"/>
      <c r="Z50" s="81"/>
      <c r="AA50" s="81"/>
      <c r="AB50" s="81"/>
      <c r="AC50" s="81"/>
    </row>
    <row r="51" customFormat="false" ht="12.75" hidden="false" customHeight="false" outlineLevel="0" collapsed="false">
      <c r="A51" s="81"/>
      <c r="B51" s="81"/>
      <c r="C51" s="81"/>
      <c r="D51" s="81"/>
      <c r="E51" s="81"/>
      <c r="F51" s="81"/>
      <c r="G51" s="81"/>
      <c r="H51" s="81"/>
      <c r="I51" s="81"/>
      <c r="J51" s="81"/>
      <c r="K51" s="81"/>
      <c r="L51" s="81"/>
      <c r="M51" s="81"/>
      <c r="N51" s="81"/>
      <c r="O51" s="81"/>
      <c r="P51" s="81"/>
      <c r="Q51" s="81"/>
      <c r="R51" s="81"/>
      <c r="S51" s="81"/>
      <c r="T51" s="81"/>
      <c r="U51" s="81"/>
      <c r="V51" s="81"/>
      <c r="W51" s="81"/>
      <c r="X51" s="81"/>
      <c r="Y51" s="81"/>
      <c r="Z51" s="81"/>
      <c r="AA51" s="81"/>
      <c r="AB51" s="81"/>
      <c r="AC51" s="81"/>
    </row>
    <row r="52" customFormat="false" ht="12.75" hidden="false" customHeight="false" outlineLevel="0" collapsed="false">
      <c r="A52" s="81"/>
      <c r="B52" s="81"/>
      <c r="C52" s="81"/>
      <c r="D52" s="81"/>
      <c r="E52" s="81"/>
      <c r="F52" s="81"/>
      <c r="G52" s="81"/>
      <c r="H52" s="81"/>
      <c r="I52" s="81"/>
      <c r="J52" s="81"/>
      <c r="K52" s="81"/>
      <c r="L52" s="81"/>
      <c r="M52" s="81"/>
      <c r="N52" s="81"/>
      <c r="O52" s="81"/>
      <c r="P52" s="81"/>
      <c r="Q52" s="81"/>
      <c r="R52" s="81"/>
      <c r="S52" s="81"/>
      <c r="T52" s="81"/>
      <c r="U52" s="81"/>
      <c r="V52" s="81"/>
      <c r="W52" s="81"/>
      <c r="X52" s="81"/>
      <c r="Y52" s="81"/>
      <c r="Z52" s="81"/>
      <c r="AA52" s="81"/>
      <c r="AB52" s="81"/>
      <c r="AC52" s="81"/>
    </row>
    <row r="53" customFormat="false" ht="12.75" hidden="false" customHeight="false" outlineLevel="0" collapsed="false">
      <c r="A53" s="81"/>
      <c r="B53" s="81"/>
      <c r="C53" s="81"/>
      <c r="D53" s="81"/>
      <c r="E53" s="81"/>
      <c r="F53" s="81"/>
      <c r="G53" s="81"/>
      <c r="H53" s="81"/>
      <c r="I53" s="81"/>
      <c r="J53" s="81"/>
      <c r="K53" s="81"/>
      <c r="L53" s="81"/>
      <c r="M53" s="81"/>
      <c r="N53" s="81"/>
      <c r="O53" s="81"/>
      <c r="P53" s="81"/>
      <c r="Q53" s="81"/>
      <c r="R53" s="81"/>
      <c r="S53" s="81"/>
      <c r="T53" s="81"/>
      <c r="U53" s="81"/>
      <c r="V53" s="81"/>
      <c r="W53" s="81"/>
      <c r="X53" s="81"/>
      <c r="Y53" s="81"/>
      <c r="Z53" s="81"/>
      <c r="AA53" s="81"/>
      <c r="AB53" s="81"/>
      <c r="AC53" s="81"/>
    </row>
    <row r="54" customFormat="false" ht="12.75" hidden="false" customHeight="false" outlineLevel="0" collapsed="false">
      <c r="A54" s="81"/>
      <c r="B54" s="81"/>
      <c r="C54" s="81"/>
      <c r="D54" s="81"/>
      <c r="E54" s="81"/>
      <c r="F54" s="81"/>
      <c r="G54" s="81"/>
      <c r="H54" s="81"/>
      <c r="I54" s="81"/>
      <c r="J54" s="81"/>
      <c r="K54" s="81"/>
      <c r="L54" s="81"/>
      <c r="M54" s="81"/>
      <c r="N54" s="81"/>
      <c r="O54" s="81"/>
      <c r="P54" s="81"/>
      <c r="Q54" s="81"/>
      <c r="R54" s="81"/>
      <c r="S54" s="81"/>
      <c r="T54" s="81"/>
      <c r="U54" s="81"/>
      <c r="V54" s="81"/>
      <c r="W54" s="81"/>
      <c r="X54" s="81"/>
      <c r="Y54" s="81"/>
      <c r="Z54" s="81"/>
      <c r="AA54" s="81"/>
      <c r="AB54" s="81"/>
      <c r="AC54" s="81"/>
    </row>
    <row r="55" customFormat="false" ht="12.75" hidden="false" customHeight="false" outlineLevel="0" collapsed="false">
      <c r="A55" s="81"/>
      <c r="B55" s="81"/>
      <c r="C55" s="81"/>
      <c r="D55" s="81"/>
      <c r="E55" s="81"/>
      <c r="F55" s="81"/>
      <c r="G55" s="81"/>
      <c r="H55" s="81"/>
      <c r="I55" s="81"/>
      <c r="J55" s="81"/>
      <c r="K55" s="81"/>
      <c r="L55" s="81"/>
      <c r="M55" s="81"/>
      <c r="N55" s="81"/>
      <c r="O55" s="81"/>
      <c r="P55" s="81"/>
      <c r="Q55" s="81"/>
      <c r="R55" s="81"/>
      <c r="S55" s="81"/>
      <c r="T55" s="81"/>
      <c r="U55" s="81"/>
      <c r="V55" s="81"/>
      <c r="W55" s="81"/>
      <c r="X55" s="81"/>
      <c r="Y55" s="81"/>
      <c r="Z55" s="81"/>
      <c r="AA55" s="81"/>
      <c r="AB55" s="81"/>
      <c r="AC55" s="81"/>
    </row>
    <row r="56" customFormat="false" ht="12.75" hidden="false" customHeight="false" outlineLevel="0" collapsed="false">
      <c r="A56" s="81"/>
      <c r="B56" s="81"/>
      <c r="C56" s="81"/>
      <c r="D56" s="81"/>
      <c r="E56" s="81"/>
      <c r="F56" s="81"/>
      <c r="G56" s="81"/>
      <c r="H56" s="81"/>
      <c r="I56" s="81"/>
      <c r="J56" s="81"/>
      <c r="K56" s="81"/>
      <c r="L56" s="81"/>
      <c r="M56" s="81"/>
      <c r="N56" s="81"/>
      <c r="O56" s="81"/>
      <c r="P56" s="81"/>
      <c r="Q56" s="81"/>
      <c r="R56" s="81"/>
      <c r="S56" s="81"/>
      <c r="T56" s="81"/>
      <c r="U56" s="81"/>
      <c r="V56" s="81"/>
      <c r="W56" s="81"/>
      <c r="X56" s="81"/>
      <c r="Y56" s="81"/>
      <c r="Z56" s="81"/>
      <c r="AA56" s="81"/>
      <c r="AB56" s="81"/>
      <c r="AC56" s="81"/>
    </row>
    <row r="57" customFormat="false" ht="12.75" hidden="false" customHeight="false" outlineLevel="0" collapsed="false">
      <c r="A57" s="81"/>
      <c r="B57" s="81"/>
      <c r="C57" s="81"/>
      <c r="D57" s="81"/>
      <c r="E57" s="81"/>
      <c r="F57" s="81"/>
      <c r="G57" s="81"/>
      <c r="H57" s="81"/>
      <c r="I57" s="81"/>
      <c r="J57" s="81"/>
      <c r="K57" s="81"/>
      <c r="L57" s="81"/>
      <c r="M57" s="81"/>
      <c r="N57" s="81"/>
      <c r="O57" s="81"/>
      <c r="P57" s="81"/>
      <c r="Q57" s="81"/>
      <c r="R57" s="81"/>
      <c r="S57" s="81"/>
      <c r="T57" s="81"/>
      <c r="U57" s="81"/>
      <c r="V57" s="81"/>
      <c r="W57" s="81"/>
      <c r="X57" s="81"/>
      <c r="Y57" s="81"/>
      <c r="Z57" s="81"/>
      <c r="AA57" s="81"/>
      <c r="AB57" s="81"/>
      <c r="AC57" s="81"/>
    </row>
    <row r="58" customFormat="false" ht="12.75" hidden="false" customHeight="false" outlineLevel="0" collapsed="false">
      <c r="A58" s="81"/>
      <c r="B58" s="81"/>
      <c r="C58" s="81"/>
      <c r="D58" s="81"/>
      <c r="E58" s="81"/>
      <c r="F58" s="81"/>
      <c r="G58" s="81"/>
      <c r="H58" s="81"/>
      <c r="I58" s="81"/>
      <c r="J58" s="81"/>
      <c r="K58" s="81"/>
      <c r="L58" s="81"/>
      <c r="M58" s="81"/>
      <c r="N58" s="81"/>
      <c r="O58" s="81"/>
      <c r="P58" s="81"/>
      <c r="Q58" s="81"/>
      <c r="R58" s="81"/>
      <c r="S58" s="81"/>
      <c r="T58" s="81"/>
      <c r="U58" s="81"/>
      <c r="V58" s="81"/>
      <c r="W58" s="81"/>
      <c r="X58" s="81"/>
      <c r="Y58" s="81"/>
      <c r="Z58" s="81"/>
      <c r="AA58" s="81"/>
      <c r="AB58" s="81"/>
      <c r="AC58" s="81"/>
    </row>
    <row r="59" customFormat="false" ht="12.75" hidden="false" customHeight="false" outlineLevel="0" collapsed="false">
      <c r="A59" s="81"/>
      <c r="B59" s="81"/>
      <c r="C59" s="81"/>
      <c r="D59" s="81"/>
      <c r="E59" s="81"/>
      <c r="F59" s="81"/>
      <c r="G59" s="81"/>
      <c r="H59" s="81"/>
      <c r="I59" s="81"/>
      <c r="J59" s="81"/>
      <c r="K59" s="81"/>
      <c r="L59" s="81"/>
      <c r="M59" s="81"/>
      <c r="N59" s="81"/>
      <c r="O59" s="81"/>
      <c r="P59" s="81"/>
      <c r="Q59" s="81"/>
      <c r="R59" s="81"/>
      <c r="S59" s="81"/>
      <c r="T59" s="81"/>
      <c r="U59" s="81"/>
      <c r="V59" s="81"/>
      <c r="W59" s="81"/>
      <c r="X59" s="81"/>
      <c r="Y59" s="81"/>
      <c r="Z59" s="81"/>
      <c r="AA59" s="81"/>
      <c r="AB59" s="81"/>
      <c r="AC59" s="81"/>
    </row>
    <row r="60" customFormat="false" ht="12.75" hidden="false" customHeight="false" outlineLevel="0" collapsed="false">
      <c r="A60" s="81"/>
      <c r="B60" s="81"/>
      <c r="C60" s="81"/>
      <c r="D60" s="81"/>
      <c r="E60" s="81"/>
      <c r="F60" s="81"/>
      <c r="G60" s="81"/>
      <c r="H60" s="81"/>
      <c r="I60" s="81"/>
      <c r="J60" s="81"/>
      <c r="K60" s="81"/>
      <c r="L60" s="81"/>
      <c r="M60" s="81"/>
      <c r="N60" s="81"/>
      <c r="O60" s="81"/>
      <c r="P60" s="81"/>
      <c r="Q60" s="81"/>
      <c r="R60" s="81"/>
      <c r="S60" s="81"/>
      <c r="T60" s="81"/>
      <c r="U60" s="81"/>
      <c r="V60" s="81"/>
      <c r="W60" s="81"/>
      <c r="X60" s="81"/>
      <c r="Y60" s="81"/>
      <c r="Z60" s="81"/>
      <c r="AA60" s="81"/>
      <c r="AB60" s="81"/>
      <c r="AC60" s="81"/>
    </row>
    <row r="61" customFormat="false" ht="12.75" hidden="false" customHeight="false" outlineLevel="0" collapsed="false">
      <c r="A61" s="81"/>
      <c r="B61" s="81"/>
      <c r="C61" s="81"/>
      <c r="D61" s="81"/>
      <c r="E61" s="81"/>
      <c r="F61" s="81"/>
      <c r="G61" s="81"/>
      <c r="H61" s="81"/>
      <c r="I61" s="81"/>
      <c r="J61" s="81"/>
      <c r="K61" s="81"/>
      <c r="L61" s="81"/>
      <c r="M61" s="81"/>
      <c r="N61" s="81"/>
      <c r="O61" s="81"/>
      <c r="P61" s="81"/>
      <c r="Q61" s="81"/>
      <c r="R61" s="81"/>
      <c r="S61" s="81"/>
      <c r="T61" s="81"/>
      <c r="U61" s="81"/>
      <c r="V61" s="81"/>
      <c r="W61" s="81"/>
      <c r="X61" s="81"/>
      <c r="Y61" s="81"/>
      <c r="Z61" s="81"/>
      <c r="AA61" s="81"/>
      <c r="AB61" s="81"/>
      <c r="AC61" s="81"/>
    </row>
    <row r="62" customFormat="false" ht="12.75" hidden="false" customHeight="false" outlineLevel="0" collapsed="false">
      <c r="A62" s="81"/>
      <c r="B62" s="81"/>
      <c r="C62" s="81"/>
      <c r="D62" s="81"/>
      <c r="E62" s="81"/>
      <c r="F62" s="81"/>
      <c r="G62" s="81"/>
      <c r="H62" s="81"/>
      <c r="I62" s="81"/>
      <c r="J62" s="81"/>
      <c r="K62" s="81"/>
      <c r="L62" s="81"/>
      <c r="M62" s="81"/>
      <c r="N62" s="81"/>
      <c r="O62" s="81"/>
      <c r="P62" s="81"/>
      <c r="Q62" s="81"/>
      <c r="R62" s="81"/>
      <c r="S62" s="81"/>
      <c r="T62" s="81"/>
      <c r="U62" s="81"/>
      <c r="V62" s="81"/>
      <c r="W62" s="81"/>
      <c r="X62" s="81"/>
      <c r="Y62" s="81"/>
      <c r="Z62" s="81"/>
      <c r="AA62" s="81"/>
      <c r="AB62" s="81"/>
      <c r="AC62" s="81"/>
    </row>
    <row r="63" customFormat="false" ht="12.75" hidden="false" customHeight="false" outlineLevel="0" collapsed="false">
      <c r="A63" s="81"/>
      <c r="B63" s="81"/>
      <c r="C63" s="81"/>
      <c r="D63" s="81"/>
      <c r="E63" s="81"/>
      <c r="F63" s="81"/>
      <c r="G63" s="81"/>
      <c r="H63" s="81"/>
      <c r="I63" s="81"/>
      <c r="J63" s="81"/>
      <c r="K63" s="81"/>
      <c r="L63" s="81"/>
      <c r="M63" s="81"/>
      <c r="N63" s="81"/>
      <c r="O63" s="81"/>
      <c r="P63" s="81"/>
      <c r="Q63" s="81"/>
      <c r="R63" s="81"/>
      <c r="S63" s="81"/>
      <c r="T63" s="81"/>
      <c r="U63" s="81"/>
      <c r="V63" s="81"/>
      <c r="W63" s="81"/>
      <c r="X63" s="81"/>
      <c r="Y63" s="81"/>
      <c r="Z63" s="81"/>
      <c r="AA63" s="81"/>
      <c r="AB63" s="81"/>
      <c r="AC63" s="81"/>
    </row>
    <row r="64" customFormat="false" ht="12.75" hidden="false" customHeight="false" outlineLevel="0" collapsed="false">
      <c r="A64" s="81"/>
      <c r="B64" s="81"/>
      <c r="C64" s="81"/>
      <c r="D64" s="81"/>
      <c r="E64" s="81"/>
      <c r="F64" s="81"/>
      <c r="G64" s="81"/>
      <c r="H64" s="81"/>
      <c r="I64" s="81"/>
      <c r="J64" s="81"/>
      <c r="K64" s="81"/>
      <c r="L64" s="81"/>
      <c r="M64" s="81"/>
      <c r="N64" s="81"/>
      <c r="O64" s="81"/>
      <c r="P64" s="81"/>
      <c r="Q64" s="81"/>
      <c r="R64" s="81"/>
      <c r="S64" s="81"/>
      <c r="T64" s="81"/>
      <c r="U64" s="81"/>
      <c r="V64" s="81"/>
      <c r="W64" s="81"/>
      <c r="X64" s="81"/>
      <c r="Y64" s="81"/>
      <c r="Z64" s="81"/>
      <c r="AA64" s="81"/>
      <c r="AB64" s="81"/>
      <c r="AC64" s="81"/>
    </row>
    <row r="65" customFormat="false" ht="12.75" hidden="false" customHeight="false" outlineLevel="0" collapsed="false">
      <c r="A65" s="81"/>
      <c r="B65" s="81"/>
      <c r="C65" s="81"/>
      <c r="D65" s="81"/>
      <c r="E65" s="81"/>
      <c r="F65" s="81"/>
      <c r="G65" s="81"/>
      <c r="H65" s="81"/>
      <c r="I65" s="81"/>
      <c r="J65" s="81"/>
      <c r="K65" s="81"/>
      <c r="L65" s="81"/>
      <c r="M65" s="81"/>
      <c r="N65" s="81"/>
      <c r="O65" s="81"/>
      <c r="P65" s="81"/>
      <c r="Q65" s="81"/>
      <c r="R65" s="81"/>
      <c r="S65" s="81"/>
      <c r="T65" s="81"/>
      <c r="U65" s="81"/>
      <c r="V65" s="81"/>
      <c r="W65" s="81"/>
      <c r="X65" s="81"/>
      <c r="Y65" s="81"/>
      <c r="Z65" s="81"/>
      <c r="AA65" s="81"/>
      <c r="AB65" s="81"/>
      <c r="AC65" s="81"/>
    </row>
    <row r="66" customFormat="false" ht="12.75" hidden="false" customHeight="false" outlineLevel="0" collapsed="false">
      <c r="A66" s="81"/>
      <c r="B66" s="81"/>
      <c r="C66" s="81"/>
      <c r="D66" s="81"/>
      <c r="E66" s="81"/>
      <c r="F66" s="81"/>
      <c r="G66" s="81"/>
      <c r="H66" s="81"/>
      <c r="I66" s="81"/>
      <c r="J66" s="81"/>
      <c r="K66" s="81"/>
      <c r="L66" s="81"/>
      <c r="M66" s="81"/>
      <c r="N66" s="81"/>
      <c r="O66" s="81"/>
      <c r="P66" s="81"/>
      <c r="Q66" s="81"/>
      <c r="R66" s="81"/>
      <c r="S66" s="81"/>
      <c r="T66" s="81"/>
      <c r="U66" s="81"/>
      <c r="V66" s="81"/>
      <c r="W66" s="81"/>
      <c r="X66" s="81"/>
      <c r="Y66" s="81"/>
      <c r="Z66" s="81"/>
      <c r="AA66" s="81"/>
      <c r="AB66" s="81"/>
      <c r="AC66" s="81"/>
    </row>
    <row r="67" customFormat="false" ht="12.75" hidden="false" customHeight="false" outlineLevel="0" collapsed="false">
      <c r="A67" s="81"/>
      <c r="B67" s="81"/>
      <c r="C67" s="81"/>
      <c r="D67" s="81"/>
      <c r="E67" s="81"/>
      <c r="F67" s="81"/>
      <c r="G67" s="81"/>
      <c r="H67" s="81"/>
      <c r="I67" s="81"/>
      <c r="J67" s="81"/>
      <c r="K67" s="81"/>
      <c r="L67" s="81"/>
      <c r="M67" s="81"/>
      <c r="N67" s="81"/>
      <c r="O67" s="81"/>
      <c r="P67" s="81"/>
      <c r="Q67" s="81"/>
      <c r="R67" s="81"/>
      <c r="S67" s="81"/>
      <c r="T67" s="81"/>
      <c r="U67" s="81"/>
      <c r="V67" s="81"/>
      <c r="W67" s="81"/>
      <c r="X67" s="81"/>
      <c r="Y67" s="81"/>
      <c r="Z67" s="81"/>
      <c r="AA67" s="81"/>
      <c r="AB67" s="81"/>
      <c r="AC67" s="81"/>
    </row>
    <row r="68" customFormat="false" ht="12.75" hidden="false" customHeight="false" outlineLevel="0" collapsed="false">
      <c r="A68" s="81"/>
      <c r="B68" s="81"/>
      <c r="C68" s="81"/>
      <c r="D68" s="81"/>
      <c r="E68" s="81"/>
      <c r="F68" s="81"/>
      <c r="G68" s="81"/>
      <c r="H68" s="81"/>
      <c r="I68" s="81"/>
      <c r="J68" s="81"/>
      <c r="K68" s="81"/>
      <c r="L68" s="81"/>
      <c r="M68" s="81"/>
      <c r="N68" s="81"/>
      <c r="O68" s="81"/>
      <c r="P68" s="81"/>
      <c r="Q68" s="81"/>
      <c r="R68" s="81"/>
      <c r="S68" s="81"/>
      <c r="T68" s="81"/>
      <c r="U68" s="81"/>
      <c r="V68" s="81"/>
      <c r="W68" s="81"/>
      <c r="X68" s="81"/>
      <c r="Y68" s="81"/>
      <c r="Z68" s="81"/>
      <c r="AA68" s="81"/>
      <c r="AB68" s="81"/>
      <c r="AC68" s="81"/>
    </row>
    <row r="69" customFormat="false" ht="12.75" hidden="false" customHeight="false" outlineLevel="0" collapsed="false">
      <c r="A69" s="81"/>
      <c r="B69" s="81"/>
      <c r="C69" s="81"/>
      <c r="D69" s="81"/>
      <c r="E69" s="81"/>
      <c r="F69" s="81"/>
      <c r="G69" s="81"/>
      <c r="H69" s="81"/>
      <c r="I69" s="81"/>
      <c r="J69" s="81"/>
      <c r="K69" s="81"/>
      <c r="L69" s="81"/>
      <c r="M69" s="81"/>
      <c r="N69" s="81"/>
      <c r="O69" s="81"/>
      <c r="P69" s="81"/>
      <c r="Q69" s="81"/>
      <c r="R69" s="81"/>
      <c r="S69" s="81"/>
      <c r="T69" s="81"/>
      <c r="U69" s="81"/>
      <c r="V69" s="81"/>
      <c r="W69" s="81"/>
      <c r="X69" s="81"/>
      <c r="Y69" s="81"/>
      <c r="Z69" s="81"/>
      <c r="AA69" s="81"/>
      <c r="AB69" s="81"/>
      <c r="AC69" s="81"/>
    </row>
    <row r="70" customFormat="false" ht="12.75" hidden="false" customHeight="false" outlineLevel="0" collapsed="false">
      <c r="A70" s="81"/>
      <c r="B70" s="81"/>
      <c r="C70" s="81"/>
      <c r="D70" s="81"/>
      <c r="E70" s="81"/>
      <c r="F70" s="81"/>
      <c r="G70" s="81"/>
      <c r="H70" s="81"/>
      <c r="I70" s="81"/>
      <c r="J70" s="81"/>
      <c r="K70" s="81"/>
      <c r="L70" s="81"/>
      <c r="M70" s="81"/>
      <c r="N70" s="81"/>
      <c r="O70" s="81"/>
      <c r="P70" s="81"/>
      <c r="Q70" s="81"/>
      <c r="R70" s="81"/>
      <c r="S70" s="81"/>
      <c r="T70" s="81"/>
      <c r="U70" s="81"/>
      <c r="V70" s="81"/>
      <c r="W70" s="81"/>
      <c r="X70" s="81"/>
      <c r="Y70" s="81"/>
      <c r="Z70" s="81"/>
      <c r="AA70" s="81"/>
      <c r="AB70" s="81"/>
      <c r="AC70" s="81"/>
    </row>
    <row r="71" customFormat="false" ht="12.75" hidden="false" customHeight="false" outlineLevel="0" collapsed="false">
      <c r="A71" s="81"/>
      <c r="B71" s="81"/>
      <c r="C71" s="81"/>
      <c r="D71" s="81"/>
      <c r="E71" s="81"/>
      <c r="F71" s="81"/>
      <c r="G71" s="81"/>
      <c r="H71" s="81"/>
      <c r="I71" s="81"/>
      <c r="J71" s="81"/>
      <c r="K71" s="81"/>
      <c r="L71" s="81"/>
      <c r="M71" s="81"/>
      <c r="N71" s="81"/>
      <c r="O71" s="81"/>
      <c r="P71" s="81"/>
      <c r="Q71" s="81"/>
      <c r="R71" s="81"/>
      <c r="S71" s="81"/>
      <c r="T71" s="81"/>
      <c r="U71" s="81"/>
      <c r="V71" s="81"/>
      <c r="W71" s="81"/>
      <c r="X71" s="81"/>
      <c r="Y71" s="81"/>
      <c r="Z71" s="81"/>
      <c r="AA71" s="81"/>
      <c r="AB71" s="81"/>
      <c r="AC71" s="81"/>
    </row>
    <row r="72" customFormat="false" ht="12.75" hidden="false" customHeight="false" outlineLevel="0" collapsed="false">
      <c r="A72" s="81"/>
      <c r="B72" s="81"/>
      <c r="C72" s="81"/>
      <c r="D72" s="81"/>
      <c r="E72" s="81"/>
      <c r="F72" s="81"/>
      <c r="G72" s="81"/>
      <c r="H72" s="81"/>
      <c r="I72" s="81"/>
      <c r="J72" s="81"/>
      <c r="K72" s="81"/>
      <c r="L72" s="81"/>
      <c r="M72" s="81"/>
      <c r="N72" s="81"/>
      <c r="O72" s="81"/>
      <c r="P72" s="81"/>
      <c r="Q72" s="81"/>
      <c r="R72" s="81"/>
      <c r="S72" s="81"/>
      <c r="T72" s="81"/>
      <c r="U72" s="81"/>
      <c r="V72" s="81"/>
      <c r="W72" s="81"/>
      <c r="X72" s="81"/>
      <c r="Y72" s="81"/>
      <c r="Z72" s="81"/>
      <c r="AA72" s="81"/>
      <c r="AB72" s="81"/>
      <c r="AC72" s="81"/>
    </row>
    <row r="73" customFormat="false" ht="12.75" hidden="false" customHeight="false" outlineLevel="0" collapsed="false">
      <c r="A73" s="81"/>
      <c r="B73" s="81"/>
      <c r="C73" s="81"/>
      <c r="D73" s="81"/>
      <c r="E73" s="81"/>
      <c r="F73" s="81"/>
      <c r="G73" s="81"/>
      <c r="H73" s="81"/>
      <c r="I73" s="81"/>
      <c r="J73" s="81"/>
      <c r="K73" s="81"/>
      <c r="L73" s="81"/>
      <c r="M73" s="81"/>
      <c r="N73" s="81"/>
      <c r="O73" s="81"/>
      <c r="P73" s="81"/>
      <c r="Q73" s="81"/>
      <c r="R73" s="81"/>
      <c r="S73" s="81"/>
      <c r="T73" s="81"/>
      <c r="U73" s="81"/>
      <c r="V73" s="81"/>
      <c r="W73" s="81"/>
      <c r="X73" s="81"/>
      <c r="Y73" s="81"/>
      <c r="Z73" s="81"/>
      <c r="AA73" s="81"/>
      <c r="AB73" s="81"/>
      <c r="AC73" s="81"/>
    </row>
    <row r="74" customFormat="false" ht="12.75" hidden="false" customHeight="false" outlineLevel="0" collapsed="false">
      <c r="A74" s="81"/>
      <c r="B74" s="81"/>
      <c r="C74" s="81"/>
      <c r="D74" s="81"/>
      <c r="E74" s="81"/>
      <c r="F74" s="81"/>
      <c r="G74" s="81"/>
      <c r="H74" s="81"/>
      <c r="I74" s="81"/>
      <c r="J74" s="81"/>
      <c r="K74" s="81"/>
      <c r="L74" s="81"/>
      <c r="M74" s="81"/>
      <c r="N74" s="81"/>
      <c r="O74" s="81"/>
      <c r="P74" s="81"/>
      <c r="Q74" s="81"/>
      <c r="R74" s="81"/>
      <c r="S74" s="81"/>
      <c r="T74" s="81"/>
      <c r="U74" s="81"/>
      <c r="V74" s="81"/>
      <c r="W74" s="81"/>
      <c r="X74" s="81"/>
      <c r="Y74" s="81"/>
      <c r="Z74" s="81"/>
      <c r="AA74" s="81"/>
      <c r="AB74" s="81"/>
      <c r="AC74" s="81"/>
    </row>
    <row r="75" customFormat="false" ht="12.75" hidden="false" customHeight="false" outlineLevel="0" collapsed="false">
      <c r="A75" s="81"/>
      <c r="B75" s="81"/>
      <c r="C75" s="81"/>
      <c r="D75" s="81"/>
      <c r="E75" s="81"/>
      <c r="F75" s="81"/>
      <c r="G75" s="81"/>
      <c r="H75" s="81"/>
      <c r="I75" s="81"/>
      <c r="J75" s="81"/>
      <c r="K75" s="81"/>
      <c r="L75" s="81"/>
      <c r="M75" s="81"/>
      <c r="N75" s="81"/>
      <c r="O75" s="81"/>
      <c r="P75" s="81"/>
      <c r="Q75" s="81"/>
      <c r="R75" s="81"/>
      <c r="S75" s="81"/>
      <c r="T75" s="81"/>
      <c r="U75" s="81"/>
      <c r="V75" s="81"/>
      <c r="W75" s="81"/>
      <c r="X75" s="81"/>
      <c r="Y75" s="81"/>
      <c r="Z75" s="81"/>
      <c r="AA75" s="81"/>
      <c r="AB75" s="81"/>
      <c r="AC75" s="81"/>
    </row>
    <row r="76" customFormat="false" ht="12.75" hidden="false" customHeight="false" outlineLevel="0" collapsed="false">
      <c r="A76" s="81"/>
      <c r="B76" s="81"/>
      <c r="C76" s="81"/>
      <c r="D76" s="81"/>
      <c r="E76" s="81"/>
      <c r="F76" s="81"/>
      <c r="G76" s="81"/>
      <c r="H76" s="81"/>
      <c r="I76" s="81"/>
      <c r="J76" s="81"/>
      <c r="K76" s="81"/>
      <c r="L76" s="81"/>
      <c r="M76" s="81"/>
      <c r="N76" s="81"/>
      <c r="O76" s="81"/>
      <c r="P76" s="81"/>
      <c r="Q76" s="81"/>
      <c r="R76" s="81"/>
      <c r="S76" s="81"/>
      <c r="T76" s="81"/>
      <c r="U76" s="81"/>
      <c r="V76" s="81"/>
      <c r="W76" s="81"/>
      <c r="X76" s="81"/>
      <c r="Y76" s="81"/>
      <c r="Z76" s="81"/>
      <c r="AA76" s="81"/>
      <c r="AB76" s="81"/>
      <c r="AC76" s="81"/>
    </row>
    <row r="77" customFormat="false" ht="12.75" hidden="false" customHeight="false" outlineLevel="0" collapsed="false">
      <c r="A77" s="81"/>
      <c r="B77" s="81"/>
      <c r="C77" s="81"/>
      <c r="D77" s="81"/>
      <c r="E77" s="81"/>
      <c r="F77" s="81"/>
      <c r="G77" s="81"/>
      <c r="H77" s="81"/>
      <c r="I77" s="81"/>
      <c r="J77" s="81"/>
      <c r="K77" s="81"/>
      <c r="L77" s="81"/>
      <c r="M77" s="81"/>
      <c r="N77" s="81"/>
      <c r="O77" s="81"/>
      <c r="P77" s="81"/>
      <c r="Q77" s="81"/>
      <c r="R77" s="81"/>
      <c r="S77" s="81"/>
      <c r="T77" s="81"/>
      <c r="U77" s="81"/>
      <c r="V77" s="81"/>
      <c r="W77" s="81"/>
      <c r="X77" s="81"/>
      <c r="Y77" s="81"/>
      <c r="Z77" s="81"/>
      <c r="AA77" s="81"/>
      <c r="AB77" s="81"/>
      <c r="AC77" s="81"/>
    </row>
    <row r="78" customFormat="false" ht="12.75" hidden="false" customHeight="false" outlineLevel="0" collapsed="false">
      <c r="A78" s="81"/>
      <c r="B78" s="81"/>
      <c r="C78" s="81"/>
      <c r="D78" s="81"/>
      <c r="E78" s="81"/>
      <c r="F78" s="81"/>
      <c r="G78" s="81"/>
      <c r="H78" s="81"/>
      <c r="I78" s="81"/>
      <c r="J78" s="81"/>
      <c r="K78" s="81"/>
      <c r="L78" s="81"/>
      <c r="M78" s="81"/>
      <c r="N78" s="81"/>
      <c r="O78" s="81"/>
      <c r="P78" s="81"/>
      <c r="Q78" s="81"/>
      <c r="R78" s="81"/>
      <c r="S78" s="81"/>
      <c r="T78" s="81"/>
      <c r="U78" s="81"/>
      <c r="V78" s="81"/>
      <c r="W78" s="81"/>
      <c r="X78" s="81"/>
      <c r="Y78" s="81"/>
      <c r="Z78" s="81"/>
      <c r="AA78" s="81"/>
      <c r="AB78" s="81"/>
      <c r="AC78" s="81"/>
    </row>
    <row r="79" customFormat="false" ht="12.75" hidden="false" customHeight="false" outlineLevel="0" collapsed="false">
      <c r="A79" s="81"/>
      <c r="B79" s="81"/>
      <c r="C79" s="81"/>
      <c r="D79" s="81"/>
      <c r="E79" s="81"/>
      <c r="F79" s="81"/>
      <c r="G79" s="81"/>
      <c r="H79" s="81"/>
      <c r="I79" s="81"/>
      <c r="J79" s="81"/>
      <c r="K79" s="81"/>
      <c r="L79" s="81"/>
      <c r="M79" s="81"/>
      <c r="N79" s="81"/>
      <c r="O79" s="81"/>
      <c r="P79" s="81"/>
      <c r="Q79" s="81"/>
      <c r="R79" s="81"/>
      <c r="S79" s="81"/>
      <c r="T79" s="81"/>
      <c r="U79" s="81"/>
      <c r="V79" s="81"/>
      <c r="W79" s="81"/>
      <c r="X79" s="81"/>
      <c r="Y79" s="81"/>
      <c r="Z79" s="81"/>
      <c r="AA79" s="81"/>
      <c r="AB79" s="81"/>
      <c r="AC79" s="81"/>
    </row>
    <row r="80" customFormat="false" ht="12.75" hidden="false" customHeight="false" outlineLevel="0" collapsed="false">
      <c r="A80" s="81"/>
      <c r="B80" s="81"/>
      <c r="C80" s="81"/>
      <c r="D80" s="81"/>
      <c r="E80" s="81"/>
      <c r="F80" s="81"/>
      <c r="G80" s="81"/>
      <c r="H80" s="81"/>
      <c r="I80" s="81"/>
      <c r="J80" s="81"/>
      <c r="K80" s="81"/>
      <c r="L80" s="81"/>
      <c r="M80" s="81"/>
      <c r="N80" s="81"/>
      <c r="O80" s="81"/>
      <c r="P80" s="81"/>
      <c r="Q80" s="81"/>
      <c r="R80" s="81"/>
      <c r="S80" s="81"/>
      <c r="T80" s="81"/>
      <c r="U80" s="81"/>
      <c r="V80" s="81"/>
      <c r="W80" s="81"/>
      <c r="X80" s="81"/>
      <c r="Y80" s="81"/>
      <c r="Z80" s="81"/>
      <c r="AA80" s="81"/>
      <c r="AB80" s="81"/>
      <c r="AC80" s="81"/>
    </row>
    <row r="81" customFormat="false" ht="12.75" hidden="false" customHeight="false" outlineLevel="0" collapsed="false">
      <c r="A81" s="81"/>
      <c r="B81" s="81"/>
      <c r="C81" s="81"/>
      <c r="D81" s="81"/>
      <c r="E81" s="81"/>
      <c r="F81" s="81"/>
      <c r="G81" s="81"/>
      <c r="H81" s="81"/>
      <c r="I81" s="81"/>
      <c r="J81" s="81"/>
      <c r="K81" s="81"/>
      <c r="L81" s="81"/>
      <c r="M81" s="81"/>
      <c r="N81" s="81"/>
      <c r="O81" s="81"/>
      <c r="P81" s="81"/>
      <c r="Q81" s="81"/>
      <c r="R81" s="81"/>
      <c r="S81" s="81"/>
      <c r="T81" s="81"/>
      <c r="U81" s="81"/>
      <c r="V81" s="81"/>
      <c r="W81" s="81"/>
      <c r="X81" s="81"/>
      <c r="Y81" s="81"/>
      <c r="Z81" s="81"/>
      <c r="AA81" s="81"/>
      <c r="AB81" s="81"/>
      <c r="AC81" s="81"/>
    </row>
    <row r="82" customFormat="false" ht="12.75" hidden="false" customHeight="false" outlineLevel="0" collapsed="false">
      <c r="A82" s="81"/>
      <c r="B82" s="81"/>
      <c r="C82" s="81"/>
      <c r="D82" s="81"/>
      <c r="E82" s="81"/>
      <c r="F82" s="81"/>
      <c r="G82" s="81"/>
      <c r="H82" s="81"/>
      <c r="I82" s="81"/>
      <c r="J82" s="81"/>
      <c r="K82" s="81"/>
      <c r="L82" s="81"/>
      <c r="M82" s="81"/>
      <c r="N82" s="81"/>
      <c r="O82" s="81"/>
      <c r="P82" s="81"/>
      <c r="Q82" s="81"/>
      <c r="R82" s="81"/>
      <c r="S82" s="81"/>
      <c r="T82" s="81"/>
      <c r="U82" s="81"/>
      <c r="V82" s="81"/>
      <c r="W82" s="81"/>
      <c r="X82" s="81"/>
      <c r="Y82" s="81"/>
      <c r="Z82" s="81"/>
      <c r="AA82" s="81"/>
      <c r="AB82" s="81"/>
      <c r="AC82" s="81"/>
    </row>
    <row r="83" customFormat="false" ht="12.75" hidden="false" customHeight="false" outlineLevel="0" collapsed="false">
      <c r="A83" s="81"/>
      <c r="B83" s="81"/>
      <c r="C83" s="81"/>
      <c r="D83" s="81"/>
      <c r="E83" s="81"/>
      <c r="F83" s="81"/>
      <c r="G83" s="81"/>
      <c r="H83" s="81"/>
      <c r="I83" s="81"/>
      <c r="J83" s="81"/>
      <c r="K83" s="81"/>
      <c r="L83" s="81"/>
      <c r="M83" s="81"/>
      <c r="N83" s="81"/>
      <c r="O83" s="81"/>
      <c r="P83" s="81"/>
      <c r="Q83" s="81"/>
      <c r="R83" s="81"/>
      <c r="S83" s="81"/>
      <c r="T83" s="81"/>
      <c r="U83" s="81"/>
      <c r="V83" s="81"/>
      <c r="W83" s="81"/>
      <c r="X83" s="81"/>
      <c r="Y83" s="81"/>
      <c r="Z83" s="81"/>
      <c r="AA83" s="81"/>
      <c r="AB83" s="81"/>
      <c r="AC83" s="81"/>
    </row>
    <row r="84" customFormat="false" ht="12.75" hidden="false" customHeight="false" outlineLevel="0" collapsed="false">
      <c r="A84" s="81"/>
      <c r="B84" s="81"/>
      <c r="C84" s="81"/>
      <c r="D84" s="81"/>
      <c r="E84" s="81"/>
      <c r="F84" s="81"/>
      <c r="G84" s="81"/>
      <c r="H84" s="81"/>
      <c r="I84" s="81"/>
      <c r="J84" s="81"/>
      <c r="K84" s="81"/>
      <c r="L84" s="81"/>
      <c r="M84" s="81"/>
      <c r="N84" s="81"/>
      <c r="O84" s="81"/>
      <c r="P84" s="81"/>
      <c r="Q84" s="81"/>
      <c r="R84" s="81"/>
      <c r="S84" s="81"/>
      <c r="T84" s="81"/>
      <c r="U84" s="81"/>
      <c r="V84" s="81"/>
      <c r="W84" s="81"/>
      <c r="X84" s="81"/>
      <c r="Y84" s="81"/>
      <c r="Z84" s="81"/>
      <c r="AA84" s="81"/>
      <c r="AB84" s="81"/>
      <c r="AC84" s="81"/>
    </row>
    <row r="85" customFormat="false" ht="12.75" hidden="false" customHeight="false" outlineLevel="0" collapsed="false">
      <c r="A85" s="81"/>
      <c r="B85" s="81"/>
      <c r="C85" s="81"/>
      <c r="D85" s="81"/>
      <c r="E85" s="81"/>
      <c r="F85" s="81"/>
      <c r="G85" s="81"/>
      <c r="H85" s="81"/>
      <c r="I85" s="81"/>
      <c r="J85" s="81"/>
      <c r="K85" s="81"/>
      <c r="L85" s="81"/>
      <c r="M85" s="81"/>
      <c r="N85" s="81"/>
      <c r="O85" s="81"/>
      <c r="P85" s="81"/>
      <c r="Q85" s="81"/>
      <c r="R85" s="81"/>
      <c r="S85" s="81"/>
      <c r="T85" s="81"/>
      <c r="U85" s="81"/>
      <c r="V85" s="81"/>
      <c r="W85" s="81"/>
      <c r="X85" s="81"/>
      <c r="Y85" s="81"/>
      <c r="Z85" s="81"/>
      <c r="AA85" s="81"/>
      <c r="AB85" s="81"/>
      <c r="AC85" s="81"/>
    </row>
    <row r="86" customFormat="false" ht="12.75" hidden="false" customHeight="false" outlineLevel="0" collapsed="false">
      <c r="A86" s="81"/>
      <c r="B86" s="81"/>
      <c r="C86" s="81"/>
      <c r="D86" s="81"/>
      <c r="E86" s="81"/>
      <c r="F86" s="81"/>
      <c r="G86" s="81"/>
      <c r="H86" s="81"/>
      <c r="I86" s="81"/>
      <c r="J86" s="81"/>
      <c r="K86" s="81"/>
      <c r="L86" s="81"/>
      <c r="M86" s="81"/>
      <c r="N86" s="81"/>
      <c r="O86" s="81"/>
      <c r="P86" s="81"/>
      <c r="Q86" s="81"/>
      <c r="R86" s="81"/>
      <c r="S86" s="81"/>
      <c r="T86" s="81"/>
      <c r="U86" s="81"/>
      <c r="V86" s="81"/>
      <c r="W86" s="81"/>
      <c r="X86" s="81"/>
      <c r="Y86" s="81"/>
      <c r="Z86" s="81"/>
      <c r="AA86" s="81"/>
      <c r="AB86" s="81"/>
      <c r="AC86" s="81"/>
    </row>
    <row r="87" customFormat="false" ht="12.75" hidden="false" customHeight="false" outlineLevel="0" collapsed="false">
      <c r="A87" s="81"/>
      <c r="B87" s="81"/>
      <c r="C87" s="81"/>
      <c r="D87" s="81"/>
      <c r="E87" s="81"/>
      <c r="F87" s="81"/>
      <c r="G87" s="81"/>
      <c r="H87" s="81"/>
      <c r="I87" s="81"/>
      <c r="J87" s="81"/>
      <c r="K87" s="81"/>
      <c r="L87" s="81"/>
      <c r="M87" s="81"/>
      <c r="N87" s="81"/>
      <c r="O87" s="81"/>
      <c r="P87" s="81"/>
      <c r="Q87" s="81"/>
      <c r="R87" s="81"/>
      <c r="S87" s="81"/>
      <c r="T87" s="81"/>
      <c r="U87" s="81"/>
      <c r="V87" s="81"/>
      <c r="W87" s="81"/>
      <c r="X87" s="81"/>
      <c r="Y87" s="81"/>
      <c r="Z87" s="81"/>
      <c r="AA87" s="81"/>
      <c r="AB87" s="81"/>
      <c r="AC87" s="81"/>
    </row>
    <row r="88" customFormat="false" ht="12.75" hidden="false" customHeight="false" outlineLevel="0" collapsed="false">
      <c r="A88" s="81"/>
      <c r="B88" s="81"/>
      <c r="C88" s="81"/>
      <c r="D88" s="81"/>
      <c r="E88" s="81"/>
      <c r="F88" s="81"/>
      <c r="G88" s="81"/>
      <c r="H88" s="81"/>
      <c r="I88" s="81"/>
      <c r="J88" s="81"/>
      <c r="K88" s="81"/>
      <c r="L88" s="81"/>
      <c r="M88" s="81"/>
      <c r="N88" s="81"/>
      <c r="O88" s="81"/>
      <c r="P88" s="81"/>
      <c r="Q88" s="81"/>
      <c r="R88" s="81"/>
      <c r="S88" s="81"/>
      <c r="T88" s="81"/>
      <c r="U88" s="81"/>
      <c r="V88" s="81"/>
      <c r="W88" s="81"/>
      <c r="X88" s="81"/>
      <c r="Y88" s="81"/>
      <c r="Z88" s="81"/>
      <c r="AA88" s="81"/>
      <c r="AB88" s="81"/>
      <c r="AC88" s="81"/>
    </row>
    <row r="89" customFormat="false" ht="12.75" hidden="false" customHeight="false" outlineLevel="0" collapsed="false">
      <c r="A89" s="81"/>
      <c r="B89" s="81"/>
      <c r="C89" s="81"/>
      <c r="D89" s="81"/>
      <c r="E89" s="81"/>
      <c r="F89" s="81"/>
      <c r="G89" s="81"/>
      <c r="H89" s="81"/>
      <c r="I89" s="81"/>
      <c r="J89" s="81"/>
      <c r="K89" s="81"/>
      <c r="L89" s="81"/>
      <c r="M89" s="81"/>
      <c r="N89" s="81"/>
      <c r="O89" s="81"/>
      <c r="P89" s="81"/>
      <c r="Q89" s="81"/>
      <c r="R89" s="81"/>
      <c r="S89" s="81"/>
      <c r="T89" s="81"/>
      <c r="U89" s="81"/>
      <c r="V89" s="81"/>
      <c r="W89" s="81"/>
      <c r="X89" s="81"/>
      <c r="Y89" s="81"/>
      <c r="Z89" s="81"/>
      <c r="AA89" s="81"/>
      <c r="AB89" s="81"/>
      <c r="AC89" s="81"/>
    </row>
    <row r="90" customFormat="false" ht="12.75" hidden="false" customHeight="false" outlineLevel="0" collapsed="false">
      <c r="A90" s="81"/>
      <c r="B90" s="81"/>
      <c r="C90" s="81"/>
      <c r="D90" s="81"/>
      <c r="E90" s="81"/>
      <c r="F90" s="81"/>
      <c r="G90" s="81"/>
      <c r="H90" s="81"/>
      <c r="I90" s="81"/>
      <c r="J90" s="81"/>
      <c r="K90" s="81"/>
      <c r="L90" s="81"/>
      <c r="M90" s="81"/>
      <c r="N90" s="81"/>
      <c r="O90" s="81"/>
      <c r="P90" s="81"/>
      <c r="Q90" s="81"/>
      <c r="R90" s="81"/>
      <c r="S90" s="81"/>
      <c r="T90" s="81"/>
      <c r="U90" s="81"/>
      <c r="V90" s="81"/>
      <c r="W90" s="81"/>
      <c r="X90" s="81"/>
      <c r="Y90" s="81"/>
      <c r="Z90" s="81"/>
      <c r="AA90" s="81"/>
      <c r="AB90" s="81"/>
      <c r="AC90" s="81"/>
    </row>
    <row r="91" customFormat="false" ht="12.75" hidden="false" customHeight="false" outlineLevel="0" collapsed="false">
      <c r="A91" s="81"/>
      <c r="B91" s="81"/>
      <c r="C91" s="81"/>
      <c r="D91" s="81"/>
      <c r="E91" s="81"/>
      <c r="F91" s="81"/>
      <c r="G91" s="81"/>
      <c r="H91" s="81"/>
      <c r="I91" s="81"/>
      <c r="J91" s="81"/>
      <c r="K91" s="81"/>
      <c r="L91" s="81"/>
      <c r="M91" s="81"/>
      <c r="N91" s="81"/>
      <c r="O91" s="81"/>
      <c r="P91" s="81"/>
      <c r="Q91" s="81"/>
      <c r="R91" s="81"/>
      <c r="S91" s="81"/>
      <c r="T91" s="81"/>
      <c r="U91" s="81"/>
      <c r="V91" s="81"/>
      <c r="W91" s="81"/>
      <c r="X91" s="81"/>
      <c r="Y91" s="81"/>
      <c r="Z91" s="81"/>
      <c r="AA91" s="81"/>
      <c r="AB91" s="81"/>
      <c r="AC91" s="81"/>
    </row>
    <row r="92" customFormat="false" ht="12.75" hidden="false" customHeight="false" outlineLevel="0" collapsed="false">
      <c r="A92" s="81"/>
      <c r="B92" s="81"/>
      <c r="C92" s="81"/>
      <c r="D92" s="81"/>
      <c r="E92" s="81"/>
      <c r="F92" s="81"/>
      <c r="G92" s="81"/>
      <c r="H92" s="81"/>
      <c r="I92" s="81"/>
      <c r="J92" s="81"/>
      <c r="K92" s="81"/>
      <c r="L92" s="81"/>
      <c r="M92" s="81"/>
      <c r="N92" s="81"/>
      <c r="O92" s="81"/>
      <c r="P92" s="81"/>
      <c r="Q92" s="81"/>
      <c r="R92" s="81"/>
      <c r="S92" s="81"/>
      <c r="T92" s="81"/>
      <c r="U92" s="81"/>
      <c r="V92" s="81"/>
      <c r="W92" s="81"/>
      <c r="X92" s="81"/>
      <c r="Y92" s="81"/>
      <c r="Z92" s="81"/>
      <c r="AA92" s="81"/>
      <c r="AB92" s="81"/>
      <c r="AC92" s="81"/>
    </row>
    <row r="93" customFormat="false" ht="12.75" hidden="false" customHeight="false" outlineLevel="0" collapsed="false">
      <c r="A93" s="81"/>
      <c r="B93" s="81"/>
      <c r="C93" s="81"/>
      <c r="D93" s="81"/>
      <c r="E93" s="81"/>
      <c r="F93" s="81"/>
      <c r="G93" s="81"/>
      <c r="H93" s="81"/>
      <c r="I93" s="81"/>
      <c r="J93" s="81"/>
      <c r="K93" s="81"/>
      <c r="L93" s="81"/>
      <c r="M93" s="81"/>
      <c r="N93" s="81"/>
      <c r="O93" s="81"/>
      <c r="P93" s="81"/>
      <c r="Q93" s="81"/>
      <c r="R93" s="81"/>
      <c r="S93" s="81"/>
      <c r="T93" s="81"/>
      <c r="U93" s="81"/>
      <c r="V93" s="81"/>
      <c r="W93" s="81"/>
      <c r="X93" s="81"/>
      <c r="Y93" s="81"/>
      <c r="Z93" s="81"/>
      <c r="AA93" s="81"/>
      <c r="AB93" s="81"/>
      <c r="AC93" s="81"/>
    </row>
    <row r="94" customFormat="false" ht="12.75" hidden="false" customHeight="false" outlineLevel="0" collapsed="false">
      <c r="A94" s="81"/>
      <c r="B94" s="81"/>
      <c r="C94" s="81"/>
      <c r="D94" s="81"/>
      <c r="E94" s="81"/>
      <c r="F94" s="81"/>
      <c r="G94" s="81"/>
      <c r="H94" s="81"/>
      <c r="I94" s="81"/>
      <c r="J94" s="81"/>
      <c r="K94" s="81"/>
      <c r="L94" s="81"/>
      <c r="M94" s="81"/>
      <c r="N94" s="81"/>
      <c r="O94" s="81"/>
      <c r="P94" s="81"/>
      <c r="Q94" s="81"/>
      <c r="R94" s="81"/>
      <c r="S94" s="81"/>
      <c r="T94" s="81"/>
      <c r="U94" s="81"/>
      <c r="V94" s="81"/>
      <c r="W94" s="81"/>
      <c r="X94" s="81"/>
      <c r="Y94" s="81"/>
      <c r="Z94" s="81"/>
      <c r="AA94" s="81"/>
      <c r="AB94" s="81"/>
      <c r="AC94" s="81"/>
    </row>
    <row r="95" customFormat="false" ht="12.75" hidden="false" customHeight="false" outlineLevel="0" collapsed="false">
      <c r="A95" s="81"/>
      <c r="B95" s="81"/>
      <c r="C95" s="81"/>
      <c r="D95" s="81"/>
      <c r="E95" s="81"/>
      <c r="F95" s="81"/>
      <c r="G95" s="81"/>
      <c r="H95" s="81"/>
      <c r="I95" s="81"/>
      <c r="J95" s="81"/>
      <c r="K95" s="81"/>
      <c r="L95" s="81"/>
      <c r="M95" s="81"/>
      <c r="N95" s="81"/>
      <c r="O95" s="81"/>
      <c r="P95" s="81"/>
      <c r="Q95" s="81"/>
      <c r="R95" s="81"/>
      <c r="S95" s="81"/>
      <c r="T95" s="81"/>
      <c r="U95" s="81"/>
      <c r="V95" s="81"/>
      <c r="W95" s="81"/>
      <c r="X95" s="81"/>
      <c r="Y95" s="81"/>
      <c r="Z95" s="81"/>
      <c r="AA95" s="81"/>
      <c r="AB95" s="81"/>
      <c r="AC95" s="81"/>
    </row>
    <row r="96" customFormat="false" ht="12.75" hidden="false" customHeight="false" outlineLevel="0" collapsed="false">
      <c r="A96" s="81"/>
      <c r="B96" s="81"/>
      <c r="C96" s="81"/>
      <c r="D96" s="81"/>
      <c r="E96" s="81"/>
      <c r="F96" s="81"/>
      <c r="G96" s="81"/>
      <c r="H96" s="81"/>
      <c r="I96" s="81"/>
      <c r="J96" s="81"/>
      <c r="K96" s="81"/>
      <c r="L96" s="81"/>
      <c r="M96" s="81"/>
      <c r="N96" s="81"/>
      <c r="O96" s="81"/>
      <c r="P96" s="81"/>
      <c r="Q96" s="81"/>
      <c r="R96" s="81"/>
      <c r="S96" s="81"/>
      <c r="T96" s="81"/>
      <c r="U96" s="81"/>
      <c r="V96" s="81"/>
      <c r="W96" s="81"/>
      <c r="X96" s="81"/>
      <c r="Y96" s="81"/>
      <c r="Z96" s="81"/>
      <c r="AA96" s="81"/>
      <c r="AB96" s="81"/>
      <c r="AC96" s="81"/>
    </row>
    <row r="97" customFormat="false" ht="12.75" hidden="false" customHeight="false" outlineLevel="0" collapsed="false">
      <c r="A97" s="81"/>
      <c r="B97" s="81"/>
      <c r="C97" s="81"/>
      <c r="D97" s="81"/>
      <c r="E97" s="81"/>
      <c r="F97" s="81"/>
      <c r="G97" s="81"/>
      <c r="H97" s="81"/>
      <c r="I97" s="81"/>
      <c r="J97" s="81"/>
      <c r="K97" s="81"/>
      <c r="L97" s="81"/>
      <c r="M97" s="81"/>
      <c r="N97" s="81"/>
      <c r="O97" s="81"/>
      <c r="P97" s="81"/>
      <c r="Q97" s="81"/>
      <c r="R97" s="81"/>
      <c r="S97" s="81"/>
      <c r="T97" s="81"/>
      <c r="U97" s="81"/>
      <c r="V97" s="81"/>
      <c r="W97" s="81"/>
      <c r="X97" s="81"/>
      <c r="Y97" s="81"/>
      <c r="Z97" s="81"/>
      <c r="AA97" s="81"/>
      <c r="AB97" s="81"/>
      <c r="AC97" s="81"/>
    </row>
    <row r="98" customFormat="false" ht="12.75" hidden="false" customHeight="false" outlineLevel="0" collapsed="false">
      <c r="A98" s="81"/>
      <c r="B98" s="81"/>
      <c r="C98" s="81"/>
      <c r="D98" s="81"/>
      <c r="E98" s="81"/>
      <c r="F98" s="81"/>
      <c r="G98" s="81"/>
      <c r="H98" s="81"/>
      <c r="I98" s="81"/>
      <c r="J98" s="81"/>
      <c r="K98" s="81"/>
      <c r="L98" s="81"/>
      <c r="M98" s="81"/>
      <c r="N98" s="81"/>
      <c r="O98" s="81"/>
      <c r="P98" s="81"/>
      <c r="Q98" s="81"/>
      <c r="R98" s="81"/>
      <c r="S98" s="81"/>
      <c r="T98" s="81"/>
      <c r="U98" s="81"/>
      <c r="V98" s="81"/>
      <c r="W98" s="81"/>
      <c r="X98" s="81"/>
      <c r="Y98" s="81"/>
      <c r="Z98" s="81"/>
      <c r="AA98" s="81"/>
      <c r="AB98" s="81"/>
      <c r="AC98" s="81"/>
    </row>
    <row r="99" customFormat="false" ht="12.75" hidden="false" customHeight="false" outlineLevel="0" collapsed="false">
      <c r="A99" s="81"/>
      <c r="B99" s="81"/>
      <c r="C99" s="81"/>
      <c r="D99" s="81"/>
      <c r="E99" s="81"/>
      <c r="F99" s="81"/>
      <c r="G99" s="81"/>
      <c r="H99" s="81"/>
      <c r="I99" s="81"/>
      <c r="J99" s="81"/>
      <c r="K99" s="81"/>
      <c r="L99" s="81"/>
      <c r="M99" s="81"/>
      <c r="N99" s="81"/>
      <c r="O99" s="81"/>
      <c r="P99" s="81"/>
      <c r="Q99" s="81"/>
      <c r="R99" s="81"/>
      <c r="S99" s="81"/>
      <c r="T99" s="81"/>
      <c r="U99" s="81"/>
      <c r="V99" s="81"/>
      <c r="W99" s="81"/>
      <c r="X99" s="81"/>
      <c r="Y99" s="81"/>
      <c r="Z99" s="81"/>
      <c r="AA99" s="81"/>
      <c r="AB99" s="81"/>
      <c r="AC99" s="81"/>
    </row>
    <row r="100" customFormat="false" ht="12.75" hidden="false" customHeight="false" outlineLevel="0" collapsed="false">
      <c r="A100" s="81"/>
      <c r="B100" s="81"/>
      <c r="C100" s="81"/>
      <c r="D100" s="81"/>
      <c r="E100" s="81"/>
      <c r="F100" s="81"/>
      <c r="G100" s="81"/>
      <c r="H100" s="81"/>
      <c r="I100" s="81"/>
      <c r="J100" s="81"/>
      <c r="K100" s="81"/>
      <c r="L100" s="81"/>
      <c r="M100" s="81"/>
      <c r="N100" s="81"/>
      <c r="O100" s="81"/>
      <c r="P100" s="81"/>
      <c r="Q100" s="81"/>
      <c r="R100" s="81"/>
      <c r="S100" s="81"/>
      <c r="T100" s="81"/>
      <c r="U100" s="81"/>
      <c r="V100" s="81"/>
      <c r="W100" s="81"/>
      <c r="X100" s="81"/>
      <c r="Y100" s="81"/>
      <c r="Z100" s="81"/>
      <c r="AA100" s="81"/>
      <c r="AB100" s="81"/>
      <c r="AC100" s="81"/>
    </row>
    <row r="101" customFormat="false" ht="12.75" hidden="false" customHeight="false" outlineLevel="0" collapsed="false">
      <c r="A101" s="81"/>
      <c r="B101" s="81"/>
      <c r="C101" s="81"/>
      <c r="D101" s="81"/>
      <c r="E101" s="81"/>
      <c r="F101" s="81"/>
      <c r="G101" s="81"/>
      <c r="H101" s="81"/>
      <c r="I101" s="81"/>
      <c r="J101" s="81"/>
      <c r="K101" s="81"/>
      <c r="L101" s="81"/>
      <c r="M101" s="81"/>
      <c r="N101" s="81"/>
      <c r="O101" s="81"/>
      <c r="P101" s="81"/>
      <c r="Q101" s="81"/>
      <c r="R101" s="81"/>
      <c r="S101" s="81"/>
      <c r="T101" s="81"/>
      <c r="U101" s="81"/>
      <c r="V101" s="81"/>
      <c r="W101" s="81"/>
      <c r="X101" s="81"/>
      <c r="Y101" s="81"/>
      <c r="Z101" s="81"/>
      <c r="AA101" s="81"/>
      <c r="AB101" s="81"/>
      <c r="AC101" s="81"/>
    </row>
    <row r="102" customFormat="false" ht="12.75" hidden="false" customHeight="false" outlineLevel="0" collapsed="false">
      <c r="A102" s="81"/>
      <c r="B102" s="81"/>
      <c r="C102" s="81"/>
      <c r="D102" s="81"/>
      <c r="E102" s="81"/>
      <c r="F102" s="81"/>
      <c r="G102" s="81"/>
      <c r="H102" s="81"/>
      <c r="I102" s="81"/>
      <c r="J102" s="81"/>
      <c r="K102" s="81"/>
      <c r="L102" s="81"/>
      <c r="M102" s="81"/>
      <c r="N102" s="81"/>
      <c r="O102" s="81"/>
      <c r="P102" s="81"/>
      <c r="Q102" s="81"/>
      <c r="R102" s="81"/>
      <c r="S102" s="81"/>
      <c r="T102" s="81"/>
      <c r="U102" s="81"/>
      <c r="V102" s="81"/>
      <c r="W102" s="81"/>
      <c r="X102" s="81"/>
      <c r="Y102" s="81"/>
      <c r="Z102" s="81"/>
      <c r="AA102" s="81"/>
      <c r="AB102" s="81"/>
      <c r="AC102" s="81"/>
    </row>
    <row r="103" customFormat="false" ht="12.75" hidden="false" customHeight="false" outlineLevel="0" collapsed="false">
      <c r="A103" s="81"/>
      <c r="B103" s="81"/>
      <c r="C103" s="81"/>
      <c r="D103" s="81"/>
      <c r="E103" s="81"/>
      <c r="F103" s="81"/>
      <c r="G103" s="81"/>
      <c r="H103" s="81"/>
      <c r="I103" s="81"/>
      <c r="J103" s="81"/>
      <c r="K103" s="81"/>
      <c r="L103" s="81"/>
      <c r="M103" s="81"/>
      <c r="N103" s="81"/>
      <c r="O103" s="81"/>
      <c r="P103" s="81"/>
      <c r="Q103" s="81"/>
      <c r="R103" s="81"/>
      <c r="S103" s="81"/>
      <c r="T103" s="81"/>
      <c r="U103" s="81"/>
      <c r="V103" s="81"/>
      <c r="W103" s="81"/>
      <c r="X103" s="81"/>
      <c r="Y103" s="81"/>
      <c r="Z103" s="81"/>
      <c r="AA103" s="81"/>
      <c r="AB103" s="81"/>
      <c r="AC103" s="81"/>
    </row>
    <row r="104" customFormat="false" ht="12.75" hidden="false" customHeight="false" outlineLevel="0" collapsed="false">
      <c r="A104" s="81"/>
      <c r="B104" s="81"/>
      <c r="C104" s="81"/>
      <c r="D104" s="81"/>
      <c r="E104" s="81"/>
      <c r="F104" s="81"/>
      <c r="G104" s="81"/>
      <c r="H104" s="81"/>
      <c r="I104" s="81"/>
      <c r="J104" s="81"/>
      <c r="K104" s="81"/>
      <c r="L104" s="81"/>
      <c r="M104" s="81"/>
      <c r="N104" s="81"/>
      <c r="O104" s="81"/>
      <c r="P104" s="81"/>
      <c r="Q104" s="81"/>
      <c r="R104" s="81"/>
      <c r="S104" s="81"/>
      <c r="T104" s="81"/>
      <c r="U104" s="81"/>
      <c r="V104" s="81"/>
      <c r="W104" s="81"/>
      <c r="X104" s="81"/>
      <c r="Y104" s="81"/>
      <c r="Z104" s="81"/>
      <c r="AA104" s="81"/>
      <c r="AB104" s="81"/>
      <c r="AC104" s="81"/>
    </row>
    <row r="105" customFormat="false" ht="12.75" hidden="false" customHeight="false" outlineLevel="0" collapsed="false">
      <c r="A105" s="81"/>
      <c r="B105" s="81"/>
      <c r="C105" s="81"/>
      <c r="D105" s="81"/>
      <c r="E105" s="81"/>
      <c r="F105" s="81"/>
      <c r="G105" s="81"/>
      <c r="H105" s="81"/>
      <c r="I105" s="81"/>
      <c r="J105" s="81"/>
      <c r="K105" s="81"/>
      <c r="L105" s="81"/>
      <c r="M105" s="81"/>
      <c r="N105" s="81"/>
      <c r="O105" s="81"/>
      <c r="P105" s="81"/>
      <c r="Q105" s="81"/>
      <c r="R105" s="81"/>
      <c r="S105" s="81"/>
      <c r="T105" s="81"/>
      <c r="U105" s="81"/>
      <c r="V105" s="81"/>
      <c r="W105" s="81"/>
      <c r="X105" s="81"/>
      <c r="Y105" s="81"/>
      <c r="Z105" s="81"/>
      <c r="AA105" s="81"/>
      <c r="AB105" s="81"/>
      <c r="AC105" s="81"/>
    </row>
  </sheetData>
  <mergeCells count="20">
    <mergeCell ref="A1:AB1"/>
    <mergeCell ref="A2:AB2"/>
    <mergeCell ref="A3:AB3"/>
    <mergeCell ref="A4:AB4"/>
    <mergeCell ref="A5:AB5"/>
    <mergeCell ref="A6:AB6"/>
    <mergeCell ref="D7:AB7"/>
    <mergeCell ref="A8:AB8"/>
    <mergeCell ref="A9:A10"/>
    <mergeCell ref="B9:B10"/>
    <mergeCell ref="C9:C10"/>
    <mergeCell ref="D9:D10"/>
    <mergeCell ref="O9:O10"/>
    <mergeCell ref="W9:W10"/>
    <mergeCell ref="AB9:AB10"/>
    <mergeCell ref="A20:D20"/>
    <mergeCell ref="A22:C22"/>
    <mergeCell ref="E22:AB22"/>
    <mergeCell ref="A28:C28"/>
    <mergeCell ref="M28:AB28"/>
  </mergeCells>
  <printOptions headings="false" gridLines="false" gridLinesSet="true" horizontalCentered="false" verticalCentered="false"/>
  <pageMargins left="0.7" right="0.159722222222222" top="0.4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Y38"/>
  <sheetViews>
    <sheetView showFormulas="false" showGridLines="true" showRowColHeaders="true" showZeros="true" rightToLeft="false" tabSelected="false" showOutlineSymbols="true" defaultGridColor="true" view="normal" topLeftCell="A1" colorId="64" zoomScale="70" zoomScaleNormal="70" zoomScalePageLayoutView="100" workbookViewId="0">
      <selection pane="topLeft" activeCell="G23" activeCellId="0" sqref="G23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6.71"/>
    <col collapsed="false" customWidth="true" hidden="false" outlineLevel="0" max="2" min="2" style="1" width="12.29"/>
    <col collapsed="false" customWidth="true" hidden="false" outlineLevel="0" max="3" min="3" style="1" width="16.43"/>
    <col collapsed="false" customWidth="true" hidden="true" outlineLevel="0" max="4" min="4" style="1" width="8.29"/>
    <col collapsed="false" customWidth="false" hidden="true" outlineLevel="0" max="5" min="5" style="1" width="8.71"/>
    <col collapsed="false" customWidth="true" hidden="true" outlineLevel="0" max="6" min="6" style="1" width="9.14"/>
    <col collapsed="false" customWidth="true" hidden="false" outlineLevel="0" max="12" min="7" style="1" width="11.71"/>
    <col collapsed="false" customWidth="true" hidden="true" outlineLevel="0" max="15" min="13" style="1" width="8.57"/>
    <col collapsed="false" customWidth="true" hidden="false" outlineLevel="0" max="18" min="16" style="1" width="11.71"/>
    <col collapsed="false" customWidth="true" hidden="false" outlineLevel="0" max="19" min="19" style="1" width="7"/>
  </cols>
  <sheetData>
    <row r="1" customFormat="false" ht="20.25" hidden="false" customHeight="true" outlineLevel="0" collapsed="false">
      <c r="A1" s="2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3"/>
      <c r="U1" s="3"/>
      <c r="V1" s="3"/>
      <c r="W1" s="3"/>
    </row>
    <row r="2" customFormat="false" ht="18.75" hidden="false" customHeight="true" outlineLevel="0" collapsed="false">
      <c r="A2" s="4" t="str">
        <f>"Kèm theo BBNT số: "&amp;VLOOKUP(AZ2,'[1]Tuyến XB6A'!$A$2:$G$60,7,0)&amp;VLOOKUP(AZ2,'[1]Tuyến XB6A'!$A$2:$G$60,4,0)</f>
        <v xml:space="preserve">Kèm theo BBNT số: 21.NĐXB6A/CVXD ngày 08 tháng 09 năm 2026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4"/>
      <c r="U2" s="5"/>
      <c r="V2" s="5"/>
      <c r="W2" s="5"/>
      <c r="AZ2">
        <v>21</v>
      </c>
    </row>
    <row r="3" customFormat="false" ht="18.75" hidden="false" customHeight="true" outlineLevel="0" collapsed="false">
      <c r="A3" s="6" t="s">
        <v>2</v>
      </c>
      <c r="C3" s="6"/>
      <c r="D3" s="6"/>
      <c r="E3" s="6"/>
      <c r="F3" s="6"/>
      <c r="G3" s="6"/>
      <c r="H3" s="6"/>
      <c r="I3" s="6"/>
      <c r="J3" s="6"/>
      <c r="K3" s="6"/>
      <c r="L3" s="6"/>
      <c r="M3" s="6"/>
      <c r="N3" s="6"/>
      <c r="O3" s="6"/>
      <c r="P3" s="6"/>
      <c r="Q3" s="6"/>
      <c r="R3" s="6"/>
      <c r="S3" s="6"/>
      <c r="T3" s="6"/>
      <c r="U3" s="6"/>
      <c r="V3" s="6"/>
      <c r="W3" s="6"/>
    </row>
    <row r="4" customFormat="false" ht="18.75" hidden="false" customHeight="true" outlineLevel="0" collapsed="false">
      <c r="A4" s="6" t="s">
        <v>3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/>
      <c r="O4" s="6"/>
      <c r="P4" s="6"/>
      <c r="Q4" s="6"/>
      <c r="R4" s="6"/>
      <c r="S4" s="6"/>
      <c r="T4" s="6"/>
      <c r="U4" s="6"/>
      <c r="V4" s="6"/>
      <c r="W4" s="6"/>
    </row>
    <row r="5" customFormat="false" ht="18.75" hidden="false" customHeight="true" outlineLevel="0" collapsed="false">
      <c r="A5" s="6" t="s">
        <v>4</v>
      </c>
      <c r="C5" s="6"/>
      <c r="D5" s="6"/>
      <c r="E5" s="6"/>
      <c r="F5" s="6"/>
      <c r="G5" s="6"/>
      <c r="H5" s="6"/>
      <c r="I5" s="6"/>
      <c r="J5" s="6"/>
      <c r="K5" s="6"/>
      <c r="L5" s="6"/>
      <c r="M5" s="6"/>
      <c r="N5" s="6"/>
      <c r="O5" s="6"/>
      <c r="P5" s="6"/>
      <c r="Q5" s="6"/>
      <c r="R5" s="6"/>
      <c r="S5" s="6"/>
      <c r="T5" s="6"/>
      <c r="U5" s="6"/>
      <c r="V5" s="6"/>
      <c r="W5" s="6"/>
    </row>
    <row r="6" customFormat="false" ht="18.75" hidden="false" customHeight="true" outlineLevel="0" collapsed="false">
      <c r="A6" s="6" t="s">
        <v>5</v>
      </c>
      <c r="C6" s="6"/>
      <c r="D6" s="6"/>
      <c r="E6" s="6"/>
      <c r="F6" s="6"/>
      <c r="G6" s="6"/>
      <c r="H6" s="6"/>
      <c r="I6" s="6"/>
      <c r="J6" s="6"/>
      <c r="K6" s="6"/>
      <c r="L6" s="6"/>
      <c r="M6" s="6"/>
      <c r="N6" s="6"/>
      <c r="O6" s="6"/>
      <c r="P6" s="6"/>
      <c r="Q6" s="6"/>
      <c r="R6" s="6"/>
      <c r="S6" s="6"/>
      <c r="T6" s="6"/>
      <c r="U6" s="6"/>
      <c r="V6" s="6"/>
      <c r="W6" s="6"/>
    </row>
    <row r="7" customFormat="false" ht="18.75" hidden="false" customHeight="true" outlineLevel="0" collapsed="false">
      <c r="A7" s="7" t="s">
        <v>6</v>
      </c>
      <c r="C7" s="6"/>
      <c r="D7" s="6"/>
      <c r="F7" s="6"/>
      <c r="G7" s="6" t="str">
        <f>VLOOKUP(AZ2,'[1]Tuyến XB6A'!$A$2:$B$60,2,0)</f>
        <v xml:space="preserve">Đắp cấp phối đá dăm loại 2 đoạn từ Km0+000,00 - Km0+126,46</v>
      </c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  <c r="U7" s="6"/>
      <c r="V7" s="6"/>
      <c r="W7" s="6"/>
    </row>
    <row r="8" customFormat="false" ht="18.75" hidden="false" customHeight="true" outlineLevel="0" collapsed="false">
      <c r="A8" s="7" t="s">
        <v>8</v>
      </c>
      <c r="C8" s="6"/>
      <c r="D8" s="6"/>
      <c r="E8" s="6"/>
      <c r="F8" s="6"/>
      <c r="G8" s="6"/>
      <c r="H8" s="6"/>
      <c r="I8" s="6"/>
      <c r="J8" s="6"/>
      <c r="K8" s="6"/>
      <c r="L8" s="6"/>
      <c r="M8" s="6"/>
      <c r="N8" s="6"/>
      <c r="O8" s="6"/>
      <c r="P8" s="6"/>
      <c r="Q8" s="6"/>
      <c r="R8" s="6"/>
      <c r="S8" s="6"/>
      <c r="T8" s="6"/>
      <c r="U8" s="6"/>
      <c r="V8" s="6"/>
      <c r="W8" s="6"/>
    </row>
    <row r="21" s="10" customFormat="true" ht="15.75" hidden="false" customHeight="true" outlineLevel="0" collapsed="false">
      <c r="A21" s="8" t="s">
        <v>9</v>
      </c>
      <c r="B21" s="8" t="s">
        <v>10</v>
      </c>
      <c r="C21" s="8" t="s">
        <v>11</v>
      </c>
      <c r="D21" s="9" t="s">
        <v>12</v>
      </c>
      <c r="E21" s="9"/>
      <c r="F21" s="9"/>
      <c r="G21" s="9"/>
      <c r="H21" s="9"/>
      <c r="I21" s="9"/>
      <c r="J21" s="9" t="s">
        <v>13</v>
      </c>
      <c r="K21" s="9"/>
      <c r="L21" s="9"/>
      <c r="M21" s="9" t="s">
        <v>14</v>
      </c>
      <c r="N21" s="9"/>
      <c r="O21" s="9"/>
      <c r="P21" s="9"/>
      <c r="Q21" s="9"/>
      <c r="R21" s="9"/>
      <c r="S21" s="8" t="s">
        <v>15</v>
      </c>
    </row>
    <row r="22" s="10" customFormat="true" ht="30" hidden="false" customHeight="true" outlineLevel="0" collapsed="false">
      <c r="A22" s="8"/>
      <c r="B22" s="8"/>
      <c r="C22" s="8"/>
      <c r="D22" s="11" t="s">
        <v>17</v>
      </c>
      <c r="E22" s="11" t="s">
        <v>18</v>
      </c>
      <c r="F22" s="11" t="s">
        <v>19</v>
      </c>
      <c r="G22" s="11" t="s">
        <v>20</v>
      </c>
      <c r="H22" s="11" t="s">
        <v>21</v>
      </c>
      <c r="I22" s="11" t="s">
        <v>22</v>
      </c>
      <c r="J22" s="11" t="s">
        <v>20</v>
      </c>
      <c r="K22" s="11" t="s">
        <v>21</v>
      </c>
      <c r="L22" s="11" t="s">
        <v>22</v>
      </c>
      <c r="M22" s="11" t="s">
        <v>17</v>
      </c>
      <c r="N22" s="11" t="s">
        <v>18</v>
      </c>
      <c r="O22" s="11" t="s">
        <v>19</v>
      </c>
      <c r="P22" s="11" t="s">
        <v>20</v>
      </c>
      <c r="Q22" s="11" t="s">
        <v>21</v>
      </c>
      <c r="R22" s="11" t="s">
        <v>22</v>
      </c>
      <c r="S22" s="8"/>
      <c r="T22" s="12"/>
    </row>
    <row r="23" s="10" customFormat="true" ht="18" hidden="false" customHeight="true" outlineLevel="0" collapsed="false">
      <c r="A23" s="13" t="n">
        <v>1</v>
      </c>
      <c r="B23" s="82" t="s">
        <v>23</v>
      </c>
      <c r="C23" s="15" t="n">
        <v>0</v>
      </c>
      <c r="D23" s="16" t="n">
        <v>-3.75</v>
      </c>
      <c r="E23" s="16" t="n">
        <f aca="false">+D23+F23</f>
        <v>-3.7583</v>
      </c>
      <c r="F23" s="16" t="n">
        <f aca="false">RANDBETWEEN(-105,115)/10000</f>
        <v>-0.0083</v>
      </c>
      <c r="G23" s="16" t="n">
        <f aca="false">W23+0.18</f>
        <v>2.522</v>
      </c>
      <c r="H23" s="16" t="n">
        <f aca="false">G23+I23</f>
        <v>2.592</v>
      </c>
      <c r="I23" s="16" t="n">
        <f aca="false">RANDBETWEEN(-20,70)/1000</f>
        <v>0.07</v>
      </c>
      <c r="J23" s="16" t="n">
        <f aca="false">X23+0.18</f>
        <v>2.609</v>
      </c>
      <c r="K23" s="16" t="n">
        <f aca="false">J23+L23</f>
        <v>2.654</v>
      </c>
      <c r="L23" s="16" t="n">
        <f aca="false">RANDBETWEEN(-20,70)/1000</f>
        <v>0.045</v>
      </c>
      <c r="M23" s="16" t="n">
        <v>3.75</v>
      </c>
      <c r="N23" s="16" t="n">
        <f aca="false">+M23+O23</f>
        <v>3.7533</v>
      </c>
      <c r="O23" s="16" t="n">
        <f aca="false">RANDBETWEEN(-105,115)/10000</f>
        <v>0.0033</v>
      </c>
      <c r="P23" s="16" t="n">
        <f aca="false">Y23+0.18</f>
        <v>2.522</v>
      </c>
      <c r="Q23" s="16" t="n">
        <f aca="false">P23+R23</f>
        <v>2.511</v>
      </c>
      <c r="R23" s="16" t="n">
        <f aca="false">RANDBETWEEN(-20,70)/1000</f>
        <v>-0.011</v>
      </c>
      <c r="S23" s="17"/>
      <c r="T23" s="18" t="n">
        <v>19.63</v>
      </c>
      <c r="V23" s="19"/>
      <c r="W23" s="19" t="n">
        <f aca="false">'KTHH Lớp 2'!G23</f>
        <v>2.342</v>
      </c>
      <c r="X23" s="19" t="n">
        <f aca="false">'KTHH Lớp 2'!J23</f>
        <v>2.429</v>
      </c>
      <c r="Y23" s="19" t="n">
        <f aca="false">'KTHH Lớp 2'!P23</f>
        <v>2.342</v>
      </c>
    </row>
    <row r="24" s="10" customFormat="true" ht="18" hidden="false" customHeight="true" outlineLevel="0" collapsed="false">
      <c r="A24" s="13" t="n">
        <v>2</v>
      </c>
      <c r="B24" s="82" t="s">
        <v>24</v>
      </c>
      <c r="C24" s="15" t="n">
        <f aca="false">+C23+T23</f>
        <v>19.63</v>
      </c>
      <c r="D24" s="16" t="n">
        <v>-3.75</v>
      </c>
      <c r="E24" s="16" t="n">
        <f aca="false">+D24+F24</f>
        <v>-3.7537</v>
      </c>
      <c r="F24" s="16" t="n">
        <f aca="false">RANDBETWEEN(-105,115)/10000</f>
        <v>-0.0037</v>
      </c>
      <c r="G24" s="16" t="n">
        <f aca="false">W24+0.18</f>
        <v>2.522</v>
      </c>
      <c r="H24" s="16" t="n">
        <f aca="false">G24+I24</f>
        <v>2.566</v>
      </c>
      <c r="I24" s="16" t="n">
        <f aca="false">RANDBETWEEN(-20,70)/1000</f>
        <v>0.044</v>
      </c>
      <c r="J24" s="16" t="n">
        <f aca="false">X24+0.18</f>
        <v>2.609</v>
      </c>
      <c r="K24" s="16" t="n">
        <f aca="false">J24+L24</f>
        <v>2.629</v>
      </c>
      <c r="L24" s="16" t="n">
        <f aca="false">RANDBETWEEN(-20,70)/1000</f>
        <v>0.02</v>
      </c>
      <c r="M24" s="16" t="n">
        <v>3.75</v>
      </c>
      <c r="N24" s="16" t="n">
        <f aca="false">+M24+O24</f>
        <v>3.7584</v>
      </c>
      <c r="O24" s="16" t="n">
        <f aca="false">RANDBETWEEN(-105,115)/10000</f>
        <v>0.0084</v>
      </c>
      <c r="P24" s="16" t="n">
        <f aca="false">Y24+0.18</f>
        <v>2.522</v>
      </c>
      <c r="Q24" s="16" t="n">
        <f aca="false">P24+R24</f>
        <v>2.551</v>
      </c>
      <c r="R24" s="16" t="n">
        <f aca="false">RANDBETWEEN(-20,70)/1000</f>
        <v>0.029</v>
      </c>
      <c r="S24" s="17"/>
      <c r="T24" s="18" t="n">
        <v>17.17</v>
      </c>
      <c r="V24" s="19"/>
      <c r="W24" s="19" t="n">
        <f aca="false">'KTHH Lớp 2'!G24</f>
        <v>2.342</v>
      </c>
      <c r="X24" s="19" t="n">
        <f aca="false">'KTHH Lớp 2'!J24</f>
        <v>2.429</v>
      </c>
      <c r="Y24" s="19" t="n">
        <f aca="false">'KTHH Lớp 2'!P24</f>
        <v>2.342</v>
      </c>
    </row>
    <row r="25" s="10" customFormat="true" ht="18" hidden="false" customHeight="true" outlineLevel="0" collapsed="false">
      <c r="A25" s="13" t="n">
        <v>3</v>
      </c>
      <c r="B25" s="82" t="s">
        <v>25</v>
      </c>
      <c r="C25" s="15" t="n">
        <f aca="false">+C24+T24</f>
        <v>36.8</v>
      </c>
      <c r="D25" s="16" t="n">
        <v>-3.75</v>
      </c>
      <c r="E25" s="16" t="n">
        <f aca="false">+D25+F25</f>
        <v>-3.7504</v>
      </c>
      <c r="F25" s="16" t="n">
        <f aca="false">RANDBETWEEN(-105,115)/10000</f>
        <v>-0.0004</v>
      </c>
      <c r="G25" s="16" t="n">
        <f aca="false">W25+0.18</f>
        <v>2.53</v>
      </c>
      <c r="H25" s="16" t="n">
        <f aca="false">G25+I25</f>
        <v>2.551</v>
      </c>
      <c r="I25" s="16" t="n">
        <f aca="false">RANDBETWEEN(-20,70)/1000</f>
        <v>0.021</v>
      </c>
      <c r="J25" s="16" t="n">
        <f aca="false">X25+0.18</f>
        <v>2.617</v>
      </c>
      <c r="K25" s="16" t="n">
        <f aca="false">J25+L25</f>
        <v>2.653</v>
      </c>
      <c r="L25" s="16" t="n">
        <f aca="false">RANDBETWEEN(-20,70)/1000</f>
        <v>0.036</v>
      </c>
      <c r="M25" s="16" t="n">
        <v>3.75</v>
      </c>
      <c r="N25" s="16" t="n">
        <f aca="false">+M25+O25</f>
        <v>3.7559</v>
      </c>
      <c r="O25" s="16" t="n">
        <f aca="false">RANDBETWEEN(-105,115)/10000</f>
        <v>0.0059</v>
      </c>
      <c r="P25" s="16" t="n">
        <f aca="false">Y25+0.18</f>
        <v>2.53</v>
      </c>
      <c r="Q25" s="16" t="n">
        <f aca="false">P25+R25</f>
        <v>2.528</v>
      </c>
      <c r="R25" s="16" t="n">
        <f aca="false">RANDBETWEEN(-20,70)/1000</f>
        <v>-0.002</v>
      </c>
      <c r="S25" s="17"/>
      <c r="T25" s="18" t="n">
        <v>17.18</v>
      </c>
      <c r="V25" s="19"/>
      <c r="W25" s="19" t="n">
        <f aca="false">'KTHH Lớp 2'!G25</f>
        <v>2.35</v>
      </c>
      <c r="X25" s="19" t="n">
        <f aca="false">'KTHH Lớp 2'!J25</f>
        <v>2.437</v>
      </c>
      <c r="Y25" s="19" t="n">
        <f aca="false">'KTHH Lớp 2'!P25</f>
        <v>2.35</v>
      </c>
    </row>
    <row r="26" s="10" customFormat="true" ht="18" hidden="false" customHeight="true" outlineLevel="0" collapsed="false">
      <c r="A26" s="13" t="n">
        <v>4</v>
      </c>
      <c r="B26" s="82" t="s">
        <v>26</v>
      </c>
      <c r="C26" s="15" t="n">
        <f aca="false">+C25+T25</f>
        <v>53.98</v>
      </c>
      <c r="D26" s="16" t="n">
        <v>-3.75</v>
      </c>
      <c r="E26" s="16" t="n">
        <f aca="false">+D26+F26</f>
        <v>-3.7511</v>
      </c>
      <c r="F26" s="16" t="n">
        <f aca="false">RANDBETWEEN(-105,115)/10000</f>
        <v>-0.0011</v>
      </c>
      <c r="G26" s="16" t="n">
        <f aca="false">W26+0.18</f>
        <v>2.537</v>
      </c>
      <c r="H26" s="16" t="n">
        <f aca="false">G26+I26</f>
        <v>2.606</v>
      </c>
      <c r="I26" s="16" t="n">
        <f aca="false">RANDBETWEEN(-20,70)/1000</f>
        <v>0.069</v>
      </c>
      <c r="J26" s="16" t="n">
        <f aca="false">X26+0.18</f>
        <v>2.624</v>
      </c>
      <c r="K26" s="16" t="n">
        <f aca="false">J26+L26</f>
        <v>2.604</v>
      </c>
      <c r="L26" s="16" t="n">
        <f aca="false">RANDBETWEEN(-20,70)/1000</f>
        <v>-0.02</v>
      </c>
      <c r="M26" s="16" t="n">
        <v>3.75</v>
      </c>
      <c r="N26" s="16" t="n">
        <f aca="false">+M26+O26</f>
        <v>3.7566</v>
      </c>
      <c r="O26" s="16" t="n">
        <f aca="false">RANDBETWEEN(-105,115)/10000</f>
        <v>0.0066</v>
      </c>
      <c r="P26" s="16" t="n">
        <f aca="false">Y26+0.18</f>
        <v>2.537</v>
      </c>
      <c r="Q26" s="16" t="n">
        <f aca="false">P26+R26</f>
        <v>2.577</v>
      </c>
      <c r="R26" s="16" t="n">
        <f aca="false">RANDBETWEEN(-20,70)/1000</f>
        <v>0.04</v>
      </c>
      <c r="S26" s="17"/>
      <c r="T26" s="18" t="n">
        <v>12.97</v>
      </c>
      <c r="V26" s="19"/>
      <c r="W26" s="19" t="n">
        <f aca="false">'KTHH Lớp 2'!G26</f>
        <v>2.357</v>
      </c>
      <c r="X26" s="19" t="n">
        <f aca="false">'KTHH Lớp 2'!J26</f>
        <v>2.444</v>
      </c>
      <c r="Y26" s="19" t="n">
        <f aca="false">'KTHH Lớp 2'!P26</f>
        <v>2.357</v>
      </c>
    </row>
    <row r="27" s="10" customFormat="true" ht="18" hidden="false" customHeight="true" outlineLevel="0" collapsed="false">
      <c r="A27" s="13" t="n">
        <v>5</v>
      </c>
      <c r="B27" s="82" t="s">
        <v>27</v>
      </c>
      <c r="C27" s="15" t="n">
        <f aca="false">+C26+T26</f>
        <v>66.95</v>
      </c>
      <c r="D27" s="16" t="n">
        <v>-3.75</v>
      </c>
      <c r="E27" s="16" t="n">
        <f aca="false">+D27+F27</f>
        <v>-3.7566</v>
      </c>
      <c r="F27" s="16" t="n">
        <f aca="false">RANDBETWEEN(-105,115)/10000</f>
        <v>-0.0066</v>
      </c>
      <c r="G27" s="16" t="n">
        <f aca="false">W27+0.18</f>
        <v>2.543</v>
      </c>
      <c r="H27" s="16" t="n">
        <f aca="false">G27+I27</f>
        <v>2.535</v>
      </c>
      <c r="I27" s="16" t="n">
        <f aca="false">RANDBETWEEN(-20,70)/1000</f>
        <v>-0.008</v>
      </c>
      <c r="J27" s="16" t="n">
        <f aca="false">X27+0.18</f>
        <v>2.63</v>
      </c>
      <c r="K27" s="16" t="n">
        <f aca="false">J27+L27</f>
        <v>2.632</v>
      </c>
      <c r="L27" s="16" t="n">
        <f aca="false">RANDBETWEEN(-20,70)/1000</f>
        <v>0.002</v>
      </c>
      <c r="M27" s="16" t="n">
        <v>3.75</v>
      </c>
      <c r="N27" s="16" t="n">
        <f aca="false">+M27+O27</f>
        <v>3.7438</v>
      </c>
      <c r="O27" s="16" t="n">
        <f aca="false">RANDBETWEEN(-105,115)/10000</f>
        <v>-0.0062</v>
      </c>
      <c r="P27" s="16" t="n">
        <f aca="false">Y27+0.18</f>
        <v>2.543</v>
      </c>
      <c r="Q27" s="16" t="n">
        <f aca="false">P27+R27</f>
        <v>2.551</v>
      </c>
      <c r="R27" s="16" t="n">
        <f aca="false">RANDBETWEEN(-20,70)/1000</f>
        <v>0.008</v>
      </c>
      <c r="S27" s="17"/>
      <c r="T27" s="18" t="n">
        <v>10.68</v>
      </c>
      <c r="V27" s="19"/>
      <c r="W27" s="19" t="n">
        <f aca="false">'KTHH Lớp 2'!G27</f>
        <v>2.363</v>
      </c>
      <c r="X27" s="19" t="n">
        <f aca="false">'KTHH Lớp 2'!J27</f>
        <v>2.45</v>
      </c>
      <c r="Y27" s="19" t="n">
        <f aca="false">'KTHH Lớp 2'!P27</f>
        <v>2.363</v>
      </c>
    </row>
    <row r="28" s="10" customFormat="true" ht="18" hidden="false" customHeight="true" outlineLevel="0" collapsed="false">
      <c r="A28" s="13" t="n">
        <v>6</v>
      </c>
      <c r="B28" s="82" t="s">
        <v>28</v>
      </c>
      <c r="C28" s="15" t="n">
        <f aca="false">+C27+T27</f>
        <v>77.63</v>
      </c>
      <c r="D28" s="16" t="n">
        <v>-3.75</v>
      </c>
      <c r="E28" s="16" t="n">
        <f aca="false">+D28+F28</f>
        <v>-3.7477</v>
      </c>
      <c r="F28" s="16" t="n">
        <f aca="false">RANDBETWEEN(-105,115)/10000</f>
        <v>0.0023</v>
      </c>
      <c r="G28" s="16" t="n">
        <f aca="false">W28+0.18</f>
        <v>2.548</v>
      </c>
      <c r="H28" s="16" t="n">
        <f aca="false">G28+I28</f>
        <v>2.557</v>
      </c>
      <c r="I28" s="16" t="n">
        <f aca="false">RANDBETWEEN(-20,70)/1000</f>
        <v>0.009</v>
      </c>
      <c r="J28" s="16" t="n">
        <f aca="false">X28+0.18</f>
        <v>2.635</v>
      </c>
      <c r="K28" s="16" t="n">
        <f aca="false">J28+L28</f>
        <v>2.65</v>
      </c>
      <c r="L28" s="16" t="n">
        <f aca="false">RANDBETWEEN(-20,70)/1000</f>
        <v>0.015</v>
      </c>
      <c r="M28" s="16" t="n">
        <v>3.75</v>
      </c>
      <c r="N28" s="16" t="n">
        <f aca="false">+M28+O28</f>
        <v>3.7556</v>
      </c>
      <c r="O28" s="16" t="n">
        <f aca="false">RANDBETWEEN(-105,115)/10000</f>
        <v>0.0056</v>
      </c>
      <c r="P28" s="16" t="n">
        <f aca="false">Y28+0.18</f>
        <v>2.548</v>
      </c>
      <c r="Q28" s="16" t="n">
        <f aca="false">P28+R28</f>
        <v>2.594</v>
      </c>
      <c r="R28" s="16" t="n">
        <f aca="false">RANDBETWEEN(-20,70)/1000</f>
        <v>0.046</v>
      </c>
      <c r="S28" s="17"/>
      <c r="T28" s="18" t="n">
        <v>17.17</v>
      </c>
      <c r="V28" s="19"/>
      <c r="W28" s="19" t="n">
        <f aca="false">'KTHH Lớp 2'!G28</f>
        <v>2.368</v>
      </c>
      <c r="X28" s="19" t="n">
        <f aca="false">'KTHH Lớp 2'!J28</f>
        <v>2.455</v>
      </c>
      <c r="Y28" s="19" t="n">
        <f aca="false">'KTHH Lớp 2'!P28</f>
        <v>2.368</v>
      </c>
    </row>
    <row r="29" s="10" customFormat="true" ht="18" hidden="false" customHeight="true" outlineLevel="0" collapsed="false">
      <c r="A29" s="13" t="n">
        <v>7</v>
      </c>
      <c r="B29" s="82" t="s">
        <v>29</v>
      </c>
      <c r="C29" s="15" t="n">
        <f aca="false">+C28+T28</f>
        <v>94.8</v>
      </c>
      <c r="D29" s="16" t="n">
        <v>-3.75</v>
      </c>
      <c r="E29" s="16" t="n">
        <f aca="false">+D29+F29</f>
        <v>-3.7411</v>
      </c>
      <c r="F29" s="16" t="n">
        <f aca="false">RANDBETWEEN(-105,115)/10000</f>
        <v>0.0089</v>
      </c>
      <c r="G29" s="16" t="n">
        <f aca="false">W29+0.18</f>
        <v>2.557</v>
      </c>
      <c r="H29" s="16" t="n">
        <f aca="false">G29+I29</f>
        <v>2.542</v>
      </c>
      <c r="I29" s="16" t="n">
        <f aca="false">RANDBETWEEN(-20,70)/1000</f>
        <v>-0.015</v>
      </c>
      <c r="J29" s="16" t="n">
        <f aca="false">X29+0.18</f>
        <v>2.644</v>
      </c>
      <c r="K29" s="16" t="n">
        <f aca="false">J29+L29</f>
        <v>2.63</v>
      </c>
      <c r="L29" s="16" t="n">
        <f aca="false">RANDBETWEEN(-20,70)/1000</f>
        <v>-0.014</v>
      </c>
      <c r="M29" s="16" t="n">
        <v>3.75</v>
      </c>
      <c r="N29" s="16" t="n">
        <f aca="false">+M29+O29</f>
        <v>3.7597</v>
      </c>
      <c r="O29" s="16" t="n">
        <f aca="false">RANDBETWEEN(-105,115)/10000</f>
        <v>0.0097</v>
      </c>
      <c r="P29" s="16" t="n">
        <f aca="false">Y29+0.18</f>
        <v>2.557</v>
      </c>
      <c r="Q29" s="16" t="n">
        <f aca="false">P29+R29</f>
        <v>2.592</v>
      </c>
      <c r="R29" s="16" t="n">
        <f aca="false">RANDBETWEEN(-20,70)/1000</f>
        <v>0.035</v>
      </c>
      <c r="S29" s="17"/>
      <c r="T29" s="18" t="n">
        <v>17.17</v>
      </c>
      <c r="V29" s="19"/>
      <c r="W29" s="19" t="n">
        <f aca="false">'KTHH Lớp 2'!G29</f>
        <v>2.377</v>
      </c>
      <c r="X29" s="19" t="n">
        <f aca="false">'KTHH Lớp 2'!J29</f>
        <v>2.464</v>
      </c>
      <c r="Y29" s="19" t="n">
        <f aca="false">'KTHH Lớp 2'!P29</f>
        <v>2.377</v>
      </c>
    </row>
    <row r="30" s="10" customFormat="true" ht="18" hidden="false" customHeight="true" outlineLevel="0" collapsed="false">
      <c r="A30" s="13" t="n">
        <v>8</v>
      </c>
      <c r="B30" s="82" t="s">
        <v>30</v>
      </c>
      <c r="C30" s="15" t="n">
        <f aca="false">+C29+T29</f>
        <v>111.97</v>
      </c>
      <c r="D30" s="16" t="n">
        <v>-3.75</v>
      </c>
      <c r="E30" s="16" t="n">
        <f aca="false">+D30+F30</f>
        <v>-3.7528</v>
      </c>
      <c r="F30" s="16" t="n">
        <f aca="false">RANDBETWEEN(-105,115)/10000</f>
        <v>-0.0028</v>
      </c>
      <c r="G30" s="16" t="n">
        <f aca="false">W30+0.18</f>
        <v>2.566</v>
      </c>
      <c r="H30" s="16" t="n">
        <f aca="false">G30+I30</f>
        <v>2.611</v>
      </c>
      <c r="I30" s="16" t="n">
        <f aca="false">RANDBETWEEN(-20,70)/1000</f>
        <v>0.045</v>
      </c>
      <c r="J30" s="16" t="n">
        <f aca="false">X30+0.18</f>
        <v>2.653</v>
      </c>
      <c r="K30" s="16" t="n">
        <f aca="false">J30+L30</f>
        <v>2.709</v>
      </c>
      <c r="L30" s="16" t="n">
        <f aca="false">RANDBETWEEN(-20,70)/1000</f>
        <v>0.056</v>
      </c>
      <c r="M30" s="16" t="n">
        <v>3.75</v>
      </c>
      <c r="N30" s="16" t="n">
        <f aca="false">+M30+O30</f>
        <v>3.7483</v>
      </c>
      <c r="O30" s="16" t="n">
        <f aca="false">RANDBETWEEN(-105,115)/10000</f>
        <v>-0.0017</v>
      </c>
      <c r="P30" s="16" t="n">
        <f aca="false">Y30+0.18</f>
        <v>2.566</v>
      </c>
      <c r="Q30" s="16" t="n">
        <f aca="false">P30+R30</f>
        <v>2.56</v>
      </c>
      <c r="R30" s="16" t="n">
        <f aca="false">RANDBETWEEN(-20,70)/1000</f>
        <v>-0.006</v>
      </c>
      <c r="S30" s="17"/>
      <c r="T30" s="18" t="n">
        <v>14.49</v>
      </c>
      <c r="V30" s="19"/>
      <c r="W30" s="19" t="n">
        <f aca="false">'KTHH Lớp 2'!G30</f>
        <v>2.386</v>
      </c>
      <c r="X30" s="19" t="n">
        <f aca="false">'KTHH Lớp 2'!J30</f>
        <v>2.473</v>
      </c>
      <c r="Y30" s="19" t="n">
        <f aca="false">'KTHH Lớp 2'!P30</f>
        <v>2.386</v>
      </c>
    </row>
    <row r="31" s="10" customFormat="true" ht="18" hidden="false" customHeight="true" outlineLevel="0" collapsed="false">
      <c r="A31" s="13" t="n">
        <v>9</v>
      </c>
      <c r="B31" s="82" t="s">
        <v>31</v>
      </c>
      <c r="C31" s="15" t="n">
        <f aca="false">+C30+T30</f>
        <v>126.46</v>
      </c>
      <c r="D31" s="16" t="n">
        <v>-3.75</v>
      </c>
      <c r="E31" s="16" t="n">
        <f aca="false">+D31+F31</f>
        <v>-3.7471</v>
      </c>
      <c r="F31" s="16" t="n">
        <f aca="false">RANDBETWEEN(-105,115)/10000</f>
        <v>0.0029</v>
      </c>
      <c r="G31" s="16" t="n">
        <f aca="false">W31+0.18</f>
        <v>2.566</v>
      </c>
      <c r="H31" s="16" t="n">
        <f aca="false">G31+I31</f>
        <v>2.578</v>
      </c>
      <c r="I31" s="16" t="n">
        <f aca="false">RANDBETWEEN(-20,70)/1000</f>
        <v>0.012</v>
      </c>
      <c r="J31" s="16" t="n">
        <f aca="false">X31+0.18</f>
        <v>2.653</v>
      </c>
      <c r="K31" s="16" t="n">
        <f aca="false">J31+L31</f>
        <v>2.711</v>
      </c>
      <c r="L31" s="16" t="n">
        <f aca="false">RANDBETWEEN(-20,70)/1000</f>
        <v>0.058</v>
      </c>
      <c r="M31" s="16" t="n">
        <v>3.75</v>
      </c>
      <c r="N31" s="16" t="n">
        <f aca="false">+M31+O31</f>
        <v>3.7476</v>
      </c>
      <c r="O31" s="16" t="n">
        <f aca="false">RANDBETWEEN(-105,115)/10000</f>
        <v>-0.0024</v>
      </c>
      <c r="P31" s="16" t="n">
        <f aca="false">Y31+0.18</f>
        <v>2.566</v>
      </c>
      <c r="Q31" s="16" t="n">
        <f aca="false">P31+R31</f>
        <v>2.628</v>
      </c>
      <c r="R31" s="16" t="n">
        <f aca="false">RANDBETWEEN(-20,70)/1000</f>
        <v>0.062</v>
      </c>
      <c r="S31" s="17"/>
      <c r="T31" s="18"/>
      <c r="V31" s="19"/>
      <c r="W31" s="19" t="n">
        <f aca="false">'KTHH Lớp 2'!G31</f>
        <v>2.386</v>
      </c>
      <c r="X31" s="19" t="n">
        <f aca="false">'KTHH Lớp 2'!J31</f>
        <v>2.473</v>
      </c>
      <c r="Y31" s="19" t="n">
        <f aca="false">'KTHH Lớp 2'!P31</f>
        <v>2.386</v>
      </c>
    </row>
    <row r="32" customFormat="false" ht="15.75" hidden="false" customHeight="true" outlineLevel="0" collapsed="false"/>
    <row r="33" customFormat="false" ht="15.75" hidden="false" customHeight="true" outlineLevel="0" collapsed="false">
      <c r="C33" s="21" t="s">
        <v>32</v>
      </c>
      <c r="D33" s="21"/>
      <c r="E33" s="21"/>
      <c r="F33" s="21"/>
      <c r="G33" s="21"/>
      <c r="H33" s="21"/>
      <c r="I33" s="21"/>
      <c r="K33" s="22"/>
      <c r="L33" s="22"/>
      <c r="M33" s="22"/>
      <c r="N33" s="22"/>
      <c r="O33" s="21" t="s">
        <v>33</v>
      </c>
      <c r="P33" s="21"/>
      <c r="Q33" s="21"/>
      <c r="R33" s="21"/>
    </row>
    <row r="34" customFormat="false" ht="15.75" hidden="false" customHeight="true" outlineLevel="0" collapsed="false">
      <c r="E34" s="23"/>
      <c r="F34" s="23"/>
      <c r="G34" s="23"/>
      <c r="H34" s="23"/>
      <c r="K34" s="23"/>
      <c r="L34" s="23"/>
      <c r="M34" s="23"/>
      <c r="N34" s="23"/>
      <c r="O34" s="23"/>
      <c r="P34" s="23"/>
      <c r="Q34" s="23"/>
      <c r="R34" s="23"/>
    </row>
    <row r="35" customFormat="false" ht="15.75" hidden="false" customHeight="true" outlineLevel="0" collapsed="false">
      <c r="E35" s="23"/>
      <c r="F35" s="23"/>
      <c r="G35" s="23"/>
      <c r="H35" s="23"/>
      <c r="K35" s="23"/>
      <c r="L35" s="23"/>
      <c r="M35" s="23"/>
      <c r="N35" s="23"/>
      <c r="O35" s="23"/>
      <c r="P35" s="23"/>
      <c r="Q35" s="23"/>
      <c r="R35" s="23"/>
    </row>
    <row r="36" customFormat="false" ht="15.75" hidden="false" customHeight="true" outlineLevel="0" collapsed="false">
      <c r="E36" s="23"/>
      <c r="F36" s="23"/>
      <c r="G36" s="23"/>
      <c r="H36" s="23"/>
      <c r="K36" s="23"/>
      <c r="L36" s="23"/>
      <c r="M36" s="23"/>
      <c r="N36" s="23"/>
      <c r="O36" s="23"/>
      <c r="P36" s="23"/>
      <c r="Q36" s="23"/>
      <c r="R36" s="23"/>
    </row>
    <row r="37" customFormat="false" ht="15.75" hidden="false" customHeight="true" outlineLevel="0" collapsed="false">
      <c r="E37" s="23"/>
      <c r="F37" s="23"/>
      <c r="G37" s="23"/>
      <c r="H37" s="23"/>
      <c r="K37" s="23"/>
      <c r="L37" s="23"/>
      <c r="M37" s="23"/>
      <c r="N37" s="23"/>
      <c r="O37" s="23"/>
      <c r="P37" s="23"/>
      <c r="Q37" s="23"/>
      <c r="R37" s="23"/>
    </row>
    <row r="38" customFormat="false" ht="15.75" hidden="false" customHeight="true" outlineLevel="0" collapsed="false">
      <c r="C38" s="21" t="s">
        <v>34</v>
      </c>
      <c r="D38" s="21"/>
      <c r="E38" s="21"/>
      <c r="F38" s="21"/>
      <c r="G38" s="21"/>
      <c r="H38" s="21"/>
      <c r="I38" s="21"/>
      <c r="K38" s="22"/>
      <c r="L38" s="22"/>
      <c r="M38" s="22"/>
      <c r="N38" s="22"/>
      <c r="O38" s="21" t="s">
        <v>35</v>
      </c>
      <c r="P38" s="21"/>
      <c r="Q38" s="21"/>
      <c r="R38" s="21"/>
    </row>
  </sheetData>
  <mergeCells count="13">
    <mergeCell ref="A1:S1"/>
    <mergeCell ref="A2:S2"/>
    <mergeCell ref="A21:A22"/>
    <mergeCell ref="B21:B22"/>
    <mergeCell ref="C21:C22"/>
    <mergeCell ref="D21:I21"/>
    <mergeCell ref="J21:L21"/>
    <mergeCell ref="M21:R21"/>
    <mergeCell ref="S21:S22"/>
    <mergeCell ref="C33:I33"/>
    <mergeCell ref="O33:R33"/>
    <mergeCell ref="C38:I38"/>
    <mergeCell ref="O38:R38"/>
  </mergeCells>
  <printOptions headings="false" gridLines="false" gridLinesSet="true" horizontalCentered="true" verticalCentered="false"/>
  <pageMargins left="0.590277777777778" right="0.157638888888889" top="0.579861111111111" bottom="0.479861111111111" header="0.511811023622047" footer="0.157638888888889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>&amp;C&amp;P</oddFooter>
  </headerFooter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HY105"/>
  <sheetViews>
    <sheetView showFormulas="false" showGridLines="true" showRowColHeaders="true" showZeros="true" rightToLeft="false" tabSelected="false" showOutlineSymbols="true" defaultGridColor="true" view="normal" topLeftCell="A7" colorId="64" zoomScale="70" zoomScaleNormal="70" zoomScalePageLayoutView="100" workbookViewId="0">
      <selection pane="topLeft" activeCell="O11" activeCellId="0" sqref="O11"/>
    </sheetView>
  </sheetViews>
  <sheetFormatPr defaultColWidth="9.2890625" defaultRowHeight="12.75" zeroHeight="false" outlineLevelRow="0" outlineLevelCol="0"/>
  <cols>
    <col collapsed="false" customWidth="true" hidden="false" outlineLevel="0" max="1" min="1" style="24" width="6.71"/>
    <col collapsed="false" customWidth="true" hidden="false" outlineLevel="0" max="2" min="2" style="24" width="12.29"/>
    <col collapsed="false" customWidth="true" hidden="false" outlineLevel="0" max="3" min="3" style="24" width="19.57"/>
    <col collapsed="false" customWidth="true" hidden="false" outlineLevel="0" max="4" min="4" style="25" width="12.71"/>
    <col collapsed="false" customWidth="true" hidden="true" outlineLevel="0" max="6" min="5" style="25" width="8.42"/>
    <col collapsed="false" customWidth="true" hidden="true" outlineLevel="0" max="7" min="7" style="25" width="11"/>
    <col collapsed="false" customWidth="true" hidden="true" outlineLevel="0" max="12" min="8" style="25" width="8.42"/>
    <col collapsed="false" customWidth="true" hidden="true" outlineLevel="0" max="14" min="13" style="25" width="14.29"/>
    <col collapsed="false" customWidth="true" hidden="false" outlineLevel="0" max="15" min="15" style="25" width="15.42"/>
    <col collapsed="false" customWidth="true" hidden="true" outlineLevel="0" max="22" min="16" style="25" width="14.29"/>
    <col collapsed="false" customWidth="true" hidden="false" outlineLevel="0" max="23" min="23" style="25" width="15.29"/>
    <col collapsed="false" customWidth="true" hidden="true" outlineLevel="0" max="25" min="24" style="25" width="14.29"/>
    <col collapsed="false" customWidth="true" hidden="true" outlineLevel="0" max="27" min="26" style="25" width="12.86"/>
    <col collapsed="false" customWidth="true" hidden="false" outlineLevel="0" max="28" min="28" style="25" width="10.29"/>
    <col collapsed="false" customWidth="false" hidden="true" outlineLevel="0" max="29" min="29" style="25" width="9.29"/>
    <col collapsed="false" customWidth="true" hidden="false" outlineLevel="0" max="30" min="30" style="24" width="3.86"/>
    <col collapsed="false" customWidth="true" hidden="false" outlineLevel="0" max="31" min="31" style="24" width="10"/>
    <col collapsed="false" customWidth="true" hidden="false" outlineLevel="0" max="32" min="32" style="24" width="11.43"/>
    <col collapsed="false" customWidth="true" hidden="false" outlineLevel="0" max="34" min="33" style="24" width="10.57"/>
    <col collapsed="false" customWidth="true" hidden="false" outlineLevel="0" max="35" min="35" style="24" width="11.29"/>
    <col collapsed="false" customWidth="true" hidden="false" outlineLevel="0" max="36" min="36" style="24" width="10.57"/>
    <col collapsed="false" customWidth="true" hidden="false" outlineLevel="0" max="37" min="37" style="24" width="6.43"/>
    <col collapsed="false" customWidth="true" hidden="false" outlineLevel="0" max="38" min="38" style="24" width="10.57"/>
    <col collapsed="false" customWidth="true" hidden="false" outlineLevel="0" max="39" min="39" style="24" width="11.57"/>
    <col collapsed="false" customWidth="false" hidden="false" outlineLevel="0" max="16384" min="40" style="24" width="9.29"/>
  </cols>
  <sheetData>
    <row r="1" s="27" customFormat="true" ht="16.5" hidden="false" customHeight="true" outlineLevel="0" collapsed="false">
      <c r="A1" s="26" t="s">
        <v>36</v>
      </c>
      <c r="B1" s="26"/>
      <c r="C1" s="26"/>
      <c r="D1" s="26"/>
      <c r="E1" s="26"/>
      <c r="F1" s="26"/>
      <c r="G1" s="26"/>
      <c r="H1" s="26"/>
      <c r="I1" s="26"/>
      <c r="J1" s="26"/>
      <c r="K1" s="26"/>
      <c r="L1" s="26"/>
      <c r="M1" s="26"/>
      <c r="N1" s="26"/>
      <c r="O1" s="26"/>
      <c r="P1" s="26"/>
      <c r="Q1" s="26"/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</row>
    <row r="2" s="27" customFormat="true" ht="16.5" hidden="false" customHeight="true" outlineLevel="0" collapsed="false">
      <c r="A2" s="28" t="str">
        <f>"Kèm theo BBNT số: "&amp;VLOOKUP(AZ2,'[1]Tuyến XB6A'!$A$2:$G$60,7,0)&amp;VLOOKUP(AZ2,'[1]Tuyến XB6A'!$A$2:$G$60,4,0)</f>
        <v xml:space="preserve">Kèm theo BBNT số: 21.NĐXB6A/CVXD ngày 08 tháng 09 năm 2026</v>
      </c>
      <c r="B2" s="28"/>
      <c r="C2" s="28"/>
      <c r="D2" s="28"/>
      <c r="E2" s="28"/>
      <c r="F2" s="28"/>
      <c r="G2" s="28"/>
      <c r="H2" s="28"/>
      <c r="I2" s="28"/>
      <c r="J2" s="28"/>
      <c r="K2" s="28"/>
      <c r="L2" s="28"/>
      <c r="M2" s="28"/>
      <c r="N2" s="28"/>
      <c r="O2" s="28"/>
      <c r="P2" s="28"/>
      <c r="Q2" s="28"/>
      <c r="R2" s="28"/>
      <c r="S2" s="28"/>
      <c r="T2" s="28"/>
      <c r="U2" s="28"/>
      <c r="V2" s="28"/>
      <c r="W2" s="28"/>
      <c r="X2" s="28"/>
      <c r="Y2" s="28"/>
      <c r="Z2" s="28"/>
      <c r="AA2" s="28"/>
      <c r="AB2" s="28"/>
      <c r="AZ2">
        <v>21</v>
      </c>
    </row>
    <row r="3" s="31" customFormat="true" ht="37.5" hidden="false" customHeight="true" outlineLevel="0" collapsed="false">
      <c r="A3" s="29" t="s">
        <v>2</v>
      </c>
      <c r="B3" s="29"/>
      <c r="C3" s="29"/>
      <c r="D3" s="29"/>
      <c r="E3" s="29"/>
      <c r="F3" s="29"/>
      <c r="G3" s="29"/>
      <c r="H3" s="29"/>
      <c r="I3" s="29"/>
      <c r="J3" s="29"/>
      <c r="K3" s="29"/>
      <c r="L3" s="29"/>
      <c r="M3" s="29"/>
      <c r="N3" s="29"/>
      <c r="O3" s="29"/>
      <c r="P3" s="29"/>
      <c r="Q3" s="29"/>
      <c r="R3" s="29"/>
      <c r="S3" s="29"/>
      <c r="T3" s="29"/>
      <c r="U3" s="29"/>
      <c r="V3" s="29"/>
      <c r="W3" s="29"/>
      <c r="X3" s="29"/>
      <c r="Y3" s="29"/>
      <c r="Z3" s="29"/>
      <c r="AA3" s="29"/>
      <c r="AB3" s="29"/>
      <c r="AC3" s="30"/>
      <c r="AD3" s="30"/>
      <c r="AE3" s="30"/>
      <c r="AF3" s="30"/>
      <c r="AG3" s="30"/>
      <c r="AH3" s="30"/>
      <c r="AI3" s="30"/>
      <c r="AJ3" s="30"/>
      <c r="AK3" s="30"/>
      <c r="AL3" s="30"/>
      <c r="AM3" s="30"/>
      <c r="AN3" s="30"/>
      <c r="AO3" s="30"/>
      <c r="AP3" s="30"/>
      <c r="AQ3" s="30"/>
      <c r="AR3" s="30"/>
      <c r="AS3" s="30"/>
      <c r="AT3" s="30"/>
      <c r="AU3" s="30"/>
      <c r="AV3" s="30"/>
      <c r="AW3" s="30"/>
      <c r="AX3" s="30"/>
      <c r="AY3" s="30"/>
      <c r="AZ3" s="30"/>
      <c r="BA3" s="30"/>
      <c r="BB3" s="30"/>
      <c r="BC3" s="30"/>
      <c r="BD3" s="30"/>
      <c r="BE3" s="30"/>
      <c r="BF3" s="30"/>
      <c r="BG3" s="30"/>
      <c r="BH3" s="30"/>
      <c r="BI3" s="30"/>
      <c r="BJ3" s="30"/>
      <c r="BK3" s="30"/>
      <c r="BL3" s="30"/>
      <c r="BM3" s="30"/>
      <c r="BN3" s="30"/>
      <c r="BO3" s="30"/>
      <c r="BP3" s="30"/>
      <c r="BQ3" s="30"/>
      <c r="BR3" s="30"/>
      <c r="BS3" s="30"/>
      <c r="BT3" s="30"/>
      <c r="BU3" s="30"/>
      <c r="BV3" s="30"/>
      <c r="BW3" s="30"/>
      <c r="BX3" s="30"/>
      <c r="BY3" s="30"/>
      <c r="BZ3" s="30"/>
      <c r="CA3" s="30"/>
      <c r="CB3" s="30"/>
      <c r="CC3" s="30"/>
      <c r="CD3" s="30"/>
      <c r="CE3" s="30"/>
      <c r="CF3" s="30"/>
      <c r="CG3" s="30"/>
      <c r="CH3" s="30"/>
      <c r="CI3" s="30"/>
      <c r="CJ3" s="30"/>
      <c r="CK3" s="30"/>
      <c r="CL3" s="30"/>
      <c r="CM3" s="30"/>
      <c r="CN3" s="30"/>
      <c r="CO3" s="30"/>
      <c r="CP3" s="30"/>
      <c r="CQ3" s="30"/>
      <c r="CR3" s="30"/>
      <c r="CS3" s="30"/>
      <c r="CT3" s="30"/>
      <c r="CU3" s="30"/>
      <c r="CV3" s="30"/>
      <c r="CW3" s="30"/>
      <c r="CX3" s="30"/>
      <c r="CY3" s="30"/>
      <c r="CZ3" s="30"/>
      <c r="DA3" s="30"/>
      <c r="DB3" s="30"/>
      <c r="DC3" s="30"/>
      <c r="DD3" s="30"/>
      <c r="DE3" s="30"/>
      <c r="DF3" s="30"/>
      <c r="DG3" s="30"/>
      <c r="DH3" s="30"/>
      <c r="DI3" s="30"/>
      <c r="DJ3" s="30"/>
      <c r="DK3" s="30"/>
      <c r="DL3" s="30"/>
      <c r="DM3" s="30"/>
      <c r="DN3" s="30"/>
      <c r="DO3" s="30"/>
      <c r="DP3" s="30"/>
      <c r="DQ3" s="30"/>
      <c r="DR3" s="30"/>
      <c r="DS3" s="30"/>
      <c r="DT3" s="30"/>
      <c r="DU3" s="30"/>
      <c r="DV3" s="30"/>
      <c r="DW3" s="30"/>
      <c r="DX3" s="30"/>
      <c r="DY3" s="30"/>
      <c r="DZ3" s="30"/>
      <c r="EA3" s="30"/>
      <c r="EB3" s="30"/>
      <c r="EC3" s="30"/>
      <c r="ED3" s="30"/>
      <c r="EE3" s="30"/>
      <c r="EF3" s="30"/>
      <c r="EG3" s="30"/>
      <c r="EH3" s="30"/>
      <c r="EI3" s="30"/>
      <c r="EJ3" s="30"/>
      <c r="EK3" s="30"/>
      <c r="EL3" s="30"/>
      <c r="EM3" s="30"/>
      <c r="EN3" s="30"/>
      <c r="EO3" s="30"/>
      <c r="EP3" s="30"/>
      <c r="EQ3" s="30"/>
      <c r="ER3" s="30"/>
      <c r="ES3" s="30"/>
      <c r="ET3" s="30"/>
      <c r="EU3" s="30"/>
      <c r="EV3" s="30"/>
      <c r="EW3" s="30"/>
      <c r="EX3" s="30"/>
      <c r="EY3" s="30"/>
      <c r="EZ3" s="30"/>
      <c r="FA3" s="30"/>
      <c r="FB3" s="30"/>
      <c r="FC3" s="30"/>
      <c r="FD3" s="30"/>
      <c r="FE3" s="30"/>
      <c r="FF3" s="30"/>
      <c r="FG3" s="30"/>
      <c r="FH3" s="30"/>
      <c r="FI3" s="30"/>
      <c r="FJ3" s="30"/>
      <c r="FK3" s="30"/>
      <c r="FL3" s="30"/>
      <c r="FM3" s="30"/>
      <c r="FN3" s="30"/>
      <c r="FO3" s="30"/>
      <c r="FP3" s="30"/>
      <c r="FQ3" s="30"/>
      <c r="FR3" s="30"/>
      <c r="FS3" s="30"/>
      <c r="FT3" s="30"/>
      <c r="FU3" s="30"/>
      <c r="FV3" s="30"/>
      <c r="FW3" s="30"/>
      <c r="FX3" s="30"/>
      <c r="FY3" s="30"/>
      <c r="FZ3" s="30"/>
      <c r="GA3" s="30"/>
      <c r="GB3" s="30"/>
      <c r="GC3" s="30"/>
      <c r="GD3" s="30"/>
      <c r="GE3" s="30"/>
      <c r="GF3" s="30"/>
      <c r="GG3" s="30"/>
      <c r="GH3" s="30"/>
      <c r="GI3" s="30"/>
      <c r="GJ3" s="30"/>
      <c r="GK3" s="30"/>
      <c r="GL3" s="30"/>
      <c r="GM3" s="30"/>
      <c r="GN3" s="30"/>
      <c r="GO3" s="30"/>
      <c r="GP3" s="30"/>
      <c r="GQ3" s="30"/>
      <c r="GR3" s="30"/>
      <c r="GS3" s="30"/>
      <c r="GT3" s="30"/>
      <c r="GU3" s="30"/>
      <c r="GV3" s="30"/>
      <c r="GW3" s="30"/>
      <c r="GX3" s="30"/>
      <c r="GY3" s="30"/>
      <c r="GZ3" s="30"/>
      <c r="HA3" s="30"/>
      <c r="HB3" s="30"/>
      <c r="HC3" s="30"/>
      <c r="HD3" s="30"/>
      <c r="HE3" s="30"/>
      <c r="HF3" s="30"/>
      <c r="HG3" s="30"/>
      <c r="HH3" s="30"/>
      <c r="HI3" s="30"/>
      <c r="HJ3" s="30"/>
      <c r="HK3" s="30"/>
      <c r="HL3" s="30"/>
      <c r="HM3" s="30"/>
      <c r="HN3" s="30"/>
      <c r="HO3" s="30"/>
      <c r="HP3" s="30"/>
      <c r="HQ3" s="30"/>
      <c r="HR3" s="30"/>
      <c r="HS3" s="30"/>
      <c r="HT3" s="30"/>
      <c r="HU3" s="30"/>
      <c r="HV3" s="30"/>
      <c r="HW3" s="30"/>
      <c r="HX3" s="30"/>
      <c r="HY3" s="30"/>
    </row>
    <row r="4" s="31" customFormat="true" ht="37.5" hidden="false" customHeight="true" outlineLevel="0" collapsed="false">
      <c r="A4" s="29" t="s">
        <v>3</v>
      </c>
      <c r="B4" s="29"/>
      <c r="C4" s="29"/>
      <c r="D4" s="29"/>
      <c r="E4" s="29"/>
      <c r="F4" s="29"/>
      <c r="G4" s="29"/>
      <c r="H4" s="29"/>
      <c r="I4" s="29"/>
      <c r="J4" s="29"/>
      <c r="K4" s="29"/>
      <c r="L4" s="29"/>
      <c r="M4" s="29"/>
      <c r="N4" s="29"/>
      <c r="O4" s="29"/>
      <c r="P4" s="29"/>
      <c r="Q4" s="29"/>
      <c r="R4" s="29"/>
      <c r="S4" s="29"/>
      <c r="T4" s="29"/>
      <c r="U4" s="29"/>
      <c r="V4" s="29"/>
      <c r="W4" s="29"/>
      <c r="X4" s="29"/>
      <c r="Y4" s="29"/>
      <c r="Z4" s="29"/>
      <c r="AA4" s="29"/>
      <c r="AB4" s="29"/>
      <c r="AC4" s="30"/>
      <c r="AD4" s="30"/>
      <c r="AE4" s="30"/>
      <c r="AF4" s="30"/>
      <c r="AG4" s="30"/>
      <c r="AH4" s="30"/>
      <c r="AI4" s="30"/>
      <c r="AJ4" s="30"/>
      <c r="AK4" s="30"/>
      <c r="AL4" s="30"/>
      <c r="AM4" s="30"/>
      <c r="AN4" s="30"/>
      <c r="AO4" s="30"/>
      <c r="AP4" s="30"/>
      <c r="AQ4" s="30"/>
      <c r="AR4" s="30"/>
      <c r="AS4" s="30"/>
      <c r="AT4" s="30"/>
      <c r="AU4" s="30"/>
      <c r="AV4" s="30"/>
      <c r="AW4" s="30"/>
      <c r="AX4" s="30"/>
      <c r="AY4" s="30"/>
      <c r="AZ4" s="30"/>
      <c r="BA4" s="30"/>
      <c r="BB4" s="30"/>
      <c r="BC4" s="30"/>
      <c r="BD4" s="30"/>
      <c r="BE4" s="30"/>
      <c r="BF4" s="30"/>
      <c r="BG4" s="30"/>
      <c r="BH4" s="30"/>
      <c r="BI4" s="30"/>
      <c r="BJ4" s="30"/>
      <c r="BK4" s="30"/>
      <c r="BL4" s="30"/>
      <c r="BM4" s="30"/>
      <c r="BN4" s="30"/>
      <c r="BO4" s="30"/>
      <c r="BP4" s="30"/>
      <c r="BQ4" s="30"/>
      <c r="BR4" s="30"/>
      <c r="BS4" s="30"/>
      <c r="BT4" s="30"/>
      <c r="BU4" s="30"/>
      <c r="BV4" s="30"/>
      <c r="BW4" s="30"/>
      <c r="BX4" s="30"/>
      <c r="BY4" s="30"/>
      <c r="BZ4" s="30"/>
      <c r="CA4" s="30"/>
      <c r="CB4" s="30"/>
      <c r="CC4" s="30"/>
      <c r="CD4" s="30"/>
      <c r="CE4" s="30"/>
      <c r="CF4" s="30"/>
      <c r="CG4" s="30"/>
      <c r="CH4" s="30"/>
      <c r="CI4" s="30"/>
      <c r="CJ4" s="30"/>
      <c r="CK4" s="30"/>
      <c r="CL4" s="30"/>
      <c r="CM4" s="30"/>
      <c r="CN4" s="30"/>
      <c r="CO4" s="30"/>
      <c r="CP4" s="30"/>
      <c r="CQ4" s="30"/>
      <c r="CR4" s="30"/>
      <c r="CS4" s="30"/>
      <c r="CT4" s="30"/>
      <c r="CU4" s="30"/>
      <c r="CV4" s="30"/>
      <c r="CW4" s="30"/>
      <c r="CX4" s="30"/>
      <c r="CY4" s="30"/>
      <c r="CZ4" s="30"/>
      <c r="DA4" s="30"/>
      <c r="DB4" s="30"/>
      <c r="DC4" s="30"/>
      <c r="DD4" s="30"/>
      <c r="DE4" s="30"/>
      <c r="DF4" s="30"/>
      <c r="DG4" s="30"/>
      <c r="DH4" s="30"/>
      <c r="DI4" s="30"/>
      <c r="DJ4" s="30"/>
      <c r="DK4" s="30"/>
      <c r="DL4" s="30"/>
      <c r="DM4" s="30"/>
      <c r="DN4" s="30"/>
      <c r="DO4" s="30"/>
      <c r="DP4" s="30"/>
      <c r="DQ4" s="30"/>
      <c r="DR4" s="30"/>
      <c r="DS4" s="30"/>
      <c r="DT4" s="30"/>
      <c r="DU4" s="30"/>
      <c r="DV4" s="30"/>
      <c r="DW4" s="30"/>
      <c r="DX4" s="30"/>
      <c r="DY4" s="30"/>
      <c r="DZ4" s="30"/>
      <c r="EA4" s="30"/>
      <c r="EB4" s="30"/>
      <c r="EC4" s="30"/>
      <c r="ED4" s="30"/>
      <c r="EE4" s="30"/>
      <c r="EF4" s="30"/>
      <c r="EG4" s="30"/>
      <c r="EH4" s="30"/>
      <c r="EI4" s="30"/>
      <c r="EJ4" s="30"/>
      <c r="EK4" s="30"/>
      <c r="EL4" s="30"/>
      <c r="EM4" s="30"/>
      <c r="EN4" s="30"/>
      <c r="EO4" s="30"/>
      <c r="EP4" s="30"/>
      <c r="EQ4" s="30"/>
      <c r="ER4" s="30"/>
      <c r="ES4" s="30"/>
      <c r="ET4" s="30"/>
      <c r="EU4" s="30"/>
      <c r="EV4" s="30"/>
      <c r="EW4" s="30"/>
      <c r="EX4" s="30"/>
      <c r="EY4" s="30"/>
      <c r="EZ4" s="30"/>
      <c r="FA4" s="30"/>
      <c r="FB4" s="30"/>
      <c r="FC4" s="30"/>
      <c r="FD4" s="30"/>
      <c r="FE4" s="30"/>
      <c r="FF4" s="30"/>
      <c r="FG4" s="30"/>
      <c r="FH4" s="30"/>
      <c r="FI4" s="30"/>
      <c r="FJ4" s="30"/>
      <c r="FK4" s="30"/>
      <c r="FL4" s="30"/>
      <c r="FM4" s="30"/>
      <c r="FN4" s="30"/>
      <c r="FO4" s="30"/>
      <c r="FP4" s="30"/>
      <c r="FQ4" s="30"/>
      <c r="FR4" s="30"/>
      <c r="FS4" s="30"/>
      <c r="FT4" s="30"/>
      <c r="FU4" s="30"/>
      <c r="FV4" s="30"/>
      <c r="FW4" s="30"/>
      <c r="FX4" s="30"/>
      <c r="FY4" s="30"/>
      <c r="FZ4" s="30"/>
      <c r="GA4" s="30"/>
      <c r="GB4" s="30"/>
      <c r="GC4" s="30"/>
      <c r="GD4" s="30"/>
      <c r="GE4" s="30"/>
      <c r="GF4" s="30"/>
      <c r="GG4" s="30"/>
      <c r="GH4" s="30"/>
      <c r="GI4" s="30"/>
      <c r="GJ4" s="30"/>
      <c r="GK4" s="30"/>
      <c r="GL4" s="30"/>
      <c r="GM4" s="30"/>
      <c r="GN4" s="30"/>
      <c r="GO4" s="30"/>
      <c r="GP4" s="30"/>
      <c r="GQ4" s="30"/>
      <c r="GR4" s="30"/>
      <c r="GS4" s="30"/>
      <c r="GT4" s="30"/>
      <c r="GU4" s="30"/>
      <c r="GV4" s="30"/>
      <c r="GW4" s="30"/>
      <c r="GX4" s="30"/>
      <c r="GY4" s="30"/>
      <c r="GZ4" s="30"/>
      <c r="HA4" s="30"/>
      <c r="HB4" s="30"/>
      <c r="HC4" s="30"/>
      <c r="HD4" s="30"/>
      <c r="HE4" s="30"/>
      <c r="HF4" s="30"/>
      <c r="HG4" s="30"/>
      <c r="HH4" s="30"/>
      <c r="HI4" s="30"/>
      <c r="HJ4" s="30"/>
      <c r="HK4" s="30"/>
      <c r="HL4" s="30"/>
      <c r="HM4" s="30"/>
      <c r="HN4" s="30"/>
      <c r="HO4" s="30"/>
      <c r="HP4" s="30"/>
      <c r="HQ4" s="30"/>
      <c r="HR4" s="30"/>
      <c r="HS4" s="30"/>
      <c r="HT4" s="30"/>
      <c r="HU4" s="30"/>
      <c r="HV4" s="30"/>
      <c r="HW4" s="30"/>
      <c r="HX4" s="30"/>
      <c r="HY4" s="30"/>
    </row>
    <row r="5" s="31" customFormat="true" ht="16.5" hidden="false" customHeight="true" outlineLevel="0" collapsed="false">
      <c r="A5" s="29" t="s">
        <v>4</v>
      </c>
      <c r="B5" s="29"/>
      <c r="C5" s="29"/>
      <c r="D5" s="29"/>
      <c r="E5" s="29"/>
      <c r="F5" s="29"/>
      <c r="G5" s="29"/>
      <c r="H5" s="29"/>
      <c r="I5" s="29"/>
      <c r="J5" s="29"/>
      <c r="K5" s="29"/>
      <c r="L5" s="29"/>
      <c r="M5" s="29"/>
      <c r="N5" s="29"/>
      <c r="O5" s="29"/>
      <c r="P5" s="29"/>
      <c r="Q5" s="29"/>
      <c r="R5" s="29"/>
      <c r="S5" s="29"/>
      <c r="T5" s="29"/>
      <c r="U5" s="29"/>
      <c r="V5" s="29"/>
      <c r="W5" s="29"/>
      <c r="X5" s="29"/>
      <c r="Y5" s="29"/>
      <c r="Z5" s="29"/>
      <c r="AA5" s="29"/>
      <c r="AB5" s="29"/>
      <c r="AC5" s="30"/>
      <c r="AD5" s="30"/>
      <c r="AE5" s="30"/>
      <c r="AF5" s="30"/>
      <c r="AG5" s="30"/>
      <c r="AH5" s="30"/>
      <c r="AI5" s="30"/>
      <c r="AJ5" s="30"/>
      <c r="AK5" s="30"/>
      <c r="AL5" s="30"/>
      <c r="AM5" s="30"/>
      <c r="AN5" s="30"/>
      <c r="AO5" s="30"/>
      <c r="AP5" s="30"/>
      <c r="AQ5" s="30"/>
      <c r="AR5" s="30"/>
      <c r="AS5" s="30"/>
      <c r="AT5" s="30"/>
      <c r="AU5" s="30"/>
      <c r="AV5" s="30"/>
      <c r="AW5" s="30"/>
      <c r="AX5" s="30"/>
      <c r="AY5" s="30"/>
      <c r="AZ5" s="30"/>
      <c r="BA5" s="30"/>
      <c r="BB5" s="30"/>
      <c r="BC5" s="30"/>
      <c r="BD5" s="30"/>
      <c r="BE5" s="30"/>
      <c r="BF5" s="30"/>
      <c r="BG5" s="30"/>
      <c r="BH5" s="30"/>
      <c r="BI5" s="30"/>
      <c r="BJ5" s="30"/>
      <c r="BK5" s="30"/>
      <c r="BL5" s="30"/>
      <c r="BM5" s="30"/>
      <c r="BN5" s="30"/>
      <c r="BO5" s="30"/>
      <c r="BP5" s="30"/>
      <c r="BQ5" s="30"/>
      <c r="BR5" s="30"/>
      <c r="BS5" s="30"/>
      <c r="BT5" s="30"/>
      <c r="BU5" s="30"/>
      <c r="BV5" s="30"/>
      <c r="BW5" s="30"/>
      <c r="BX5" s="30"/>
      <c r="BY5" s="30"/>
      <c r="BZ5" s="30"/>
      <c r="CA5" s="30"/>
      <c r="CB5" s="30"/>
      <c r="CC5" s="30"/>
      <c r="CD5" s="30"/>
      <c r="CE5" s="30"/>
      <c r="CF5" s="30"/>
      <c r="CG5" s="30"/>
      <c r="CH5" s="30"/>
      <c r="CI5" s="30"/>
      <c r="CJ5" s="30"/>
      <c r="CK5" s="30"/>
      <c r="CL5" s="30"/>
      <c r="CM5" s="30"/>
      <c r="CN5" s="30"/>
      <c r="CO5" s="30"/>
      <c r="CP5" s="30"/>
      <c r="CQ5" s="30"/>
      <c r="CR5" s="30"/>
      <c r="CS5" s="30"/>
      <c r="CT5" s="30"/>
      <c r="CU5" s="30"/>
      <c r="CV5" s="30"/>
      <c r="CW5" s="30"/>
      <c r="CX5" s="30"/>
      <c r="CY5" s="30"/>
      <c r="CZ5" s="30"/>
      <c r="DA5" s="30"/>
      <c r="DB5" s="30"/>
      <c r="DC5" s="30"/>
      <c r="DD5" s="30"/>
      <c r="DE5" s="30"/>
      <c r="DF5" s="30"/>
      <c r="DG5" s="30"/>
      <c r="DH5" s="30"/>
      <c r="DI5" s="30"/>
      <c r="DJ5" s="30"/>
      <c r="DK5" s="30"/>
      <c r="DL5" s="30"/>
      <c r="DM5" s="30"/>
      <c r="DN5" s="30"/>
      <c r="DO5" s="30"/>
      <c r="DP5" s="30"/>
      <c r="DQ5" s="30"/>
      <c r="DR5" s="30"/>
      <c r="DS5" s="30"/>
      <c r="DT5" s="30"/>
      <c r="DU5" s="30"/>
      <c r="DV5" s="30"/>
      <c r="DW5" s="30"/>
      <c r="DX5" s="30"/>
      <c r="DY5" s="30"/>
      <c r="DZ5" s="30"/>
      <c r="EA5" s="30"/>
      <c r="EB5" s="30"/>
      <c r="EC5" s="30"/>
      <c r="ED5" s="30"/>
      <c r="EE5" s="30"/>
      <c r="EF5" s="30"/>
      <c r="EG5" s="30"/>
      <c r="EH5" s="30"/>
      <c r="EI5" s="30"/>
      <c r="EJ5" s="30"/>
      <c r="EK5" s="30"/>
      <c r="EL5" s="30"/>
      <c r="EM5" s="30"/>
      <c r="EN5" s="30"/>
      <c r="EO5" s="30"/>
      <c r="EP5" s="30"/>
      <c r="EQ5" s="30"/>
      <c r="ER5" s="30"/>
      <c r="ES5" s="30"/>
      <c r="ET5" s="30"/>
      <c r="EU5" s="30"/>
      <c r="EV5" s="30"/>
      <c r="EW5" s="30"/>
      <c r="EX5" s="30"/>
      <c r="EY5" s="30"/>
      <c r="EZ5" s="30"/>
      <c r="FA5" s="30"/>
      <c r="FB5" s="30"/>
      <c r="FC5" s="30"/>
      <c r="FD5" s="30"/>
      <c r="FE5" s="30"/>
      <c r="FF5" s="30"/>
      <c r="FG5" s="30"/>
      <c r="FH5" s="30"/>
      <c r="FI5" s="30"/>
      <c r="FJ5" s="30"/>
      <c r="FK5" s="30"/>
      <c r="FL5" s="30"/>
      <c r="FM5" s="30"/>
      <c r="FN5" s="30"/>
      <c r="FO5" s="30"/>
      <c r="FP5" s="30"/>
      <c r="FQ5" s="30"/>
      <c r="FR5" s="30"/>
      <c r="FS5" s="30"/>
      <c r="FT5" s="30"/>
      <c r="FU5" s="30"/>
      <c r="FV5" s="30"/>
      <c r="FW5" s="30"/>
      <c r="FX5" s="30"/>
      <c r="FY5" s="30"/>
      <c r="FZ5" s="30"/>
      <c r="GA5" s="30"/>
      <c r="GB5" s="30"/>
      <c r="GC5" s="30"/>
      <c r="GD5" s="30"/>
      <c r="GE5" s="30"/>
      <c r="GF5" s="30"/>
      <c r="GG5" s="30"/>
      <c r="GH5" s="30"/>
      <c r="GI5" s="30"/>
      <c r="GJ5" s="30"/>
      <c r="GK5" s="30"/>
      <c r="GL5" s="30"/>
      <c r="GM5" s="30"/>
      <c r="GN5" s="30"/>
      <c r="GO5" s="30"/>
      <c r="GP5" s="30"/>
      <c r="GQ5" s="30"/>
      <c r="GR5" s="30"/>
      <c r="GS5" s="30"/>
      <c r="GT5" s="30"/>
      <c r="GU5" s="30"/>
      <c r="GV5" s="30"/>
      <c r="GW5" s="30"/>
      <c r="GX5" s="30"/>
      <c r="GY5" s="30"/>
      <c r="GZ5" s="30"/>
      <c r="HA5" s="30"/>
      <c r="HB5" s="30"/>
      <c r="HC5" s="30"/>
      <c r="HD5" s="30"/>
      <c r="HE5" s="30"/>
      <c r="HF5" s="30"/>
      <c r="HG5" s="30"/>
      <c r="HH5" s="30"/>
      <c r="HI5" s="30"/>
      <c r="HJ5" s="30"/>
      <c r="HK5" s="30"/>
      <c r="HL5" s="30"/>
      <c r="HM5" s="30"/>
      <c r="HN5" s="30"/>
      <c r="HO5" s="30"/>
      <c r="HP5" s="30"/>
      <c r="HQ5" s="30"/>
      <c r="HR5" s="30"/>
      <c r="HS5" s="30"/>
      <c r="HT5" s="30"/>
      <c r="HU5" s="30"/>
      <c r="HV5" s="30"/>
      <c r="HW5" s="30"/>
      <c r="HX5" s="30"/>
      <c r="HY5" s="30"/>
    </row>
    <row r="6" s="31" customFormat="true" ht="16.5" hidden="false" customHeight="true" outlineLevel="0" collapsed="false">
      <c r="A6" s="29" t="s">
        <v>5</v>
      </c>
      <c r="B6" s="29"/>
      <c r="C6" s="29"/>
      <c r="D6" s="29"/>
      <c r="E6" s="29"/>
      <c r="F6" s="29"/>
      <c r="G6" s="29"/>
      <c r="H6" s="29"/>
      <c r="I6" s="29"/>
      <c r="J6" s="29"/>
      <c r="K6" s="29"/>
      <c r="L6" s="29"/>
      <c r="M6" s="29"/>
      <c r="N6" s="29"/>
      <c r="O6" s="29"/>
      <c r="P6" s="29"/>
      <c r="Q6" s="29"/>
      <c r="R6" s="29"/>
      <c r="S6" s="29"/>
      <c r="T6" s="29"/>
      <c r="U6" s="29"/>
      <c r="V6" s="29"/>
      <c r="W6" s="29"/>
      <c r="X6" s="29"/>
      <c r="Y6" s="29"/>
      <c r="Z6" s="29"/>
      <c r="AA6" s="29"/>
      <c r="AB6" s="29"/>
      <c r="AC6" s="30"/>
      <c r="AD6" s="30"/>
      <c r="AE6" s="30"/>
      <c r="AF6" s="30"/>
      <c r="AG6" s="30"/>
      <c r="AH6" s="30"/>
      <c r="AI6" s="30"/>
      <c r="AJ6" s="30"/>
      <c r="AK6" s="30"/>
      <c r="AL6" s="30"/>
      <c r="AM6" s="30"/>
      <c r="AN6" s="30"/>
      <c r="AO6" s="30"/>
      <c r="AP6" s="30"/>
      <c r="AQ6" s="30"/>
      <c r="AR6" s="30"/>
      <c r="AS6" s="30"/>
      <c r="AT6" s="30"/>
      <c r="AU6" s="30"/>
      <c r="AV6" s="30"/>
      <c r="AW6" s="30"/>
      <c r="AX6" s="30"/>
      <c r="AY6" s="30"/>
      <c r="AZ6" s="30"/>
      <c r="BA6" s="30"/>
      <c r="BB6" s="30"/>
      <c r="BC6" s="30"/>
      <c r="BD6" s="30"/>
      <c r="BE6" s="30"/>
      <c r="BF6" s="30"/>
      <c r="BG6" s="30"/>
      <c r="BH6" s="30"/>
      <c r="BI6" s="30"/>
      <c r="BJ6" s="30"/>
      <c r="BK6" s="30"/>
      <c r="BL6" s="30"/>
      <c r="BM6" s="30"/>
      <c r="BN6" s="30"/>
      <c r="BO6" s="30"/>
      <c r="BP6" s="30"/>
      <c r="BQ6" s="30"/>
      <c r="BR6" s="30"/>
      <c r="BS6" s="30"/>
      <c r="BT6" s="30"/>
      <c r="BU6" s="30"/>
      <c r="BV6" s="30"/>
      <c r="BW6" s="30"/>
      <c r="BX6" s="30"/>
      <c r="BY6" s="30"/>
      <c r="BZ6" s="30"/>
      <c r="CA6" s="30"/>
      <c r="CB6" s="30"/>
      <c r="CC6" s="30"/>
      <c r="CD6" s="30"/>
      <c r="CE6" s="30"/>
      <c r="CF6" s="30"/>
      <c r="CG6" s="30"/>
      <c r="CH6" s="30"/>
      <c r="CI6" s="30"/>
      <c r="CJ6" s="30"/>
      <c r="CK6" s="30"/>
      <c r="CL6" s="30"/>
      <c r="CM6" s="30"/>
      <c r="CN6" s="30"/>
      <c r="CO6" s="30"/>
      <c r="CP6" s="30"/>
      <c r="CQ6" s="30"/>
      <c r="CR6" s="30"/>
      <c r="CS6" s="30"/>
      <c r="CT6" s="30"/>
      <c r="CU6" s="30"/>
      <c r="CV6" s="30"/>
      <c r="CW6" s="30"/>
      <c r="CX6" s="30"/>
      <c r="CY6" s="30"/>
      <c r="CZ6" s="30"/>
      <c r="DA6" s="30"/>
      <c r="DB6" s="30"/>
      <c r="DC6" s="30"/>
      <c r="DD6" s="30"/>
      <c r="DE6" s="30"/>
      <c r="DF6" s="30"/>
      <c r="DG6" s="30"/>
      <c r="DH6" s="30"/>
      <c r="DI6" s="30"/>
      <c r="DJ6" s="30"/>
      <c r="DK6" s="30"/>
      <c r="DL6" s="30"/>
      <c r="DM6" s="30"/>
      <c r="DN6" s="30"/>
      <c r="DO6" s="30"/>
      <c r="DP6" s="30"/>
      <c r="DQ6" s="30"/>
      <c r="DR6" s="30"/>
      <c r="DS6" s="30"/>
      <c r="DT6" s="30"/>
      <c r="DU6" s="30"/>
      <c r="DV6" s="30"/>
      <c r="DW6" s="30"/>
      <c r="DX6" s="30"/>
      <c r="DY6" s="30"/>
      <c r="DZ6" s="30"/>
      <c r="EA6" s="30"/>
      <c r="EB6" s="30"/>
      <c r="EC6" s="30"/>
      <c r="ED6" s="30"/>
      <c r="EE6" s="30"/>
      <c r="EF6" s="30"/>
      <c r="EG6" s="30"/>
      <c r="EH6" s="30"/>
      <c r="EI6" s="30"/>
      <c r="EJ6" s="30"/>
      <c r="EK6" s="30"/>
      <c r="EL6" s="30"/>
      <c r="EM6" s="30"/>
      <c r="EN6" s="30"/>
      <c r="EO6" s="30"/>
      <c r="EP6" s="30"/>
      <c r="EQ6" s="30"/>
      <c r="ER6" s="30"/>
      <c r="ES6" s="30"/>
      <c r="ET6" s="30"/>
      <c r="EU6" s="30"/>
      <c r="EV6" s="30"/>
      <c r="EW6" s="30"/>
      <c r="EX6" s="30"/>
      <c r="EY6" s="30"/>
      <c r="EZ6" s="30"/>
      <c r="FA6" s="30"/>
      <c r="FB6" s="30"/>
      <c r="FC6" s="30"/>
      <c r="FD6" s="30"/>
      <c r="FE6" s="30"/>
      <c r="FF6" s="30"/>
      <c r="FG6" s="30"/>
      <c r="FH6" s="30"/>
      <c r="FI6" s="30"/>
      <c r="FJ6" s="30"/>
      <c r="FK6" s="30"/>
      <c r="FL6" s="30"/>
      <c r="FM6" s="30"/>
      <c r="FN6" s="30"/>
      <c r="FO6" s="30"/>
      <c r="FP6" s="30"/>
      <c r="FQ6" s="30"/>
      <c r="FR6" s="30"/>
      <c r="FS6" s="30"/>
      <c r="FT6" s="30"/>
      <c r="FU6" s="30"/>
      <c r="FV6" s="30"/>
      <c r="FW6" s="30"/>
      <c r="FX6" s="30"/>
      <c r="FY6" s="30"/>
      <c r="FZ6" s="30"/>
      <c r="GA6" s="30"/>
      <c r="GB6" s="30"/>
      <c r="GC6" s="30"/>
      <c r="GD6" s="30"/>
      <c r="GE6" s="30"/>
      <c r="GF6" s="30"/>
      <c r="GG6" s="30"/>
      <c r="GH6" s="30"/>
      <c r="GI6" s="30"/>
      <c r="GJ6" s="30"/>
      <c r="GK6" s="30"/>
      <c r="GL6" s="30"/>
      <c r="GM6" s="30"/>
      <c r="GN6" s="30"/>
      <c r="GO6" s="30"/>
      <c r="GP6" s="30"/>
      <c r="GQ6" s="30"/>
      <c r="GR6" s="30"/>
      <c r="GS6" s="30"/>
      <c r="GT6" s="30"/>
      <c r="GU6" s="30"/>
      <c r="GV6" s="30"/>
      <c r="GW6" s="30"/>
      <c r="GX6" s="30"/>
      <c r="GY6" s="30"/>
      <c r="GZ6" s="30"/>
      <c r="HA6" s="30"/>
      <c r="HB6" s="30"/>
      <c r="HC6" s="30"/>
      <c r="HD6" s="30"/>
      <c r="HE6" s="30"/>
      <c r="HF6" s="30"/>
      <c r="HG6" s="30"/>
      <c r="HH6" s="30"/>
      <c r="HI6" s="30"/>
      <c r="HJ6" s="30"/>
      <c r="HK6" s="30"/>
      <c r="HL6" s="30"/>
      <c r="HM6" s="30"/>
      <c r="HN6" s="30"/>
      <c r="HO6" s="30"/>
      <c r="HP6" s="30"/>
      <c r="HQ6" s="30"/>
      <c r="HR6" s="30"/>
      <c r="HS6" s="30"/>
      <c r="HT6" s="30"/>
      <c r="HU6" s="30"/>
      <c r="HV6" s="30"/>
      <c r="HW6" s="30"/>
      <c r="HX6" s="30"/>
      <c r="HY6" s="30"/>
    </row>
    <row r="7" s="31" customFormat="true" ht="30.75" hidden="false" customHeight="true" outlineLevel="0" collapsed="false">
      <c r="A7" s="32" t="s">
        <v>6</v>
      </c>
      <c r="B7" s="33"/>
      <c r="D7" s="34" t="str">
        <f>VLOOKUP(AZ2,'[1]Tuyến XB6A'!$A$2:$B$60,2,0)</f>
        <v xml:space="preserve">Đắp cấp phối đá dăm loại 2 đoạn từ Km0+000,00 - Km0+126,46</v>
      </c>
      <c r="E7" s="34"/>
      <c r="F7" s="34"/>
      <c r="G7" s="34"/>
      <c r="H7" s="34"/>
      <c r="I7" s="34"/>
      <c r="J7" s="34"/>
      <c r="K7" s="34"/>
      <c r="L7" s="34"/>
      <c r="M7" s="34"/>
      <c r="N7" s="34"/>
      <c r="O7" s="34"/>
      <c r="P7" s="34"/>
      <c r="Q7" s="34"/>
      <c r="R7" s="34"/>
      <c r="S7" s="34"/>
      <c r="T7" s="34"/>
      <c r="U7" s="34"/>
      <c r="V7" s="34"/>
      <c r="W7" s="34"/>
      <c r="X7" s="34"/>
      <c r="Y7" s="34"/>
      <c r="Z7" s="34"/>
      <c r="AA7" s="34"/>
      <c r="AB7" s="34"/>
      <c r="AC7" s="30"/>
      <c r="AD7" s="30"/>
      <c r="AE7" s="30"/>
      <c r="AF7" s="30"/>
      <c r="AG7" s="30"/>
      <c r="AH7" s="30"/>
      <c r="AI7" s="30"/>
      <c r="AJ7" s="30"/>
      <c r="AK7" s="30"/>
      <c r="AL7" s="30"/>
      <c r="AM7" s="30"/>
      <c r="AN7" s="30"/>
      <c r="AO7" s="30"/>
      <c r="AP7" s="30"/>
      <c r="AQ7" s="30"/>
      <c r="AR7" s="30"/>
      <c r="AS7" s="30"/>
      <c r="AT7" s="30"/>
      <c r="AU7" s="30"/>
      <c r="AV7" s="30"/>
      <c r="AW7" s="30"/>
      <c r="AX7" s="30"/>
      <c r="AY7" s="30"/>
      <c r="AZ7" s="30"/>
      <c r="BA7" s="30"/>
      <c r="BB7" s="30"/>
      <c r="BC7" s="30"/>
      <c r="BD7" s="30"/>
      <c r="BE7" s="30"/>
      <c r="BF7" s="30"/>
      <c r="BG7" s="30"/>
      <c r="BH7" s="30"/>
      <c r="BI7" s="30"/>
      <c r="BJ7" s="30"/>
      <c r="BK7" s="30"/>
      <c r="BL7" s="30"/>
      <c r="BM7" s="30"/>
      <c r="BN7" s="30"/>
      <c r="BO7" s="30"/>
      <c r="BP7" s="30"/>
      <c r="BQ7" s="30"/>
      <c r="BR7" s="30"/>
      <c r="BS7" s="30"/>
      <c r="BT7" s="30"/>
      <c r="BU7" s="30"/>
      <c r="BV7" s="30"/>
      <c r="BW7" s="30"/>
      <c r="BX7" s="30"/>
      <c r="BY7" s="30"/>
      <c r="BZ7" s="30"/>
      <c r="CA7" s="30"/>
      <c r="CB7" s="30"/>
      <c r="CC7" s="30"/>
      <c r="CD7" s="30"/>
      <c r="CE7" s="30"/>
      <c r="CF7" s="30"/>
      <c r="CG7" s="30"/>
      <c r="CH7" s="30"/>
      <c r="CI7" s="30"/>
      <c r="CJ7" s="30"/>
      <c r="CK7" s="30"/>
      <c r="CL7" s="30"/>
      <c r="CM7" s="30"/>
      <c r="CN7" s="30"/>
      <c r="CO7" s="30"/>
      <c r="CP7" s="30"/>
      <c r="CQ7" s="30"/>
      <c r="CR7" s="30"/>
      <c r="CS7" s="30"/>
      <c r="CT7" s="30"/>
      <c r="CU7" s="30"/>
      <c r="CV7" s="30"/>
      <c r="CW7" s="30"/>
      <c r="CX7" s="30"/>
      <c r="CY7" s="30"/>
      <c r="CZ7" s="30"/>
      <c r="DA7" s="30"/>
      <c r="DB7" s="30"/>
      <c r="DC7" s="30"/>
      <c r="DD7" s="30"/>
      <c r="DE7" s="30"/>
      <c r="DF7" s="30"/>
      <c r="DG7" s="30"/>
      <c r="DH7" s="30"/>
      <c r="DI7" s="30"/>
      <c r="DJ7" s="30"/>
      <c r="DK7" s="30"/>
      <c r="DL7" s="30"/>
      <c r="DM7" s="30"/>
      <c r="DN7" s="30"/>
      <c r="DO7" s="30"/>
      <c r="DP7" s="30"/>
      <c r="DQ7" s="30"/>
      <c r="DR7" s="30"/>
      <c r="DS7" s="30"/>
      <c r="DT7" s="30"/>
      <c r="DU7" s="30"/>
      <c r="DV7" s="30"/>
      <c r="DW7" s="30"/>
      <c r="DX7" s="30"/>
      <c r="DY7" s="30"/>
      <c r="DZ7" s="30"/>
      <c r="EA7" s="30"/>
      <c r="EB7" s="30"/>
      <c r="EC7" s="30"/>
      <c r="ED7" s="30"/>
      <c r="EE7" s="30"/>
      <c r="EF7" s="30"/>
      <c r="EG7" s="30"/>
      <c r="EH7" s="30"/>
      <c r="EI7" s="30"/>
      <c r="EJ7" s="30"/>
      <c r="EK7" s="30"/>
      <c r="EL7" s="30"/>
      <c r="EM7" s="30"/>
      <c r="EN7" s="30"/>
      <c r="EO7" s="30"/>
      <c r="EP7" s="30"/>
      <c r="EQ7" s="30"/>
      <c r="ER7" s="30"/>
      <c r="ES7" s="30"/>
      <c r="ET7" s="30"/>
      <c r="EU7" s="30"/>
      <c r="EV7" s="30"/>
      <c r="EW7" s="30"/>
      <c r="EX7" s="30"/>
      <c r="EY7" s="30"/>
      <c r="EZ7" s="30"/>
      <c r="FA7" s="30"/>
      <c r="FB7" s="30"/>
      <c r="FC7" s="30"/>
      <c r="FD7" s="30"/>
      <c r="FE7" s="30"/>
      <c r="FF7" s="30"/>
      <c r="FG7" s="30"/>
      <c r="FH7" s="30"/>
      <c r="FI7" s="30"/>
      <c r="FJ7" s="30"/>
      <c r="FK7" s="30"/>
      <c r="FL7" s="30"/>
      <c r="FM7" s="30"/>
      <c r="FN7" s="30"/>
      <c r="FO7" s="30"/>
      <c r="FP7" s="30"/>
      <c r="FQ7" s="30"/>
      <c r="FR7" s="30"/>
      <c r="FS7" s="30"/>
      <c r="FT7" s="30"/>
      <c r="FU7" s="30"/>
      <c r="FV7" s="30"/>
      <c r="FW7" s="30"/>
      <c r="FX7" s="30"/>
      <c r="FY7" s="30"/>
      <c r="FZ7" s="30"/>
      <c r="GA7" s="30"/>
      <c r="GB7" s="30"/>
      <c r="GC7" s="30"/>
      <c r="GD7" s="30"/>
      <c r="GE7" s="30"/>
      <c r="GF7" s="30"/>
      <c r="GG7" s="30"/>
      <c r="GH7" s="30"/>
      <c r="GI7" s="30"/>
      <c r="GJ7" s="30"/>
      <c r="GK7" s="30"/>
      <c r="GL7" s="30"/>
      <c r="GM7" s="30"/>
      <c r="GN7" s="30"/>
      <c r="GO7" s="30"/>
      <c r="GP7" s="30"/>
      <c r="GQ7" s="30"/>
      <c r="GR7" s="30"/>
      <c r="GS7" s="30"/>
      <c r="GT7" s="30"/>
      <c r="GU7" s="30"/>
      <c r="GV7" s="30"/>
      <c r="GW7" s="30"/>
      <c r="GX7" s="30"/>
      <c r="GY7" s="30"/>
      <c r="GZ7" s="30"/>
      <c r="HA7" s="30"/>
      <c r="HB7" s="30"/>
      <c r="HC7" s="30"/>
      <c r="HD7" s="30"/>
      <c r="HE7" s="30"/>
      <c r="HF7" s="30"/>
      <c r="HG7" s="30"/>
      <c r="HH7" s="30"/>
      <c r="HI7" s="30"/>
      <c r="HJ7" s="30"/>
      <c r="HK7" s="30"/>
      <c r="HL7" s="30"/>
      <c r="HM7" s="30"/>
      <c r="HN7" s="30"/>
      <c r="HO7" s="30"/>
      <c r="HP7" s="30"/>
      <c r="HQ7" s="30"/>
      <c r="HR7" s="30"/>
      <c r="HS7" s="30"/>
      <c r="HT7" s="30"/>
      <c r="HU7" s="30"/>
      <c r="HV7" s="30"/>
      <c r="HW7" s="30"/>
      <c r="HX7" s="30"/>
      <c r="HY7" s="30"/>
    </row>
    <row r="8" s="30" customFormat="true" ht="13.5" hidden="false" customHeight="true" outlineLevel="0" collapsed="false">
      <c r="A8" s="35"/>
      <c r="B8" s="35"/>
      <c r="C8" s="35"/>
      <c r="D8" s="35"/>
      <c r="E8" s="35"/>
      <c r="F8" s="35"/>
      <c r="G8" s="35"/>
      <c r="H8" s="35"/>
      <c r="I8" s="35"/>
      <c r="J8" s="35"/>
      <c r="K8" s="35"/>
      <c r="L8" s="35"/>
      <c r="M8" s="35"/>
      <c r="N8" s="35"/>
      <c r="O8" s="35"/>
      <c r="P8" s="35"/>
      <c r="Q8" s="35"/>
      <c r="R8" s="35"/>
      <c r="S8" s="35"/>
      <c r="T8" s="35"/>
      <c r="U8" s="35"/>
      <c r="V8" s="35"/>
      <c r="W8" s="35"/>
      <c r="X8" s="35"/>
      <c r="Y8" s="35"/>
      <c r="Z8" s="35"/>
      <c r="AA8" s="35"/>
      <c r="AB8" s="35"/>
    </row>
    <row r="9" s="127" customFormat="true" ht="22.5" hidden="false" customHeight="true" outlineLevel="0" collapsed="false">
      <c r="A9" s="117" t="s">
        <v>37</v>
      </c>
      <c r="B9" s="117" t="s">
        <v>10</v>
      </c>
      <c r="C9" s="117" t="s">
        <v>11</v>
      </c>
      <c r="D9" s="118" t="s">
        <v>38</v>
      </c>
      <c r="E9" s="119"/>
      <c r="F9" s="119"/>
      <c r="G9" s="118"/>
      <c r="H9" s="119"/>
      <c r="I9" s="119"/>
      <c r="J9" s="119"/>
      <c r="K9" s="119"/>
      <c r="L9" s="119"/>
      <c r="M9" s="120" t="s">
        <v>39</v>
      </c>
      <c r="N9" s="121"/>
      <c r="O9" s="122" t="s">
        <v>40</v>
      </c>
      <c r="P9" s="123"/>
      <c r="Q9" s="123"/>
      <c r="R9" s="123"/>
      <c r="S9" s="123"/>
      <c r="T9" s="123"/>
      <c r="U9" s="123"/>
      <c r="V9" s="123"/>
      <c r="W9" s="122" t="s">
        <v>41</v>
      </c>
      <c r="X9" s="121"/>
      <c r="Y9" s="124"/>
      <c r="Z9" s="125"/>
      <c r="AA9" s="125"/>
      <c r="AB9" s="118" t="s">
        <v>15</v>
      </c>
      <c r="AC9" s="126"/>
    </row>
    <row r="10" s="131" customFormat="true" ht="22.5" hidden="false" customHeight="true" outlineLevel="0" collapsed="false">
      <c r="A10" s="117"/>
      <c r="B10" s="117"/>
      <c r="C10" s="117"/>
      <c r="D10" s="117"/>
      <c r="E10" s="122"/>
      <c r="F10" s="122"/>
      <c r="G10" s="122"/>
      <c r="H10" s="122"/>
      <c r="I10" s="122"/>
      <c r="J10" s="122"/>
      <c r="K10" s="122"/>
      <c r="L10" s="122"/>
      <c r="M10" s="122"/>
      <c r="N10" s="122" t="s">
        <v>40</v>
      </c>
      <c r="O10" s="122"/>
      <c r="P10" s="122" t="s">
        <v>40</v>
      </c>
      <c r="Q10" s="122" t="s">
        <v>40</v>
      </c>
      <c r="R10" s="122"/>
      <c r="S10" s="122"/>
      <c r="T10" s="122"/>
      <c r="U10" s="122" t="s">
        <v>41</v>
      </c>
      <c r="V10" s="122" t="s">
        <v>41</v>
      </c>
      <c r="W10" s="122"/>
      <c r="X10" s="122" t="s">
        <v>41</v>
      </c>
      <c r="Y10" s="122" t="s">
        <v>41</v>
      </c>
      <c r="Z10" s="128"/>
      <c r="AA10" s="128"/>
      <c r="AB10" s="118"/>
      <c r="AC10" s="129"/>
      <c r="AD10" s="130"/>
      <c r="AE10" s="130"/>
    </row>
    <row r="11" s="131" customFormat="true" ht="15" hidden="false" customHeight="true" outlineLevel="0" collapsed="false">
      <c r="A11" s="132" t="n">
        <v>1</v>
      </c>
      <c r="B11" s="132" t="str">
        <f aca="false">'Base A'!B23</f>
        <v>D3</v>
      </c>
      <c r="C11" s="133" t="n">
        <f aca="false">'Base A'!C23</f>
        <v>0</v>
      </c>
      <c r="D11" s="132" t="n">
        <f aca="false">'Base A'!T23</f>
        <v>19.63</v>
      </c>
      <c r="E11" s="134"/>
      <c r="F11" s="134"/>
      <c r="G11" s="134"/>
      <c r="H11" s="134"/>
      <c r="I11" s="134"/>
      <c r="J11" s="134"/>
      <c r="K11" s="135"/>
      <c r="L11" s="136"/>
      <c r="M11" s="137"/>
      <c r="N11" s="138"/>
      <c r="O11" s="135" t="n">
        <f aca="false">7.5*0.18</f>
        <v>1.35</v>
      </c>
      <c r="P11" s="135"/>
      <c r="Q11" s="135"/>
      <c r="R11" s="139"/>
      <c r="S11" s="139"/>
      <c r="T11" s="139"/>
      <c r="U11" s="139"/>
      <c r="V11" s="139"/>
      <c r="W11" s="139" t="n">
        <f aca="false">(O11+O12)*D11/2</f>
        <v>26.5005</v>
      </c>
      <c r="X11" s="139"/>
      <c r="Y11" s="139"/>
      <c r="Z11" s="139"/>
      <c r="AA11" s="139"/>
      <c r="AB11" s="140"/>
      <c r="AC11" s="139"/>
      <c r="AE11" s="141"/>
    </row>
    <row r="12" s="131" customFormat="true" ht="15" hidden="false" customHeight="true" outlineLevel="0" collapsed="false">
      <c r="A12" s="132" t="n">
        <v>2</v>
      </c>
      <c r="B12" s="132" t="str">
        <f aca="false">'Base A'!B24</f>
        <v>1</v>
      </c>
      <c r="C12" s="133" t="n">
        <f aca="false">'Base A'!C24</f>
        <v>19.63</v>
      </c>
      <c r="D12" s="132" t="n">
        <f aca="false">'Base A'!T24</f>
        <v>17.17</v>
      </c>
      <c r="E12" s="134"/>
      <c r="F12" s="134"/>
      <c r="G12" s="134"/>
      <c r="H12" s="134"/>
      <c r="I12" s="134"/>
      <c r="J12" s="134"/>
      <c r="K12" s="135"/>
      <c r="L12" s="136"/>
      <c r="M12" s="137"/>
      <c r="N12" s="138"/>
      <c r="O12" s="135" t="n">
        <f aca="false">7.5*0.18</f>
        <v>1.35</v>
      </c>
      <c r="P12" s="135"/>
      <c r="Q12" s="135"/>
      <c r="R12" s="139"/>
      <c r="S12" s="139"/>
      <c r="T12" s="139"/>
      <c r="U12" s="139"/>
      <c r="V12" s="139"/>
      <c r="W12" s="139" t="n">
        <f aca="false">(O12+O13)*D12/2</f>
        <v>23.1795</v>
      </c>
      <c r="X12" s="139"/>
      <c r="Y12" s="139"/>
      <c r="Z12" s="139"/>
      <c r="AA12" s="139"/>
      <c r="AB12" s="140"/>
      <c r="AC12" s="139"/>
      <c r="AE12" s="141"/>
    </row>
    <row r="13" s="131" customFormat="true" ht="15" hidden="false" customHeight="true" outlineLevel="0" collapsed="false">
      <c r="A13" s="132" t="n">
        <v>3</v>
      </c>
      <c r="B13" s="132" t="str">
        <f aca="false">'Base A'!B25</f>
        <v>2</v>
      </c>
      <c r="C13" s="133" t="n">
        <f aca="false">'Base A'!C25</f>
        <v>36.8</v>
      </c>
      <c r="D13" s="132" t="n">
        <f aca="false">'Base A'!T25</f>
        <v>17.18</v>
      </c>
      <c r="E13" s="134"/>
      <c r="F13" s="134"/>
      <c r="G13" s="134"/>
      <c r="H13" s="134"/>
      <c r="I13" s="134"/>
      <c r="J13" s="134"/>
      <c r="K13" s="135"/>
      <c r="L13" s="136"/>
      <c r="M13" s="137"/>
      <c r="N13" s="138"/>
      <c r="O13" s="135" t="n">
        <f aca="false">7.5*0.18</f>
        <v>1.35</v>
      </c>
      <c r="P13" s="135"/>
      <c r="Q13" s="135"/>
      <c r="R13" s="139"/>
      <c r="S13" s="139"/>
      <c r="T13" s="139"/>
      <c r="U13" s="139"/>
      <c r="V13" s="139"/>
      <c r="W13" s="139" t="n">
        <f aca="false">(O13+O14)*D13/2</f>
        <v>23.193</v>
      </c>
      <c r="X13" s="139"/>
      <c r="Y13" s="139"/>
      <c r="Z13" s="139"/>
      <c r="AA13" s="139"/>
      <c r="AB13" s="140"/>
      <c r="AC13" s="139"/>
      <c r="AE13" s="141"/>
    </row>
    <row r="14" s="131" customFormat="true" ht="15" hidden="false" customHeight="true" outlineLevel="0" collapsed="false">
      <c r="A14" s="132" t="n">
        <v>4</v>
      </c>
      <c r="B14" s="132" t="str">
        <f aca="false">'Base A'!B26</f>
        <v>3</v>
      </c>
      <c r="C14" s="133" t="n">
        <f aca="false">'Base A'!C26</f>
        <v>53.98</v>
      </c>
      <c r="D14" s="132" t="n">
        <f aca="false">'Base A'!T26</f>
        <v>12.97</v>
      </c>
      <c r="E14" s="134"/>
      <c r="F14" s="134"/>
      <c r="G14" s="134"/>
      <c r="H14" s="134"/>
      <c r="I14" s="134"/>
      <c r="J14" s="134"/>
      <c r="K14" s="135"/>
      <c r="L14" s="136"/>
      <c r="M14" s="137"/>
      <c r="N14" s="138"/>
      <c r="O14" s="135" t="n">
        <f aca="false">7.5*0.18</f>
        <v>1.35</v>
      </c>
      <c r="P14" s="135"/>
      <c r="Q14" s="135"/>
      <c r="R14" s="139"/>
      <c r="S14" s="139"/>
      <c r="T14" s="139"/>
      <c r="U14" s="139"/>
      <c r="V14" s="139"/>
      <c r="W14" s="139" t="n">
        <f aca="false">(O14+O15)*D14/2</f>
        <v>17.5095</v>
      </c>
      <c r="X14" s="139"/>
      <c r="Y14" s="139"/>
      <c r="Z14" s="139"/>
      <c r="AA14" s="139"/>
      <c r="AB14" s="140"/>
      <c r="AC14" s="139"/>
      <c r="AE14" s="141"/>
    </row>
    <row r="15" s="131" customFormat="true" ht="15" hidden="false" customHeight="true" outlineLevel="0" collapsed="false">
      <c r="A15" s="132" t="n">
        <v>5</v>
      </c>
      <c r="B15" s="132" t="str">
        <f aca="false">'Base A'!B27</f>
        <v>D2</v>
      </c>
      <c r="C15" s="133" t="n">
        <f aca="false">'Base A'!C27</f>
        <v>66.95</v>
      </c>
      <c r="D15" s="132" t="n">
        <f aca="false">'Base A'!T27</f>
        <v>10.68</v>
      </c>
      <c r="E15" s="134"/>
      <c r="F15" s="134"/>
      <c r="G15" s="134"/>
      <c r="H15" s="134"/>
      <c r="I15" s="134"/>
      <c r="J15" s="134"/>
      <c r="K15" s="135"/>
      <c r="L15" s="136"/>
      <c r="M15" s="137"/>
      <c r="N15" s="138"/>
      <c r="O15" s="135" t="n">
        <f aca="false">7.5*0.18</f>
        <v>1.35</v>
      </c>
      <c r="P15" s="135"/>
      <c r="Q15" s="135"/>
      <c r="R15" s="139"/>
      <c r="S15" s="139"/>
      <c r="T15" s="139"/>
      <c r="U15" s="139"/>
      <c r="V15" s="139"/>
      <c r="W15" s="139" t="n">
        <f aca="false">(O15+O16)*D15/2</f>
        <v>14.418</v>
      </c>
      <c r="X15" s="139"/>
      <c r="Y15" s="139"/>
      <c r="Z15" s="139"/>
      <c r="AA15" s="139"/>
      <c r="AB15" s="140"/>
      <c r="AC15" s="139"/>
      <c r="AE15" s="141"/>
    </row>
    <row r="16" s="131" customFormat="true" ht="15" hidden="false" customHeight="true" outlineLevel="0" collapsed="false">
      <c r="A16" s="132" t="n">
        <v>6</v>
      </c>
      <c r="B16" s="132" t="str">
        <f aca="false">'Base A'!B28</f>
        <v>4</v>
      </c>
      <c r="C16" s="133" t="n">
        <f aca="false">'Base A'!C28</f>
        <v>77.63</v>
      </c>
      <c r="D16" s="132" t="n">
        <f aca="false">'Base A'!T28</f>
        <v>17.17</v>
      </c>
      <c r="E16" s="134"/>
      <c r="F16" s="134"/>
      <c r="G16" s="134"/>
      <c r="H16" s="134"/>
      <c r="I16" s="134"/>
      <c r="J16" s="134"/>
      <c r="K16" s="135"/>
      <c r="L16" s="136"/>
      <c r="M16" s="137"/>
      <c r="N16" s="138"/>
      <c r="O16" s="135" t="n">
        <f aca="false">7.5*0.18</f>
        <v>1.35</v>
      </c>
      <c r="P16" s="135"/>
      <c r="Q16" s="135"/>
      <c r="R16" s="139"/>
      <c r="S16" s="139"/>
      <c r="T16" s="139"/>
      <c r="U16" s="139"/>
      <c r="V16" s="139"/>
      <c r="W16" s="139" t="n">
        <f aca="false">(O16+O17)*D16/2</f>
        <v>23.1795</v>
      </c>
      <c r="X16" s="139"/>
      <c r="Y16" s="139"/>
      <c r="Z16" s="139"/>
      <c r="AA16" s="139"/>
      <c r="AB16" s="140"/>
      <c r="AC16" s="139"/>
      <c r="AE16" s="141"/>
    </row>
    <row r="17" s="131" customFormat="true" ht="15" hidden="false" customHeight="true" outlineLevel="0" collapsed="false">
      <c r="A17" s="132" t="n">
        <v>7</v>
      </c>
      <c r="B17" s="132" t="str">
        <f aca="false">'Base A'!B29</f>
        <v>5</v>
      </c>
      <c r="C17" s="133" t="n">
        <f aca="false">'Base A'!C29</f>
        <v>94.8</v>
      </c>
      <c r="D17" s="132" t="n">
        <f aca="false">'Base A'!T29</f>
        <v>17.17</v>
      </c>
      <c r="E17" s="134"/>
      <c r="F17" s="134"/>
      <c r="G17" s="134"/>
      <c r="H17" s="134"/>
      <c r="I17" s="134"/>
      <c r="J17" s="134"/>
      <c r="K17" s="135"/>
      <c r="L17" s="136"/>
      <c r="M17" s="137"/>
      <c r="N17" s="138"/>
      <c r="O17" s="135" t="n">
        <f aca="false">7.5*0.18</f>
        <v>1.35</v>
      </c>
      <c r="P17" s="135"/>
      <c r="Q17" s="135"/>
      <c r="R17" s="139"/>
      <c r="S17" s="139"/>
      <c r="T17" s="139"/>
      <c r="U17" s="139"/>
      <c r="V17" s="139"/>
      <c r="W17" s="139" t="n">
        <f aca="false">(O17+O18)*D17/2</f>
        <v>23.1795</v>
      </c>
      <c r="X17" s="139"/>
      <c r="Y17" s="139"/>
      <c r="Z17" s="139"/>
      <c r="AA17" s="139"/>
      <c r="AB17" s="140"/>
      <c r="AC17" s="139"/>
      <c r="AE17" s="141"/>
    </row>
    <row r="18" s="131" customFormat="true" ht="15" hidden="false" customHeight="true" outlineLevel="0" collapsed="false">
      <c r="A18" s="132" t="n">
        <v>8</v>
      </c>
      <c r="B18" s="132" t="str">
        <f aca="false">'Base A'!B30</f>
        <v>6</v>
      </c>
      <c r="C18" s="133" t="n">
        <f aca="false">'Base A'!C30</f>
        <v>111.97</v>
      </c>
      <c r="D18" s="132" t="n">
        <f aca="false">'Base A'!T30</f>
        <v>14.49</v>
      </c>
      <c r="E18" s="134"/>
      <c r="F18" s="134"/>
      <c r="G18" s="134"/>
      <c r="H18" s="134"/>
      <c r="I18" s="134"/>
      <c r="J18" s="134"/>
      <c r="K18" s="135"/>
      <c r="L18" s="136"/>
      <c r="M18" s="137"/>
      <c r="N18" s="138"/>
      <c r="O18" s="135" t="n">
        <f aca="false">7.5*0.18</f>
        <v>1.35</v>
      </c>
      <c r="P18" s="135"/>
      <c r="Q18" s="135"/>
      <c r="R18" s="139"/>
      <c r="S18" s="139"/>
      <c r="T18" s="139"/>
      <c r="U18" s="139"/>
      <c r="V18" s="139"/>
      <c r="W18" s="139" t="n">
        <f aca="false">(O18+O19)*D18/2</f>
        <v>19.5615</v>
      </c>
      <c r="X18" s="139"/>
      <c r="Y18" s="139"/>
      <c r="Z18" s="139"/>
      <c r="AA18" s="139"/>
      <c r="AB18" s="140"/>
      <c r="AC18" s="139"/>
      <c r="AE18" s="141"/>
    </row>
    <row r="19" s="131" customFormat="true" ht="15" hidden="false" customHeight="true" outlineLevel="0" collapsed="false">
      <c r="A19" s="132" t="n">
        <v>9</v>
      </c>
      <c r="B19" s="132" t="str">
        <f aca="false">'Base A'!B31</f>
        <v>D1</v>
      </c>
      <c r="C19" s="133" t="n">
        <f aca="false">'Base A'!C31</f>
        <v>126.46</v>
      </c>
      <c r="D19" s="132"/>
      <c r="E19" s="134"/>
      <c r="F19" s="134"/>
      <c r="G19" s="134"/>
      <c r="H19" s="134"/>
      <c r="I19" s="134"/>
      <c r="J19" s="134"/>
      <c r="K19" s="135"/>
      <c r="L19" s="136"/>
      <c r="M19" s="137"/>
      <c r="N19" s="138"/>
      <c r="O19" s="135" t="n">
        <f aca="false">7.5*0.18</f>
        <v>1.35</v>
      </c>
      <c r="P19" s="135"/>
      <c r="Q19" s="135"/>
      <c r="R19" s="139"/>
      <c r="S19" s="139"/>
      <c r="T19" s="139"/>
      <c r="U19" s="139"/>
      <c r="V19" s="139"/>
      <c r="W19" s="139"/>
      <c r="X19" s="139"/>
      <c r="Y19" s="139"/>
      <c r="Z19" s="139"/>
      <c r="AA19" s="139"/>
      <c r="AB19" s="140"/>
      <c r="AC19" s="139"/>
      <c r="AE19" s="141"/>
    </row>
    <row r="20" customFormat="false" ht="15.75" hidden="false" customHeight="true" outlineLevel="0" collapsed="false">
      <c r="A20" s="142" t="s">
        <v>42</v>
      </c>
      <c r="B20" s="142"/>
      <c r="C20" s="142"/>
      <c r="D20" s="142"/>
      <c r="E20" s="143"/>
      <c r="F20" s="143"/>
      <c r="G20" s="143"/>
      <c r="H20" s="143"/>
      <c r="I20" s="143"/>
      <c r="J20" s="143"/>
      <c r="K20" s="143"/>
      <c r="L20" s="143"/>
      <c r="M20" s="144"/>
      <c r="N20" s="144"/>
      <c r="O20" s="145"/>
      <c r="P20" s="145"/>
      <c r="Q20" s="145"/>
      <c r="R20" s="146" t="n">
        <f aca="false">SUM(R11:R5)</f>
        <v>0</v>
      </c>
      <c r="S20" s="146" t="n">
        <f aca="false">SUM(S11:S5)</f>
        <v>0</v>
      </c>
      <c r="T20" s="146"/>
      <c r="U20" s="147" t="n">
        <f aca="false">SUM(U11:U5)</f>
        <v>0</v>
      </c>
      <c r="V20" s="147" t="n">
        <f aca="false">SUM(V11:V5)</f>
        <v>0</v>
      </c>
      <c r="W20" s="148" t="n">
        <f aca="false">SUM(W11:W19)</f>
        <v>170.721</v>
      </c>
      <c r="X20" s="147" t="n">
        <f aca="false">SUM(X11:X5)</f>
        <v>0</v>
      </c>
      <c r="Y20" s="147" t="n">
        <f aca="false">SUM(Y11:Y5)</f>
        <v>0</v>
      </c>
      <c r="Z20" s="147" t="n">
        <f aca="false">SUM(Z11:Z5)</f>
        <v>0</v>
      </c>
      <c r="AA20" s="147" t="n">
        <f aca="false">SUM(AA11:AA5)</f>
        <v>0</v>
      </c>
      <c r="AB20" s="147"/>
      <c r="AE20" s="149"/>
      <c r="AF20" s="150"/>
      <c r="AG20" s="150"/>
      <c r="AH20" s="131"/>
      <c r="AI20" s="149"/>
      <c r="AJ20" s="149"/>
      <c r="AK20" s="149"/>
      <c r="AL20" s="149"/>
      <c r="AP20" s="74"/>
      <c r="AQ20" s="74"/>
      <c r="AR20" s="74"/>
      <c r="AS20" s="74"/>
      <c r="AT20" s="74"/>
      <c r="AU20" s="74"/>
      <c r="AV20" s="74"/>
      <c r="AW20" s="74"/>
      <c r="AX20" s="74"/>
      <c r="AY20" s="74"/>
      <c r="AZ20" s="74"/>
      <c r="BA20" s="74"/>
      <c r="BB20" s="74"/>
      <c r="BC20" s="74"/>
      <c r="BD20" s="74"/>
      <c r="BE20" s="74"/>
      <c r="BF20" s="74"/>
      <c r="BG20" s="74"/>
      <c r="BH20" s="74"/>
      <c r="BI20" s="74"/>
      <c r="BJ20" s="74"/>
      <c r="BK20" s="74"/>
      <c r="BL20" s="74"/>
      <c r="BM20" s="74"/>
      <c r="BN20" s="74"/>
      <c r="BO20" s="74"/>
      <c r="BP20" s="74"/>
      <c r="BQ20" s="74"/>
      <c r="BR20" s="74"/>
      <c r="BS20" s="74"/>
      <c r="BT20" s="74"/>
      <c r="BU20" s="74"/>
      <c r="BV20" s="74"/>
      <c r="BW20" s="74"/>
      <c r="BX20" s="74"/>
      <c r="BY20" s="74"/>
      <c r="BZ20" s="74"/>
      <c r="CA20" s="74"/>
      <c r="CB20" s="74"/>
      <c r="CC20" s="74"/>
      <c r="CD20" s="74"/>
      <c r="CE20" s="74"/>
      <c r="CF20" s="74"/>
      <c r="CG20" s="74"/>
      <c r="CH20" s="74"/>
      <c r="CI20" s="74"/>
      <c r="CJ20" s="74"/>
      <c r="CK20" s="74"/>
      <c r="CL20" s="74"/>
      <c r="CM20" s="74"/>
      <c r="CN20" s="74"/>
      <c r="CO20" s="74"/>
      <c r="CP20" s="74"/>
      <c r="CQ20" s="74"/>
      <c r="CR20" s="74"/>
      <c r="CS20" s="74"/>
      <c r="CT20" s="74"/>
      <c r="CU20" s="74"/>
      <c r="CV20" s="74"/>
      <c r="CW20" s="74"/>
      <c r="CX20" s="74"/>
      <c r="CY20" s="74"/>
      <c r="CZ20" s="74"/>
      <c r="DA20" s="74"/>
      <c r="DB20" s="74"/>
      <c r="DC20" s="74"/>
      <c r="DD20" s="74"/>
      <c r="DE20" s="74"/>
      <c r="DF20" s="74"/>
      <c r="DG20" s="74"/>
      <c r="DH20" s="74"/>
      <c r="DI20" s="74"/>
      <c r="DJ20" s="74"/>
      <c r="DK20" s="74"/>
      <c r="DL20" s="74"/>
      <c r="DM20" s="74"/>
      <c r="DN20" s="74"/>
      <c r="DO20" s="74"/>
      <c r="DP20" s="74"/>
      <c r="DQ20" s="74"/>
      <c r="DR20" s="74"/>
      <c r="DS20" s="74"/>
      <c r="DT20" s="74"/>
      <c r="DU20" s="74"/>
      <c r="DV20" s="74"/>
      <c r="DW20" s="74"/>
      <c r="DX20" s="74"/>
      <c r="DY20" s="74"/>
      <c r="DZ20" s="74"/>
      <c r="EA20" s="74"/>
      <c r="EB20" s="74"/>
      <c r="EC20" s="74"/>
      <c r="ED20" s="74"/>
      <c r="EE20" s="74"/>
      <c r="EF20" s="74"/>
      <c r="EG20" s="74"/>
      <c r="EH20" s="74"/>
      <c r="EI20" s="74"/>
      <c r="EJ20" s="74"/>
      <c r="EK20" s="74"/>
      <c r="EL20" s="74"/>
      <c r="EM20" s="74"/>
      <c r="EN20" s="74"/>
      <c r="EO20" s="74"/>
      <c r="EP20" s="74"/>
      <c r="EQ20" s="74"/>
      <c r="ER20" s="74"/>
      <c r="ES20" s="74"/>
      <c r="ET20" s="74"/>
      <c r="EU20" s="74"/>
      <c r="EV20" s="74"/>
      <c r="EW20" s="74"/>
      <c r="EX20" s="74"/>
      <c r="EY20" s="74"/>
      <c r="EZ20" s="74"/>
      <c r="FA20" s="74"/>
      <c r="FB20" s="74"/>
      <c r="FC20" s="74"/>
      <c r="FD20" s="74"/>
      <c r="FE20" s="74"/>
      <c r="FF20" s="74"/>
      <c r="FG20" s="74"/>
      <c r="FH20" s="74"/>
      <c r="FI20" s="74"/>
      <c r="FJ20" s="74"/>
      <c r="FK20" s="74"/>
      <c r="FL20" s="74"/>
      <c r="FM20" s="74"/>
      <c r="FN20" s="74"/>
      <c r="FO20" s="74"/>
      <c r="FP20" s="74"/>
      <c r="FQ20" s="74"/>
      <c r="FR20" s="74"/>
      <c r="FS20" s="74"/>
      <c r="FT20" s="74"/>
      <c r="FU20" s="74"/>
      <c r="FV20" s="74"/>
      <c r="FW20" s="74"/>
      <c r="FX20" s="74"/>
      <c r="FY20" s="74"/>
      <c r="FZ20" s="74"/>
      <c r="GA20" s="74"/>
      <c r="GB20" s="74"/>
      <c r="GC20" s="74"/>
      <c r="GD20" s="74"/>
      <c r="GE20" s="74"/>
      <c r="GF20" s="74"/>
      <c r="GG20" s="74"/>
      <c r="GH20" s="74"/>
      <c r="GI20" s="74"/>
      <c r="GJ20" s="74"/>
      <c r="GK20" s="74"/>
      <c r="GL20" s="74"/>
      <c r="GM20" s="74"/>
      <c r="GN20" s="74"/>
      <c r="GO20" s="74"/>
      <c r="GP20" s="74"/>
      <c r="GQ20" s="74"/>
      <c r="GR20" s="74"/>
      <c r="GS20" s="74"/>
      <c r="GT20" s="74"/>
      <c r="GU20" s="74"/>
      <c r="GV20" s="74"/>
      <c r="GW20" s="74"/>
      <c r="GX20" s="74"/>
      <c r="GY20" s="74"/>
      <c r="GZ20" s="74"/>
      <c r="HA20" s="74"/>
      <c r="HB20" s="74"/>
      <c r="HC20" s="74"/>
      <c r="HD20" s="74"/>
      <c r="HE20" s="74"/>
      <c r="HF20" s="74"/>
      <c r="HG20" s="74"/>
      <c r="HH20" s="74"/>
      <c r="HI20" s="74"/>
      <c r="HJ20" s="74"/>
      <c r="HK20" s="74"/>
      <c r="HL20" s="74"/>
      <c r="HM20" s="74"/>
      <c r="HN20" s="74"/>
      <c r="HO20" s="74"/>
      <c r="HP20" s="74"/>
      <c r="HQ20" s="74"/>
      <c r="HR20" s="74"/>
      <c r="HS20" s="74"/>
      <c r="HT20" s="74"/>
      <c r="HU20" s="74"/>
    </row>
    <row r="21" customFormat="false" ht="15.75" hidden="false" customHeight="true" outlineLevel="0" collapsed="false">
      <c r="A21" s="108"/>
      <c r="B21" s="108"/>
      <c r="C21" s="108"/>
      <c r="D21" s="108"/>
      <c r="E21" s="74"/>
      <c r="F21" s="74"/>
      <c r="G21" s="74"/>
      <c r="H21" s="74"/>
      <c r="I21" s="74"/>
      <c r="J21" s="74"/>
      <c r="R21" s="109"/>
      <c r="S21" s="109"/>
      <c r="T21" s="109"/>
      <c r="U21" s="110"/>
      <c r="V21" s="110"/>
      <c r="W21" s="110"/>
      <c r="X21" s="110"/>
      <c r="Y21" s="110"/>
      <c r="Z21" s="110"/>
      <c r="AA21" s="110"/>
      <c r="AB21" s="110"/>
      <c r="AE21" s="110"/>
      <c r="AF21" s="151"/>
      <c r="AG21" s="150"/>
      <c r="AH21" s="151"/>
      <c r="AI21" s="141"/>
      <c r="AJ21" s="141"/>
      <c r="AK21" s="152"/>
      <c r="AL21" s="141"/>
      <c r="AP21" s="74"/>
      <c r="AQ21" s="74"/>
      <c r="AR21" s="74"/>
      <c r="AS21" s="74"/>
      <c r="AT21" s="74"/>
      <c r="AU21" s="74"/>
      <c r="AV21" s="74"/>
      <c r="AW21" s="74"/>
      <c r="AX21" s="74"/>
      <c r="AY21" s="74"/>
      <c r="AZ21" s="74"/>
      <c r="BA21" s="74"/>
      <c r="BB21" s="74"/>
      <c r="BC21" s="74"/>
      <c r="BD21" s="74"/>
      <c r="BE21" s="74"/>
      <c r="BF21" s="74"/>
      <c r="BG21" s="74"/>
      <c r="BH21" s="74"/>
      <c r="BI21" s="74"/>
      <c r="BJ21" s="74"/>
      <c r="BK21" s="74"/>
      <c r="BL21" s="74"/>
      <c r="BM21" s="74"/>
      <c r="BN21" s="74"/>
      <c r="BO21" s="74"/>
      <c r="BP21" s="74"/>
      <c r="BQ21" s="74"/>
      <c r="BR21" s="74"/>
      <c r="BS21" s="74"/>
      <c r="BT21" s="74"/>
      <c r="BU21" s="74"/>
      <c r="BV21" s="74"/>
      <c r="BW21" s="74"/>
      <c r="BX21" s="74"/>
      <c r="BY21" s="74"/>
      <c r="BZ21" s="74"/>
      <c r="CA21" s="74"/>
      <c r="CB21" s="74"/>
      <c r="CC21" s="74"/>
      <c r="CD21" s="74"/>
      <c r="CE21" s="74"/>
      <c r="CF21" s="74"/>
      <c r="CG21" s="74"/>
      <c r="CH21" s="74"/>
      <c r="CI21" s="74"/>
      <c r="CJ21" s="74"/>
      <c r="CK21" s="74"/>
      <c r="CL21" s="74"/>
      <c r="CM21" s="74"/>
      <c r="CN21" s="74"/>
      <c r="CO21" s="74"/>
      <c r="CP21" s="74"/>
      <c r="CQ21" s="74"/>
      <c r="CR21" s="74"/>
      <c r="CS21" s="74"/>
      <c r="CT21" s="74"/>
      <c r="CU21" s="74"/>
      <c r="CV21" s="74"/>
      <c r="CW21" s="74"/>
      <c r="CX21" s="74"/>
      <c r="CY21" s="74"/>
      <c r="CZ21" s="74"/>
      <c r="DA21" s="74"/>
      <c r="DB21" s="74"/>
      <c r="DC21" s="74"/>
      <c r="DD21" s="74"/>
      <c r="DE21" s="74"/>
      <c r="DF21" s="74"/>
      <c r="DG21" s="74"/>
      <c r="DH21" s="74"/>
      <c r="DI21" s="74"/>
      <c r="DJ21" s="74"/>
      <c r="DK21" s="74"/>
      <c r="DL21" s="74"/>
      <c r="DM21" s="74"/>
      <c r="DN21" s="74"/>
      <c r="DO21" s="74"/>
      <c r="DP21" s="74"/>
      <c r="DQ21" s="74"/>
      <c r="DR21" s="74"/>
      <c r="DS21" s="74"/>
      <c r="DT21" s="74"/>
      <c r="DU21" s="74"/>
      <c r="DV21" s="74"/>
      <c r="DW21" s="74"/>
      <c r="DX21" s="74"/>
      <c r="DY21" s="74"/>
      <c r="DZ21" s="74"/>
      <c r="EA21" s="74"/>
      <c r="EB21" s="74"/>
      <c r="EC21" s="74"/>
      <c r="ED21" s="74"/>
      <c r="EE21" s="74"/>
      <c r="EF21" s="74"/>
      <c r="EG21" s="74"/>
      <c r="EH21" s="74"/>
      <c r="EI21" s="74"/>
      <c r="EJ21" s="74"/>
      <c r="EK21" s="74"/>
      <c r="EL21" s="74"/>
      <c r="EM21" s="74"/>
      <c r="EN21" s="74"/>
      <c r="EO21" s="74"/>
      <c r="EP21" s="74"/>
      <c r="EQ21" s="74"/>
      <c r="ER21" s="74"/>
      <c r="ES21" s="74"/>
      <c r="ET21" s="74"/>
      <c r="EU21" s="74"/>
      <c r="EV21" s="74"/>
      <c r="EW21" s="74"/>
      <c r="EX21" s="74"/>
      <c r="EY21" s="74"/>
      <c r="EZ21" s="74"/>
      <c r="FA21" s="74"/>
      <c r="FB21" s="74"/>
      <c r="FC21" s="74"/>
      <c r="FD21" s="74"/>
      <c r="FE21" s="74"/>
      <c r="FF21" s="74"/>
      <c r="FG21" s="74"/>
      <c r="FH21" s="74"/>
      <c r="FI21" s="74"/>
      <c r="FJ21" s="74"/>
      <c r="FK21" s="74"/>
      <c r="FL21" s="74"/>
      <c r="FM21" s="74"/>
      <c r="FN21" s="74"/>
      <c r="FO21" s="74"/>
      <c r="FP21" s="74"/>
      <c r="FQ21" s="74"/>
      <c r="FR21" s="74"/>
      <c r="FS21" s="74"/>
      <c r="FT21" s="74"/>
      <c r="FU21" s="74"/>
      <c r="FV21" s="74"/>
      <c r="FW21" s="74"/>
      <c r="FX21" s="74"/>
      <c r="FY21" s="74"/>
      <c r="FZ21" s="74"/>
      <c r="GA21" s="74"/>
      <c r="GB21" s="74"/>
      <c r="GC21" s="74"/>
      <c r="GD21" s="74"/>
      <c r="GE21" s="74"/>
      <c r="GF21" s="74"/>
      <c r="GG21" s="74"/>
      <c r="GH21" s="74"/>
      <c r="GI21" s="74"/>
      <c r="GJ21" s="74"/>
      <c r="GK21" s="74"/>
      <c r="GL21" s="74"/>
      <c r="GM21" s="74"/>
      <c r="GN21" s="74"/>
      <c r="GO21" s="74"/>
      <c r="GP21" s="74"/>
      <c r="GQ21" s="74"/>
      <c r="GR21" s="74"/>
      <c r="GS21" s="74"/>
      <c r="GT21" s="74"/>
      <c r="GU21" s="74"/>
      <c r="GV21" s="74"/>
      <c r="GW21" s="74"/>
      <c r="GX21" s="74"/>
      <c r="GY21" s="74"/>
      <c r="GZ21" s="74"/>
      <c r="HA21" s="74"/>
      <c r="HB21" s="74"/>
      <c r="HC21" s="74"/>
      <c r="HD21" s="74"/>
      <c r="HE21" s="74"/>
      <c r="HF21" s="74"/>
      <c r="HG21" s="74"/>
      <c r="HH21" s="74"/>
      <c r="HI21" s="74"/>
      <c r="HJ21" s="74"/>
      <c r="HK21" s="74"/>
      <c r="HL21" s="74"/>
      <c r="HM21" s="74"/>
      <c r="HN21" s="74"/>
      <c r="HO21" s="74"/>
      <c r="HP21" s="74"/>
      <c r="HQ21" s="74"/>
      <c r="HR21" s="74"/>
      <c r="HS21" s="74"/>
      <c r="HT21" s="74"/>
      <c r="HU21" s="74"/>
    </row>
    <row r="22" customFormat="false" ht="15.75" hidden="false" customHeight="true" outlineLevel="0" collapsed="false">
      <c r="A22" s="153" t="s">
        <v>32</v>
      </c>
      <c r="B22" s="153"/>
      <c r="C22" s="153"/>
      <c r="D22" s="154" t="s">
        <v>43</v>
      </c>
      <c r="E22" s="153" t="s">
        <v>33</v>
      </c>
      <c r="F22" s="153"/>
      <c r="G22" s="153"/>
      <c r="H22" s="153"/>
      <c r="I22" s="153"/>
      <c r="J22" s="153"/>
      <c r="K22" s="153"/>
      <c r="L22" s="153"/>
      <c r="M22" s="153"/>
      <c r="N22" s="153"/>
      <c r="O22" s="153"/>
      <c r="P22" s="153"/>
      <c r="Q22" s="153"/>
      <c r="R22" s="153"/>
      <c r="S22" s="153"/>
      <c r="T22" s="153"/>
      <c r="U22" s="153"/>
      <c r="V22" s="153"/>
      <c r="W22" s="153"/>
      <c r="X22" s="153"/>
      <c r="Y22" s="153"/>
      <c r="Z22" s="153"/>
      <c r="AA22" s="153"/>
      <c r="AB22" s="153"/>
      <c r="AE22" s="141"/>
      <c r="AF22" s="151"/>
      <c r="AI22" s="131"/>
      <c r="AJ22" s="131"/>
      <c r="AK22" s="131"/>
      <c r="AL22" s="131"/>
      <c r="AP22" s="74"/>
      <c r="AQ22" s="74"/>
      <c r="AR22" s="74"/>
      <c r="AS22" s="74"/>
      <c r="AT22" s="74"/>
      <c r="AU22" s="74"/>
      <c r="AV22" s="74"/>
      <c r="AW22" s="74"/>
      <c r="AX22" s="74"/>
      <c r="AY22" s="74"/>
      <c r="AZ22" s="74"/>
      <c r="BA22" s="74"/>
      <c r="BB22" s="74"/>
      <c r="BC22" s="74"/>
      <c r="BD22" s="74"/>
      <c r="BE22" s="74"/>
      <c r="BF22" s="74"/>
      <c r="BG22" s="74"/>
      <c r="BH22" s="74"/>
      <c r="BI22" s="74"/>
      <c r="BJ22" s="74"/>
      <c r="BK22" s="74"/>
      <c r="BL22" s="74"/>
      <c r="BM22" s="74"/>
      <c r="BN22" s="74"/>
      <c r="BO22" s="74"/>
      <c r="BP22" s="74"/>
      <c r="BQ22" s="74"/>
      <c r="BR22" s="74"/>
      <c r="BS22" s="74"/>
      <c r="BT22" s="74"/>
      <c r="BU22" s="74"/>
      <c r="BV22" s="74"/>
      <c r="BW22" s="74"/>
      <c r="BX22" s="74"/>
      <c r="BY22" s="74"/>
      <c r="BZ22" s="74"/>
      <c r="CA22" s="74"/>
      <c r="CB22" s="74"/>
      <c r="CC22" s="74"/>
      <c r="CD22" s="74"/>
      <c r="CE22" s="74"/>
      <c r="CF22" s="74"/>
      <c r="CG22" s="74"/>
      <c r="CH22" s="74"/>
      <c r="CI22" s="74"/>
      <c r="CJ22" s="74"/>
      <c r="CK22" s="74"/>
      <c r="CL22" s="74"/>
      <c r="CM22" s="74"/>
      <c r="CN22" s="74"/>
      <c r="CO22" s="74"/>
      <c r="CP22" s="74"/>
      <c r="CQ22" s="74"/>
      <c r="CR22" s="74"/>
      <c r="CS22" s="74"/>
      <c r="CT22" s="74"/>
      <c r="CU22" s="74"/>
      <c r="CV22" s="74"/>
      <c r="CW22" s="74"/>
      <c r="CX22" s="74"/>
      <c r="CY22" s="74"/>
      <c r="CZ22" s="74"/>
      <c r="DA22" s="74"/>
      <c r="DB22" s="74"/>
      <c r="DC22" s="74"/>
      <c r="DD22" s="74"/>
      <c r="DE22" s="74"/>
      <c r="DF22" s="74"/>
      <c r="DG22" s="74"/>
      <c r="DH22" s="74"/>
      <c r="DI22" s="74"/>
      <c r="DJ22" s="74"/>
      <c r="DK22" s="74"/>
      <c r="DL22" s="74"/>
      <c r="DM22" s="74"/>
      <c r="DN22" s="74"/>
      <c r="DO22" s="74"/>
      <c r="DP22" s="74"/>
      <c r="DQ22" s="74"/>
      <c r="DR22" s="74"/>
      <c r="DS22" s="74"/>
      <c r="DT22" s="74"/>
      <c r="DU22" s="74"/>
      <c r="DV22" s="74"/>
      <c r="DW22" s="74"/>
      <c r="DX22" s="74"/>
      <c r="DY22" s="74"/>
      <c r="DZ22" s="74"/>
      <c r="EA22" s="74"/>
      <c r="EB22" s="74"/>
      <c r="EC22" s="74"/>
      <c r="ED22" s="74"/>
      <c r="EE22" s="74"/>
      <c r="EF22" s="74"/>
      <c r="EG22" s="74"/>
      <c r="EH22" s="74"/>
      <c r="EI22" s="74"/>
      <c r="EJ22" s="74"/>
      <c r="EK22" s="74"/>
      <c r="EL22" s="74"/>
      <c r="EM22" s="74"/>
      <c r="EN22" s="74"/>
      <c r="EO22" s="74"/>
      <c r="EP22" s="74"/>
      <c r="EQ22" s="74"/>
      <c r="ER22" s="74"/>
      <c r="ES22" s="74"/>
      <c r="ET22" s="74"/>
      <c r="EU22" s="74"/>
      <c r="EV22" s="74"/>
      <c r="EW22" s="74"/>
      <c r="EX22" s="74"/>
      <c r="EY22" s="74"/>
      <c r="EZ22" s="74"/>
      <c r="FA22" s="74"/>
      <c r="FB22" s="74"/>
      <c r="FC22" s="74"/>
      <c r="FD22" s="74"/>
      <c r="FE22" s="74"/>
      <c r="FF22" s="74"/>
      <c r="FG22" s="74"/>
      <c r="FH22" s="74"/>
      <c r="FI22" s="74"/>
      <c r="FJ22" s="74"/>
      <c r="FK22" s="74"/>
      <c r="FL22" s="74"/>
      <c r="FM22" s="74"/>
      <c r="FN22" s="74"/>
      <c r="FO22" s="74"/>
      <c r="FP22" s="74"/>
      <c r="FQ22" s="74"/>
      <c r="FR22" s="74"/>
      <c r="FS22" s="74"/>
      <c r="FT22" s="74"/>
      <c r="FU22" s="74"/>
      <c r="FV22" s="74"/>
      <c r="FW22" s="74"/>
      <c r="FX22" s="74"/>
      <c r="FY22" s="74"/>
      <c r="FZ22" s="74"/>
      <c r="GA22" s="74"/>
      <c r="GB22" s="74"/>
      <c r="GC22" s="74"/>
      <c r="GD22" s="74"/>
      <c r="GE22" s="74"/>
      <c r="GF22" s="74"/>
      <c r="GG22" s="74"/>
      <c r="GH22" s="74"/>
      <c r="GI22" s="74"/>
      <c r="GJ22" s="74"/>
      <c r="GK22" s="74"/>
      <c r="GL22" s="74"/>
      <c r="GM22" s="74"/>
      <c r="GN22" s="74"/>
      <c r="GO22" s="74"/>
      <c r="GP22" s="74"/>
      <c r="GQ22" s="74"/>
      <c r="GR22" s="74"/>
      <c r="GS22" s="74"/>
      <c r="GT22" s="74"/>
      <c r="GU22" s="74"/>
      <c r="GV22" s="74"/>
      <c r="GW22" s="74"/>
      <c r="GX22" s="74"/>
      <c r="GY22" s="74"/>
      <c r="GZ22" s="74"/>
      <c r="HA22" s="74"/>
      <c r="HB22" s="74"/>
      <c r="HC22" s="74"/>
      <c r="HD22" s="74"/>
      <c r="HE22" s="74"/>
      <c r="HF22" s="74"/>
      <c r="HG22" s="74"/>
      <c r="HH22" s="74"/>
      <c r="HI22" s="74"/>
      <c r="HJ22" s="74"/>
      <c r="HK22" s="74"/>
      <c r="HL22" s="74"/>
      <c r="HM22" s="74"/>
      <c r="HN22" s="74"/>
      <c r="HO22" s="74"/>
      <c r="HP22" s="74"/>
      <c r="HQ22" s="74"/>
      <c r="HR22" s="74"/>
      <c r="HS22" s="74"/>
      <c r="HT22" s="74"/>
      <c r="HU22" s="74"/>
    </row>
    <row r="23" customFormat="false" ht="15.75" hidden="false" customHeight="true" outlineLevel="0" collapsed="false">
      <c r="A23" s="113"/>
      <c r="B23" s="113"/>
      <c r="C23" s="113"/>
      <c r="D23" s="114"/>
      <c r="E23" s="114"/>
      <c r="F23" s="114"/>
      <c r="G23" s="114"/>
      <c r="H23" s="114"/>
      <c r="I23" s="114"/>
      <c r="J23" s="114"/>
      <c r="K23" s="114"/>
      <c r="L23" s="114"/>
      <c r="M23" s="114"/>
      <c r="N23" s="114"/>
      <c r="O23" s="114"/>
      <c r="P23" s="114"/>
      <c r="Q23" s="114"/>
      <c r="R23" s="114"/>
      <c r="S23" s="114"/>
      <c r="T23" s="114"/>
      <c r="U23" s="114"/>
      <c r="V23" s="114"/>
      <c r="W23" s="114"/>
      <c r="Z23" s="74"/>
      <c r="AA23" s="74"/>
      <c r="AB23" s="74"/>
      <c r="AC23" s="74"/>
      <c r="AD23" s="74"/>
      <c r="AI23" s="131"/>
      <c r="AJ23" s="131"/>
      <c r="AK23" s="131"/>
      <c r="AL23" s="131"/>
      <c r="HV23" s="74"/>
    </row>
    <row r="24" customFormat="false" ht="15.75" hidden="false" customHeight="true" outlineLevel="0" collapsed="false">
      <c r="A24" s="113"/>
      <c r="B24" s="113"/>
      <c r="C24" s="115"/>
      <c r="D24" s="115"/>
      <c r="E24" s="114"/>
      <c r="F24" s="114"/>
      <c r="G24" s="114"/>
      <c r="H24" s="114"/>
      <c r="I24" s="114"/>
      <c r="J24" s="114"/>
      <c r="K24" s="114"/>
      <c r="L24" s="114"/>
      <c r="M24" s="114"/>
      <c r="N24" s="114"/>
      <c r="O24" s="114"/>
      <c r="P24" s="114"/>
      <c r="Q24" s="114"/>
      <c r="R24" s="114"/>
      <c r="S24" s="114"/>
      <c r="T24" s="114"/>
      <c r="U24" s="114"/>
      <c r="V24" s="114"/>
      <c r="W24" s="114"/>
      <c r="Z24" s="74"/>
      <c r="AA24" s="74"/>
      <c r="AB24" s="74"/>
      <c r="AC24" s="74"/>
      <c r="AD24" s="74"/>
      <c r="AE24" s="74"/>
      <c r="AF24" s="79"/>
      <c r="AG24" s="74"/>
      <c r="AH24" s="74"/>
      <c r="AI24" s="74"/>
      <c r="AJ24" s="74"/>
      <c r="AK24" s="74"/>
      <c r="AL24" s="74"/>
      <c r="AM24" s="74"/>
      <c r="HV24" s="74"/>
    </row>
    <row r="25" customFormat="false" ht="15" hidden="false" customHeight="true" outlineLevel="0" collapsed="false">
      <c r="A25" s="113"/>
      <c r="B25" s="113"/>
      <c r="C25" s="113"/>
      <c r="D25" s="114"/>
      <c r="E25" s="114"/>
      <c r="F25" s="114"/>
      <c r="G25" s="114"/>
      <c r="H25" s="114"/>
      <c r="I25" s="114"/>
      <c r="J25" s="114"/>
      <c r="K25" s="114"/>
      <c r="L25" s="114"/>
      <c r="M25" s="114"/>
      <c r="N25" s="114"/>
      <c r="O25" s="114"/>
      <c r="P25" s="114"/>
      <c r="Q25" s="114"/>
      <c r="R25" s="114"/>
      <c r="S25" s="114"/>
      <c r="T25" s="114"/>
      <c r="U25" s="114"/>
      <c r="V25" s="114"/>
      <c r="W25" s="114"/>
      <c r="Z25" s="74"/>
      <c r="AA25" s="74"/>
      <c r="AB25" s="74"/>
      <c r="AC25" s="74"/>
      <c r="AD25" s="74"/>
      <c r="AE25" s="74"/>
      <c r="AF25" s="74"/>
      <c r="AG25" s="74"/>
      <c r="AH25" s="74"/>
      <c r="AI25" s="74"/>
      <c r="AJ25" s="74"/>
      <c r="AK25" s="74"/>
      <c r="AL25" s="74"/>
      <c r="AM25" s="74"/>
      <c r="HV25" s="74"/>
    </row>
    <row r="26" customFormat="false" ht="15" hidden="false" customHeight="true" outlineLevel="0" collapsed="false">
      <c r="A26" s="113"/>
      <c r="B26" s="113"/>
      <c r="C26" s="113"/>
      <c r="D26" s="114"/>
      <c r="E26" s="114"/>
      <c r="F26" s="114"/>
      <c r="G26" s="114"/>
      <c r="H26" s="114"/>
      <c r="I26" s="114"/>
      <c r="J26" s="114"/>
      <c r="K26" s="114"/>
      <c r="L26" s="114"/>
      <c r="M26" s="114"/>
      <c r="N26" s="114"/>
      <c r="O26" s="114"/>
      <c r="P26" s="114"/>
      <c r="Q26" s="114"/>
      <c r="R26" s="114"/>
      <c r="S26" s="114"/>
      <c r="T26" s="114"/>
      <c r="U26" s="114"/>
      <c r="V26" s="114"/>
      <c r="W26" s="114"/>
      <c r="Z26" s="74"/>
      <c r="AA26" s="74"/>
      <c r="AB26" s="74"/>
      <c r="AC26" s="74"/>
      <c r="AD26" s="74"/>
      <c r="AE26" s="74"/>
      <c r="AF26" s="74"/>
      <c r="AG26" s="74"/>
      <c r="AH26" s="74"/>
      <c r="AI26" s="74"/>
      <c r="AJ26" s="74"/>
      <c r="AK26" s="74"/>
      <c r="AL26" s="74"/>
      <c r="AM26" s="74"/>
      <c r="HV26" s="74"/>
    </row>
    <row r="27" customFormat="false" ht="15" hidden="false" customHeight="true" outlineLevel="0" collapsed="false">
      <c r="A27" s="113"/>
      <c r="B27" s="113"/>
      <c r="C27" s="113"/>
      <c r="D27" s="114"/>
      <c r="E27" s="114"/>
      <c r="F27" s="114"/>
      <c r="G27" s="114"/>
      <c r="H27" s="114"/>
      <c r="I27" s="114"/>
      <c r="J27" s="114"/>
      <c r="K27" s="114"/>
      <c r="L27" s="114"/>
      <c r="M27" s="114"/>
      <c r="N27" s="114"/>
      <c r="O27" s="114"/>
      <c r="P27" s="114"/>
      <c r="Q27" s="114"/>
      <c r="R27" s="114"/>
      <c r="S27" s="114"/>
      <c r="T27" s="114"/>
      <c r="U27" s="114"/>
      <c r="V27" s="114"/>
      <c r="W27" s="114"/>
      <c r="Z27" s="74"/>
      <c r="AA27" s="74"/>
      <c r="AB27" s="74"/>
      <c r="AC27" s="74"/>
      <c r="AD27" s="74"/>
      <c r="AE27" s="74"/>
      <c r="AF27" s="74"/>
      <c r="AG27" s="74"/>
      <c r="AH27" s="74"/>
      <c r="AI27" s="74"/>
      <c r="AJ27" s="74"/>
      <c r="AK27" s="74"/>
      <c r="AL27" s="74"/>
      <c r="AM27" s="74"/>
      <c r="HV27" s="74"/>
    </row>
    <row r="28" customFormat="false" ht="15.75" hidden="false" customHeight="true" outlineLevel="0" collapsed="false">
      <c r="A28" s="153" t="s">
        <v>34</v>
      </c>
      <c r="B28" s="153"/>
      <c r="C28" s="153"/>
      <c r="D28" s="155"/>
      <c r="E28" s="155"/>
      <c r="F28" s="155"/>
      <c r="G28" s="155"/>
      <c r="H28" s="155"/>
      <c r="I28" s="155"/>
      <c r="J28" s="155"/>
      <c r="K28" s="155"/>
      <c r="L28" s="155"/>
      <c r="M28" s="153" t="s">
        <v>35</v>
      </c>
      <c r="N28" s="153"/>
      <c r="O28" s="153"/>
      <c r="P28" s="153"/>
      <c r="Q28" s="153"/>
      <c r="R28" s="153"/>
      <c r="S28" s="153"/>
      <c r="T28" s="153"/>
      <c r="U28" s="153"/>
      <c r="V28" s="153"/>
      <c r="W28" s="153"/>
      <c r="X28" s="153"/>
      <c r="Y28" s="153"/>
      <c r="Z28" s="153"/>
      <c r="AA28" s="153"/>
      <c r="AB28" s="153"/>
      <c r="AC28" s="74"/>
      <c r="AD28" s="74"/>
      <c r="AE28" s="74"/>
      <c r="AF28" s="74"/>
      <c r="AG28" s="74"/>
      <c r="AH28" s="74"/>
      <c r="AI28" s="74"/>
      <c r="AJ28" s="74"/>
      <c r="AK28" s="74"/>
      <c r="AL28" s="74"/>
      <c r="AM28" s="74"/>
      <c r="HV28" s="74"/>
    </row>
    <row r="29" customFormat="false" ht="15.75" hidden="false" customHeight="true" outlineLevel="0" collapsed="false">
      <c r="A29" s="131"/>
      <c r="B29" s="131"/>
      <c r="C29" s="131"/>
      <c r="D29" s="131"/>
      <c r="E29" s="131"/>
      <c r="F29" s="131"/>
      <c r="G29" s="131"/>
      <c r="H29" s="131"/>
      <c r="I29" s="131"/>
      <c r="J29" s="131"/>
      <c r="K29" s="131"/>
      <c r="L29" s="131"/>
      <c r="M29" s="131"/>
      <c r="N29" s="131"/>
      <c r="O29" s="131"/>
      <c r="P29" s="131"/>
      <c r="Q29" s="131"/>
      <c r="R29" s="131"/>
      <c r="S29" s="131"/>
      <c r="T29" s="131"/>
      <c r="U29" s="131"/>
      <c r="V29" s="131"/>
      <c r="W29" s="131"/>
      <c r="X29" s="131"/>
      <c r="Y29" s="131"/>
      <c r="Z29" s="131"/>
      <c r="AA29" s="131"/>
      <c r="AB29" s="131"/>
      <c r="AC29" s="131"/>
    </row>
    <row r="30" customFormat="false" ht="12.75" hidden="false" customHeight="false" outlineLevel="0" collapsed="false">
      <c r="A30" s="81"/>
      <c r="B30" s="81"/>
      <c r="C30" s="81"/>
      <c r="D30" s="81"/>
      <c r="E30" s="81"/>
      <c r="F30" s="81"/>
      <c r="G30" s="81"/>
      <c r="H30" s="81"/>
      <c r="I30" s="81"/>
      <c r="J30" s="81"/>
      <c r="K30" s="81"/>
      <c r="L30" s="81"/>
      <c r="M30" s="81"/>
      <c r="N30" s="81"/>
      <c r="O30" s="81"/>
      <c r="P30" s="81"/>
      <c r="Q30" s="81"/>
      <c r="R30" s="81"/>
      <c r="S30" s="81"/>
      <c r="T30" s="81"/>
      <c r="U30" s="81"/>
      <c r="V30" s="81"/>
      <c r="W30" s="81"/>
      <c r="X30" s="81"/>
      <c r="Y30" s="81"/>
      <c r="Z30" s="81"/>
      <c r="AA30" s="81"/>
      <c r="AB30" s="81"/>
      <c r="AC30" s="81"/>
    </row>
    <row r="31" customFormat="false" ht="12.75" hidden="false" customHeight="false" outlineLevel="0" collapsed="false">
      <c r="A31" s="81"/>
      <c r="B31" s="81"/>
      <c r="C31" s="81"/>
      <c r="D31" s="81"/>
      <c r="E31" s="81"/>
      <c r="F31" s="81"/>
      <c r="G31" s="81"/>
      <c r="H31" s="81"/>
      <c r="I31" s="81"/>
      <c r="J31" s="81"/>
      <c r="K31" s="81"/>
      <c r="L31" s="81"/>
      <c r="M31" s="81"/>
      <c r="N31" s="81"/>
      <c r="O31" s="81"/>
      <c r="P31" s="81"/>
      <c r="Q31" s="81"/>
      <c r="R31" s="81"/>
      <c r="S31" s="81"/>
      <c r="T31" s="81"/>
      <c r="U31" s="81"/>
      <c r="V31" s="81"/>
      <c r="W31" s="81"/>
      <c r="X31" s="81"/>
      <c r="Y31" s="81"/>
      <c r="Z31" s="81"/>
      <c r="AA31" s="81"/>
      <c r="AB31" s="81"/>
      <c r="AC31" s="81"/>
    </row>
    <row r="32" customFormat="false" ht="12.75" hidden="false" customHeight="false" outlineLevel="0" collapsed="false">
      <c r="A32" s="81"/>
      <c r="B32" s="81"/>
      <c r="C32" s="81"/>
      <c r="D32" s="81"/>
      <c r="E32" s="81"/>
      <c r="F32" s="81"/>
      <c r="G32" s="81"/>
      <c r="H32" s="81"/>
      <c r="I32" s="81"/>
      <c r="J32" s="81"/>
      <c r="K32" s="81"/>
      <c r="L32" s="81"/>
      <c r="M32" s="81"/>
      <c r="N32" s="81"/>
      <c r="O32" s="81"/>
      <c r="P32" s="81"/>
      <c r="Q32" s="81"/>
      <c r="R32" s="81"/>
      <c r="S32" s="81"/>
      <c r="T32" s="81"/>
      <c r="U32" s="81"/>
      <c r="V32" s="81"/>
      <c r="W32" s="81"/>
      <c r="X32" s="81"/>
      <c r="Y32" s="81"/>
      <c r="Z32" s="81"/>
      <c r="AA32" s="81"/>
      <c r="AB32" s="81"/>
      <c r="AC32" s="81"/>
    </row>
    <row r="33" customFormat="false" ht="12.75" hidden="false" customHeight="false" outlineLevel="0" collapsed="false">
      <c r="A33" s="81"/>
      <c r="B33" s="81"/>
      <c r="C33" s="81"/>
      <c r="D33" s="81"/>
      <c r="E33" s="81"/>
      <c r="F33" s="81"/>
      <c r="G33" s="81"/>
      <c r="H33" s="81"/>
      <c r="I33" s="81"/>
      <c r="J33" s="81"/>
      <c r="K33" s="81"/>
      <c r="L33" s="81"/>
      <c r="M33" s="81"/>
      <c r="N33" s="81"/>
      <c r="O33" s="81"/>
      <c r="P33" s="81"/>
      <c r="Q33" s="81"/>
      <c r="R33" s="81"/>
      <c r="S33" s="81"/>
      <c r="T33" s="81"/>
      <c r="U33" s="81"/>
      <c r="V33" s="81"/>
      <c r="W33" s="81"/>
      <c r="X33" s="81"/>
      <c r="Y33" s="81"/>
      <c r="Z33" s="81"/>
      <c r="AA33" s="81"/>
      <c r="AB33" s="81"/>
      <c r="AC33" s="81"/>
    </row>
    <row r="34" customFormat="false" ht="12.75" hidden="false" customHeight="false" outlineLevel="0" collapsed="false">
      <c r="A34" s="81"/>
      <c r="B34" s="81"/>
      <c r="C34" s="81"/>
      <c r="D34" s="81"/>
      <c r="E34" s="81"/>
      <c r="F34" s="81"/>
      <c r="G34" s="81"/>
      <c r="H34" s="81"/>
      <c r="I34" s="81"/>
      <c r="J34" s="81"/>
      <c r="K34" s="81"/>
      <c r="L34" s="81"/>
      <c r="M34" s="81"/>
      <c r="N34" s="81"/>
      <c r="O34" s="81"/>
      <c r="P34" s="81"/>
      <c r="Q34" s="81"/>
      <c r="R34" s="81"/>
      <c r="S34" s="81"/>
      <c r="T34" s="81"/>
      <c r="U34" s="81"/>
      <c r="V34" s="81"/>
      <c r="W34" s="81"/>
      <c r="X34" s="81"/>
      <c r="Y34" s="81"/>
      <c r="Z34" s="81"/>
      <c r="AA34" s="81"/>
      <c r="AB34" s="81"/>
      <c r="AC34" s="81"/>
    </row>
    <row r="35" customFormat="false" ht="12.75" hidden="false" customHeight="false" outlineLevel="0" collapsed="false">
      <c r="A35" s="81"/>
      <c r="B35" s="81"/>
      <c r="C35" s="81"/>
      <c r="D35" s="81"/>
      <c r="E35" s="81"/>
      <c r="F35" s="81"/>
      <c r="G35" s="81"/>
      <c r="H35" s="81"/>
      <c r="I35" s="81"/>
      <c r="J35" s="81"/>
      <c r="K35" s="81"/>
      <c r="L35" s="81"/>
      <c r="M35" s="81"/>
      <c r="N35" s="81"/>
      <c r="O35" s="81"/>
      <c r="P35" s="81"/>
      <c r="Q35" s="81"/>
      <c r="R35" s="81"/>
      <c r="S35" s="81"/>
      <c r="T35" s="81"/>
      <c r="U35" s="81"/>
      <c r="V35" s="81"/>
      <c r="W35" s="81"/>
      <c r="X35" s="81"/>
      <c r="Y35" s="81"/>
      <c r="Z35" s="81"/>
      <c r="AA35" s="81"/>
      <c r="AB35" s="81"/>
      <c r="AC35" s="81"/>
    </row>
    <row r="36" customFormat="false" ht="12.75" hidden="false" customHeight="false" outlineLevel="0" collapsed="false">
      <c r="A36" s="81"/>
      <c r="B36" s="81"/>
      <c r="C36" s="81"/>
      <c r="D36" s="81"/>
      <c r="E36" s="81"/>
      <c r="F36" s="81"/>
      <c r="G36" s="81"/>
      <c r="H36" s="81"/>
      <c r="I36" s="81"/>
      <c r="J36" s="81"/>
      <c r="K36" s="81"/>
      <c r="L36" s="81"/>
      <c r="M36" s="81"/>
      <c r="N36" s="81"/>
      <c r="O36" s="81"/>
      <c r="P36" s="81"/>
      <c r="Q36" s="81"/>
      <c r="R36" s="81"/>
      <c r="S36" s="81"/>
      <c r="T36" s="81"/>
      <c r="U36" s="81"/>
      <c r="V36" s="81"/>
      <c r="W36" s="81"/>
      <c r="X36" s="81"/>
      <c r="Y36" s="81"/>
      <c r="Z36" s="81"/>
      <c r="AA36" s="81"/>
      <c r="AB36" s="81"/>
      <c r="AC36" s="81"/>
    </row>
    <row r="37" customFormat="false" ht="12.75" hidden="false" customHeight="false" outlineLevel="0" collapsed="false">
      <c r="A37" s="81"/>
      <c r="B37" s="81"/>
      <c r="C37" s="81"/>
      <c r="D37" s="81"/>
      <c r="E37" s="81"/>
      <c r="F37" s="81"/>
      <c r="G37" s="81"/>
      <c r="H37" s="81"/>
      <c r="I37" s="81"/>
      <c r="J37" s="81"/>
      <c r="K37" s="81"/>
      <c r="L37" s="81"/>
      <c r="M37" s="81"/>
      <c r="N37" s="81"/>
      <c r="O37" s="81"/>
      <c r="P37" s="81"/>
      <c r="Q37" s="81"/>
      <c r="R37" s="81"/>
      <c r="S37" s="81"/>
      <c r="T37" s="81"/>
      <c r="U37" s="81"/>
      <c r="V37" s="81"/>
      <c r="W37" s="81"/>
      <c r="X37" s="81"/>
      <c r="Y37" s="81"/>
      <c r="Z37" s="81"/>
      <c r="AA37" s="81"/>
      <c r="AB37" s="81"/>
      <c r="AC37" s="81"/>
    </row>
    <row r="38" customFormat="false" ht="12.75" hidden="false" customHeight="false" outlineLevel="0" collapsed="false">
      <c r="A38" s="81"/>
      <c r="B38" s="81"/>
      <c r="C38" s="81"/>
      <c r="D38" s="81"/>
      <c r="E38" s="81"/>
      <c r="F38" s="81"/>
      <c r="G38" s="81"/>
      <c r="H38" s="81"/>
      <c r="I38" s="81"/>
      <c r="J38" s="81"/>
      <c r="K38" s="81"/>
      <c r="L38" s="81"/>
      <c r="M38" s="81"/>
      <c r="N38" s="81"/>
      <c r="O38" s="81"/>
      <c r="P38" s="81"/>
      <c r="Q38" s="81"/>
      <c r="R38" s="81"/>
      <c r="S38" s="81"/>
      <c r="T38" s="81"/>
      <c r="U38" s="81"/>
      <c r="V38" s="81"/>
      <c r="W38" s="81"/>
      <c r="X38" s="81"/>
      <c r="Y38" s="81"/>
      <c r="Z38" s="81"/>
      <c r="AA38" s="81"/>
      <c r="AB38" s="81"/>
      <c r="AC38" s="81"/>
    </row>
    <row r="39" customFormat="false" ht="12.75" hidden="false" customHeight="false" outlineLevel="0" collapsed="false">
      <c r="A39" s="81"/>
      <c r="B39" s="81"/>
      <c r="C39" s="81"/>
      <c r="D39" s="81"/>
      <c r="E39" s="81"/>
      <c r="F39" s="81"/>
      <c r="G39" s="81"/>
      <c r="H39" s="81"/>
      <c r="I39" s="81"/>
      <c r="J39" s="81"/>
      <c r="K39" s="81"/>
      <c r="L39" s="81"/>
      <c r="M39" s="81"/>
      <c r="N39" s="81"/>
      <c r="O39" s="81"/>
      <c r="P39" s="81"/>
      <c r="Q39" s="81"/>
      <c r="R39" s="81"/>
      <c r="S39" s="81"/>
      <c r="T39" s="81"/>
      <c r="U39" s="81"/>
      <c r="V39" s="81"/>
      <c r="W39" s="81"/>
      <c r="X39" s="81"/>
      <c r="Y39" s="81"/>
      <c r="Z39" s="81"/>
      <c r="AA39" s="81"/>
      <c r="AB39" s="81"/>
      <c r="AC39" s="81"/>
    </row>
    <row r="40" customFormat="false" ht="12.75" hidden="false" customHeight="false" outlineLevel="0" collapsed="false">
      <c r="A40" s="81"/>
      <c r="B40" s="81"/>
      <c r="C40" s="81"/>
      <c r="D40" s="81"/>
      <c r="E40" s="81"/>
      <c r="F40" s="81"/>
      <c r="G40" s="81"/>
      <c r="H40" s="81"/>
      <c r="I40" s="81"/>
      <c r="J40" s="81"/>
      <c r="K40" s="81"/>
      <c r="L40" s="81"/>
      <c r="M40" s="81"/>
      <c r="N40" s="81"/>
      <c r="O40" s="81"/>
      <c r="P40" s="81"/>
      <c r="Q40" s="81"/>
      <c r="R40" s="81"/>
      <c r="S40" s="81"/>
      <c r="T40" s="81"/>
      <c r="U40" s="81"/>
      <c r="V40" s="81"/>
      <c r="W40" s="81"/>
      <c r="X40" s="81"/>
      <c r="Y40" s="81"/>
      <c r="Z40" s="81"/>
      <c r="AA40" s="81"/>
      <c r="AB40" s="81"/>
      <c r="AC40" s="81"/>
    </row>
    <row r="41" customFormat="false" ht="12.75" hidden="false" customHeight="false" outlineLevel="0" collapsed="false">
      <c r="A41" s="81"/>
      <c r="B41" s="81"/>
      <c r="C41" s="81"/>
      <c r="D41" s="81"/>
      <c r="E41" s="81"/>
      <c r="F41" s="81"/>
      <c r="G41" s="81"/>
      <c r="H41" s="81"/>
      <c r="I41" s="81"/>
      <c r="J41" s="81"/>
      <c r="K41" s="81"/>
      <c r="L41" s="81"/>
      <c r="M41" s="81"/>
      <c r="N41" s="81"/>
      <c r="O41" s="81"/>
      <c r="P41" s="81"/>
      <c r="Q41" s="81"/>
      <c r="R41" s="81"/>
      <c r="S41" s="81"/>
      <c r="T41" s="81"/>
      <c r="U41" s="81"/>
      <c r="V41" s="81"/>
      <c r="W41" s="81"/>
      <c r="X41" s="81"/>
      <c r="Y41" s="81"/>
      <c r="Z41" s="81"/>
      <c r="AA41" s="81"/>
      <c r="AB41" s="81"/>
      <c r="AC41" s="81"/>
    </row>
    <row r="42" customFormat="false" ht="12.75" hidden="false" customHeight="false" outlineLevel="0" collapsed="false">
      <c r="A42" s="81"/>
      <c r="B42" s="81"/>
      <c r="C42" s="81"/>
      <c r="D42" s="81"/>
      <c r="E42" s="81"/>
      <c r="F42" s="81"/>
      <c r="G42" s="81"/>
      <c r="H42" s="81"/>
      <c r="I42" s="81"/>
      <c r="J42" s="81"/>
      <c r="K42" s="81"/>
      <c r="L42" s="81"/>
      <c r="M42" s="81"/>
      <c r="N42" s="81"/>
      <c r="O42" s="81"/>
      <c r="P42" s="81"/>
      <c r="Q42" s="81"/>
      <c r="R42" s="81"/>
      <c r="S42" s="81"/>
      <c r="T42" s="81"/>
      <c r="U42" s="81"/>
      <c r="V42" s="81"/>
      <c r="W42" s="81"/>
      <c r="X42" s="81"/>
      <c r="Y42" s="81"/>
      <c r="Z42" s="81"/>
      <c r="AA42" s="81"/>
      <c r="AB42" s="81"/>
      <c r="AC42" s="81"/>
    </row>
    <row r="43" customFormat="false" ht="12.75" hidden="false" customHeight="false" outlineLevel="0" collapsed="false">
      <c r="A43" s="81"/>
      <c r="B43" s="81"/>
      <c r="C43" s="81"/>
      <c r="D43" s="81"/>
      <c r="E43" s="81"/>
      <c r="F43" s="81"/>
      <c r="G43" s="81"/>
      <c r="H43" s="81"/>
      <c r="I43" s="81"/>
      <c r="J43" s="81"/>
      <c r="K43" s="81"/>
      <c r="L43" s="81"/>
      <c r="M43" s="81"/>
      <c r="N43" s="81"/>
      <c r="O43" s="81"/>
      <c r="P43" s="81"/>
      <c r="Q43" s="81"/>
      <c r="R43" s="81"/>
      <c r="S43" s="81"/>
      <c r="T43" s="81"/>
      <c r="U43" s="81"/>
      <c r="V43" s="81"/>
      <c r="W43" s="81"/>
      <c r="X43" s="81"/>
      <c r="Y43" s="81"/>
      <c r="Z43" s="81"/>
      <c r="AA43" s="81"/>
      <c r="AB43" s="81"/>
      <c r="AC43" s="81"/>
    </row>
    <row r="44" customFormat="false" ht="12.75" hidden="false" customHeight="false" outlineLevel="0" collapsed="false">
      <c r="A44" s="81"/>
      <c r="B44" s="81"/>
      <c r="C44" s="81"/>
      <c r="D44" s="81"/>
      <c r="E44" s="81"/>
      <c r="F44" s="81"/>
      <c r="G44" s="81"/>
      <c r="H44" s="81"/>
      <c r="I44" s="81"/>
      <c r="J44" s="81"/>
      <c r="K44" s="81"/>
      <c r="L44" s="81"/>
      <c r="M44" s="81"/>
      <c r="N44" s="81"/>
      <c r="O44" s="81"/>
      <c r="P44" s="81"/>
      <c r="Q44" s="81"/>
      <c r="R44" s="81"/>
      <c r="S44" s="81"/>
      <c r="T44" s="81"/>
      <c r="U44" s="81"/>
      <c r="V44" s="81"/>
      <c r="W44" s="81"/>
      <c r="X44" s="81"/>
      <c r="Y44" s="81"/>
      <c r="Z44" s="81"/>
      <c r="AA44" s="81"/>
      <c r="AB44" s="81"/>
      <c r="AC44" s="81"/>
    </row>
    <row r="45" customFormat="false" ht="12.75" hidden="false" customHeight="false" outlineLevel="0" collapsed="false">
      <c r="A45" s="81"/>
      <c r="B45" s="81"/>
      <c r="C45" s="81"/>
      <c r="D45" s="81"/>
      <c r="E45" s="81"/>
      <c r="F45" s="81"/>
      <c r="G45" s="81"/>
      <c r="H45" s="81"/>
      <c r="I45" s="81"/>
      <c r="J45" s="81"/>
      <c r="K45" s="81"/>
      <c r="L45" s="81"/>
      <c r="M45" s="81"/>
      <c r="N45" s="81"/>
      <c r="O45" s="81"/>
      <c r="P45" s="81"/>
      <c r="Q45" s="81"/>
      <c r="R45" s="81"/>
      <c r="S45" s="81"/>
      <c r="T45" s="81"/>
      <c r="U45" s="81"/>
      <c r="V45" s="81"/>
      <c r="W45" s="81"/>
      <c r="X45" s="81"/>
      <c r="Y45" s="81"/>
      <c r="Z45" s="81"/>
      <c r="AA45" s="81"/>
      <c r="AB45" s="81"/>
      <c r="AC45" s="81"/>
    </row>
    <row r="46" customFormat="false" ht="12.75" hidden="false" customHeight="false" outlineLevel="0" collapsed="false">
      <c r="A46" s="81"/>
      <c r="B46" s="81"/>
      <c r="C46" s="81"/>
      <c r="D46" s="81"/>
      <c r="E46" s="81"/>
      <c r="F46" s="81"/>
      <c r="G46" s="81"/>
      <c r="H46" s="81"/>
      <c r="I46" s="81"/>
      <c r="J46" s="81"/>
      <c r="K46" s="81"/>
      <c r="L46" s="81"/>
      <c r="M46" s="81"/>
      <c r="N46" s="81"/>
      <c r="O46" s="81"/>
      <c r="P46" s="81"/>
      <c r="Q46" s="81"/>
      <c r="R46" s="81"/>
      <c r="S46" s="81"/>
      <c r="T46" s="81"/>
      <c r="U46" s="81"/>
      <c r="V46" s="81"/>
      <c r="W46" s="81"/>
      <c r="X46" s="81"/>
      <c r="Y46" s="81"/>
      <c r="Z46" s="81"/>
      <c r="AA46" s="81"/>
      <c r="AB46" s="81"/>
      <c r="AC46" s="81"/>
    </row>
    <row r="47" customFormat="false" ht="12.75" hidden="false" customHeight="false" outlineLevel="0" collapsed="false">
      <c r="A47" s="81"/>
      <c r="B47" s="81"/>
      <c r="C47" s="81"/>
      <c r="D47" s="81"/>
      <c r="E47" s="81"/>
      <c r="F47" s="81"/>
      <c r="G47" s="81"/>
      <c r="H47" s="81"/>
      <c r="I47" s="81"/>
      <c r="J47" s="81"/>
      <c r="K47" s="81"/>
      <c r="L47" s="81"/>
      <c r="M47" s="81"/>
      <c r="N47" s="81"/>
      <c r="O47" s="81"/>
      <c r="P47" s="81"/>
      <c r="Q47" s="81"/>
      <c r="R47" s="81"/>
      <c r="S47" s="81"/>
      <c r="T47" s="81"/>
      <c r="U47" s="81"/>
      <c r="V47" s="81"/>
      <c r="W47" s="81"/>
      <c r="X47" s="81"/>
      <c r="Y47" s="81"/>
      <c r="Z47" s="81"/>
      <c r="AA47" s="81"/>
      <c r="AB47" s="81"/>
      <c r="AC47" s="81"/>
    </row>
    <row r="48" customFormat="false" ht="12.75" hidden="false" customHeight="false" outlineLevel="0" collapsed="false">
      <c r="A48" s="81"/>
      <c r="B48" s="81"/>
      <c r="C48" s="81"/>
      <c r="D48" s="81"/>
      <c r="E48" s="81"/>
      <c r="F48" s="81"/>
      <c r="G48" s="81"/>
      <c r="H48" s="81"/>
      <c r="I48" s="81"/>
      <c r="J48" s="81"/>
      <c r="K48" s="81"/>
      <c r="L48" s="81"/>
      <c r="M48" s="81"/>
      <c r="N48" s="81"/>
      <c r="O48" s="81"/>
      <c r="P48" s="81"/>
      <c r="Q48" s="81"/>
      <c r="R48" s="81"/>
      <c r="S48" s="81"/>
      <c r="T48" s="81"/>
      <c r="U48" s="81"/>
      <c r="V48" s="81"/>
      <c r="W48" s="81"/>
      <c r="X48" s="81"/>
      <c r="Y48" s="81"/>
      <c r="Z48" s="81"/>
      <c r="AA48" s="81"/>
      <c r="AB48" s="81"/>
      <c r="AC48" s="81"/>
    </row>
    <row r="49" customFormat="false" ht="12.75" hidden="false" customHeight="false" outlineLevel="0" collapsed="false">
      <c r="A49" s="81"/>
      <c r="B49" s="81"/>
      <c r="C49" s="81"/>
      <c r="D49" s="81"/>
      <c r="E49" s="81"/>
      <c r="F49" s="81"/>
      <c r="G49" s="81"/>
      <c r="H49" s="81"/>
      <c r="I49" s="81"/>
      <c r="J49" s="81"/>
      <c r="K49" s="81"/>
      <c r="L49" s="81"/>
      <c r="M49" s="81"/>
      <c r="N49" s="81"/>
      <c r="O49" s="81"/>
      <c r="P49" s="81"/>
      <c r="Q49" s="81"/>
      <c r="R49" s="81"/>
      <c r="S49" s="81"/>
      <c r="T49" s="81"/>
      <c r="U49" s="81"/>
      <c r="V49" s="81"/>
      <c r="W49" s="81"/>
      <c r="X49" s="81"/>
      <c r="Y49" s="81"/>
      <c r="Z49" s="81"/>
      <c r="AA49" s="81"/>
      <c r="AB49" s="81"/>
      <c r="AC49" s="81"/>
    </row>
    <row r="50" customFormat="false" ht="12.75" hidden="false" customHeight="false" outlineLevel="0" collapsed="false">
      <c r="A50" s="81"/>
      <c r="B50" s="81"/>
      <c r="C50" s="81"/>
      <c r="D50" s="81"/>
      <c r="E50" s="81"/>
      <c r="F50" s="81"/>
      <c r="G50" s="81"/>
      <c r="H50" s="81"/>
      <c r="I50" s="81"/>
      <c r="J50" s="81"/>
      <c r="K50" s="81"/>
      <c r="L50" s="81"/>
      <c r="M50" s="81"/>
      <c r="N50" s="81"/>
      <c r="O50" s="81"/>
      <c r="P50" s="81"/>
      <c r="Q50" s="81"/>
      <c r="R50" s="81"/>
      <c r="S50" s="81"/>
      <c r="T50" s="81"/>
      <c r="U50" s="81"/>
      <c r="V50" s="81"/>
      <c r="W50" s="81"/>
      <c r="X50" s="81"/>
      <c r="Y50" s="81"/>
      <c r="Z50" s="81"/>
      <c r="AA50" s="81"/>
      <c r="AB50" s="81"/>
      <c r="AC50" s="81"/>
    </row>
    <row r="51" customFormat="false" ht="12.75" hidden="false" customHeight="false" outlineLevel="0" collapsed="false">
      <c r="A51" s="81"/>
      <c r="B51" s="81"/>
      <c r="C51" s="81"/>
      <c r="D51" s="81"/>
      <c r="E51" s="81"/>
      <c r="F51" s="81"/>
      <c r="G51" s="81"/>
      <c r="H51" s="81"/>
      <c r="I51" s="81"/>
      <c r="J51" s="81"/>
      <c r="K51" s="81"/>
      <c r="L51" s="81"/>
      <c r="M51" s="81"/>
      <c r="N51" s="81"/>
      <c r="O51" s="81"/>
      <c r="P51" s="81"/>
      <c r="Q51" s="81"/>
      <c r="R51" s="81"/>
      <c r="S51" s="81"/>
      <c r="T51" s="81"/>
      <c r="U51" s="81"/>
      <c r="V51" s="81"/>
      <c r="W51" s="81"/>
      <c r="X51" s="81"/>
      <c r="Y51" s="81"/>
      <c r="Z51" s="81"/>
      <c r="AA51" s="81"/>
      <c r="AB51" s="81"/>
      <c r="AC51" s="81"/>
    </row>
    <row r="52" customFormat="false" ht="12.75" hidden="false" customHeight="false" outlineLevel="0" collapsed="false">
      <c r="A52" s="81"/>
      <c r="B52" s="81"/>
      <c r="C52" s="81"/>
      <c r="D52" s="81"/>
      <c r="E52" s="81"/>
      <c r="F52" s="81"/>
      <c r="G52" s="81"/>
      <c r="H52" s="81"/>
      <c r="I52" s="81"/>
      <c r="J52" s="81"/>
      <c r="K52" s="81"/>
      <c r="L52" s="81"/>
      <c r="M52" s="81"/>
      <c r="N52" s="81"/>
      <c r="O52" s="81"/>
      <c r="P52" s="81"/>
      <c r="Q52" s="81"/>
      <c r="R52" s="81"/>
      <c r="S52" s="81"/>
      <c r="T52" s="81"/>
      <c r="U52" s="81"/>
      <c r="V52" s="81"/>
      <c r="W52" s="81"/>
      <c r="X52" s="81"/>
      <c r="Y52" s="81"/>
      <c r="Z52" s="81"/>
      <c r="AA52" s="81"/>
      <c r="AB52" s="81"/>
      <c r="AC52" s="81"/>
    </row>
    <row r="53" customFormat="false" ht="12.75" hidden="false" customHeight="false" outlineLevel="0" collapsed="false">
      <c r="A53" s="81"/>
      <c r="B53" s="81"/>
      <c r="C53" s="81"/>
      <c r="D53" s="81"/>
      <c r="E53" s="81"/>
      <c r="F53" s="81"/>
      <c r="G53" s="81"/>
      <c r="H53" s="81"/>
      <c r="I53" s="81"/>
      <c r="J53" s="81"/>
      <c r="K53" s="81"/>
      <c r="L53" s="81"/>
      <c r="M53" s="81"/>
      <c r="N53" s="81"/>
      <c r="O53" s="81"/>
      <c r="P53" s="81"/>
      <c r="Q53" s="81"/>
      <c r="R53" s="81"/>
      <c r="S53" s="81"/>
      <c r="T53" s="81"/>
      <c r="U53" s="81"/>
      <c r="V53" s="81"/>
      <c r="W53" s="81"/>
      <c r="X53" s="81"/>
      <c r="Y53" s="81"/>
      <c r="Z53" s="81"/>
      <c r="AA53" s="81"/>
      <c r="AB53" s="81"/>
      <c r="AC53" s="81"/>
    </row>
    <row r="54" customFormat="false" ht="12.75" hidden="false" customHeight="false" outlineLevel="0" collapsed="false">
      <c r="A54" s="81"/>
      <c r="B54" s="81"/>
      <c r="C54" s="81"/>
      <c r="D54" s="81"/>
      <c r="E54" s="81"/>
      <c r="F54" s="81"/>
      <c r="G54" s="81"/>
      <c r="H54" s="81"/>
      <c r="I54" s="81"/>
      <c r="J54" s="81"/>
      <c r="K54" s="81"/>
      <c r="L54" s="81"/>
      <c r="M54" s="81"/>
      <c r="N54" s="81"/>
      <c r="O54" s="81"/>
      <c r="P54" s="81"/>
      <c r="Q54" s="81"/>
      <c r="R54" s="81"/>
      <c r="S54" s="81"/>
      <c r="T54" s="81"/>
      <c r="U54" s="81"/>
      <c r="V54" s="81"/>
      <c r="W54" s="81"/>
      <c r="X54" s="81"/>
      <c r="Y54" s="81"/>
      <c r="Z54" s="81"/>
      <c r="AA54" s="81"/>
      <c r="AB54" s="81"/>
      <c r="AC54" s="81"/>
    </row>
    <row r="55" customFormat="false" ht="12.75" hidden="false" customHeight="false" outlineLevel="0" collapsed="false">
      <c r="A55" s="81"/>
      <c r="B55" s="81"/>
      <c r="C55" s="81"/>
      <c r="D55" s="81"/>
      <c r="E55" s="81"/>
      <c r="F55" s="81"/>
      <c r="G55" s="81"/>
      <c r="H55" s="81"/>
      <c r="I55" s="81"/>
      <c r="J55" s="81"/>
      <c r="K55" s="81"/>
      <c r="L55" s="81"/>
      <c r="M55" s="81"/>
      <c r="N55" s="81"/>
      <c r="O55" s="81"/>
      <c r="P55" s="81"/>
      <c r="Q55" s="81"/>
      <c r="R55" s="81"/>
      <c r="S55" s="81"/>
      <c r="T55" s="81"/>
      <c r="U55" s="81"/>
      <c r="V55" s="81"/>
      <c r="W55" s="81"/>
      <c r="X55" s="81"/>
      <c r="Y55" s="81"/>
      <c r="Z55" s="81"/>
      <c r="AA55" s="81"/>
      <c r="AB55" s="81"/>
      <c r="AC55" s="81"/>
    </row>
    <row r="56" customFormat="false" ht="12.75" hidden="false" customHeight="false" outlineLevel="0" collapsed="false">
      <c r="A56" s="81"/>
      <c r="B56" s="81"/>
      <c r="C56" s="81"/>
      <c r="D56" s="81"/>
      <c r="E56" s="81"/>
      <c r="F56" s="81"/>
      <c r="G56" s="81"/>
      <c r="H56" s="81"/>
      <c r="I56" s="81"/>
      <c r="J56" s="81"/>
      <c r="K56" s="81"/>
      <c r="L56" s="81"/>
      <c r="M56" s="81"/>
      <c r="N56" s="81"/>
      <c r="O56" s="81"/>
      <c r="P56" s="81"/>
      <c r="Q56" s="81"/>
      <c r="R56" s="81"/>
      <c r="S56" s="81"/>
      <c r="T56" s="81"/>
      <c r="U56" s="81"/>
      <c r="V56" s="81"/>
      <c r="W56" s="81"/>
      <c r="X56" s="81"/>
      <c r="Y56" s="81"/>
      <c r="Z56" s="81"/>
      <c r="AA56" s="81"/>
      <c r="AB56" s="81"/>
      <c r="AC56" s="81"/>
    </row>
    <row r="57" customFormat="false" ht="12.75" hidden="false" customHeight="false" outlineLevel="0" collapsed="false">
      <c r="A57" s="81"/>
      <c r="B57" s="81"/>
      <c r="C57" s="81"/>
      <c r="D57" s="81"/>
      <c r="E57" s="81"/>
      <c r="F57" s="81"/>
      <c r="G57" s="81"/>
      <c r="H57" s="81"/>
      <c r="I57" s="81"/>
      <c r="J57" s="81"/>
      <c r="K57" s="81"/>
      <c r="L57" s="81"/>
      <c r="M57" s="81"/>
      <c r="N57" s="81"/>
      <c r="O57" s="81"/>
      <c r="P57" s="81"/>
      <c r="Q57" s="81"/>
      <c r="R57" s="81"/>
      <c r="S57" s="81"/>
      <c r="T57" s="81"/>
      <c r="U57" s="81"/>
      <c r="V57" s="81"/>
      <c r="W57" s="81"/>
      <c r="X57" s="81"/>
      <c r="Y57" s="81"/>
      <c r="Z57" s="81"/>
      <c r="AA57" s="81"/>
      <c r="AB57" s="81"/>
      <c r="AC57" s="81"/>
    </row>
    <row r="58" customFormat="false" ht="12.75" hidden="false" customHeight="false" outlineLevel="0" collapsed="false">
      <c r="A58" s="81"/>
      <c r="B58" s="81"/>
      <c r="C58" s="81"/>
      <c r="D58" s="81"/>
      <c r="E58" s="81"/>
      <c r="F58" s="81"/>
      <c r="G58" s="81"/>
      <c r="H58" s="81"/>
      <c r="I58" s="81"/>
      <c r="J58" s="81"/>
      <c r="K58" s="81"/>
      <c r="L58" s="81"/>
      <c r="M58" s="81"/>
      <c r="N58" s="81"/>
      <c r="O58" s="81"/>
      <c r="P58" s="81"/>
      <c r="Q58" s="81"/>
      <c r="R58" s="81"/>
      <c r="S58" s="81"/>
      <c r="T58" s="81"/>
      <c r="U58" s="81"/>
      <c r="V58" s="81"/>
      <c r="W58" s="81"/>
      <c r="X58" s="81"/>
      <c r="Y58" s="81"/>
      <c r="Z58" s="81"/>
      <c r="AA58" s="81"/>
      <c r="AB58" s="81"/>
      <c r="AC58" s="81"/>
    </row>
    <row r="59" customFormat="false" ht="12.75" hidden="false" customHeight="false" outlineLevel="0" collapsed="false">
      <c r="A59" s="81"/>
      <c r="B59" s="81"/>
      <c r="C59" s="81"/>
      <c r="D59" s="81"/>
      <c r="E59" s="81"/>
      <c r="F59" s="81"/>
      <c r="G59" s="81"/>
      <c r="H59" s="81"/>
      <c r="I59" s="81"/>
      <c r="J59" s="81"/>
      <c r="K59" s="81"/>
      <c r="L59" s="81"/>
      <c r="M59" s="81"/>
      <c r="N59" s="81"/>
      <c r="O59" s="81"/>
      <c r="P59" s="81"/>
      <c r="Q59" s="81"/>
      <c r="R59" s="81"/>
      <c r="S59" s="81"/>
      <c r="T59" s="81"/>
      <c r="U59" s="81"/>
      <c r="V59" s="81"/>
      <c r="W59" s="81"/>
      <c r="X59" s="81"/>
      <c r="Y59" s="81"/>
      <c r="Z59" s="81"/>
      <c r="AA59" s="81"/>
      <c r="AB59" s="81"/>
      <c r="AC59" s="81"/>
    </row>
    <row r="60" customFormat="false" ht="12.75" hidden="false" customHeight="false" outlineLevel="0" collapsed="false">
      <c r="A60" s="81"/>
      <c r="B60" s="81"/>
      <c r="C60" s="81"/>
      <c r="D60" s="81"/>
      <c r="E60" s="81"/>
      <c r="F60" s="81"/>
      <c r="G60" s="81"/>
      <c r="H60" s="81"/>
      <c r="I60" s="81"/>
      <c r="J60" s="81"/>
      <c r="K60" s="81"/>
      <c r="L60" s="81"/>
      <c r="M60" s="81"/>
      <c r="N60" s="81"/>
      <c r="O60" s="81"/>
      <c r="P60" s="81"/>
      <c r="Q60" s="81"/>
      <c r="R60" s="81"/>
      <c r="S60" s="81"/>
      <c r="T60" s="81"/>
      <c r="U60" s="81"/>
      <c r="V60" s="81"/>
      <c r="W60" s="81"/>
      <c r="X60" s="81"/>
      <c r="Y60" s="81"/>
      <c r="Z60" s="81"/>
      <c r="AA60" s="81"/>
      <c r="AB60" s="81"/>
      <c r="AC60" s="81"/>
    </row>
    <row r="61" customFormat="false" ht="12.75" hidden="false" customHeight="false" outlineLevel="0" collapsed="false">
      <c r="A61" s="81"/>
      <c r="B61" s="81"/>
      <c r="C61" s="81"/>
      <c r="D61" s="81"/>
      <c r="E61" s="81"/>
      <c r="F61" s="81"/>
      <c r="G61" s="81"/>
      <c r="H61" s="81"/>
      <c r="I61" s="81"/>
      <c r="J61" s="81"/>
      <c r="K61" s="81"/>
      <c r="L61" s="81"/>
      <c r="M61" s="81"/>
      <c r="N61" s="81"/>
      <c r="O61" s="81"/>
      <c r="P61" s="81"/>
      <c r="Q61" s="81"/>
      <c r="R61" s="81"/>
      <c r="S61" s="81"/>
      <c r="T61" s="81"/>
      <c r="U61" s="81"/>
      <c r="V61" s="81"/>
      <c r="W61" s="81"/>
      <c r="X61" s="81"/>
      <c r="Y61" s="81"/>
      <c r="Z61" s="81"/>
      <c r="AA61" s="81"/>
      <c r="AB61" s="81"/>
      <c r="AC61" s="81"/>
    </row>
    <row r="62" customFormat="false" ht="12.75" hidden="false" customHeight="false" outlineLevel="0" collapsed="false">
      <c r="A62" s="81"/>
      <c r="B62" s="81"/>
      <c r="C62" s="81"/>
      <c r="D62" s="81"/>
      <c r="E62" s="81"/>
      <c r="F62" s="81"/>
      <c r="G62" s="81"/>
      <c r="H62" s="81"/>
      <c r="I62" s="81"/>
      <c r="J62" s="81"/>
      <c r="K62" s="81"/>
      <c r="L62" s="81"/>
      <c r="M62" s="81"/>
      <c r="N62" s="81"/>
      <c r="O62" s="81"/>
      <c r="P62" s="81"/>
      <c r="Q62" s="81"/>
      <c r="R62" s="81"/>
      <c r="S62" s="81"/>
      <c r="T62" s="81"/>
      <c r="U62" s="81"/>
      <c r="V62" s="81"/>
      <c r="W62" s="81"/>
      <c r="X62" s="81"/>
      <c r="Y62" s="81"/>
      <c r="Z62" s="81"/>
      <c r="AA62" s="81"/>
      <c r="AB62" s="81"/>
      <c r="AC62" s="81"/>
    </row>
    <row r="63" customFormat="false" ht="12.75" hidden="false" customHeight="false" outlineLevel="0" collapsed="false">
      <c r="A63" s="81"/>
      <c r="B63" s="81"/>
      <c r="C63" s="81"/>
      <c r="D63" s="81"/>
      <c r="E63" s="81"/>
      <c r="F63" s="81"/>
      <c r="G63" s="81"/>
      <c r="H63" s="81"/>
      <c r="I63" s="81"/>
      <c r="J63" s="81"/>
      <c r="K63" s="81"/>
      <c r="L63" s="81"/>
      <c r="M63" s="81"/>
      <c r="N63" s="81"/>
      <c r="O63" s="81"/>
      <c r="P63" s="81"/>
      <c r="Q63" s="81"/>
      <c r="R63" s="81"/>
      <c r="S63" s="81"/>
      <c r="T63" s="81"/>
      <c r="U63" s="81"/>
      <c r="V63" s="81"/>
      <c r="W63" s="81"/>
      <c r="X63" s="81"/>
      <c r="Y63" s="81"/>
      <c r="Z63" s="81"/>
      <c r="AA63" s="81"/>
      <c r="AB63" s="81"/>
      <c r="AC63" s="81"/>
    </row>
    <row r="64" customFormat="false" ht="12.75" hidden="false" customHeight="false" outlineLevel="0" collapsed="false">
      <c r="A64" s="81"/>
      <c r="B64" s="81"/>
      <c r="C64" s="81"/>
      <c r="D64" s="81"/>
      <c r="E64" s="81"/>
      <c r="F64" s="81"/>
      <c r="G64" s="81"/>
      <c r="H64" s="81"/>
      <c r="I64" s="81"/>
      <c r="J64" s="81"/>
      <c r="K64" s="81"/>
      <c r="L64" s="81"/>
      <c r="M64" s="81"/>
      <c r="N64" s="81"/>
      <c r="O64" s="81"/>
      <c r="P64" s="81"/>
      <c r="Q64" s="81"/>
      <c r="R64" s="81"/>
      <c r="S64" s="81"/>
      <c r="T64" s="81"/>
      <c r="U64" s="81"/>
      <c r="V64" s="81"/>
      <c r="W64" s="81"/>
      <c r="X64" s="81"/>
      <c r="Y64" s="81"/>
      <c r="Z64" s="81"/>
      <c r="AA64" s="81"/>
      <c r="AB64" s="81"/>
      <c r="AC64" s="81"/>
    </row>
    <row r="65" customFormat="false" ht="12.75" hidden="false" customHeight="false" outlineLevel="0" collapsed="false">
      <c r="A65" s="81"/>
      <c r="B65" s="81"/>
      <c r="C65" s="81"/>
      <c r="D65" s="81"/>
      <c r="E65" s="81"/>
      <c r="F65" s="81"/>
      <c r="G65" s="81"/>
      <c r="H65" s="81"/>
      <c r="I65" s="81"/>
      <c r="J65" s="81"/>
      <c r="K65" s="81"/>
      <c r="L65" s="81"/>
      <c r="M65" s="81"/>
      <c r="N65" s="81"/>
      <c r="O65" s="81"/>
      <c r="P65" s="81"/>
      <c r="Q65" s="81"/>
      <c r="R65" s="81"/>
      <c r="S65" s="81"/>
      <c r="T65" s="81"/>
      <c r="U65" s="81"/>
      <c r="V65" s="81"/>
      <c r="W65" s="81"/>
      <c r="X65" s="81"/>
      <c r="Y65" s="81"/>
      <c r="Z65" s="81"/>
      <c r="AA65" s="81"/>
      <c r="AB65" s="81"/>
      <c r="AC65" s="81"/>
    </row>
    <row r="66" customFormat="false" ht="12.75" hidden="false" customHeight="false" outlineLevel="0" collapsed="false">
      <c r="A66" s="81"/>
      <c r="B66" s="81"/>
      <c r="C66" s="81"/>
      <c r="D66" s="81"/>
      <c r="E66" s="81"/>
      <c r="F66" s="81"/>
      <c r="G66" s="81"/>
      <c r="H66" s="81"/>
      <c r="I66" s="81"/>
      <c r="J66" s="81"/>
      <c r="K66" s="81"/>
      <c r="L66" s="81"/>
      <c r="M66" s="81"/>
      <c r="N66" s="81"/>
      <c r="O66" s="81"/>
      <c r="P66" s="81"/>
      <c r="Q66" s="81"/>
      <c r="R66" s="81"/>
      <c r="S66" s="81"/>
      <c r="T66" s="81"/>
      <c r="U66" s="81"/>
      <c r="V66" s="81"/>
      <c r="W66" s="81"/>
      <c r="X66" s="81"/>
      <c r="Y66" s="81"/>
      <c r="Z66" s="81"/>
      <c r="AA66" s="81"/>
      <c r="AB66" s="81"/>
      <c r="AC66" s="81"/>
    </row>
    <row r="67" customFormat="false" ht="12.75" hidden="false" customHeight="false" outlineLevel="0" collapsed="false">
      <c r="A67" s="81"/>
      <c r="B67" s="81"/>
      <c r="C67" s="81"/>
      <c r="D67" s="81"/>
      <c r="E67" s="81"/>
      <c r="F67" s="81"/>
      <c r="G67" s="81"/>
      <c r="H67" s="81"/>
      <c r="I67" s="81"/>
      <c r="J67" s="81"/>
      <c r="K67" s="81"/>
      <c r="L67" s="81"/>
      <c r="M67" s="81"/>
      <c r="N67" s="81"/>
      <c r="O67" s="81"/>
      <c r="P67" s="81"/>
      <c r="Q67" s="81"/>
      <c r="R67" s="81"/>
      <c r="S67" s="81"/>
      <c r="T67" s="81"/>
      <c r="U67" s="81"/>
      <c r="V67" s="81"/>
      <c r="W67" s="81"/>
      <c r="X67" s="81"/>
      <c r="Y67" s="81"/>
      <c r="Z67" s="81"/>
      <c r="AA67" s="81"/>
      <c r="AB67" s="81"/>
      <c r="AC67" s="81"/>
    </row>
    <row r="68" customFormat="false" ht="12.75" hidden="false" customHeight="false" outlineLevel="0" collapsed="false">
      <c r="A68" s="81"/>
      <c r="B68" s="81"/>
      <c r="C68" s="81"/>
      <c r="D68" s="81"/>
      <c r="E68" s="81"/>
      <c r="F68" s="81"/>
      <c r="G68" s="81"/>
      <c r="H68" s="81"/>
      <c r="I68" s="81"/>
      <c r="J68" s="81"/>
      <c r="K68" s="81"/>
      <c r="L68" s="81"/>
      <c r="M68" s="81"/>
      <c r="N68" s="81"/>
      <c r="O68" s="81"/>
      <c r="P68" s="81"/>
      <c r="Q68" s="81"/>
      <c r="R68" s="81"/>
      <c r="S68" s="81"/>
      <c r="T68" s="81"/>
      <c r="U68" s="81"/>
      <c r="V68" s="81"/>
      <c r="W68" s="81"/>
      <c r="X68" s="81"/>
      <c r="Y68" s="81"/>
      <c r="Z68" s="81"/>
      <c r="AA68" s="81"/>
      <c r="AB68" s="81"/>
      <c r="AC68" s="81"/>
    </row>
    <row r="69" customFormat="false" ht="12.75" hidden="false" customHeight="false" outlineLevel="0" collapsed="false">
      <c r="A69" s="81"/>
      <c r="B69" s="81"/>
      <c r="C69" s="81"/>
      <c r="D69" s="81"/>
      <c r="E69" s="81"/>
      <c r="F69" s="81"/>
      <c r="G69" s="81"/>
      <c r="H69" s="81"/>
      <c r="I69" s="81"/>
      <c r="J69" s="81"/>
      <c r="K69" s="81"/>
      <c r="L69" s="81"/>
      <c r="M69" s="81"/>
      <c r="N69" s="81"/>
      <c r="O69" s="81"/>
      <c r="P69" s="81"/>
      <c r="Q69" s="81"/>
      <c r="R69" s="81"/>
      <c r="S69" s="81"/>
      <c r="T69" s="81"/>
      <c r="U69" s="81"/>
      <c r="V69" s="81"/>
      <c r="W69" s="81"/>
      <c r="X69" s="81"/>
      <c r="Y69" s="81"/>
      <c r="Z69" s="81"/>
      <c r="AA69" s="81"/>
      <c r="AB69" s="81"/>
      <c r="AC69" s="81"/>
    </row>
    <row r="70" customFormat="false" ht="12.75" hidden="false" customHeight="false" outlineLevel="0" collapsed="false">
      <c r="A70" s="81"/>
      <c r="B70" s="81"/>
      <c r="C70" s="81"/>
      <c r="D70" s="81"/>
      <c r="E70" s="81"/>
      <c r="F70" s="81"/>
      <c r="G70" s="81"/>
      <c r="H70" s="81"/>
      <c r="I70" s="81"/>
      <c r="J70" s="81"/>
      <c r="K70" s="81"/>
      <c r="L70" s="81"/>
      <c r="M70" s="81"/>
      <c r="N70" s="81"/>
      <c r="O70" s="81"/>
      <c r="P70" s="81"/>
      <c r="Q70" s="81"/>
      <c r="R70" s="81"/>
      <c r="S70" s="81"/>
      <c r="T70" s="81"/>
      <c r="U70" s="81"/>
      <c r="V70" s="81"/>
      <c r="W70" s="81"/>
      <c r="X70" s="81"/>
      <c r="Y70" s="81"/>
      <c r="Z70" s="81"/>
      <c r="AA70" s="81"/>
      <c r="AB70" s="81"/>
      <c r="AC70" s="81"/>
    </row>
    <row r="71" customFormat="false" ht="12.75" hidden="false" customHeight="false" outlineLevel="0" collapsed="false">
      <c r="A71" s="81"/>
      <c r="B71" s="81"/>
      <c r="C71" s="81"/>
      <c r="D71" s="81"/>
      <c r="E71" s="81"/>
      <c r="F71" s="81"/>
      <c r="G71" s="81"/>
      <c r="H71" s="81"/>
      <c r="I71" s="81"/>
      <c r="J71" s="81"/>
      <c r="K71" s="81"/>
      <c r="L71" s="81"/>
      <c r="M71" s="81"/>
      <c r="N71" s="81"/>
      <c r="O71" s="81"/>
      <c r="P71" s="81"/>
      <c r="Q71" s="81"/>
      <c r="R71" s="81"/>
      <c r="S71" s="81"/>
      <c r="T71" s="81"/>
      <c r="U71" s="81"/>
      <c r="V71" s="81"/>
      <c r="W71" s="81"/>
      <c r="X71" s="81"/>
      <c r="Y71" s="81"/>
      <c r="Z71" s="81"/>
      <c r="AA71" s="81"/>
      <c r="AB71" s="81"/>
      <c r="AC71" s="81"/>
    </row>
    <row r="72" customFormat="false" ht="12.75" hidden="false" customHeight="false" outlineLevel="0" collapsed="false">
      <c r="A72" s="81"/>
      <c r="B72" s="81"/>
      <c r="C72" s="81"/>
      <c r="D72" s="81"/>
      <c r="E72" s="81"/>
      <c r="F72" s="81"/>
      <c r="G72" s="81"/>
      <c r="H72" s="81"/>
      <c r="I72" s="81"/>
      <c r="J72" s="81"/>
      <c r="K72" s="81"/>
      <c r="L72" s="81"/>
      <c r="M72" s="81"/>
      <c r="N72" s="81"/>
      <c r="O72" s="81"/>
      <c r="P72" s="81"/>
      <c r="Q72" s="81"/>
      <c r="R72" s="81"/>
      <c r="S72" s="81"/>
      <c r="T72" s="81"/>
      <c r="U72" s="81"/>
      <c r="V72" s="81"/>
      <c r="W72" s="81"/>
      <c r="X72" s="81"/>
      <c r="Y72" s="81"/>
      <c r="Z72" s="81"/>
      <c r="AA72" s="81"/>
      <c r="AB72" s="81"/>
      <c r="AC72" s="81"/>
    </row>
    <row r="73" customFormat="false" ht="12.75" hidden="false" customHeight="false" outlineLevel="0" collapsed="false">
      <c r="A73" s="81"/>
      <c r="B73" s="81"/>
      <c r="C73" s="81"/>
      <c r="D73" s="81"/>
      <c r="E73" s="81"/>
      <c r="F73" s="81"/>
      <c r="G73" s="81"/>
      <c r="H73" s="81"/>
      <c r="I73" s="81"/>
      <c r="J73" s="81"/>
      <c r="K73" s="81"/>
      <c r="L73" s="81"/>
      <c r="M73" s="81"/>
      <c r="N73" s="81"/>
      <c r="O73" s="81"/>
      <c r="P73" s="81"/>
      <c r="Q73" s="81"/>
      <c r="R73" s="81"/>
      <c r="S73" s="81"/>
      <c r="T73" s="81"/>
      <c r="U73" s="81"/>
      <c r="V73" s="81"/>
      <c r="W73" s="81"/>
      <c r="X73" s="81"/>
      <c r="Y73" s="81"/>
      <c r="Z73" s="81"/>
      <c r="AA73" s="81"/>
      <c r="AB73" s="81"/>
      <c r="AC73" s="81"/>
    </row>
    <row r="74" customFormat="false" ht="12.75" hidden="false" customHeight="false" outlineLevel="0" collapsed="false">
      <c r="A74" s="81"/>
      <c r="B74" s="81"/>
      <c r="C74" s="81"/>
      <c r="D74" s="81"/>
      <c r="E74" s="81"/>
      <c r="F74" s="81"/>
      <c r="G74" s="81"/>
      <c r="H74" s="81"/>
      <c r="I74" s="81"/>
      <c r="J74" s="81"/>
      <c r="K74" s="81"/>
      <c r="L74" s="81"/>
      <c r="M74" s="81"/>
      <c r="N74" s="81"/>
      <c r="O74" s="81"/>
      <c r="P74" s="81"/>
      <c r="Q74" s="81"/>
      <c r="R74" s="81"/>
      <c r="S74" s="81"/>
      <c r="T74" s="81"/>
      <c r="U74" s="81"/>
      <c r="V74" s="81"/>
      <c r="W74" s="81"/>
      <c r="X74" s="81"/>
      <c r="Y74" s="81"/>
      <c r="Z74" s="81"/>
      <c r="AA74" s="81"/>
      <c r="AB74" s="81"/>
      <c r="AC74" s="81"/>
    </row>
    <row r="75" customFormat="false" ht="12.75" hidden="false" customHeight="false" outlineLevel="0" collapsed="false">
      <c r="A75" s="81"/>
      <c r="B75" s="81"/>
      <c r="C75" s="81"/>
      <c r="D75" s="81"/>
      <c r="E75" s="81"/>
      <c r="F75" s="81"/>
      <c r="G75" s="81"/>
      <c r="H75" s="81"/>
      <c r="I75" s="81"/>
      <c r="J75" s="81"/>
      <c r="K75" s="81"/>
      <c r="L75" s="81"/>
      <c r="M75" s="81"/>
      <c r="N75" s="81"/>
      <c r="O75" s="81"/>
      <c r="P75" s="81"/>
      <c r="Q75" s="81"/>
      <c r="R75" s="81"/>
      <c r="S75" s="81"/>
      <c r="T75" s="81"/>
      <c r="U75" s="81"/>
      <c r="V75" s="81"/>
      <c r="W75" s="81"/>
      <c r="X75" s="81"/>
      <c r="Y75" s="81"/>
      <c r="Z75" s="81"/>
      <c r="AA75" s="81"/>
      <c r="AB75" s="81"/>
      <c r="AC75" s="81"/>
    </row>
    <row r="76" customFormat="false" ht="12.75" hidden="false" customHeight="false" outlineLevel="0" collapsed="false">
      <c r="A76" s="81"/>
      <c r="B76" s="81"/>
      <c r="C76" s="81"/>
      <c r="D76" s="81"/>
      <c r="E76" s="81"/>
      <c r="F76" s="81"/>
      <c r="G76" s="81"/>
      <c r="H76" s="81"/>
      <c r="I76" s="81"/>
      <c r="J76" s="81"/>
      <c r="K76" s="81"/>
      <c r="L76" s="81"/>
      <c r="M76" s="81"/>
      <c r="N76" s="81"/>
      <c r="O76" s="81"/>
      <c r="P76" s="81"/>
      <c r="Q76" s="81"/>
      <c r="R76" s="81"/>
      <c r="S76" s="81"/>
      <c r="T76" s="81"/>
      <c r="U76" s="81"/>
      <c r="V76" s="81"/>
      <c r="W76" s="81"/>
      <c r="X76" s="81"/>
      <c r="Y76" s="81"/>
      <c r="Z76" s="81"/>
      <c r="AA76" s="81"/>
      <c r="AB76" s="81"/>
      <c r="AC76" s="81"/>
    </row>
    <row r="77" customFormat="false" ht="12.75" hidden="false" customHeight="false" outlineLevel="0" collapsed="false">
      <c r="A77" s="81"/>
      <c r="B77" s="81"/>
      <c r="C77" s="81"/>
      <c r="D77" s="81"/>
      <c r="E77" s="81"/>
      <c r="F77" s="81"/>
      <c r="G77" s="81"/>
      <c r="H77" s="81"/>
      <c r="I77" s="81"/>
      <c r="J77" s="81"/>
      <c r="K77" s="81"/>
      <c r="L77" s="81"/>
      <c r="M77" s="81"/>
      <c r="N77" s="81"/>
      <c r="O77" s="81"/>
      <c r="P77" s="81"/>
      <c r="Q77" s="81"/>
      <c r="R77" s="81"/>
      <c r="S77" s="81"/>
      <c r="T77" s="81"/>
      <c r="U77" s="81"/>
      <c r="V77" s="81"/>
      <c r="W77" s="81"/>
      <c r="X77" s="81"/>
      <c r="Y77" s="81"/>
      <c r="Z77" s="81"/>
      <c r="AA77" s="81"/>
      <c r="AB77" s="81"/>
      <c r="AC77" s="81"/>
    </row>
    <row r="78" customFormat="false" ht="12.75" hidden="false" customHeight="false" outlineLevel="0" collapsed="false">
      <c r="A78" s="81"/>
      <c r="B78" s="81"/>
      <c r="C78" s="81"/>
      <c r="D78" s="81"/>
      <c r="E78" s="81"/>
      <c r="F78" s="81"/>
      <c r="G78" s="81"/>
      <c r="H78" s="81"/>
      <c r="I78" s="81"/>
      <c r="J78" s="81"/>
      <c r="K78" s="81"/>
      <c r="L78" s="81"/>
      <c r="M78" s="81"/>
      <c r="N78" s="81"/>
      <c r="O78" s="81"/>
      <c r="P78" s="81"/>
      <c r="Q78" s="81"/>
      <c r="R78" s="81"/>
      <c r="S78" s="81"/>
      <c r="T78" s="81"/>
      <c r="U78" s="81"/>
      <c r="V78" s="81"/>
      <c r="W78" s="81"/>
      <c r="X78" s="81"/>
      <c r="Y78" s="81"/>
      <c r="Z78" s="81"/>
      <c r="AA78" s="81"/>
      <c r="AB78" s="81"/>
      <c r="AC78" s="81"/>
    </row>
    <row r="79" customFormat="false" ht="12.75" hidden="false" customHeight="false" outlineLevel="0" collapsed="false">
      <c r="A79" s="81"/>
      <c r="B79" s="81"/>
      <c r="C79" s="81"/>
      <c r="D79" s="81"/>
      <c r="E79" s="81"/>
      <c r="F79" s="81"/>
      <c r="G79" s="81"/>
      <c r="H79" s="81"/>
      <c r="I79" s="81"/>
      <c r="J79" s="81"/>
      <c r="K79" s="81"/>
      <c r="L79" s="81"/>
      <c r="M79" s="81"/>
      <c r="N79" s="81"/>
      <c r="O79" s="81"/>
      <c r="P79" s="81"/>
      <c r="Q79" s="81"/>
      <c r="R79" s="81"/>
      <c r="S79" s="81"/>
      <c r="T79" s="81"/>
      <c r="U79" s="81"/>
      <c r="V79" s="81"/>
      <c r="W79" s="81"/>
      <c r="X79" s="81"/>
      <c r="Y79" s="81"/>
      <c r="Z79" s="81"/>
      <c r="AA79" s="81"/>
      <c r="AB79" s="81"/>
      <c r="AC79" s="81"/>
    </row>
    <row r="80" customFormat="false" ht="12.75" hidden="false" customHeight="false" outlineLevel="0" collapsed="false">
      <c r="A80" s="81"/>
      <c r="B80" s="81"/>
      <c r="C80" s="81"/>
      <c r="D80" s="81"/>
      <c r="E80" s="81"/>
      <c r="F80" s="81"/>
      <c r="G80" s="81"/>
      <c r="H80" s="81"/>
      <c r="I80" s="81"/>
      <c r="J80" s="81"/>
      <c r="K80" s="81"/>
      <c r="L80" s="81"/>
      <c r="M80" s="81"/>
      <c r="N80" s="81"/>
      <c r="O80" s="81"/>
      <c r="P80" s="81"/>
      <c r="Q80" s="81"/>
      <c r="R80" s="81"/>
      <c r="S80" s="81"/>
      <c r="T80" s="81"/>
      <c r="U80" s="81"/>
      <c r="V80" s="81"/>
      <c r="W80" s="81"/>
      <c r="X80" s="81"/>
      <c r="Y80" s="81"/>
      <c r="Z80" s="81"/>
      <c r="AA80" s="81"/>
      <c r="AB80" s="81"/>
      <c r="AC80" s="81"/>
    </row>
    <row r="81" customFormat="false" ht="12.75" hidden="false" customHeight="false" outlineLevel="0" collapsed="false">
      <c r="A81" s="81"/>
      <c r="B81" s="81"/>
      <c r="C81" s="81"/>
      <c r="D81" s="81"/>
      <c r="E81" s="81"/>
      <c r="F81" s="81"/>
      <c r="G81" s="81"/>
      <c r="H81" s="81"/>
      <c r="I81" s="81"/>
      <c r="J81" s="81"/>
      <c r="K81" s="81"/>
      <c r="L81" s="81"/>
      <c r="M81" s="81"/>
      <c r="N81" s="81"/>
      <c r="O81" s="81"/>
      <c r="P81" s="81"/>
      <c r="Q81" s="81"/>
      <c r="R81" s="81"/>
      <c r="S81" s="81"/>
      <c r="T81" s="81"/>
      <c r="U81" s="81"/>
      <c r="V81" s="81"/>
      <c r="W81" s="81"/>
      <c r="X81" s="81"/>
      <c r="Y81" s="81"/>
      <c r="Z81" s="81"/>
      <c r="AA81" s="81"/>
      <c r="AB81" s="81"/>
      <c r="AC81" s="81"/>
    </row>
    <row r="82" customFormat="false" ht="12.75" hidden="false" customHeight="false" outlineLevel="0" collapsed="false">
      <c r="A82" s="81"/>
      <c r="B82" s="81"/>
      <c r="C82" s="81"/>
      <c r="D82" s="81"/>
      <c r="E82" s="81"/>
      <c r="F82" s="81"/>
      <c r="G82" s="81"/>
      <c r="H82" s="81"/>
      <c r="I82" s="81"/>
      <c r="J82" s="81"/>
      <c r="K82" s="81"/>
      <c r="L82" s="81"/>
      <c r="M82" s="81"/>
      <c r="N82" s="81"/>
      <c r="O82" s="81"/>
      <c r="P82" s="81"/>
      <c r="Q82" s="81"/>
      <c r="R82" s="81"/>
      <c r="S82" s="81"/>
      <c r="T82" s="81"/>
      <c r="U82" s="81"/>
      <c r="V82" s="81"/>
      <c r="W82" s="81"/>
      <c r="X82" s="81"/>
      <c r="Y82" s="81"/>
      <c r="Z82" s="81"/>
      <c r="AA82" s="81"/>
      <c r="AB82" s="81"/>
      <c r="AC82" s="81"/>
    </row>
    <row r="83" customFormat="false" ht="12.75" hidden="false" customHeight="false" outlineLevel="0" collapsed="false">
      <c r="A83" s="81"/>
      <c r="B83" s="81"/>
      <c r="C83" s="81"/>
      <c r="D83" s="81"/>
      <c r="E83" s="81"/>
      <c r="F83" s="81"/>
      <c r="G83" s="81"/>
      <c r="H83" s="81"/>
      <c r="I83" s="81"/>
      <c r="J83" s="81"/>
      <c r="K83" s="81"/>
      <c r="L83" s="81"/>
      <c r="M83" s="81"/>
      <c r="N83" s="81"/>
      <c r="O83" s="81"/>
      <c r="P83" s="81"/>
      <c r="Q83" s="81"/>
      <c r="R83" s="81"/>
      <c r="S83" s="81"/>
      <c r="T83" s="81"/>
      <c r="U83" s="81"/>
      <c r="V83" s="81"/>
      <c r="W83" s="81"/>
      <c r="X83" s="81"/>
      <c r="Y83" s="81"/>
      <c r="Z83" s="81"/>
      <c r="AA83" s="81"/>
      <c r="AB83" s="81"/>
      <c r="AC83" s="81"/>
    </row>
    <row r="84" customFormat="false" ht="12.75" hidden="false" customHeight="false" outlineLevel="0" collapsed="false">
      <c r="A84" s="81"/>
      <c r="B84" s="81"/>
      <c r="C84" s="81"/>
      <c r="D84" s="81"/>
      <c r="E84" s="81"/>
      <c r="F84" s="81"/>
      <c r="G84" s="81"/>
      <c r="H84" s="81"/>
      <c r="I84" s="81"/>
      <c r="J84" s="81"/>
      <c r="K84" s="81"/>
      <c r="L84" s="81"/>
      <c r="M84" s="81"/>
      <c r="N84" s="81"/>
      <c r="O84" s="81"/>
      <c r="P84" s="81"/>
      <c r="Q84" s="81"/>
      <c r="R84" s="81"/>
      <c r="S84" s="81"/>
      <c r="T84" s="81"/>
      <c r="U84" s="81"/>
      <c r="V84" s="81"/>
      <c r="W84" s="81"/>
      <c r="X84" s="81"/>
      <c r="Y84" s="81"/>
      <c r="Z84" s="81"/>
      <c r="AA84" s="81"/>
      <c r="AB84" s="81"/>
      <c r="AC84" s="81"/>
    </row>
    <row r="85" customFormat="false" ht="12.75" hidden="false" customHeight="false" outlineLevel="0" collapsed="false">
      <c r="A85" s="81"/>
      <c r="B85" s="81"/>
      <c r="C85" s="81"/>
      <c r="D85" s="81"/>
      <c r="E85" s="81"/>
      <c r="F85" s="81"/>
      <c r="G85" s="81"/>
      <c r="H85" s="81"/>
      <c r="I85" s="81"/>
      <c r="J85" s="81"/>
      <c r="K85" s="81"/>
      <c r="L85" s="81"/>
      <c r="M85" s="81"/>
      <c r="N85" s="81"/>
      <c r="O85" s="81"/>
      <c r="P85" s="81"/>
      <c r="Q85" s="81"/>
      <c r="R85" s="81"/>
      <c r="S85" s="81"/>
      <c r="T85" s="81"/>
      <c r="U85" s="81"/>
      <c r="V85" s="81"/>
      <c r="W85" s="81"/>
      <c r="X85" s="81"/>
      <c r="Y85" s="81"/>
      <c r="Z85" s="81"/>
      <c r="AA85" s="81"/>
      <c r="AB85" s="81"/>
      <c r="AC85" s="81"/>
    </row>
    <row r="86" customFormat="false" ht="12.75" hidden="false" customHeight="false" outlineLevel="0" collapsed="false">
      <c r="A86" s="81"/>
      <c r="B86" s="81"/>
      <c r="C86" s="81"/>
      <c r="D86" s="81"/>
      <c r="E86" s="81"/>
      <c r="F86" s="81"/>
      <c r="G86" s="81"/>
      <c r="H86" s="81"/>
      <c r="I86" s="81"/>
      <c r="J86" s="81"/>
      <c r="K86" s="81"/>
      <c r="L86" s="81"/>
      <c r="M86" s="81"/>
      <c r="N86" s="81"/>
      <c r="O86" s="81"/>
      <c r="P86" s="81"/>
      <c r="Q86" s="81"/>
      <c r="R86" s="81"/>
      <c r="S86" s="81"/>
      <c r="T86" s="81"/>
      <c r="U86" s="81"/>
      <c r="V86" s="81"/>
      <c r="W86" s="81"/>
      <c r="X86" s="81"/>
      <c r="Y86" s="81"/>
      <c r="Z86" s="81"/>
      <c r="AA86" s="81"/>
      <c r="AB86" s="81"/>
      <c r="AC86" s="81"/>
    </row>
    <row r="87" customFormat="false" ht="12.75" hidden="false" customHeight="false" outlineLevel="0" collapsed="false">
      <c r="A87" s="81"/>
      <c r="B87" s="81"/>
      <c r="C87" s="81"/>
      <c r="D87" s="81"/>
      <c r="E87" s="81"/>
      <c r="F87" s="81"/>
      <c r="G87" s="81"/>
      <c r="H87" s="81"/>
      <c r="I87" s="81"/>
      <c r="J87" s="81"/>
      <c r="K87" s="81"/>
      <c r="L87" s="81"/>
      <c r="M87" s="81"/>
      <c r="N87" s="81"/>
      <c r="O87" s="81"/>
      <c r="P87" s="81"/>
      <c r="Q87" s="81"/>
      <c r="R87" s="81"/>
      <c r="S87" s="81"/>
      <c r="T87" s="81"/>
      <c r="U87" s="81"/>
      <c r="V87" s="81"/>
      <c r="W87" s="81"/>
      <c r="X87" s="81"/>
      <c r="Y87" s="81"/>
      <c r="Z87" s="81"/>
      <c r="AA87" s="81"/>
      <c r="AB87" s="81"/>
      <c r="AC87" s="81"/>
    </row>
    <row r="88" customFormat="false" ht="12.75" hidden="false" customHeight="false" outlineLevel="0" collapsed="false">
      <c r="A88" s="81"/>
      <c r="B88" s="81"/>
      <c r="C88" s="81"/>
      <c r="D88" s="81"/>
      <c r="E88" s="81"/>
      <c r="F88" s="81"/>
      <c r="G88" s="81"/>
      <c r="H88" s="81"/>
      <c r="I88" s="81"/>
      <c r="J88" s="81"/>
      <c r="K88" s="81"/>
      <c r="L88" s="81"/>
      <c r="M88" s="81"/>
      <c r="N88" s="81"/>
      <c r="O88" s="81"/>
      <c r="P88" s="81"/>
      <c r="Q88" s="81"/>
      <c r="R88" s="81"/>
      <c r="S88" s="81"/>
      <c r="T88" s="81"/>
      <c r="U88" s="81"/>
      <c r="V88" s="81"/>
      <c r="W88" s="81"/>
      <c r="X88" s="81"/>
      <c r="Y88" s="81"/>
      <c r="Z88" s="81"/>
      <c r="AA88" s="81"/>
      <c r="AB88" s="81"/>
      <c r="AC88" s="81"/>
    </row>
    <row r="89" customFormat="false" ht="12.75" hidden="false" customHeight="false" outlineLevel="0" collapsed="false">
      <c r="A89" s="81"/>
      <c r="B89" s="81"/>
      <c r="C89" s="81"/>
      <c r="D89" s="81"/>
      <c r="E89" s="81"/>
      <c r="F89" s="81"/>
      <c r="G89" s="81"/>
      <c r="H89" s="81"/>
      <c r="I89" s="81"/>
      <c r="J89" s="81"/>
      <c r="K89" s="81"/>
      <c r="L89" s="81"/>
      <c r="M89" s="81"/>
      <c r="N89" s="81"/>
      <c r="O89" s="81"/>
      <c r="P89" s="81"/>
      <c r="Q89" s="81"/>
      <c r="R89" s="81"/>
      <c r="S89" s="81"/>
      <c r="T89" s="81"/>
      <c r="U89" s="81"/>
      <c r="V89" s="81"/>
      <c r="W89" s="81"/>
      <c r="X89" s="81"/>
      <c r="Y89" s="81"/>
      <c r="Z89" s="81"/>
      <c r="AA89" s="81"/>
      <c r="AB89" s="81"/>
      <c r="AC89" s="81"/>
    </row>
    <row r="90" customFormat="false" ht="12.75" hidden="false" customHeight="false" outlineLevel="0" collapsed="false">
      <c r="A90" s="81"/>
      <c r="B90" s="81"/>
      <c r="C90" s="81"/>
      <c r="D90" s="81"/>
      <c r="E90" s="81"/>
      <c r="F90" s="81"/>
      <c r="G90" s="81"/>
      <c r="H90" s="81"/>
      <c r="I90" s="81"/>
      <c r="J90" s="81"/>
      <c r="K90" s="81"/>
      <c r="L90" s="81"/>
      <c r="M90" s="81"/>
      <c r="N90" s="81"/>
      <c r="O90" s="81"/>
      <c r="P90" s="81"/>
      <c r="Q90" s="81"/>
      <c r="R90" s="81"/>
      <c r="S90" s="81"/>
      <c r="T90" s="81"/>
      <c r="U90" s="81"/>
      <c r="V90" s="81"/>
      <c r="W90" s="81"/>
      <c r="X90" s="81"/>
      <c r="Y90" s="81"/>
      <c r="Z90" s="81"/>
      <c r="AA90" s="81"/>
      <c r="AB90" s="81"/>
      <c r="AC90" s="81"/>
    </row>
    <row r="91" customFormat="false" ht="12.75" hidden="false" customHeight="false" outlineLevel="0" collapsed="false">
      <c r="A91" s="81"/>
      <c r="B91" s="81"/>
      <c r="C91" s="81"/>
      <c r="D91" s="81"/>
      <c r="E91" s="81"/>
      <c r="F91" s="81"/>
      <c r="G91" s="81"/>
      <c r="H91" s="81"/>
      <c r="I91" s="81"/>
      <c r="J91" s="81"/>
      <c r="K91" s="81"/>
      <c r="L91" s="81"/>
      <c r="M91" s="81"/>
      <c r="N91" s="81"/>
      <c r="O91" s="81"/>
      <c r="P91" s="81"/>
      <c r="Q91" s="81"/>
      <c r="R91" s="81"/>
      <c r="S91" s="81"/>
      <c r="T91" s="81"/>
      <c r="U91" s="81"/>
      <c r="V91" s="81"/>
      <c r="W91" s="81"/>
      <c r="X91" s="81"/>
      <c r="Y91" s="81"/>
      <c r="Z91" s="81"/>
      <c r="AA91" s="81"/>
      <c r="AB91" s="81"/>
      <c r="AC91" s="81"/>
    </row>
    <row r="92" customFormat="false" ht="12.75" hidden="false" customHeight="false" outlineLevel="0" collapsed="false">
      <c r="A92" s="81"/>
      <c r="B92" s="81"/>
      <c r="C92" s="81"/>
      <c r="D92" s="81"/>
      <c r="E92" s="81"/>
      <c r="F92" s="81"/>
      <c r="G92" s="81"/>
      <c r="H92" s="81"/>
      <c r="I92" s="81"/>
      <c r="J92" s="81"/>
      <c r="K92" s="81"/>
      <c r="L92" s="81"/>
      <c r="M92" s="81"/>
      <c r="N92" s="81"/>
      <c r="O92" s="81"/>
      <c r="P92" s="81"/>
      <c r="Q92" s="81"/>
      <c r="R92" s="81"/>
      <c r="S92" s="81"/>
      <c r="T92" s="81"/>
      <c r="U92" s="81"/>
      <c r="V92" s="81"/>
      <c r="W92" s="81"/>
      <c r="X92" s="81"/>
      <c r="Y92" s="81"/>
      <c r="Z92" s="81"/>
      <c r="AA92" s="81"/>
      <c r="AB92" s="81"/>
      <c r="AC92" s="81"/>
    </row>
    <row r="93" customFormat="false" ht="12.75" hidden="false" customHeight="false" outlineLevel="0" collapsed="false">
      <c r="A93" s="81"/>
      <c r="B93" s="81"/>
      <c r="C93" s="81"/>
      <c r="D93" s="81"/>
      <c r="E93" s="81"/>
      <c r="F93" s="81"/>
      <c r="G93" s="81"/>
      <c r="H93" s="81"/>
      <c r="I93" s="81"/>
      <c r="J93" s="81"/>
      <c r="K93" s="81"/>
      <c r="L93" s="81"/>
      <c r="M93" s="81"/>
      <c r="N93" s="81"/>
      <c r="O93" s="81"/>
      <c r="P93" s="81"/>
      <c r="Q93" s="81"/>
      <c r="R93" s="81"/>
      <c r="S93" s="81"/>
      <c r="T93" s="81"/>
      <c r="U93" s="81"/>
      <c r="V93" s="81"/>
      <c r="W93" s="81"/>
      <c r="X93" s="81"/>
      <c r="Y93" s="81"/>
      <c r="Z93" s="81"/>
      <c r="AA93" s="81"/>
      <c r="AB93" s="81"/>
      <c r="AC93" s="81"/>
    </row>
    <row r="94" customFormat="false" ht="12.75" hidden="false" customHeight="false" outlineLevel="0" collapsed="false">
      <c r="A94" s="81"/>
      <c r="B94" s="81"/>
      <c r="C94" s="81"/>
      <c r="D94" s="81"/>
      <c r="E94" s="81"/>
      <c r="F94" s="81"/>
      <c r="G94" s="81"/>
      <c r="H94" s="81"/>
      <c r="I94" s="81"/>
      <c r="J94" s="81"/>
      <c r="K94" s="81"/>
      <c r="L94" s="81"/>
      <c r="M94" s="81"/>
      <c r="N94" s="81"/>
      <c r="O94" s="81"/>
      <c r="P94" s="81"/>
      <c r="Q94" s="81"/>
      <c r="R94" s="81"/>
      <c r="S94" s="81"/>
      <c r="T94" s="81"/>
      <c r="U94" s="81"/>
      <c r="V94" s="81"/>
      <c r="W94" s="81"/>
      <c r="X94" s="81"/>
      <c r="Y94" s="81"/>
      <c r="Z94" s="81"/>
      <c r="AA94" s="81"/>
      <c r="AB94" s="81"/>
      <c r="AC94" s="81"/>
    </row>
    <row r="95" customFormat="false" ht="12.75" hidden="false" customHeight="false" outlineLevel="0" collapsed="false">
      <c r="A95" s="81"/>
      <c r="B95" s="81"/>
      <c r="C95" s="81"/>
      <c r="D95" s="81"/>
      <c r="E95" s="81"/>
      <c r="F95" s="81"/>
      <c r="G95" s="81"/>
      <c r="H95" s="81"/>
      <c r="I95" s="81"/>
      <c r="J95" s="81"/>
      <c r="K95" s="81"/>
      <c r="L95" s="81"/>
      <c r="M95" s="81"/>
      <c r="N95" s="81"/>
      <c r="O95" s="81"/>
      <c r="P95" s="81"/>
      <c r="Q95" s="81"/>
      <c r="R95" s="81"/>
      <c r="S95" s="81"/>
      <c r="T95" s="81"/>
      <c r="U95" s="81"/>
      <c r="V95" s="81"/>
      <c r="W95" s="81"/>
      <c r="X95" s="81"/>
      <c r="Y95" s="81"/>
      <c r="Z95" s="81"/>
      <c r="AA95" s="81"/>
      <c r="AB95" s="81"/>
      <c r="AC95" s="81"/>
    </row>
    <row r="96" customFormat="false" ht="12.75" hidden="false" customHeight="false" outlineLevel="0" collapsed="false">
      <c r="A96" s="81"/>
      <c r="B96" s="81"/>
      <c r="C96" s="81"/>
      <c r="D96" s="81"/>
      <c r="E96" s="81"/>
      <c r="F96" s="81"/>
      <c r="G96" s="81"/>
      <c r="H96" s="81"/>
      <c r="I96" s="81"/>
      <c r="J96" s="81"/>
      <c r="K96" s="81"/>
      <c r="L96" s="81"/>
      <c r="M96" s="81"/>
      <c r="N96" s="81"/>
      <c r="O96" s="81"/>
      <c r="P96" s="81"/>
      <c r="Q96" s="81"/>
      <c r="R96" s="81"/>
      <c r="S96" s="81"/>
      <c r="T96" s="81"/>
      <c r="U96" s="81"/>
      <c r="V96" s="81"/>
      <c r="W96" s="81"/>
      <c r="X96" s="81"/>
      <c r="Y96" s="81"/>
      <c r="Z96" s="81"/>
      <c r="AA96" s="81"/>
      <c r="AB96" s="81"/>
      <c r="AC96" s="81"/>
    </row>
    <row r="97" customFormat="false" ht="12.75" hidden="false" customHeight="false" outlineLevel="0" collapsed="false">
      <c r="A97" s="81"/>
      <c r="B97" s="81"/>
      <c r="C97" s="81"/>
      <c r="D97" s="81"/>
      <c r="E97" s="81"/>
      <c r="F97" s="81"/>
      <c r="G97" s="81"/>
      <c r="H97" s="81"/>
      <c r="I97" s="81"/>
      <c r="J97" s="81"/>
      <c r="K97" s="81"/>
      <c r="L97" s="81"/>
      <c r="M97" s="81"/>
      <c r="N97" s="81"/>
      <c r="O97" s="81"/>
      <c r="P97" s="81"/>
      <c r="Q97" s="81"/>
      <c r="R97" s="81"/>
      <c r="S97" s="81"/>
      <c r="T97" s="81"/>
      <c r="U97" s="81"/>
      <c r="V97" s="81"/>
      <c r="W97" s="81"/>
      <c r="X97" s="81"/>
      <c r="Y97" s="81"/>
      <c r="Z97" s="81"/>
      <c r="AA97" s="81"/>
      <c r="AB97" s="81"/>
      <c r="AC97" s="81"/>
    </row>
    <row r="98" customFormat="false" ht="12.75" hidden="false" customHeight="false" outlineLevel="0" collapsed="false">
      <c r="A98" s="81"/>
      <c r="B98" s="81"/>
      <c r="C98" s="81"/>
      <c r="D98" s="81"/>
      <c r="E98" s="81"/>
      <c r="F98" s="81"/>
      <c r="G98" s="81"/>
      <c r="H98" s="81"/>
      <c r="I98" s="81"/>
      <c r="J98" s="81"/>
      <c r="K98" s="81"/>
      <c r="L98" s="81"/>
      <c r="M98" s="81"/>
      <c r="N98" s="81"/>
      <c r="O98" s="81"/>
      <c r="P98" s="81"/>
      <c r="Q98" s="81"/>
      <c r="R98" s="81"/>
      <c r="S98" s="81"/>
      <c r="T98" s="81"/>
      <c r="U98" s="81"/>
      <c r="V98" s="81"/>
      <c r="W98" s="81"/>
      <c r="X98" s="81"/>
      <c r="Y98" s="81"/>
      <c r="Z98" s="81"/>
      <c r="AA98" s="81"/>
      <c r="AB98" s="81"/>
      <c r="AC98" s="81"/>
    </row>
    <row r="99" customFormat="false" ht="12.75" hidden="false" customHeight="false" outlineLevel="0" collapsed="false">
      <c r="A99" s="81"/>
      <c r="B99" s="81"/>
      <c r="C99" s="81"/>
      <c r="D99" s="81"/>
      <c r="E99" s="81"/>
      <c r="F99" s="81"/>
      <c r="G99" s="81"/>
      <c r="H99" s="81"/>
      <c r="I99" s="81"/>
      <c r="J99" s="81"/>
      <c r="K99" s="81"/>
      <c r="L99" s="81"/>
      <c r="M99" s="81"/>
      <c r="N99" s="81"/>
      <c r="O99" s="81"/>
      <c r="P99" s="81"/>
      <c r="Q99" s="81"/>
      <c r="R99" s="81"/>
      <c r="S99" s="81"/>
      <c r="T99" s="81"/>
      <c r="U99" s="81"/>
      <c r="V99" s="81"/>
      <c r="W99" s="81"/>
      <c r="X99" s="81"/>
      <c r="Y99" s="81"/>
      <c r="Z99" s="81"/>
      <c r="AA99" s="81"/>
      <c r="AB99" s="81"/>
      <c r="AC99" s="81"/>
    </row>
    <row r="100" customFormat="false" ht="12.75" hidden="false" customHeight="false" outlineLevel="0" collapsed="false">
      <c r="A100" s="81"/>
      <c r="B100" s="81"/>
      <c r="C100" s="81"/>
      <c r="D100" s="81"/>
      <c r="E100" s="81"/>
      <c r="F100" s="81"/>
      <c r="G100" s="81"/>
      <c r="H100" s="81"/>
      <c r="I100" s="81"/>
      <c r="J100" s="81"/>
      <c r="K100" s="81"/>
      <c r="L100" s="81"/>
      <c r="M100" s="81"/>
      <c r="N100" s="81"/>
      <c r="O100" s="81"/>
      <c r="P100" s="81"/>
      <c r="Q100" s="81"/>
      <c r="R100" s="81"/>
      <c r="S100" s="81"/>
      <c r="T100" s="81"/>
      <c r="U100" s="81"/>
      <c r="V100" s="81"/>
      <c r="W100" s="81"/>
      <c r="X100" s="81"/>
      <c r="Y100" s="81"/>
      <c r="Z100" s="81"/>
      <c r="AA100" s="81"/>
      <c r="AB100" s="81"/>
      <c r="AC100" s="81"/>
    </row>
    <row r="101" customFormat="false" ht="12.75" hidden="false" customHeight="false" outlineLevel="0" collapsed="false">
      <c r="A101" s="81"/>
      <c r="B101" s="81"/>
      <c r="C101" s="81"/>
      <c r="D101" s="81"/>
      <c r="E101" s="81"/>
      <c r="F101" s="81"/>
      <c r="G101" s="81"/>
      <c r="H101" s="81"/>
      <c r="I101" s="81"/>
      <c r="J101" s="81"/>
      <c r="K101" s="81"/>
      <c r="L101" s="81"/>
      <c r="M101" s="81"/>
      <c r="N101" s="81"/>
      <c r="O101" s="81"/>
      <c r="P101" s="81"/>
      <c r="Q101" s="81"/>
      <c r="R101" s="81"/>
      <c r="S101" s="81"/>
      <c r="T101" s="81"/>
      <c r="U101" s="81"/>
      <c r="V101" s="81"/>
      <c r="W101" s="81"/>
      <c r="X101" s="81"/>
      <c r="Y101" s="81"/>
      <c r="Z101" s="81"/>
      <c r="AA101" s="81"/>
      <c r="AB101" s="81"/>
      <c r="AC101" s="81"/>
    </row>
    <row r="102" customFormat="false" ht="12.75" hidden="false" customHeight="false" outlineLevel="0" collapsed="false">
      <c r="A102" s="81"/>
      <c r="B102" s="81"/>
      <c r="C102" s="81"/>
      <c r="D102" s="81"/>
      <c r="E102" s="81"/>
      <c r="F102" s="81"/>
      <c r="G102" s="81"/>
      <c r="H102" s="81"/>
      <c r="I102" s="81"/>
      <c r="J102" s="81"/>
      <c r="K102" s="81"/>
      <c r="L102" s="81"/>
      <c r="M102" s="81"/>
      <c r="N102" s="81"/>
      <c r="O102" s="81"/>
      <c r="P102" s="81"/>
      <c r="Q102" s="81"/>
      <c r="R102" s="81"/>
      <c r="S102" s="81"/>
      <c r="T102" s="81"/>
      <c r="U102" s="81"/>
      <c r="V102" s="81"/>
      <c r="W102" s="81"/>
      <c r="X102" s="81"/>
      <c r="Y102" s="81"/>
      <c r="Z102" s="81"/>
      <c r="AA102" s="81"/>
      <c r="AB102" s="81"/>
      <c r="AC102" s="81"/>
    </row>
    <row r="103" customFormat="false" ht="12.75" hidden="false" customHeight="false" outlineLevel="0" collapsed="false">
      <c r="A103" s="81"/>
      <c r="B103" s="81"/>
      <c r="C103" s="81"/>
      <c r="D103" s="81"/>
      <c r="E103" s="81"/>
      <c r="F103" s="81"/>
      <c r="G103" s="81"/>
      <c r="H103" s="81"/>
      <c r="I103" s="81"/>
      <c r="J103" s="81"/>
      <c r="K103" s="81"/>
      <c r="L103" s="81"/>
      <c r="M103" s="81"/>
      <c r="N103" s="81"/>
      <c r="O103" s="81"/>
      <c r="P103" s="81"/>
      <c r="Q103" s="81"/>
      <c r="R103" s="81"/>
      <c r="S103" s="81"/>
      <c r="T103" s="81"/>
      <c r="U103" s="81"/>
      <c r="V103" s="81"/>
      <c r="W103" s="81"/>
      <c r="X103" s="81"/>
      <c r="Y103" s="81"/>
      <c r="Z103" s="81"/>
      <c r="AA103" s="81"/>
      <c r="AB103" s="81"/>
      <c r="AC103" s="81"/>
    </row>
    <row r="104" customFormat="false" ht="12.75" hidden="false" customHeight="false" outlineLevel="0" collapsed="false">
      <c r="A104" s="81"/>
      <c r="B104" s="81"/>
      <c r="C104" s="81"/>
      <c r="D104" s="81"/>
      <c r="E104" s="81"/>
      <c r="F104" s="81"/>
      <c r="G104" s="81"/>
      <c r="H104" s="81"/>
      <c r="I104" s="81"/>
      <c r="J104" s="81"/>
      <c r="K104" s="81"/>
      <c r="L104" s="81"/>
      <c r="M104" s="81"/>
      <c r="N104" s="81"/>
      <c r="O104" s="81"/>
      <c r="P104" s="81"/>
      <c r="Q104" s="81"/>
      <c r="R104" s="81"/>
      <c r="S104" s="81"/>
      <c r="T104" s="81"/>
      <c r="U104" s="81"/>
      <c r="V104" s="81"/>
      <c r="W104" s="81"/>
      <c r="X104" s="81"/>
      <c r="Y104" s="81"/>
      <c r="Z104" s="81"/>
      <c r="AA104" s="81"/>
      <c r="AB104" s="81"/>
      <c r="AC104" s="81"/>
    </row>
    <row r="105" customFormat="false" ht="12.75" hidden="false" customHeight="false" outlineLevel="0" collapsed="false">
      <c r="A105" s="81"/>
      <c r="B105" s="81"/>
      <c r="C105" s="81"/>
      <c r="D105" s="81"/>
      <c r="E105" s="81"/>
      <c r="F105" s="81"/>
      <c r="G105" s="81"/>
      <c r="H105" s="81"/>
      <c r="I105" s="81"/>
      <c r="J105" s="81"/>
      <c r="K105" s="81"/>
      <c r="L105" s="81"/>
      <c r="M105" s="81"/>
      <c r="N105" s="81"/>
      <c r="O105" s="81"/>
      <c r="P105" s="81"/>
      <c r="Q105" s="81"/>
      <c r="R105" s="81"/>
      <c r="S105" s="81"/>
      <c r="T105" s="81"/>
      <c r="U105" s="81"/>
      <c r="V105" s="81"/>
      <c r="W105" s="81"/>
      <c r="X105" s="81"/>
      <c r="Y105" s="81"/>
      <c r="Z105" s="81"/>
      <c r="AA105" s="81"/>
      <c r="AB105" s="81"/>
      <c r="AC105" s="81"/>
    </row>
  </sheetData>
  <mergeCells count="20">
    <mergeCell ref="A1:AB1"/>
    <mergeCell ref="A2:AB2"/>
    <mergeCell ref="A3:AB3"/>
    <mergeCell ref="A4:AB4"/>
    <mergeCell ref="A5:AB5"/>
    <mergeCell ref="A6:AB6"/>
    <mergeCell ref="D7:AB7"/>
    <mergeCell ref="A8:AB8"/>
    <mergeCell ref="A9:A10"/>
    <mergeCell ref="B9:B10"/>
    <mergeCell ref="C9:C10"/>
    <mergeCell ref="D9:D10"/>
    <mergeCell ref="O9:O10"/>
    <mergeCell ref="W9:W10"/>
    <mergeCell ref="AB9:AB10"/>
    <mergeCell ref="A20:D20"/>
    <mergeCell ref="A22:C22"/>
    <mergeCell ref="E22:AB22"/>
    <mergeCell ref="A28:C28"/>
    <mergeCell ref="M28:AB28"/>
  </mergeCells>
  <printOptions headings="false" gridLines="false" gridLinesSet="true" horizontalCentered="false" verticalCentered="false"/>
  <pageMargins left="0.7" right="0.159722222222222" top="0.4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Y38"/>
  <sheetViews>
    <sheetView showFormulas="false" showGridLines="true" showRowColHeaders="true" showZeros="true" rightToLeft="false" tabSelected="false" showOutlineSymbols="true" defaultGridColor="true" view="normal" topLeftCell="A16" colorId="64" zoomScale="70" zoomScaleNormal="70" zoomScalePageLayoutView="100" workbookViewId="0">
      <selection pane="topLeft" activeCell="K32" activeCellId="0" sqref="K32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6.71"/>
    <col collapsed="false" customWidth="true" hidden="false" outlineLevel="0" max="2" min="2" style="1" width="12.29"/>
    <col collapsed="false" customWidth="true" hidden="false" outlineLevel="0" max="3" min="3" style="1" width="16.43"/>
    <col collapsed="false" customWidth="true" hidden="true" outlineLevel="0" max="4" min="4" style="1" width="8.29"/>
    <col collapsed="false" customWidth="false" hidden="true" outlineLevel="0" max="5" min="5" style="1" width="8.71"/>
    <col collapsed="false" customWidth="true" hidden="true" outlineLevel="0" max="6" min="6" style="1" width="9.14"/>
    <col collapsed="false" customWidth="true" hidden="false" outlineLevel="0" max="12" min="7" style="1" width="11.71"/>
    <col collapsed="false" customWidth="true" hidden="true" outlineLevel="0" max="15" min="13" style="1" width="8.57"/>
    <col collapsed="false" customWidth="true" hidden="false" outlineLevel="0" max="18" min="16" style="1" width="11.71"/>
    <col collapsed="false" customWidth="true" hidden="false" outlineLevel="0" max="19" min="19" style="1" width="7"/>
  </cols>
  <sheetData>
    <row r="1" customFormat="false" ht="20.25" hidden="false" customHeight="true" outlineLevel="0" collapsed="false">
      <c r="A1" s="2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3"/>
      <c r="U1" s="3"/>
      <c r="V1" s="3"/>
      <c r="W1" s="3"/>
    </row>
    <row r="2" customFormat="false" ht="18.75" hidden="false" customHeight="true" outlineLevel="0" collapsed="false">
      <c r="A2" s="4" t="str">
        <f>"Kèm theo BBNT số: "&amp;VLOOKUP(AZ2,'[1]Tuyến XB6A'!$A$2:$G$60,7,0)&amp;VLOOKUP(AZ2,'[1]Tuyến XB6A'!$A$2:$G$60,4,0)</f>
        <v xml:space="preserve">Kèm theo BBNT số: 24.NĐXB6A/CVXD ngày 09 tháng 09 năm 2026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4"/>
      <c r="U2" s="5"/>
      <c r="V2" s="5"/>
      <c r="W2" s="5"/>
      <c r="AZ2">
        <v>24</v>
      </c>
    </row>
    <row r="3" customFormat="false" ht="18.75" hidden="false" customHeight="true" outlineLevel="0" collapsed="false">
      <c r="A3" s="6" t="s">
        <v>2</v>
      </c>
      <c r="C3" s="6"/>
      <c r="D3" s="6"/>
      <c r="E3" s="6"/>
      <c r="F3" s="6"/>
      <c r="G3" s="6"/>
      <c r="H3" s="6"/>
      <c r="I3" s="6"/>
      <c r="J3" s="6"/>
      <c r="K3" s="6"/>
      <c r="L3" s="6"/>
      <c r="M3" s="6"/>
      <c r="N3" s="6"/>
      <c r="O3" s="6"/>
      <c r="P3" s="6"/>
      <c r="Q3" s="6"/>
      <c r="R3" s="6"/>
      <c r="S3" s="6"/>
      <c r="T3" s="6"/>
      <c r="U3" s="6"/>
      <c r="V3" s="6"/>
      <c r="W3" s="6"/>
    </row>
    <row r="4" customFormat="false" ht="18.75" hidden="false" customHeight="true" outlineLevel="0" collapsed="false">
      <c r="A4" s="6" t="s">
        <v>3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/>
      <c r="O4" s="6"/>
      <c r="P4" s="6"/>
      <c r="Q4" s="6"/>
      <c r="R4" s="6"/>
      <c r="S4" s="6"/>
      <c r="T4" s="6"/>
      <c r="U4" s="6"/>
      <c r="V4" s="6"/>
      <c r="W4" s="6"/>
    </row>
    <row r="5" customFormat="false" ht="18.75" hidden="false" customHeight="true" outlineLevel="0" collapsed="false">
      <c r="A5" s="6" t="s">
        <v>4</v>
      </c>
      <c r="C5" s="6"/>
      <c r="D5" s="6"/>
      <c r="E5" s="6"/>
      <c r="F5" s="6"/>
      <c r="G5" s="6"/>
      <c r="H5" s="6"/>
      <c r="I5" s="6"/>
      <c r="J5" s="6"/>
      <c r="K5" s="6"/>
      <c r="L5" s="6"/>
      <c r="M5" s="6"/>
      <c r="N5" s="6"/>
      <c r="O5" s="6"/>
      <c r="P5" s="6"/>
      <c r="Q5" s="6"/>
      <c r="R5" s="6"/>
      <c r="S5" s="6"/>
      <c r="T5" s="6"/>
      <c r="U5" s="6"/>
      <c r="V5" s="6"/>
      <c r="W5" s="6"/>
    </row>
    <row r="6" customFormat="false" ht="18.75" hidden="false" customHeight="true" outlineLevel="0" collapsed="false">
      <c r="A6" s="6" t="s">
        <v>5</v>
      </c>
      <c r="C6" s="6"/>
      <c r="D6" s="6"/>
      <c r="E6" s="6"/>
      <c r="F6" s="6"/>
      <c r="G6" s="6"/>
      <c r="H6" s="6"/>
      <c r="I6" s="6"/>
      <c r="J6" s="6"/>
      <c r="K6" s="6"/>
      <c r="L6" s="6"/>
      <c r="M6" s="6"/>
      <c r="N6" s="6"/>
      <c r="O6" s="6"/>
      <c r="P6" s="6"/>
      <c r="Q6" s="6"/>
      <c r="R6" s="6"/>
      <c r="S6" s="6"/>
      <c r="T6" s="6"/>
      <c r="U6" s="6"/>
      <c r="V6" s="6"/>
      <c r="W6" s="6"/>
    </row>
    <row r="7" customFormat="false" ht="18.75" hidden="false" customHeight="true" outlineLevel="0" collapsed="false">
      <c r="A7" s="7" t="s">
        <v>6</v>
      </c>
      <c r="C7" s="6"/>
      <c r="D7" s="6"/>
      <c r="F7" s="6"/>
      <c r="G7" s="6" t="str">
        <f>VLOOKUP(AZ2,'[1]Tuyến XB6A'!$A$2:$B$60,2,0)</f>
        <v xml:space="preserve">Đắp cấp phối đá dăm loại 1 đoạn từ Km0+000,00 - Km0+126,46</v>
      </c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  <c r="U7" s="6"/>
      <c r="V7" s="6"/>
      <c r="W7" s="6"/>
    </row>
    <row r="8" customFormat="false" ht="18.75" hidden="false" customHeight="true" outlineLevel="0" collapsed="false">
      <c r="A8" s="7" t="s">
        <v>8</v>
      </c>
      <c r="C8" s="6"/>
      <c r="D8" s="6"/>
      <c r="E8" s="6"/>
      <c r="F8" s="6"/>
      <c r="G8" s="6"/>
      <c r="H8" s="6"/>
      <c r="I8" s="6"/>
      <c r="J8" s="6"/>
      <c r="K8" s="6"/>
      <c r="L8" s="6"/>
      <c r="M8" s="6"/>
      <c r="N8" s="6"/>
      <c r="O8" s="6"/>
      <c r="P8" s="6"/>
      <c r="Q8" s="6"/>
      <c r="R8" s="6"/>
      <c r="S8" s="6"/>
      <c r="T8" s="6"/>
      <c r="U8" s="6"/>
      <c r="V8" s="6"/>
      <c r="W8" s="6"/>
    </row>
    <row r="21" s="10" customFormat="true" ht="15.75" hidden="false" customHeight="true" outlineLevel="0" collapsed="false">
      <c r="A21" s="8" t="s">
        <v>9</v>
      </c>
      <c r="B21" s="8" t="s">
        <v>10</v>
      </c>
      <c r="C21" s="8" t="s">
        <v>11</v>
      </c>
      <c r="D21" s="9" t="s">
        <v>12</v>
      </c>
      <c r="E21" s="9"/>
      <c r="F21" s="9"/>
      <c r="G21" s="9"/>
      <c r="H21" s="9"/>
      <c r="I21" s="9"/>
      <c r="J21" s="9" t="s">
        <v>13</v>
      </c>
      <c r="K21" s="9"/>
      <c r="L21" s="9"/>
      <c r="M21" s="9" t="s">
        <v>14</v>
      </c>
      <c r="N21" s="9"/>
      <c r="O21" s="9"/>
      <c r="P21" s="9"/>
      <c r="Q21" s="9"/>
      <c r="R21" s="9"/>
      <c r="S21" s="8" t="s">
        <v>15</v>
      </c>
    </row>
    <row r="22" s="10" customFormat="true" ht="30" hidden="false" customHeight="true" outlineLevel="0" collapsed="false">
      <c r="A22" s="8"/>
      <c r="B22" s="8"/>
      <c r="C22" s="8"/>
      <c r="D22" s="11" t="s">
        <v>17</v>
      </c>
      <c r="E22" s="11" t="s">
        <v>18</v>
      </c>
      <c r="F22" s="11" t="s">
        <v>19</v>
      </c>
      <c r="G22" s="11" t="s">
        <v>20</v>
      </c>
      <c r="H22" s="11" t="s">
        <v>21</v>
      </c>
      <c r="I22" s="11" t="s">
        <v>22</v>
      </c>
      <c r="J22" s="11" t="s">
        <v>20</v>
      </c>
      <c r="K22" s="11" t="s">
        <v>21</v>
      </c>
      <c r="L22" s="11" t="s">
        <v>22</v>
      </c>
      <c r="M22" s="11" t="s">
        <v>17</v>
      </c>
      <c r="N22" s="11" t="s">
        <v>18</v>
      </c>
      <c r="O22" s="11" t="s">
        <v>19</v>
      </c>
      <c r="P22" s="11" t="s">
        <v>20</v>
      </c>
      <c r="Q22" s="11" t="s">
        <v>21</v>
      </c>
      <c r="R22" s="11" t="s">
        <v>22</v>
      </c>
      <c r="S22" s="8"/>
      <c r="T22" s="12"/>
    </row>
    <row r="23" s="10" customFormat="true" ht="18" hidden="false" customHeight="true" outlineLevel="0" collapsed="false">
      <c r="A23" s="13" t="n">
        <v>1</v>
      </c>
      <c r="B23" s="82" t="s">
        <v>23</v>
      </c>
      <c r="C23" s="15" t="n">
        <v>0</v>
      </c>
      <c r="D23" s="16" t="n">
        <v>-3.75</v>
      </c>
      <c r="E23" s="16" t="n">
        <f aca="false">+D23+F23</f>
        <v>-3.7401</v>
      </c>
      <c r="F23" s="16" t="n">
        <f aca="false">RANDBETWEEN(-105,115)/10000</f>
        <v>0.0099</v>
      </c>
      <c r="G23" s="16" t="n">
        <f aca="false">W23+0.15</f>
        <v>2.672</v>
      </c>
      <c r="H23" s="16" t="n">
        <f aca="false">G23+I23</f>
        <v>2.663</v>
      </c>
      <c r="I23" s="16" t="n">
        <f aca="false">RANDBETWEEN(-20,70)/1000</f>
        <v>-0.009</v>
      </c>
      <c r="J23" s="16" t="n">
        <f aca="false">X23+0.15</f>
        <v>2.759</v>
      </c>
      <c r="K23" s="16" t="n">
        <f aca="false">J23+L23</f>
        <v>2.795</v>
      </c>
      <c r="L23" s="16" t="n">
        <f aca="false">RANDBETWEEN(-20,70)/1000</f>
        <v>0.036</v>
      </c>
      <c r="M23" s="16" t="n">
        <v>3.75</v>
      </c>
      <c r="N23" s="16" t="n">
        <f aca="false">+M23+O23</f>
        <v>3.7404</v>
      </c>
      <c r="O23" s="16" t="n">
        <f aca="false">RANDBETWEEN(-105,115)/10000</f>
        <v>-0.0096</v>
      </c>
      <c r="P23" s="16" t="n">
        <f aca="false">Y23+0.15</f>
        <v>2.672</v>
      </c>
      <c r="Q23" s="16" t="n">
        <f aca="false">P23+R23</f>
        <v>2.67</v>
      </c>
      <c r="R23" s="16" t="n">
        <f aca="false">RANDBETWEEN(-20,70)/1000</f>
        <v>-0.002</v>
      </c>
      <c r="S23" s="17"/>
      <c r="T23" s="18" t="n">
        <v>19.63</v>
      </c>
      <c r="V23" s="19"/>
      <c r="W23" s="19" t="n">
        <f aca="false">'Base A'!G23</f>
        <v>2.522</v>
      </c>
      <c r="X23" s="19" t="n">
        <f aca="false">'Base A'!J23</f>
        <v>2.609</v>
      </c>
      <c r="Y23" s="19" t="n">
        <f aca="false">'Base A'!P23</f>
        <v>2.522</v>
      </c>
    </row>
    <row r="24" s="10" customFormat="true" ht="18" hidden="false" customHeight="true" outlineLevel="0" collapsed="false">
      <c r="A24" s="13" t="n">
        <v>2</v>
      </c>
      <c r="B24" s="82" t="s">
        <v>24</v>
      </c>
      <c r="C24" s="15" t="n">
        <f aca="false">+C23+T23</f>
        <v>19.63</v>
      </c>
      <c r="D24" s="16" t="n">
        <v>-3.75</v>
      </c>
      <c r="E24" s="16" t="n">
        <f aca="false">+D24+F24</f>
        <v>-3.755</v>
      </c>
      <c r="F24" s="16" t="n">
        <f aca="false">RANDBETWEEN(-105,115)/10000</f>
        <v>-0.005</v>
      </c>
      <c r="G24" s="16" t="n">
        <f aca="false">W24+0.15</f>
        <v>2.672</v>
      </c>
      <c r="H24" s="16" t="n">
        <f aca="false">G24+I24</f>
        <v>2.687</v>
      </c>
      <c r="I24" s="16" t="n">
        <f aca="false">RANDBETWEEN(-20,70)/1000</f>
        <v>0.015</v>
      </c>
      <c r="J24" s="16" t="n">
        <f aca="false">X24+0.15</f>
        <v>2.759</v>
      </c>
      <c r="K24" s="16" t="n">
        <f aca="false">J24+L24</f>
        <v>2.775</v>
      </c>
      <c r="L24" s="16" t="n">
        <f aca="false">RANDBETWEEN(-20,70)/1000</f>
        <v>0.016</v>
      </c>
      <c r="M24" s="16" t="n">
        <v>3.75</v>
      </c>
      <c r="N24" s="16" t="n">
        <f aca="false">+M24+O24</f>
        <v>3.7441</v>
      </c>
      <c r="O24" s="16" t="n">
        <f aca="false">RANDBETWEEN(-105,115)/10000</f>
        <v>-0.0059</v>
      </c>
      <c r="P24" s="16" t="n">
        <f aca="false">Y24+0.15</f>
        <v>2.672</v>
      </c>
      <c r="Q24" s="16" t="n">
        <f aca="false">P24+R24</f>
        <v>2.73</v>
      </c>
      <c r="R24" s="16" t="n">
        <f aca="false">RANDBETWEEN(-20,70)/1000</f>
        <v>0.058</v>
      </c>
      <c r="S24" s="17"/>
      <c r="T24" s="18" t="n">
        <v>17.17</v>
      </c>
      <c r="V24" s="19"/>
      <c r="W24" s="19" t="n">
        <f aca="false">'Base A'!G24</f>
        <v>2.522</v>
      </c>
      <c r="X24" s="19" t="n">
        <f aca="false">'Base A'!J24</f>
        <v>2.609</v>
      </c>
      <c r="Y24" s="19" t="n">
        <f aca="false">'Base A'!P24</f>
        <v>2.522</v>
      </c>
    </row>
    <row r="25" s="10" customFormat="true" ht="18" hidden="false" customHeight="true" outlineLevel="0" collapsed="false">
      <c r="A25" s="13" t="n">
        <v>3</v>
      </c>
      <c r="B25" s="82" t="s">
        <v>25</v>
      </c>
      <c r="C25" s="15" t="n">
        <f aca="false">+C24+T24</f>
        <v>36.8</v>
      </c>
      <c r="D25" s="16" t="n">
        <v>-3.75</v>
      </c>
      <c r="E25" s="16" t="n">
        <f aca="false">+D25+F25</f>
        <v>-3.7481</v>
      </c>
      <c r="F25" s="16" t="n">
        <f aca="false">RANDBETWEEN(-105,115)/10000</f>
        <v>0.0019</v>
      </c>
      <c r="G25" s="16" t="n">
        <f aca="false">W25+0.15</f>
        <v>2.68</v>
      </c>
      <c r="H25" s="16" t="n">
        <f aca="false">G25+I25</f>
        <v>2.701</v>
      </c>
      <c r="I25" s="16" t="n">
        <f aca="false">RANDBETWEEN(-20,70)/1000</f>
        <v>0.021</v>
      </c>
      <c r="J25" s="16" t="n">
        <f aca="false">X25+0.15</f>
        <v>2.767</v>
      </c>
      <c r="K25" s="16" t="n">
        <f aca="false">J25+L25</f>
        <v>2.756</v>
      </c>
      <c r="L25" s="16" t="n">
        <f aca="false">RANDBETWEEN(-20,70)/1000</f>
        <v>-0.011</v>
      </c>
      <c r="M25" s="16" t="n">
        <v>3.75</v>
      </c>
      <c r="N25" s="16" t="n">
        <f aca="false">+M25+O25</f>
        <v>3.7554</v>
      </c>
      <c r="O25" s="16" t="n">
        <f aca="false">RANDBETWEEN(-105,115)/10000</f>
        <v>0.0054</v>
      </c>
      <c r="P25" s="16" t="n">
        <f aca="false">Y25+0.15</f>
        <v>2.68</v>
      </c>
      <c r="Q25" s="16" t="n">
        <f aca="false">P25+R25</f>
        <v>2.664</v>
      </c>
      <c r="R25" s="16" t="n">
        <f aca="false">RANDBETWEEN(-20,70)/1000</f>
        <v>-0.016</v>
      </c>
      <c r="S25" s="17"/>
      <c r="T25" s="18" t="n">
        <v>17.18</v>
      </c>
      <c r="V25" s="19"/>
      <c r="W25" s="19" t="n">
        <f aca="false">'Base A'!G25</f>
        <v>2.53</v>
      </c>
      <c r="X25" s="19" t="n">
        <f aca="false">'Base A'!J25</f>
        <v>2.617</v>
      </c>
      <c r="Y25" s="19" t="n">
        <f aca="false">'Base A'!P25</f>
        <v>2.53</v>
      </c>
    </row>
    <row r="26" s="10" customFormat="true" ht="18" hidden="false" customHeight="true" outlineLevel="0" collapsed="false">
      <c r="A26" s="13" t="n">
        <v>4</v>
      </c>
      <c r="B26" s="82" t="s">
        <v>26</v>
      </c>
      <c r="C26" s="15" t="n">
        <f aca="false">+C25+T25</f>
        <v>53.98</v>
      </c>
      <c r="D26" s="16" t="n">
        <v>-3.75</v>
      </c>
      <c r="E26" s="16" t="n">
        <f aca="false">+D26+F26</f>
        <v>-3.7502</v>
      </c>
      <c r="F26" s="16" t="n">
        <f aca="false">RANDBETWEEN(-105,115)/10000</f>
        <v>-0.0002</v>
      </c>
      <c r="G26" s="16" t="n">
        <f aca="false">W26+0.15</f>
        <v>2.687</v>
      </c>
      <c r="H26" s="16" t="n">
        <f aca="false">G26+I26</f>
        <v>2.751</v>
      </c>
      <c r="I26" s="16" t="n">
        <f aca="false">RANDBETWEEN(-20,70)/1000</f>
        <v>0.064</v>
      </c>
      <c r="J26" s="16" t="n">
        <f aca="false">X26+0.15</f>
        <v>2.774</v>
      </c>
      <c r="K26" s="16" t="n">
        <f aca="false">J26+L26</f>
        <v>2.813</v>
      </c>
      <c r="L26" s="16" t="n">
        <f aca="false">RANDBETWEEN(-20,70)/1000</f>
        <v>0.039</v>
      </c>
      <c r="M26" s="16" t="n">
        <v>3.75</v>
      </c>
      <c r="N26" s="16" t="n">
        <f aca="false">+M26+O26</f>
        <v>3.7533</v>
      </c>
      <c r="O26" s="16" t="n">
        <f aca="false">RANDBETWEEN(-105,115)/10000</f>
        <v>0.0033</v>
      </c>
      <c r="P26" s="16" t="n">
        <f aca="false">Y26+0.15</f>
        <v>2.687</v>
      </c>
      <c r="Q26" s="16" t="n">
        <f aca="false">P26+R26</f>
        <v>2.707</v>
      </c>
      <c r="R26" s="16" t="n">
        <f aca="false">RANDBETWEEN(-20,70)/1000</f>
        <v>0.02</v>
      </c>
      <c r="S26" s="17"/>
      <c r="T26" s="18" t="n">
        <v>12.97</v>
      </c>
      <c r="V26" s="19"/>
      <c r="W26" s="19" t="n">
        <f aca="false">'Base A'!G26</f>
        <v>2.537</v>
      </c>
      <c r="X26" s="19" t="n">
        <f aca="false">'Base A'!J26</f>
        <v>2.624</v>
      </c>
      <c r="Y26" s="19" t="n">
        <f aca="false">'Base A'!P26</f>
        <v>2.537</v>
      </c>
    </row>
    <row r="27" s="10" customFormat="true" ht="18" hidden="false" customHeight="true" outlineLevel="0" collapsed="false">
      <c r="A27" s="13" t="n">
        <v>5</v>
      </c>
      <c r="B27" s="82" t="s">
        <v>27</v>
      </c>
      <c r="C27" s="15" t="n">
        <f aca="false">+C26+T26</f>
        <v>66.95</v>
      </c>
      <c r="D27" s="16" t="n">
        <v>-3.75</v>
      </c>
      <c r="E27" s="16" t="n">
        <f aca="false">+D27+F27</f>
        <v>-3.7429</v>
      </c>
      <c r="F27" s="16" t="n">
        <f aca="false">RANDBETWEEN(-105,115)/10000</f>
        <v>0.0071</v>
      </c>
      <c r="G27" s="16" t="n">
        <f aca="false">W27+0.15</f>
        <v>2.693</v>
      </c>
      <c r="H27" s="16" t="n">
        <f aca="false">G27+I27</f>
        <v>2.69</v>
      </c>
      <c r="I27" s="16" t="n">
        <f aca="false">RANDBETWEEN(-20,70)/1000</f>
        <v>-0.003</v>
      </c>
      <c r="J27" s="16" t="n">
        <f aca="false">X27+0.15</f>
        <v>2.78</v>
      </c>
      <c r="K27" s="16" t="n">
        <f aca="false">J27+L27</f>
        <v>2.838</v>
      </c>
      <c r="L27" s="16" t="n">
        <f aca="false">RANDBETWEEN(-20,70)/1000</f>
        <v>0.058</v>
      </c>
      <c r="M27" s="16" t="n">
        <v>3.75</v>
      </c>
      <c r="N27" s="16" t="n">
        <f aca="false">+M27+O27</f>
        <v>3.7454</v>
      </c>
      <c r="O27" s="16" t="n">
        <f aca="false">RANDBETWEEN(-105,115)/10000</f>
        <v>-0.0046</v>
      </c>
      <c r="P27" s="16" t="n">
        <f aca="false">Y27+0.15</f>
        <v>2.693</v>
      </c>
      <c r="Q27" s="16" t="n">
        <f aca="false">P27+R27</f>
        <v>2.742</v>
      </c>
      <c r="R27" s="16" t="n">
        <f aca="false">RANDBETWEEN(-20,70)/1000</f>
        <v>0.049</v>
      </c>
      <c r="S27" s="17"/>
      <c r="T27" s="18" t="n">
        <v>10.68</v>
      </c>
      <c r="V27" s="19"/>
      <c r="W27" s="19" t="n">
        <f aca="false">'Base A'!G27</f>
        <v>2.543</v>
      </c>
      <c r="X27" s="19" t="n">
        <f aca="false">'Base A'!J27</f>
        <v>2.63</v>
      </c>
      <c r="Y27" s="19" t="n">
        <f aca="false">'Base A'!P27</f>
        <v>2.543</v>
      </c>
    </row>
    <row r="28" s="10" customFormat="true" ht="18" hidden="false" customHeight="true" outlineLevel="0" collapsed="false">
      <c r="A28" s="13" t="n">
        <v>6</v>
      </c>
      <c r="B28" s="82" t="s">
        <v>28</v>
      </c>
      <c r="C28" s="15" t="n">
        <f aca="false">+C27+T27</f>
        <v>77.63</v>
      </c>
      <c r="D28" s="16" t="n">
        <v>-3.75</v>
      </c>
      <c r="E28" s="16" t="n">
        <f aca="false">+D28+F28</f>
        <v>-3.7475</v>
      </c>
      <c r="F28" s="16" t="n">
        <f aca="false">RANDBETWEEN(-105,115)/10000</f>
        <v>0.0025</v>
      </c>
      <c r="G28" s="16" t="n">
        <f aca="false">W28+0.15</f>
        <v>2.698</v>
      </c>
      <c r="H28" s="16" t="n">
        <f aca="false">G28+I28</f>
        <v>2.768</v>
      </c>
      <c r="I28" s="16" t="n">
        <f aca="false">RANDBETWEEN(-20,70)/1000</f>
        <v>0.07</v>
      </c>
      <c r="J28" s="16" t="n">
        <f aca="false">X28+0.15</f>
        <v>2.785</v>
      </c>
      <c r="K28" s="16" t="n">
        <f aca="false">J28+L28</f>
        <v>2.819</v>
      </c>
      <c r="L28" s="16" t="n">
        <f aca="false">RANDBETWEEN(-20,70)/1000</f>
        <v>0.034</v>
      </c>
      <c r="M28" s="16" t="n">
        <v>3.75</v>
      </c>
      <c r="N28" s="16" t="n">
        <f aca="false">+M28+O28</f>
        <v>3.7615</v>
      </c>
      <c r="O28" s="16" t="n">
        <f aca="false">RANDBETWEEN(-105,115)/10000</f>
        <v>0.0115</v>
      </c>
      <c r="P28" s="16" t="n">
        <f aca="false">Y28+0.15</f>
        <v>2.698</v>
      </c>
      <c r="Q28" s="16" t="n">
        <f aca="false">P28+R28</f>
        <v>2.704</v>
      </c>
      <c r="R28" s="16" t="n">
        <f aca="false">RANDBETWEEN(-20,70)/1000</f>
        <v>0.006</v>
      </c>
      <c r="S28" s="17"/>
      <c r="T28" s="18" t="n">
        <v>17.17</v>
      </c>
      <c r="V28" s="19"/>
      <c r="W28" s="19" t="n">
        <f aca="false">'Base A'!G28</f>
        <v>2.548</v>
      </c>
      <c r="X28" s="19" t="n">
        <f aca="false">'Base A'!J28</f>
        <v>2.635</v>
      </c>
      <c r="Y28" s="19" t="n">
        <f aca="false">'Base A'!P28</f>
        <v>2.548</v>
      </c>
    </row>
    <row r="29" s="10" customFormat="true" ht="18" hidden="false" customHeight="true" outlineLevel="0" collapsed="false">
      <c r="A29" s="13" t="n">
        <v>7</v>
      </c>
      <c r="B29" s="82" t="s">
        <v>29</v>
      </c>
      <c r="C29" s="15" t="n">
        <f aca="false">+C28+T28</f>
        <v>94.8</v>
      </c>
      <c r="D29" s="16" t="n">
        <v>-3.75</v>
      </c>
      <c r="E29" s="16" t="n">
        <f aca="false">+D29+F29</f>
        <v>-3.75</v>
      </c>
      <c r="F29" s="16" t="n">
        <f aca="false">RANDBETWEEN(-105,115)/10000</f>
        <v>0</v>
      </c>
      <c r="G29" s="16" t="n">
        <f aca="false">W29+0.15</f>
        <v>2.707</v>
      </c>
      <c r="H29" s="16" t="n">
        <f aca="false">G29+I29</f>
        <v>2.768</v>
      </c>
      <c r="I29" s="16" t="n">
        <f aca="false">RANDBETWEEN(-20,70)/1000</f>
        <v>0.061</v>
      </c>
      <c r="J29" s="16" t="n">
        <f aca="false">X29+0.15</f>
        <v>2.794</v>
      </c>
      <c r="K29" s="16" t="n">
        <f aca="false">J29+L29</f>
        <v>2.794</v>
      </c>
      <c r="L29" s="16" t="n">
        <f aca="false">RANDBETWEEN(-20,70)/1000</f>
        <v>0</v>
      </c>
      <c r="M29" s="16" t="n">
        <v>3.75</v>
      </c>
      <c r="N29" s="16" t="n">
        <f aca="false">+M29+O29</f>
        <v>3.7469</v>
      </c>
      <c r="O29" s="16" t="n">
        <f aca="false">RANDBETWEEN(-105,115)/10000</f>
        <v>-0.0031</v>
      </c>
      <c r="P29" s="16" t="n">
        <f aca="false">Y29+0.15</f>
        <v>2.707</v>
      </c>
      <c r="Q29" s="16" t="n">
        <f aca="false">P29+R29</f>
        <v>2.745</v>
      </c>
      <c r="R29" s="16" t="n">
        <f aca="false">RANDBETWEEN(-20,70)/1000</f>
        <v>0.038</v>
      </c>
      <c r="S29" s="17"/>
      <c r="T29" s="18" t="n">
        <v>17.17</v>
      </c>
      <c r="V29" s="19"/>
      <c r="W29" s="19" t="n">
        <f aca="false">'Base A'!G29</f>
        <v>2.557</v>
      </c>
      <c r="X29" s="19" t="n">
        <f aca="false">'Base A'!J29</f>
        <v>2.644</v>
      </c>
      <c r="Y29" s="19" t="n">
        <f aca="false">'Base A'!P29</f>
        <v>2.557</v>
      </c>
    </row>
    <row r="30" s="10" customFormat="true" ht="18" hidden="false" customHeight="true" outlineLevel="0" collapsed="false">
      <c r="A30" s="13" t="n">
        <v>8</v>
      </c>
      <c r="B30" s="82" t="s">
        <v>30</v>
      </c>
      <c r="C30" s="15" t="n">
        <f aca="false">+C29+T29</f>
        <v>111.97</v>
      </c>
      <c r="D30" s="16" t="n">
        <v>-3.75</v>
      </c>
      <c r="E30" s="16" t="n">
        <f aca="false">+D30+F30</f>
        <v>-3.7391</v>
      </c>
      <c r="F30" s="16" t="n">
        <f aca="false">RANDBETWEEN(-105,115)/10000</f>
        <v>0.0109</v>
      </c>
      <c r="G30" s="16" t="n">
        <f aca="false">W30+0.15</f>
        <v>2.716</v>
      </c>
      <c r="H30" s="16" t="n">
        <f aca="false">G30+I30</f>
        <v>2.732</v>
      </c>
      <c r="I30" s="16" t="n">
        <f aca="false">RANDBETWEEN(-20,70)/1000</f>
        <v>0.016</v>
      </c>
      <c r="J30" s="16" t="n">
        <f aca="false">X30+0.15</f>
        <v>2.803</v>
      </c>
      <c r="K30" s="16" t="n">
        <f aca="false">J30+L30</f>
        <v>2.783</v>
      </c>
      <c r="L30" s="16" t="n">
        <f aca="false">RANDBETWEEN(-20,70)/1000</f>
        <v>-0.02</v>
      </c>
      <c r="M30" s="16" t="n">
        <v>3.75</v>
      </c>
      <c r="N30" s="16" t="n">
        <f aca="false">+M30+O30</f>
        <v>3.7567</v>
      </c>
      <c r="O30" s="16" t="n">
        <f aca="false">RANDBETWEEN(-105,115)/10000</f>
        <v>0.0067</v>
      </c>
      <c r="P30" s="16" t="n">
        <f aca="false">Y30+0.15</f>
        <v>2.716</v>
      </c>
      <c r="Q30" s="16" t="n">
        <f aca="false">P30+R30</f>
        <v>2.697</v>
      </c>
      <c r="R30" s="16" t="n">
        <f aca="false">RANDBETWEEN(-20,70)/1000</f>
        <v>-0.019</v>
      </c>
      <c r="S30" s="17"/>
      <c r="T30" s="18" t="n">
        <v>14.49</v>
      </c>
      <c r="V30" s="19"/>
      <c r="W30" s="19" t="n">
        <f aca="false">'Base A'!G30</f>
        <v>2.566</v>
      </c>
      <c r="X30" s="19" t="n">
        <f aca="false">'Base A'!J30</f>
        <v>2.653</v>
      </c>
      <c r="Y30" s="19" t="n">
        <f aca="false">'Base A'!P30</f>
        <v>2.566</v>
      </c>
    </row>
    <row r="31" s="10" customFormat="true" ht="18" hidden="false" customHeight="true" outlineLevel="0" collapsed="false">
      <c r="A31" s="13" t="n">
        <v>9</v>
      </c>
      <c r="B31" s="82" t="s">
        <v>31</v>
      </c>
      <c r="C31" s="15" t="n">
        <f aca="false">+C30+T30</f>
        <v>126.46</v>
      </c>
      <c r="D31" s="16" t="n">
        <v>-3.75</v>
      </c>
      <c r="E31" s="16" t="n">
        <f aca="false">+D31+F31</f>
        <v>-3.7592</v>
      </c>
      <c r="F31" s="16" t="n">
        <f aca="false">RANDBETWEEN(-105,115)/10000</f>
        <v>-0.0092</v>
      </c>
      <c r="G31" s="16" t="n">
        <f aca="false">W31+0.15</f>
        <v>2.716</v>
      </c>
      <c r="H31" s="16" t="n">
        <f aca="false">G31+I31</f>
        <v>2.746</v>
      </c>
      <c r="I31" s="16" t="n">
        <f aca="false">RANDBETWEEN(-20,70)/1000</f>
        <v>0.03</v>
      </c>
      <c r="J31" s="16" t="n">
        <f aca="false">X31+0.15</f>
        <v>2.803</v>
      </c>
      <c r="K31" s="16" t="n">
        <f aca="false">J31+L31</f>
        <v>2.821</v>
      </c>
      <c r="L31" s="16" t="n">
        <f aca="false">RANDBETWEEN(-20,70)/1000</f>
        <v>0.018</v>
      </c>
      <c r="M31" s="16" t="n">
        <v>3.75</v>
      </c>
      <c r="N31" s="16" t="n">
        <f aca="false">+M31+O31</f>
        <v>3.7466</v>
      </c>
      <c r="O31" s="16" t="n">
        <f aca="false">RANDBETWEEN(-105,115)/10000</f>
        <v>-0.0034</v>
      </c>
      <c r="P31" s="16" t="n">
        <f aca="false">Y31+0.15</f>
        <v>2.716</v>
      </c>
      <c r="Q31" s="16" t="n">
        <f aca="false">P31+R31</f>
        <v>2.782</v>
      </c>
      <c r="R31" s="16" t="n">
        <f aca="false">RANDBETWEEN(-20,70)/1000</f>
        <v>0.066</v>
      </c>
      <c r="S31" s="17"/>
      <c r="T31" s="18"/>
      <c r="V31" s="19"/>
      <c r="W31" s="19" t="n">
        <f aca="false">'Base A'!G31</f>
        <v>2.566</v>
      </c>
      <c r="X31" s="19" t="n">
        <f aca="false">'Base A'!J31</f>
        <v>2.653</v>
      </c>
      <c r="Y31" s="19" t="n">
        <f aca="false">'Base A'!P31</f>
        <v>2.566</v>
      </c>
    </row>
    <row r="32" customFormat="false" ht="15.75" hidden="false" customHeight="true" outlineLevel="0" collapsed="false"/>
    <row r="33" customFormat="false" ht="15.75" hidden="false" customHeight="true" outlineLevel="0" collapsed="false">
      <c r="C33" s="21" t="s">
        <v>32</v>
      </c>
      <c r="D33" s="21"/>
      <c r="E33" s="21"/>
      <c r="F33" s="21"/>
      <c r="G33" s="21"/>
      <c r="H33" s="21"/>
      <c r="I33" s="21"/>
      <c r="K33" s="22"/>
      <c r="L33" s="22"/>
      <c r="M33" s="22"/>
      <c r="N33" s="22"/>
      <c r="O33" s="21" t="s">
        <v>33</v>
      </c>
      <c r="P33" s="21"/>
      <c r="Q33" s="21"/>
      <c r="R33" s="21"/>
    </row>
    <row r="34" customFormat="false" ht="15.75" hidden="false" customHeight="true" outlineLevel="0" collapsed="false">
      <c r="E34" s="23"/>
      <c r="F34" s="23"/>
      <c r="G34" s="23"/>
      <c r="H34" s="23"/>
      <c r="K34" s="23"/>
      <c r="L34" s="23"/>
      <c r="M34" s="23"/>
      <c r="N34" s="23"/>
      <c r="O34" s="23"/>
      <c r="P34" s="23"/>
      <c r="Q34" s="23"/>
      <c r="R34" s="23"/>
    </row>
    <row r="35" customFormat="false" ht="15.75" hidden="false" customHeight="true" outlineLevel="0" collapsed="false">
      <c r="E35" s="23"/>
      <c r="F35" s="23"/>
      <c r="G35" s="23"/>
      <c r="H35" s="23"/>
      <c r="K35" s="23"/>
      <c r="L35" s="23"/>
      <c r="M35" s="23"/>
      <c r="N35" s="23"/>
      <c r="O35" s="23"/>
      <c r="P35" s="23"/>
      <c r="Q35" s="23"/>
      <c r="R35" s="23"/>
    </row>
    <row r="36" customFormat="false" ht="15.75" hidden="false" customHeight="true" outlineLevel="0" collapsed="false">
      <c r="E36" s="23"/>
      <c r="F36" s="23"/>
      <c r="G36" s="23"/>
      <c r="H36" s="23"/>
      <c r="K36" s="23"/>
      <c r="L36" s="23"/>
      <c r="M36" s="23"/>
      <c r="N36" s="23"/>
      <c r="O36" s="23"/>
      <c r="P36" s="23"/>
      <c r="Q36" s="23"/>
      <c r="R36" s="23"/>
    </row>
    <row r="37" customFormat="false" ht="15.75" hidden="false" customHeight="true" outlineLevel="0" collapsed="false">
      <c r="E37" s="23"/>
      <c r="F37" s="23"/>
      <c r="G37" s="23"/>
      <c r="H37" s="23"/>
      <c r="K37" s="23"/>
      <c r="L37" s="23"/>
      <c r="M37" s="23"/>
      <c r="N37" s="23"/>
      <c r="O37" s="23"/>
      <c r="P37" s="23"/>
      <c r="Q37" s="23"/>
      <c r="R37" s="23"/>
    </row>
    <row r="38" customFormat="false" ht="15.75" hidden="false" customHeight="true" outlineLevel="0" collapsed="false">
      <c r="C38" s="21" t="s">
        <v>34</v>
      </c>
      <c r="D38" s="21"/>
      <c r="E38" s="21"/>
      <c r="F38" s="21"/>
      <c r="G38" s="21"/>
      <c r="H38" s="21"/>
      <c r="I38" s="21"/>
      <c r="K38" s="22"/>
      <c r="L38" s="22"/>
      <c r="M38" s="22"/>
      <c r="N38" s="22"/>
      <c r="O38" s="21" t="s">
        <v>50</v>
      </c>
      <c r="P38" s="21"/>
      <c r="Q38" s="21"/>
      <c r="R38" s="21"/>
    </row>
  </sheetData>
  <mergeCells count="13">
    <mergeCell ref="A1:S1"/>
    <mergeCell ref="A2:S2"/>
    <mergeCell ref="A21:A22"/>
    <mergeCell ref="B21:B22"/>
    <mergeCell ref="C21:C22"/>
    <mergeCell ref="D21:I21"/>
    <mergeCell ref="J21:L21"/>
    <mergeCell ref="M21:R21"/>
    <mergeCell ref="S21:S22"/>
    <mergeCell ref="C33:I33"/>
    <mergeCell ref="O33:R33"/>
    <mergeCell ref="C38:I38"/>
    <mergeCell ref="O38:R38"/>
  </mergeCells>
  <printOptions headings="false" gridLines="false" gridLinesSet="true" horizontalCentered="true" verticalCentered="false"/>
  <pageMargins left="0.590277777777778" right="0.157638888888889" top="0.579861111111111" bottom="0.479861111111111" header="0.511811023622047" footer="0.157638888888889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>&amp;C&amp;P</oddFooter>
  </headerFooter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HY105"/>
  <sheetViews>
    <sheetView showFormulas="false" showGridLines="true" showRowColHeaders="true" showZeros="true" rightToLeft="false" tabSelected="true" showOutlineSymbols="true" defaultGridColor="true" view="normal" topLeftCell="A13" colorId="64" zoomScale="70" zoomScaleNormal="70" zoomScalePageLayoutView="100" workbookViewId="0">
      <selection pane="topLeft" activeCell="O27" activeCellId="0" sqref="O27"/>
    </sheetView>
  </sheetViews>
  <sheetFormatPr defaultColWidth="9.2890625" defaultRowHeight="12.75" zeroHeight="false" outlineLevelRow="0" outlineLevelCol="0"/>
  <cols>
    <col collapsed="false" customWidth="true" hidden="false" outlineLevel="0" max="1" min="1" style="24" width="6.71"/>
    <col collapsed="false" customWidth="true" hidden="false" outlineLevel="0" max="2" min="2" style="24" width="12.29"/>
    <col collapsed="false" customWidth="true" hidden="false" outlineLevel="0" max="3" min="3" style="24" width="19.57"/>
    <col collapsed="false" customWidth="true" hidden="false" outlineLevel="0" max="4" min="4" style="25" width="12.71"/>
    <col collapsed="false" customWidth="true" hidden="true" outlineLevel="0" max="6" min="5" style="25" width="8.42"/>
    <col collapsed="false" customWidth="true" hidden="true" outlineLevel="0" max="7" min="7" style="25" width="11"/>
    <col collapsed="false" customWidth="true" hidden="true" outlineLevel="0" max="12" min="8" style="25" width="8.42"/>
    <col collapsed="false" customWidth="true" hidden="true" outlineLevel="0" max="14" min="13" style="25" width="14.29"/>
    <col collapsed="false" customWidth="true" hidden="false" outlineLevel="0" max="15" min="15" style="25" width="15.42"/>
    <col collapsed="false" customWidth="true" hidden="true" outlineLevel="0" max="22" min="16" style="25" width="14.29"/>
    <col collapsed="false" customWidth="true" hidden="false" outlineLevel="0" max="23" min="23" style="25" width="15.29"/>
    <col collapsed="false" customWidth="true" hidden="true" outlineLevel="0" max="25" min="24" style="25" width="14.29"/>
    <col collapsed="false" customWidth="true" hidden="true" outlineLevel="0" max="27" min="26" style="25" width="12.86"/>
    <col collapsed="false" customWidth="true" hidden="false" outlineLevel="0" max="28" min="28" style="25" width="8.71"/>
    <col collapsed="false" customWidth="false" hidden="true" outlineLevel="0" max="29" min="29" style="25" width="9.29"/>
    <col collapsed="false" customWidth="true" hidden="false" outlineLevel="0" max="30" min="30" style="24" width="3.86"/>
    <col collapsed="false" customWidth="true" hidden="false" outlineLevel="0" max="31" min="31" style="24" width="10"/>
    <col collapsed="false" customWidth="true" hidden="false" outlineLevel="0" max="32" min="32" style="24" width="11.43"/>
    <col collapsed="false" customWidth="true" hidden="false" outlineLevel="0" max="34" min="33" style="24" width="10.57"/>
    <col collapsed="false" customWidth="true" hidden="false" outlineLevel="0" max="35" min="35" style="24" width="11.29"/>
    <col collapsed="false" customWidth="true" hidden="false" outlineLevel="0" max="36" min="36" style="24" width="10.57"/>
    <col collapsed="false" customWidth="true" hidden="false" outlineLevel="0" max="37" min="37" style="24" width="6.43"/>
    <col collapsed="false" customWidth="true" hidden="false" outlineLevel="0" max="38" min="38" style="24" width="10.57"/>
    <col collapsed="false" customWidth="true" hidden="false" outlineLevel="0" max="39" min="39" style="24" width="11.57"/>
    <col collapsed="false" customWidth="false" hidden="false" outlineLevel="0" max="16384" min="40" style="24" width="9.29"/>
  </cols>
  <sheetData>
    <row r="1" s="27" customFormat="true" ht="16.5" hidden="false" customHeight="true" outlineLevel="0" collapsed="false">
      <c r="A1" s="26" t="s">
        <v>36</v>
      </c>
      <c r="B1" s="26"/>
      <c r="C1" s="26"/>
      <c r="D1" s="26"/>
      <c r="E1" s="26"/>
      <c r="F1" s="26"/>
      <c r="G1" s="26"/>
      <c r="H1" s="26"/>
      <c r="I1" s="26"/>
      <c r="J1" s="26"/>
      <c r="K1" s="26"/>
      <c r="L1" s="26"/>
      <c r="M1" s="26"/>
      <c r="N1" s="26"/>
      <c r="O1" s="26"/>
      <c r="P1" s="26"/>
      <c r="Q1" s="26"/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</row>
    <row r="2" s="27" customFormat="true" ht="16.5" hidden="false" customHeight="true" outlineLevel="0" collapsed="false">
      <c r="A2" s="28" t="str">
        <f>"Kèm theo BBNT số: "&amp;VLOOKUP(AZ2,'[1]Tuyến XB6A'!$A$2:$G$60,7,0)&amp;VLOOKUP(AZ2,'[1]Tuyến XB6A'!$A$2:$G$60,4,0)</f>
        <v xml:space="preserve">Kèm theo BBNT số: 24.NĐXB6A/CVXD ngày 09 tháng 09 năm 2026</v>
      </c>
      <c r="B2" s="28"/>
      <c r="C2" s="28"/>
      <c r="D2" s="28"/>
      <c r="E2" s="28"/>
      <c r="F2" s="28"/>
      <c r="G2" s="28"/>
      <c r="H2" s="28"/>
      <c r="I2" s="28"/>
      <c r="J2" s="28"/>
      <c r="K2" s="28"/>
      <c r="L2" s="28"/>
      <c r="M2" s="28"/>
      <c r="N2" s="28"/>
      <c r="O2" s="28"/>
      <c r="P2" s="28"/>
      <c r="Q2" s="28"/>
      <c r="R2" s="28"/>
      <c r="S2" s="28"/>
      <c r="T2" s="28"/>
      <c r="U2" s="28"/>
      <c r="V2" s="28"/>
      <c r="W2" s="28"/>
      <c r="X2" s="28"/>
      <c r="Y2" s="28"/>
      <c r="Z2" s="28"/>
      <c r="AA2" s="28"/>
      <c r="AB2" s="28"/>
      <c r="AZ2">
        <v>24</v>
      </c>
    </row>
    <row r="3" s="31" customFormat="true" ht="37.5" hidden="false" customHeight="true" outlineLevel="0" collapsed="false">
      <c r="A3" s="29" t="s">
        <v>2</v>
      </c>
      <c r="B3" s="29"/>
      <c r="C3" s="29"/>
      <c r="D3" s="29"/>
      <c r="E3" s="29"/>
      <c r="F3" s="29"/>
      <c r="G3" s="29"/>
      <c r="H3" s="29"/>
      <c r="I3" s="29"/>
      <c r="J3" s="29"/>
      <c r="K3" s="29"/>
      <c r="L3" s="29"/>
      <c r="M3" s="29"/>
      <c r="N3" s="29"/>
      <c r="O3" s="29"/>
      <c r="P3" s="29"/>
      <c r="Q3" s="29"/>
      <c r="R3" s="29"/>
      <c r="S3" s="29"/>
      <c r="T3" s="29"/>
      <c r="U3" s="29"/>
      <c r="V3" s="29"/>
      <c r="W3" s="29"/>
      <c r="X3" s="29"/>
      <c r="Y3" s="29"/>
      <c r="Z3" s="29"/>
      <c r="AA3" s="29"/>
      <c r="AB3" s="29"/>
      <c r="AC3" s="30"/>
      <c r="AD3" s="30"/>
      <c r="AE3" s="30"/>
      <c r="AF3" s="30"/>
      <c r="AG3" s="30"/>
      <c r="AH3" s="30"/>
      <c r="AI3" s="30"/>
      <c r="AJ3" s="30"/>
      <c r="AK3" s="30"/>
      <c r="AL3" s="30"/>
      <c r="AM3" s="30"/>
      <c r="AN3" s="30"/>
      <c r="AO3" s="30"/>
      <c r="AP3" s="30"/>
      <c r="AQ3" s="30"/>
      <c r="AR3" s="30"/>
      <c r="AS3" s="30"/>
      <c r="AT3" s="30"/>
      <c r="AU3" s="30"/>
      <c r="AV3" s="30"/>
      <c r="AW3" s="30"/>
      <c r="AX3" s="30"/>
      <c r="AY3" s="30"/>
      <c r="AZ3" s="30"/>
      <c r="BA3" s="30"/>
      <c r="BB3" s="30"/>
      <c r="BC3" s="30"/>
      <c r="BD3" s="30"/>
      <c r="BE3" s="30"/>
      <c r="BF3" s="30"/>
      <c r="BG3" s="30"/>
      <c r="BH3" s="30"/>
      <c r="BI3" s="30"/>
      <c r="BJ3" s="30"/>
      <c r="BK3" s="30"/>
      <c r="BL3" s="30"/>
      <c r="BM3" s="30"/>
      <c r="BN3" s="30"/>
      <c r="BO3" s="30"/>
      <c r="BP3" s="30"/>
      <c r="BQ3" s="30"/>
      <c r="BR3" s="30"/>
      <c r="BS3" s="30"/>
      <c r="BT3" s="30"/>
      <c r="BU3" s="30"/>
      <c r="BV3" s="30"/>
      <c r="BW3" s="30"/>
      <c r="BX3" s="30"/>
      <c r="BY3" s="30"/>
      <c r="BZ3" s="30"/>
      <c r="CA3" s="30"/>
      <c r="CB3" s="30"/>
      <c r="CC3" s="30"/>
      <c r="CD3" s="30"/>
      <c r="CE3" s="30"/>
      <c r="CF3" s="30"/>
      <c r="CG3" s="30"/>
      <c r="CH3" s="30"/>
      <c r="CI3" s="30"/>
      <c r="CJ3" s="30"/>
      <c r="CK3" s="30"/>
      <c r="CL3" s="30"/>
      <c r="CM3" s="30"/>
      <c r="CN3" s="30"/>
      <c r="CO3" s="30"/>
      <c r="CP3" s="30"/>
      <c r="CQ3" s="30"/>
      <c r="CR3" s="30"/>
      <c r="CS3" s="30"/>
      <c r="CT3" s="30"/>
      <c r="CU3" s="30"/>
      <c r="CV3" s="30"/>
      <c r="CW3" s="30"/>
      <c r="CX3" s="30"/>
      <c r="CY3" s="30"/>
      <c r="CZ3" s="30"/>
      <c r="DA3" s="30"/>
      <c r="DB3" s="30"/>
      <c r="DC3" s="30"/>
      <c r="DD3" s="30"/>
      <c r="DE3" s="30"/>
      <c r="DF3" s="30"/>
      <c r="DG3" s="30"/>
      <c r="DH3" s="30"/>
      <c r="DI3" s="30"/>
      <c r="DJ3" s="30"/>
      <c r="DK3" s="30"/>
      <c r="DL3" s="30"/>
      <c r="DM3" s="30"/>
      <c r="DN3" s="30"/>
      <c r="DO3" s="30"/>
      <c r="DP3" s="30"/>
      <c r="DQ3" s="30"/>
      <c r="DR3" s="30"/>
      <c r="DS3" s="30"/>
      <c r="DT3" s="30"/>
      <c r="DU3" s="30"/>
      <c r="DV3" s="30"/>
      <c r="DW3" s="30"/>
      <c r="DX3" s="30"/>
      <c r="DY3" s="30"/>
      <c r="DZ3" s="30"/>
      <c r="EA3" s="30"/>
      <c r="EB3" s="30"/>
      <c r="EC3" s="30"/>
      <c r="ED3" s="30"/>
      <c r="EE3" s="30"/>
      <c r="EF3" s="30"/>
      <c r="EG3" s="30"/>
      <c r="EH3" s="30"/>
      <c r="EI3" s="30"/>
      <c r="EJ3" s="30"/>
      <c r="EK3" s="30"/>
      <c r="EL3" s="30"/>
      <c r="EM3" s="30"/>
      <c r="EN3" s="30"/>
      <c r="EO3" s="30"/>
      <c r="EP3" s="30"/>
      <c r="EQ3" s="30"/>
      <c r="ER3" s="30"/>
      <c r="ES3" s="30"/>
      <c r="ET3" s="30"/>
      <c r="EU3" s="30"/>
      <c r="EV3" s="30"/>
      <c r="EW3" s="30"/>
      <c r="EX3" s="30"/>
      <c r="EY3" s="30"/>
      <c r="EZ3" s="30"/>
      <c r="FA3" s="30"/>
      <c r="FB3" s="30"/>
      <c r="FC3" s="30"/>
      <c r="FD3" s="30"/>
      <c r="FE3" s="30"/>
      <c r="FF3" s="30"/>
      <c r="FG3" s="30"/>
      <c r="FH3" s="30"/>
      <c r="FI3" s="30"/>
      <c r="FJ3" s="30"/>
      <c r="FK3" s="30"/>
      <c r="FL3" s="30"/>
      <c r="FM3" s="30"/>
      <c r="FN3" s="30"/>
      <c r="FO3" s="30"/>
      <c r="FP3" s="30"/>
      <c r="FQ3" s="30"/>
      <c r="FR3" s="30"/>
      <c r="FS3" s="30"/>
      <c r="FT3" s="30"/>
      <c r="FU3" s="30"/>
      <c r="FV3" s="30"/>
      <c r="FW3" s="30"/>
      <c r="FX3" s="30"/>
      <c r="FY3" s="30"/>
      <c r="FZ3" s="30"/>
      <c r="GA3" s="30"/>
      <c r="GB3" s="30"/>
      <c r="GC3" s="30"/>
      <c r="GD3" s="30"/>
      <c r="GE3" s="30"/>
      <c r="GF3" s="30"/>
      <c r="GG3" s="30"/>
      <c r="GH3" s="30"/>
      <c r="GI3" s="30"/>
      <c r="GJ3" s="30"/>
      <c r="GK3" s="30"/>
      <c r="GL3" s="30"/>
      <c r="GM3" s="30"/>
      <c r="GN3" s="30"/>
      <c r="GO3" s="30"/>
      <c r="GP3" s="30"/>
      <c r="GQ3" s="30"/>
      <c r="GR3" s="30"/>
      <c r="GS3" s="30"/>
      <c r="GT3" s="30"/>
      <c r="GU3" s="30"/>
      <c r="GV3" s="30"/>
      <c r="GW3" s="30"/>
      <c r="GX3" s="30"/>
      <c r="GY3" s="30"/>
      <c r="GZ3" s="30"/>
      <c r="HA3" s="30"/>
      <c r="HB3" s="30"/>
      <c r="HC3" s="30"/>
      <c r="HD3" s="30"/>
      <c r="HE3" s="30"/>
      <c r="HF3" s="30"/>
      <c r="HG3" s="30"/>
      <c r="HH3" s="30"/>
      <c r="HI3" s="30"/>
      <c r="HJ3" s="30"/>
      <c r="HK3" s="30"/>
      <c r="HL3" s="30"/>
      <c r="HM3" s="30"/>
      <c r="HN3" s="30"/>
      <c r="HO3" s="30"/>
      <c r="HP3" s="30"/>
      <c r="HQ3" s="30"/>
      <c r="HR3" s="30"/>
      <c r="HS3" s="30"/>
      <c r="HT3" s="30"/>
      <c r="HU3" s="30"/>
      <c r="HV3" s="30"/>
      <c r="HW3" s="30"/>
      <c r="HX3" s="30"/>
      <c r="HY3" s="30"/>
    </row>
    <row r="4" s="31" customFormat="true" ht="37.5" hidden="false" customHeight="true" outlineLevel="0" collapsed="false">
      <c r="A4" s="29" t="s">
        <v>3</v>
      </c>
      <c r="B4" s="29"/>
      <c r="C4" s="29"/>
      <c r="D4" s="29"/>
      <c r="E4" s="29"/>
      <c r="F4" s="29"/>
      <c r="G4" s="29"/>
      <c r="H4" s="29"/>
      <c r="I4" s="29"/>
      <c r="J4" s="29"/>
      <c r="K4" s="29"/>
      <c r="L4" s="29"/>
      <c r="M4" s="29"/>
      <c r="N4" s="29"/>
      <c r="O4" s="29"/>
      <c r="P4" s="29"/>
      <c r="Q4" s="29"/>
      <c r="R4" s="29"/>
      <c r="S4" s="29"/>
      <c r="T4" s="29"/>
      <c r="U4" s="29"/>
      <c r="V4" s="29"/>
      <c r="W4" s="29"/>
      <c r="X4" s="29"/>
      <c r="Y4" s="29"/>
      <c r="Z4" s="29"/>
      <c r="AA4" s="29"/>
      <c r="AB4" s="29"/>
      <c r="AC4" s="30"/>
      <c r="AD4" s="30"/>
      <c r="AE4" s="30"/>
      <c r="AF4" s="30"/>
      <c r="AG4" s="30"/>
      <c r="AH4" s="30"/>
      <c r="AI4" s="30"/>
      <c r="AJ4" s="30"/>
      <c r="AK4" s="30"/>
      <c r="AL4" s="30"/>
      <c r="AM4" s="30"/>
      <c r="AN4" s="30"/>
      <c r="AO4" s="30"/>
      <c r="AP4" s="30"/>
      <c r="AQ4" s="30"/>
      <c r="AR4" s="30"/>
      <c r="AS4" s="30"/>
      <c r="AT4" s="30"/>
      <c r="AU4" s="30"/>
      <c r="AV4" s="30"/>
      <c r="AW4" s="30"/>
      <c r="AX4" s="30"/>
      <c r="AY4" s="30"/>
      <c r="AZ4" s="30"/>
      <c r="BA4" s="30"/>
      <c r="BB4" s="30"/>
      <c r="BC4" s="30"/>
      <c r="BD4" s="30"/>
      <c r="BE4" s="30"/>
      <c r="BF4" s="30"/>
      <c r="BG4" s="30"/>
      <c r="BH4" s="30"/>
      <c r="BI4" s="30"/>
      <c r="BJ4" s="30"/>
      <c r="BK4" s="30"/>
      <c r="BL4" s="30"/>
      <c r="BM4" s="30"/>
      <c r="BN4" s="30"/>
      <c r="BO4" s="30"/>
      <c r="BP4" s="30"/>
      <c r="BQ4" s="30"/>
      <c r="BR4" s="30"/>
      <c r="BS4" s="30"/>
      <c r="BT4" s="30"/>
      <c r="BU4" s="30"/>
      <c r="BV4" s="30"/>
      <c r="BW4" s="30"/>
      <c r="BX4" s="30"/>
      <c r="BY4" s="30"/>
      <c r="BZ4" s="30"/>
      <c r="CA4" s="30"/>
      <c r="CB4" s="30"/>
      <c r="CC4" s="30"/>
      <c r="CD4" s="30"/>
      <c r="CE4" s="30"/>
      <c r="CF4" s="30"/>
      <c r="CG4" s="30"/>
      <c r="CH4" s="30"/>
      <c r="CI4" s="30"/>
      <c r="CJ4" s="30"/>
      <c r="CK4" s="30"/>
      <c r="CL4" s="30"/>
      <c r="CM4" s="30"/>
      <c r="CN4" s="30"/>
      <c r="CO4" s="30"/>
      <c r="CP4" s="30"/>
      <c r="CQ4" s="30"/>
      <c r="CR4" s="30"/>
      <c r="CS4" s="30"/>
      <c r="CT4" s="30"/>
      <c r="CU4" s="30"/>
      <c r="CV4" s="30"/>
      <c r="CW4" s="30"/>
      <c r="CX4" s="30"/>
      <c r="CY4" s="30"/>
      <c r="CZ4" s="30"/>
      <c r="DA4" s="30"/>
      <c r="DB4" s="30"/>
      <c r="DC4" s="30"/>
      <c r="DD4" s="30"/>
      <c r="DE4" s="30"/>
      <c r="DF4" s="30"/>
      <c r="DG4" s="30"/>
      <c r="DH4" s="30"/>
      <c r="DI4" s="30"/>
      <c r="DJ4" s="30"/>
      <c r="DK4" s="30"/>
      <c r="DL4" s="30"/>
      <c r="DM4" s="30"/>
      <c r="DN4" s="30"/>
      <c r="DO4" s="30"/>
      <c r="DP4" s="30"/>
      <c r="DQ4" s="30"/>
      <c r="DR4" s="30"/>
      <c r="DS4" s="30"/>
      <c r="DT4" s="30"/>
      <c r="DU4" s="30"/>
      <c r="DV4" s="30"/>
      <c r="DW4" s="30"/>
      <c r="DX4" s="30"/>
      <c r="DY4" s="30"/>
      <c r="DZ4" s="30"/>
      <c r="EA4" s="30"/>
      <c r="EB4" s="30"/>
      <c r="EC4" s="30"/>
      <c r="ED4" s="30"/>
      <c r="EE4" s="30"/>
      <c r="EF4" s="30"/>
      <c r="EG4" s="30"/>
      <c r="EH4" s="30"/>
      <c r="EI4" s="30"/>
      <c r="EJ4" s="30"/>
      <c r="EK4" s="30"/>
      <c r="EL4" s="30"/>
      <c r="EM4" s="30"/>
      <c r="EN4" s="30"/>
      <c r="EO4" s="30"/>
      <c r="EP4" s="30"/>
      <c r="EQ4" s="30"/>
      <c r="ER4" s="30"/>
      <c r="ES4" s="30"/>
      <c r="ET4" s="30"/>
      <c r="EU4" s="30"/>
      <c r="EV4" s="30"/>
      <c r="EW4" s="30"/>
      <c r="EX4" s="30"/>
      <c r="EY4" s="30"/>
      <c r="EZ4" s="30"/>
      <c r="FA4" s="30"/>
      <c r="FB4" s="30"/>
      <c r="FC4" s="30"/>
      <c r="FD4" s="30"/>
      <c r="FE4" s="30"/>
      <c r="FF4" s="30"/>
      <c r="FG4" s="30"/>
      <c r="FH4" s="30"/>
      <c r="FI4" s="30"/>
      <c r="FJ4" s="30"/>
      <c r="FK4" s="30"/>
      <c r="FL4" s="30"/>
      <c r="FM4" s="30"/>
      <c r="FN4" s="30"/>
      <c r="FO4" s="30"/>
      <c r="FP4" s="30"/>
      <c r="FQ4" s="30"/>
      <c r="FR4" s="30"/>
      <c r="FS4" s="30"/>
      <c r="FT4" s="30"/>
      <c r="FU4" s="30"/>
      <c r="FV4" s="30"/>
      <c r="FW4" s="30"/>
      <c r="FX4" s="30"/>
      <c r="FY4" s="30"/>
      <c r="FZ4" s="30"/>
      <c r="GA4" s="30"/>
      <c r="GB4" s="30"/>
      <c r="GC4" s="30"/>
      <c r="GD4" s="30"/>
      <c r="GE4" s="30"/>
      <c r="GF4" s="30"/>
      <c r="GG4" s="30"/>
      <c r="GH4" s="30"/>
      <c r="GI4" s="30"/>
      <c r="GJ4" s="30"/>
      <c r="GK4" s="30"/>
      <c r="GL4" s="30"/>
      <c r="GM4" s="30"/>
      <c r="GN4" s="30"/>
      <c r="GO4" s="30"/>
      <c r="GP4" s="30"/>
      <c r="GQ4" s="30"/>
      <c r="GR4" s="30"/>
      <c r="GS4" s="30"/>
      <c r="GT4" s="30"/>
      <c r="GU4" s="30"/>
      <c r="GV4" s="30"/>
      <c r="GW4" s="30"/>
      <c r="GX4" s="30"/>
      <c r="GY4" s="30"/>
      <c r="GZ4" s="30"/>
      <c r="HA4" s="30"/>
      <c r="HB4" s="30"/>
      <c r="HC4" s="30"/>
      <c r="HD4" s="30"/>
      <c r="HE4" s="30"/>
      <c r="HF4" s="30"/>
      <c r="HG4" s="30"/>
      <c r="HH4" s="30"/>
      <c r="HI4" s="30"/>
      <c r="HJ4" s="30"/>
      <c r="HK4" s="30"/>
      <c r="HL4" s="30"/>
      <c r="HM4" s="30"/>
      <c r="HN4" s="30"/>
      <c r="HO4" s="30"/>
      <c r="HP4" s="30"/>
      <c r="HQ4" s="30"/>
      <c r="HR4" s="30"/>
      <c r="HS4" s="30"/>
      <c r="HT4" s="30"/>
      <c r="HU4" s="30"/>
      <c r="HV4" s="30"/>
      <c r="HW4" s="30"/>
      <c r="HX4" s="30"/>
      <c r="HY4" s="30"/>
    </row>
    <row r="5" s="31" customFormat="true" ht="16.5" hidden="false" customHeight="true" outlineLevel="0" collapsed="false">
      <c r="A5" s="29" t="s">
        <v>4</v>
      </c>
      <c r="B5" s="29"/>
      <c r="C5" s="29"/>
      <c r="D5" s="29"/>
      <c r="E5" s="29"/>
      <c r="F5" s="29"/>
      <c r="G5" s="29"/>
      <c r="H5" s="29"/>
      <c r="I5" s="29"/>
      <c r="J5" s="29"/>
      <c r="K5" s="29"/>
      <c r="L5" s="29"/>
      <c r="M5" s="29"/>
      <c r="N5" s="29"/>
      <c r="O5" s="29"/>
      <c r="P5" s="29"/>
      <c r="Q5" s="29"/>
      <c r="R5" s="29"/>
      <c r="S5" s="29"/>
      <c r="T5" s="29"/>
      <c r="U5" s="29"/>
      <c r="V5" s="29"/>
      <c r="W5" s="29"/>
      <c r="X5" s="29"/>
      <c r="Y5" s="29"/>
      <c r="Z5" s="29"/>
      <c r="AA5" s="29"/>
      <c r="AB5" s="29"/>
      <c r="AC5" s="30"/>
      <c r="AD5" s="30"/>
      <c r="AE5" s="30"/>
      <c r="AF5" s="30"/>
      <c r="AG5" s="30"/>
      <c r="AH5" s="30"/>
      <c r="AI5" s="30"/>
      <c r="AJ5" s="30"/>
      <c r="AK5" s="30"/>
      <c r="AL5" s="30"/>
      <c r="AM5" s="30"/>
      <c r="AN5" s="30"/>
      <c r="AO5" s="30"/>
      <c r="AP5" s="30"/>
      <c r="AQ5" s="30"/>
      <c r="AR5" s="30"/>
      <c r="AS5" s="30"/>
      <c r="AT5" s="30"/>
      <c r="AU5" s="30"/>
      <c r="AV5" s="30"/>
      <c r="AW5" s="30"/>
      <c r="AX5" s="30"/>
      <c r="AY5" s="30"/>
      <c r="AZ5" s="30"/>
      <c r="BA5" s="30"/>
      <c r="BB5" s="30"/>
      <c r="BC5" s="30"/>
      <c r="BD5" s="30"/>
      <c r="BE5" s="30"/>
      <c r="BF5" s="30"/>
      <c r="BG5" s="30"/>
      <c r="BH5" s="30"/>
      <c r="BI5" s="30"/>
      <c r="BJ5" s="30"/>
      <c r="BK5" s="30"/>
      <c r="BL5" s="30"/>
      <c r="BM5" s="30"/>
      <c r="BN5" s="30"/>
      <c r="BO5" s="30"/>
      <c r="BP5" s="30"/>
      <c r="BQ5" s="30"/>
      <c r="BR5" s="30"/>
      <c r="BS5" s="30"/>
      <c r="BT5" s="30"/>
      <c r="BU5" s="30"/>
      <c r="BV5" s="30"/>
      <c r="BW5" s="30"/>
      <c r="BX5" s="30"/>
      <c r="BY5" s="30"/>
      <c r="BZ5" s="30"/>
      <c r="CA5" s="30"/>
      <c r="CB5" s="30"/>
      <c r="CC5" s="30"/>
      <c r="CD5" s="30"/>
      <c r="CE5" s="30"/>
      <c r="CF5" s="30"/>
      <c r="CG5" s="30"/>
      <c r="CH5" s="30"/>
      <c r="CI5" s="30"/>
      <c r="CJ5" s="30"/>
      <c r="CK5" s="30"/>
      <c r="CL5" s="30"/>
      <c r="CM5" s="30"/>
      <c r="CN5" s="30"/>
      <c r="CO5" s="30"/>
      <c r="CP5" s="30"/>
      <c r="CQ5" s="30"/>
      <c r="CR5" s="30"/>
      <c r="CS5" s="30"/>
      <c r="CT5" s="30"/>
      <c r="CU5" s="30"/>
      <c r="CV5" s="30"/>
      <c r="CW5" s="30"/>
      <c r="CX5" s="30"/>
      <c r="CY5" s="30"/>
      <c r="CZ5" s="30"/>
      <c r="DA5" s="30"/>
      <c r="DB5" s="30"/>
      <c r="DC5" s="30"/>
      <c r="DD5" s="30"/>
      <c r="DE5" s="30"/>
      <c r="DF5" s="30"/>
      <c r="DG5" s="30"/>
      <c r="DH5" s="30"/>
      <c r="DI5" s="30"/>
      <c r="DJ5" s="30"/>
      <c r="DK5" s="30"/>
      <c r="DL5" s="30"/>
      <c r="DM5" s="30"/>
      <c r="DN5" s="30"/>
      <c r="DO5" s="30"/>
      <c r="DP5" s="30"/>
      <c r="DQ5" s="30"/>
      <c r="DR5" s="30"/>
      <c r="DS5" s="30"/>
      <c r="DT5" s="30"/>
      <c r="DU5" s="30"/>
      <c r="DV5" s="30"/>
      <c r="DW5" s="30"/>
      <c r="DX5" s="30"/>
      <c r="DY5" s="30"/>
      <c r="DZ5" s="30"/>
      <c r="EA5" s="30"/>
      <c r="EB5" s="30"/>
      <c r="EC5" s="30"/>
      <c r="ED5" s="30"/>
      <c r="EE5" s="30"/>
      <c r="EF5" s="30"/>
      <c r="EG5" s="30"/>
      <c r="EH5" s="30"/>
      <c r="EI5" s="30"/>
      <c r="EJ5" s="30"/>
      <c r="EK5" s="30"/>
      <c r="EL5" s="30"/>
      <c r="EM5" s="30"/>
      <c r="EN5" s="30"/>
      <c r="EO5" s="30"/>
      <c r="EP5" s="30"/>
      <c r="EQ5" s="30"/>
      <c r="ER5" s="30"/>
      <c r="ES5" s="30"/>
      <c r="ET5" s="30"/>
      <c r="EU5" s="30"/>
      <c r="EV5" s="30"/>
      <c r="EW5" s="30"/>
      <c r="EX5" s="30"/>
      <c r="EY5" s="30"/>
      <c r="EZ5" s="30"/>
      <c r="FA5" s="30"/>
      <c r="FB5" s="30"/>
      <c r="FC5" s="30"/>
      <c r="FD5" s="30"/>
      <c r="FE5" s="30"/>
      <c r="FF5" s="30"/>
      <c r="FG5" s="30"/>
      <c r="FH5" s="30"/>
      <c r="FI5" s="30"/>
      <c r="FJ5" s="30"/>
      <c r="FK5" s="30"/>
      <c r="FL5" s="30"/>
      <c r="FM5" s="30"/>
      <c r="FN5" s="30"/>
      <c r="FO5" s="30"/>
      <c r="FP5" s="30"/>
      <c r="FQ5" s="30"/>
      <c r="FR5" s="30"/>
      <c r="FS5" s="30"/>
      <c r="FT5" s="30"/>
      <c r="FU5" s="30"/>
      <c r="FV5" s="30"/>
      <c r="FW5" s="30"/>
      <c r="FX5" s="30"/>
      <c r="FY5" s="30"/>
      <c r="FZ5" s="30"/>
      <c r="GA5" s="30"/>
      <c r="GB5" s="30"/>
      <c r="GC5" s="30"/>
      <c r="GD5" s="30"/>
      <c r="GE5" s="30"/>
      <c r="GF5" s="30"/>
      <c r="GG5" s="30"/>
      <c r="GH5" s="30"/>
      <c r="GI5" s="30"/>
      <c r="GJ5" s="30"/>
      <c r="GK5" s="30"/>
      <c r="GL5" s="30"/>
      <c r="GM5" s="30"/>
      <c r="GN5" s="30"/>
      <c r="GO5" s="30"/>
      <c r="GP5" s="30"/>
      <c r="GQ5" s="30"/>
      <c r="GR5" s="30"/>
      <c r="GS5" s="30"/>
      <c r="GT5" s="30"/>
      <c r="GU5" s="30"/>
      <c r="GV5" s="30"/>
      <c r="GW5" s="30"/>
      <c r="GX5" s="30"/>
      <c r="GY5" s="30"/>
      <c r="GZ5" s="30"/>
      <c r="HA5" s="30"/>
      <c r="HB5" s="30"/>
      <c r="HC5" s="30"/>
      <c r="HD5" s="30"/>
      <c r="HE5" s="30"/>
      <c r="HF5" s="30"/>
      <c r="HG5" s="30"/>
      <c r="HH5" s="30"/>
      <c r="HI5" s="30"/>
      <c r="HJ5" s="30"/>
      <c r="HK5" s="30"/>
      <c r="HL5" s="30"/>
      <c r="HM5" s="30"/>
      <c r="HN5" s="30"/>
      <c r="HO5" s="30"/>
      <c r="HP5" s="30"/>
      <c r="HQ5" s="30"/>
      <c r="HR5" s="30"/>
      <c r="HS5" s="30"/>
      <c r="HT5" s="30"/>
      <c r="HU5" s="30"/>
      <c r="HV5" s="30"/>
      <c r="HW5" s="30"/>
      <c r="HX5" s="30"/>
      <c r="HY5" s="30"/>
    </row>
    <row r="6" s="31" customFormat="true" ht="16.5" hidden="false" customHeight="true" outlineLevel="0" collapsed="false">
      <c r="A6" s="29" t="s">
        <v>5</v>
      </c>
      <c r="B6" s="29"/>
      <c r="C6" s="29"/>
      <c r="D6" s="29"/>
      <c r="E6" s="29"/>
      <c r="F6" s="29"/>
      <c r="G6" s="29"/>
      <c r="H6" s="29"/>
      <c r="I6" s="29"/>
      <c r="J6" s="29"/>
      <c r="K6" s="29"/>
      <c r="L6" s="29"/>
      <c r="M6" s="29"/>
      <c r="N6" s="29"/>
      <c r="O6" s="29"/>
      <c r="P6" s="29"/>
      <c r="Q6" s="29"/>
      <c r="R6" s="29"/>
      <c r="S6" s="29"/>
      <c r="T6" s="29"/>
      <c r="U6" s="29"/>
      <c r="V6" s="29"/>
      <c r="W6" s="29"/>
      <c r="X6" s="29"/>
      <c r="Y6" s="29"/>
      <c r="Z6" s="29"/>
      <c r="AA6" s="29"/>
      <c r="AB6" s="29"/>
      <c r="AC6" s="30"/>
      <c r="AD6" s="30"/>
      <c r="AE6" s="30"/>
      <c r="AF6" s="30"/>
      <c r="AG6" s="30"/>
      <c r="AH6" s="30"/>
      <c r="AI6" s="30"/>
      <c r="AJ6" s="30"/>
      <c r="AK6" s="30"/>
      <c r="AL6" s="30"/>
      <c r="AM6" s="30"/>
      <c r="AN6" s="30"/>
      <c r="AO6" s="30"/>
      <c r="AP6" s="30"/>
      <c r="AQ6" s="30"/>
      <c r="AR6" s="30"/>
      <c r="AS6" s="30"/>
      <c r="AT6" s="30"/>
      <c r="AU6" s="30"/>
      <c r="AV6" s="30"/>
      <c r="AW6" s="30"/>
      <c r="AX6" s="30"/>
      <c r="AY6" s="30"/>
      <c r="AZ6" s="30"/>
      <c r="BA6" s="30"/>
      <c r="BB6" s="30"/>
      <c r="BC6" s="30"/>
      <c r="BD6" s="30"/>
      <c r="BE6" s="30"/>
      <c r="BF6" s="30"/>
      <c r="BG6" s="30"/>
      <c r="BH6" s="30"/>
      <c r="BI6" s="30"/>
      <c r="BJ6" s="30"/>
      <c r="BK6" s="30"/>
      <c r="BL6" s="30"/>
      <c r="BM6" s="30"/>
      <c r="BN6" s="30"/>
      <c r="BO6" s="30"/>
      <c r="BP6" s="30"/>
      <c r="BQ6" s="30"/>
      <c r="BR6" s="30"/>
      <c r="BS6" s="30"/>
      <c r="BT6" s="30"/>
      <c r="BU6" s="30"/>
      <c r="BV6" s="30"/>
      <c r="BW6" s="30"/>
      <c r="BX6" s="30"/>
      <c r="BY6" s="30"/>
      <c r="BZ6" s="30"/>
      <c r="CA6" s="30"/>
      <c r="CB6" s="30"/>
      <c r="CC6" s="30"/>
      <c r="CD6" s="30"/>
      <c r="CE6" s="30"/>
      <c r="CF6" s="30"/>
      <c r="CG6" s="30"/>
      <c r="CH6" s="30"/>
      <c r="CI6" s="30"/>
      <c r="CJ6" s="30"/>
      <c r="CK6" s="30"/>
      <c r="CL6" s="30"/>
      <c r="CM6" s="30"/>
      <c r="CN6" s="30"/>
      <c r="CO6" s="30"/>
      <c r="CP6" s="30"/>
      <c r="CQ6" s="30"/>
      <c r="CR6" s="30"/>
      <c r="CS6" s="30"/>
      <c r="CT6" s="30"/>
      <c r="CU6" s="30"/>
      <c r="CV6" s="30"/>
      <c r="CW6" s="30"/>
      <c r="CX6" s="30"/>
      <c r="CY6" s="30"/>
      <c r="CZ6" s="30"/>
      <c r="DA6" s="30"/>
      <c r="DB6" s="30"/>
      <c r="DC6" s="30"/>
      <c r="DD6" s="30"/>
      <c r="DE6" s="30"/>
      <c r="DF6" s="30"/>
      <c r="DG6" s="30"/>
      <c r="DH6" s="30"/>
      <c r="DI6" s="30"/>
      <c r="DJ6" s="30"/>
      <c r="DK6" s="30"/>
      <c r="DL6" s="30"/>
      <c r="DM6" s="30"/>
      <c r="DN6" s="30"/>
      <c r="DO6" s="30"/>
      <c r="DP6" s="30"/>
      <c r="DQ6" s="30"/>
      <c r="DR6" s="30"/>
      <c r="DS6" s="30"/>
      <c r="DT6" s="30"/>
      <c r="DU6" s="30"/>
      <c r="DV6" s="30"/>
      <c r="DW6" s="30"/>
      <c r="DX6" s="30"/>
      <c r="DY6" s="30"/>
      <c r="DZ6" s="30"/>
      <c r="EA6" s="30"/>
      <c r="EB6" s="30"/>
      <c r="EC6" s="30"/>
      <c r="ED6" s="30"/>
      <c r="EE6" s="30"/>
      <c r="EF6" s="30"/>
      <c r="EG6" s="30"/>
      <c r="EH6" s="30"/>
      <c r="EI6" s="30"/>
      <c r="EJ6" s="30"/>
      <c r="EK6" s="30"/>
      <c r="EL6" s="30"/>
      <c r="EM6" s="30"/>
      <c r="EN6" s="30"/>
      <c r="EO6" s="30"/>
      <c r="EP6" s="30"/>
      <c r="EQ6" s="30"/>
      <c r="ER6" s="30"/>
      <c r="ES6" s="30"/>
      <c r="ET6" s="30"/>
      <c r="EU6" s="30"/>
      <c r="EV6" s="30"/>
      <c r="EW6" s="30"/>
      <c r="EX6" s="30"/>
      <c r="EY6" s="30"/>
      <c r="EZ6" s="30"/>
      <c r="FA6" s="30"/>
      <c r="FB6" s="30"/>
      <c r="FC6" s="30"/>
      <c r="FD6" s="30"/>
      <c r="FE6" s="30"/>
      <c r="FF6" s="30"/>
      <c r="FG6" s="30"/>
      <c r="FH6" s="30"/>
      <c r="FI6" s="30"/>
      <c r="FJ6" s="30"/>
      <c r="FK6" s="30"/>
      <c r="FL6" s="30"/>
      <c r="FM6" s="30"/>
      <c r="FN6" s="30"/>
      <c r="FO6" s="30"/>
      <c r="FP6" s="30"/>
      <c r="FQ6" s="30"/>
      <c r="FR6" s="30"/>
      <c r="FS6" s="30"/>
      <c r="FT6" s="30"/>
      <c r="FU6" s="30"/>
      <c r="FV6" s="30"/>
      <c r="FW6" s="30"/>
      <c r="FX6" s="30"/>
      <c r="FY6" s="30"/>
      <c r="FZ6" s="30"/>
      <c r="GA6" s="30"/>
      <c r="GB6" s="30"/>
      <c r="GC6" s="30"/>
      <c r="GD6" s="30"/>
      <c r="GE6" s="30"/>
      <c r="GF6" s="30"/>
      <c r="GG6" s="30"/>
      <c r="GH6" s="30"/>
      <c r="GI6" s="30"/>
      <c r="GJ6" s="30"/>
      <c r="GK6" s="30"/>
      <c r="GL6" s="30"/>
      <c r="GM6" s="30"/>
      <c r="GN6" s="30"/>
      <c r="GO6" s="30"/>
      <c r="GP6" s="30"/>
      <c r="GQ6" s="30"/>
      <c r="GR6" s="30"/>
      <c r="GS6" s="30"/>
      <c r="GT6" s="30"/>
      <c r="GU6" s="30"/>
      <c r="GV6" s="30"/>
      <c r="GW6" s="30"/>
      <c r="GX6" s="30"/>
      <c r="GY6" s="30"/>
      <c r="GZ6" s="30"/>
      <c r="HA6" s="30"/>
      <c r="HB6" s="30"/>
      <c r="HC6" s="30"/>
      <c r="HD6" s="30"/>
      <c r="HE6" s="30"/>
      <c r="HF6" s="30"/>
      <c r="HG6" s="30"/>
      <c r="HH6" s="30"/>
      <c r="HI6" s="30"/>
      <c r="HJ6" s="30"/>
      <c r="HK6" s="30"/>
      <c r="HL6" s="30"/>
      <c r="HM6" s="30"/>
      <c r="HN6" s="30"/>
      <c r="HO6" s="30"/>
      <c r="HP6" s="30"/>
      <c r="HQ6" s="30"/>
      <c r="HR6" s="30"/>
      <c r="HS6" s="30"/>
      <c r="HT6" s="30"/>
      <c r="HU6" s="30"/>
      <c r="HV6" s="30"/>
      <c r="HW6" s="30"/>
      <c r="HX6" s="30"/>
      <c r="HY6" s="30"/>
    </row>
    <row r="7" s="31" customFormat="true" ht="30.75" hidden="false" customHeight="true" outlineLevel="0" collapsed="false">
      <c r="A7" s="32" t="s">
        <v>6</v>
      </c>
      <c r="B7" s="33"/>
      <c r="D7" s="34" t="str">
        <f>VLOOKUP(AZ2,'[1]Tuyến XB6A'!$A$2:$B$60,2,0)</f>
        <v xml:space="preserve">Đắp cấp phối đá dăm loại 1 đoạn từ Km0+000,00 - Km0+126,46</v>
      </c>
      <c r="E7" s="34"/>
      <c r="F7" s="34"/>
      <c r="G7" s="34"/>
      <c r="H7" s="34"/>
      <c r="I7" s="34"/>
      <c r="J7" s="34"/>
      <c r="K7" s="34"/>
      <c r="L7" s="34"/>
      <c r="M7" s="34"/>
      <c r="N7" s="34"/>
      <c r="O7" s="34"/>
      <c r="P7" s="34"/>
      <c r="Q7" s="34"/>
      <c r="R7" s="34"/>
      <c r="S7" s="34"/>
      <c r="T7" s="34"/>
      <c r="U7" s="34"/>
      <c r="V7" s="34"/>
      <c r="W7" s="34"/>
      <c r="X7" s="34"/>
      <c r="Y7" s="34"/>
      <c r="Z7" s="34"/>
      <c r="AA7" s="34"/>
      <c r="AB7" s="34"/>
      <c r="AC7" s="30"/>
      <c r="AD7" s="30"/>
      <c r="AE7" s="30"/>
      <c r="AF7" s="30"/>
      <c r="AG7" s="30"/>
      <c r="AH7" s="30"/>
      <c r="AI7" s="30"/>
      <c r="AJ7" s="30"/>
      <c r="AK7" s="30"/>
      <c r="AL7" s="30"/>
      <c r="AM7" s="30"/>
      <c r="AN7" s="30"/>
      <c r="AO7" s="30"/>
      <c r="AP7" s="30"/>
      <c r="AQ7" s="30"/>
      <c r="AR7" s="30"/>
      <c r="AS7" s="30"/>
      <c r="AT7" s="30"/>
      <c r="AU7" s="30"/>
      <c r="AV7" s="30"/>
      <c r="AW7" s="30"/>
      <c r="AX7" s="30"/>
      <c r="AY7" s="30"/>
      <c r="AZ7" s="30"/>
      <c r="BA7" s="30"/>
      <c r="BB7" s="30"/>
      <c r="BC7" s="30"/>
      <c r="BD7" s="30"/>
      <c r="BE7" s="30"/>
      <c r="BF7" s="30"/>
      <c r="BG7" s="30"/>
      <c r="BH7" s="30"/>
      <c r="BI7" s="30"/>
      <c r="BJ7" s="30"/>
      <c r="BK7" s="30"/>
      <c r="BL7" s="30"/>
      <c r="BM7" s="30"/>
      <c r="BN7" s="30"/>
      <c r="BO7" s="30"/>
      <c r="BP7" s="30"/>
      <c r="BQ7" s="30"/>
      <c r="BR7" s="30"/>
      <c r="BS7" s="30"/>
      <c r="BT7" s="30"/>
      <c r="BU7" s="30"/>
      <c r="BV7" s="30"/>
      <c r="BW7" s="30"/>
      <c r="BX7" s="30"/>
      <c r="BY7" s="30"/>
      <c r="BZ7" s="30"/>
      <c r="CA7" s="30"/>
      <c r="CB7" s="30"/>
      <c r="CC7" s="30"/>
      <c r="CD7" s="30"/>
      <c r="CE7" s="30"/>
      <c r="CF7" s="30"/>
      <c r="CG7" s="30"/>
      <c r="CH7" s="30"/>
      <c r="CI7" s="30"/>
      <c r="CJ7" s="30"/>
      <c r="CK7" s="30"/>
      <c r="CL7" s="30"/>
      <c r="CM7" s="30"/>
      <c r="CN7" s="30"/>
      <c r="CO7" s="30"/>
      <c r="CP7" s="30"/>
      <c r="CQ7" s="30"/>
      <c r="CR7" s="30"/>
      <c r="CS7" s="30"/>
      <c r="CT7" s="30"/>
      <c r="CU7" s="30"/>
      <c r="CV7" s="30"/>
      <c r="CW7" s="30"/>
      <c r="CX7" s="30"/>
      <c r="CY7" s="30"/>
      <c r="CZ7" s="30"/>
      <c r="DA7" s="30"/>
      <c r="DB7" s="30"/>
      <c r="DC7" s="30"/>
      <c r="DD7" s="30"/>
      <c r="DE7" s="30"/>
      <c r="DF7" s="30"/>
      <c r="DG7" s="30"/>
      <c r="DH7" s="30"/>
      <c r="DI7" s="30"/>
      <c r="DJ7" s="30"/>
      <c r="DK7" s="30"/>
      <c r="DL7" s="30"/>
      <c r="DM7" s="30"/>
      <c r="DN7" s="30"/>
      <c r="DO7" s="30"/>
      <c r="DP7" s="30"/>
      <c r="DQ7" s="30"/>
      <c r="DR7" s="30"/>
      <c r="DS7" s="30"/>
      <c r="DT7" s="30"/>
      <c r="DU7" s="30"/>
      <c r="DV7" s="30"/>
      <c r="DW7" s="30"/>
      <c r="DX7" s="30"/>
      <c r="DY7" s="30"/>
      <c r="DZ7" s="30"/>
      <c r="EA7" s="30"/>
      <c r="EB7" s="30"/>
      <c r="EC7" s="30"/>
      <c r="ED7" s="30"/>
      <c r="EE7" s="30"/>
      <c r="EF7" s="30"/>
      <c r="EG7" s="30"/>
      <c r="EH7" s="30"/>
      <c r="EI7" s="30"/>
      <c r="EJ7" s="30"/>
      <c r="EK7" s="30"/>
      <c r="EL7" s="30"/>
      <c r="EM7" s="30"/>
      <c r="EN7" s="30"/>
      <c r="EO7" s="30"/>
      <c r="EP7" s="30"/>
      <c r="EQ7" s="30"/>
      <c r="ER7" s="30"/>
      <c r="ES7" s="30"/>
      <c r="ET7" s="30"/>
      <c r="EU7" s="30"/>
      <c r="EV7" s="30"/>
      <c r="EW7" s="30"/>
      <c r="EX7" s="30"/>
      <c r="EY7" s="30"/>
      <c r="EZ7" s="30"/>
      <c r="FA7" s="30"/>
      <c r="FB7" s="30"/>
      <c r="FC7" s="30"/>
      <c r="FD7" s="30"/>
      <c r="FE7" s="30"/>
      <c r="FF7" s="30"/>
      <c r="FG7" s="30"/>
      <c r="FH7" s="30"/>
      <c r="FI7" s="30"/>
      <c r="FJ7" s="30"/>
      <c r="FK7" s="30"/>
      <c r="FL7" s="30"/>
      <c r="FM7" s="30"/>
      <c r="FN7" s="30"/>
      <c r="FO7" s="30"/>
      <c r="FP7" s="30"/>
      <c r="FQ7" s="30"/>
      <c r="FR7" s="30"/>
      <c r="FS7" s="30"/>
      <c r="FT7" s="30"/>
      <c r="FU7" s="30"/>
      <c r="FV7" s="30"/>
      <c r="FW7" s="30"/>
      <c r="FX7" s="30"/>
      <c r="FY7" s="30"/>
      <c r="FZ7" s="30"/>
      <c r="GA7" s="30"/>
      <c r="GB7" s="30"/>
      <c r="GC7" s="30"/>
      <c r="GD7" s="30"/>
      <c r="GE7" s="30"/>
      <c r="GF7" s="30"/>
      <c r="GG7" s="30"/>
      <c r="GH7" s="30"/>
      <c r="GI7" s="30"/>
      <c r="GJ7" s="30"/>
      <c r="GK7" s="30"/>
      <c r="GL7" s="30"/>
      <c r="GM7" s="30"/>
      <c r="GN7" s="30"/>
      <c r="GO7" s="30"/>
      <c r="GP7" s="30"/>
      <c r="GQ7" s="30"/>
      <c r="GR7" s="30"/>
      <c r="GS7" s="30"/>
      <c r="GT7" s="30"/>
      <c r="GU7" s="30"/>
      <c r="GV7" s="30"/>
      <c r="GW7" s="30"/>
      <c r="GX7" s="30"/>
      <c r="GY7" s="30"/>
      <c r="GZ7" s="30"/>
      <c r="HA7" s="30"/>
      <c r="HB7" s="30"/>
      <c r="HC7" s="30"/>
      <c r="HD7" s="30"/>
      <c r="HE7" s="30"/>
      <c r="HF7" s="30"/>
      <c r="HG7" s="30"/>
      <c r="HH7" s="30"/>
      <c r="HI7" s="30"/>
      <c r="HJ7" s="30"/>
      <c r="HK7" s="30"/>
      <c r="HL7" s="30"/>
      <c r="HM7" s="30"/>
      <c r="HN7" s="30"/>
      <c r="HO7" s="30"/>
      <c r="HP7" s="30"/>
      <c r="HQ7" s="30"/>
      <c r="HR7" s="30"/>
      <c r="HS7" s="30"/>
      <c r="HT7" s="30"/>
      <c r="HU7" s="30"/>
      <c r="HV7" s="30"/>
      <c r="HW7" s="30"/>
      <c r="HX7" s="30"/>
      <c r="HY7" s="30"/>
    </row>
    <row r="8" s="30" customFormat="true" ht="13.5" hidden="false" customHeight="true" outlineLevel="0" collapsed="false">
      <c r="A8" s="35"/>
      <c r="B8" s="35"/>
      <c r="C8" s="35"/>
      <c r="D8" s="35"/>
      <c r="E8" s="35"/>
      <c r="F8" s="35"/>
      <c r="G8" s="35"/>
      <c r="H8" s="35"/>
      <c r="I8" s="35"/>
      <c r="J8" s="35"/>
      <c r="K8" s="35"/>
      <c r="L8" s="35"/>
      <c r="M8" s="35"/>
      <c r="N8" s="35"/>
      <c r="O8" s="35"/>
      <c r="P8" s="35"/>
      <c r="Q8" s="35"/>
      <c r="R8" s="35"/>
      <c r="S8" s="35"/>
      <c r="T8" s="35"/>
      <c r="U8" s="35"/>
      <c r="V8" s="35"/>
      <c r="W8" s="35"/>
      <c r="X8" s="35"/>
      <c r="Y8" s="35"/>
      <c r="Z8" s="35"/>
      <c r="AA8" s="35"/>
      <c r="AB8" s="35"/>
    </row>
    <row r="9" s="127" customFormat="true" ht="22.5" hidden="false" customHeight="true" outlineLevel="0" collapsed="false">
      <c r="A9" s="117" t="s">
        <v>37</v>
      </c>
      <c r="B9" s="117" t="s">
        <v>10</v>
      </c>
      <c r="C9" s="117" t="s">
        <v>11</v>
      </c>
      <c r="D9" s="118" t="s">
        <v>38</v>
      </c>
      <c r="E9" s="119"/>
      <c r="F9" s="119"/>
      <c r="G9" s="118"/>
      <c r="H9" s="119"/>
      <c r="I9" s="119"/>
      <c r="J9" s="119"/>
      <c r="K9" s="119"/>
      <c r="L9" s="119"/>
      <c r="M9" s="120" t="s">
        <v>39</v>
      </c>
      <c r="N9" s="121"/>
      <c r="O9" s="122" t="s">
        <v>40</v>
      </c>
      <c r="P9" s="123"/>
      <c r="Q9" s="123"/>
      <c r="R9" s="123"/>
      <c r="S9" s="123"/>
      <c r="T9" s="123"/>
      <c r="U9" s="123"/>
      <c r="V9" s="123"/>
      <c r="W9" s="122" t="s">
        <v>41</v>
      </c>
      <c r="X9" s="121"/>
      <c r="Y9" s="124"/>
      <c r="Z9" s="125"/>
      <c r="AA9" s="125"/>
      <c r="AB9" s="118" t="s">
        <v>15</v>
      </c>
      <c r="AC9" s="126"/>
    </row>
    <row r="10" s="131" customFormat="true" ht="22.5" hidden="false" customHeight="true" outlineLevel="0" collapsed="false">
      <c r="A10" s="117"/>
      <c r="B10" s="117"/>
      <c r="C10" s="117"/>
      <c r="D10" s="117"/>
      <c r="E10" s="122"/>
      <c r="F10" s="122"/>
      <c r="G10" s="122"/>
      <c r="H10" s="122"/>
      <c r="I10" s="122"/>
      <c r="J10" s="122"/>
      <c r="K10" s="122"/>
      <c r="L10" s="122"/>
      <c r="M10" s="122"/>
      <c r="N10" s="122" t="s">
        <v>40</v>
      </c>
      <c r="O10" s="122"/>
      <c r="P10" s="122" t="s">
        <v>40</v>
      </c>
      <c r="Q10" s="122" t="s">
        <v>40</v>
      </c>
      <c r="R10" s="122"/>
      <c r="S10" s="122"/>
      <c r="T10" s="122"/>
      <c r="U10" s="122" t="s">
        <v>41</v>
      </c>
      <c r="V10" s="122" t="s">
        <v>41</v>
      </c>
      <c r="W10" s="122"/>
      <c r="X10" s="122" t="s">
        <v>41</v>
      </c>
      <c r="Y10" s="122" t="s">
        <v>41</v>
      </c>
      <c r="Z10" s="128"/>
      <c r="AA10" s="128"/>
      <c r="AB10" s="118"/>
      <c r="AC10" s="129"/>
      <c r="AD10" s="130"/>
      <c r="AE10" s="130"/>
    </row>
    <row r="11" s="131" customFormat="true" ht="15" hidden="false" customHeight="true" outlineLevel="0" collapsed="false">
      <c r="A11" s="132" t="n">
        <v>1</v>
      </c>
      <c r="B11" s="132" t="str">
        <f aca="false">'Base B'!B23</f>
        <v>D3</v>
      </c>
      <c r="C11" s="133" t="n">
        <f aca="false">'Base B'!C23</f>
        <v>0</v>
      </c>
      <c r="D11" s="132" t="n">
        <f aca="false">'Base B'!T23</f>
        <v>19.63</v>
      </c>
      <c r="E11" s="134"/>
      <c r="F11" s="134"/>
      <c r="G11" s="134"/>
      <c r="H11" s="134"/>
      <c r="I11" s="134"/>
      <c r="J11" s="134"/>
      <c r="K11" s="135"/>
      <c r="L11" s="136"/>
      <c r="M11" s="137"/>
      <c r="N11" s="138"/>
      <c r="O11" s="135" t="n">
        <f aca="false">7.5*0.15</f>
        <v>1.125</v>
      </c>
      <c r="P11" s="135"/>
      <c r="Q11" s="135"/>
      <c r="R11" s="139"/>
      <c r="S11" s="139"/>
      <c r="T11" s="139"/>
      <c r="U11" s="139"/>
      <c r="V11" s="139"/>
      <c r="W11" s="139" t="n">
        <f aca="false">(O11+O12)*D11/2</f>
        <v>22.08375</v>
      </c>
      <c r="X11" s="139"/>
      <c r="Y11" s="139"/>
      <c r="Z11" s="139"/>
      <c r="AA11" s="139"/>
      <c r="AB11" s="140"/>
      <c r="AC11" s="139"/>
      <c r="AE11" s="141"/>
    </row>
    <row r="12" s="131" customFormat="true" ht="15" hidden="false" customHeight="true" outlineLevel="0" collapsed="false">
      <c r="A12" s="132" t="n">
        <v>2</v>
      </c>
      <c r="B12" s="132" t="str">
        <f aca="false">'Base B'!B24</f>
        <v>1</v>
      </c>
      <c r="C12" s="133" t="n">
        <f aca="false">'Base B'!C24</f>
        <v>19.63</v>
      </c>
      <c r="D12" s="132" t="n">
        <f aca="false">'Base B'!T24</f>
        <v>17.17</v>
      </c>
      <c r="E12" s="134"/>
      <c r="F12" s="134"/>
      <c r="G12" s="134"/>
      <c r="H12" s="134"/>
      <c r="I12" s="134"/>
      <c r="J12" s="134"/>
      <c r="K12" s="135"/>
      <c r="L12" s="136"/>
      <c r="M12" s="137"/>
      <c r="N12" s="138"/>
      <c r="O12" s="135" t="n">
        <f aca="false">7.5*0.15</f>
        <v>1.125</v>
      </c>
      <c r="P12" s="135"/>
      <c r="Q12" s="135"/>
      <c r="R12" s="139"/>
      <c r="S12" s="139"/>
      <c r="T12" s="139"/>
      <c r="U12" s="139"/>
      <c r="V12" s="139"/>
      <c r="W12" s="139" t="n">
        <f aca="false">(O12+O13)*D12/2</f>
        <v>19.31625</v>
      </c>
      <c r="X12" s="139"/>
      <c r="Y12" s="139"/>
      <c r="Z12" s="139"/>
      <c r="AA12" s="139"/>
      <c r="AB12" s="140"/>
      <c r="AC12" s="139"/>
      <c r="AE12" s="141"/>
    </row>
    <row r="13" s="131" customFormat="true" ht="15" hidden="false" customHeight="true" outlineLevel="0" collapsed="false">
      <c r="A13" s="132" t="n">
        <v>3</v>
      </c>
      <c r="B13" s="132" t="str">
        <f aca="false">'Base B'!B25</f>
        <v>2</v>
      </c>
      <c r="C13" s="133" t="n">
        <f aca="false">'Base B'!C25</f>
        <v>36.8</v>
      </c>
      <c r="D13" s="132" t="n">
        <f aca="false">'Base B'!T25</f>
        <v>17.18</v>
      </c>
      <c r="E13" s="134"/>
      <c r="F13" s="134"/>
      <c r="G13" s="134"/>
      <c r="H13" s="134"/>
      <c r="I13" s="134"/>
      <c r="J13" s="134"/>
      <c r="K13" s="135"/>
      <c r="L13" s="136"/>
      <c r="M13" s="137"/>
      <c r="N13" s="138"/>
      <c r="O13" s="135" t="n">
        <f aca="false">7.5*0.15</f>
        <v>1.125</v>
      </c>
      <c r="P13" s="135"/>
      <c r="Q13" s="135"/>
      <c r="R13" s="139"/>
      <c r="S13" s="139"/>
      <c r="T13" s="139"/>
      <c r="U13" s="139"/>
      <c r="V13" s="139"/>
      <c r="W13" s="139" t="n">
        <f aca="false">(O13+O14)*D13/2</f>
        <v>19.3275</v>
      </c>
      <c r="X13" s="139"/>
      <c r="Y13" s="139"/>
      <c r="Z13" s="139"/>
      <c r="AA13" s="139"/>
      <c r="AB13" s="140"/>
      <c r="AC13" s="139"/>
      <c r="AE13" s="141"/>
    </row>
    <row r="14" s="131" customFormat="true" ht="15" hidden="false" customHeight="true" outlineLevel="0" collapsed="false">
      <c r="A14" s="132" t="n">
        <v>4</v>
      </c>
      <c r="B14" s="132" t="str">
        <f aca="false">'Base B'!B26</f>
        <v>3</v>
      </c>
      <c r="C14" s="133" t="n">
        <f aca="false">'Base B'!C26</f>
        <v>53.98</v>
      </c>
      <c r="D14" s="132" t="n">
        <f aca="false">'Base B'!T26</f>
        <v>12.97</v>
      </c>
      <c r="E14" s="134"/>
      <c r="F14" s="134"/>
      <c r="G14" s="134"/>
      <c r="H14" s="134"/>
      <c r="I14" s="134"/>
      <c r="J14" s="134"/>
      <c r="K14" s="135"/>
      <c r="L14" s="136"/>
      <c r="M14" s="137"/>
      <c r="N14" s="138"/>
      <c r="O14" s="135" t="n">
        <f aca="false">7.5*0.15</f>
        <v>1.125</v>
      </c>
      <c r="P14" s="135"/>
      <c r="Q14" s="135"/>
      <c r="R14" s="139"/>
      <c r="S14" s="139"/>
      <c r="T14" s="139"/>
      <c r="U14" s="139"/>
      <c r="V14" s="139"/>
      <c r="W14" s="139" t="n">
        <f aca="false">(O14+O15)*D14/2</f>
        <v>14.59125</v>
      </c>
      <c r="X14" s="139"/>
      <c r="Y14" s="139"/>
      <c r="Z14" s="139"/>
      <c r="AA14" s="139"/>
      <c r="AB14" s="140"/>
      <c r="AC14" s="139"/>
      <c r="AE14" s="141"/>
    </row>
    <row r="15" s="131" customFormat="true" ht="15" hidden="false" customHeight="true" outlineLevel="0" collapsed="false">
      <c r="A15" s="132" t="n">
        <v>5</v>
      </c>
      <c r="B15" s="132" t="str">
        <f aca="false">'Base B'!B27</f>
        <v>D2</v>
      </c>
      <c r="C15" s="133" t="n">
        <f aca="false">'Base B'!C27</f>
        <v>66.95</v>
      </c>
      <c r="D15" s="132" t="n">
        <f aca="false">'Base B'!T27</f>
        <v>10.68</v>
      </c>
      <c r="E15" s="134"/>
      <c r="F15" s="134"/>
      <c r="G15" s="134"/>
      <c r="H15" s="134"/>
      <c r="I15" s="134"/>
      <c r="J15" s="134"/>
      <c r="K15" s="135"/>
      <c r="L15" s="136"/>
      <c r="M15" s="137"/>
      <c r="N15" s="138"/>
      <c r="O15" s="135" t="n">
        <f aca="false">7.5*0.15</f>
        <v>1.125</v>
      </c>
      <c r="P15" s="135"/>
      <c r="Q15" s="135"/>
      <c r="R15" s="139"/>
      <c r="S15" s="139"/>
      <c r="T15" s="139"/>
      <c r="U15" s="139"/>
      <c r="V15" s="139"/>
      <c r="W15" s="139" t="n">
        <f aca="false">(O15+O16)*D15/2</f>
        <v>12.015</v>
      </c>
      <c r="X15" s="139"/>
      <c r="Y15" s="139"/>
      <c r="Z15" s="139"/>
      <c r="AA15" s="139"/>
      <c r="AB15" s="140"/>
      <c r="AC15" s="139"/>
      <c r="AE15" s="141"/>
    </row>
    <row r="16" s="131" customFormat="true" ht="15" hidden="false" customHeight="true" outlineLevel="0" collapsed="false">
      <c r="A16" s="132" t="n">
        <v>6</v>
      </c>
      <c r="B16" s="132" t="str">
        <f aca="false">'Base B'!B28</f>
        <v>4</v>
      </c>
      <c r="C16" s="133" t="n">
        <f aca="false">'Base B'!C28</f>
        <v>77.63</v>
      </c>
      <c r="D16" s="132" t="n">
        <f aca="false">'Base B'!T28</f>
        <v>17.17</v>
      </c>
      <c r="E16" s="134"/>
      <c r="F16" s="134"/>
      <c r="G16" s="134"/>
      <c r="H16" s="134"/>
      <c r="I16" s="134"/>
      <c r="J16" s="134"/>
      <c r="K16" s="135"/>
      <c r="L16" s="136"/>
      <c r="M16" s="137"/>
      <c r="N16" s="138"/>
      <c r="O16" s="135" t="n">
        <f aca="false">7.5*0.15</f>
        <v>1.125</v>
      </c>
      <c r="P16" s="135"/>
      <c r="Q16" s="135"/>
      <c r="R16" s="139"/>
      <c r="S16" s="139"/>
      <c r="T16" s="139"/>
      <c r="U16" s="139"/>
      <c r="V16" s="139"/>
      <c r="W16" s="139" t="n">
        <f aca="false">(O16+O17)*D16/2</f>
        <v>19.31625</v>
      </c>
      <c r="X16" s="139"/>
      <c r="Y16" s="139"/>
      <c r="Z16" s="139"/>
      <c r="AA16" s="139"/>
      <c r="AB16" s="140"/>
      <c r="AC16" s="139"/>
      <c r="AE16" s="141"/>
    </row>
    <row r="17" s="131" customFormat="true" ht="15" hidden="false" customHeight="true" outlineLevel="0" collapsed="false">
      <c r="A17" s="132" t="n">
        <v>7</v>
      </c>
      <c r="B17" s="132" t="str">
        <f aca="false">'Base B'!B29</f>
        <v>5</v>
      </c>
      <c r="C17" s="133" t="n">
        <f aca="false">'Base B'!C29</f>
        <v>94.8</v>
      </c>
      <c r="D17" s="132" t="n">
        <f aca="false">'Base B'!T29</f>
        <v>17.17</v>
      </c>
      <c r="E17" s="134"/>
      <c r="F17" s="134"/>
      <c r="G17" s="134"/>
      <c r="H17" s="134"/>
      <c r="I17" s="134"/>
      <c r="J17" s="134"/>
      <c r="K17" s="135"/>
      <c r="L17" s="136"/>
      <c r="M17" s="137"/>
      <c r="N17" s="138"/>
      <c r="O17" s="135" t="n">
        <f aca="false">7.5*0.15</f>
        <v>1.125</v>
      </c>
      <c r="P17" s="135"/>
      <c r="Q17" s="135"/>
      <c r="R17" s="139"/>
      <c r="S17" s="139"/>
      <c r="T17" s="139"/>
      <c r="U17" s="139"/>
      <c r="V17" s="139"/>
      <c r="W17" s="139" t="n">
        <f aca="false">(O17+O18)*D17/2</f>
        <v>19.31625</v>
      </c>
      <c r="X17" s="139"/>
      <c r="Y17" s="139"/>
      <c r="Z17" s="139"/>
      <c r="AA17" s="139"/>
      <c r="AB17" s="140"/>
      <c r="AC17" s="139"/>
      <c r="AE17" s="141"/>
    </row>
    <row r="18" s="131" customFormat="true" ht="15" hidden="false" customHeight="true" outlineLevel="0" collapsed="false">
      <c r="A18" s="132" t="n">
        <v>8</v>
      </c>
      <c r="B18" s="132" t="str">
        <f aca="false">'Base B'!B30</f>
        <v>6</v>
      </c>
      <c r="C18" s="133" t="n">
        <f aca="false">'Base B'!C30</f>
        <v>111.97</v>
      </c>
      <c r="D18" s="132" t="n">
        <f aca="false">'Base B'!T30</f>
        <v>14.49</v>
      </c>
      <c r="E18" s="134"/>
      <c r="F18" s="134"/>
      <c r="G18" s="134"/>
      <c r="H18" s="134"/>
      <c r="I18" s="134"/>
      <c r="J18" s="134"/>
      <c r="K18" s="135"/>
      <c r="L18" s="136"/>
      <c r="M18" s="137"/>
      <c r="N18" s="138"/>
      <c r="O18" s="135" t="n">
        <f aca="false">7.5*0.15</f>
        <v>1.125</v>
      </c>
      <c r="P18" s="135"/>
      <c r="Q18" s="135"/>
      <c r="R18" s="139"/>
      <c r="S18" s="139"/>
      <c r="T18" s="139"/>
      <c r="U18" s="139"/>
      <c r="V18" s="139"/>
      <c r="W18" s="139" t="n">
        <f aca="false">(O18+O19)*D18/2</f>
        <v>16.30125</v>
      </c>
      <c r="X18" s="139"/>
      <c r="Y18" s="139"/>
      <c r="Z18" s="139"/>
      <c r="AA18" s="139"/>
      <c r="AB18" s="140"/>
      <c r="AC18" s="139"/>
      <c r="AE18" s="141"/>
    </row>
    <row r="19" s="131" customFormat="true" ht="15" hidden="false" customHeight="true" outlineLevel="0" collapsed="false">
      <c r="A19" s="132" t="n">
        <v>9</v>
      </c>
      <c r="B19" s="132" t="str">
        <f aca="false">'Base B'!B31</f>
        <v>D1</v>
      </c>
      <c r="C19" s="133" t="n">
        <f aca="false">'Base B'!C31</f>
        <v>126.46</v>
      </c>
      <c r="D19" s="132"/>
      <c r="E19" s="134"/>
      <c r="F19" s="134"/>
      <c r="G19" s="134"/>
      <c r="H19" s="134"/>
      <c r="I19" s="134"/>
      <c r="J19" s="134"/>
      <c r="K19" s="135"/>
      <c r="L19" s="136"/>
      <c r="M19" s="137"/>
      <c r="N19" s="138"/>
      <c r="O19" s="135" t="n">
        <f aca="false">7.5*0.15</f>
        <v>1.125</v>
      </c>
      <c r="P19" s="135"/>
      <c r="Q19" s="135"/>
      <c r="R19" s="139"/>
      <c r="S19" s="139"/>
      <c r="T19" s="139"/>
      <c r="U19" s="139"/>
      <c r="V19" s="139"/>
      <c r="W19" s="139"/>
      <c r="X19" s="139"/>
      <c r="Y19" s="139"/>
      <c r="Z19" s="139"/>
      <c r="AA19" s="139"/>
      <c r="AB19" s="140"/>
      <c r="AC19" s="139"/>
      <c r="AE19" s="141"/>
    </row>
    <row r="20" customFormat="false" ht="15.75" hidden="false" customHeight="true" outlineLevel="0" collapsed="false">
      <c r="A20" s="142" t="s">
        <v>42</v>
      </c>
      <c r="B20" s="142"/>
      <c r="C20" s="142"/>
      <c r="D20" s="142"/>
      <c r="E20" s="143"/>
      <c r="F20" s="143"/>
      <c r="G20" s="143"/>
      <c r="H20" s="143"/>
      <c r="I20" s="143"/>
      <c r="J20" s="143"/>
      <c r="K20" s="143"/>
      <c r="L20" s="143"/>
      <c r="M20" s="144"/>
      <c r="N20" s="144"/>
      <c r="O20" s="145"/>
      <c r="P20" s="145"/>
      <c r="Q20" s="145"/>
      <c r="R20" s="146" t="n">
        <f aca="false">SUM(R11:R5)</f>
        <v>0</v>
      </c>
      <c r="S20" s="146" t="n">
        <f aca="false">SUM(S11:S5)</f>
        <v>0</v>
      </c>
      <c r="T20" s="146"/>
      <c r="U20" s="147" t="n">
        <f aca="false">SUM(U11:U5)</f>
        <v>0</v>
      </c>
      <c r="V20" s="147" t="n">
        <f aca="false">SUM(V11:V5)</f>
        <v>0</v>
      </c>
      <c r="W20" s="148" t="n">
        <f aca="false">SUM(W11:W19)</f>
        <v>142.2675</v>
      </c>
      <c r="X20" s="147" t="n">
        <f aca="false">SUM(X11:X5)</f>
        <v>0</v>
      </c>
      <c r="Y20" s="147" t="n">
        <f aca="false">SUM(Y11:Y5)</f>
        <v>0</v>
      </c>
      <c r="Z20" s="147" t="n">
        <f aca="false">SUM(Z11:Z5)</f>
        <v>0</v>
      </c>
      <c r="AA20" s="147" t="n">
        <f aca="false">SUM(AA11:AA5)</f>
        <v>0</v>
      </c>
      <c r="AB20" s="147"/>
      <c r="AE20" s="149"/>
      <c r="AF20" s="150"/>
      <c r="AG20" s="150"/>
      <c r="AH20" s="131"/>
      <c r="AI20" s="149"/>
      <c r="AJ20" s="149"/>
      <c r="AK20" s="149"/>
      <c r="AL20" s="149"/>
      <c r="AP20" s="74"/>
      <c r="AQ20" s="74"/>
      <c r="AR20" s="74"/>
      <c r="AS20" s="74"/>
      <c r="AT20" s="74"/>
      <c r="AU20" s="74"/>
      <c r="AV20" s="74"/>
      <c r="AW20" s="74"/>
      <c r="AX20" s="74"/>
      <c r="AY20" s="74"/>
      <c r="AZ20" s="74"/>
      <c r="BA20" s="74"/>
      <c r="BB20" s="74"/>
      <c r="BC20" s="74"/>
      <c r="BD20" s="74"/>
      <c r="BE20" s="74"/>
      <c r="BF20" s="74"/>
      <c r="BG20" s="74"/>
      <c r="BH20" s="74"/>
      <c r="BI20" s="74"/>
      <c r="BJ20" s="74"/>
      <c r="BK20" s="74"/>
      <c r="BL20" s="74"/>
      <c r="BM20" s="74"/>
      <c r="BN20" s="74"/>
      <c r="BO20" s="74"/>
      <c r="BP20" s="74"/>
      <c r="BQ20" s="74"/>
      <c r="BR20" s="74"/>
      <c r="BS20" s="74"/>
      <c r="BT20" s="74"/>
      <c r="BU20" s="74"/>
      <c r="BV20" s="74"/>
      <c r="BW20" s="74"/>
      <c r="BX20" s="74"/>
      <c r="BY20" s="74"/>
      <c r="BZ20" s="74"/>
      <c r="CA20" s="74"/>
      <c r="CB20" s="74"/>
      <c r="CC20" s="74"/>
      <c r="CD20" s="74"/>
      <c r="CE20" s="74"/>
      <c r="CF20" s="74"/>
      <c r="CG20" s="74"/>
      <c r="CH20" s="74"/>
      <c r="CI20" s="74"/>
      <c r="CJ20" s="74"/>
      <c r="CK20" s="74"/>
      <c r="CL20" s="74"/>
      <c r="CM20" s="74"/>
      <c r="CN20" s="74"/>
      <c r="CO20" s="74"/>
      <c r="CP20" s="74"/>
      <c r="CQ20" s="74"/>
      <c r="CR20" s="74"/>
      <c r="CS20" s="74"/>
      <c r="CT20" s="74"/>
      <c r="CU20" s="74"/>
      <c r="CV20" s="74"/>
      <c r="CW20" s="74"/>
      <c r="CX20" s="74"/>
      <c r="CY20" s="74"/>
      <c r="CZ20" s="74"/>
      <c r="DA20" s="74"/>
      <c r="DB20" s="74"/>
      <c r="DC20" s="74"/>
      <c r="DD20" s="74"/>
      <c r="DE20" s="74"/>
      <c r="DF20" s="74"/>
      <c r="DG20" s="74"/>
      <c r="DH20" s="74"/>
      <c r="DI20" s="74"/>
      <c r="DJ20" s="74"/>
      <c r="DK20" s="74"/>
      <c r="DL20" s="74"/>
      <c r="DM20" s="74"/>
      <c r="DN20" s="74"/>
      <c r="DO20" s="74"/>
      <c r="DP20" s="74"/>
      <c r="DQ20" s="74"/>
      <c r="DR20" s="74"/>
      <c r="DS20" s="74"/>
      <c r="DT20" s="74"/>
      <c r="DU20" s="74"/>
      <c r="DV20" s="74"/>
      <c r="DW20" s="74"/>
      <c r="DX20" s="74"/>
      <c r="DY20" s="74"/>
      <c r="DZ20" s="74"/>
      <c r="EA20" s="74"/>
      <c r="EB20" s="74"/>
      <c r="EC20" s="74"/>
      <c r="ED20" s="74"/>
      <c r="EE20" s="74"/>
      <c r="EF20" s="74"/>
      <c r="EG20" s="74"/>
      <c r="EH20" s="74"/>
      <c r="EI20" s="74"/>
      <c r="EJ20" s="74"/>
      <c r="EK20" s="74"/>
      <c r="EL20" s="74"/>
      <c r="EM20" s="74"/>
      <c r="EN20" s="74"/>
      <c r="EO20" s="74"/>
      <c r="EP20" s="74"/>
      <c r="EQ20" s="74"/>
      <c r="ER20" s="74"/>
      <c r="ES20" s="74"/>
      <c r="ET20" s="74"/>
      <c r="EU20" s="74"/>
      <c r="EV20" s="74"/>
      <c r="EW20" s="74"/>
      <c r="EX20" s="74"/>
      <c r="EY20" s="74"/>
      <c r="EZ20" s="74"/>
      <c r="FA20" s="74"/>
      <c r="FB20" s="74"/>
      <c r="FC20" s="74"/>
      <c r="FD20" s="74"/>
      <c r="FE20" s="74"/>
      <c r="FF20" s="74"/>
      <c r="FG20" s="74"/>
      <c r="FH20" s="74"/>
      <c r="FI20" s="74"/>
      <c r="FJ20" s="74"/>
      <c r="FK20" s="74"/>
      <c r="FL20" s="74"/>
      <c r="FM20" s="74"/>
      <c r="FN20" s="74"/>
      <c r="FO20" s="74"/>
      <c r="FP20" s="74"/>
      <c r="FQ20" s="74"/>
      <c r="FR20" s="74"/>
      <c r="FS20" s="74"/>
      <c r="FT20" s="74"/>
      <c r="FU20" s="74"/>
      <c r="FV20" s="74"/>
      <c r="FW20" s="74"/>
      <c r="FX20" s="74"/>
      <c r="FY20" s="74"/>
      <c r="FZ20" s="74"/>
      <c r="GA20" s="74"/>
      <c r="GB20" s="74"/>
      <c r="GC20" s="74"/>
      <c r="GD20" s="74"/>
      <c r="GE20" s="74"/>
      <c r="GF20" s="74"/>
      <c r="GG20" s="74"/>
      <c r="GH20" s="74"/>
      <c r="GI20" s="74"/>
      <c r="GJ20" s="74"/>
      <c r="GK20" s="74"/>
      <c r="GL20" s="74"/>
      <c r="GM20" s="74"/>
      <c r="GN20" s="74"/>
      <c r="GO20" s="74"/>
      <c r="GP20" s="74"/>
      <c r="GQ20" s="74"/>
      <c r="GR20" s="74"/>
      <c r="GS20" s="74"/>
      <c r="GT20" s="74"/>
      <c r="GU20" s="74"/>
      <c r="GV20" s="74"/>
      <c r="GW20" s="74"/>
      <c r="GX20" s="74"/>
      <c r="GY20" s="74"/>
      <c r="GZ20" s="74"/>
      <c r="HA20" s="74"/>
      <c r="HB20" s="74"/>
      <c r="HC20" s="74"/>
      <c r="HD20" s="74"/>
      <c r="HE20" s="74"/>
      <c r="HF20" s="74"/>
      <c r="HG20" s="74"/>
      <c r="HH20" s="74"/>
      <c r="HI20" s="74"/>
      <c r="HJ20" s="74"/>
      <c r="HK20" s="74"/>
      <c r="HL20" s="74"/>
      <c r="HM20" s="74"/>
      <c r="HN20" s="74"/>
      <c r="HO20" s="74"/>
      <c r="HP20" s="74"/>
      <c r="HQ20" s="74"/>
      <c r="HR20" s="74"/>
      <c r="HS20" s="74"/>
      <c r="HT20" s="74"/>
      <c r="HU20" s="74"/>
    </row>
    <row r="21" customFormat="false" ht="15.75" hidden="false" customHeight="true" outlineLevel="0" collapsed="false">
      <c r="A21" s="108"/>
      <c r="B21" s="108"/>
      <c r="C21" s="108"/>
      <c r="D21" s="108"/>
      <c r="E21" s="74"/>
      <c r="F21" s="74"/>
      <c r="G21" s="74"/>
      <c r="H21" s="74"/>
      <c r="I21" s="74"/>
      <c r="J21" s="74"/>
      <c r="R21" s="109"/>
      <c r="S21" s="109"/>
      <c r="T21" s="109"/>
      <c r="U21" s="110"/>
      <c r="V21" s="110"/>
      <c r="W21" s="110"/>
      <c r="X21" s="110"/>
      <c r="Y21" s="110"/>
      <c r="Z21" s="110"/>
      <c r="AA21" s="110"/>
      <c r="AB21" s="110"/>
      <c r="AE21" s="110"/>
      <c r="AF21" s="151"/>
      <c r="AG21" s="150"/>
      <c r="AH21" s="151"/>
      <c r="AI21" s="141"/>
      <c r="AJ21" s="141"/>
      <c r="AK21" s="152"/>
      <c r="AL21" s="141"/>
      <c r="AP21" s="74"/>
      <c r="AQ21" s="74"/>
      <c r="AR21" s="74"/>
      <c r="AS21" s="74"/>
      <c r="AT21" s="74"/>
      <c r="AU21" s="74"/>
      <c r="AV21" s="74"/>
      <c r="AW21" s="74"/>
      <c r="AX21" s="74"/>
      <c r="AY21" s="74"/>
      <c r="AZ21" s="74"/>
      <c r="BA21" s="74"/>
      <c r="BB21" s="74"/>
      <c r="BC21" s="74"/>
      <c r="BD21" s="74"/>
      <c r="BE21" s="74"/>
      <c r="BF21" s="74"/>
      <c r="BG21" s="74"/>
      <c r="BH21" s="74"/>
      <c r="BI21" s="74"/>
      <c r="BJ21" s="74"/>
      <c r="BK21" s="74"/>
      <c r="BL21" s="74"/>
      <c r="BM21" s="74"/>
      <c r="BN21" s="74"/>
      <c r="BO21" s="74"/>
      <c r="BP21" s="74"/>
      <c r="BQ21" s="74"/>
      <c r="BR21" s="74"/>
      <c r="BS21" s="74"/>
      <c r="BT21" s="74"/>
      <c r="BU21" s="74"/>
      <c r="BV21" s="74"/>
      <c r="BW21" s="74"/>
      <c r="BX21" s="74"/>
      <c r="BY21" s="74"/>
      <c r="BZ21" s="74"/>
      <c r="CA21" s="74"/>
      <c r="CB21" s="74"/>
      <c r="CC21" s="74"/>
      <c r="CD21" s="74"/>
      <c r="CE21" s="74"/>
      <c r="CF21" s="74"/>
      <c r="CG21" s="74"/>
      <c r="CH21" s="74"/>
      <c r="CI21" s="74"/>
      <c r="CJ21" s="74"/>
      <c r="CK21" s="74"/>
      <c r="CL21" s="74"/>
      <c r="CM21" s="74"/>
      <c r="CN21" s="74"/>
      <c r="CO21" s="74"/>
      <c r="CP21" s="74"/>
      <c r="CQ21" s="74"/>
      <c r="CR21" s="74"/>
      <c r="CS21" s="74"/>
      <c r="CT21" s="74"/>
      <c r="CU21" s="74"/>
      <c r="CV21" s="74"/>
      <c r="CW21" s="74"/>
      <c r="CX21" s="74"/>
      <c r="CY21" s="74"/>
      <c r="CZ21" s="74"/>
      <c r="DA21" s="74"/>
      <c r="DB21" s="74"/>
      <c r="DC21" s="74"/>
      <c r="DD21" s="74"/>
      <c r="DE21" s="74"/>
      <c r="DF21" s="74"/>
      <c r="DG21" s="74"/>
      <c r="DH21" s="74"/>
      <c r="DI21" s="74"/>
      <c r="DJ21" s="74"/>
      <c r="DK21" s="74"/>
      <c r="DL21" s="74"/>
      <c r="DM21" s="74"/>
      <c r="DN21" s="74"/>
      <c r="DO21" s="74"/>
      <c r="DP21" s="74"/>
      <c r="DQ21" s="74"/>
      <c r="DR21" s="74"/>
      <c r="DS21" s="74"/>
      <c r="DT21" s="74"/>
      <c r="DU21" s="74"/>
      <c r="DV21" s="74"/>
      <c r="DW21" s="74"/>
      <c r="DX21" s="74"/>
      <c r="DY21" s="74"/>
      <c r="DZ21" s="74"/>
      <c r="EA21" s="74"/>
      <c r="EB21" s="74"/>
      <c r="EC21" s="74"/>
      <c r="ED21" s="74"/>
      <c r="EE21" s="74"/>
      <c r="EF21" s="74"/>
      <c r="EG21" s="74"/>
      <c r="EH21" s="74"/>
      <c r="EI21" s="74"/>
      <c r="EJ21" s="74"/>
      <c r="EK21" s="74"/>
      <c r="EL21" s="74"/>
      <c r="EM21" s="74"/>
      <c r="EN21" s="74"/>
      <c r="EO21" s="74"/>
      <c r="EP21" s="74"/>
      <c r="EQ21" s="74"/>
      <c r="ER21" s="74"/>
      <c r="ES21" s="74"/>
      <c r="ET21" s="74"/>
      <c r="EU21" s="74"/>
      <c r="EV21" s="74"/>
      <c r="EW21" s="74"/>
      <c r="EX21" s="74"/>
      <c r="EY21" s="74"/>
      <c r="EZ21" s="74"/>
      <c r="FA21" s="74"/>
      <c r="FB21" s="74"/>
      <c r="FC21" s="74"/>
      <c r="FD21" s="74"/>
      <c r="FE21" s="74"/>
      <c r="FF21" s="74"/>
      <c r="FG21" s="74"/>
      <c r="FH21" s="74"/>
      <c r="FI21" s="74"/>
      <c r="FJ21" s="74"/>
      <c r="FK21" s="74"/>
      <c r="FL21" s="74"/>
      <c r="FM21" s="74"/>
      <c r="FN21" s="74"/>
      <c r="FO21" s="74"/>
      <c r="FP21" s="74"/>
      <c r="FQ21" s="74"/>
      <c r="FR21" s="74"/>
      <c r="FS21" s="74"/>
      <c r="FT21" s="74"/>
      <c r="FU21" s="74"/>
      <c r="FV21" s="74"/>
      <c r="FW21" s="74"/>
      <c r="FX21" s="74"/>
      <c r="FY21" s="74"/>
      <c r="FZ21" s="74"/>
      <c r="GA21" s="74"/>
      <c r="GB21" s="74"/>
      <c r="GC21" s="74"/>
      <c r="GD21" s="74"/>
      <c r="GE21" s="74"/>
      <c r="GF21" s="74"/>
      <c r="GG21" s="74"/>
      <c r="GH21" s="74"/>
      <c r="GI21" s="74"/>
      <c r="GJ21" s="74"/>
      <c r="GK21" s="74"/>
      <c r="GL21" s="74"/>
      <c r="GM21" s="74"/>
      <c r="GN21" s="74"/>
      <c r="GO21" s="74"/>
      <c r="GP21" s="74"/>
      <c r="GQ21" s="74"/>
      <c r="GR21" s="74"/>
      <c r="GS21" s="74"/>
      <c r="GT21" s="74"/>
      <c r="GU21" s="74"/>
      <c r="GV21" s="74"/>
      <c r="GW21" s="74"/>
      <c r="GX21" s="74"/>
      <c r="GY21" s="74"/>
      <c r="GZ21" s="74"/>
      <c r="HA21" s="74"/>
      <c r="HB21" s="74"/>
      <c r="HC21" s="74"/>
      <c r="HD21" s="74"/>
      <c r="HE21" s="74"/>
      <c r="HF21" s="74"/>
      <c r="HG21" s="74"/>
      <c r="HH21" s="74"/>
      <c r="HI21" s="74"/>
      <c r="HJ21" s="74"/>
      <c r="HK21" s="74"/>
      <c r="HL21" s="74"/>
      <c r="HM21" s="74"/>
      <c r="HN21" s="74"/>
      <c r="HO21" s="74"/>
      <c r="HP21" s="74"/>
      <c r="HQ21" s="74"/>
      <c r="HR21" s="74"/>
      <c r="HS21" s="74"/>
      <c r="HT21" s="74"/>
      <c r="HU21" s="74"/>
    </row>
    <row r="22" customFormat="false" ht="15.75" hidden="false" customHeight="true" outlineLevel="0" collapsed="false">
      <c r="A22" s="153" t="s">
        <v>32</v>
      </c>
      <c r="B22" s="153"/>
      <c r="C22" s="153"/>
      <c r="D22" s="154" t="s">
        <v>43</v>
      </c>
      <c r="E22" s="153" t="s">
        <v>33</v>
      </c>
      <c r="F22" s="153"/>
      <c r="G22" s="153"/>
      <c r="H22" s="153"/>
      <c r="I22" s="153"/>
      <c r="J22" s="153"/>
      <c r="K22" s="153"/>
      <c r="L22" s="153"/>
      <c r="M22" s="153"/>
      <c r="N22" s="153"/>
      <c r="O22" s="153"/>
      <c r="P22" s="153"/>
      <c r="Q22" s="153"/>
      <c r="R22" s="153"/>
      <c r="S22" s="153"/>
      <c r="T22" s="153"/>
      <c r="U22" s="153"/>
      <c r="V22" s="153"/>
      <c r="W22" s="153"/>
      <c r="X22" s="153"/>
      <c r="Y22" s="153"/>
      <c r="Z22" s="153"/>
      <c r="AA22" s="153"/>
      <c r="AB22" s="153"/>
      <c r="AE22" s="141"/>
      <c r="AF22" s="151"/>
      <c r="AI22" s="131"/>
      <c r="AJ22" s="131"/>
      <c r="AK22" s="131"/>
      <c r="AL22" s="131"/>
      <c r="AP22" s="74"/>
      <c r="AQ22" s="74"/>
      <c r="AR22" s="74"/>
      <c r="AS22" s="74"/>
      <c r="AT22" s="74"/>
      <c r="AU22" s="74"/>
      <c r="AV22" s="74"/>
      <c r="AW22" s="74"/>
      <c r="AX22" s="74"/>
      <c r="AY22" s="74"/>
      <c r="AZ22" s="74"/>
      <c r="BA22" s="74"/>
      <c r="BB22" s="74"/>
      <c r="BC22" s="74"/>
      <c r="BD22" s="74"/>
      <c r="BE22" s="74"/>
      <c r="BF22" s="74"/>
      <c r="BG22" s="74"/>
      <c r="BH22" s="74"/>
      <c r="BI22" s="74"/>
      <c r="BJ22" s="74"/>
      <c r="BK22" s="74"/>
      <c r="BL22" s="74"/>
      <c r="BM22" s="74"/>
      <c r="BN22" s="74"/>
      <c r="BO22" s="74"/>
      <c r="BP22" s="74"/>
      <c r="BQ22" s="74"/>
      <c r="BR22" s="74"/>
      <c r="BS22" s="74"/>
      <c r="BT22" s="74"/>
      <c r="BU22" s="74"/>
      <c r="BV22" s="74"/>
      <c r="BW22" s="74"/>
      <c r="BX22" s="74"/>
      <c r="BY22" s="74"/>
      <c r="BZ22" s="74"/>
      <c r="CA22" s="74"/>
      <c r="CB22" s="74"/>
      <c r="CC22" s="74"/>
      <c r="CD22" s="74"/>
      <c r="CE22" s="74"/>
      <c r="CF22" s="74"/>
      <c r="CG22" s="74"/>
      <c r="CH22" s="74"/>
      <c r="CI22" s="74"/>
      <c r="CJ22" s="74"/>
      <c r="CK22" s="74"/>
      <c r="CL22" s="74"/>
      <c r="CM22" s="74"/>
      <c r="CN22" s="74"/>
      <c r="CO22" s="74"/>
      <c r="CP22" s="74"/>
      <c r="CQ22" s="74"/>
      <c r="CR22" s="74"/>
      <c r="CS22" s="74"/>
      <c r="CT22" s="74"/>
      <c r="CU22" s="74"/>
      <c r="CV22" s="74"/>
      <c r="CW22" s="74"/>
      <c r="CX22" s="74"/>
      <c r="CY22" s="74"/>
      <c r="CZ22" s="74"/>
      <c r="DA22" s="74"/>
      <c r="DB22" s="74"/>
      <c r="DC22" s="74"/>
      <c r="DD22" s="74"/>
      <c r="DE22" s="74"/>
      <c r="DF22" s="74"/>
      <c r="DG22" s="74"/>
      <c r="DH22" s="74"/>
      <c r="DI22" s="74"/>
      <c r="DJ22" s="74"/>
      <c r="DK22" s="74"/>
      <c r="DL22" s="74"/>
      <c r="DM22" s="74"/>
      <c r="DN22" s="74"/>
      <c r="DO22" s="74"/>
      <c r="DP22" s="74"/>
      <c r="DQ22" s="74"/>
      <c r="DR22" s="74"/>
      <c r="DS22" s="74"/>
      <c r="DT22" s="74"/>
      <c r="DU22" s="74"/>
      <c r="DV22" s="74"/>
      <c r="DW22" s="74"/>
      <c r="DX22" s="74"/>
      <c r="DY22" s="74"/>
      <c r="DZ22" s="74"/>
      <c r="EA22" s="74"/>
      <c r="EB22" s="74"/>
      <c r="EC22" s="74"/>
      <c r="ED22" s="74"/>
      <c r="EE22" s="74"/>
      <c r="EF22" s="74"/>
      <c r="EG22" s="74"/>
      <c r="EH22" s="74"/>
      <c r="EI22" s="74"/>
      <c r="EJ22" s="74"/>
      <c r="EK22" s="74"/>
      <c r="EL22" s="74"/>
      <c r="EM22" s="74"/>
      <c r="EN22" s="74"/>
      <c r="EO22" s="74"/>
      <c r="EP22" s="74"/>
      <c r="EQ22" s="74"/>
      <c r="ER22" s="74"/>
      <c r="ES22" s="74"/>
      <c r="ET22" s="74"/>
      <c r="EU22" s="74"/>
      <c r="EV22" s="74"/>
      <c r="EW22" s="74"/>
      <c r="EX22" s="74"/>
      <c r="EY22" s="74"/>
      <c r="EZ22" s="74"/>
      <c r="FA22" s="74"/>
      <c r="FB22" s="74"/>
      <c r="FC22" s="74"/>
      <c r="FD22" s="74"/>
      <c r="FE22" s="74"/>
      <c r="FF22" s="74"/>
      <c r="FG22" s="74"/>
      <c r="FH22" s="74"/>
      <c r="FI22" s="74"/>
      <c r="FJ22" s="74"/>
      <c r="FK22" s="74"/>
      <c r="FL22" s="74"/>
      <c r="FM22" s="74"/>
      <c r="FN22" s="74"/>
      <c r="FO22" s="74"/>
      <c r="FP22" s="74"/>
      <c r="FQ22" s="74"/>
      <c r="FR22" s="74"/>
      <c r="FS22" s="74"/>
      <c r="FT22" s="74"/>
      <c r="FU22" s="74"/>
      <c r="FV22" s="74"/>
      <c r="FW22" s="74"/>
      <c r="FX22" s="74"/>
      <c r="FY22" s="74"/>
      <c r="FZ22" s="74"/>
      <c r="GA22" s="74"/>
      <c r="GB22" s="74"/>
      <c r="GC22" s="74"/>
      <c r="GD22" s="74"/>
      <c r="GE22" s="74"/>
      <c r="GF22" s="74"/>
      <c r="GG22" s="74"/>
      <c r="GH22" s="74"/>
      <c r="GI22" s="74"/>
      <c r="GJ22" s="74"/>
      <c r="GK22" s="74"/>
      <c r="GL22" s="74"/>
      <c r="GM22" s="74"/>
      <c r="GN22" s="74"/>
      <c r="GO22" s="74"/>
      <c r="GP22" s="74"/>
      <c r="GQ22" s="74"/>
      <c r="GR22" s="74"/>
      <c r="GS22" s="74"/>
      <c r="GT22" s="74"/>
      <c r="GU22" s="74"/>
      <c r="GV22" s="74"/>
      <c r="GW22" s="74"/>
      <c r="GX22" s="74"/>
      <c r="GY22" s="74"/>
      <c r="GZ22" s="74"/>
      <c r="HA22" s="74"/>
      <c r="HB22" s="74"/>
      <c r="HC22" s="74"/>
      <c r="HD22" s="74"/>
      <c r="HE22" s="74"/>
      <c r="HF22" s="74"/>
      <c r="HG22" s="74"/>
      <c r="HH22" s="74"/>
      <c r="HI22" s="74"/>
      <c r="HJ22" s="74"/>
      <c r="HK22" s="74"/>
      <c r="HL22" s="74"/>
      <c r="HM22" s="74"/>
      <c r="HN22" s="74"/>
      <c r="HO22" s="74"/>
      <c r="HP22" s="74"/>
      <c r="HQ22" s="74"/>
      <c r="HR22" s="74"/>
      <c r="HS22" s="74"/>
      <c r="HT22" s="74"/>
      <c r="HU22" s="74"/>
    </row>
    <row r="23" customFormat="false" ht="15.75" hidden="false" customHeight="true" outlineLevel="0" collapsed="false">
      <c r="A23" s="113"/>
      <c r="B23" s="113"/>
      <c r="C23" s="113"/>
      <c r="D23" s="114"/>
      <c r="E23" s="114"/>
      <c r="F23" s="114"/>
      <c r="G23" s="114"/>
      <c r="H23" s="114"/>
      <c r="I23" s="114"/>
      <c r="J23" s="114"/>
      <c r="K23" s="114"/>
      <c r="L23" s="114"/>
      <c r="M23" s="114"/>
      <c r="N23" s="114"/>
      <c r="O23" s="114"/>
      <c r="P23" s="114"/>
      <c r="Q23" s="114"/>
      <c r="R23" s="114"/>
      <c r="S23" s="114"/>
      <c r="T23" s="114"/>
      <c r="U23" s="114"/>
      <c r="V23" s="114"/>
      <c r="W23" s="114"/>
      <c r="Z23" s="74"/>
      <c r="AA23" s="74"/>
      <c r="AB23" s="74"/>
      <c r="AC23" s="74"/>
      <c r="AD23" s="74"/>
      <c r="AI23" s="131"/>
      <c r="AJ23" s="131"/>
      <c r="AK23" s="131"/>
      <c r="AL23" s="131"/>
      <c r="HV23" s="74"/>
    </row>
    <row r="24" customFormat="false" ht="15.75" hidden="false" customHeight="true" outlineLevel="0" collapsed="false">
      <c r="A24" s="113"/>
      <c r="B24" s="113"/>
      <c r="C24" s="115"/>
      <c r="D24" s="115"/>
      <c r="E24" s="114"/>
      <c r="F24" s="114"/>
      <c r="G24" s="114"/>
      <c r="H24" s="114"/>
      <c r="I24" s="114"/>
      <c r="J24" s="114"/>
      <c r="K24" s="114"/>
      <c r="L24" s="114"/>
      <c r="M24" s="114"/>
      <c r="N24" s="114"/>
      <c r="O24" s="114"/>
      <c r="P24" s="114"/>
      <c r="Q24" s="114"/>
      <c r="R24" s="114"/>
      <c r="S24" s="114"/>
      <c r="T24" s="114"/>
      <c r="U24" s="114"/>
      <c r="V24" s="114"/>
      <c r="W24" s="114"/>
      <c r="Z24" s="74"/>
      <c r="AA24" s="74"/>
      <c r="AB24" s="74"/>
      <c r="AC24" s="74"/>
      <c r="AD24" s="74"/>
      <c r="AE24" s="74"/>
      <c r="AF24" s="79"/>
      <c r="AG24" s="74"/>
      <c r="AH24" s="74"/>
      <c r="AI24" s="74"/>
      <c r="AJ24" s="74"/>
      <c r="AK24" s="74"/>
      <c r="AL24" s="74"/>
      <c r="AM24" s="74"/>
      <c r="HV24" s="74"/>
    </row>
    <row r="25" customFormat="false" ht="15" hidden="false" customHeight="true" outlineLevel="0" collapsed="false">
      <c r="A25" s="113"/>
      <c r="B25" s="113"/>
      <c r="C25" s="113"/>
      <c r="D25" s="114"/>
      <c r="E25" s="114"/>
      <c r="F25" s="114"/>
      <c r="G25" s="114"/>
      <c r="H25" s="114"/>
      <c r="I25" s="114"/>
      <c r="J25" s="114"/>
      <c r="K25" s="114"/>
      <c r="L25" s="114"/>
      <c r="M25" s="114"/>
      <c r="N25" s="114"/>
      <c r="O25" s="114"/>
      <c r="P25" s="114"/>
      <c r="Q25" s="114"/>
      <c r="R25" s="114"/>
      <c r="S25" s="114"/>
      <c r="T25" s="114"/>
      <c r="U25" s="114"/>
      <c r="V25" s="114"/>
      <c r="W25" s="114"/>
      <c r="Z25" s="74"/>
      <c r="AA25" s="74"/>
      <c r="AB25" s="74"/>
      <c r="AC25" s="74"/>
      <c r="AD25" s="74"/>
      <c r="AE25" s="74"/>
      <c r="AF25" s="74"/>
      <c r="AG25" s="74"/>
      <c r="AH25" s="74"/>
      <c r="AI25" s="74"/>
      <c r="AJ25" s="74"/>
      <c r="AK25" s="74"/>
      <c r="AL25" s="74"/>
      <c r="AM25" s="74"/>
      <c r="HV25" s="74"/>
    </row>
    <row r="26" customFormat="false" ht="15" hidden="false" customHeight="true" outlineLevel="0" collapsed="false">
      <c r="A26" s="113"/>
      <c r="B26" s="113"/>
      <c r="C26" s="113"/>
      <c r="D26" s="114"/>
      <c r="E26" s="114"/>
      <c r="F26" s="114"/>
      <c r="G26" s="114"/>
      <c r="H26" s="114"/>
      <c r="I26" s="114"/>
      <c r="J26" s="114"/>
      <c r="K26" s="114"/>
      <c r="L26" s="114"/>
      <c r="M26" s="114"/>
      <c r="N26" s="114"/>
      <c r="O26" s="114"/>
      <c r="P26" s="114"/>
      <c r="Q26" s="114"/>
      <c r="R26" s="114"/>
      <c r="S26" s="114"/>
      <c r="T26" s="114"/>
      <c r="U26" s="114"/>
      <c r="V26" s="114"/>
      <c r="W26" s="114"/>
      <c r="Z26" s="74"/>
      <c r="AA26" s="74"/>
      <c r="AB26" s="74"/>
      <c r="AC26" s="74"/>
      <c r="AD26" s="74"/>
      <c r="AE26" s="74"/>
      <c r="AF26" s="74"/>
      <c r="AG26" s="74"/>
      <c r="AH26" s="74"/>
      <c r="AI26" s="74"/>
      <c r="AJ26" s="74"/>
      <c r="AK26" s="74"/>
      <c r="AL26" s="74"/>
      <c r="AM26" s="74"/>
      <c r="HV26" s="74"/>
    </row>
    <row r="27" customFormat="false" ht="15" hidden="false" customHeight="true" outlineLevel="0" collapsed="false">
      <c r="A27" s="113"/>
      <c r="B27" s="113"/>
      <c r="C27" s="113"/>
      <c r="D27" s="114"/>
      <c r="E27" s="114"/>
      <c r="F27" s="114"/>
      <c r="G27" s="114"/>
      <c r="H27" s="114"/>
      <c r="I27" s="114"/>
      <c r="J27" s="114"/>
      <c r="K27" s="114"/>
      <c r="L27" s="114"/>
      <c r="M27" s="114"/>
      <c r="N27" s="114"/>
      <c r="O27" s="114"/>
      <c r="P27" s="114"/>
      <c r="Q27" s="114"/>
      <c r="R27" s="114"/>
      <c r="S27" s="114"/>
      <c r="T27" s="114"/>
      <c r="U27" s="114"/>
      <c r="V27" s="114"/>
      <c r="W27" s="114"/>
      <c r="Z27" s="74"/>
      <c r="AA27" s="74"/>
      <c r="AB27" s="74"/>
      <c r="AC27" s="74"/>
      <c r="AD27" s="74"/>
      <c r="AE27" s="74"/>
      <c r="AF27" s="74"/>
      <c r="AG27" s="74"/>
      <c r="AH27" s="74"/>
      <c r="AI27" s="74"/>
      <c r="AJ27" s="74"/>
      <c r="AK27" s="74"/>
      <c r="AL27" s="74"/>
      <c r="AM27" s="74"/>
      <c r="HV27" s="74"/>
    </row>
    <row r="28" customFormat="false" ht="15.75" hidden="false" customHeight="true" outlineLevel="0" collapsed="false">
      <c r="A28" s="153" t="s">
        <v>34</v>
      </c>
      <c r="B28" s="153"/>
      <c r="C28" s="153"/>
      <c r="D28" s="155"/>
      <c r="E28" s="155"/>
      <c r="F28" s="155"/>
      <c r="G28" s="155"/>
      <c r="H28" s="155"/>
      <c r="I28" s="155"/>
      <c r="J28" s="155"/>
      <c r="K28" s="155"/>
      <c r="L28" s="155"/>
      <c r="M28" s="153" t="str">
        <f aca="false">'Base B'!O38</f>
        <v>Lê Minh Hải</v>
      </c>
      <c r="N28" s="153"/>
      <c r="O28" s="153"/>
      <c r="P28" s="153"/>
      <c r="Q28" s="153"/>
      <c r="R28" s="153"/>
      <c r="S28" s="153"/>
      <c r="T28" s="153"/>
      <c r="U28" s="153"/>
      <c r="V28" s="153"/>
      <c r="W28" s="153"/>
      <c r="X28" s="153"/>
      <c r="Y28" s="153"/>
      <c r="Z28" s="153"/>
      <c r="AA28" s="153"/>
      <c r="AB28" s="153"/>
      <c r="AC28" s="74"/>
      <c r="AD28" s="74"/>
      <c r="AE28" s="74"/>
      <c r="AF28" s="74"/>
      <c r="AG28" s="74"/>
      <c r="AH28" s="74"/>
      <c r="AI28" s="74"/>
      <c r="AJ28" s="74"/>
      <c r="AK28" s="74"/>
      <c r="AL28" s="74"/>
      <c r="AM28" s="74"/>
      <c r="HV28" s="74"/>
    </row>
    <row r="29" customFormat="false" ht="15.75" hidden="false" customHeight="true" outlineLevel="0" collapsed="false">
      <c r="A29" s="131"/>
      <c r="B29" s="131"/>
      <c r="C29" s="131"/>
      <c r="D29" s="131"/>
      <c r="E29" s="131"/>
      <c r="F29" s="131"/>
      <c r="G29" s="131"/>
      <c r="H29" s="131"/>
      <c r="I29" s="131"/>
      <c r="J29" s="131"/>
      <c r="K29" s="131"/>
      <c r="L29" s="131"/>
      <c r="M29" s="131"/>
      <c r="N29" s="131"/>
      <c r="O29" s="131"/>
      <c r="P29" s="131"/>
      <c r="Q29" s="131"/>
      <c r="R29" s="131"/>
      <c r="S29" s="131"/>
      <c r="T29" s="131"/>
      <c r="U29" s="131"/>
      <c r="V29" s="131"/>
      <c r="W29" s="131"/>
      <c r="X29" s="131"/>
      <c r="Y29" s="131"/>
      <c r="Z29" s="131"/>
      <c r="AA29" s="131"/>
      <c r="AB29" s="131"/>
      <c r="AC29" s="131"/>
    </row>
    <row r="30" customFormat="false" ht="12.75" hidden="false" customHeight="false" outlineLevel="0" collapsed="false">
      <c r="A30" s="81"/>
      <c r="B30" s="81"/>
      <c r="C30" s="81"/>
      <c r="D30" s="81"/>
      <c r="E30" s="81"/>
      <c r="F30" s="81"/>
      <c r="G30" s="81"/>
      <c r="H30" s="81"/>
      <c r="I30" s="81"/>
      <c r="J30" s="81"/>
      <c r="K30" s="81"/>
      <c r="L30" s="81"/>
      <c r="M30" s="81"/>
      <c r="N30" s="81"/>
      <c r="O30" s="81"/>
      <c r="P30" s="81"/>
      <c r="Q30" s="81"/>
      <c r="R30" s="81"/>
      <c r="S30" s="81"/>
      <c r="T30" s="81"/>
      <c r="U30" s="81"/>
      <c r="V30" s="81"/>
      <c r="W30" s="81"/>
      <c r="X30" s="81"/>
      <c r="Y30" s="81"/>
      <c r="Z30" s="81"/>
      <c r="AA30" s="81"/>
      <c r="AB30" s="81"/>
      <c r="AC30" s="81"/>
    </row>
    <row r="31" customFormat="false" ht="12.75" hidden="false" customHeight="false" outlineLevel="0" collapsed="false">
      <c r="A31" s="81"/>
      <c r="B31" s="81"/>
      <c r="C31" s="81"/>
      <c r="D31" s="81"/>
      <c r="E31" s="81"/>
      <c r="F31" s="81"/>
      <c r="G31" s="81"/>
      <c r="H31" s="81"/>
      <c r="I31" s="81"/>
      <c r="J31" s="81"/>
      <c r="K31" s="81"/>
      <c r="L31" s="81"/>
      <c r="M31" s="81"/>
      <c r="N31" s="81"/>
      <c r="O31" s="81"/>
      <c r="P31" s="81"/>
      <c r="Q31" s="81"/>
      <c r="R31" s="81"/>
      <c r="S31" s="81"/>
      <c r="T31" s="81"/>
      <c r="U31" s="81"/>
      <c r="V31" s="81"/>
      <c r="W31" s="81"/>
      <c r="X31" s="81"/>
      <c r="Y31" s="81"/>
      <c r="Z31" s="81"/>
      <c r="AA31" s="81"/>
      <c r="AB31" s="81"/>
      <c r="AC31" s="81"/>
    </row>
    <row r="32" customFormat="false" ht="12.75" hidden="false" customHeight="false" outlineLevel="0" collapsed="false">
      <c r="A32" s="81"/>
      <c r="B32" s="81"/>
      <c r="C32" s="81"/>
      <c r="D32" s="81"/>
      <c r="E32" s="81"/>
      <c r="F32" s="81"/>
      <c r="G32" s="81"/>
      <c r="H32" s="81"/>
      <c r="I32" s="81"/>
      <c r="J32" s="81"/>
      <c r="K32" s="81"/>
      <c r="L32" s="81"/>
      <c r="M32" s="81"/>
      <c r="N32" s="81"/>
      <c r="O32" s="81"/>
      <c r="P32" s="81"/>
      <c r="Q32" s="81"/>
      <c r="R32" s="81"/>
      <c r="S32" s="81"/>
      <c r="T32" s="81"/>
      <c r="U32" s="81"/>
      <c r="V32" s="81"/>
      <c r="W32" s="81"/>
      <c r="X32" s="81"/>
      <c r="Y32" s="81"/>
      <c r="Z32" s="81"/>
      <c r="AA32" s="81"/>
      <c r="AB32" s="81"/>
      <c r="AC32" s="81"/>
    </row>
    <row r="33" customFormat="false" ht="12.75" hidden="false" customHeight="false" outlineLevel="0" collapsed="false">
      <c r="A33" s="81"/>
      <c r="B33" s="81"/>
      <c r="C33" s="81"/>
      <c r="D33" s="81"/>
      <c r="E33" s="81"/>
      <c r="F33" s="81"/>
      <c r="G33" s="81"/>
      <c r="H33" s="81"/>
      <c r="I33" s="81"/>
      <c r="J33" s="81"/>
      <c r="K33" s="81"/>
      <c r="L33" s="81"/>
      <c r="M33" s="81"/>
      <c r="N33" s="81"/>
      <c r="O33" s="81"/>
      <c r="P33" s="81"/>
      <c r="Q33" s="81"/>
      <c r="R33" s="81"/>
      <c r="S33" s="81"/>
      <c r="T33" s="81"/>
      <c r="U33" s="81"/>
      <c r="V33" s="81"/>
      <c r="W33" s="81"/>
      <c r="X33" s="81"/>
      <c r="Y33" s="81"/>
      <c r="Z33" s="81"/>
      <c r="AA33" s="81"/>
      <c r="AB33" s="81"/>
      <c r="AC33" s="81"/>
    </row>
    <row r="34" customFormat="false" ht="12.75" hidden="false" customHeight="false" outlineLevel="0" collapsed="false">
      <c r="A34" s="81"/>
      <c r="B34" s="81"/>
      <c r="C34" s="81"/>
      <c r="D34" s="81"/>
      <c r="E34" s="81"/>
      <c r="F34" s="81"/>
      <c r="G34" s="81"/>
      <c r="H34" s="81"/>
      <c r="I34" s="81"/>
      <c r="J34" s="81"/>
      <c r="K34" s="81"/>
      <c r="L34" s="81"/>
      <c r="M34" s="81"/>
      <c r="N34" s="81"/>
      <c r="O34" s="81"/>
      <c r="P34" s="81"/>
      <c r="Q34" s="81"/>
      <c r="R34" s="81"/>
      <c r="S34" s="81"/>
      <c r="T34" s="81"/>
      <c r="U34" s="81"/>
      <c r="V34" s="81"/>
      <c r="W34" s="81"/>
      <c r="X34" s="81"/>
      <c r="Y34" s="81"/>
      <c r="Z34" s="81"/>
      <c r="AA34" s="81"/>
      <c r="AB34" s="81"/>
      <c r="AC34" s="81"/>
    </row>
    <row r="35" customFormat="false" ht="12.75" hidden="false" customHeight="false" outlineLevel="0" collapsed="false">
      <c r="A35" s="81"/>
      <c r="B35" s="81"/>
      <c r="C35" s="81"/>
      <c r="D35" s="81"/>
      <c r="E35" s="81"/>
      <c r="F35" s="81"/>
      <c r="G35" s="81"/>
      <c r="H35" s="81"/>
      <c r="I35" s="81"/>
      <c r="J35" s="81"/>
      <c r="K35" s="81"/>
      <c r="L35" s="81"/>
      <c r="M35" s="81"/>
      <c r="N35" s="81"/>
      <c r="O35" s="81"/>
      <c r="P35" s="81"/>
      <c r="Q35" s="81"/>
      <c r="R35" s="81"/>
      <c r="S35" s="81"/>
      <c r="T35" s="81"/>
      <c r="U35" s="81"/>
      <c r="V35" s="81"/>
      <c r="W35" s="81"/>
      <c r="X35" s="81"/>
      <c r="Y35" s="81"/>
      <c r="Z35" s="81"/>
      <c r="AA35" s="81"/>
      <c r="AB35" s="81"/>
      <c r="AC35" s="81"/>
    </row>
    <row r="36" customFormat="false" ht="12.75" hidden="false" customHeight="false" outlineLevel="0" collapsed="false">
      <c r="A36" s="81"/>
      <c r="B36" s="81"/>
      <c r="C36" s="81"/>
      <c r="D36" s="81"/>
      <c r="E36" s="81"/>
      <c r="F36" s="81"/>
      <c r="G36" s="81"/>
      <c r="H36" s="81"/>
      <c r="I36" s="81"/>
      <c r="J36" s="81"/>
      <c r="K36" s="81"/>
      <c r="L36" s="81"/>
      <c r="M36" s="81"/>
      <c r="N36" s="81"/>
      <c r="O36" s="81"/>
      <c r="P36" s="81"/>
      <c r="Q36" s="81"/>
      <c r="R36" s="81"/>
      <c r="S36" s="81"/>
      <c r="T36" s="81"/>
      <c r="U36" s="81"/>
      <c r="V36" s="81"/>
      <c r="W36" s="81"/>
      <c r="X36" s="81"/>
      <c r="Y36" s="81"/>
      <c r="Z36" s="81"/>
      <c r="AA36" s="81"/>
      <c r="AB36" s="81"/>
      <c r="AC36" s="81"/>
    </row>
    <row r="37" customFormat="false" ht="12.75" hidden="false" customHeight="false" outlineLevel="0" collapsed="false">
      <c r="A37" s="81"/>
      <c r="B37" s="81"/>
      <c r="C37" s="81"/>
      <c r="D37" s="81"/>
      <c r="E37" s="81"/>
      <c r="F37" s="81"/>
      <c r="G37" s="81"/>
      <c r="H37" s="81"/>
      <c r="I37" s="81"/>
      <c r="J37" s="81"/>
      <c r="K37" s="81"/>
      <c r="L37" s="81"/>
      <c r="M37" s="81"/>
      <c r="N37" s="81"/>
      <c r="O37" s="81"/>
      <c r="P37" s="81"/>
      <c r="Q37" s="81"/>
      <c r="R37" s="81"/>
      <c r="S37" s="81"/>
      <c r="T37" s="81"/>
      <c r="U37" s="81"/>
      <c r="V37" s="81"/>
      <c r="W37" s="81"/>
      <c r="X37" s="81"/>
      <c r="Y37" s="81"/>
      <c r="Z37" s="81"/>
      <c r="AA37" s="81"/>
      <c r="AB37" s="81"/>
      <c r="AC37" s="81"/>
    </row>
    <row r="38" customFormat="false" ht="12.75" hidden="false" customHeight="false" outlineLevel="0" collapsed="false">
      <c r="A38" s="81"/>
      <c r="B38" s="81"/>
      <c r="C38" s="81"/>
      <c r="D38" s="81"/>
      <c r="E38" s="81"/>
      <c r="F38" s="81"/>
      <c r="G38" s="81"/>
      <c r="H38" s="81"/>
      <c r="I38" s="81"/>
      <c r="J38" s="81"/>
      <c r="K38" s="81"/>
      <c r="L38" s="81"/>
      <c r="M38" s="81"/>
      <c r="N38" s="81"/>
      <c r="O38" s="81"/>
      <c r="P38" s="81"/>
      <c r="Q38" s="81"/>
      <c r="R38" s="81"/>
      <c r="S38" s="81"/>
      <c r="T38" s="81"/>
      <c r="U38" s="81"/>
      <c r="V38" s="81"/>
      <c r="W38" s="81"/>
      <c r="X38" s="81"/>
      <c r="Y38" s="81"/>
      <c r="Z38" s="81"/>
      <c r="AA38" s="81"/>
      <c r="AB38" s="81"/>
      <c r="AC38" s="81"/>
    </row>
    <row r="39" customFormat="false" ht="12.75" hidden="false" customHeight="false" outlineLevel="0" collapsed="false">
      <c r="A39" s="81"/>
      <c r="B39" s="81"/>
      <c r="C39" s="81"/>
      <c r="D39" s="81"/>
      <c r="E39" s="81"/>
      <c r="F39" s="81"/>
      <c r="G39" s="81"/>
      <c r="H39" s="81"/>
      <c r="I39" s="81"/>
      <c r="J39" s="81"/>
      <c r="K39" s="81"/>
      <c r="L39" s="81"/>
      <c r="M39" s="81"/>
      <c r="N39" s="81"/>
      <c r="O39" s="81"/>
      <c r="P39" s="81"/>
      <c r="Q39" s="81"/>
      <c r="R39" s="81"/>
      <c r="S39" s="81"/>
      <c r="T39" s="81"/>
      <c r="U39" s="81"/>
      <c r="V39" s="81"/>
      <c r="W39" s="81"/>
      <c r="X39" s="81"/>
      <c r="Y39" s="81"/>
      <c r="Z39" s="81"/>
      <c r="AA39" s="81"/>
      <c r="AB39" s="81"/>
      <c r="AC39" s="81"/>
    </row>
    <row r="40" customFormat="false" ht="12.75" hidden="false" customHeight="false" outlineLevel="0" collapsed="false">
      <c r="A40" s="81"/>
      <c r="B40" s="81"/>
      <c r="C40" s="81"/>
      <c r="D40" s="81"/>
      <c r="E40" s="81"/>
      <c r="F40" s="81"/>
      <c r="G40" s="81"/>
      <c r="H40" s="81"/>
      <c r="I40" s="81"/>
      <c r="J40" s="81"/>
      <c r="K40" s="81"/>
      <c r="L40" s="81"/>
      <c r="M40" s="81"/>
      <c r="N40" s="81"/>
      <c r="O40" s="81"/>
      <c r="P40" s="81"/>
      <c r="Q40" s="81"/>
      <c r="R40" s="81"/>
      <c r="S40" s="81"/>
      <c r="T40" s="81"/>
      <c r="U40" s="81"/>
      <c r="V40" s="81"/>
      <c r="W40" s="81"/>
      <c r="X40" s="81"/>
      <c r="Y40" s="81"/>
      <c r="Z40" s="81"/>
      <c r="AA40" s="81"/>
      <c r="AB40" s="81"/>
      <c r="AC40" s="81"/>
    </row>
    <row r="41" customFormat="false" ht="12.75" hidden="false" customHeight="false" outlineLevel="0" collapsed="false">
      <c r="A41" s="81"/>
      <c r="B41" s="81"/>
      <c r="C41" s="81"/>
      <c r="D41" s="81"/>
      <c r="E41" s="81"/>
      <c r="F41" s="81"/>
      <c r="G41" s="81"/>
      <c r="H41" s="81"/>
      <c r="I41" s="81"/>
      <c r="J41" s="81"/>
      <c r="K41" s="81"/>
      <c r="L41" s="81"/>
      <c r="M41" s="81"/>
      <c r="N41" s="81"/>
      <c r="O41" s="81"/>
      <c r="P41" s="81"/>
      <c r="Q41" s="81"/>
      <c r="R41" s="81"/>
      <c r="S41" s="81"/>
      <c r="T41" s="81"/>
      <c r="U41" s="81"/>
      <c r="V41" s="81"/>
      <c r="W41" s="81"/>
      <c r="X41" s="81"/>
      <c r="Y41" s="81"/>
      <c r="Z41" s="81"/>
      <c r="AA41" s="81"/>
      <c r="AB41" s="81"/>
      <c r="AC41" s="81"/>
    </row>
    <row r="42" customFormat="false" ht="12.75" hidden="false" customHeight="false" outlineLevel="0" collapsed="false">
      <c r="A42" s="81"/>
      <c r="B42" s="81"/>
      <c r="C42" s="81"/>
      <c r="D42" s="81"/>
      <c r="E42" s="81"/>
      <c r="F42" s="81"/>
      <c r="G42" s="81"/>
      <c r="H42" s="81"/>
      <c r="I42" s="81"/>
      <c r="J42" s="81"/>
      <c r="K42" s="81"/>
      <c r="L42" s="81"/>
      <c r="M42" s="81"/>
      <c r="N42" s="81"/>
      <c r="O42" s="81"/>
      <c r="P42" s="81"/>
      <c r="Q42" s="81"/>
      <c r="R42" s="81"/>
      <c r="S42" s="81"/>
      <c r="T42" s="81"/>
      <c r="U42" s="81"/>
      <c r="V42" s="81"/>
      <c r="W42" s="81"/>
      <c r="X42" s="81"/>
      <c r="Y42" s="81"/>
      <c r="Z42" s="81"/>
      <c r="AA42" s="81"/>
      <c r="AB42" s="81"/>
      <c r="AC42" s="81"/>
    </row>
    <row r="43" customFormat="false" ht="12.75" hidden="false" customHeight="false" outlineLevel="0" collapsed="false">
      <c r="A43" s="81"/>
      <c r="B43" s="81"/>
      <c r="C43" s="81"/>
      <c r="D43" s="81"/>
      <c r="E43" s="81"/>
      <c r="F43" s="81"/>
      <c r="G43" s="81"/>
      <c r="H43" s="81"/>
      <c r="I43" s="81"/>
      <c r="J43" s="81"/>
      <c r="K43" s="81"/>
      <c r="L43" s="81"/>
      <c r="M43" s="81"/>
      <c r="N43" s="81"/>
      <c r="O43" s="81"/>
      <c r="P43" s="81"/>
      <c r="Q43" s="81"/>
      <c r="R43" s="81"/>
      <c r="S43" s="81"/>
      <c r="T43" s="81"/>
      <c r="U43" s="81"/>
      <c r="V43" s="81"/>
      <c r="W43" s="81"/>
      <c r="X43" s="81"/>
      <c r="Y43" s="81"/>
      <c r="Z43" s="81"/>
      <c r="AA43" s="81"/>
      <c r="AB43" s="81"/>
      <c r="AC43" s="81"/>
    </row>
    <row r="44" customFormat="false" ht="12.75" hidden="false" customHeight="false" outlineLevel="0" collapsed="false">
      <c r="A44" s="81"/>
      <c r="B44" s="81"/>
      <c r="C44" s="81"/>
      <c r="D44" s="81"/>
      <c r="E44" s="81"/>
      <c r="F44" s="81"/>
      <c r="G44" s="81"/>
      <c r="H44" s="81"/>
      <c r="I44" s="81"/>
      <c r="J44" s="81"/>
      <c r="K44" s="81"/>
      <c r="L44" s="81"/>
      <c r="M44" s="81"/>
      <c r="N44" s="81"/>
      <c r="O44" s="81"/>
      <c r="P44" s="81"/>
      <c r="Q44" s="81"/>
      <c r="R44" s="81"/>
      <c r="S44" s="81"/>
      <c r="T44" s="81"/>
      <c r="U44" s="81"/>
      <c r="V44" s="81"/>
      <c r="W44" s="81"/>
      <c r="X44" s="81"/>
      <c r="Y44" s="81"/>
      <c r="Z44" s="81"/>
      <c r="AA44" s="81"/>
      <c r="AB44" s="81"/>
      <c r="AC44" s="81"/>
    </row>
    <row r="45" customFormat="false" ht="12.75" hidden="false" customHeight="false" outlineLevel="0" collapsed="false">
      <c r="A45" s="81"/>
      <c r="B45" s="81"/>
      <c r="C45" s="81"/>
      <c r="D45" s="81"/>
      <c r="E45" s="81"/>
      <c r="F45" s="81"/>
      <c r="G45" s="81"/>
      <c r="H45" s="81"/>
      <c r="I45" s="81"/>
      <c r="J45" s="81"/>
      <c r="K45" s="81"/>
      <c r="L45" s="81"/>
      <c r="M45" s="81"/>
      <c r="N45" s="81"/>
      <c r="O45" s="81"/>
      <c r="P45" s="81"/>
      <c r="Q45" s="81"/>
      <c r="R45" s="81"/>
      <c r="S45" s="81"/>
      <c r="T45" s="81"/>
      <c r="U45" s="81"/>
      <c r="V45" s="81"/>
      <c r="W45" s="81"/>
      <c r="X45" s="81"/>
      <c r="Y45" s="81"/>
      <c r="Z45" s="81"/>
      <c r="AA45" s="81"/>
      <c r="AB45" s="81"/>
      <c r="AC45" s="81"/>
    </row>
    <row r="46" customFormat="false" ht="12.75" hidden="false" customHeight="false" outlineLevel="0" collapsed="false">
      <c r="A46" s="81"/>
      <c r="B46" s="81"/>
      <c r="C46" s="81"/>
      <c r="D46" s="81"/>
      <c r="E46" s="81"/>
      <c r="F46" s="81"/>
      <c r="G46" s="81"/>
      <c r="H46" s="81"/>
      <c r="I46" s="81"/>
      <c r="J46" s="81"/>
      <c r="K46" s="81"/>
      <c r="L46" s="81"/>
      <c r="M46" s="81"/>
      <c r="N46" s="81"/>
      <c r="O46" s="81"/>
      <c r="P46" s="81"/>
      <c r="Q46" s="81"/>
      <c r="R46" s="81"/>
      <c r="S46" s="81"/>
      <c r="T46" s="81"/>
      <c r="U46" s="81"/>
      <c r="V46" s="81"/>
      <c r="W46" s="81"/>
      <c r="X46" s="81"/>
      <c r="Y46" s="81"/>
      <c r="Z46" s="81"/>
      <c r="AA46" s="81"/>
      <c r="AB46" s="81"/>
      <c r="AC46" s="81"/>
    </row>
    <row r="47" customFormat="false" ht="12.75" hidden="false" customHeight="false" outlineLevel="0" collapsed="false">
      <c r="A47" s="81"/>
      <c r="B47" s="81"/>
      <c r="C47" s="81"/>
      <c r="D47" s="81"/>
      <c r="E47" s="81"/>
      <c r="F47" s="81"/>
      <c r="G47" s="81"/>
      <c r="H47" s="81"/>
      <c r="I47" s="81"/>
      <c r="J47" s="81"/>
      <c r="K47" s="81"/>
      <c r="L47" s="81"/>
      <c r="M47" s="81"/>
      <c r="N47" s="81"/>
      <c r="O47" s="81"/>
      <c r="P47" s="81"/>
      <c r="Q47" s="81"/>
      <c r="R47" s="81"/>
      <c r="S47" s="81"/>
      <c r="T47" s="81"/>
      <c r="U47" s="81"/>
      <c r="V47" s="81"/>
      <c r="W47" s="81"/>
      <c r="X47" s="81"/>
      <c r="Y47" s="81"/>
      <c r="Z47" s="81"/>
      <c r="AA47" s="81"/>
      <c r="AB47" s="81"/>
      <c r="AC47" s="81"/>
    </row>
    <row r="48" customFormat="false" ht="12.75" hidden="false" customHeight="false" outlineLevel="0" collapsed="false">
      <c r="A48" s="81"/>
      <c r="B48" s="81"/>
      <c r="C48" s="81"/>
      <c r="D48" s="81"/>
      <c r="E48" s="81"/>
      <c r="F48" s="81"/>
      <c r="G48" s="81"/>
      <c r="H48" s="81"/>
      <c r="I48" s="81"/>
      <c r="J48" s="81"/>
      <c r="K48" s="81"/>
      <c r="L48" s="81"/>
      <c r="M48" s="81"/>
      <c r="N48" s="81"/>
      <c r="O48" s="81"/>
      <c r="P48" s="81"/>
      <c r="Q48" s="81"/>
      <c r="R48" s="81"/>
      <c r="S48" s="81"/>
      <c r="T48" s="81"/>
      <c r="U48" s="81"/>
      <c r="V48" s="81"/>
      <c r="W48" s="81"/>
      <c r="X48" s="81"/>
      <c r="Y48" s="81"/>
      <c r="Z48" s="81"/>
      <c r="AA48" s="81"/>
      <c r="AB48" s="81"/>
      <c r="AC48" s="81"/>
    </row>
    <row r="49" customFormat="false" ht="12.75" hidden="false" customHeight="false" outlineLevel="0" collapsed="false">
      <c r="A49" s="81"/>
      <c r="B49" s="81"/>
      <c r="C49" s="81"/>
      <c r="D49" s="81"/>
      <c r="E49" s="81"/>
      <c r="F49" s="81"/>
      <c r="G49" s="81"/>
      <c r="H49" s="81"/>
      <c r="I49" s="81"/>
      <c r="J49" s="81"/>
      <c r="K49" s="81"/>
      <c r="L49" s="81"/>
      <c r="M49" s="81"/>
      <c r="N49" s="81"/>
      <c r="O49" s="81"/>
      <c r="P49" s="81"/>
      <c r="Q49" s="81"/>
      <c r="R49" s="81"/>
      <c r="S49" s="81"/>
      <c r="T49" s="81"/>
      <c r="U49" s="81"/>
      <c r="V49" s="81"/>
      <c r="W49" s="81"/>
      <c r="X49" s="81"/>
      <c r="Y49" s="81"/>
      <c r="Z49" s="81"/>
      <c r="AA49" s="81"/>
      <c r="AB49" s="81"/>
      <c r="AC49" s="81"/>
    </row>
    <row r="50" customFormat="false" ht="12.75" hidden="false" customHeight="false" outlineLevel="0" collapsed="false">
      <c r="A50" s="81"/>
      <c r="B50" s="81"/>
      <c r="C50" s="81"/>
      <c r="D50" s="81"/>
      <c r="E50" s="81"/>
      <c r="F50" s="81"/>
      <c r="G50" s="81"/>
      <c r="H50" s="81"/>
      <c r="I50" s="81"/>
      <c r="J50" s="81"/>
      <c r="K50" s="81"/>
      <c r="L50" s="81"/>
      <c r="M50" s="81"/>
      <c r="N50" s="81"/>
      <c r="O50" s="81"/>
      <c r="P50" s="81"/>
      <c r="Q50" s="81"/>
      <c r="R50" s="81"/>
      <c r="S50" s="81"/>
      <c r="T50" s="81"/>
      <c r="U50" s="81"/>
      <c r="V50" s="81"/>
      <c r="W50" s="81"/>
      <c r="X50" s="81"/>
      <c r="Y50" s="81"/>
      <c r="Z50" s="81"/>
      <c r="AA50" s="81"/>
      <c r="AB50" s="81"/>
      <c r="AC50" s="81"/>
    </row>
    <row r="51" customFormat="false" ht="12.75" hidden="false" customHeight="false" outlineLevel="0" collapsed="false">
      <c r="A51" s="81"/>
      <c r="B51" s="81"/>
      <c r="C51" s="81"/>
      <c r="D51" s="81"/>
      <c r="E51" s="81"/>
      <c r="F51" s="81"/>
      <c r="G51" s="81"/>
      <c r="H51" s="81"/>
      <c r="I51" s="81"/>
      <c r="J51" s="81"/>
      <c r="K51" s="81"/>
      <c r="L51" s="81"/>
      <c r="M51" s="81"/>
      <c r="N51" s="81"/>
      <c r="O51" s="81"/>
      <c r="P51" s="81"/>
      <c r="Q51" s="81"/>
      <c r="R51" s="81"/>
      <c r="S51" s="81"/>
      <c r="T51" s="81"/>
      <c r="U51" s="81"/>
      <c r="V51" s="81"/>
      <c r="W51" s="81"/>
      <c r="X51" s="81"/>
      <c r="Y51" s="81"/>
      <c r="Z51" s="81"/>
      <c r="AA51" s="81"/>
      <c r="AB51" s="81"/>
      <c r="AC51" s="81"/>
    </row>
    <row r="52" customFormat="false" ht="12.75" hidden="false" customHeight="false" outlineLevel="0" collapsed="false">
      <c r="A52" s="81"/>
      <c r="B52" s="81"/>
      <c r="C52" s="81"/>
      <c r="D52" s="81"/>
      <c r="E52" s="81"/>
      <c r="F52" s="81"/>
      <c r="G52" s="81"/>
      <c r="H52" s="81"/>
      <c r="I52" s="81"/>
      <c r="J52" s="81"/>
      <c r="K52" s="81"/>
      <c r="L52" s="81"/>
      <c r="M52" s="81"/>
      <c r="N52" s="81"/>
      <c r="O52" s="81"/>
      <c r="P52" s="81"/>
      <c r="Q52" s="81"/>
      <c r="R52" s="81"/>
      <c r="S52" s="81"/>
      <c r="T52" s="81"/>
      <c r="U52" s="81"/>
      <c r="V52" s="81"/>
      <c r="W52" s="81"/>
      <c r="X52" s="81"/>
      <c r="Y52" s="81"/>
      <c r="Z52" s="81"/>
      <c r="AA52" s="81"/>
      <c r="AB52" s="81"/>
      <c r="AC52" s="81"/>
    </row>
    <row r="53" customFormat="false" ht="12.75" hidden="false" customHeight="false" outlineLevel="0" collapsed="false">
      <c r="A53" s="81"/>
      <c r="B53" s="81"/>
      <c r="C53" s="81"/>
      <c r="D53" s="81"/>
      <c r="E53" s="81"/>
      <c r="F53" s="81"/>
      <c r="G53" s="81"/>
      <c r="H53" s="81"/>
      <c r="I53" s="81"/>
      <c r="J53" s="81"/>
      <c r="K53" s="81"/>
      <c r="L53" s="81"/>
      <c r="M53" s="81"/>
      <c r="N53" s="81"/>
      <c r="O53" s="81"/>
      <c r="P53" s="81"/>
      <c r="Q53" s="81"/>
      <c r="R53" s="81"/>
      <c r="S53" s="81"/>
      <c r="T53" s="81"/>
      <c r="U53" s="81"/>
      <c r="V53" s="81"/>
      <c r="W53" s="81"/>
      <c r="X53" s="81"/>
      <c r="Y53" s="81"/>
      <c r="Z53" s="81"/>
      <c r="AA53" s="81"/>
      <c r="AB53" s="81"/>
      <c r="AC53" s="81"/>
    </row>
    <row r="54" customFormat="false" ht="12.75" hidden="false" customHeight="false" outlineLevel="0" collapsed="false">
      <c r="A54" s="81"/>
      <c r="B54" s="81"/>
      <c r="C54" s="81"/>
      <c r="D54" s="81"/>
      <c r="E54" s="81"/>
      <c r="F54" s="81"/>
      <c r="G54" s="81"/>
      <c r="H54" s="81"/>
      <c r="I54" s="81"/>
      <c r="J54" s="81"/>
      <c r="K54" s="81"/>
      <c r="L54" s="81"/>
      <c r="M54" s="81"/>
      <c r="N54" s="81"/>
      <c r="O54" s="81"/>
      <c r="P54" s="81"/>
      <c r="Q54" s="81"/>
      <c r="R54" s="81"/>
      <c r="S54" s="81"/>
      <c r="T54" s="81"/>
      <c r="U54" s="81"/>
      <c r="V54" s="81"/>
      <c r="W54" s="81"/>
      <c r="X54" s="81"/>
      <c r="Y54" s="81"/>
      <c r="Z54" s="81"/>
      <c r="AA54" s="81"/>
      <c r="AB54" s="81"/>
      <c r="AC54" s="81"/>
    </row>
    <row r="55" customFormat="false" ht="12.75" hidden="false" customHeight="false" outlineLevel="0" collapsed="false">
      <c r="A55" s="81"/>
      <c r="B55" s="81"/>
      <c r="C55" s="81"/>
      <c r="D55" s="81"/>
      <c r="E55" s="81"/>
      <c r="F55" s="81"/>
      <c r="G55" s="81"/>
      <c r="H55" s="81"/>
      <c r="I55" s="81"/>
      <c r="J55" s="81"/>
      <c r="K55" s="81"/>
      <c r="L55" s="81"/>
      <c r="M55" s="81"/>
      <c r="N55" s="81"/>
      <c r="O55" s="81"/>
      <c r="P55" s="81"/>
      <c r="Q55" s="81"/>
      <c r="R55" s="81"/>
      <c r="S55" s="81"/>
      <c r="T55" s="81"/>
      <c r="U55" s="81"/>
      <c r="V55" s="81"/>
      <c r="W55" s="81"/>
      <c r="X55" s="81"/>
      <c r="Y55" s="81"/>
      <c r="Z55" s="81"/>
      <c r="AA55" s="81"/>
      <c r="AB55" s="81"/>
      <c r="AC55" s="81"/>
    </row>
    <row r="56" customFormat="false" ht="12.75" hidden="false" customHeight="false" outlineLevel="0" collapsed="false">
      <c r="A56" s="81"/>
      <c r="B56" s="81"/>
      <c r="C56" s="81"/>
      <c r="D56" s="81"/>
      <c r="E56" s="81"/>
      <c r="F56" s="81"/>
      <c r="G56" s="81"/>
      <c r="H56" s="81"/>
      <c r="I56" s="81"/>
      <c r="J56" s="81"/>
      <c r="K56" s="81"/>
      <c r="L56" s="81"/>
      <c r="M56" s="81"/>
      <c r="N56" s="81"/>
      <c r="O56" s="81"/>
      <c r="P56" s="81"/>
      <c r="Q56" s="81"/>
      <c r="R56" s="81"/>
      <c r="S56" s="81"/>
      <c r="T56" s="81"/>
      <c r="U56" s="81"/>
      <c r="V56" s="81"/>
      <c r="W56" s="81"/>
      <c r="X56" s="81"/>
      <c r="Y56" s="81"/>
      <c r="Z56" s="81"/>
      <c r="AA56" s="81"/>
      <c r="AB56" s="81"/>
      <c r="AC56" s="81"/>
    </row>
    <row r="57" customFormat="false" ht="12.75" hidden="false" customHeight="false" outlineLevel="0" collapsed="false">
      <c r="A57" s="81"/>
      <c r="B57" s="81"/>
      <c r="C57" s="81"/>
      <c r="D57" s="81"/>
      <c r="E57" s="81"/>
      <c r="F57" s="81"/>
      <c r="G57" s="81"/>
      <c r="H57" s="81"/>
      <c r="I57" s="81"/>
      <c r="J57" s="81"/>
      <c r="K57" s="81"/>
      <c r="L57" s="81"/>
      <c r="M57" s="81"/>
      <c r="N57" s="81"/>
      <c r="O57" s="81"/>
      <c r="P57" s="81"/>
      <c r="Q57" s="81"/>
      <c r="R57" s="81"/>
      <c r="S57" s="81"/>
      <c r="T57" s="81"/>
      <c r="U57" s="81"/>
      <c r="V57" s="81"/>
      <c r="W57" s="81"/>
      <c r="X57" s="81"/>
      <c r="Y57" s="81"/>
      <c r="Z57" s="81"/>
      <c r="AA57" s="81"/>
      <c r="AB57" s="81"/>
      <c r="AC57" s="81"/>
    </row>
    <row r="58" customFormat="false" ht="12.75" hidden="false" customHeight="false" outlineLevel="0" collapsed="false">
      <c r="A58" s="81"/>
      <c r="B58" s="81"/>
      <c r="C58" s="81"/>
      <c r="D58" s="81"/>
      <c r="E58" s="81"/>
      <c r="F58" s="81"/>
      <c r="G58" s="81"/>
      <c r="H58" s="81"/>
      <c r="I58" s="81"/>
      <c r="J58" s="81"/>
      <c r="K58" s="81"/>
      <c r="L58" s="81"/>
      <c r="M58" s="81"/>
      <c r="N58" s="81"/>
      <c r="O58" s="81"/>
      <c r="P58" s="81"/>
      <c r="Q58" s="81"/>
      <c r="R58" s="81"/>
      <c r="S58" s="81"/>
      <c r="T58" s="81"/>
      <c r="U58" s="81"/>
      <c r="V58" s="81"/>
      <c r="W58" s="81"/>
      <c r="X58" s="81"/>
      <c r="Y58" s="81"/>
      <c r="Z58" s="81"/>
      <c r="AA58" s="81"/>
      <c r="AB58" s="81"/>
      <c r="AC58" s="81"/>
    </row>
    <row r="59" customFormat="false" ht="12.75" hidden="false" customHeight="false" outlineLevel="0" collapsed="false">
      <c r="A59" s="81"/>
      <c r="B59" s="81"/>
      <c r="C59" s="81"/>
      <c r="D59" s="81"/>
      <c r="E59" s="81"/>
      <c r="F59" s="81"/>
      <c r="G59" s="81"/>
      <c r="H59" s="81"/>
      <c r="I59" s="81"/>
      <c r="J59" s="81"/>
      <c r="K59" s="81"/>
      <c r="L59" s="81"/>
      <c r="M59" s="81"/>
      <c r="N59" s="81"/>
      <c r="O59" s="81"/>
      <c r="P59" s="81"/>
      <c r="Q59" s="81"/>
      <c r="R59" s="81"/>
      <c r="S59" s="81"/>
      <c r="T59" s="81"/>
      <c r="U59" s="81"/>
      <c r="V59" s="81"/>
      <c r="W59" s="81"/>
      <c r="X59" s="81"/>
      <c r="Y59" s="81"/>
      <c r="Z59" s="81"/>
      <c r="AA59" s="81"/>
      <c r="AB59" s="81"/>
      <c r="AC59" s="81"/>
    </row>
    <row r="60" customFormat="false" ht="12.75" hidden="false" customHeight="false" outlineLevel="0" collapsed="false">
      <c r="A60" s="81"/>
      <c r="B60" s="81"/>
      <c r="C60" s="81"/>
      <c r="D60" s="81"/>
      <c r="E60" s="81"/>
      <c r="F60" s="81"/>
      <c r="G60" s="81"/>
      <c r="H60" s="81"/>
      <c r="I60" s="81"/>
      <c r="J60" s="81"/>
      <c r="K60" s="81"/>
      <c r="L60" s="81"/>
      <c r="M60" s="81"/>
      <c r="N60" s="81"/>
      <c r="O60" s="81"/>
      <c r="P60" s="81"/>
      <c r="Q60" s="81"/>
      <c r="R60" s="81"/>
      <c r="S60" s="81"/>
      <c r="T60" s="81"/>
      <c r="U60" s="81"/>
      <c r="V60" s="81"/>
      <c r="W60" s="81"/>
      <c r="X60" s="81"/>
      <c r="Y60" s="81"/>
      <c r="Z60" s="81"/>
      <c r="AA60" s="81"/>
      <c r="AB60" s="81"/>
      <c r="AC60" s="81"/>
    </row>
    <row r="61" customFormat="false" ht="12.75" hidden="false" customHeight="false" outlineLevel="0" collapsed="false">
      <c r="A61" s="81"/>
      <c r="B61" s="81"/>
      <c r="C61" s="81"/>
      <c r="D61" s="81"/>
      <c r="E61" s="81"/>
      <c r="F61" s="81"/>
      <c r="G61" s="81"/>
      <c r="H61" s="81"/>
      <c r="I61" s="81"/>
      <c r="J61" s="81"/>
      <c r="K61" s="81"/>
      <c r="L61" s="81"/>
      <c r="M61" s="81"/>
      <c r="N61" s="81"/>
      <c r="O61" s="81"/>
      <c r="P61" s="81"/>
      <c r="Q61" s="81"/>
      <c r="R61" s="81"/>
      <c r="S61" s="81"/>
      <c r="T61" s="81"/>
      <c r="U61" s="81"/>
      <c r="V61" s="81"/>
      <c r="W61" s="81"/>
      <c r="X61" s="81"/>
      <c r="Y61" s="81"/>
      <c r="Z61" s="81"/>
      <c r="AA61" s="81"/>
      <c r="AB61" s="81"/>
      <c r="AC61" s="81"/>
    </row>
    <row r="62" customFormat="false" ht="12.75" hidden="false" customHeight="false" outlineLevel="0" collapsed="false">
      <c r="A62" s="81"/>
      <c r="B62" s="81"/>
      <c r="C62" s="81"/>
      <c r="D62" s="81"/>
      <c r="E62" s="81"/>
      <c r="F62" s="81"/>
      <c r="G62" s="81"/>
      <c r="H62" s="81"/>
      <c r="I62" s="81"/>
      <c r="J62" s="81"/>
      <c r="K62" s="81"/>
      <c r="L62" s="81"/>
      <c r="M62" s="81"/>
      <c r="N62" s="81"/>
      <c r="O62" s="81"/>
      <c r="P62" s="81"/>
      <c r="Q62" s="81"/>
      <c r="R62" s="81"/>
      <c r="S62" s="81"/>
      <c r="T62" s="81"/>
      <c r="U62" s="81"/>
      <c r="V62" s="81"/>
      <c r="W62" s="81"/>
      <c r="X62" s="81"/>
      <c r="Y62" s="81"/>
      <c r="Z62" s="81"/>
      <c r="AA62" s="81"/>
      <c r="AB62" s="81"/>
      <c r="AC62" s="81"/>
    </row>
    <row r="63" customFormat="false" ht="12.75" hidden="false" customHeight="false" outlineLevel="0" collapsed="false">
      <c r="A63" s="81"/>
      <c r="B63" s="81"/>
      <c r="C63" s="81"/>
      <c r="D63" s="81"/>
      <c r="E63" s="81"/>
      <c r="F63" s="81"/>
      <c r="G63" s="81"/>
      <c r="H63" s="81"/>
      <c r="I63" s="81"/>
      <c r="J63" s="81"/>
      <c r="K63" s="81"/>
      <c r="L63" s="81"/>
      <c r="M63" s="81"/>
      <c r="N63" s="81"/>
      <c r="O63" s="81"/>
      <c r="P63" s="81"/>
      <c r="Q63" s="81"/>
      <c r="R63" s="81"/>
      <c r="S63" s="81"/>
      <c r="T63" s="81"/>
      <c r="U63" s="81"/>
      <c r="V63" s="81"/>
      <c r="W63" s="81"/>
      <c r="X63" s="81"/>
      <c r="Y63" s="81"/>
      <c r="Z63" s="81"/>
      <c r="AA63" s="81"/>
      <c r="AB63" s="81"/>
      <c r="AC63" s="81"/>
    </row>
    <row r="64" customFormat="false" ht="12.75" hidden="false" customHeight="false" outlineLevel="0" collapsed="false">
      <c r="A64" s="81"/>
      <c r="B64" s="81"/>
      <c r="C64" s="81"/>
      <c r="D64" s="81"/>
      <c r="E64" s="81"/>
      <c r="F64" s="81"/>
      <c r="G64" s="81"/>
      <c r="H64" s="81"/>
      <c r="I64" s="81"/>
      <c r="J64" s="81"/>
      <c r="K64" s="81"/>
      <c r="L64" s="81"/>
      <c r="M64" s="81"/>
      <c r="N64" s="81"/>
      <c r="O64" s="81"/>
      <c r="P64" s="81"/>
      <c r="Q64" s="81"/>
      <c r="R64" s="81"/>
      <c r="S64" s="81"/>
      <c r="T64" s="81"/>
      <c r="U64" s="81"/>
      <c r="V64" s="81"/>
      <c r="W64" s="81"/>
      <c r="X64" s="81"/>
      <c r="Y64" s="81"/>
      <c r="Z64" s="81"/>
      <c r="AA64" s="81"/>
      <c r="AB64" s="81"/>
      <c r="AC64" s="81"/>
    </row>
    <row r="65" customFormat="false" ht="12.75" hidden="false" customHeight="false" outlineLevel="0" collapsed="false">
      <c r="A65" s="81"/>
      <c r="B65" s="81"/>
      <c r="C65" s="81"/>
      <c r="D65" s="81"/>
      <c r="E65" s="81"/>
      <c r="F65" s="81"/>
      <c r="G65" s="81"/>
      <c r="H65" s="81"/>
      <c r="I65" s="81"/>
      <c r="J65" s="81"/>
      <c r="K65" s="81"/>
      <c r="L65" s="81"/>
      <c r="M65" s="81"/>
      <c r="N65" s="81"/>
      <c r="O65" s="81"/>
      <c r="P65" s="81"/>
      <c r="Q65" s="81"/>
      <c r="R65" s="81"/>
      <c r="S65" s="81"/>
      <c r="T65" s="81"/>
      <c r="U65" s="81"/>
      <c r="V65" s="81"/>
      <c r="W65" s="81"/>
      <c r="X65" s="81"/>
      <c r="Y65" s="81"/>
      <c r="Z65" s="81"/>
      <c r="AA65" s="81"/>
      <c r="AB65" s="81"/>
      <c r="AC65" s="81"/>
    </row>
    <row r="66" customFormat="false" ht="12.75" hidden="false" customHeight="false" outlineLevel="0" collapsed="false">
      <c r="A66" s="81"/>
      <c r="B66" s="81"/>
      <c r="C66" s="81"/>
      <c r="D66" s="81"/>
      <c r="E66" s="81"/>
      <c r="F66" s="81"/>
      <c r="G66" s="81"/>
      <c r="H66" s="81"/>
      <c r="I66" s="81"/>
      <c r="J66" s="81"/>
      <c r="K66" s="81"/>
      <c r="L66" s="81"/>
      <c r="M66" s="81"/>
      <c r="N66" s="81"/>
      <c r="O66" s="81"/>
      <c r="P66" s="81"/>
      <c r="Q66" s="81"/>
      <c r="R66" s="81"/>
      <c r="S66" s="81"/>
      <c r="T66" s="81"/>
      <c r="U66" s="81"/>
      <c r="V66" s="81"/>
      <c r="W66" s="81"/>
      <c r="X66" s="81"/>
      <c r="Y66" s="81"/>
      <c r="Z66" s="81"/>
      <c r="AA66" s="81"/>
      <c r="AB66" s="81"/>
      <c r="AC66" s="81"/>
    </row>
    <row r="67" customFormat="false" ht="12.75" hidden="false" customHeight="false" outlineLevel="0" collapsed="false">
      <c r="A67" s="81"/>
      <c r="B67" s="81"/>
      <c r="C67" s="81"/>
      <c r="D67" s="81"/>
      <c r="E67" s="81"/>
      <c r="F67" s="81"/>
      <c r="G67" s="81"/>
      <c r="H67" s="81"/>
      <c r="I67" s="81"/>
      <c r="J67" s="81"/>
      <c r="K67" s="81"/>
      <c r="L67" s="81"/>
      <c r="M67" s="81"/>
      <c r="N67" s="81"/>
      <c r="O67" s="81"/>
      <c r="P67" s="81"/>
      <c r="Q67" s="81"/>
      <c r="R67" s="81"/>
      <c r="S67" s="81"/>
      <c r="T67" s="81"/>
      <c r="U67" s="81"/>
      <c r="V67" s="81"/>
      <c r="W67" s="81"/>
      <c r="X67" s="81"/>
      <c r="Y67" s="81"/>
      <c r="Z67" s="81"/>
      <c r="AA67" s="81"/>
      <c r="AB67" s="81"/>
      <c r="AC67" s="81"/>
    </row>
    <row r="68" customFormat="false" ht="12.75" hidden="false" customHeight="false" outlineLevel="0" collapsed="false">
      <c r="A68" s="81"/>
      <c r="B68" s="81"/>
      <c r="C68" s="81"/>
      <c r="D68" s="81"/>
      <c r="E68" s="81"/>
      <c r="F68" s="81"/>
      <c r="G68" s="81"/>
      <c r="H68" s="81"/>
      <c r="I68" s="81"/>
      <c r="J68" s="81"/>
      <c r="K68" s="81"/>
      <c r="L68" s="81"/>
      <c r="M68" s="81"/>
      <c r="N68" s="81"/>
      <c r="O68" s="81"/>
      <c r="P68" s="81"/>
      <c r="Q68" s="81"/>
      <c r="R68" s="81"/>
      <c r="S68" s="81"/>
      <c r="T68" s="81"/>
      <c r="U68" s="81"/>
      <c r="V68" s="81"/>
      <c r="W68" s="81"/>
      <c r="X68" s="81"/>
      <c r="Y68" s="81"/>
      <c r="Z68" s="81"/>
      <c r="AA68" s="81"/>
      <c r="AB68" s="81"/>
      <c r="AC68" s="81"/>
    </row>
    <row r="69" customFormat="false" ht="12.75" hidden="false" customHeight="false" outlineLevel="0" collapsed="false">
      <c r="A69" s="81"/>
      <c r="B69" s="81"/>
      <c r="C69" s="81"/>
      <c r="D69" s="81"/>
      <c r="E69" s="81"/>
      <c r="F69" s="81"/>
      <c r="G69" s="81"/>
      <c r="H69" s="81"/>
      <c r="I69" s="81"/>
      <c r="J69" s="81"/>
      <c r="K69" s="81"/>
      <c r="L69" s="81"/>
      <c r="M69" s="81"/>
      <c r="N69" s="81"/>
      <c r="O69" s="81"/>
      <c r="P69" s="81"/>
      <c r="Q69" s="81"/>
      <c r="R69" s="81"/>
      <c r="S69" s="81"/>
      <c r="T69" s="81"/>
      <c r="U69" s="81"/>
      <c r="V69" s="81"/>
      <c r="W69" s="81"/>
      <c r="X69" s="81"/>
      <c r="Y69" s="81"/>
      <c r="Z69" s="81"/>
      <c r="AA69" s="81"/>
      <c r="AB69" s="81"/>
      <c r="AC69" s="81"/>
    </row>
    <row r="70" customFormat="false" ht="12.75" hidden="false" customHeight="false" outlineLevel="0" collapsed="false">
      <c r="A70" s="81"/>
      <c r="B70" s="81"/>
      <c r="C70" s="81"/>
      <c r="D70" s="81"/>
      <c r="E70" s="81"/>
      <c r="F70" s="81"/>
      <c r="G70" s="81"/>
      <c r="H70" s="81"/>
      <c r="I70" s="81"/>
      <c r="J70" s="81"/>
      <c r="K70" s="81"/>
      <c r="L70" s="81"/>
      <c r="M70" s="81"/>
      <c r="N70" s="81"/>
      <c r="O70" s="81"/>
      <c r="P70" s="81"/>
      <c r="Q70" s="81"/>
      <c r="R70" s="81"/>
      <c r="S70" s="81"/>
      <c r="T70" s="81"/>
      <c r="U70" s="81"/>
      <c r="V70" s="81"/>
      <c r="W70" s="81"/>
      <c r="X70" s="81"/>
      <c r="Y70" s="81"/>
      <c r="Z70" s="81"/>
      <c r="AA70" s="81"/>
      <c r="AB70" s="81"/>
      <c r="AC70" s="81"/>
    </row>
    <row r="71" customFormat="false" ht="12.75" hidden="false" customHeight="false" outlineLevel="0" collapsed="false">
      <c r="A71" s="81"/>
      <c r="B71" s="81"/>
      <c r="C71" s="81"/>
      <c r="D71" s="81"/>
      <c r="E71" s="81"/>
      <c r="F71" s="81"/>
      <c r="G71" s="81"/>
      <c r="H71" s="81"/>
      <c r="I71" s="81"/>
      <c r="J71" s="81"/>
      <c r="K71" s="81"/>
      <c r="L71" s="81"/>
      <c r="M71" s="81"/>
      <c r="N71" s="81"/>
      <c r="O71" s="81"/>
      <c r="P71" s="81"/>
      <c r="Q71" s="81"/>
      <c r="R71" s="81"/>
      <c r="S71" s="81"/>
      <c r="T71" s="81"/>
      <c r="U71" s="81"/>
      <c r="V71" s="81"/>
      <c r="W71" s="81"/>
      <c r="X71" s="81"/>
      <c r="Y71" s="81"/>
      <c r="Z71" s="81"/>
      <c r="AA71" s="81"/>
      <c r="AB71" s="81"/>
      <c r="AC71" s="81"/>
    </row>
    <row r="72" customFormat="false" ht="12.75" hidden="false" customHeight="false" outlineLevel="0" collapsed="false">
      <c r="A72" s="81"/>
      <c r="B72" s="81"/>
      <c r="C72" s="81"/>
      <c r="D72" s="81"/>
      <c r="E72" s="81"/>
      <c r="F72" s="81"/>
      <c r="G72" s="81"/>
      <c r="H72" s="81"/>
      <c r="I72" s="81"/>
      <c r="J72" s="81"/>
      <c r="K72" s="81"/>
      <c r="L72" s="81"/>
      <c r="M72" s="81"/>
      <c r="N72" s="81"/>
      <c r="O72" s="81"/>
      <c r="P72" s="81"/>
      <c r="Q72" s="81"/>
      <c r="R72" s="81"/>
      <c r="S72" s="81"/>
      <c r="T72" s="81"/>
      <c r="U72" s="81"/>
      <c r="V72" s="81"/>
      <c r="W72" s="81"/>
      <c r="X72" s="81"/>
      <c r="Y72" s="81"/>
      <c r="Z72" s="81"/>
      <c r="AA72" s="81"/>
      <c r="AB72" s="81"/>
      <c r="AC72" s="81"/>
    </row>
    <row r="73" customFormat="false" ht="12.75" hidden="false" customHeight="false" outlineLevel="0" collapsed="false">
      <c r="A73" s="81"/>
      <c r="B73" s="81"/>
      <c r="C73" s="81"/>
      <c r="D73" s="81"/>
      <c r="E73" s="81"/>
      <c r="F73" s="81"/>
      <c r="G73" s="81"/>
      <c r="H73" s="81"/>
      <c r="I73" s="81"/>
      <c r="J73" s="81"/>
      <c r="K73" s="81"/>
      <c r="L73" s="81"/>
      <c r="M73" s="81"/>
      <c r="N73" s="81"/>
      <c r="O73" s="81"/>
      <c r="P73" s="81"/>
      <c r="Q73" s="81"/>
      <c r="R73" s="81"/>
      <c r="S73" s="81"/>
      <c r="T73" s="81"/>
      <c r="U73" s="81"/>
      <c r="V73" s="81"/>
      <c r="W73" s="81"/>
      <c r="X73" s="81"/>
      <c r="Y73" s="81"/>
      <c r="Z73" s="81"/>
      <c r="AA73" s="81"/>
      <c r="AB73" s="81"/>
      <c r="AC73" s="81"/>
    </row>
    <row r="74" customFormat="false" ht="12.75" hidden="false" customHeight="false" outlineLevel="0" collapsed="false">
      <c r="A74" s="81"/>
      <c r="B74" s="81"/>
      <c r="C74" s="81"/>
      <c r="D74" s="81"/>
      <c r="E74" s="81"/>
      <c r="F74" s="81"/>
      <c r="G74" s="81"/>
      <c r="H74" s="81"/>
      <c r="I74" s="81"/>
      <c r="J74" s="81"/>
      <c r="K74" s="81"/>
      <c r="L74" s="81"/>
      <c r="M74" s="81"/>
      <c r="N74" s="81"/>
      <c r="O74" s="81"/>
      <c r="P74" s="81"/>
      <c r="Q74" s="81"/>
      <c r="R74" s="81"/>
      <c r="S74" s="81"/>
      <c r="T74" s="81"/>
      <c r="U74" s="81"/>
      <c r="V74" s="81"/>
      <c r="W74" s="81"/>
      <c r="X74" s="81"/>
      <c r="Y74" s="81"/>
      <c r="Z74" s="81"/>
      <c r="AA74" s="81"/>
      <c r="AB74" s="81"/>
      <c r="AC74" s="81"/>
    </row>
    <row r="75" customFormat="false" ht="12.75" hidden="false" customHeight="false" outlineLevel="0" collapsed="false">
      <c r="A75" s="81"/>
      <c r="B75" s="81"/>
      <c r="C75" s="81"/>
      <c r="D75" s="81"/>
      <c r="E75" s="81"/>
      <c r="F75" s="81"/>
      <c r="G75" s="81"/>
      <c r="H75" s="81"/>
      <c r="I75" s="81"/>
      <c r="J75" s="81"/>
      <c r="K75" s="81"/>
      <c r="L75" s="81"/>
      <c r="M75" s="81"/>
      <c r="N75" s="81"/>
      <c r="O75" s="81"/>
      <c r="P75" s="81"/>
      <c r="Q75" s="81"/>
      <c r="R75" s="81"/>
      <c r="S75" s="81"/>
      <c r="T75" s="81"/>
      <c r="U75" s="81"/>
      <c r="V75" s="81"/>
      <c r="W75" s="81"/>
      <c r="X75" s="81"/>
      <c r="Y75" s="81"/>
      <c r="Z75" s="81"/>
      <c r="AA75" s="81"/>
      <c r="AB75" s="81"/>
      <c r="AC75" s="81"/>
    </row>
    <row r="76" customFormat="false" ht="12.75" hidden="false" customHeight="false" outlineLevel="0" collapsed="false">
      <c r="A76" s="81"/>
      <c r="B76" s="81"/>
      <c r="C76" s="81"/>
      <c r="D76" s="81"/>
      <c r="E76" s="81"/>
      <c r="F76" s="81"/>
      <c r="G76" s="81"/>
      <c r="H76" s="81"/>
      <c r="I76" s="81"/>
      <c r="J76" s="81"/>
      <c r="K76" s="81"/>
      <c r="L76" s="81"/>
      <c r="M76" s="81"/>
      <c r="N76" s="81"/>
      <c r="O76" s="81"/>
      <c r="P76" s="81"/>
      <c r="Q76" s="81"/>
      <c r="R76" s="81"/>
      <c r="S76" s="81"/>
      <c r="T76" s="81"/>
      <c r="U76" s="81"/>
      <c r="V76" s="81"/>
      <c r="W76" s="81"/>
      <c r="X76" s="81"/>
      <c r="Y76" s="81"/>
      <c r="Z76" s="81"/>
      <c r="AA76" s="81"/>
      <c r="AB76" s="81"/>
      <c r="AC76" s="81"/>
    </row>
    <row r="77" customFormat="false" ht="12.75" hidden="false" customHeight="false" outlineLevel="0" collapsed="false">
      <c r="A77" s="81"/>
      <c r="B77" s="81"/>
      <c r="C77" s="81"/>
      <c r="D77" s="81"/>
      <c r="E77" s="81"/>
      <c r="F77" s="81"/>
      <c r="G77" s="81"/>
      <c r="H77" s="81"/>
      <c r="I77" s="81"/>
      <c r="J77" s="81"/>
      <c r="K77" s="81"/>
      <c r="L77" s="81"/>
      <c r="M77" s="81"/>
      <c r="N77" s="81"/>
      <c r="O77" s="81"/>
      <c r="P77" s="81"/>
      <c r="Q77" s="81"/>
      <c r="R77" s="81"/>
      <c r="S77" s="81"/>
      <c r="T77" s="81"/>
      <c r="U77" s="81"/>
      <c r="V77" s="81"/>
      <c r="W77" s="81"/>
      <c r="X77" s="81"/>
      <c r="Y77" s="81"/>
      <c r="Z77" s="81"/>
      <c r="AA77" s="81"/>
      <c r="AB77" s="81"/>
      <c r="AC77" s="81"/>
    </row>
    <row r="78" customFormat="false" ht="12.75" hidden="false" customHeight="false" outlineLevel="0" collapsed="false">
      <c r="A78" s="81"/>
      <c r="B78" s="81"/>
      <c r="C78" s="81"/>
      <c r="D78" s="81"/>
      <c r="E78" s="81"/>
      <c r="F78" s="81"/>
      <c r="G78" s="81"/>
      <c r="H78" s="81"/>
      <c r="I78" s="81"/>
      <c r="J78" s="81"/>
      <c r="K78" s="81"/>
      <c r="L78" s="81"/>
      <c r="M78" s="81"/>
      <c r="N78" s="81"/>
      <c r="O78" s="81"/>
      <c r="P78" s="81"/>
      <c r="Q78" s="81"/>
      <c r="R78" s="81"/>
      <c r="S78" s="81"/>
      <c r="T78" s="81"/>
      <c r="U78" s="81"/>
      <c r="V78" s="81"/>
      <c r="W78" s="81"/>
      <c r="X78" s="81"/>
      <c r="Y78" s="81"/>
      <c r="Z78" s="81"/>
      <c r="AA78" s="81"/>
      <c r="AB78" s="81"/>
      <c r="AC78" s="81"/>
    </row>
    <row r="79" customFormat="false" ht="12.75" hidden="false" customHeight="false" outlineLevel="0" collapsed="false">
      <c r="A79" s="81"/>
      <c r="B79" s="81"/>
      <c r="C79" s="81"/>
      <c r="D79" s="81"/>
      <c r="E79" s="81"/>
      <c r="F79" s="81"/>
      <c r="G79" s="81"/>
      <c r="H79" s="81"/>
      <c r="I79" s="81"/>
      <c r="J79" s="81"/>
      <c r="K79" s="81"/>
      <c r="L79" s="81"/>
      <c r="M79" s="81"/>
      <c r="N79" s="81"/>
      <c r="O79" s="81"/>
      <c r="P79" s="81"/>
      <c r="Q79" s="81"/>
      <c r="R79" s="81"/>
      <c r="S79" s="81"/>
      <c r="T79" s="81"/>
      <c r="U79" s="81"/>
      <c r="V79" s="81"/>
      <c r="W79" s="81"/>
      <c r="X79" s="81"/>
      <c r="Y79" s="81"/>
      <c r="Z79" s="81"/>
      <c r="AA79" s="81"/>
      <c r="AB79" s="81"/>
      <c r="AC79" s="81"/>
    </row>
    <row r="80" customFormat="false" ht="12.75" hidden="false" customHeight="false" outlineLevel="0" collapsed="false">
      <c r="A80" s="81"/>
      <c r="B80" s="81"/>
      <c r="C80" s="81"/>
      <c r="D80" s="81"/>
      <c r="E80" s="81"/>
      <c r="F80" s="81"/>
      <c r="G80" s="81"/>
      <c r="H80" s="81"/>
      <c r="I80" s="81"/>
      <c r="J80" s="81"/>
      <c r="K80" s="81"/>
      <c r="L80" s="81"/>
      <c r="M80" s="81"/>
      <c r="N80" s="81"/>
      <c r="O80" s="81"/>
      <c r="P80" s="81"/>
      <c r="Q80" s="81"/>
      <c r="R80" s="81"/>
      <c r="S80" s="81"/>
      <c r="T80" s="81"/>
      <c r="U80" s="81"/>
      <c r="V80" s="81"/>
      <c r="W80" s="81"/>
      <c r="X80" s="81"/>
      <c r="Y80" s="81"/>
      <c r="Z80" s="81"/>
      <c r="AA80" s="81"/>
      <c r="AB80" s="81"/>
      <c r="AC80" s="81"/>
    </row>
    <row r="81" customFormat="false" ht="12.75" hidden="false" customHeight="false" outlineLevel="0" collapsed="false">
      <c r="A81" s="81"/>
      <c r="B81" s="81"/>
      <c r="C81" s="81"/>
      <c r="D81" s="81"/>
      <c r="E81" s="81"/>
      <c r="F81" s="81"/>
      <c r="G81" s="81"/>
      <c r="H81" s="81"/>
      <c r="I81" s="81"/>
      <c r="J81" s="81"/>
      <c r="K81" s="81"/>
      <c r="L81" s="81"/>
      <c r="M81" s="81"/>
      <c r="N81" s="81"/>
      <c r="O81" s="81"/>
      <c r="P81" s="81"/>
      <c r="Q81" s="81"/>
      <c r="R81" s="81"/>
      <c r="S81" s="81"/>
      <c r="T81" s="81"/>
      <c r="U81" s="81"/>
      <c r="V81" s="81"/>
      <c r="W81" s="81"/>
      <c r="X81" s="81"/>
      <c r="Y81" s="81"/>
      <c r="Z81" s="81"/>
      <c r="AA81" s="81"/>
      <c r="AB81" s="81"/>
      <c r="AC81" s="81"/>
    </row>
    <row r="82" customFormat="false" ht="12.75" hidden="false" customHeight="false" outlineLevel="0" collapsed="false">
      <c r="A82" s="81"/>
      <c r="B82" s="81"/>
      <c r="C82" s="81"/>
      <c r="D82" s="81"/>
      <c r="E82" s="81"/>
      <c r="F82" s="81"/>
      <c r="G82" s="81"/>
      <c r="H82" s="81"/>
      <c r="I82" s="81"/>
      <c r="J82" s="81"/>
      <c r="K82" s="81"/>
      <c r="L82" s="81"/>
      <c r="M82" s="81"/>
      <c r="N82" s="81"/>
      <c r="O82" s="81"/>
      <c r="P82" s="81"/>
      <c r="Q82" s="81"/>
      <c r="R82" s="81"/>
      <c r="S82" s="81"/>
      <c r="T82" s="81"/>
      <c r="U82" s="81"/>
      <c r="V82" s="81"/>
      <c r="W82" s="81"/>
      <c r="X82" s="81"/>
      <c r="Y82" s="81"/>
      <c r="Z82" s="81"/>
      <c r="AA82" s="81"/>
      <c r="AB82" s="81"/>
      <c r="AC82" s="81"/>
    </row>
    <row r="83" customFormat="false" ht="12.75" hidden="false" customHeight="false" outlineLevel="0" collapsed="false">
      <c r="A83" s="81"/>
      <c r="B83" s="81"/>
      <c r="C83" s="81"/>
      <c r="D83" s="81"/>
      <c r="E83" s="81"/>
      <c r="F83" s="81"/>
      <c r="G83" s="81"/>
      <c r="H83" s="81"/>
      <c r="I83" s="81"/>
      <c r="J83" s="81"/>
      <c r="K83" s="81"/>
      <c r="L83" s="81"/>
      <c r="M83" s="81"/>
      <c r="N83" s="81"/>
      <c r="O83" s="81"/>
      <c r="P83" s="81"/>
      <c r="Q83" s="81"/>
      <c r="R83" s="81"/>
      <c r="S83" s="81"/>
      <c r="T83" s="81"/>
      <c r="U83" s="81"/>
      <c r="V83" s="81"/>
      <c r="W83" s="81"/>
      <c r="X83" s="81"/>
      <c r="Y83" s="81"/>
      <c r="Z83" s="81"/>
      <c r="AA83" s="81"/>
      <c r="AB83" s="81"/>
      <c r="AC83" s="81"/>
    </row>
    <row r="84" customFormat="false" ht="12.75" hidden="false" customHeight="false" outlineLevel="0" collapsed="false">
      <c r="A84" s="81"/>
      <c r="B84" s="81"/>
      <c r="C84" s="81"/>
      <c r="D84" s="81"/>
      <c r="E84" s="81"/>
      <c r="F84" s="81"/>
      <c r="G84" s="81"/>
      <c r="H84" s="81"/>
      <c r="I84" s="81"/>
      <c r="J84" s="81"/>
      <c r="K84" s="81"/>
      <c r="L84" s="81"/>
      <c r="M84" s="81"/>
      <c r="N84" s="81"/>
      <c r="O84" s="81"/>
      <c r="P84" s="81"/>
      <c r="Q84" s="81"/>
      <c r="R84" s="81"/>
      <c r="S84" s="81"/>
      <c r="T84" s="81"/>
      <c r="U84" s="81"/>
      <c r="V84" s="81"/>
      <c r="W84" s="81"/>
      <c r="X84" s="81"/>
      <c r="Y84" s="81"/>
      <c r="Z84" s="81"/>
      <c r="AA84" s="81"/>
      <c r="AB84" s="81"/>
      <c r="AC84" s="81"/>
    </row>
    <row r="85" customFormat="false" ht="12.75" hidden="false" customHeight="false" outlineLevel="0" collapsed="false">
      <c r="A85" s="81"/>
      <c r="B85" s="81"/>
      <c r="C85" s="81"/>
      <c r="D85" s="81"/>
      <c r="E85" s="81"/>
      <c r="F85" s="81"/>
      <c r="G85" s="81"/>
      <c r="H85" s="81"/>
      <c r="I85" s="81"/>
      <c r="J85" s="81"/>
      <c r="K85" s="81"/>
      <c r="L85" s="81"/>
      <c r="M85" s="81"/>
      <c r="N85" s="81"/>
      <c r="O85" s="81"/>
      <c r="P85" s="81"/>
      <c r="Q85" s="81"/>
      <c r="R85" s="81"/>
      <c r="S85" s="81"/>
      <c r="T85" s="81"/>
      <c r="U85" s="81"/>
      <c r="V85" s="81"/>
      <c r="W85" s="81"/>
      <c r="X85" s="81"/>
      <c r="Y85" s="81"/>
      <c r="Z85" s="81"/>
      <c r="AA85" s="81"/>
      <c r="AB85" s="81"/>
      <c r="AC85" s="81"/>
    </row>
    <row r="86" customFormat="false" ht="12.75" hidden="false" customHeight="false" outlineLevel="0" collapsed="false">
      <c r="A86" s="81"/>
      <c r="B86" s="81"/>
      <c r="C86" s="81"/>
      <c r="D86" s="81"/>
      <c r="E86" s="81"/>
      <c r="F86" s="81"/>
      <c r="G86" s="81"/>
      <c r="H86" s="81"/>
      <c r="I86" s="81"/>
      <c r="J86" s="81"/>
      <c r="K86" s="81"/>
      <c r="L86" s="81"/>
      <c r="M86" s="81"/>
      <c r="N86" s="81"/>
      <c r="O86" s="81"/>
      <c r="P86" s="81"/>
      <c r="Q86" s="81"/>
      <c r="R86" s="81"/>
      <c r="S86" s="81"/>
      <c r="T86" s="81"/>
      <c r="U86" s="81"/>
      <c r="V86" s="81"/>
      <c r="W86" s="81"/>
      <c r="X86" s="81"/>
      <c r="Y86" s="81"/>
      <c r="Z86" s="81"/>
      <c r="AA86" s="81"/>
      <c r="AB86" s="81"/>
      <c r="AC86" s="81"/>
    </row>
    <row r="87" customFormat="false" ht="12.75" hidden="false" customHeight="false" outlineLevel="0" collapsed="false">
      <c r="A87" s="81"/>
      <c r="B87" s="81"/>
      <c r="C87" s="81"/>
      <c r="D87" s="81"/>
      <c r="E87" s="81"/>
      <c r="F87" s="81"/>
      <c r="G87" s="81"/>
      <c r="H87" s="81"/>
      <c r="I87" s="81"/>
      <c r="J87" s="81"/>
      <c r="K87" s="81"/>
      <c r="L87" s="81"/>
      <c r="M87" s="81"/>
      <c r="N87" s="81"/>
      <c r="O87" s="81"/>
      <c r="P87" s="81"/>
      <c r="Q87" s="81"/>
      <c r="R87" s="81"/>
      <c r="S87" s="81"/>
      <c r="T87" s="81"/>
      <c r="U87" s="81"/>
      <c r="V87" s="81"/>
      <c r="W87" s="81"/>
      <c r="X87" s="81"/>
      <c r="Y87" s="81"/>
      <c r="Z87" s="81"/>
      <c r="AA87" s="81"/>
      <c r="AB87" s="81"/>
      <c r="AC87" s="81"/>
    </row>
    <row r="88" customFormat="false" ht="12.75" hidden="false" customHeight="false" outlineLevel="0" collapsed="false">
      <c r="A88" s="81"/>
      <c r="B88" s="81"/>
      <c r="C88" s="81"/>
      <c r="D88" s="81"/>
      <c r="E88" s="81"/>
      <c r="F88" s="81"/>
      <c r="G88" s="81"/>
      <c r="H88" s="81"/>
      <c r="I88" s="81"/>
      <c r="J88" s="81"/>
      <c r="K88" s="81"/>
      <c r="L88" s="81"/>
      <c r="M88" s="81"/>
      <c r="N88" s="81"/>
      <c r="O88" s="81"/>
      <c r="P88" s="81"/>
      <c r="Q88" s="81"/>
      <c r="R88" s="81"/>
      <c r="S88" s="81"/>
      <c r="T88" s="81"/>
      <c r="U88" s="81"/>
      <c r="V88" s="81"/>
      <c r="W88" s="81"/>
      <c r="X88" s="81"/>
      <c r="Y88" s="81"/>
      <c r="Z88" s="81"/>
      <c r="AA88" s="81"/>
      <c r="AB88" s="81"/>
      <c r="AC88" s="81"/>
    </row>
    <row r="89" customFormat="false" ht="12.75" hidden="false" customHeight="false" outlineLevel="0" collapsed="false">
      <c r="A89" s="81"/>
      <c r="B89" s="81"/>
      <c r="C89" s="81"/>
      <c r="D89" s="81"/>
      <c r="E89" s="81"/>
      <c r="F89" s="81"/>
      <c r="G89" s="81"/>
      <c r="H89" s="81"/>
      <c r="I89" s="81"/>
      <c r="J89" s="81"/>
      <c r="K89" s="81"/>
      <c r="L89" s="81"/>
      <c r="M89" s="81"/>
      <c r="N89" s="81"/>
      <c r="O89" s="81"/>
      <c r="P89" s="81"/>
      <c r="Q89" s="81"/>
      <c r="R89" s="81"/>
      <c r="S89" s="81"/>
      <c r="T89" s="81"/>
      <c r="U89" s="81"/>
      <c r="V89" s="81"/>
      <c r="W89" s="81"/>
      <c r="X89" s="81"/>
      <c r="Y89" s="81"/>
      <c r="Z89" s="81"/>
      <c r="AA89" s="81"/>
      <c r="AB89" s="81"/>
      <c r="AC89" s="81"/>
    </row>
    <row r="90" customFormat="false" ht="12.75" hidden="false" customHeight="false" outlineLevel="0" collapsed="false">
      <c r="A90" s="81"/>
      <c r="B90" s="81"/>
      <c r="C90" s="81"/>
      <c r="D90" s="81"/>
      <c r="E90" s="81"/>
      <c r="F90" s="81"/>
      <c r="G90" s="81"/>
      <c r="H90" s="81"/>
      <c r="I90" s="81"/>
      <c r="J90" s="81"/>
      <c r="K90" s="81"/>
      <c r="L90" s="81"/>
      <c r="M90" s="81"/>
      <c r="N90" s="81"/>
      <c r="O90" s="81"/>
      <c r="P90" s="81"/>
      <c r="Q90" s="81"/>
      <c r="R90" s="81"/>
      <c r="S90" s="81"/>
      <c r="T90" s="81"/>
      <c r="U90" s="81"/>
      <c r="V90" s="81"/>
      <c r="W90" s="81"/>
      <c r="X90" s="81"/>
      <c r="Y90" s="81"/>
      <c r="Z90" s="81"/>
      <c r="AA90" s="81"/>
      <c r="AB90" s="81"/>
      <c r="AC90" s="81"/>
    </row>
    <row r="91" customFormat="false" ht="12.75" hidden="false" customHeight="false" outlineLevel="0" collapsed="false">
      <c r="A91" s="81"/>
      <c r="B91" s="81"/>
      <c r="C91" s="81"/>
      <c r="D91" s="81"/>
      <c r="E91" s="81"/>
      <c r="F91" s="81"/>
      <c r="G91" s="81"/>
      <c r="H91" s="81"/>
      <c r="I91" s="81"/>
      <c r="J91" s="81"/>
      <c r="K91" s="81"/>
      <c r="L91" s="81"/>
      <c r="M91" s="81"/>
      <c r="N91" s="81"/>
      <c r="O91" s="81"/>
      <c r="P91" s="81"/>
      <c r="Q91" s="81"/>
      <c r="R91" s="81"/>
      <c r="S91" s="81"/>
      <c r="T91" s="81"/>
      <c r="U91" s="81"/>
      <c r="V91" s="81"/>
      <c r="W91" s="81"/>
      <c r="X91" s="81"/>
      <c r="Y91" s="81"/>
      <c r="Z91" s="81"/>
      <c r="AA91" s="81"/>
      <c r="AB91" s="81"/>
      <c r="AC91" s="81"/>
    </row>
    <row r="92" customFormat="false" ht="12.75" hidden="false" customHeight="false" outlineLevel="0" collapsed="false">
      <c r="A92" s="81"/>
      <c r="B92" s="81"/>
      <c r="C92" s="81"/>
      <c r="D92" s="81"/>
      <c r="E92" s="81"/>
      <c r="F92" s="81"/>
      <c r="G92" s="81"/>
      <c r="H92" s="81"/>
      <c r="I92" s="81"/>
      <c r="J92" s="81"/>
      <c r="K92" s="81"/>
      <c r="L92" s="81"/>
      <c r="M92" s="81"/>
      <c r="N92" s="81"/>
      <c r="O92" s="81"/>
      <c r="P92" s="81"/>
      <c r="Q92" s="81"/>
      <c r="R92" s="81"/>
      <c r="S92" s="81"/>
      <c r="T92" s="81"/>
      <c r="U92" s="81"/>
      <c r="V92" s="81"/>
      <c r="W92" s="81"/>
      <c r="X92" s="81"/>
      <c r="Y92" s="81"/>
      <c r="Z92" s="81"/>
      <c r="AA92" s="81"/>
      <c r="AB92" s="81"/>
      <c r="AC92" s="81"/>
    </row>
    <row r="93" customFormat="false" ht="12.75" hidden="false" customHeight="false" outlineLevel="0" collapsed="false">
      <c r="A93" s="81"/>
      <c r="B93" s="81"/>
      <c r="C93" s="81"/>
      <c r="D93" s="81"/>
      <c r="E93" s="81"/>
      <c r="F93" s="81"/>
      <c r="G93" s="81"/>
      <c r="H93" s="81"/>
      <c r="I93" s="81"/>
      <c r="J93" s="81"/>
      <c r="K93" s="81"/>
      <c r="L93" s="81"/>
      <c r="M93" s="81"/>
      <c r="N93" s="81"/>
      <c r="O93" s="81"/>
      <c r="P93" s="81"/>
      <c r="Q93" s="81"/>
      <c r="R93" s="81"/>
      <c r="S93" s="81"/>
      <c r="T93" s="81"/>
      <c r="U93" s="81"/>
      <c r="V93" s="81"/>
      <c r="W93" s="81"/>
      <c r="X93" s="81"/>
      <c r="Y93" s="81"/>
      <c r="Z93" s="81"/>
      <c r="AA93" s="81"/>
      <c r="AB93" s="81"/>
      <c r="AC93" s="81"/>
    </row>
    <row r="94" customFormat="false" ht="12.75" hidden="false" customHeight="false" outlineLevel="0" collapsed="false">
      <c r="A94" s="81"/>
      <c r="B94" s="81"/>
      <c r="C94" s="81"/>
      <c r="D94" s="81"/>
      <c r="E94" s="81"/>
      <c r="F94" s="81"/>
      <c r="G94" s="81"/>
      <c r="H94" s="81"/>
      <c r="I94" s="81"/>
      <c r="J94" s="81"/>
      <c r="K94" s="81"/>
      <c r="L94" s="81"/>
      <c r="M94" s="81"/>
      <c r="N94" s="81"/>
      <c r="O94" s="81"/>
      <c r="P94" s="81"/>
      <c r="Q94" s="81"/>
      <c r="R94" s="81"/>
      <c r="S94" s="81"/>
      <c r="T94" s="81"/>
      <c r="U94" s="81"/>
      <c r="V94" s="81"/>
      <c r="W94" s="81"/>
      <c r="X94" s="81"/>
      <c r="Y94" s="81"/>
      <c r="Z94" s="81"/>
      <c r="AA94" s="81"/>
      <c r="AB94" s="81"/>
      <c r="AC94" s="81"/>
    </row>
    <row r="95" customFormat="false" ht="12.75" hidden="false" customHeight="false" outlineLevel="0" collapsed="false">
      <c r="A95" s="81"/>
      <c r="B95" s="81"/>
      <c r="C95" s="81"/>
      <c r="D95" s="81"/>
      <c r="E95" s="81"/>
      <c r="F95" s="81"/>
      <c r="G95" s="81"/>
      <c r="H95" s="81"/>
      <c r="I95" s="81"/>
      <c r="J95" s="81"/>
      <c r="K95" s="81"/>
      <c r="L95" s="81"/>
      <c r="M95" s="81"/>
      <c r="N95" s="81"/>
      <c r="O95" s="81"/>
      <c r="P95" s="81"/>
      <c r="Q95" s="81"/>
      <c r="R95" s="81"/>
      <c r="S95" s="81"/>
      <c r="T95" s="81"/>
      <c r="U95" s="81"/>
      <c r="V95" s="81"/>
      <c r="W95" s="81"/>
      <c r="X95" s="81"/>
      <c r="Y95" s="81"/>
      <c r="Z95" s="81"/>
      <c r="AA95" s="81"/>
      <c r="AB95" s="81"/>
      <c r="AC95" s="81"/>
    </row>
    <row r="96" customFormat="false" ht="12.75" hidden="false" customHeight="false" outlineLevel="0" collapsed="false">
      <c r="A96" s="81"/>
      <c r="B96" s="81"/>
      <c r="C96" s="81"/>
      <c r="D96" s="81"/>
      <c r="E96" s="81"/>
      <c r="F96" s="81"/>
      <c r="G96" s="81"/>
      <c r="H96" s="81"/>
      <c r="I96" s="81"/>
      <c r="J96" s="81"/>
      <c r="K96" s="81"/>
      <c r="L96" s="81"/>
      <c r="M96" s="81"/>
      <c r="N96" s="81"/>
      <c r="O96" s="81"/>
      <c r="P96" s="81"/>
      <c r="Q96" s="81"/>
      <c r="R96" s="81"/>
      <c r="S96" s="81"/>
      <c r="T96" s="81"/>
      <c r="U96" s="81"/>
      <c r="V96" s="81"/>
      <c r="W96" s="81"/>
      <c r="X96" s="81"/>
      <c r="Y96" s="81"/>
      <c r="Z96" s="81"/>
      <c r="AA96" s="81"/>
      <c r="AB96" s="81"/>
      <c r="AC96" s="81"/>
    </row>
    <row r="97" customFormat="false" ht="12.75" hidden="false" customHeight="false" outlineLevel="0" collapsed="false">
      <c r="A97" s="81"/>
      <c r="B97" s="81"/>
      <c r="C97" s="81"/>
      <c r="D97" s="81"/>
      <c r="E97" s="81"/>
      <c r="F97" s="81"/>
      <c r="G97" s="81"/>
      <c r="H97" s="81"/>
      <c r="I97" s="81"/>
      <c r="J97" s="81"/>
      <c r="K97" s="81"/>
      <c r="L97" s="81"/>
      <c r="M97" s="81"/>
      <c r="N97" s="81"/>
      <c r="O97" s="81"/>
      <c r="P97" s="81"/>
      <c r="Q97" s="81"/>
      <c r="R97" s="81"/>
      <c r="S97" s="81"/>
      <c r="T97" s="81"/>
      <c r="U97" s="81"/>
      <c r="V97" s="81"/>
      <c r="W97" s="81"/>
      <c r="X97" s="81"/>
      <c r="Y97" s="81"/>
      <c r="Z97" s="81"/>
      <c r="AA97" s="81"/>
      <c r="AB97" s="81"/>
      <c r="AC97" s="81"/>
    </row>
    <row r="98" customFormat="false" ht="12.75" hidden="false" customHeight="false" outlineLevel="0" collapsed="false">
      <c r="A98" s="81"/>
      <c r="B98" s="81"/>
      <c r="C98" s="81"/>
      <c r="D98" s="81"/>
      <c r="E98" s="81"/>
      <c r="F98" s="81"/>
      <c r="G98" s="81"/>
      <c r="H98" s="81"/>
      <c r="I98" s="81"/>
      <c r="J98" s="81"/>
      <c r="K98" s="81"/>
      <c r="L98" s="81"/>
      <c r="M98" s="81"/>
      <c r="N98" s="81"/>
      <c r="O98" s="81"/>
      <c r="P98" s="81"/>
      <c r="Q98" s="81"/>
      <c r="R98" s="81"/>
      <c r="S98" s="81"/>
      <c r="T98" s="81"/>
      <c r="U98" s="81"/>
      <c r="V98" s="81"/>
      <c r="W98" s="81"/>
      <c r="X98" s="81"/>
      <c r="Y98" s="81"/>
      <c r="Z98" s="81"/>
      <c r="AA98" s="81"/>
      <c r="AB98" s="81"/>
      <c r="AC98" s="81"/>
    </row>
    <row r="99" customFormat="false" ht="12.75" hidden="false" customHeight="false" outlineLevel="0" collapsed="false">
      <c r="A99" s="81"/>
      <c r="B99" s="81"/>
      <c r="C99" s="81"/>
      <c r="D99" s="81"/>
      <c r="E99" s="81"/>
      <c r="F99" s="81"/>
      <c r="G99" s="81"/>
      <c r="H99" s="81"/>
      <c r="I99" s="81"/>
      <c r="J99" s="81"/>
      <c r="K99" s="81"/>
      <c r="L99" s="81"/>
      <c r="M99" s="81"/>
      <c r="N99" s="81"/>
      <c r="O99" s="81"/>
      <c r="P99" s="81"/>
      <c r="Q99" s="81"/>
      <c r="R99" s="81"/>
      <c r="S99" s="81"/>
      <c r="T99" s="81"/>
      <c r="U99" s="81"/>
      <c r="V99" s="81"/>
      <c r="W99" s="81"/>
      <c r="X99" s="81"/>
      <c r="Y99" s="81"/>
      <c r="Z99" s="81"/>
      <c r="AA99" s="81"/>
      <c r="AB99" s="81"/>
      <c r="AC99" s="81"/>
    </row>
    <row r="100" customFormat="false" ht="12.75" hidden="false" customHeight="false" outlineLevel="0" collapsed="false">
      <c r="A100" s="81"/>
      <c r="B100" s="81"/>
      <c r="C100" s="81"/>
      <c r="D100" s="81"/>
      <c r="E100" s="81"/>
      <c r="F100" s="81"/>
      <c r="G100" s="81"/>
      <c r="H100" s="81"/>
      <c r="I100" s="81"/>
      <c r="J100" s="81"/>
      <c r="K100" s="81"/>
      <c r="L100" s="81"/>
      <c r="M100" s="81"/>
      <c r="N100" s="81"/>
      <c r="O100" s="81"/>
      <c r="P100" s="81"/>
      <c r="Q100" s="81"/>
      <c r="R100" s="81"/>
      <c r="S100" s="81"/>
      <c r="T100" s="81"/>
      <c r="U100" s="81"/>
      <c r="V100" s="81"/>
      <c r="W100" s="81"/>
      <c r="X100" s="81"/>
      <c r="Y100" s="81"/>
      <c r="Z100" s="81"/>
      <c r="AA100" s="81"/>
      <c r="AB100" s="81"/>
      <c r="AC100" s="81"/>
    </row>
    <row r="101" customFormat="false" ht="12.75" hidden="false" customHeight="false" outlineLevel="0" collapsed="false">
      <c r="A101" s="81"/>
      <c r="B101" s="81"/>
      <c r="C101" s="81"/>
      <c r="D101" s="81"/>
      <c r="E101" s="81"/>
      <c r="F101" s="81"/>
      <c r="G101" s="81"/>
      <c r="H101" s="81"/>
      <c r="I101" s="81"/>
      <c r="J101" s="81"/>
      <c r="K101" s="81"/>
      <c r="L101" s="81"/>
      <c r="M101" s="81"/>
      <c r="N101" s="81"/>
      <c r="O101" s="81"/>
      <c r="P101" s="81"/>
      <c r="Q101" s="81"/>
      <c r="R101" s="81"/>
      <c r="S101" s="81"/>
      <c r="T101" s="81"/>
      <c r="U101" s="81"/>
      <c r="V101" s="81"/>
      <c r="W101" s="81"/>
      <c r="X101" s="81"/>
      <c r="Y101" s="81"/>
      <c r="Z101" s="81"/>
      <c r="AA101" s="81"/>
      <c r="AB101" s="81"/>
      <c r="AC101" s="81"/>
    </row>
    <row r="102" customFormat="false" ht="12.75" hidden="false" customHeight="false" outlineLevel="0" collapsed="false">
      <c r="A102" s="81"/>
      <c r="B102" s="81"/>
      <c r="C102" s="81"/>
      <c r="D102" s="81"/>
      <c r="E102" s="81"/>
      <c r="F102" s="81"/>
      <c r="G102" s="81"/>
      <c r="H102" s="81"/>
      <c r="I102" s="81"/>
      <c r="J102" s="81"/>
      <c r="K102" s="81"/>
      <c r="L102" s="81"/>
      <c r="M102" s="81"/>
      <c r="N102" s="81"/>
      <c r="O102" s="81"/>
      <c r="P102" s="81"/>
      <c r="Q102" s="81"/>
      <c r="R102" s="81"/>
      <c r="S102" s="81"/>
      <c r="T102" s="81"/>
      <c r="U102" s="81"/>
      <c r="V102" s="81"/>
      <c r="W102" s="81"/>
      <c r="X102" s="81"/>
      <c r="Y102" s="81"/>
      <c r="Z102" s="81"/>
      <c r="AA102" s="81"/>
      <c r="AB102" s="81"/>
      <c r="AC102" s="81"/>
    </row>
    <row r="103" customFormat="false" ht="12.75" hidden="false" customHeight="false" outlineLevel="0" collapsed="false">
      <c r="A103" s="81"/>
      <c r="B103" s="81"/>
      <c r="C103" s="81"/>
      <c r="D103" s="81"/>
      <c r="E103" s="81"/>
      <c r="F103" s="81"/>
      <c r="G103" s="81"/>
      <c r="H103" s="81"/>
      <c r="I103" s="81"/>
      <c r="J103" s="81"/>
      <c r="K103" s="81"/>
      <c r="L103" s="81"/>
      <c r="M103" s="81"/>
      <c r="N103" s="81"/>
      <c r="O103" s="81"/>
      <c r="P103" s="81"/>
      <c r="Q103" s="81"/>
      <c r="R103" s="81"/>
      <c r="S103" s="81"/>
      <c r="T103" s="81"/>
      <c r="U103" s="81"/>
      <c r="V103" s="81"/>
      <c r="W103" s="81"/>
      <c r="X103" s="81"/>
      <c r="Y103" s="81"/>
      <c r="Z103" s="81"/>
      <c r="AA103" s="81"/>
      <c r="AB103" s="81"/>
      <c r="AC103" s="81"/>
    </row>
    <row r="104" customFormat="false" ht="12.75" hidden="false" customHeight="false" outlineLevel="0" collapsed="false">
      <c r="A104" s="81"/>
      <c r="B104" s="81"/>
      <c r="C104" s="81"/>
      <c r="D104" s="81"/>
      <c r="E104" s="81"/>
      <c r="F104" s="81"/>
      <c r="G104" s="81"/>
      <c r="H104" s="81"/>
      <c r="I104" s="81"/>
      <c r="J104" s="81"/>
      <c r="K104" s="81"/>
      <c r="L104" s="81"/>
      <c r="M104" s="81"/>
      <c r="N104" s="81"/>
      <c r="O104" s="81"/>
      <c r="P104" s="81"/>
      <c r="Q104" s="81"/>
      <c r="R104" s="81"/>
      <c r="S104" s="81"/>
      <c r="T104" s="81"/>
      <c r="U104" s="81"/>
      <c r="V104" s="81"/>
      <c r="W104" s="81"/>
      <c r="X104" s="81"/>
      <c r="Y104" s="81"/>
      <c r="Z104" s="81"/>
      <c r="AA104" s="81"/>
      <c r="AB104" s="81"/>
      <c r="AC104" s="81"/>
    </row>
    <row r="105" customFormat="false" ht="12.75" hidden="false" customHeight="false" outlineLevel="0" collapsed="false">
      <c r="A105" s="81"/>
      <c r="B105" s="81"/>
      <c r="C105" s="81"/>
      <c r="D105" s="81"/>
      <c r="E105" s="81"/>
      <c r="F105" s="81"/>
      <c r="G105" s="81"/>
      <c r="H105" s="81"/>
      <c r="I105" s="81"/>
      <c r="J105" s="81"/>
      <c r="K105" s="81"/>
      <c r="L105" s="81"/>
      <c r="M105" s="81"/>
      <c r="N105" s="81"/>
      <c r="O105" s="81"/>
      <c r="P105" s="81"/>
      <c r="Q105" s="81"/>
      <c r="R105" s="81"/>
      <c r="S105" s="81"/>
      <c r="T105" s="81"/>
      <c r="U105" s="81"/>
      <c r="V105" s="81"/>
      <c r="W105" s="81"/>
      <c r="X105" s="81"/>
      <c r="Y105" s="81"/>
      <c r="Z105" s="81"/>
      <c r="AA105" s="81"/>
      <c r="AB105" s="81"/>
      <c r="AC105" s="81"/>
    </row>
  </sheetData>
  <mergeCells count="20">
    <mergeCell ref="A1:AB1"/>
    <mergeCell ref="A2:AB2"/>
    <mergeCell ref="A3:AB3"/>
    <mergeCell ref="A4:AB4"/>
    <mergeCell ref="A5:AB5"/>
    <mergeCell ref="A6:AB6"/>
    <mergeCell ref="D7:AB7"/>
    <mergeCell ref="A8:AB8"/>
    <mergeCell ref="A9:A10"/>
    <mergeCell ref="B9:B10"/>
    <mergeCell ref="C9:C10"/>
    <mergeCell ref="D9:D10"/>
    <mergeCell ref="O9:O10"/>
    <mergeCell ref="W9:W10"/>
    <mergeCell ref="AB9:AB10"/>
    <mergeCell ref="A20:D20"/>
    <mergeCell ref="A22:C22"/>
    <mergeCell ref="E22:AB22"/>
    <mergeCell ref="A28:C28"/>
    <mergeCell ref="M28:AB28"/>
  </mergeCells>
  <printOptions headings="false" gridLines="false" gridLinesSet="true" horizontalCentered="false" verticalCentered="false"/>
  <pageMargins left="0.95" right="0.159722222222222" top="0.4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2024-11-23T01:27:50Z</dcterms:created>
  <dc:creator>Microsoft Cop.</dc:creator>
  <dc:description/>
  <dc:language>en-US</dc:language>
  <cp:lastModifiedBy>Microsoft Cop.</cp:lastModifiedBy>
  <cp:lastPrinted>2025-10-21T07:16:07Z</cp:lastPrinted>
  <dcterms:modified xsi:type="dcterms:W3CDTF">2026-10-14T03:17:31Z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