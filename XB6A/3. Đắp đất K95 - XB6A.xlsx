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externalReferences>
    <externalReference r:id="rIdExt1"/>
  </externalReferences>
  <definedNames>
    <definedName function="false" hidden="false" localSheetId="2" name="_xlnm.Print_Area" vbProcedure="false">'1.KL L1'!$A$1:$AB$29</definedName>
    <definedName function="false" hidden="false" localSheetId="1" name="_xlnm.Print_Area" vbProcedure="false">'1.KTHH L1'!$A$1:$S$38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L2'!$A$1:$AB$29</definedName>
    <definedName function="false" hidden="false" localSheetId="3" name="_xlnm.Print_Area" vbProcedure="false">'2.KTHH L2'!$A$1:$S$38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L3'!$A$1:$AB$29</definedName>
    <definedName function="false" hidden="false" localSheetId="5" name="_xlnm.Print_Area" vbProcedure="false">'3.KTHH L3'!$A$1:$S$39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L4'!$A$1:$AB$29</definedName>
    <definedName function="false" hidden="false" localSheetId="7" name="_xlnm.Print_Area" vbProcedure="false">'4.KTHH L4'!$A$1:$S$39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L5'!$A$1:$AB$29</definedName>
    <definedName function="false" hidden="false" localSheetId="9" name="_xlnm.Print_Area" vbProcedure="false">'5.KTHH L5'!$A$1:$S$39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L6'!$A$1:$AB$29</definedName>
    <definedName function="false" hidden="false" localSheetId="11" name="_xlnm.Print_Area" vbProcedure="false">'6.KTHH L6'!$A$1:$S$39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L7'!$A$1:$AB$29</definedName>
    <definedName function="false" hidden="false" localSheetId="13" name="_xlnm.Print_Area" vbProcedure="false">'7.KTHH L7'!$A$1:$S$39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L8'!$A$1:$AB$29</definedName>
    <definedName function="false" hidden="false" localSheetId="15" name="_xlnm.Print_Area" vbProcedure="false">'8.KTHH L8'!$A$1:$S$39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L9'!$A$1:$AB$29</definedName>
    <definedName function="false" hidden="false" localSheetId="17" name="_xlnm.Print_Area" vbProcedure="false">'9.KTHH L9'!$A$1:$S$39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<sst xmlns="http://schemas.openxmlformats.org/spreadsheetml/2006/main" count="633" uniqueCount="77">
  <si>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</si>
  <si>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</si>
  <si>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</si>
  <si>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</si>
  <si>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</si>
  <si>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</si>
  <si>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</si>
  <si>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</si>
  <si>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</si>
  <si>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</si>
  <si>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</si>
  <si>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</si>
  <si>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</si>
  <si>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</si>
  <si>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</si>
  <si>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</si>
  <si>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</si>
  <si>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D3</t>
  </si>
  <si>
    <t xml:space="preserve">1</t>
  </si>
  <si>
    <t xml:space="preserve">2</t>
  </si>
  <si>
    <t xml:space="preserve">3</t>
  </si>
  <si>
    <t xml:space="preserve">D2</t>
  </si>
  <si>
    <t xml:space="preserve">4</t>
  </si>
  <si>
    <t xml:space="preserve">5</t>
  </si>
  <si>
    <t xml:space="preserve">6</t>
  </si>
  <si>
    <t xml:space="preserve">D1</t>
  </si>
  <si>
    <t xml:space="preserve">PHỤ LỤC KIỂM TRA CAO ĐỘ, KÍCH THƯỚC HÌNH HỌC</t>
  </si>
  <si>
    <t xml:space="preserve">Kèm theo BBNT số: 08.NĐXB6A/CVXD ngày 29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</si>
  <si>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</si>
  <si>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</si>
  <si>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</si>
  <si>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XB6A</t>
  </si>
  <si>
    <t xml:space="preserve">- Đối tượng nghiệm thu:</t>
  </si>
  <si>
    <t xml:space="preserve">Đắp đất nền đường lớp 1 đoạn từ Km0+000,00 - Km0+126,46,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</si>
  <si>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</si>
  <si>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</si>
  <si>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</si>
  <si>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</si>
  <si>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</si>
  <si>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</si>
  <si>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</si>
  <si>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</si>
  <si>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</si>
  <si>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</si>
  <si>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</si>
  <si>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</si>
  <si>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</si>
  <si>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</si>
  <si>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</si>
  <si>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</si>
  <si>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</si>
  <si>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</si>
  <si>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</si>
  <si>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</si>
  <si>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</si>
  <si>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</si>
  <si>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</si>
  <si>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</si>
  <si>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</si>
  <si>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</si>
  <si>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</si>
  <si>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09.NĐXB6A/CVXD ngày 29 tháng 08 năm 2026</t>
  </si>
  <si>
    <t xml:space="preserve">Đắp đất nền đường lớp 2 đoạn từ Km0+000,00 - Km0+126,46, độ chặt K&gt;=0,95</t>
  </si>
  <si>
    <t xml:space="preserve">Kèm theo BBNT số: 10.NĐXB6A/CVXD ngày 30 tháng 08 năm 2026</t>
  </si>
  <si>
    <t xml:space="preserve">Đắp đất nền đường lớp 3 đoạn từ Km0+000,00 - Km0+126,46, độ chặt K&gt;=0,95</t>
  </si>
  <si>
    <t xml:space="preserve">Kèm theo BBNT số: 11.NĐXB6A/CVXD ngày 30 tháng 08 năm 2026</t>
  </si>
  <si>
    <t xml:space="preserve">Đắp đất nền đường lớp 4 đoạn từ Km0+000,00 - Km0+126,46, độ chặt K&gt;=0,95</t>
  </si>
  <si>
    <t xml:space="preserve">Kèm theo BBNT số: 12.NĐXB6A/CVXD ngày 03 tháng 09 năm 2026</t>
  </si>
  <si>
    <t xml:space="preserve">Đắp đất nền đường lớp 5 đoạn từ Km0+000,00 - Km0+126,46, độ chặt K&gt;=0,95</t>
  </si>
  <si>
    <t xml:space="preserve">Kèm theo BBNT số: 13.NĐXB6A/CVXD ngày 03 tháng 09 năm 2026</t>
  </si>
  <si>
    <t xml:space="preserve">Đắp đất nền đường lớp 6 đoạn từ Km0+000,00 - Km0+126,46, độ chặt K&gt;=0,95</t>
  </si>
  <si>
    <t xml:space="preserve">Kèm theo BBNT số: 14.NĐXB6A/CVXD ngày 04 tháng 09 năm 2026</t>
  </si>
  <si>
    <t xml:space="preserve">Đắp đất nền đường lớp 7 đoạn từ Km0+000,00 - Km0+126,46, độ chặt K&gt;=0,95</t>
  </si>
  <si>
    <t xml:space="preserve">Kèm theo BBNT số: 15.NĐXB6A/CVXD ngày 04 tháng 09 năm 2026</t>
  </si>
  <si>
    <t xml:space="preserve">Đắp đất nền đường lớp 8 đoạn từ Km0+000,00 - Km0+126,46, độ chặt K&gt;=0,95</t>
  </si>
  <si>
    <t xml:space="preserve">Kèm theo BBNT số: 16.NĐXB6A/CVXD ngày 05 tháng 09 năm 2026</t>
  </si>
  <si>
    <t xml:space="preserve">Đắp đất nền đường lớp 9 đoạn từ Km0+000,00 - Km0+126,46,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</si>
</sst>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B6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B6A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Km0+000,00 -:- Km0+126,46</v>
          </cell>
          <cell r="D3" t="str">
            <v xml:space="preserve">ngày 20 tháng 08 năm 2026</v>
          </cell>
          <cell r="G3" t="str">
            <v xml:space="preserve">01.NĐXB6A/CVXD </v>
          </cell>
        </row>
        <row r="4">
          <cell r="A4">
            <v>2</v>
          </cell>
          <cell r="B4" t="str">
            <v xml:space="preserve">Đào đất xử lý nền đường đoạn từ Km0+000,00 - Km0+126,46</v>
          </cell>
          <cell r="D4" t="str">
            <v xml:space="preserve">ngày 24 tháng 08 năm 2026</v>
          </cell>
          <cell r="G4" t="str">
            <v xml:space="preserve">02.NĐXB6A/CVXD </v>
          </cell>
        </row>
        <row r="5">
          <cell r="A5">
            <v>3</v>
          </cell>
          <cell r="B5" t="str">
            <v xml:space="preserve">Rải vải địa kỹ thuật đoạn từ Km0+000,00 - Km0+126,46</v>
          </cell>
          <cell r="D5" t="str">
            <v xml:space="preserve">ngày 24 tháng 08 năm 2026</v>
          </cell>
          <cell r="G5" t="str">
            <v xml:space="preserve">03.NĐXB6A/CVXD </v>
          </cell>
        </row>
        <row r="6">
          <cell r="A6">
            <v>4</v>
          </cell>
          <cell r="B6" t="str">
            <v xml:space="preserve">Đắp cát nền đường lớp 1 đoạn từ Km0+000,00 - Km0+126,46, độ chặt K&gt;=0,95</v>
          </cell>
          <cell r="D6" t="str">
            <v xml:space="preserve">ngày 25 tháng 08 năm 2026</v>
          </cell>
          <cell r="G6" t="str">
            <v xml:space="preserve">04.NĐXB6A/CVXD </v>
          </cell>
        </row>
        <row r="7">
          <cell r="A7">
            <v>5</v>
          </cell>
          <cell r="B7" t="str">
            <v xml:space="preserve">Đắp cát nền đường lớp 2 đoạn từ Km0+000,00 - Km0+126,46, độ chặt K&gt;=0,95</v>
          </cell>
          <cell r="D7" t="str">
            <v xml:space="preserve">ngày 26 tháng 08 năm 2026</v>
          </cell>
          <cell r="G7" t="str">
            <v xml:space="preserve">05.NĐXB6A/CVXD </v>
          </cell>
        </row>
        <row r="8">
          <cell r="A8">
            <v>6</v>
          </cell>
          <cell r="B8" t="str">
            <v xml:space="preserve">Đắp cát nền đường lớp 3 đoạn từ Km0+000,00 - Km0+126,46, độ chặt K&gt;=0,95</v>
          </cell>
          <cell r="D8" t="str">
            <v xml:space="preserve">ngày 27 tháng 08 năm 2026</v>
          </cell>
          <cell r="G8" t="str">
            <v xml:space="preserve">06.NĐXB6A/CVXD </v>
          </cell>
        </row>
        <row r="9">
          <cell r="A9">
            <v>7</v>
          </cell>
          <cell r="B9" t="str">
            <v xml:space="preserve">Đắp cát nền đường lớp 4 đoạn từ Km0+000,00 - Km0+126,46, độ chặt K&gt;=0,95</v>
          </cell>
          <cell r="D9" t="str">
            <v xml:space="preserve">ngày 28 tháng 08 năm 2026</v>
          </cell>
          <cell r="G9" t="str">
            <v xml:space="preserve">07.NĐXB6A/CVXD </v>
          </cell>
        </row>
        <row r="10">
          <cell r="A10">
            <v>8</v>
          </cell>
          <cell r="B10" t="str">
            <v xml:space="preserve">Đắp đất nền đường lớp 1 đoạn từ Km0+000,00 - Km0+126,46, độ chặt K&gt;=0,95</v>
          </cell>
          <cell r="D10" t="str">
            <v xml:space="preserve">ngày 29 tháng 08 năm 2026</v>
          </cell>
          <cell r="G10" t="str">
            <v xml:space="preserve">08.NĐXB6A/CVXD </v>
          </cell>
        </row>
        <row r="11">
          <cell r="A11">
            <v>9</v>
          </cell>
          <cell r="B11" t="str">
            <v xml:space="preserve">Đắp đất nền đường lớp 2 đoạn từ Km0+000,00 - Km0+126,46, độ chặt K&gt;=0,95</v>
          </cell>
          <cell r="D11" t="str">
            <v xml:space="preserve">ngày 29 tháng 08 năm 2026</v>
          </cell>
          <cell r="G11" t="str">
            <v xml:space="preserve">09.NĐXB6A/CVXD </v>
          </cell>
        </row>
        <row r="12">
          <cell r="A12">
            <v>10</v>
          </cell>
          <cell r="B12" t="str">
            <v xml:space="preserve">Đắp đất nền đường lớp 3 đoạn từ Km0+000,00 - Km0+126,46, độ chặt K&gt;=0,95</v>
          </cell>
          <cell r="D12" t="str">
            <v xml:space="preserve">ngày 30 tháng 08 năm 2026</v>
          </cell>
          <cell r="G12" t="str">
            <v xml:space="preserve">10.NĐXB6A/CVXD </v>
          </cell>
        </row>
        <row r="13">
          <cell r="A13">
            <v>11</v>
          </cell>
          <cell r="B13" t="str">
            <v xml:space="preserve">Đắp đất nền đường lớp 4 đoạn từ Km0+000,00 - Km0+126,46, độ chặt K&gt;=0,95</v>
          </cell>
          <cell r="D13" t="str">
            <v xml:space="preserve">ngày 30 tháng 08 năm 2026</v>
          </cell>
          <cell r="G13" t="str">
            <v xml:space="preserve">11.NĐXB6A/CVXD </v>
          </cell>
        </row>
        <row r="14">
          <cell r="A14">
            <v>12</v>
          </cell>
          <cell r="B14" t="str">
            <v xml:space="preserve">Đắp đất nền đường lớp 5 đoạn từ Km0+000,00 - Km0+126,46, độ chặt K&gt;=0,95</v>
          </cell>
          <cell r="D14" t="str">
            <v xml:space="preserve">ngày 03 tháng 09 năm 2026</v>
          </cell>
          <cell r="G14" t="str">
            <v xml:space="preserve">12.NĐXB6A/CVXD </v>
          </cell>
        </row>
        <row r="15">
          <cell r="A15">
            <v>13</v>
          </cell>
          <cell r="B15" t="str">
            <v xml:space="preserve">Đắp đất nền đường lớp 6 đoạn từ Km0+000,00 - Km0+126,46, độ chặt K&gt;=0,95</v>
          </cell>
          <cell r="D15" t="str">
            <v xml:space="preserve">ngày 03 tháng 09 năm 2026</v>
          </cell>
          <cell r="G15" t="str">
            <v xml:space="preserve">13.NĐXB6A/CVXD </v>
          </cell>
        </row>
        <row r="16">
          <cell r="A16">
            <v>14</v>
          </cell>
          <cell r="B16" t="str">
            <v xml:space="preserve">Đắp đất nền đường lớp 7 đoạn từ Km0+000,00 - Km0+126,46, độ chặt K&gt;=0,95</v>
          </cell>
          <cell r="D16" t="str">
            <v xml:space="preserve">ngày 04 tháng 09 năm 2026</v>
          </cell>
          <cell r="G16" t="str">
            <v xml:space="preserve">14.NĐXB6A/CVXD </v>
          </cell>
        </row>
        <row r="17">
          <cell r="A17">
            <v>15</v>
          </cell>
          <cell r="B17" t="str">
            <v xml:space="preserve">Đắp đất nền đường lớp 8 đoạn từ Km0+000,00 - Km0+126,46, độ chặt K&gt;=0,95</v>
          </cell>
          <cell r="D17" t="str">
            <v xml:space="preserve">ngày 04 tháng 09 năm 2026</v>
          </cell>
          <cell r="G17" t="str">
            <v xml:space="preserve">15.NĐXB6A/CVXD </v>
          </cell>
        </row>
        <row r="18">
          <cell r="A18">
            <v>16</v>
          </cell>
          <cell r="B18" t="str">
            <v xml:space="preserve">Đắp đất nền đường lớp 9 đoạn từ Km0+000,00 - Km0+126,46, độ chặt K&gt;=0,95</v>
          </cell>
          <cell r="D18" t="str">
            <v xml:space="preserve">ngày 05 tháng 09 năm 2026</v>
          </cell>
          <cell r="G18" t="str">
            <v xml:space="preserve">16.NĐXB6A/CVXD </v>
          </cell>
        </row>
        <row r="19">
          <cell r="A19">
            <v>17</v>
          </cell>
          <cell r="B19" t="str">
            <v xml:space="preserve">Đắp đất nền đường lớp 1, độ chặt K&gt;=0,98 đoạn từ Km0+000,00 - Km0+126,46</v>
          </cell>
          <cell r="D19" t="str">
            <v xml:space="preserve">ngày 06 tháng 09 năm 2026</v>
          </cell>
          <cell r="G19" t="str">
            <v xml:space="preserve">17.NĐXB6A/CVXD </v>
          </cell>
        </row>
        <row r="20">
          <cell r="A20">
            <v>18</v>
          </cell>
          <cell r="B20" t="str">
            <v xml:space="preserve">Đắp đất lề đường lớp 1, độ chặt K&gt;=0,95 đoạn từ Km0+000,00 - Km0+126,46</v>
          </cell>
          <cell r="D20" t="str">
            <v xml:space="preserve">ngày 06 tháng 09 năm 2026</v>
          </cell>
          <cell r="G20" t="str">
            <v xml:space="preserve">18.NĐXB6A/CVXD </v>
          </cell>
        </row>
        <row r="21">
          <cell r="A21">
            <v>19</v>
          </cell>
          <cell r="B21" t="str">
            <v xml:space="preserve">Đắp đất nền đường lớp 2, độ chặt K&gt;=0,98 đoạn từ Km0+000,00 - Km0+126,46</v>
          </cell>
          <cell r="D21" t="str">
            <v xml:space="preserve">ngày 07 tháng 09 năm 2026</v>
          </cell>
          <cell r="G21" t="str">
            <v xml:space="preserve">19.NĐXB6A/CVXD </v>
          </cell>
        </row>
        <row r="22">
          <cell r="A22">
            <v>20</v>
          </cell>
          <cell r="B22" t="str">
            <v xml:space="preserve">Đắp đất lề đường lớp 2, độ chặt K&gt;=0,95 đoạn từ Km0+000,00 - Km0+126,46</v>
          </cell>
          <cell r="D22" t="str">
            <v xml:space="preserve">ngày 07 tháng 09 năm 2026</v>
          </cell>
          <cell r="G22" t="str">
            <v xml:space="preserve">20.NĐXB6A/CVXD </v>
          </cell>
        </row>
        <row r="23">
          <cell r="A23">
            <v>21</v>
          </cell>
          <cell r="B23" t="str">
            <v xml:space="preserve">Đắp cấp phối đá dăm loại 2 đoạn từ Km0+000,00 - Km0+126,46</v>
          </cell>
          <cell r="D23" t="str">
            <v xml:space="preserve">ngày 08 tháng 09 năm 2026</v>
          </cell>
          <cell r="G23" t="str">
            <v xml:space="preserve">21.NĐXB6A/CVXD </v>
          </cell>
        </row>
        <row r="24">
          <cell r="A24">
            <v>22</v>
          </cell>
          <cell r="B24" t="str">
            <v xml:space="preserve">Đắp đất lề đường lớp 3, độ chặt K&gt;=0,95 đoạn từ Km0+000,00 - Km0+126,46</v>
          </cell>
          <cell r="D24" t="str">
            <v xml:space="preserve">ngày 08 tháng 09 năm 2026</v>
          </cell>
          <cell r="G24" t="str">
            <v xml:space="preserve">22.NĐXB6A/CVXD </v>
          </cell>
        </row>
        <row r="25">
          <cell r="A25">
            <v>23</v>
          </cell>
          <cell r="B25" t="str">
            <v xml:space="preserve">Đắp đất lề đường lớp 4, độ chặt K&gt;=0,95 đoạn từ Km0+000,00 - Km0+126,46</v>
          </cell>
          <cell r="D25" t="str">
            <v xml:space="preserve">ngày 09 tháng 09 năm 2026</v>
          </cell>
          <cell r="G25" t="str">
            <v xml:space="preserve">23.NĐXB6A/CVXD </v>
          </cell>
        </row>
        <row r="26">
          <cell r="A26">
            <v>24</v>
          </cell>
          <cell r="B26" t="str">
            <v xml:space="preserve">Đắp cấp phối đá dăm loại 1 đoạn từ Km0+000,00 - Km0+126,46</v>
          </cell>
          <cell r="D26" t="str">
            <v xml:space="preserve">ngày 09 tháng 09 năm 2026</v>
          </cell>
          <cell r="G26" t="str">
            <v xml:space="preserve">24.NĐXB6A/CVXD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11 tháng 09 năm 2026</v>
          </cell>
          <cell r="G27" t="str">
            <v xml:space="preserve">25.NĐXB6A/CVXD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13 tháng 09 năm 2026</v>
          </cell>
          <cell r="G28" t="str">
            <v xml:space="preserve">26.NĐXB6A/CVXD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19 tháng 09 năm 2026</v>
          </cell>
          <cell r="G29" t="str">
            <v xml:space="preserve">27.NĐXB6A/CVXD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21 tháng 09 năm 2026</v>
          </cell>
          <cell r="G30" t="str">
            <v xml:space="preserve">28.NĐXB6A/CVXD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2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0</v>
      </c>
      <c r="D2" s="0" t="n">
        <v>9</v>
      </c>
      <c r="E2" s="0" t="n">
        <v>6.41</v>
      </c>
      <c r="F2" s="0" t="n">
        <v>-10.45</v>
      </c>
      <c r="G2" s="2" t="n">
        <v>1.84</v>
      </c>
      <c r="H2" s="1" t="n">
        <v>-3.75</v>
      </c>
      <c r="I2" s="1" t="n">
        <v>1.84</v>
      </c>
      <c r="J2" s="0" t="n">
        <v>0</v>
      </c>
      <c r="K2" s="2" t="n">
        <v>1.93</v>
      </c>
      <c r="L2" s="0" t="n">
        <v>3.75</v>
      </c>
      <c r="M2" s="2" t="n">
        <v>1.84</v>
      </c>
      <c r="N2" s="1" t="n">
        <v>10.45</v>
      </c>
      <c r="O2" s="1" t="n">
        <v>1.84</v>
      </c>
      <c r="P2" s="0" t="n">
        <v>54.2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6.68</v>
      </c>
      <c r="F3" s="0" t="n">
        <v>-10.9</v>
      </c>
      <c r="G3" s="2" t="n">
        <v>1.54</v>
      </c>
      <c r="H3" s="1" t="n">
        <v>-3.75</v>
      </c>
      <c r="I3" s="1" t="n">
        <v>1.54</v>
      </c>
      <c r="J3" s="0" t="n">
        <v>0</v>
      </c>
      <c r="K3" s="2" t="n">
        <v>1.63</v>
      </c>
      <c r="L3" s="0" t="n">
        <v>3.75</v>
      </c>
      <c r="M3" s="2" t="n">
        <v>1.54</v>
      </c>
      <c r="N3" s="1" t="n">
        <v>10.9</v>
      </c>
      <c r="O3" s="1" t="n">
        <v>1.54</v>
      </c>
    </row>
    <row r="4" customFormat="false" ht="15" hidden="false" customHeight="false" outlineLevel="0" collapsed="false">
      <c r="D4" s="0" t="n">
        <v>7</v>
      </c>
      <c r="E4" s="0" t="n">
        <v>6.95</v>
      </c>
      <c r="F4" s="0" t="n">
        <v>-11.35</v>
      </c>
      <c r="G4" s="2" t="n">
        <v>1.24</v>
      </c>
      <c r="H4" s="1" t="n">
        <v>-3.75</v>
      </c>
      <c r="I4" s="1" t="n">
        <v>1.24</v>
      </c>
      <c r="J4" s="0" t="n">
        <v>0</v>
      </c>
      <c r="K4" s="2" t="n">
        <v>1.33</v>
      </c>
      <c r="L4" s="0" t="n">
        <v>3.75</v>
      </c>
      <c r="M4" s="2" t="n">
        <v>1.24</v>
      </c>
      <c r="N4" s="1" t="n">
        <v>11.35</v>
      </c>
      <c r="O4" s="1" t="n">
        <v>1.24</v>
      </c>
    </row>
    <row r="5" customFormat="false" ht="15" hidden="false" customHeight="false" outlineLevel="0" collapsed="false">
      <c r="D5" s="0" t="n">
        <v>6</v>
      </c>
      <c r="E5" s="0" t="n">
        <v>7.22</v>
      </c>
      <c r="F5" s="0" t="n">
        <v>-11.8</v>
      </c>
      <c r="G5" s="2" t="n">
        <v>0.94</v>
      </c>
      <c r="H5" s="1" t="n">
        <v>-3.75</v>
      </c>
      <c r="I5" s="1" t="n">
        <v>0.94</v>
      </c>
      <c r="J5" s="0" t="n">
        <v>0</v>
      </c>
      <c r="K5" s="2" t="n">
        <v>1.03</v>
      </c>
      <c r="L5" s="0" t="n">
        <v>3.75</v>
      </c>
      <c r="M5" s="2" t="n">
        <v>0.94</v>
      </c>
      <c r="N5" s="1" t="n">
        <v>11.8</v>
      </c>
      <c r="O5" s="1" t="n">
        <v>0.94</v>
      </c>
    </row>
    <row r="6" customFormat="false" ht="15" hidden="false" customHeight="false" outlineLevel="0" collapsed="false">
      <c r="D6" s="0" t="n">
        <v>5</v>
      </c>
      <c r="E6" s="0" t="n">
        <v>7.49</v>
      </c>
      <c r="F6" s="0" t="n">
        <v>-12.25</v>
      </c>
      <c r="G6" s="2" t="n">
        <v>0.64</v>
      </c>
      <c r="H6" s="1" t="n">
        <v>-3.75</v>
      </c>
      <c r="I6" s="1" t="n">
        <v>0.64</v>
      </c>
      <c r="J6" s="0" t="n">
        <v>0</v>
      </c>
      <c r="K6" s="2" t="n">
        <v>0.73</v>
      </c>
      <c r="L6" s="0" t="n">
        <v>3.75</v>
      </c>
      <c r="M6" s="2" t="n">
        <v>0.64</v>
      </c>
      <c r="N6" s="1" t="n">
        <v>12.25</v>
      </c>
      <c r="O6" s="1" t="n">
        <v>0.64</v>
      </c>
    </row>
    <row r="7" customFormat="false" ht="15" hidden="false" customHeight="false" outlineLevel="0" collapsed="false">
      <c r="D7" s="0" t="n">
        <v>4</v>
      </c>
      <c r="E7" s="0" t="n">
        <v>7.6</v>
      </c>
      <c r="F7" s="0" t="n">
        <v>-12.7</v>
      </c>
      <c r="G7" s="2" t="n">
        <v>0.34</v>
      </c>
      <c r="H7" s="1" t="n">
        <v>-3.75</v>
      </c>
      <c r="I7" s="1" t="n">
        <v>0.34</v>
      </c>
      <c r="J7" s="0" t="n">
        <v>0</v>
      </c>
      <c r="K7" s="2" t="n">
        <v>0.43</v>
      </c>
      <c r="L7" s="0" t="n">
        <v>3.75</v>
      </c>
      <c r="M7" s="2" t="n">
        <v>0.34</v>
      </c>
      <c r="N7" s="1" t="n">
        <v>12.7</v>
      </c>
      <c r="O7" s="1" t="n">
        <v>0.34</v>
      </c>
    </row>
    <row r="8" customFormat="false" ht="15" hidden="false" customHeight="false" outlineLevel="0" collapsed="false">
      <c r="D8" s="0" t="n">
        <v>3</v>
      </c>
      <c r="E8" s="0" t="n">
        <v>0.33</v>
      </c>
      <c r="F8" s="0" t="n">
        <v>-13.15</v>
      </c>
      <c r="G8" s="2" t="n">
        <v>0.04</v>
      </c>
      <c r="H8" s="1" t="n">
        <v>-3.75</v>
      </c>
      <c r="I8" s="1" t="n">
        <v>0.04</v>
      </c>
      <c r="J8" s="0" t="n">
        <v>0</v>
      </c>
      <c r="K8" s="2" t="n">
        <v>0.13</v>
      </c>
      <c r="L8" s="0" t="n">
        <v>3.75</v>
      </c>
      <c r="M8" s="2" t="n">
        <v>0.04</v>
      </c>
      <c r="N8" s="1" t="n">
        <v>13.15</v>
      </c>
      <c r="O8" s="1" t="n">
        <v>0.04</v>
      </c>
    </row>
    <row r="9" customFormat="false" ht="15" hidden="false" customHeight="false" outlineLevel="0" collapsed="false">
      <c r="D9" s="0" t="n">
        <v>2</v>
      </c>
      <c r="E9" s="0" t="n">
        <v>0</v>
      </c>
    </row>
    <row r="10" customFormat="false" ht="15" hidden="false" customHeight="false" outlineLevel="0" collapsed="false">
      <c r="D10" s="0" t="n">
        <v>1</v>
      </c>
      <c r="E10" s="0" t="n">
        <v>0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19.63</v>
      </c>
      <c r="D11" s="0" t="n">
        <v>9</v>
      </c>
      <c r="E11" s="0" t="n">
        <v>6.41</v>
      </c>
      <c r="F11" s="0" t="n">
        <v>-10.45</v>
      </c>
      <c r="G11" s="2" t="n">
        <v>1.84</v>
      </c>
      <c r="H11" s="1" t="n">
        <v>-3.75</v>
      </c>
      <c r="I11" s="1" t="n">
        <v>1.84</v>
      </c>
      <c r="J11" s="0" t="n">
        <v>0</v>
      </c>
      <c r="K11" s="2" t="n">
        <v>1.93</v>
      </c>
      <c r="L11" s="0" t="n">
        <v>3.75</v>
      </c>
      <c r="M11" s="2" t="n">
        <v>1.84</v>
      </c>
      <c r="N11" s="1" t="n">
        <v>10.45</v>
      </c>
      <c r="O11" s="1" t="n">
        <v>1.84</v>
      </c>
      <c r="P11" s="0" t="n">
        <v>62.97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6.68</v>
      </c>
      <c r="F12" s="0" t="n">
        <v>-10.9</v>
      </c>
      <c r="G12" s="2" t="n">
        <v>1.54</v>
      </c>
      <c r="H12" s="1" t="n">
        <v>-3.75</v>
      </c>
      <c r="I12" s="1" t="n">
        <v>1.54</v>
      </c>
      <c r="J12" s="0" t="n">
        <v>0</v>
      </c>
      <c r="K12" s="2" t="n">
        <v>1.63</v>
      </c>
      <c r="L12" s="0" t="n">
        <v>3.75</v>
      </c>
      <c r="M12" s="2" t="n">
        <v>1.54</v>
      </c>
      <c r="N12" s="1" t="n">
        <v>10.9</v>
      </c>
      <c r="O12" s="1" t="n">
        <v>1.54</v>
      </c>
    </row>
    <row r="13" customFormat="false" ht="15" hidden="false" customHeight="false" outlineLevel="0" collapsed="false">
      <c r="D13" s="0" t="n">
        <v>7</v>
      </c>
      <c r="E13" s="0" t="n">
        <v>6.95</v>
      </c>
      <c r="F13" s="0" t="n">
        <v>-11.35</v>
      </c>
      <c r="G13" s="2" t="n">
        <v>1.24</v>
      </c>
      <c r="H13" s="1" t="n">
        <v>-3.75</v>
      </c>
      <c r="I13" s="1" t="n">
        <v>1.24</v>
      </c>
      <c r="J13" s="0" t="n">
        <v>0</v>
      </c>
      <c r="K13" s="2" t="n">
        <v>1.33</v>
      </c>
      <c r="L13" s="0" t="n">
        <v>3.75</v>
      </c>
      <c r="M13" s="2" t="n">
        <v>1.24</v>
      </c>
      <c r="N13" s="1" t="n">
        <v>11.35</v>
      </c>
      <c r="O13" s="1" t="n">
        <v>1.24</v>
      </c>
    </row>
    <row r="14" customFormat="false" ht="15" hidden="false" customHeight="false" outlineLevel="0" collapsed="false">
      <c r="D14" s="0" t="n">
        <v>6</v>
      </c>
      <c r="E14" s="0" t="n">
        <v>7.22</v>
      </c>
      <c r="F14" s="0" t="n">
        <v>-11.8</v>
      </c>
      <c r="G14" s="2" t="n">
        <v>0.94</v>
      </c>
      <c r="H14" s="1" t="n">
        <v>-3.75</v>
      </c>
      <c r="I14" s="1" t="n">
        <v>0.94</v>
      </c>
      <c r="J14" s="0" t="n">
        <v>0</v>
      </c>
      <c r="K14" s="2" t="n">
        <v>1.03</v>
      </c>
      <c r="L14" s="0" t="n">
        <v>3.75</v>
      </c>
      <c r="M14" s="2" t="n">
        <v>0.94</v>
      </c>
      <c r="N14" s="1" t="n">
        <v>11.8</v>
      </c>
      <c r="O14" s="1" t="n">
        <v>0.94</v>
      </c>
    </row>
    <row r="15" customFormat="false" ht="15" hidden="false" customHeight="false" outlineLevel="0" collapsed="false">
      <c r="D15" s="0" t="n">
        <v>5</v>
      </c>
      <c r="E15" s="0" t="n">
        <v>7.49</v>
      </c>
      <c r="F15" s="0" t="n">
        <v>-12.25</v>
      </c>
      <c r="G15" s="2" t="n">
        <v>0.64</v>
      </c>
      <c r="H15" s="1" t="n">
        <v>-3.75</v>
      </c>
      <c r="I15" s="1" t="n">
        <v>0.64</v>
      </c>
      <c r="J15" s="0" t="n">
        <v>0</v>
      </c>
      <c r="K15" s="2" t="n">
        <v>0.73</v>
      </c>
      <c r="L15" s="0" t="n">
        <v>3.75</v>
      </c>
      <c r="M15" s="2" t="n">
        <v>0.64</v>
      </c>
      <c r="N15" s="1" t="n">
        <v>12.25</v>
      </c>
      <c r="O15" s="1" t="n">
        <v>0.64</v>
      </c>
    </row>
    <row r="16" customFormat="false" ht="15" hidden="false" customHeight="false" outlineLevel="0" collapsed="false">
      <c r="D16" s="0" t="n">
        <v>4</v>
      </c>
      <c r="E16" s="0" t="n">
        <v>7.75</v>
      </c>
      <c r="F16" s="0" t="n">
        <v>-12.7</v>
      </c>
      <c r="G16" s="2" t="n">
        <v>0.34</v>
      </c>
      <c r="H16" s="1" t="n">
        <v>-3.75</v>
      </c>
      <c r="I16" s="1" t="n">
        <v>0.34</v>
      </c>
      <c r="J16" s="0" t="n">
        <v>0</v>
      </c>
      <c r="K16" s="2" t="n">
        <v>0.43</v>
      </c>
      <c r="L16" s="0" t="n">
        <v>3.75</v>
      </c>
      <c r="M16" s="2" t="n">
        <v>0.34</v>
      </c>
      <c r="N16" s="1" t="n">
        <v>12.7</v>
      </c>
      <c r="O16" s="1" t="n">
        <v>0.34</v>
      </c>
    </row>
    <row r="17" customFormat="false" ht="15" hidden="false" customHeight="false" outlineLevel="0" collapsed="false">
      <c r="D17" s="0" t="n">
        <v>3</v>
      </c>
      <c r="E17" s="0" t="n">
        <v>5.2</v>
      </c>
      <c r="F17" s="0" t="n">
        <v>-13.15</v>
      </c>
      <c r="G17" s="2" t="n">
        <v>0.04</v>
      </c>
      <c r="H17" s="1" t="n">
        <v>-3.75</v>
      </c>
      <c r="I17" s="1" t="n">
        <v>0.04</v>
      </c>
      <c r="J17" s="0" t="n">
        <v>0</v>
      </c>
      <c r="K17" s="2" t="n">
        <v>0.13</v>
      </c>
      <c r="L17" s="0" t="n">
        <v>3.75</v>
      </c>
      <c r="M17" s="2" t="n">
        <v>0.04</v>
      </c>
      <c r="N17" s="1" t="n">
        <v>13.15</v>
      </c>
      <c r="O17" s="1" t="n">
        <v>0.04</v>
      </c>
    </row>
    <row r="18" customFormat="false" ht="15" hidden="false" customHeight="false" outlineLevel="0" collapsed="false">
      <c r="D18" s="0" t="n">
        <v>2</v>
      </c>
      <c r="E18" s="0" t="n">
        <v>3.74</v>
      </c>
      <c r="F18" s="0" t="n">
        <v>-8.17</v>
      </c>
      <c r="G18" s="2" t="n">
        <v>-0.26</v>
      </c>
      <c r="H18" s="1" t="n">
        <v>-3.75</v>
      </c>
      <c r="I18" s="1" t="n">
        <v>-0.26</v>
      </c>
      <c r="J18" s="0" t="n">
        <v>0</v>
      </c>
      <c r="K18" s="2" t="n">
        <v>-0.17</v>
      </c>
      <c r="L18" s="0" t="n">
        <v>3.75</v>
      </c>
      <c r="M18" s="2" t="n">
        <v>-0.26</v>
      </c>
      <c r="N18" s="1" t="n">
        <v>8.26</v>
      </c>
      <c r="O18" s="1" t="n">
        <v>-0.26</v>
      </c>
    </row>
    <row r="19" customFormat="false" ht="15" hidden="false" customHeight="false" outlineLevel="0" collapsed="false">
      <c r="D19" s="0" t="n">
        <v>1</v>
      </c>
      <c r="E19" s="0" t="n">
        <v>0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36.8</v>
      </c>
      <c r="D20" s="0" t="n">
        <v>9</v>
      </c>
      <c r="E20" s="0" t="n">
        <v>6.41</v>
      </c>
      <c r="F20" s="0" t="n">
        <v>-10.45</v>
      </c>
      <c r="G20" s="2" t="n">
        <v>1.85</v>
      </c>
      <c r="H20" s="1" t="n">
        <v>-3.75</v>
      </c>
      <c r="I20" s="1" t="n">
        <v>1.85</v>
      </c>
      <c r="J20" s="0" t="n">
        <v>0</v>
      </c>
      <c r="K20" s="2" t="n">
        <v>1.94</v>
      </c>
      <c r="L20" s="0" t="n">
        <v>3.75</v>
      </c>
      <c r="M20" s="2" t="n">
        <v>1.85</v>
      </c>
      <c r="N20" s="1" t="n">
        <v>10.45</v>
      </c>
      <c r="O20" s="1" t="n">
        <v>1.85</v>
      </c>
      <c r="P20" s="0" t="n">
        <v>64.4</v>
      </c>
      <c r="Q20" s="0" t="n">
        <v>11.55</v>
      </c>
    </row>
    <row r="21" customFormat="false" ht="15" hidden="false" customHeight="false" outlineLevel="0" collapsed="false">
      <c r="D21" s="0" t="n">
        <v>8</v>
      </c>
      <c r="E21" s="0" t="n">
        <v>6.68</v>
      </c>
      <c r="F21" s="0" t="n">
        <v>-10.9</v>
      </c>
      <c r="G21" s="2" t="n">
        <v>1.55</v>
      </c>
      <c r="H21" s="1" t="n">
        <v>-3.75</v>
      </c>
      <c r="I21" s="1" t="n">
        <v>1.55</v>
      </c>
      <c r="J21" s="0" t="n">
        <v>0</v>
      </c>
      <c r="K21" s="2" t="n">
        <v>1.64</v>
      </c>
      <c r="L21" s="0" t="n">
        <v>3.75</v>
      </c>
      <c r="M21" s="2" t="n">
        <v>1.55</v>
      </c>
      <c r="N21" s="1" t="n">
        <v>10.9</v>
      </c>
      <c r="O21" s="1" t="n">
        <v>1.55</v>
      </c>
    </row>
    <row r="22" customFormat="false" ht="15" hidden="false" customHeight="false" outlineLevel="0" collapsed="false">
      <c r="D22" s="0" t="n">
        <v>7</v>
      </c>
      <c r="E22" s="0" t="n">
        <v>6.95</v>
      </c>
      <c r="F22" s="0" t="n">
        <v>-11.35</v>
      </c>
      <c r="G22" s="2" t="n">
        <v>1.25</v>
      </c>
      <c r="H22" s="1" t="n">
        <v>-3.75</v>
      </c>
      <c r="I22" s="1" t="n">
        <v>1.25</v>
      </c>
      <c r="J22" s="0" t="n">
        <v>0</v>
      </c>
      <c r="K22" s="2" t="n">
        <v>1.34</v>
      </c>
      <c r="L22" s="0" t="n">
        <v>3.75</v>
      </c>
      <c r="M22" s="2" t="n">
        <v>1.25</v>
      </c>
      <c r="N22" s="1" t="n">
        <v>11.35</v>
      </c>
      <c r="O22" s="1" t="n">
        <v>1.25</v>
      </c>
    </row>
    <row r="23" customFormat="false" ht="15" hidden="false" customHeight="false" outlineLevel="0" collapsed="false">
      <c r="D23" s="0" t="n">
        <v>6</v>
      </c>
      <c r="E23" s="0" t="n">
        <v>7.22</v>
      </c>
      <c r="F23" s="0" t="n">
        <v>-11.8</v>
      </c>
      <c r="G23" s="2" t="n">
        <v>0.95</v>
      </c>
      <c r="H23" s="1" t="n">
        <v>-3.75</v>
      </c>
      <c r="I23" s="1" t="n">
        <v>0.95</v>
      </c>
      <c r="J23" s="0" t="n">
        <v>0</v>
      </c>
      <c r="K23" s="2" t="n">
        <v>1.04</v>
      </c>
      <c r="L23" s="0" t="n">
        <v>3.75</v>
      </c>
      <c r="M23" s="2" t="n">
        <v>0.95</v>
      </c>
      <c r="N23" s="1" t="n">
        <v>11.8</v>
      </c>
      <c r="O23" s="1" t="n">
        <v>0.95</v>
      </c>
    </row>
    <row r="24" customFormat="false" ht="15" hidden="false" customHeight="false" outlineLevel="0" collapsed="false">
      <c r="D24" s="0" t="n">
        <v>5</v>
      </c>
      <c r="E24" s="0" t="n">
        <v>7.49</v>
      </c>
      <c r="F24" s="0" t="n">
        <v>-12.25</v>
      </c>
      <c r="G24" s="2" t="n">
        <v>0.65</v>
      </c>
      <c r="H24" s="1" t="n">
        <v>-3.75</v>
      </c>
      <c r="I24" s="1" t="n">
        <v>0.65</v>
      </c>
      <c r="J24" s="0" t="n">
        <v>0</v>
      </c>
      <c r="K24" s="2" t="n">
        <v>0.74</v>
      </c>
      <c r="L24" s="0" t="n">
        <v>3.75</v>
      </c>
      <c r="M24" s="2" t="n">
        <v>0.65</v>
      </c>
      <c r="N24" s="1" t="n">
        <v>12.25</v>
      </c>
      <c r="O24" s="1" t="n">
        <v>0.65</v>
      </c>
    </row>
    <row r="25" customFormat="false" ht="15" hidden="false" customHeight="false" outlineLevel="0" collapsed="false">
      <c r="D25" s="0" t="n">
        <v>4</v>
      </c>
      <c r="E25" s="0" t="n">
        <v>7.76</v>
      </c>
      <c r="F25" s="0" t="n">
        <v>-12.7</v>
      </c>
      <c r="G25" s="2" t="n">
        <v>0.35</v>
      </c>
      <c r="H25" s="1" t="n">
        <v>-3.75</v>
      </c>
      <c r="I25" s="1" t="n">
        <v>0.35</v>
      </c>
      <c r="J25" s="0" t="n">
        <v>0</v>
      </c>
      <c r="K25" s="2" t="n">
        <v>0.44</v>
      </c>
      <c r="L25" s="0" t="n">
        <v>3.75</v>
      </c>
      <c r="M25" s="2" t="n">
        <v>0.35</v>
      </c>
      <c r="N25" s="1" t="n">
        <v>12.7</v>
      </c>
      <c r="O25" s="1" t="n">
        <v>0.35</v>
      </c>
    </row>
    <row r="26" customFormat="false" ht="15" hidden="false" customHeight="false" outlineLevel="0" collapsed="false">
      <c r="D26" s="0" t="n">
        <v>3</v>
      </c>
      <c r="E26" s="0" t="n">
        <v>5.67</v>
      </c>
      <c r="F26" s="0" t="n">
        <v>-13.15</v>
      </c>
      <c r="G26" s="2" t="n">
        <v>0.05</v>
      </c>
      <c r="H26" s="1" t="n">
        <v>-3.75</v>
      </c>
      <c r="I26" s="1" t="n">
        <v>0.05</v>
      </c>
      <c r="J26" s="0" t="n">
        <v>0</v>
      </c>
      <c r="K26" s="2" t="n">
        <v>0.14</v>
      </c>
      <c r="L26" s="0" t="n">
        <v>3.75</v>
      </c>
      <c r="M26" s="2" t="n">
        <v>0.05</v>
      </c>
      <c r="N26" s="1" t="n">
        <v>13.15</v>
      </c>
      <c r="O26" s="1" t="n">
        <v>0.05</v>
      </c>
    </row>
    <row r="27" customFormat="false" ht="15" hidden="false" customHeight="false" outlineLevel="0" collapsed="false">
      <c r="D27" s="0" t="n">
        <v>2</v>
      </c>
      <c r="E27" s="0" t="n">
        <v>4.57</v>
      </c>
      <c r="F27" s="0" t="n">
        <v>-8.3</v>
      </c>
      <c r="G27" s="2" t="n">
        <v>-0.25</v>
      </c>
      <c r="H27" s="1" t="n">
        <v>-3.75</v>
      </c>
      <c r="I27" s="1" t="n">
        <v>-0.25</v>
      </c>
      <c r="J27" s="0" t="n">
        <v>0</v>
      </c>
      <c r="K27" s="2" t="n">
        <v>-0.16</v>
      </c>
      <c r="L27" s="0" t="n">
        <v>3.75</v>
      </c>
      <c r="M27" s="2" t="n">
        <v>-0.25</v>
      </c>
      <c r="N27" s="1" t="n">
        <v>8.35</v>
      </c>
      <c r="O27" s="1" t="n">
        <v>-0.25</v>
      </c>
    </row>
    <row r="28" customFormat="false" ht="15" hidden="false" customHeight="false" outlineLevel="0" collapsed="false">
      <c r="D28" s="0" t="n">
        <v>1</v>
      </c>
      <c r="E28" s="0" t="n">
        <v>0.13</v>
      </c>
      <c r="F28" s="0" t="n">
        <v>-2.57</v>
      </c>
      <c r="G28" s="2" t="n">
        <v>-0.51</v>
      </c>
      <c r="H28" s="1" t="n">
        <v>-3.75</v>
      </c>
      <c r="I28" s="1" t="n">
        <v>-0.55</v>
      </c>
      <c r="J28" s="0" t="n">
        <v>0</v>
      </c>
      <c r="K28" s="2" t="n">
        <v>-0.46</v>
      </c>
      <c r="L28" s="0" t="n">
        <v>3.75</v>
      </c>
      <c r="M28" s="2" t="n">
        <v>-0.55</v>
      </c>
      <c r="N28" s="1" t="n">
        <v>2.57</v>
      </c>
      <c r="O28" s="1" t="n">
        <v>-0.51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53.98</v>
      </c>
      <c r="D29" s="0" t="n">
        <v>9</v>
      </c>
      <c r="E29" s="0" t="n">
        <v>6.41</v>
      </c>
      <c r="F29" s="0" t="n">
        <v>-10.45</v>
      </c>
      <c r="G29" s="2" t="n">
        <v>1.86</v>
      </c>
      <c r="H29" s="1" t="n">
        <v>-3.75</v>
      </c>
      <c r="I29" s="1" t="n">
        <v>1.86</v>
      </c>
      <c r="J29" s="0" t="n">
        <v>0</v>
      </c>
      <c r="K29" s="2" t="n">
        <v>1.94</v>
      </c>
      <c r="L29" s="0" t="n">
        <v>3.75</v>
      </c>
      <c r="M29" s="2" t="n">
        <v>1.86</v>
      </c>
      <c r="N29" s="1" t="n">
        <v>10.45</v>
      </c>
      <c r="O29" s="1" t="n">
        <v>1.86</v>
      </c>
      <c r="P29" s="0" t="n">
        <v>66.1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6.68</v>
      </c>
      <c r="F30" s="0" t="n">
        <v>-10.9</v>
      </c>
      <c r="G30" s="2" t="n">
        <v>1.56</v>
      </c>
      <c r="H30" s="1" t="n">
        <v>-3.75</v>
      </c>
      <c r="I30" s="1" t="n">
        <v>1.56</v>
      </c>
      <c r="J30" s="0" t="n">
        <v>0</v>
      </c>
      <c r="K30" s="2" t="n">
        <v>1.64</v>
      </c>
      <c r="L30" s="0" t="n">
        <v>3.75</v>
      </c>
      <c r="M30" s="2" t="n">
        <v>1.56</v>
      </c>
      <c r="N30" s="1" t="n">
        <v>10.9</v>
      </c>
      <c r="O30" s="1" t="n">
        <v>1.56</v>
      </c>
    </row>
    <row r="31" customFormat="false" ht="15" hidden="false" customHeight="false" outlineLevel="0" collapsed="false">
      <c r="D31" s="0" t="n">
        <v>7</v>
      </c>
      <c r="E31" s="0" t="n">
        <v>6.95</v>
      </c>
      <c r="F31" s="0" t="n">
        <v>-11.35</v>
      </c>
      <c r="G31" s="2" t="n">
        <v>1.26</v>
      </c>
      <c r="H31" s="1" t="n">
        <v>-3.75</v>
      </c>
      <c r="I31" s="1" t="n">
        <v>1.26</v>
      </c>
      <c r="J31" s="0" t="n">
        <v>0</v>
      </c>
      <c r="K31" s="2" t="n">
        <v>1.34</v>
      </c>
      <c r="L31" s="0" t="n">
        <v>3.75</v>
      </c>
      <c r="M31" s="2" t="n">
        <v>1.26</v>
      </c>
      <c r="N31" s="1" t="n">
        <v>11.35</v>
      </c>
      <c r="O31" s="1" t="n">
        <v>1.26</v>
      </c>
    </row>
    <row r="32" customFormat="false" ht="15" hidden="false" customHeight="false" outlineLevel="0" collapsed="false">
      <c r="D32" s="0" t="n">
        <v>6</v>
      </c>
      <c r="E32" s="0" t="n">
        <v>7.22</v>
      </c>
      <c r="F32" s="0" t="n">
        <v>-11.8</v>
      </c>
      <c r="G32" s="2" t="n">
        <v>0.96</v>
      </c>
      <c r="H32" s="1" t="n">
        <v>-3.75</v>
      </c>
      <c r="I32" s="1" t="n">
        <v>0.96</v>
      </c>
      <c r="J32" s="0" t="n">
        <v>0</v>
      </c>
      <c r="K32" s="2" t="n">
        <v>1.04</v>
      </c>
      <c r="L32" s="0" t="n">
        <v>3.75</v>
      </c>
      <c r="M32" s="2" t="n">
        <v>0.96</v>
      </c>
      <c r="N32" s="1" t="n">
        <v>11.8</v>
      </c>
      <c r="O32" s="1" t="n">
        <v>0.96</v>
      </c>
    </row>
    <row r="33" customFormat="false" ht="15" hidden="false" customHeight="false" outlineLevel="0" collapsed="false">
      <c r="D33" s="0" t="n">
        <v>5</v>
      </c>
      <c r="E33" s="0" t="n">
        <v>7.49</v>
      </c>
      <c r="F33" s="0" t="n">
        <v>-12.25</v>
      </c>
      <c r="G33" s="2" t="n">
        <v>0.66</v>
      </c>
      <c r="H33" s="1" t="n">
        <v>-3.75</v>
      </c>
      <c r="I33" s="1" t="n">
        <v>0.66</v>
      </c>
      <c r="J33" s="0" t="n">
        <v>0</v>
      </c>
      <c r="K33" s="2" t="n">
        <v>0.74</v>
      </c>
      <c r="L33" s="0" t="n">
        <v>3.75</v>
      </c>
      <c r="M33" s="2" t="n">
        <v>0.66</v>
      </c>
      <c r="N33" s="1" t="n">
        <v>12.25</v>
      </c>
      <c r="O33" s="1" t="n">
        <v>0.66</v>
      </c>
    </row>
    <row r="34" customFormat="false" ht="15" hidden="false" customHeight="false" outlineLevel="0" collapsed="false">
      <c r="D34" s="0" t="n">
        <v>4</v>
      </c>
      <c r="E34" s="0" t="n">
        <v>7.76</v>
      </c>
      <c r="F34" s="0" t="n">
        <v>-12.7</v>
      </c>
      <c r="G34" s="2" t="n">
        <v>0.36</v>
      </c>
      <c r="H34" s="1" t="n">
        <v>-3.75</v>
      </c>
      <c r="I34" s="1" t="n">
        <v>0.36</v>
      </c>
      <c r="J34" s="0" t="n">
        <v>0</v>
      </c>
      <c r="K34" s="2" t="n">
        <v>0.44</v>
      </c>
      <c r="L34" s="0" t="n">
        <v>3.75</v>
      </c>
      <c r="M34" s="2" t="n">
        <v>0.36</v>
      </c>
      <c r="N34" s="1" t="n">
        <v>12.7</v>
      </c>
      <c r="O34" s="1" t="n">
        <v>0.36</v>
      </c>
    </row>
    <row r="35" customFormat="false" ht="15" hidden="false" customHeight="false" outlineLevel="0" collapsed="false">
      <c r="D35" s="0" t="n">
        <v>3</v>
      </c>
      <c r="E35" s="0" t="n">
        <v>6.29</v>
      </c>
      <c r="F35" s="0" t="n">
        <v>-13.15</v>
      </c>
      <c r="G35" s="2" t="n">
        <v>0.06</v>
      </c>
      <c r="H35" s="1" t="n">
        <v>-3.75</v>
      </c>
      <c r="I35" s="1" t="n">
        <v>0.06</v>
      </c>
      <c r="J35" s="0" t="n">
        <v>0</v>
      </c>
      <c r="K35" s="2" t="n">
        <v>0.14</v>
      </c>
      <c r="L35" s="0" t="n">
        <v>3.75</v>
      </c>
      <c r="M35" s="2" t="n">
        <v>0.06</v>
      </c>
      <c r="N35" s="1" t="n">
        <v>13.15</v>
      </c>
      <c r="O35" s="1" t="n">
        <v>0.06</v>
      </c>
    </row>
    <row r="36" customFormat="false" ht="15" hidden="false" customHeight="false" outlineLevel="0" collapsed="false">
      <c r="D36" s="0" t="n">
        <v>2</v>
      </c>
      <c r="E36" s="0" t="n">
        <v>5.06</v>
      </c>
      <c r="F36" s="0" t="n">
        <v>-8.6</v>
      </c>
      <c r="G36" s="2" t="n">
        <v>-0.24</v>
      </c>
      <c r="H36" s="1" t="n">
        <v>-3.75</v>
      </c>
      <c r="I36" s="1" t="n">
        <v>-0.24</v>
      </c>
      <c r="J36" s="0" t="n">
        <v>0</v>
      </c>
      <c r="K36" s="2" t="n">
        <v>-0.16</v>
      </c>
      <c r="L36" s="0" t="n">
        <v>3.75</v>
      </c>
      <c r="M36" s="2" t="n">
        <v>-0.24</v>
      </c>
      <c r="N36" s="1" t="n">
        <v>8.58</v>
      </c>
      <c r="O36" s="1" t="n">
        <v>-0.24</v>
      </c>
    </row>
    <row r="37" customFormat="false" ht="15" hidden="false" customHeight="false" outlineLevel="0" collapsed="false">
      <c r="D37" s="0" t="n">
        <v>1</v>
      </c>
      <c r="E37" s="0" t="n">
        <v>0.71</v>
      </c>
      <c r="F37" s="0" t="n">
        <v>-8.3</v>
      </c>
      <c r="G37" s="2" t="n">
        <v>-0.54</v>
      </c>
      <c r="H37" s="1" t="n">
        <v>-3.75</v>
      </c>
      <c r="I37" s="1" t="n">
        <v>-0.54</v>
      </c>
      <c r="J37" s="0" t="n">
        <v>0</v>
      </c>
      <c r="K37" s="2" t="n">
        <v>-0.46</v>
      </c>
      <c r="L37" s="0" t="n">
        <v>3.75</v>
      </c>
      <c r="M37" s="2" t="n">
        <v>-0.54</v>
      </c>
      <c r="N37" s="1" t="n">
        <v>8.28</v>
      </c>
      <c r="O37" s="1" t="n">
        <v>-0.54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66.95</v>
      </c>
      <c r="D38" s="0" t="n">
        <v>9</v>
      </c>
      <c r="E38" s="0" t="n">
        <v>6.03</v>
      </c>
      <c r="F38" s="0" t="n">
        <v>-10.45</v>
      </c>
      <c r="G38" s="2" t="n">
        <v>1.86</v>
      </c>
      <c r="H38" s="1" t="n">
        <v>-3.75</v>
      </c>
      <c r="I38" s="1" t="n">
        <v>1.86</v>
      </c>
      <c r="J38" s="0" t="n">
        <v>0</v>
      </c>
      <c r="K38" s="2" t="n">
        <v>1.95</v>
      </c>
      <c r="L38" s="0" t="n">
        <v>3.75</v>
      </c>
      <c r="M38" s="2" t="n">
        <v>1.86</v>
      </c>
      <c r="N38" s="1" t="n">
        <v>10.45</v>
      </c>
      <c r="O38" s="1" t="n">
        <v>1.86</v>
      </c>
      <c r="P38" s="0" t="n">
        <v>26.61</v>
      </c>
      <c r="Q38" s="0" t="n">
        <v>11.55</v>
      </c>
    </row>
    <row r="39" customFormat="false" ht="15" hidden="false" customHeight="false" outlineLevel="0" collapsed="false">
      <c r="D39" s="0" t="n">
        <v>8</v>
      </c>
      <c r="E39" s="0" t="n">
        <v>3.67</v>
      </c>
      <c r="F39" s="0" t="n">
        <v>-4.67</v>
      </c>
      <c r="G39" s="2" t="n">
        <v>1.56</v>
      </c>
      <c r="H39" s="1" t="n">
        <v>-3.75</v>
      </c>
      <c r="I39" s="1" t="n">
        <v>1.56</v>
      </c>
      <c r="J39" s="0" t="n">
        <v>0</v>
      </c>
      <c r="K39" s="2" t="n">
        <v>1.65</v>
      </c>
      <c r="L39" s="0" t="n">
        <v>3.75</v>
      </c>
      <c r="M39" s="2" t="n">
        <v>1.56</v>
      </c>
      <c r="N39" s="1" t="n">
        <v>10.9</v>
      </c>
      <c r="O39" s="1" t="n">
        <v>1.56</v>
      </c>
    </row>
    <row r="40" customFormat="false" ht="15" hidden="false" customHeight="false" outlineLevel="0" collapsed="false">
      <c r="D40" s="0" t="n">
        <v>7</v>
      </c>
      <c r="E40" s="0" t="n">
        <v>3.39</v>
      </c>
      <c r="F40" s="0" t="n">
        <v>-4.42</v>
      </c>
      <c r="G40" s="2" t="n">
        <v>1.26</v>
      </c>
      <c r="H40" s="1" t="n">
        <v>-3.75</v>
      </c>
      <c r="I40" s="1" t="n">
        <v>1.26</v>
      </c>
      <c r="J40" s="0" t="n">
        <v>0</v>
      </c>
      <c r="K40" s="2" t="n">
        <v>1.35</v>
      </c>
      <c r="L40" s="0" t="n">
        <v>3.75</v>
      </c>
      <c r="M40" s="2" t="n">
        <v>1.26</v>
      </c>
      <c r="N40" s="1" t="n">
        <v>7.12</v>
      </c>
      <c r="O40" s="1" t="n">
        <v>1.26</v>
      </c>
    </row>
    <row r="41" customFormat="false" ht="15" hidden="false" customHeight="false" outlineLevel="0" collapsed="false">
      <c r="D41" s="0" t="n">
        <v>6</v>
      </c>
      <c r="E41" s="0" t="n">
        <v>1.98</v>
      </c>
      <c r="F41" s="0" t="n">
        <v>-4.18</v>
      </c>
      <c r="G41" s="2" t="n">
        <v>0.96</v>
      </c>
      <c r="H41" s="1" t="n">
        <v>-3.75</v>
      </c>
      <c r="I41" s="1" t="n">
        <v>0.96</v>
      </c>
      <c r="J41" s="0" t="n">
        <v>0</v>
      </c>
      <c r="K41" s="2" t="n">
        <v>1.05</v>
      </c>
      <c r="L41" s="0" t="n">
        <v>3.75</v>
      </c>
      <c r="M41" s="2" t="n">
        <v>0.96</v>
      </c>
      <c r="N41" s="1" t="n">
        <v>6.85</v>
      </c>
      <c r="O41" s="1" t="n">
        <v>0.96</v>
      </c>
    </row>
    <row r="42" customFormat="false" ht="15" hidden="false" customHeight="false" outlineLevel="0" collapsed="false">
      <c r="D42" s="0" t="n">
        <v>5</v>
      </c>
      <c r="E42" s="0" t="n">
        <v>0</v>
      </c>
    </row>
    <row r="43" customFormat="false" ht="15" hidden="false" customHeight="false" outlineLevel="0" collapsed="false">
      <c r="D43" s="0" t="n">
        <v>4</v>
      </c>
      <c r="E43" s="0" t="n">
        <v>0</v>
      </c>
    </row>
    <row r="44" customFormat="false" ht="15" hidden="false" customHeight="false" outlineLevel="0" collapsed="false">
      <c r="D44" s="0" t="n">
        <v>3</v>
      </c>
      <c r="E44" s="0" t="n">
        <v>0</v>
      </c>
    </row>
    <row r="45" customFormat="false" ht="15" hidden="false" customHeight="false" outlineLevel="0" collapsed="false">
      <c r="D45" s="0" t="n">
        <v>2</v>
      </c>
      <c r="E45" s="0" t="n">
        <v>0</v>
      </c>
    </row>
    <row r="46" customFormat="false" ht="15" hidden="false" customHeight="false" outlineLevel="0" collapsed="false">
      <c r="D46" s="0" t="n">
        <v>1</v>
      </c>
      <c r="E46" s="0" t="n">
        <v>0</v>
      </c>
    </row>
    <row r="47" customFormat="false" ht="15" hidden="false" customHeight="false" outlineLevel="0" collapsed="false">
      <c r="A47" s="1" t="n">
        <v>6</v>
      </c>
      <c r="B47" s="2" t="s">
        <v>22</v>
      </c>
      <c r="C47" s="0" t="n">
        <v>77.63</v>
      </c>
      <c r="D47" s="0" t="n">
        <v>9</v>
      </c>
      <c r="E47" s="0" t="n">
        <v>5.88</v>
      </c>
      <c r="F47" s="0" t="n">
        <v>-10.45</v>
      </c>
      <c r="G47" s="2" t="n">
        <v>1.87</v>
      </c>
      <c r="H47" s="1" t="n">
        <v>-3.75</v>
      </c>
      <c r="I47" s="1" t="n">
        <v>1.87</v>
      </c>
      <c r="J47" s="0" t="n">
        <v>0</v>
      </c>
      <c r="K47" s="2" t="n">
        <v>1.96</v>
      </c>
      <c r="L47" s="0" t="n">
        <v>3.75</v>
      </c>
      <c r="M47" s="2" t="n">
        <v>1.87</v>
      </c>
      <c r="N47" s="1" t="n">
        <v>10.45</v>
      </c>
      <c r="O47" s="1" t="n">
        <v>1.87</v>
      </c>
      <c r="P47" s="0" t="n">
        <v>58.76</v>
      </c>
      <c r="Q47" s="0" t="n">
        <v>11.55</v>
      </c>
    </row>
    <row r="48" customFormat="false" ht="15" hidden="false" customHeight="false" outlineLevel="0" collapsed="false">
      <c r="D48" s="0" t="n">
        <v>8</v>
      </c>
      <c r="E48" s="0" t="n">
        <v>5.7</v>
      </c>
      <c r="F48" s="0" t="n">
        <v>-8.02</v>
      </c>
      <c r="G48" s="2" t="n">
        <v>1.57</v>
      </c>
      <c r="H48" s="1" t="n">
        <v>-3.75</v>
      </c>
      <c r="I48" s="1" t="n">
        <v>1.57</v>
      </c>
      <c r="J48" s="0" t="n">
        <v>0</v>
      </c>
      <c r="K48" s="2" t="n">
        <v>1.66</v>
      </c>
      <c r="L48" s="0" t="n">
        <v>3.75</v>
      </c>
      <c r="M48" s="2" t="n">
        <v>1.57</v>
      </c>
      <c r="N48" s="1" t="n">
        <v>10.9</v>
      </c>
      <c r="O48" s="1" t="n">
        <v>1.57</v>
      </c>
    </row>
    <row r="49" customFormat="false" ht="15" hidden="false" customHeight="false" outlineLevel="0" collapsed="false">
      <c r="D49" s="0" t="n">
        <v>7</v>
      </c>
      <c r="E49" s="0" t="n">
        <v>5.74</v>
      </c>
      <c r="F49" s="0" t="n">
        <v>-7.72</v>
      </c>
      <c r="G49" s="2" t="n">
        <v>1.27</v>
      </c>
      <c r="H49" s="1" t="n">
        <v>-3.75</v>
      </c>
      <c r="I49" s="1" t="n">
        <v>1.27</v>
      </c>
      <c r="J49" s="0" t="n">
        <v>0</v>
      </c>
      <c r="K49" s="2" t="n">
        <v>1.36</v>
      </c>
      <c r="L49" s="0" t="n">
        <v>3.75</v>
      </c>
      <c r="M49" s="2" t="n">
        <v>1.27</v>
      </c>
      <c r="N49" s="1" t="n">
        <v>11.35</v>
      </c>
      <c r="O49" s="1" t="n">
        <v>1.27</v>
      </c>
    </row>
    <row r="50" customFormat="false" ht="15" hidden="false" customHeight="false" outlineLevel="0" collapsed="false">
      <c r="D50" s="0" t="n">
        <v>6</v>
      </c>
      <c r="E50" s="0" t="n">
        <v>5.79</v>
      </c>
      <c r="F50" s="0" t="n">
        <v>-7.42</v>
      </c>
      <c r="G50" s="2" t="n">
        <v>0.97</v>
      </c>
      <c r="H50" s="1" t="n">
        <v>-3.75</v>
      </c>
      <c r="I50" s="1" t="n">
        <v>0.97</v>
      </c>
      <c r="J50" s="0" t="n">
        <v>0</v>
      </c>
      <c r="K50" s="2" t="n">
        <v>1.06</v>
      </c>
      <c r="L50" s="0" t="n">
        <v>3.75</v>
      </c>
      <c r="M50" s="2" t="n">
        <v>0.97</v>
      </c>
      <c r="N50" s="1" t="n">
        <v>11.8</v>
      </c>
      <c r="O50" s="1" t="n">
        <v>0.97</v>
      </c>
    </row>
    <row r="51" customFormat="false" ht="15" hidden="false" customHeight="false" outlineLevel="0" collapsed="false">
      <c r="D51" s="0" t="n">
        <v>5</v>
      </c>
      <c r="E51" s="0" t="n">
        <v>5.83</v>
      </c>
      <c r="F51" s="0" t="n">
        <v>-7.12</v>
      </c>
      <c r="G51" s="2" t="n">
        <v>0.67</v>
      </c>
      <c r="H51" s="1" t="n">
        <v>-3.75</v>
      </c>
      <c r="I51" s="1" t="n">
        <v>0.67</v>
      </c>
      <c r="J51" s="0" t="n">
        <v>0</v>
      </c>
      <c r="K51" s="2" t="n">
        <v>0.76</v>
      </c>
      <c r="L51" s="0" t="n">
        <v>3.75</v>
      </c>
      <c r="M51" s="2" t="n">
        <v>0.67</v>
      </c>
      <c r="N51" s="1" t="n">
        <v>12.25</v>
      </c>
      <c r="O51" s="1" t="n">
        <v>0.67</v>
      </c>
    </row>
    <row r="52" customFormat="false" ht="15" hidden="false" customHeight="false" outlineLevel="0" collapsed="false">
      <c r="D52" s="0" t="n">
        <v>4</v>
      </c>
      <c r="E52" s="0" t="n">
        <v>5.88</v>
      </c>
      <c r="F52" s="0" t="n">
        <v>-6.82</v>
      </c>
      <c r="G52" s="2" t="n">
        <v>0.37</v>
      </c>
      <c r="H52" s="1" t="n">
        <v>-3.75</v>
      </c>
      <c r="I52" s="1" t="n">
        <v>0.37</v>
      </c>
      <c r="J52" s="0" t="n">
        <v>0</v>
      </c>
      <c r="K52" s="2" t="n">
        <v>0.46</v>
      </c>
      <c r="L52" s="0" t="n">
        <v>3.75</v>
      </c>
      <c r="M52" s="2" t="n">
        <v>0.37</v>
      </c>
      <c r="N52" s="1" t="n">
        <v>12.7</v>
      </c>
      <c r="O52" s="1" t="n">
        <v>0.37</v>
      </c>
    </row>
    <row r="53" customFormat="false" ht="15" hidden="false" customHeight="false" outlineLevel="0" collapsed="false">
      <c r="D53" s="0" t="n">
        <v>3</v>
      </c>
      <c r="E53" s="0" t="n">
        <v>5.92</v>
      </c>
      <c r="F53" s="0" t="n">
        <v>-6.52</v>
      </c>
      <c r="G53" s="2" t="n">
        <v>0.07</v>
      </c>
      <c r="H53" s="1" t="n">
        <v>-3.75</v>
      </c>
      <c r="I53" s="1" t="n">
        <v>0.07</v>
      </c>
      <c r="J53" s="0" t="n">
        <v>0</v>
      </c>
      <c r="K53" s="2" t="n">
        <v>0.16</v>
      </c>
      <c r="L53" s="0" t="n">
        <v>3.75</v>
      </c>
      <c r="M53" s="2" t="n">
        <v>0.07</v>
      </c>
      <c r="N53" s="1" t="n">
        <v>13.15</v>
      </c>
      <c r="O53" s="1" t="n">
        <v>0.07</v>
      </c>
    </row>
    <row r="54" customFormat="false" ht="15" hidden="false" customHeight="false" outlineLevel="0" collapsed="false">
      <c r="D54" s="0" t="n">
        <v>2</v>
      </c>
      <c r="E54" s="0" t="n">
        <v>4.65</v>
      </c>
      <c r="F54" s="0" t="n">
        <v>-6.22</v>
      </c>
      <c r="G54" s="2" t="n">
        <v>-0.23</v>
      </c>
      <c r="H54" s="1" t="n">
        <v>-3.75</v>
      </c>
      <c r="I54" s="1" t="n">
        <v>-0.23</v>
      </c>
      <c r="J54" s="0" t="n">
        <v>0</v>
      </c>
      <c r="K54" s="2" t="n">
        <v>-0.14</v>
      </c>
      <c r="L54" s="0" t="n">
        <v>3.75</v>
      </c>
      <c r="M54" s="2" t="n">
        <v>-0.23</v>
      </c>
      <c r="N54" s="1" t="n">
        <v>13.6</v>
      </c>
      <c r="O54" s="1" t="n">
        <v>-0.23</v>
      </c>
    </row>
    <row r="55" customFormat="false" ht="15" hidden="false" customHeight="false" outlineLevel="0" collapsed="false">
      <c r="D55" s="0" t="n">
        <v>1</v>
      </c>
      <c r="E55" s="0" t="n">
        <v>1.82</v>
      </c>
      <c r="F55" s="0" t="n">
        <v>-5.92</v>
      </c>
      <c r="G55" s="2" t="n">
        <v>-0.53</v>
      </c>
      <c r="H55" s="1" t="n">
        <v>-3.75</v>
      </c>
      <c r="I55" s="1" t="n">
        <v>-0.53</v>
      </c>
      <c r="J55" s="0" t="n">
        <v>0</v>
      </c>
      <c r="K55" s="2" t="n">
        <v>-0.44</v>
      </c>
      <c r="L55" s="0" t="n">
        <v>3.75</v>
      </c>
      <c r="M55" s="2" t="n">
        <v>-0.53</v>
      </c>
      <c r="N55" s="1" t="n">
        <v>8.78</v>
      </c>
      <c r="O55" s="1" t="n">
        <v>-0.53</v>
      </c>
    </row>
    <row r="56" customFormat="false" ht="15" hidden="false" customHeight="false" outlineLevel="0" collapsed="false">
      <c r="A56" s="1" t="n">
        <v>7</v>
      </c>
      <c r="B56" s="2" t="s">
        <v>23</v>
      </c>
      <c r="C56" s="0" t="n">
        <v>94.8</v>
      </c>
      <c r="D56" s="0" t="n">
        <v>9</v>
      </c>
      <c r="E56" s="0" t="n">
        <v>6.41</v>
      </c>
      <c r="F56" s="0" t="n">
        <v>-10.45</v>
      </c>
      <c r="G56" s="2" t="n">
        <v>1.88</v>
      </c>
      <c r="H56" s="1" t="n">
        <v>-3.75</v>
      </c>
      <c r="I56" s="1" t="n">
        <v>1.88</v>
      </c>
      <c r="J56" s="0" t="n">
        <v>0</v>
      </c>
      <c r="K56" s="2" t="n">
        <v>1.96</v>
      </c>
      <c r="L56" s="0" t="n">
        <v>3.75</v>
      </c>
      <c r="M56" s="2" t="n">
        <v>1.88</v>
      </c>
      <c r="N56" s="1" t="n">
        <v>10.45</v>
      </c>
      <c r="O56" s="1" t="n">
        <v>1.88</v>
      </c>
      <c r="P56" s="0" t="n">
        <v>68.72</v>
      </c>
      <c r="Q56" s="0" t="n">
        <v>11.55</v>
      </c>
    </row>
    <row r="57" customFormat="false" ht="15" hidden="false" customHeight="false" outlineLevel="0" collapsed="false">
      <c r="D57" s="0" t="n">
        <v>8</v>
      </c>
      <c r="E57" s="0" t="n">
        <v>6.68</v>
      </c>
      <c r="F57" s="0" t="n">
        <v>-10.9</v>
      </c>
      <c r="G57" s="2" t="n">
        <v>1.58</v>
      </c>
      <c r="H57" s="1" t="n">
        <v>-3.75</v>
      </c>
      <c r="I57" s="1" t="n">
        <v>1.58</v>
      </c>
      <c r="J57" s="0" t="n">
        <v>0</v>
      </c>
      <c r="K57" s="2" t="n">
        <v>1.66</v>
      </c>
      <c r="L57" s="0" t="n">
        <v>3.75</v>
      </c>
      <c r="M57" s="2" t="n">
        <v>1.58</v>
      </c>
      <c r="N57" s="1" t="n">
        <v>10.9</v>
      </c>
      <c r="O57" s="1" t="n">
        <v>1.58</v>
      </c>
    </row>
    <row r="58" customFormat="false" ht="15" hidden="false" customHeight="false" outlineLevel="0" collapsed="false">
      <c r="D58" s="0" t="n">
        <v>7</v>
      </c>
      <c r="E58" s="0" t="n">
        <v>6.95</v>
      </c>
      <c r="F58" s="0" t="n">
        <v>-11.35</v>
      </c>
      <c r="G58" s="2" t="n">
        <v>1.28</v>
      </c>
      <c r="H58" s="1" t="n">
        <v>-3.75</v>
      </c>
      <c r="I58" s="1" t="n">
        <v>1.28</v>
      </c>
      <c r="J58" s="0" t="n">
        <v>0</v>
      </c>
      <c r="K58" s="2" t="n">
        <v>1.36</v>
      </c>
      <c r="L58" s="0" t="n">
        <v>3.75</v>
      </c>
      <c r="M58" s="2" t="n">
        <v>1.28</v>
      </c>
      <c r="N58" s="1" t="n">
        <v>11.35</v>
      </c>
      <c r="O58" s="1" t="n">
        <v>1.28</v>
      </c>
    </row>
    <row r="59" customFormat="false" ht="15" hidden="false" customHeight="false" outlineLevel="0" collapsed="false">
      <c r="D59" s="0" t="n">
        <v>6</v>
      </c>
      <c r="E59" s="0" t="n">
        <v>7.15</v>
      </c>
      <c r="F59" s="0" t="n">
        <v>-11.8</v>
      </c>
      <c r="G59" s="2" t="n">
        <v>0.98</v>
      </c>
      <c r="H59" s="1" t="n">
        <v>-3.75</v>
      </c>
      <c r="I59" s="1" t="n">
        <v>0.98</v>
      </c>
      <c r="J59" s="0" t="n">
        <v>0</v>
      </c>
      <c r="K59" s="2" t="n">
        <v>1.06</v>
      </c>
      <c r="L59" s="0" t="n">
        <v>3.75</v>
      </c>
      <c r="M59" s="2" t="n">
        <v>0.98</v>
      </c>
      <c r="N59" s="1" t="n">
        <v>11.8</v>
      </c>
      <c r="O59" s="1" t="n">
        <v>0.98</v>
      </c>
    </row>
    <row r="60" customFormat="false" ht="15" hidden="false" customHeight="false" outlineLevel="0" collapsed="false">
      <c r="D60" s="0" t="n">
        <v>5</v>
      </c>
      <c r="E60" s="0" t="n">
        <v>7.25</v>
      </c>
      <c r="F60" s="0" t="n">
        <v>-11.76</v>
      </c>
      <c r="G60" s="2" t="n">
        <v>0.68</v>
      </c>
      <c r="H60" s="1" t="n">
        <v>-3.75</v>
      </c>
      <c r="I60" s="1" t="n">
        <v>0.68</v>
      </c>
      <c r="J60" s="0" t="n">
        <v>0</v>
      </c>
      <c r="K60" s="2" t="n">
        <v>0.76</v>
      </c>
      <c r="L60" s="0" t="n">
        <v>3.75</v>
      </c>
      <c r="M60" s="2" t="n">
        <v>0.68</v>
      </c>
      <c r="N60" s="1" t="n">
        <v>12.25</v>
      </c>
      <c r="O60" s="1" t="n">
        <v>0.68</v>
      </c>
    </row>
    <row r="61" customFormat="false" ht="15" hidden="false" customHeight="false" outlineLevel="0" collapsed="false">
      <c r="D61" s="0" t="n">
        <v>4</v>
      </c>
      <c r="E61" s="0" t="n">
        <v>7.35</v>
      </c>
      <c r="F61" s="0" t="n">
        <v>-11.65</v>
      </c>
      <c r="G61" s="2" t="n">
        <v>0.38</v>
      </c>
      <c r="H61" s="1" t="n">
        <v>-3.75</v>
      </c>
      <c r="I61" s="1" t="n">
        <v>0.38</v>
      </c>
      <c r="J61" s="0" t="n">
        <v>0</v>
      </c>
      <c r="K61" s="2" t="n">
        <v>0.46</v>
      </c>
      <c r="L61" s="0" t="n">
        <v>3.75</v>
      </c>
      <c r="M61" s="2" t="n">
        <v>0.38</v>
      </c>
      <c r="N61" s="1" t="n">
        <v>12.7</v>
      </c>
      <c r="O61" s="1" t="n">
        <v>0.38</v>
      </c>
    </row>
    <row r="62" customFormat="false" ht="15" hidden="false" customHeight="false" outlineLevel="0" collapsed="false">
      <c r="D62" s="0" t="n">
        <v>3</v>
      </c>
      <c r="E62" s="0" t="n">
        <v>6.96</v>
      </c>
      <c r="F62" s="0" t="n">
        <v>-11.53</v>
      </c>
      <c r="G62" s="2" t="n">
        <v>0.08</v>
      </c>
      <c r="H62" s="1" t="n">
        <v>-3.75</v>
      </c>
      <c r="I62" s="1" t="n">
        <v>0.08</v>
      </c>
      <c r="J62" s="0" t="n">
        <v>0</v>
      </c>
      <c r="K62" s="2" t="n">
        <v>0.16</v>
      </c>
      <c r="L62" s="0" t="n">
        <v>3.75</v>
      </c>
      <c r="M62" s="2" t="n">
        <v>0.08</v>
      </c>
      <c r="N62" s="1" t="n">
        <v>13.15</v>
      </c>
      <c r="O62" s="1" t="n">
        <v>0.08</v>
      </c>
    </row>
    <row r="63" customFormat="false" ht="15" hidden="false" customHeight="false" outlineLevel="0" collapsed="false">
      <c r="D63" s="0" t="n">
        <v>2</v>
      </c>
      <c r="E63" s="0" t="n">
        <v>5.38</v>
      </c>
      <c r="F63" s="0" t="n">
        <v>-11.42</v>
      </c>
      <c r="G63" s="2" t="n">
        <v>-0.22</v>
      </c>
      <c r="H63" s="1" t="n">
        <v>-3.75</v>
      </c>
      <c r="I63" s="1" t="n">
        <v>-0.22</v>
      </c>
      <c r="J63" s="0" t="n">
        <v>0</v>
      </c>
      <c r="K63" s="2" t="n">
        <v>-0.14</v>
      </c>
      <c r="L63" s="0" t="n">
        <v>3.75</v>
      </c>
      <c r="M63" s="2" t="n">
        <v>-0.22</v>
      </c>
      <c r="N63" s="1" t="n">
        <v>8.77</v>
      </c>
      <c r="O63" s="1" t="n">
        <v>-0.22</v>
      </c>
    </row>
    <row r="64" customFormat="false" ht="15" hidden="false" customHeight="false" outlineLevel="0" collapsed="false">
      <c r="D64" s="0" t="n">
        <v>1</v>
      </c>
      <c r="E64" s="0" t="n">
        <v>3.06</v>
      </c>
      <c r="F64" s="0" t="n">
        <v>-8.81</v>
      </c>
      <c r="G64" s="2" t="n">
        <v>-0.52</v>
      </c>
      <c r="H64" s="1" t="n">
        <v>-3.75</v>
      </c>
      <c r="I64" s="1" t="n">
        <v>-0.52</v>
      </c>
      <c r="J64" s="0" t="n">
        <v>0</v>
      </c>
      <c r="K64" s="2" t="n">
        <v>-0.44</v>
      </c>
      <c r="L64" s="0" t="n">
        <v>3.75</v>
      </c>
      <c r="M64" s="2" t="n">
        <v>-0.52</v>
      </c>
      <c r="N64" s="1" t="n">
        <v>8.47</v>
      </c>
      <c r="O64" s="1" t="n">
        <v>-0.52</v>
      </c>
    </row>
    <row r="65" customFormat="false" ht="15" hidden="false" customHeight="false" outlineLevel="0" collapsed="false">
      <c r="A65" s="1" t="n">
        <v>8</v>
      </c>
      <c r="B65" s="2" t="s">
        <v>24</v>
      </c>
      <c r="C65" s="0" t="n">
        <v>111.97</v>
      </c>
      <c r="D65" s="0" t="n">
        <v>9</v>
      </c>
      <c r="E65" s="0" t="n">
        <v>6.41</v>
      </c>
      <c r="F65" s="0" t="n">
        <v>-10.45</v>
      </c>
      <c r="G65" s="2" t="n">
        <v>1.89</v>
      </c>
      <c r="H65" s="1" t="n">
        <v>-3.75</v>
      </c>
      <c r="I65" s="1" t="n">
        <v>1.89</v>
      </c>
      <c r="J65" s="0" t="n">
        <v>0</v>
      </c>
      <c r="K65" s="2" t="n">
        <v>1.97</v>
      </c>
      <c r="L65" s="0" t="n">
        <v>3.75</v>
      </c>
      <c r="M65" s="2" t="n">
        <v>1.89</v>
      </c>
      <c r="N65" s="1" t="n">
        <v>10.45</v>
      </c>
      <c r="O65" s="1" t="n">
        <v>1.89</v>
      </c>
      <c r="P65" s="0" t="n">
        <v>68.95</v>
      </c>
      <c r="Q65" s="0" t="n">
        <v>11.55</v>
      </c>
    </row>
    <row r="66" customFormat="false" ht="15" hidden="false" customHeight="false" outlineLevel="0" collapsed="false">
      <c r="D66" s="0" t="n">
        <v>8</v>
      </c>
      <c r="E66" s="0" t="n">
        <v>6.68</v>
      </c>
      <c r="F66" s="0" t="n">
        <v>-10.9</v>
      </c>
      <c r="G66" s="2" t="n">
        <v>1.59</v>
      </c>
      <c r="H66" s="1" t="n">
        <v>-3.75</v>
      </c>
      <c r="I66" s="1" t="n">
        <v>1.59</v>
      </c>
      <c r="J66" s="0" t="n">
        <v>0</v>
      </c>
      <c r="K66" s="2" t="n">
        <v>1.67</v>
      </c>
      <c r="L66" s="0" t="n">
        <v>3.75</v>
      </c>
      <c r="M66" s="2" t="n">
        <v>1.59</v>
      </c>
      <c r="N66" s="1" t="n">
        <v>10.9</v>
      </c>
      <c r="O66" s="1" t="n">
        <v>1.59</v>
      </c>
    </row>
    <row r="67" customFormat="false" ht="15" hidden="false" customHeight="false" outlineLevel="0" collapsed="false">
      <c r="D67" s="0" t="n">
        <v>7</v>
      </c>
      <c r="E67" s="0" t="n">
        <v>6.92</v>
      </c>
      <c r="F67" s="0" t="n">
        <v>-11.35</v>
      </c>
      <c r="G67" s="2" t="n">
        <v>1.29</v>
      </c>
      <c r="H67" s="1" t="n">
        <v>-3.75</v>
      </c>
      <c r="I67" s="1" t="n">
        <v>1.29</v>
      </c>
      <c r="J67" s="0" t="n">
        <v>0</v>
      </c>
      <c r="K67" s="2" t="n">
        <v>1.37</v>
      </c>
      <c r="L67" s="0" t="n">
        <v>3.75</v>
      </c>
      <c r="M67" s="2" t="n">
        <v>1.29</v>
      </c>
      <c r="N67" s="1" t="n">
        <v>11.35</v>
      </c>
      <c r="O67" s="1" t="n">
        <v>1.29</v>
      </c>
    </row>
    <row r="68" customFormat="false" ht="15" hidden="false" customHeight="false" outlineLevel="0" collapsed="false">
      <c r="D68" s="0" t="n">
        <v>6</v>
      </c>
      <c r="E68" s="0" t="n">
        <v>7.04</v>
      </c>
      <c r="F68" s="0" t="n">
        <v>-11.48</v>
      </c>
      <c r="G68" s="2" t="n">
        <v>0.99</v>
      </c>
      <c r="H68" s="1" t="n">
        <v>-3.75</v>
      </c>
      <c r="I68" s="1" t="n">
        <v>0.99</v>
      </c>
      <c r="J68" s="0" t="n">
        <v>0</v>
      </c>
      <c r="K68" s="2" t="n">
        <v>1.07</v>
      </c>
      <c r="L68" s="0" t="n">
        <v>3.75</v>
      </c>
      <c r="M68" s="2" t="n">
        <v>0.99</v>
      </c>
      <c r="N68" s="1" t="n">
        <v>11.8</v>
      </c>
      <c r="O68" s="1" t="n">
        <v>0.99</v>
      </c>
    </row>
    <row r="69" customFormat="false" ht="15" hidden="false" customHeight="false" outlineLevel="0" collapsed="false">
      <c r="D69" s="0" t="n">
        <v>5</v>
      </c>
      <c r="E69" s="0" t="n">
        <v>7.14</v>
      </c>
      <c r="F69" s="0" t="n">
        <v>-11.37</v>
      </c>
      <c r="G69" s="2" t="n">
        <v>0.69</v>
      </c>
      <c r="H69" s="1" t="n">
        <v>-3.75</v>
      </c>
      <c r="I69" s="1" t="n">
        <v>0.69</v>
      </c>
      <c r="J69" s="0" t="n">
        <v>0</v>
      </c>
      <c r="K69" s="2" t="n">
        <v>0.77</v>
      </c>
      <c r="L69" s="0" t="n">
        <v>3.75</v>
      </c>
      <c r="M69" s="2" t="n">
        <v>0.69</v>
      </c>
      <c r="N69" s="1" t="n">
        <v>12.25</v>
      </c>
      <c r="O69" s="1" t="n">
        <v>0.69</v>
      </c>
    </row>
    <row r="70" customFormat="false" ht="15" hidden="false" customHeight="false" outlineLevel="0" collapsed="false">
      <c r="D70" s="0" t="n">
        <v>4</v>
      </c>
      <c r="E70" s="0" t="n">
        <v>7.24</v>
      </c>
      <c r="F70" s="0" t="n">
        <v>-11.25</v>
      </c>
      <c r="G70" s="2" t="n">
        <v>0.39</v>
      </c>
      <c r="H70" s="1" t="n">
        <v>-3.75</v>
      </c>
      <c r="I70" s="1" t="n">
        <v>0.39</v>
      </c>
      <c r="J70" s="0" t="n">
        <v>0</v>
      </c>
      <c r="K70" s="2" t="n">
        <v>0.47</v>
      </c>
      <c r="L70" s="0" t="n">
        <v>3.75</v>
      </c>
      <c r="M70" s="2" t="n">
        <v>0.39</v>
      </c>
      <c r="N70" s="1" t="n">
        <v>12.7</v>
      </c>
      <c r="O70" s="1" t="n">
        <v>0.39</v>
      </c>
    </row>
    <row r="71" customFormat="false" ht="15" hidden="false" customHeight="false" outlineLevel="0" collapsed="false">
      <c r="D71" s="0" t="n">
        <v>3</v>
      </c>
      <c r="E71" s="0" t="n">
        <v>6.62</v>
      </c>
      <c r="F71" s="0" t="n">
        <v>-11.14</v>
      </c>
      <c r="G71" s="2" t="n">
        <v>0.09</v>
      </c>
      <c r="H71" s="1" t="n">
        <v>-3.75</v>
      </c>
      <c r="I71" s="1" t="n">
        <v>0.09</v>
      </c>
      <c r="J71" s="0" t="n">
        <v>0</v>
      </c>
      <c r="K71" s="2" t="n">
        <v>0.17</v>
      </c>
      <c r="L71" s="0" t="n">
        <v>3.75</v>
      </c>
      <c r="M71" s="2" t="n">
        <v>0.09</v>
      </c>
      <c r="N71" s="1" t="n">
        <v>13.15</v>
      </c>
      <c r="O71" s="1" t="n">
        <v>0.09</v>
      </c>
    </row>
    <row r="72" customFormat="false" ht="15" hidden="false" customHeight="false" outlineLevel="0" collapsed="false">
      <c r="D72" s="0" t="n">
        <v>2</v>
      </c>
      <c r="E72" s="0" t="n">
        <v>5.36</v>
      </c>
      <c r="F72" s="0" t="n">
        <v>-11.03</v>
      </c>
      <c r="G72" s="2" t="n">
        <v>-0.21</v>
      </c>
      <c r="H72" s="1" t="n">
        <v>-3.75</v>
      </c>
      <c r="I72" s="1" t="n">
        <v>-0.21</v>
      </c>
      <c r="J72" s="0" t="n">
        <v>0</v>
      </c>
      <c r="K72" s="2" t="n">
        <v>-0.13</v>
      </c>
      <c r="L72" s="0" t="n">
        <v>3.75</v>
      </c>
      <c r="M72" s="2" t="n">
        <v>-0.21</v>
      </c>
      <c r="N72" s="1" t="n">
        <v>8.67</v>
      </c>
      <c r="O72" s="1" t="n">
        <v>-0.21</v>
      </c>
    </row>
    <row r="73" customFormat="false" ht="15" hidden="false" customHeight="false" outlineLevel="0" collapsed="false">
      <c r="D73" s="0" t="n">
        <v>1</v>
      </c>
      <c r="E73" s="0" t="n">
        <v>4.01</v>
      </c>
      <c r="F73" s="0" t="n">
        <v>-8.85</v>
      </c>
      <c r="G73" s="2" t="n">
        <v>-0.51</v>
      </c>
      <c r="H73" s="1" t="n">
        <v>-3.75</v>
      </c>
      <c r="I73" s="1" t="n">
        <v>-0.51</v>
      </c>
      <c r="J73" s="0" t="n">
        <v>0</v>
      </c>
      <c r="K73" s="2" t="n">
        <v>-0.43</v>
      </c>
      <c r="L73" s="0" t="n">
        <v>3.75</v>
      </c>
      <c r="M73" s="2" t="n">
        <v>-0.51</v>
      </c>
      <c r="N73" s="1" t="n">
        <v>8.37</v>
      </c>
      <c r="O73" s="1" t="n">
        <v>-0.51</v>
      </c>
    </row>
    <row r="74" customFormat="false" ht="15" hidden="false" customHeight="false" outlineLevel="0" collapsed="false">
      <c r="A74" s="1" t="n">
        <v>9</v>
      </c>
      <c r="B74" s="2" t="s">
        <v>25</v>
      </c>
      <c r="C74" s="0" t="n">
        <v>126.46</v>
      </c>
      <c r="D74" s="0" t="n">
        <v>9</v>
      </c>
      <c r="E74" s="0" t="n">
        <v>6.41</v>
      </c>
      <c r="F74" s="0" t="n">
        <v>-10.45</v>
      </c>
      <c r="G74" s="2" t="n">
        <v>1.89</v>
      </c>
      <c r="H74" s="1" t="n">
        <v>-3.75</v>
      </c>
      <c r="I74" s="1" t="n">
        <v>1.89</v>
      </c>
      <c r="J74" s="0" t="n">
        <v>0</v>
      </c>
      <c r="K74" s="2" t="n">
        <v>1.97</v>
      </c>
      <c r="L74" s="0" t="n">
        <v>3.75</v>
      </c>
      <c r="M74" s="2" t="n">
        <v>1.89</v>
      </c>
      <c r="N74" s="1" t="n">
        <v>10.45</v>
      </c>
      <c r="O74" s="1" t="n">
        <v>1.89</v>
      </c>
      <c r="P74" s="0" t="n">
        <v>59.96</v>
      </c>
      <c r="Q74" s="0" t="n">
        <v>11.55</v>
      </c>
    </row>
    <row r="75" customFormat="false" ht="15" hidden="false" customHeight="false" outlineLevel="0" collapsed="false">
      <c r="D75" s="0" t="n">
        <v>8</v>
      </c>
      <c r="E75" s="0" t="n">
        <v>6.67</v>
      </c>
      <c r="F75" s="0" t="n">
        <v>-10.9</v>
      </c>
      <c r="G75" s="2" t="n">
        <v>1.59</v>
      </c>
      <c r="H75" s="1" t="n">
        <v>-3.75</v>
      </c>
      <c r="I75" s="1" t="n">
        <v>1.59</v>
      </c>
      <c r="J75" s="0" t="n">
        <v>0</v>
      </c>
      <c r="K75" s="2" t="n">
        <v>1.67</v>
      </c>
      <c r="L75" s="0" t="n">
        <v>3.75</v>
      </c>
      <c r="M75" s="2" t="n">
        <v>1.59</v>
      </c>
      <c r="N75" s="1" t="n">
        <v>10.9</v>
      </c>
      <c r="O75" s="1" t="n">
        <v>1.59</v>
      </c>
    </row>
    <row r="76" customFormat="false" ht="15" hidden="false" customHeight="false" outlineLevel="0" collapsed="false">
      <c r="D76" s="0" t="n">
        <v>7</v>
      </c>
      <c r="E76" s="0" t="n">
        <v>6.83</v>
      </c>
      <c r="F76" s="0" t="n">
        <v>-11.23</v>
      </c>
      <c r="G76" s="2" t="n">
        <v>1.29</v>
      </c>
      <c r="H76" s="1" t="n">
        <v>-3.75</v>
      </c>
      <c r="I76" s="1" t="n">
        <v>1.29</v>
      </c>
      <c r="J76" s="0" t="n">
        <v>0</v>
      </c>
      <c r="K76" s="2" t="n">
        <v>1.37</v>
      </c>
      <c r="L76" s="0" t="n">
        <v>3.75</v>
      </c>
      <c r="M76" s="2" t="n">
        <v>1.29</v>
      </c>
      <c r="N76" s="1" t="n">
        <v>11.35</v>
      </c>
      <c r="O76" s="1" t="n">
        <v>1.29</v>
      </c>
    </row>
    <row r="77" customFormat="false" ht="15" hidden="false" customHeight="false" outlineLevel="0" collapsed="false">
      <c r="D77" s="0" t="n">
        <v>6</v>
      </c>
      <c r="E77" s="0" t="n">
        <v>6.92</v>
      </c>
      <c r="F77" s="0" t="n">
        <v>-11.11</v>
      </c>
      <c r="G77" s="2" t="n">
        <v>0.99</v>
      </c>
      <c r="H77" s="1" t="n">
        <v>-3.75</v>
      </c>
      <c r="I77" s="1" t="n">
        <v>0.99</v>
      </c>
      <c r="J77" s="0" t="n">
        <v>0</v>
      </c>
      <c r="K77" s="2" t="n">
        <v>1.07</v>
      </c>
      <c r="L77" s="0" t="n">
        <v>3.75</v>
      </c>
      <c r="M77" s="2" t="n">
        <v>0.99</v>
      </c>
      <c r="N77" s="1" t="n">
        <v>11.8</v>
      </c>
      <c r="O77" s="1" t="n">
        <v>0.99</v>
      </c>
    </row>
    <row r="78" customFormat="false" ht="15" hidden="false" customHeight="false" outlineLevel="0" collapsed="false">
      <c r="D78" s="0" t="n">
        <v>5</v>
      </c>
      <c r="E78" s="0" t="n">
        <v>7.02</v>
      </c>
      <c r="F78" s="0" t="n">
        <v>-10.99</v>
      </c>
      <c r="G78" s="2" t="n">
        <v>0.69</v>
      </c>
      <c r="H78" s="1" t="n">
        <v>-3.75</v>
      </c>
      <c r="I78" s="1" t="n">
        <v>0.69</v>
      </c>
      <c r="J78" s="0" t="n">
        <v>0</v>
      </c>
      <c r="K78" s="2" t="n">
        <v>0.77</v>
      </c>
      <c r="L78" s="0" t="n">
        <v>3.75</v>
      </c>
      <c r="M78" s="2" t="n">
        <v>0.69</v>
      </c>
      <c r="N78" s="1" t="n">
        <v>12.25</v>
      </c>
      <c r="O78" s="1" t="n">
        <v>0.69</v>
      </c>
    </row>
    <row r="79" customFormat="false" ht="15" hidden="false" customHeight="false" outlineLevel="0" collapsed="false">
      <c r="D79" s="0" t="n">
        <v>4</v>
      </c>
      <c r="E79" s="0" t="n">
        <v>7.12</v>
      </c>
      <c r="F79" s="0" t="n">
        <v>-10.87</v>
      </c>
      <c r="G79" s="2" t="n">
        <v>0.39</v>
      </c>
      <c r="H79" s="1" t="n">
        <v>-3.75</v>
      </c>
      <c r="I79" s="1" t="n">
        <v>0.39</v>
      </c>
      <c r="J79" s="0" t="n">
        <v>0</v>
      </c>
      <c r="K79" s="2" t="n">
        <v>0.47</v>
      </c>
      <c r="L79" s="0" t="n">
        <v>3.75</v>
      </c>
      <c r="M79" s="2" t="n">
        <v>0.39</v>
      </c>
      <c r="N79" s="1" t="n">
        <v>12.7</v>
      </c>
      <c r="O79" s="1" t="n">
        <v>0.39</v>
      </c>
    </row>
    <row r="80" customFormat="false" ht="15" hidden="false" customHeight="false" outlineLevel="0" collapsed="false">
      <c r="D80" s="0" t="n">
        <v>3</v>
      </c>
      <c r="E80" s="0" t="n">
        <v>6.24</v>
      </c>
      <c r="F80" s="0" t="n">
        <v>-10.75</v>
      </c>
      <c r="G80" s="2" t="n">
        <v>0.09</v>
      </c>
      <c r="H80" s="1" t="n">
        <v>-3.75</v>
      </c>
      <c r="I80" s="1" t="n">
        <v>0.09</v>
      </c>
      <c r="J80" s="0" t="n">
        <v>0</v>
      </c>
      <c r="K80" s="2" t="n">
        <v>0.17</v>
      </c>
      <c r="L80" s="0" t="n">
        <v>3.75</v>
      </c>
      <c r="M80" s="2" t="n">
        <v>0.09</v>
      </c>
      <c r="N80" s="1" t="n">
        <v>13.15</v>
      </c>
      <c r="O80" s="1" t="n">
        <v>0.09</v>
      </c>
    </row>
    <row r="81" customFormat="false" ht="15" hidden="false" customHeight="false" outlineLevel="0" collapsed="false">
      <c r="D81" s="0" t="n">
        <v>2</v>
      </c>
      <c r="E81" s="0" t="n">
        <v>1.2</v>
      </c>
      <c r="F81" s="0" t="n">
        <v>-10.63</v>
      </c>
      <c r="G81" s="2" t="n">
        <v>-0.21</v>
      </c>
      <c r="H81" s="1" t="n">
        <v>-3.75</v>
      </c>
      <c r="I81" s="1" t="n">
        <v>-0.21</v>
      </c>
      <c r="J81" s="0" t="n">
        <v>0</v>
      </c>
      <c r="K81" s="2" t="n">
        <v>-0.13</v>
      </c>
      <c r="L81" s="0" t="n">
        <v>3.75</v>
      </c>
      <c r="M81" s="2" t="n">
        <v>-0.21</v>
      </c>
      <c r="N81" s="1" t="n">
        <v>3.59</v>
      </c>
      <c r="O81" s="1" t="n">
        <v>-0.2</v>
      </c>
    </row>
    <row r="82" customFormat="false" ht="15" hidden="false" customHeight="false" outlineLevel="0" collapsed="false">
      <c r="D82" s="0" t="n">
        <v>1</v>
      </c>
      <c r="E8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08.NĐXB6A/CVXD ngày 29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8</v>
      </c>
    </row>
    <row r="3" customFormat="false" ht="18.75" hidden="false" customHeight="true" outlineLevel="0" collapsed="false">
      <c r="A3" s="7" t="s">
        <v>28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29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30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1 đoạn từ Km0+000,00 - Km0+126,46,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35</v>
      </c>
      <c r="B19" s="9" t="s">
        <v>36</v>
      </c>
      <c r="C19" s="9" t="s">
        <v>37</v>
      </c>
      <c r="D19" s="10" t="s">
        <v>38</v>
      </c>
      <c r="E19" s="10"/>
      <c r="F19" s="10"/>
      <c r="G19" s="10"/>
      <c r="H19" s="10"/>
      <c r="I19" s="10"/>
      <c r="J19" s="10" t="s">
        <v>39</v>
      </c>
      <c r="K19" s="10"/>
      <c r="L19" s="10"/>
      <c r="M19" s="10" t="s">
        <v>40</v>
      </c>
      <c r="N19" s="10"/>
      <c r="O19" s="10"/>
      <c r="P19" s="10"/>
      <c r="Q19" s="10"/>
      <c r="R19" s="10"/>
      <c r="S19" s="9" t="s">
        <v>41</v>
      </c>
    </row>
    <row r="20" customFormat="false" ht="30" hidden="false" customHeight="true" outlineLevel="0" collapsed="false">
      <c r="A20" s="9"/>
      <c r="B20" s="9"/>
      <c r="C20" s="9"/>
      <c r="D20" s="11" t="s">
        <v>42</v>
      </c>
      <c r="E20" s="11" t="s">
        <v>43</v>
      </c>
      <c r="F20" s="11" t="s">
        <v>44</v>
      </c>
      <c r="G20" s="11" t="s">
        <v>45</v>
      </c>
      <c r="H20" s="11" t="s">
        <v>46</v>
      </c>
      <c r="I20" s="11" t="s">
        <v>47</v>
      </c>
      <c r="J20" s="11" t="s">
        <v>45</v>
      </c>
      <c r="K20" s="11" t="s">
        <v>46</v>
      </c>
      <c r="L20" s="11" t="s">
        <v>47</v>
      </c>
      <c r="M20" s="11" t="s">
        <v>42</v>
      </c>
      <c r="N20" s="11" t="s">
        <v>43</v>
      </c>
      <c r="O20" s="11" t="s">
        <v>44</v>
      </c>
      <c r="P20" s="11" t="s">
        <v>45</v>
      </c>
      <c r="Q20" s="11" t="s">
        <v>46</v>
      </c>
      <c r="R20" s="11" t="s">
        <v>47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18" t="n">
        <v>19.63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19.63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  <c r="T22" s="18" t="n">
        <v>17.17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36.8</v>
      </c>
      <c r="D23" s="16" t="n">
        <f aca="false">+Chạy!F28</f>
        <v>-2.57</v>
      </c>
      <c r="E23" s="16" t="n">
        <f aca="false">+D23+F23</f>
        <v>-2.5707</v>
      </c>
      <c r="F23" s="16" t="n">
        <f aca="false">RANDBETWEEN(-105,115)/10000</f>
        <v>-0.0007</v>
      </c>
      <c r="G23" s="16" t="n">
        <f aca="false">+Chạy!G28</f>
        <v>-0.51</v>
      </c>
      <c r="H23" s="16" t="n">
        <f aca="false">G23+I23</f>
        <v>-0.526</v>
      </c>
      <c r="I23" s="16" t="n">
        <f aca="false">RANDBETWEEN(-30,90)/1000</f>
        <v>-0.016</v>
      </c>
      <c r="J23" s="16" t="n">
        <f aca="false">+Chạy!K28</f>
        <v>-0.46</v>
      </c>
      <c r="K23" s="16" t="n">
        <f aca="false">J23+L23</f>
        <v>-0.412</v>
      </c>
      <c r="L23" s="16" t="n">
        <f aca="false">RANDBETWEEN(-30,90)/1000</f>
        <v>0.048</v>
      </c>
      <c r="M23" s="16" t="n">
        <f aca="false">+Chạy!N28</f>
        <v>2.57</v>
      </c>
      <c r="N23" s="16" t="n">
        <f aca="false">+M23+O23</f>
        <v>2.5694</v>
      </c>
      <c r="O23" s="16" t="n">
        <f aca="false">RANDBETWEEN(-105,115)/10000</f>
        <v>-0.0006</v>
      </c>
      <c r="P23" s="16" t="n">
        <f aca="false">+Chạy!O28</f>
        <v>-0.51</v>
      </c>
      <c r="Q23" s="16" t="n">
        <f aca="false">P23+R23</f>
        <v>-0.487</v>
      </c>
      <c r="R23" s="16" t="n">
        <f aca="false">RANDBETWEEN(-30,90)/1000</f>
        <v>0.023</v>
      </c>
      <c r="S23" s="17"/>
      <c r="T23" s="18" t="n">
        <v>17.18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53.98</v>
      </c>
      <c r="D24" s="16" t="n">
        <f aca="false">+Chạy!F37</f>
        <v>-8.3</v>
      </c>
      <c r="E24" s="16" t="n">
        <f aca="false">+D24+F24</f>
        <v>-8.2957</v>
      </c>
      <c r="F24" s="16" t="n">
        <f aca="false">RANDBETWEEN(-105,115)/10000</f>
        <v>0.0043</v>
      </c>
      <c r="G24" s="16" t="n">
        <f aca="false">+Chạy!G37</f>
        <v>-0.54</v>
      </c>
      <c r="H24" s="16" t="n">
        <f aca="false">G24+I24</f>
        <v>-0.454</v>
      </c>
      <c r="I24" s="16" t="n">
        <f aca="false">RANDBETWEEN(-30,90)/1000</f>
        <v>0.086</v>
      </c>
      <c r="J24" s="16" t="n">
        <f aca="false">+Chạy!K37</f>
        <v>-0.46</v>
      </c>
      <c r="K24" s="16" t="n">
        <f aca="false">J24+L24</f>
        <v>-0.431</v>
      </c>
      <c r="L24" s="16" t="n">
        <f aca="false">RANDBETWEEN(-30,90)/1000</f>
        <v>0.029</v>
      </c>
      <c r="M24" s="16" t="n">
        <f aca="false">+Chạy!N37</f>
        <v>8.28</v>
      </c>
      <c r="N24" s="16" t="n">
        <f aca="false">+M24+O24</f>
        <v>8.2891</v>
      </c>
      <c r="O24" s="16" t="n">
        <f aca="false">RANDBETWEEN(-105,115)/10000</f>
        <v>0.0091</v>
      </c>
      <c r="P24" s="16" t="n">
        <f aca="false">+Chạy!O37</f>
        <v>-0.54</v>
      </c>
      <c r="Q24" s="16" t="n">
        <f aca="false">P24+R24</f>
        <v>-0.505</v>
      </c>
      <c r="R24" s="16" t="n">
        <f aca="false">RANDBETWEEN(-30,90)/1000</f>
        <v>0.035</v>
      </c>
      <c r="S24" s="17"/>
      <c r="T24" s="18" t="n">
        <v>12.97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66.95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T25" s="18" t="n">
        <v>10.68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77.63</v>
      </c>
      <c r="D26" s="16" t="n">
        <f aca="false">+Chạy!F55</f>
        <v>-5.92</v>
      </c>
      <c r="E26" s="16" t="n">
        <f aca="false">+D26+F26</f>
        <v>-5.9262</v>
      </c>
      <c r="F26" s="16" t="n">
        <f aca="false">RANDBETWEEN(-105,115)/10000</f>
        <v>-0.0062</v>
      </c>
      <c r="G26" s="16" t="n">
        <f aca="false">+Chạy!G55</f>
        <v>-0.53</v>
      </c>
      <c r="H26" s="16" t="n">
        <f aca="false">G26+I26</f>
        <v>-0.482</v>
      </c>
      <c r="I26" s="16" t="n">
        <f aca="false">RANDBETWEEN(-30,90)/1000</f>
        <v>0.048</v>
      </c>
      <c r="J26" s="16" t="n">
        <f aca="false">+Chạy!K55</f>
        <v>-0.44</v>
      </c>
      <c r="K26" s="16" t="n">
        <f aca="false">J26+L26</f>
        <v>-0.467</v>
      </c>
      <c r="L26" s="16" t="n">
        <f aca="false">RANDBETWEEN(-30,90)/1000</f>
        <v>-0.027</v>
      </c>
      <c r="M26" s="16" t="n">
        <f aca="false">+Chạy!N55</f>
        <v>8.78</v>
      </c>
      <c r="N26" s="16" t="n">
        <f aca="false">+M26+O26</f>
        <v>8.7824</v>
      </c>
      <c r="O26" s="16" t="n">
        <f aca="false">RANDBETWEEN(-105,115)/10000</f>
        <v>0.0024</v>
      </c>
      <c r="P26" s="16" t="n">
        <f aca="false">+Chạy!O55</f>
        <v>-0.53</v>
      </c>
      <c r="Q26" s="16" t="n">
        <f aca="false">P26+R26</f>
        <v>-0.549</v>
      </c>
      <c r="R26" s="16" t="n">
        <f aca="false">RANDBETWEEN(-30,90)/1000</f>
        <v>-0.019</v>
      </c>
      <c r="S26" s="17"/>
      <c r="T26" s="18" t="n">
        <v>17.17</v>
      </c>
    </row>
    <row r="27" customFormat="false" ht="17.25" hidden="false" customHeight="true" outlineLevel="0" collapsed="false">
      <c r="A27" s="13" t="n">
        <v>7</v>
      </c>
      <c r="B27" s="14" t="s">
        <v>23</v>
      </c>
      <c r="C27" s="15" t="n">
        <f aca="false">+C26+T26</f>
        <v>94.8</v>
      </c>
      <c r="D27" s="16" t="n">
        <f aca="false">+Chạy!F64</f>
        <v>-8.81</v>
      </c>
      <c r="E27" s="16" t="n">
        <f aca="false">+D27+F27</f>
        <v>-8.8168</v>
      </c>
      <c r="F27" s="16" t="n">
        <f aca="false">RANDBETWEEN(-105,115)/10000</f>
        <v>-0.0068</v>
      </c>
      <c r="G27" s="16" t="n">
        <f aca="false">+Chạy!G64</f>
        <v>-0.52</v>
      </c>
      <c r="H27" s="16" t="n">
        <f aca="false">G27+I27</f>
        <v>-0.437</v>
      </c>
      <c r="I27" s="16" t="n">
        <f aca="false">RANDBETWEEN(-30,90)/1000</f>
        <v>0.083</v>
      </c>
      <c r="J27" s="16" t="n">
        <f aca="false">+Chạy!K64</f>
        <v>-0.44</v>
      </c>
      <c r="K27" s="16" t="n">
        <f aca="false">J27+L27</f>
        <v>-0.408</v>
      </c>
      <c r="L27" s="16" t="n">
        <f aca="false">RANDBETWEEN(-30,90)/1000</f>
        <v>0.032</v>
      </c>
      <c r="M27" s="16" t="n">
        <f aca="false">+Chạy!N64</f>
        <v>8.47</v>
      </c>
      <c r="N27" s="16" t="n">
        <f aca="false">+M27+O27</f>
        <v>8.4751</v>
      </c>
      <c r="O27" s="16" t="n">
        <f aca="false">RANDBETWEEN(-105,115)/10000</f>
        <v>0.0051</v>
      </c>
      <c r="P27" s="16" t="n">
        <f aca="false">+Chạy!O64</f>
        <v>-0.52</v>
      </c>
      <c r="Q27" s="16" t="n">
        <f aca="false">P27+R27</f>
        <v>-0.535</v>
      </c>
      <c r="R27" s="16" t="n">
        <f aca="false">RANDBETWEEN(-30,90)/1000</f>
        <v>-0.015</v>
      </c>
      <c r="S27" s="17"/>
      <c r="T27" s="18" t="n">
        <v>17.17</v>
      </c>
    </row>
    <row r="28" customFormat="false" ht="17.25" hidden="false" customHeight="true" outlineLevel="0" collapsed="false">
      <c r="A28" s="13" t="n">
        <v>8</v>
      </c>
      <c r="B28" s="14" t="s">
        <v>24</v>
      </c>
      <c r="C28" s="15" t="n">
        <f aca="false">+C27+T27</f>
        <v>111.97</v>
      </c>
      <c r="D28" s="16" t="n">
        <f aca="false">+Chạy!F73</f>
        <v>-8.85</v>
      </c>
      <c r="E28" s="16" t="n">
        <f aca="false">+D28+F28</f>
        <v>-8.8461</v>
      </c>
      <c r="F28" s="16" t="n">
        <f aca="false">RANDBETWEEN(-105,115)/10000</f>
        <v>0.0039</v>
      </c>
      <c r="G28" s="16" t="n">
        <f aca="false">+Chạy!G73</f>
        <v>-0.51</v>
      </c>
      <c r="H28" s="16" t="n">
        <f aca="false">G28+I28</f>
        <v>-0.486</v>
      </c>
      <c r="I28" s="16" t="n">
        <f aca="false">RANDBETWEEN(-30,90)/1000</f>
        <v>0.024</v>
      </c>
      <c r="J28" s="16" t="n">
        <f aca="false">+Chạy!K73</f>
        <v>-0.43</v>
      </c>
      <c r="K28" s="16" t="n">
        <f aca="false">J28+L28</f>
        <v>-0.448</v>
      </c>
      <c r="L28" s="16" t="n">
        <f aca="false">RANDBETWEEN(-30,90)/1000</f>
        <v>-0.018</v>
      </c>
      <c r="M28" s="16" t="n">
        <f aca="false">+Chạy!N73</f>
        <v>8.37</v>
      </c>
      <c r="N28" s="16" t="n">
        <f aca="false">+M28+O28</f>
        <v>8.3701</v>
      </c>
      <c r="O28" s="16" t="n">
        <f aca="false">RANDBETWEEN(-105,115)/10000</f>
        <v>0.0001</v>
      </c>
      <c r="P28" s="16" t="n">
        <f aca="false">+Chạy!O73</f>
        <v>-0.51</v>
      </c>
      <c r="Q28" s="16" t="n">
        <f aca="false">P28+R28</f>
        <v>-0.521</v>
      </c>
      <c r="R28" s="16" t="n">
        <f aca="false">RANDBETWEEN(-30,90)/1000</f>
        <v>-0.011</v>
      </c>
      <c r="S28" s="17"/>
      <c r="T28" s="18" t="n">
        <v>14.49</v>
      </c>
    </row>
    <row r="29" customFormat="false" ht="17.25" hidden="false" customHeight="true" outlineLevel="0" collapsed="false">
      <c r="A29" s="13" t="n">
        <v>9</v>
      </c>
      <c r="B29" s="14" t="s">
        <v>25</v>
      </c>
      <c r="C29" s="15" t="n">
        <f aca="false">+C28+T28</f>
        <v>126.46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</row>
    <row r="31" customFormat="false" ht="15" hidden="false" customHeight="false" outlineLevel="0" collapsed="false">
      <c r="C31" s="19" t="s">
        <v>48</v>
      </c>
      <c r="D31" s="19"/>
      <c r="E31" s="19"/>
      <c r="F31" s="19"/>
      <c r="G31" s="19"/>
      <c r="H31" s="19"/>
      <c r="I31" s="19"/>
      <c r="K31" s="20"/>
      <c r="L31" s="20"/>
      <c r="M31" s="20"/>
      <c r="N31" s="20"/>
      <c r="O31" s="19" t="s">
        <v>49</v>
      </c>
      <c r="P31" s="19"/>
      <c r="Q31" s="19"/>
      <c r="R31" s="19"/>
    </row>
    <row r="32" customFormat="false" ht="15" hidden="false" customHeight="false" outlineLevel="0" collapsed="false">
      <c r="E32" s="21"/>
      <c r="F32" s="21"/>
      <c r="G32" s="21"/>
      <c r="H32" s="21"/>
      <c r="K32" s="21"/>
      <c r="L32" s="21"/>
      <c r="M32" s="21"/>
      <c r="N32" s="21"/>
      <c r="O32" s="21"/>
      <c r="P32" s="21"/>
      <c r="Q32" s="21"/>
      <c r="R32" s="21"/>
    </row>
    <row r="33" customFormat="false" ht="15" hidden="false" customHeight="false" outlineLevel="0" collapsed="false"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" hidden="false" customHeight="false" outlineLevel="0" collapsed="false"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" hidden="false" customHeight="false" outlineLevel="0" collapsed="false"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" hidden="false" customHeight="false" outlineLevel="0" collapsed="false">
      <c r="C36" s="19" t="s">
        <v>50</v>
      </c>
      <c r="D36" s="19"/>
      <c r="E36" s="19"/>
      <c r="F36" s="19"/>
      <c r="G36" s="19"/>
      <c r="H36" s="19"/>
      <c r="I36" s="19"/>
      <c r="K36" s="20"/>
      <c r="L36" s="20"/>
      <c r="M36" s="20"/>
      <c r="N36" s="20"/>
      <c r="O36" s="19" t="s">
        <v>51</v>
      </c>
      <c r="P36" s="19"/>
      <c r="Q36" s="19"/>
      <c r="R36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31:I31"/>
    <mergeCell ref="O31:R31"/>
    <mergeCell ref="C36:I36"/>
    <mergeCell ref="O36:R36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05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08.NĐXB6A/CVXD ngày 29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8</v>
      </c>
    </row>
    <row r="3" s="32" customFormat="true" ht="37.5" hidden="false" customHeight="true" outlineLevel="0" collapsed="false">
      <c r="A3" s="29" t="s">
        <v>28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29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30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1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D3</v>
      </c>
      <c r="C11" s="51" t="n">
        <f aca="false">'1.KTHH L1'!C21</f>
        <v>0</v>
      </c>
      <c r="D11" s="13" t="n">
        <f aca="false">'1.KTHH L1'!T21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/>
      <c r="P11" s="53"/>
      <c r="Q11" s="53"/>
      <c r="R11" s="55"/>
      <c r="S11" s="55"/>
      <c r="T11" s="55"/>
      <c r="U11" s="55"/>
      <c r="V11" s="55"/>
      <c r="W11" s="55" t="n">
        <f aca="false">(O11+O12)*D11/2</f>
        <v>0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1</v>
      </c>
      <c r="C12" s="51" t="n">
        <f aca="false">'1.KTHH L1'!C22</f>
        <v>19.63</v>
      </c>
      <c r="D12" s="13" t="n">
        <f aca="false">'1.KTHH L1'!T22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/>
      <c r="P12" s="53"/>
      <c r="Q12" s="53"/>
      <c r="R12" s="55"/>
      <c r="S12" s="55"/>
      <c r="T12" s="55"/>
      <c r="U12" s="55"/>
      <c r="V12" s="55"/>
      <c r="W12" s="55" t="n">
        <f aca="false">(O12+O13)*D12/2</f>
        <v>1.11605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2</v>
      </c>
      <c r="C13" s="51" t="n">
        <f aca="false">'1.KTHH L1'!C23</f>
        <v>36.8</v>
      </c>
      <c r="D13" s="13" t="n">
        <f aca="false">'1.KTHH L1'!T23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Chạy!E28</f>
        <v>0.13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7.2156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3</v>
      </c>
      <c r="C14" s="51" t="n">
        <f aca="false">'1.KTHH L1'!C24</f>
        <v>53.98</v>
      </c>
      <c r="D14" s="13" t="n">
        <f aca="false">'1.KTHH L1'!T24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0.71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4.60435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D2</v>
      </c>
      <c r="C15" s="51" t="n">
        <f aca="false">'1.KTHH L1'!C25</f>
        <v>66.95</v>
      </c>
      <c r="D15" s="13" t="n">
        <f aca="false">'1.KTHH L1'!T25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/>
      <c r="P15" s="53"/>
      <c r="Q15" s="53"/>
      <c r="R15" s="55"/>
      <c r="S15" s="55"/>
      <c r="T15" s="55"/>
      <c r="U15" s="55"/>
      <c r="V15" s="55"/>
      <c r="W15" s="55" t="n">
        <f aca="false">(O15+O16)*D15/2</f>
        <v>9.7188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4</v>
      </c>
      <c r="C16" s="51" t="n">
        <f aca="false">'1.KTHH L1'!C26</f>
        <v>77.63</v>
      </c>
      <c r="D16" s="13" t="n">
        <f aca="false">'1.KTHH L1'!T26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Chạy!E55</f>
        <v>1.82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41.8948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5</v>
      </c>
      <c r="C17" s="51" t="n">
        <f aca="false">'1.KTHH L1'!C27</f>
        <v>94.8</v>
      </c>
      <c r="D17" s="13" t="n">
        <f aca="false">'1.KTHH L1'!T27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Chạy!E64</f>
        <v>3.06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60.69595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6</v>
      </c>
      <c r="C18" s="51" t="n">
        <f aca="false">'1.KTHH L1'!C28</f>
        <v>111.97</v>
      </c>
      <c r="D18" s="13" t="n">
        <f aca="false">'1.KTHH L1'!T28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Chạy!E73</f>
        <v>4.01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29.05245</v>
      </c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false" customHeight="true" outlineLevel="0" collapsed="false">
      <c r="A19" s="13" t="n">
        <v>9</v>
      </c>
      <c r="B19" s="13" t="str">
        <f aca="false">'1.KTHH L1'!B29</f>
        <v>D1</v>
      </c>
      <c r="C19" s="51" t="n">
        <f aca="false">'1.KTHH L1'!C29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154.298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N20" s="67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</row>
    <row r="21" customFormat="false" ht="15.7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E21" s="72"/>
      <c r="AF21" s="73"/>
      <c r="AG21" s="73"/>
      <c r="AH21" s="73"/>
      <c r="AK21" s="74"/>
      <c r="AL21" s="75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</row>
    <row r="22" customFormat="false" ht="15.7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E22" s="72"/>
      <c r="AK22" s="76"/>
      <c r="AL22" s="75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  <c r="HT22" s="76"/>
      <c r="HU22" s="76"/>
    </row>
    <row r="23" customFormat="false" ht="16.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80"/>
      <c r="AE23" s="80"/>
      <c r="AF23" s="80"/>
      <c r="AG23" s="80"/>
      <c r="AH23" s="80"/>
      <c r="AI23" s="80"/>
      <c r="AJ23" s="80"/>
      <c r="AK23" s="80"/>
      <c r="AL23" s="67"/>
      <c r="AM23" s="76"/>
      <c r="HV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2"/>
      <c r="AF24" s="74"/>
      <c r="AG24" s="76"/>
      <c r="AH24" s="76"/>
      <c r="AI24" s="76"/>
      <c r="AJ24" s="76"/>
      <c r="AK24" s="74"/>
      <c r="AL24" s="73"/>
      <c r="AM24" s="82"/>
      <c r="HV24" s="76"/>
    </row>
    <row r="25" customFormat="false" ht="15.7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2"/>
      <c r="AF25" s="76"/>
      <c r="AG25" s="76"/>
      <c r="AH25" s="76"/>
      <c r="AI25" s="76"/>
      <c r="AJ25" s="76"/>
      <c r="AK25" s="76"/>
      <c r="AL25" s="83"/>
      <c r="AM25" s="76"/>
      <c r="AN25" s="83"/>
      <c r="HV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2"/>
      <c r="AF26" s="76"/>
      <c r="AG26" s="76"/>
      <c r="AH26" s="76"/>
      <c r="AI26" s="76"/>
      <c r="AJ26" s="76"/>
      <c r="AK26" s="76"/>
      <c r="AL26" s="76"/>
      <c r="AM26" s="76"/>
      <c r="HV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2"/>
      <c r="AF27" s="76"/>
      <c r="AG27" s="76"/>
      <c r="AH27" s="76"/>
      <c r="AI27" s="76"/>
      <c r="AJ27" s="76"/>
      <c r="AK27" s="76"/>
      <c r="AL27" s="76"/>
      <c r="AM27" s="76"/>
      <c r="HV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L28" s="76"/>
      <c r="AM28" s="76"/>
      <c r="HV28" s="76"/>
    </row>
    <row r="29" customFormat="false" ht="15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7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09.NĐXB6A/CVXD ngày 29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2 đoạn từ Km0+000,00 - Km0+126,46,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35</v>
      </c>
      <c r="B19" s="9" t="s">
        <v>36</v>
      </c>
      <c r="C19" s="9" t="s">
        <v>37</v>
      </c>
      <c r="D19" s="10" t="s">
        <v>38</v>
      </c>
      <c r="E19" s="10"/>
      <c r="F19" s="10"/>
      <c r="G19" s="10"/>
      <c r="H19" s="10"/>
      <c r="I19" s="10"/>
      <c r="J19" s="10" t="s">
        <v>39</v>
      </c>
      <c r="K19" s="10"/>
      <c r="L19" s="10"/>
      <c r="M19" s="10" t="s">
        <v>40</v>
      </c>
      <c r="N19" s="10"/>
      <c r="O19" s="10"/>
      <c r="P19" s="10"/>
      <c r="Q19" s="10"/>
      <c r="R19" s="10"/>
      <c r="S19" s="9" t="s">
        <v>41</v>
      </c>
    </row>
    <row r="20" customFormat="false" ht="30" hidden="false" customHeight="true" outlineLevel="0" collapsed="false">
      <c r="A20" s="9"/>
      <c r="B20" s="9"/>
      <c r="C20" s="9"/>
      <c r="D20" s="11" t="s">
        <v>42</v>
      </c>
      <c r="E20" s="11" t="s">
        <v>43</v>
      </c>
      <c r="F20" s="11" t="s">
        <v>44</v>
      </c>
      <c r="G20" s="11" t="s">
        <v>45</v>
      </c>
      <c r="H20" s="11" t="s">
        <v>46</v>
      </c>
      <c r="I20" s="11" t="s">
        <v>47</v>
      </c>
      <c r="J20" s="11" t="s">
        <v>45</v>
      </c>
      <c r="K20" s="11" t="s">
        <v>46</v>
      </c>
      <c r="L20" s="11" t="s">
        <v>47</v>
      </c>
      <c r="M20" s="11" t="s">
        <v>42</v>
      </c>
      <c r="N20" s="11" t="s">
        <v>43</v>
      </c>
      <c r="O20" s="11" t="s">
        <v>44</v>
      </c>
      <c r="P20" s="11" t="s">
        <v>45</v>
      </c>
      <c r="Q20" s="11" t="s">
        <v>46</v>
      </c>
      <c r="R20" s="11" t="s">
        <v>47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0" t="n">
        <v>19.63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19.63</v>
      </c>
      <c r="D22" s="16" t="n">
        <f aca="false">+Chạy!F18</f>
        <v>-8.17</v>
      </c>
      <c r="E22" s="16" t="n">
        <f aca="false">+D22+F22</f>
        <v>-8.1771</v>
      </c>
      <c r="F22" s="16" t="n">
        <f aca="false">RANDBETWEEN(-105,115)/10000</f>
        <v>-0.0071</v>
      </c>
      <c r="G22" s="16" t="n">
        <f aca="false">+Chạy!G18</f>
        <v>-0.26</v>
      </c>
      <c r="H22" s="16" t="n">
        <f aca="false">G22+I22</f>
        <v>-0.284</v>
      </c>
      <c r="I22" s="16" t="n">
        <f aca="false">RANDBETWEEN(-30,90)/1000</f>
        <v>-0.024</v>
      </c>
      <c r="J22" s="16" t="n">
        <f aca="false">+Chạy!K18</f>
        <v>-0.17</v>
      </c>
      <c r="K22" s="16" t="n">
        <f aca="false">J22+L22</f>
        <v>-0.09</v>
      </c>
      <c r="L22" s="16" t="n">
        <f aca="false">RANDBETWEEN(-30,90)/1000</f>
        <v>0.08</v>
      </c>
      <c r="M22" s="16" t="n">
        <f aca="false">+Chạy!N18</f>
        <v>8.26</v>
      </c>
      <c r="N22" s="16" t="n">
        <f aca="false">+M22+O22</f>
        <v>8.2685</v>
      </c>
      <c r="O22" s="16" t="n">
        <f aca="false">RANDBETWEEN(-105,115)/10000</f>
        <v>0.0085</v>
      </c>
      <c r="P22" s="16" t="n">
        <f aca="false">+Chạy!O18</f>
        <v>-0.26</v>
      </c>
      <c r="Q22" s="16" t="n">
        <f aca="false">P22+R22</f>
        <v>-0.215</v>
      </c>
      <c r="R22" s="16" t="n">
        <f aca="false">RANDBETWEEN(-30,90)/1000</f>
        <v>0.045</v>
      </c>
      <c r="S22" s="17"/>
      <c r="T22" s="0" t="n">
        <v>17.17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36.8</v>
      </c>
      <c r="D23" s="16" t="n">
        <f aca="false">+Chạy!F27</f>
        <v>-8.3</v>
      </c>
      <c r="E23" s="16" t="n">
        <f aca="false">+D23+F23</f>
        <v>-8.3012</v>
      </c>
      <c r="F23" s="16" t="n">
        <f aca="false">RANDBETWEEN(-105,115)/10000</f>
        <v>-0.0012</v>
      </c>
      <c r="G23" s="16" t="n">
        <f aca="false">+Chạy!G27</f>
        <v>-0.25</v>
      </c>
      <c r="H23" s="16" t="n">
        <f aca="false">G23+I23</f>
        <v>-0.217</v>
      </c>
      <c r="I23" s="16" t="n">
        <f aca="false">RANDBETWEEN(-30,90)/1000</f>
        <v>0.033</v>
      </c>
      <c r="J23" s="16" t="n">
        <f aca="false">+Chạy!K27</f>
        <v>-0.16</v>
      </c>
      <c r="K23" s="16" t="n">
        <f aca="false">J23+L23</f>
        <v>-0.162</v>
      </c>
      <c r="L23" s="16" t="n">
        <f aca="false">RANDBETWEEN(-30,90)/1000</f>
        <v>-0.002</v>
      </c>
      <c r="M23" s="16" t="n">
        <f aca="false">+Chạy!N27</f>
        <v>8.35</v>
      </c>
      <c r="N23" s="16" t="n">
        <f aca="false">+M23+O23</f>
        <v>8.3503</v>
      </c>
      <c r="O23" s="16" t="n">
        <f aca="false">RANDBETWEEN(-105,115)/10000</f>
        <v>0.0003</v>
      </c>
      <c r="P23" s="16" t="n">
        <f aca="false">+Chạy!O27</f>
        <v>-0.25</v>
      </c>
      <c r="Q23" s="16" t="n">
        <f aca="false">P23+R23</f>
        <v>-0.164</v>
      </c>
      <c r="R23" s="16" t="n">
        <f aca="false">RANDBETWEEN(-30,90)/1000</f>
        <v>0.086</v>
      </c>
      <c r="S23" s="17"/>
      <c r="T23" s="0" t="n">
        <v>17.18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53.98</v>
      </c>
      <c r="D24" s="16" t="n">
        <f aca="false">+Chạy!F36</f>
        <v>-8.6</v>
      </c>
      <c r="E24" s="16" t="n">
        <f aca="false">+D24+F24</f>
        <v>-8.604</v>
      </c>
      <c r="F24" s="16" t="n">
        <f aca="false">RANDBETWEEN(-105,115)/10000</f>
        <v>-0.004</v>
      </c>
      <c r="G24" s="16" t="n">
        <f aca="false">+Chạy!G36</f>
        <v>-0.24</v>
      </c>
      <c r="H24" s="16" t="n">
        <f aca="false">G24+I24</f>
        <v>-0.218</v>
      </c>
      <c r="I24" s="16" t="n">
        <f aca="false">RANDBETWEEN(-30,90)/1000</f>
        <v>0.022</v>
      </c>
      <c r="J24" s="16" t="n">
        <f aca="false">+Chạy!K36</f>
        <v>-0.16</v>
      </c>
      <c r="K24" s="16" t="n">
        <f aca="false">J24+L24</f>
        <v>-0.139</v>
      </c>
      <c r="L24" s="16" t="n">
        <f aca="false">RANDBETWEEN(-30,90)/1000</f>
        <v>0.021</v>
      </c>
      <c r="M24" s="16" t="n">
        <f aca="false">+Chạy!N36</f>
        <v>8.58</v>
      </c>
      <c r="N24" s="16" t="n">
        <f aca="false">+M24+O24</f>
        <v>8.5707</v>
      </c>
      <c r="O24" s="16" t="n">
        <f aca="false">RANDBETWEEN(-105,115)/10000</f>
        <v>-0.0093</v>
      </c>
      <c r="P24" s="16" t="n">
        <f aca="false">+Chạy!O36</f>
        <v>-0.24</v>
      </c>
      <c r="Q24" s="16" t="n">
        <f aca="false">P24+R24</f>
        <v>-0.19</v>
      </c>
      <c r="R24" s="16" t="n">
        <f aca="false">RANDBETWEEN(-30,90)/1000</f>
        <v>0.05</v>
      </c>
      <c r="S24" s="17"/>
      <c r="T24" s="0" t="n">
        <v>12.97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66.95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T25" s="0" t="n">
        <v>10.68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77.63</v>
      </c>
      <c r="D26" s="16" t="n">
        <f aca="false">+Chạy!F54</f>
        <v>-6.22</v>
      </c>
      <c r="E26" s="16" t="n">
        <f aca="false">+D26+F26</f>
        <v>-6.2286</v>
      </c>
      <c r="F26" s="16" t="n">
        <f aca="false">RANDBETWEEN(-105,115)/10000</f>
        <v>-0.0086</v>
      </c>
      <c r="G26" s="16" t="n">
        <f aca="false">+Chạy!G54</f>
        <v>-0.23</v>
      </c>
      <c r="H26" s="16" t="n">
        <f aca="false">G26+I26</f>
        <v>-0.15</v>
      </c>
      <c r="I26" s="16" t="n">
        <f aca="false">RANDBETWEEN(-30,90)/1000</f>
        <v>0.08</v>
      </c>
      <c r="J26" s="16" t="n">
        <f aca="false">+Chạy!K54</f>
        <v>-0.14</v>
      </c>
      <c r="K26" s="16" t="n">
        <f aca="false">J26+L26</f>
        <v>-0.144</v>
      </c>
      <c r="L26" s="16" t="n">
        <f aca="false">RANDBETWEEN(-30,90)/1000</f>
        <v>-0.004</v>
      </c>
      <c r="M26" s="16" t="n">
        <f aca="false">+Chạy!N54</f>
        <v>13.6</v>
      </c>
      <c r="N26" s="16" t="n">
        <f aca="false">+M26+O26</f>
        <v>13.597</v>
      </c>
      <c r="O26" s="16" t="n">
        <f aca="false">RANDBETWEEN(-105,115)/10000</f>
        <v>-0.003</v>
      </c>
      <c r="P26" s="16" t="n">
        <f aca="false">+Chạy!O54</f>
        <v>-0.23</v>
      </c>
      <c r="Q26" s="16" t="n">
        <f aca="false">P26+R26</f>
        <v>-0.205</v>
      </c>
      <c r="R26" s="16" t="n">
        <f aca="false">RANDBETWEEN(-30,90)/1000</f>
        <v>0.025</v>
      </c>
      <c r="S26" s="17"/>
      <c r="T26" s="0" t="n">
        <v>17.17</v>
      </c>
    </row>
    <row r="27" customFormat="false" ht="15" hidden="false" customHeight="false" outlineLevel="0" collapsed="false">
      <c r="A27" s="13" t="n">
        <v>7</v>
      </c>
      <c r="B27" s="13" t="s">
        <v>23</v>
      </c>
      <c r="C27" s="15" t="n">
        <f aca="false">+C26+T26</f>
        <v>94.8</v>
      </c>
      <c r="D27" s="16" t="n">
        <f aca="false">+Chạy!F63</f>
        <v>-11.42</v>
      </c>
      <c r="E27" s="16" t="n">
        <f aca="false">+D27+F27</f>
        <v>-11.4223</v>
      </c>
      <c r="F27" s="16" t="n">
        <f aca="false">RANDBETWEEN(-105,115)/10000</f>
        <v>-0.0023</v>
      </c>
      <c r="G27" s="16" t="n">
        <f aca="false">+Chạy!G63</f>
        <v>-0.22</v>
      </c>
      <c r="H27" s="16" t="n">
        <f aca="false">G27+I27</f>
        <v>-0.242</v>
      </c>
      <c r="I27" s="16" t="n">
        <f aca="false">RANDBETWEEN(-30,90)/1000</f>
        <v>-0.022</v>
      </c>
      <c r="J27" s="16" t="n">
        <f aca="false">+Chạy!K63</f>
        <v>-0.14</v>
      </c>
      <c r="K27" s="16" t="n">
        <f aca="false">J27+L27</f>
        <v>-0.083</v>
      </c>
      <c r="L27" s="16" t="n">
        <f aca="false">RANDBETWEEN(-30,90)/1000</f>
        <v>0.057</v>
      </c>
      <c r="M27" s="16" t="n">
        <f aca="false">+Chạy!N63</f>
        <v>8.77</v>
      </c>
      <c r="N27" s="16" t="n">
        <f aca="false">+M27+O27</f>
        <v>8.7756</v>
      </c>
      <c r="O27" s="16" t="n">
        <f aca="false">RANDBETWEEN(-105,115)/10000</f>
        <v>0.0056</v>
      </c>
      <c r="P27" s="16" t="n">
        <f aca="false">+Chạy!O63</f>
        <v>-0.22</v>
      </c>
      <c r="Q27" s="16" t="n">
        <f aca="false">P27+R27</f>
        <v>-0.215</v>
      </c>
      <c r="R27" s="16" t="n">
        <f aca="false">RANDBETWEEN(-30,90)/1000</f>
        <v>0.005</v>
      </c>
      <c r="S27" s="17"/>
      <c r="T27" s="0" t="n">
        <v>17.17</v>
      </c>
    </row>
    <row r="28" customFormat="false" ht="15" hidden="false" customHeight="false" outlineLevel="0" collapsed="false">
      <c r="A28" s="13" t="n">
        <v>8</v>
      </c>
      <c r="B28" s="13" t="s">
        <v>24</v>
      </c>
      <c r="C28" s="15" t="n">
        <f aca="false">+C27+T27</f>
        <v>111.97</v>
      </c>
      <c r="D28" s="16" t="n">
        <f aca="false">+Chạy!F72</f>
        <v>-11.03</v>
      </c>
      <c r="E28" s="16" t="n">
        <f aca="false">+D28+F28</f>
        <v>-11.0311</v>
      </c>
      <c r="F28" s="16" t="n">
        <f aca="false">RANDBETWEEN(-105,115)/10000</f>
        <v>-0.0011</v>
      </c>
      <c r="G28" s="16" t="n">
        <f aca="false">+Chạy!G72</f>
        <v>-0.21</v>
      </c>
      <c r="H28" s="16" t="n">
        <f aca="false">G28+I28</f>
        <v>-0.165</v>
      </c>
      <c r="I28" s="16" t="n">
        <f aca="false">RANDBETWEEN(-30,90)/1000</f>
        <v>0.045</v>
      </c>
      <c r="J28" s="16" t="n">
        <f aca="false">+Chạy!K72</f>
        <v>-0.13</v>
      </c>
      <c r="K28" s="16" t="n">
        <f aca="false">J28+L28</f>
        <v>-0.1</v>
      </c>
      <c r="L28" s="16" t="n">
        <f aca="false">RANDBETWEEN(-30,90)/1000</f>
        <v>0.03</v>
      </c>
      <c r="M28" s="16" t="n">
        <f aca="false">+Chạy!N72</f>
        <v>8.67</v>
      </c>
      <c r="N28" s="16" t="n">
        <f aca="false">+M28+O28</f>
        <v>8.6728</v>
      </c>
      <c r="O28" s="16" t="n">
        <f aca="false">RANDBETWEEN(-105,115)/10000</f>
        <v>0.0028</v>
      </c>
      <c r="P28" s="16" t="n">
        <f aca="false">+Chạy!O72</f>
        <v>-0.21</v>
      </c>
      <c r="Q28" s="16" t="n">
        <f aca="false">P28+R28</f>
        <v>-0.156</v>
      </c>
      <c r="R28" s="16" t="n">
        <f aca="false">RANDBETWEEN(-30,90)/1000</f>
        <v>0.054</v>
      </c>
      <c r="S28" s="17"/>
      <c r="T28" s="0" t="n">
        <v>14.49</v>
      </c>
    </row>
    <row r="29" customFormat="false" ht="15" hidden="false" customHeight="false" outlineLevel="0" collapsed="false">
      <c r="A29" s="13" t="n">
        <v>9</v>
      </c>
      <c r="B29" s="13" t="s">
        <v>25</v>
      </c>
      <c r="C29" s="15" t="n">
        <f aca="false">+C28+T28</f>
        <v>126.46</v>
      </c>
      <c r="D29" s="16" t="n">
        <f aca="false">+Chạy!F81</f>
        <v>-10.63</v>
      </c>
      <c r="E29" s="16" t="n">
        <f aca="false">+D29+F29</f>
        <v>-10.6268</v>
      </c>
      <c r="F29" s="16" t="n">
        <f aca="false">RANDBETWEEN(-105,115)/10000</f>
        <v>0.0032</v>
      </c>
      <c r="G29" s="16" t="n">
        <f aca="false">+Chạy!G81</f>
        <v>-0.21</v>
      </c>
      <c r="H29" s="16" t="n">
        <f aca="false">G29+I29</f>
        <v>-0.22</v>
      </c>
      <c r="I29" s="16" t="n">
        <f aca="false">RANDBETWEEN(-30,90)/1000</f>
        <v>-0.01</v>
      </c>
      <c r="J29" s="16" t="n">
        <f aca="false">+Chạy!K81</f>
        <v>-0.13</v>
      </c>
      <c r="K29" s="16" t="n">
        <f aca="false">J29+L29</f>
        <v>-0.051</v>
      </c>
      <c r="L29" s="16" t="n">
        <f aca="false">RANDBETWEEN(-30,90)/1000</f>
        <v>0.079</v>
      </c>
      <c r="M29" s="16" t="n">
        <f aca="false">+Chạy!N81</f>
        <v>3.59</v>
      </c>
      <c r="N29" s="16" t="n">
        <f aca="false">+M29+O29</f>
        <v>3.5958</v>
      </c>
      <c r="O29" s="16" t="n">
        <f aca="false">RANDBETWEEN(-105,115)/10000</f>
        <v>0.0058</v>
      </c>
      <c r="P29" s="16" t="n">
        <f aca="false">+Chạy!O81</f>
        <v>-0.2</v>
      </c>
      <c r="Q29" s="16" t="n">
        <f aca="false">P29+R29</f>
        <v>-0.113</v>
      </c>
      <c r="R29" s="16" t="n">
        <f aca="false">RANDBETWEEN(-30,90)/1000</f>
        <v>0.087</v>
      </c>
      <c r="S29" s="17"/>
    </row>
    <row r="30" customFormat="false" ht="12" hidden="false" customHeight="true" outlineLevel="0" collapsed="false"/>
    <row r="31" customFormat="false" ht="15" hidden="false" customHeight="false" outlineLevel="0" collapsed="false">
      <c r="C31" s="19" t="s">
        <v>48</v>
      </c>
      <c r="D31" s="19"/>
      <c r="E31" s="19"/>
      <c r="F31" s="19"/>
      <c r="G31" s="19"/>
      <c r="H31" s="19"/>
      <c r="I31" s="19"/>
      <c r="K31" s="20"/>
      <c r="L31" s="20"/>
      <c r="M31" s="20"/>
      <c r="N31" s="20"/>
      <c r="O31" s="19" t="s">
        <v>49</v>
      </c>
      <c r="P31" s="19"/>
      <c r="Q31" s="19"/>
      <c r="R31" s="19"/>
    </row>
    <row r="32" customFormat="false" ht="15" hidden="false" customHeight="false" outlineLevel="0" collapsed="false">
      <c r="E32" s="21"/>
      <c r="F32" s="21"/>
      <c r="G32" s="21"/>
      <c r="H32" s="21"/>
      <c r="K32" s="21"/>
      <c r="L32" s="21"/>
      <c r="M32" s="21"/>
      <c r="N32" s="21"/>
      <c r="O32" s="21"/>
      <c r="P32" s="21"/>
      <c r="Q32" s="21"/>
      <c r="R32" s="21"/>
    </row>
    <row r="33" customFormat="false" ht="15" hidden="false" customHeight="false" outlineLevel="0" collapsed="false"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" hidden="false" customHeight="false" outlineLevel="0" collapsed="false"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" hidden="false" customHeight="false" outlineLevel="0" collapsed="false"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.75" hidden="false" customHeight="true" outlineLevel="0" collapsed="false">
      <c r="A36" s="88"/>
      <c r="B36" s="88"/>
      <c r="C36" s="89" t="s">
        <v>50</v>
      </c>
      <c r="D36" s="89"/>
      <c r="E36" s="89"/>
      <c r="F36" s="89"/>
      <c r="G36" s="89"/>
      <c r="H36" s="89"/>
      <c r="I36" s="89"/>
      <c r="J36" s="88"/>
      <c r="K36" s="90"/>
      <c r="L36" s="90"/>
      <c r="M36" s="90"/>
      <c r="N36" s="90"/>
      <c r="O36" s="89" t="s">
        <v>51</v>
      </c>
      <c r="P36" s="89"/>
      <c r="Q36" s="89"/>
      <c r="R36" s="89"/>
      <c r="S36" s="88"/>
    </row>
    <row r="37" customFormat="false" ht="17.2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31:I31"/>
    <mergeCell ref="O31:R31"/>
    <mergeCell ref="C36:I36"/>
    <mergeCell ref="O36:R36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09.NĐXB6A/CVXD ngày 29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2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D3</v>
      </c>
      <c r="C11" s="51" t="n">
        <f aca="false">'2.KTHH L2'!C21</f>
        <v>0</v>
      </c>
      <c r="D11" s="13" t="n">
        <f aca="false">'2.KTHH L2'!T21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/>
      <c r="P11" s="53"/>
      <c r="Q11" s="53"/>
      <c r="R11" s="55"/>
      <c r="S11" s="55"/>
      <c r="T11" s="55"/>
      <c r="U11" s="55"/>
      <c r="V11" s="55"/>
      <c r="W11" s="55" t="n">
        <f aca="false">(O11+O12)*D11/2</f>
        <v>36.7081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1</v>
      </c>
      <c r="C12" s="51" t="n">
        <f aca="false">'2.KTHH L2'!C22</f>
        <v>19.63</v>
      </c>
      <c r="D12" s="13" t="n">
        <f aca="false">'2.KTHH L2'!T22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3.74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71.34135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2</v>
      </c>
      <c r="C13" s="51" t="n">
        <f aca="false">'2.KTHH L2'!C23</f>
        <v>36.8</v>
      </c>
      <c r="D13" s="13" t="n">
        <f aca="false">'2.KTHH L2'!T23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Chạy!E27</f>
        <v>4.57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82.7217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3</v>
      </c>
      <c r="C14" s="51" t="n">
        <f aca="false">'2.KTHH L2'!C24</f>
        <v>53.98</v>
      </c>
      <c r="D14" s="13" t="n">
        <f aca="false">'2.KTHH L2'!T24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5.06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32.8141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D2</v>
      </c>
      <c r="C15" s="51" t="n">
        <f aca="false">'2.KTHH L2'!C25</f>
        <v>66.95</v>
      </c>
      <c r="D15" s="13" t="n">
        <f aca="false">'2.KTHH L2'!T25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/>
      <c r="P15" s="53"/>
      <c r="Q15" s="53"/>
      <c r="R15" s="55"/>
      <c r="S15" s="55"/>
      <c r="T15" s="55"/>
      <c r="U15" s="55"/>
      <c r="V15" s="55"/>
      <c r="W15" s="55" t="n">
        <f aca="false">(O15+O16)*D15/2</f>
        <v>24.831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4</v>
      </c>
      <c r="C16" s="51" t="n">
        <f aca="false">'2.KTHH L2'!C26</f>
        <v>77.63</v>
      </c>
      <c r="D16" s="13" t="n">
        <f aca="false">'2.KTHH L2'!T26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4.65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86.10755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5</v>
      </c>
      <c r="C17" s="51" t="n">
        <f aca="false">'2.KTHH L2'!C27</f>
        <v>94.8</v>
      </c>
      <c r="D17" s="13" t="n">
        <f aca="false">'2.KTHH L2'!T27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Chạy!E63</f>
        <v>5.38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92.2029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6</v>
      </c>
      <c r="C18" s="51" t="n">
        <f aca="false">'2.KTHH L2'!C28</f>
        <v>111.97</v>
      </c>
      <c r="D18" s="13" t="n">
        <f aca="false">'2.KTHH L2'!T28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Chạy!E72</f>
        <v>5.36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47.5272</v>
      </c>
      <c r="X18" s="55"/>
      <c r="Y18" s="55"/>
      <c r="Z18" s="55"/>
      <c r="AA18" s="55"/>
      <c r="AB18" s="56"/>
      <c r="AC18" s="57"/>
      <c r="AE18" s="92"/>
    </row>
    <row r="19" s="49" customFormat="true" ht="15" hidden="false" customHeight="true" outlineLevel="0" collapsed="false">
      <c r="A19" s="13" t="n">
        <v>9</v>
      </c>
      <c r="B19" s="13" t="str">
        <f aca="false">'2.KTHH L2'!B29</f>
        <v>D1</v>
      </c>
      <c r="C19" s="51" t="n">
        <f aca="false">'2.KTHH L2'!C29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Chạy!E81</f>
        <v>1.2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92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474.2539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D20" s="93"/>
      <c r="AE20" s="73"/>
      <c r="AF20" s="94"/>
      <c r="AG20" s="95"/>
      <c r="AH20" s="95"/>
      <c r="AI20" s="95"/>
      <c r="AJ20" s="95"/>
      <c r="AK20" s="95"/>
      <c r="AL20" s="95"/>
      <c r="AM20" s="67"/>
      <c r="AN20" s="96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2.75" hidden="false" customHeight="false" outlineLevel="0" collapsed="false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10.NĐXB6A/CVXD ngày 30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10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3 đoạn từ Km0+000,00 - Km0+126,46,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30" hidden="false" customHeight="true" outlineLevel="0" collapsed="false">
      <c r="A21" s="9"/>
      <c r="B21" s="9"/>
      <c r="C21" s="9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0</v>
      </c>
      <c r="D22" s="16" t="n">
        <f aca="false">+Chạy!F8</f>
        <v>-13.15</v>
      </c>
      <c r="E22" s="16" t="n">
        <f aca="false">+D22+F22</f>
        <v>-13.1451</v>
      </c>
      <c r="F22" s="16" t="n">
        <f aca="false">RANDBETWEEN(-105,115)/10000</f>
        <v>0.0049</v>
      </c>
      <c r="G22" s="16" t="n">
        <f aca="false">+Chạy!G8</f>
        <v>0.04</v>
      </c>
      <c r="H22" s="16" t="n">
        <f aca="false">G22+I22</f>
        <v>0.046</v>
      </c>
      <c r="I22" s="16" t="n">
        <f aca="false">RANDBETWEEN(-30,90)/1000</f>
        <v>0.006</v>
      </c>
      <c r="J22" s="16" t="n">
        <f aca="false">+Chạy!K8</f>
        <v>0.13</v>
      </c>
      <c r="K22" s="16" t="n">
        <f aca="false">J22+L22</f>
        <v>0.109</v>
      </c>
      <c r="L22" s="16" t="n">
        <f aca="false">RANDBETWEEN(-30,90)/1000</f>
        <v>-0.021</v>
      </c>
      <c r="M22" s="16" t="n">
        <f aca="false">+Chạy!N8</f>
        <v>13.15</v>
      </c>
      <c r="N22" s="16" t="n">
        <f aca="false">+M22+O22</f>
        <v>13.1493</v>
      </c>
      <c r="O22" s="16" t="n">
        <f aca="false">RANDBETWEEN(-105,115)/10000</f>
        <v>-0.0007</v>
      </c>
      <c r="P22" s="16" t="n">
        <f aca="false">+Chạy!O8</f>
        <v>0.04</v>
      </c>
      <c r="Q22" s="16" t="n">
        <f aca="false">P22+R22</f>
        <v>0.085</v>
      </c>
      <c r="R22" s="16" t="n">
        <f aca="false">RANDBETWEEN(-30,90)/1000</f>
        <v>0.045</v>
      </c>
      <c r="S22" s="17"/>
      <c r="T22" s="0" t="n">
        <v>19.63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19.63</v>
      </c>
      <c r="D23" s="16" t="n">
        <f aca="false">+Chạy!F17</f>
        <v>-13.15</v>
      </c>
      <c r="E23" s="16" t="n">
        <f aca="false">+D23+F23</f>
        <v>-13.1471</v>
      </c>
      <c r="F23" s="16" t="n">
        <f aca="false">RANDBETWEEN(-105,115)/10000</f>
        <v>0.0029</v>
      </c>
      <c r="G23" s="16" t="n">
        <f aca="false">+Chạy!G17</f>
        <v>0.04</v>
      </c>
      <c r="H23" s="16" t="n">
        <f aca="false">G23+I23</f>
        <v>0.024</v>
      </c>
      <c r="I23" s="16" t="n">
        <f aca="false">RANDBETWEEN(-30,90)/1000</f>
        <v>-0.016</v>
      </c>
      <c r="J23" s="16" t="n">
        <f aca="false">+Chạy!K17</f>
        <v>0.13</v>
      </c>
      <c r="K23" s="16" t="n">
        <f aca="false">J23+L23</f>
        <v>0.182</v>
      </c>
      <c r="L23" s="16" t="n">
        <f aca="false">RANDBETWEEN(-30,90)/1000</f>
        <v>0.052</v>
      </c>
      <c r="M23" s="16" t="n">
        <f aca="false">+Chạy!N17</f>
        <v>13.15</v>
      </c>
      <c r="N23" s="16" t="n">
        <f aca="false">+M23+O23</f>
        <v>13.1543</v>
      </c>
      <c r="O23" s="16" t="n">
        <f aca="false">RANDBETWEEN(-105,115)/10000</f>
        <v>0.0043</v>
      </c>
      <c r="P23" s="16" t="n">
        <f aca="false">+Chạy!O17</f>
        <v>0.04</v>
      </c>
      <c r="Q23" s="16" t="n">
        <f aca="false">P23+R23</f>
        <v>0.024</v>
      </c>
      <c r="R23" s="16" t="n">
        <f aca="false">RANDBETWEEN(-30,90)/1000</f>
        <v>-0.016</v>
      </c>
      <c r="S23" s="17"/>
      <c r="T23" s="0" t="n">
        <v>17.17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36.8</v>
      </c>
      <c r="D24" s="16" t="n">
        <f aca="false">+Chạy!F26</f>
        <v>-13.15</v>
      </c>
      <c r="E24" s="16" t="n">
        <f aca="false">+D24+F24</f>
        <v>-13.1489</v>
      </c>
      <c r="F24" s="16" t="n">
        <f aca="false">RANDBETWEEN(-105,115)/10000</f>
        <v>0.0011</v>
      </c>
      <c r="G24" s="16" t="n">
        <f aca="false">+Chạy!G26</f>
        <v>0.05</v>
      </c>
      <c r="H24" s="16" t="n">
        <f aca="false">G24+I24</f>
        <v>0.03</v>
      </c>
      <c r="I24" s="16" t="n">
        <f aca="false">RANDBETWEEN(-30,90)/1000</f>
        <v>-0.02</v>
      </c>
      <c r="J24" s="16" t="n">
        <f aca="false">+Chạy!K26</f>
        <v>0.14</v>
      </c>
      <c r="K24" s="16" t="n">
        <f aca="false">J24+L24</f>
        <v>0.23</v>
      </c>
      <c r="L24" s="16" t="n">
        <f aca="false">RANDBETWEEN(-30,90)/1000</f>
        <v>0.09</v>
      </c>
      <c r="M24" s="16" t="n">
        <f aca="false">+Chạy!N26</f>
        <v>13.15</v>
      </c>
      <c r="N24" s="16" t="n">
        <f aca="false">+M24+O24</f>
        <v>13.1417</v>
      </c>
      <c r="O24" s="16" t="n">
        <f aca="false">RANDBETWEEN(-105,115)/10000</f>
        <v>-0.0083</v>
      </c>
      <c r="P24" s="16" t="n">
        <f aca="false">+Chạy!O26</f>
        <v>0.05</v>
      </c>
      <c r="Q24" s="16" t="n">
        <f aca="false">P24+R24</f>
        <v>0.099</v>
      </c>
      <c r="R24" s="16" t="n">
        <f aca="false">RANDBETWEEN(-30,90)/1000</f>
        <v>0.049</v>
      </c>
      <c r="S24" s="17"/>
      <c r="T24" s="0" t="n">
        <v>17.18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53.98</v>
      </c>
      <c r="D25" s="16" t="n">
        <f aca="false">+Chạy!F35</f>
        <v>-13.15</v>
      </c>
      <c r="E25" s="16" t="n">
        <f aca="false">+D25+F25</f>
        <v>-13.1504</v>
      </c>
      <c r="F25" s="16" t="n">
        <f aca="false">RANDBETWEEN(-105,115)/10000</f>
        <v>-0.0004</v>
      </c>
      <c r="G25" s="16" t="n">
        <f aca="false">+Chạy!G35</f>
        <v>0.06</v>
      </c>
      <c r="H25" s="16" t="n">
        <f aca="false">G25+I25</f>
        <v>0.129</v>
      </c>
      <c r="I25" s="16" t="n">
        <f aca="false">RANDBETWEEN(-30,90)/1000</f>
        <v>0.069</v>
      </c>
      <c r="J25" s="16" t="n">
        <f aca="false">+Chạy!K35</f>
        <v>0.14</v>
      </c>
      <c r="K25" s="16" t="n">
        <f aca="false">J25+L25</f>
        <v>0.222</v>
      </c>
      <c r="L25" s="16" t="n">
        <f aca="false">RANDBETWEEN(-30,90)/1000</f>
        <v>0.082</v>
      </c>
      <c r="M25" s="16" t="n">
        <f aca="false">+Chạy!N35</f>
        <v>13.15</v>
      </c>
      <c r="N25" s="16" t="n">
        <f aca="false">+M25+O25</f>
        <v>13.1511</v>
      </c>
      <c r="O25" s="16" t="n">
        <f aca="false">RANDBETWEEN(-105,115)/10000</f>
        <v>0.0011</v>
      </c>
      <c r="P25" s="16" t="n">
        <f aca="false">+Chạy!O35</f>
        <v>0.06</v>
      </c>
      <c r="Q25" s="16" t="n">
        <f aca="false">P25+R25</f>
        <v>0.049</v>
      </c>
      <c r="R25" s="16" t="n">
        <f aca="false">RANDBETWEEN(-30,90)/1000</f>
        <v>-0.011</v>
      </c>
      <c r="S25" s="17"/>
      <c r="T25" s="0" t="n">
        <v>12.97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66.95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0" t="n">
        <v>10.68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77.63</v>
      </c>
      <c r="D27" s="16" t="n">
        <f aca="false">+Chạy!F53</f>
        <v>-6.52</v>
      </c>
      <c r="E27" s="16" t="n">
        <f aca="false">+D27+F27</f>
        <v>-6.5148</v>
      </c>
      <c r="F27" s="16" t="n">
        <f aca="false">RANDBETWEEN(-105,115)/10000</f>
        <v>0.0052</v>
      </c>
      <c r="G27" s="16" t="n">
        <f aca="false">+Chạy!G53</f>
        <v>0.07</v>
      </c>
      <c r="H27" s="16" t="n">
        <f aca="false">G27+I27</f>
        <v>0.113</v>
      </c>
      <c r="I27" s="16" t="n">
        <f aca="false">RANDBETWEEN(-30,90)/1000</f>
        <v>0.043</v>
      </c>
      <c r="J27" s="16" t="n">
        <f aca="false">+Chạy!K53</f>
        <v>0.16</v>
      </c>
      <c r="K27" s="16" t="n">
        <f aca="false">J27+L27</f>
        <v>0.163</v>
      </c>
      <c r="L27" s="16" t="n">
        <f aca="false">RANDBETWEEN(-30,90)/1000</f>
        <v>0.003</v>
      </c>
      <c r="M27" s="16" t="n">
        <f aca="false">+Chạy!N53</f>
        <v>13.15</v>
      </c>
      <c r="N27" s="16" t="n">
        <f aca="false">+M27+O27</f>
        <v>13.1551</v>
      </c>
      <c r="O27" s="16" t="n">
        <f aca="false">RANDBETWEEN(-105,115)/10000</f>
        <v>0.0051</v>
      </c>
      <c r="P27" s="16" t="n">
        <f aca="false">+Chạy!O53</f>
        <v>0.07</v>
      </c>
      <c r="Q27" s="16" t="n">
        <f aca="false">P27+R27</f>
        <v>0.11</v>
      </c>
      <c r="R27" s="16" t="n">
        <f aca="false">RANDBETWEEN(-30,90)/1000</f>
        <v>0.04</v>
      </c>
      <c r="S27" s="17"/>
      <c r="T27" s="0" t="n">
        <v>17.17</v>
      </c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94.8</v>
      </c>
      <c r="D28" s="16" t="n">
        <f aca="false">+Chạy!F62</f>
        <v>-11.53</v>
      </c>
      <c r="E28" s="16" t="n">
        <f aca="false">+D28+F28</f>
        <v>-11.5341</v>
      </c>
      <c r="F28" s="16" t="n">
        <f aca="false">RANDBETWEEN(-105,115)/10000</f>
        <v>-0.0041</v>
      </c>
      <c r="G28" s="16" t="n">
        <f aca="false">+Chạy!G62</f>
        <v>0.08</v>
      </c>
      <c r="H28" s="16" t="n">
        <f aca="false">G28+I28</f>
        <v>0.133</v>
      </c>
      <c r="I28" s="16" t="n">
        <f aca="false">RANDBETWEEN(-30,90)/1000</f>
        <v>0.053</v>
      </c>
      <c r="J28" s="16" t="n">
        <f aca="false">+Chạy!K62</f>
        <v>0.16</v>
      </c>
      <c r="K28" s="16" t="n">
        <f aca="false">J28+L28</f>
        <v>0.211</v>
      </c>
      <c r="L28" s="16" t="n">
        <f aca="false">RANDBETWEEN(-30,90)/1000</f>
        <v>0.051</v>
      </c>
      <c r="M28" s="16" t="n">
        <f aca="false">+Chạy!N62</f>
        <v>13.15</v>
      </c>
      <c r="N28" s="16" t="n">
        <f aca="false">+M28+O28</f>
        <v>13.1405</v>
      </c>
      <c r="O28" s="16" t="n">
        <f aca="false">RANDBETWEEN(-105,115)/10000</f>
        <v>-0.0095</v>
      </c>
      <c r="P28" s="16" t="n">
        <f aca="false">+Chạy!O62</f>
        <v>0.08</v>
      </c>
      <c r="Q28" s="16" t="n">
        <f aca="false">P28+R28</f>
        <v>0.123</v>
      </c>
      <c r="R28" s="16" t="n">
        <f aca="false">RANDBETWEEN(-30,90)/1000</f>
        <v>0.043</v>
      </c>
      <c r="S28" s="17"/>
      <c r="T28" s="0" t="n">
        <v>17.17</v>
      </c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111.97</v>
      </c>
      <c r="D29" s="16" t="n">
        <f aca="false">+Chạy!F71</f>
        <v>-11.14</v>
      </c>
      <c r="E29" s="16" t="n">
        <f aca="false">+D29+F29</f>
        <v>-11.1439</v>
      </c>
      <c r="F29" s="16" t="n">
        <f aca="false">RANDBETWEEN(-105,115)/10000</f>
        <v>-0.0039</v>
      </c>
      <c r="G29" s="16" t="n">
        <f aca="false">+Chạy!G71</f>
        <v>0.09</v>
      </c>
      <c r="H29" s="16" t="n">
        <f aca="false">G29+I29</f>
        <v>0.104</v>
      </c>
      <c r="I29" s="16" t="n">
        <f aca="false">RANDBETWEEN(-30,90)/1000</f>
        <v>0.014</v>
      </c>
      <c r="J29" s="16" t="n">
        <f aca="false">+Chạy!K71</f>
        <v>0.17</v>
      </c>
      <c r="K29" s="16" t="n">
        <f aca="false">J29+L29</f>
        <v>0.183</v>
      </c>
      <c r="L29" s="16" t="n">
        <f aca="false">RANDBETWEEN(-30,90)/1000</f>
        <v>0.013</v>
      </c>
      <c r="M29" s="16" t="n">
        <f aca="false">+Chạy!N71</f>
        <v>13.15</v>
      </c>
      <c r="N29" s="16" t="n">
        <f aca="false">+M29+O29</f>
        <v>13.154</v>
      </c>
      <c r="O29" s="16" t="n">
        <f aca="false">RANDBETWEEN(-105,115)/10000</f>
        <v>0.004</v>
      </c>
      <c r="P29" s="16" t="n">
        <f aca="false">+Chạy!O71</f>
        <v>0.09</v>
      </c>
      <c r="Q29" s="16" t="n">
        <f aca="false">P29+R29</f>
        <v>0.171</v>
      </c>
      <c r="R29" s="16" t="n">
        <f aca="false">RANDBETWEEN(-30,90)/1000</f>
        <v>0.081</v>
      </c>
      <c r="S29" s="17"/>
      <c r="T29" s="0" t="n">
        <v>14.49</v>
      </c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126.46</v>
      </c>
      <c r="D30" s="16" t="n">
        <f aca="false">+Chạy!F80</f>
        <v>-10.75</v>
      </c>
      <c r="E30" s="16" t="n">
        <f aca="false">+D30+F30</f>
        <v>-10.7474</v>
      </c>
      <c r="F30" s="16" t="n">
        <f aca="false">RANDBETWEEN(-105,115)/10000</f>
        <v>0.0026</v>
      </c>
      <c r="G30" s="16" t="n">
        <f aca="false">+Chạy!G80</f>
        <v>0.09</v>
      </c>
      <c r="H30" s="16" t="n">
        <f aca="false">G30+I30</f>
        <v>0.077</v>
      </c>
      <c r="I30" s="16" t="n">
        <f aca="false">RANDBETWEEN(-30,90)/1000</f>
        <v>-0.013</v>
      </c>
      <c r="J30" s="16" t="n">
        <f aca="false">+Chạy!K80</f>
        <v>0.17</v>
      </c>
      <c r="K30" s="16" t="n">
        <f aca="false">J30+L30</f>
        <v>0.187</v>
      </c>
      <c r="L30" s="16" t="n">
        <f aca="false">RANDBETWEEN(-30,90)/1000</f>
        <v>0.017</v>
      </c>
      <c r="M30" s="16" t="n">
        <f aca="false">+Chạy!N80</f>
        <v>13.15</v>
      </c>
      <c r="N30" s="16" t="n">
        <f aca="false">+M30+O30</f>
        <v>13.1488</v>
      </c>
      <c r="O30" s="16" t="n">
        <f aca="false">RANDBETWEEN(-105,115)/10000</f>
        <v>-0.0012</v>
      </c>
      <c r="P30" s="16" t="n">
        <f aca="false">+Chạy!O80</f>
        <v>0.09</v>
      </c>
      <c r="Q30" s="16" t="n">
        <f aca="false">P30+R30</f>
        <v>0.115</v>
      </c>
      <c r="R30" s="16" t="n">
        <f aca="false">RANDBETWEEN(-30,90)/1000</f>
        <v>0.025</v>
      </c>
      <c r="S30" s="17"/>
    </row>
    <row r="31" customFormat="false" ht="10.5" hidden="false" customHeight="true" outlineLevel="0" collapsed="false"/>
    <row r="32" customFormat="false" ht="15" hidden="false" customHeight="false" outlineLevel="0" collapsed="false"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5" hidden="false" customHeight="false" outlineLevel="0" collapsed="false"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" hidden="false" customHeight="false" outlineLevel="0" collapsed="false"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" hidden="false" customHeight="false" outlineLevel="0" collapsed="false"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" hidden="false" customHeight="false" outlineLevel="0" collapsed="false"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5" hidden="false" customHeight="false" outlineLevel="0" collapsed="false"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">
        <v>51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10.NĐXB6A/CVXD ngày 30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10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3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D3</v>
      </c>
      <c r="C11" s="51" t="n">
        <f aca="false">'3.KTHH L3'!C22</f>
        <v>0</v>
      </c>
      <c r="D11" s="13" t="n">
        <f aca="false">'3.KTHH L3'!T22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0.33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54.27695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1</v>
      </c>
      <c r="C12" s="51" t="n">
        <f aca="false">'3.KTHH L3'!C23</f>
        <v>19.63</v>
      </c>
      <c r="D12" s="13" t="n">
        <f aca="false">'3.KTHH L3'!T23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5.2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93.31895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2</v>
      </c>
      <c r="C13" s="51" t="n">
        <f aca="false">'3.KTHH L3'!C24</f>
        <v>36.8</v>
      </c>
      <c r="D13" s="13" t="n">
        <f aca="false">'3.KTHH L3'!T24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Chạy!E26</f>
        <v>5.67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102.7364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3</v>
      </c>
      <c r="C14" s="51" t="n">
        <f aca="false">'3.KTHH L3'!C25</f>
        <v>53.98</v>
      </c>
      <c r="D14" s="13" t="n">
        <f aca="false">'3.KTHH L3'!T25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6.29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40.79065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D2</v>
      </c>
      <c r="C15" s="51" t="n">
        <f aca="false">'3.KTHH L3'!C26</f>
        <v>66.95</v>
      </c>
      <c r="D15" s="13" t="n">
        <f aca="false">'3.KTHH L3'!T26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/>
      <c r="P15" s="53"/>
      <c r="Q15" s="53"/>
      <c r="R15" s="55"/>
      <c r="S15" s="55"/>
      <c r="T15" s="55"/>
      <c r="U15" s="55"/>
      <c r="V15" s="55"/>
      <c r="W15" s="55" t="n">
        <f aca="false">(O15+O16)*D15/2</f>
        <v>31.6128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4</v>
      </c>
      <c r="C16" s="51" t="n">
        <f aca="false">'3.KTHH L3'!C27</f>
        <v>77.63</v>
      </c>
      <c r="D16" s="13" t="n">
        <f aca="false">'3.KTHH L3'!T27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5.92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110.5748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5</v>
      </c>
      <c r="C17" s="51" t="n">
        <f aca="false">'3.KTHH L3'!C28</f>
        <v>94.8</v>
      </c>
      <c r="D17" s="13" t="n">
        <f aca="false">'3.KTHH L3'!T28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Chạy!E62</f>
        <v>6.96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116.5843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6</v>
      </c>
      <c r="C18" s="51" t="n">
        <f aca="false">'3.KTHH L3'!C29</f>
        <v>111.97</v>
      </c>
      <c r="D18" s="13" t="n">
        <f aca="false">'3.KTHH L3'!T29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Chạy!E71</f>
        <v>6.62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93.1707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'3.KTHH L3'!B30</f>
        <v>D1</v>
      </c>
      <c r="C19" s="51" t="n">
        <f aca="false">'3.KTHH L3'!C30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Chạy!E80</f>
        <v>6.24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customFormat="false" ht="16.5" hidden="false" customHeight="true" outlineLevel="0" collapsed="false">
      <c r="A20" s="37" t="s">
        <v>59</v>
      </c>
      <c r="B20" s="37"/>
      <c r="C20" s="37"/>
      <c r="D20" s="3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8" t="n">
        <f aca="false">SUM(R11:R19)</f>
        <v>0</v>
      </c>
      <c r="S20" s="98" t="n">
        <f aca="false">SUM(S11:S19)</f>
        <v>0</v>
      </c>
      <c r="T20" s="98"/>
      <c r="U20" s="99" t="n">
        <f aca="false">SUM(U11:U19)</f>
        <v>0</v>
      </c>
      <c r="V20" s="99" t="n">
        <f aca="false">SUM(V11:V19)</f>
        <v>0</v>
      </c>
      <c r="W20" s="100" t="n">
        <f aca="false">SUM(W11:W19)</f>
        <v>643.06555</v>
      </c>
      <c r="X20" s="99" t="n">
        <f aca="false">SUM(X11:X19)</f>
        <v>0</v>
      </c>
      <c r="Y20" s="99" t="n">
        <f aca="false">SUM(Y11:Y19)</f>
        <v>0</v>
      </c>
      <c r="Z20" s="99" t="n">
        <f aca="false">SUM(Z11:Z19)</f>
        <v>0</v>
      </c>
      <c r="AA20" s="99" t="n">
        <f aca="false">SUM(AA11:AA19)</f>
        <v>0</v>
      </c>
      <c r="AB20" s="99"/>
      <c r="AE20" s="9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2.75" hidden="false" customHeight="false" outlineLevel="0" collapsed="false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11.NĐXB6A/CVXD ngày 30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11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4 đoạn từ Km0+000,00 - Km0+126,46,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30" hidden="false" customHeight="true" outlineLevel="0" collapsed="false">
      <c r="A21" s="9"/>
      <c r="B21" s="9"/>
      <c r="C21" s="9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0</v>
      </c>
      <c r="D22" s="16" t="n">
        <f aca="false">+Chạy!F7</f>
        <v>-12.7</v>
      </c>
      <c r="E22" s="16" t="n">
        <f aca="false">+D22+F22</f>
        <v>-12.6895</v>
      </c>
      <c r="F22" s="16" t="n">
        <f aca="false">RANDBETWEEN(-105,115)/10000</f>
        <v>0.0105</v>
      </c>
      <c r="G22" s="16" t="n">
        <f aca="false">+Chạy!G7</f>
        <v>0.34</v>
      </c>
      <c r="H22" s="16" t="n">
        <f aca="false">G22+I22</f>
        <v>0.406</v>
      </c>
      <c r="I22" s="16" t="n">
        <f aca="false">RANDBETWEEN(-30,90)/1000</f>
        <v>0.066</v>
      </c>
      <c r="J22" s="16" t="n">
        <f aca="false">+Chạy!K7</f>
        <v>0.43</v>
      </c>
      <c r="K22" s="16" t="n">
        <f aca="false">J22+L22</f>
        <v>0.441</v>
      </c>
      <c r="L22" s="16" t="n">
        <f aca="false">RANDBETWEEN(-30,90)/1000</f>
        <v>0.011</v>
      </c>
      <c r="M22" s="16" t="n">
        <f aca="false">+Chạy!N7</f>
        <v>12.7</v>
      </c>
      <c r="N22" s="16" t="n">
        <f aca="false">+M22+O22</f>
        <v>12.7111</v>
      </c>
      <c r="O22" s="16" t="n">
        <f aca="false">RANDBETWEEN(-105,115)/10000</f>
        <v>0.0111</v>
      </c>
      <c r="P22" s="16" t="n">
        <f aca="false">+Chạy!O7</f>
        <v>0.34</v>
      </c>
      <c r="Q22" s="16" t="n">
        <f aca="false">P22+R22</f>
        <v>0.413</v>
      </c>
      <c r="R22" s="16" t="n">
        <f aca="false">RANDBETWEEN(-30,90)/1000</f>
        <v>0.073</v>
      </c>
      <c r="S22" s="17"/>
      <c r="T22" s="1" t="n">
        <v>19.63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19.63</v>
      </c>
      <c r="D23" s="16" t="n">
        <f aca="false">+Chạy!F16</f>
        <v>-12.7</v>
      </c>
      <c r="E23" s="16" t="n">
        <f aca="false">+D23+F23</f>
        <v>-12.7039</v>
      </c>
      <c r="F23" s="16" t="n">
        <f aca="false">RANDBETWEEN(-105,115)/10000</f>
        <v>-0.0039</v>
      </c>
      <c r="G23" s="16" t="n">
        <f aca="false">+Chạy!G16</f>
        <v>0.34</v>
      </c>
      <c r="H23" s="16" t="n">
        <f aca="false">G23+I23</f>
        <v>0.324</v>
      </c>
      <c r="I23" s="16" t="n">
        <f aca="false">RANDBETWEEN(-30,90)/1000</f>
        <v>-0.016</v>
      </c>
      <c r="J23" s="16" t="n">
        <f aca="false">+Chạy!K16</f>
        <v>0.43</v>
      </c>
      <c r="K23" s="16" t="n">
        <f aca="false">J23+L23</f>
        <v>0.468</v>
      </c>
      <c r="L23" s="16" t="n">
        <f aca="false">RANDBETWEEN(-30,90)/1000</f>
        <v>0.038</v>
      </c>
      <c r="M23" s="16" t="n">
        <f aca="false">+Chạy!N16</f>
        <v>12.7</v>
      </c>
      <c r="N23" s="16" t="n">
        <f aca="false">+M23+O23</f>
        <v>12.7013</v>
      </c>
      <c r="O23" s="16" t="n">
        <f aca="false">RANDBETWEEN(-105,115)/10000</f>
        <v>0.0013</v>
      </c>
      <c r="P23" s="16" t="n">
        <f aca="false">+Chạy!O16</f>
        <v>0.34</v>
      </c>
      <c r="Q23" s="16" t="n">
        <f aca="false">P23+R23</f>
        <v>0.352</v>
      </c>
      <c r="R23" s="16" t="n">
        <f aca="false">RANDBETWEEN(-30,90)/1000</f>
        <v>0.012</v>
      </c>
      <c r="S23" s="17"/>
      <c r="T23" s="1" t="n">
        <v>17.17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36.8</v>
      </c>
      <c r="D24" s="16" t="n">
        <f aca="false">+Chạy!F25</f>
        <v>-12.7</v>
      </c>
      <c r="E24" s="16" t="n">
        <f aca="false">+D24+F24</f>
        <v>-12.702</v>
      </c>
      <c r="F24" s="16" t="n">
        <f aca="false">RANDBETWEEN(-105,115)/10000</f>
        <v>-0.002</v>
      </c>
      <c r="G24" s="16" t="n">
        <f aca="false">+Chạy!G25</f>
        <v>0.35</v>
      </c>
      <c r="H24" s="16" t="n">
        <f aca="false">G24+I24</f>
        <v>0.386</v>
      </c>
      <c r="I24" s="16" t="n">
        <f aca="false">RANDBETWEEN(-30,90)/1000</f>
        <v>0.036</v>
      </c>
      <c r="J24" s="16" t="n">
        <f aca="false">+Chạy!K25</f>
        <v>0.44</v>
      </c>
      <c r="K24" s="16" t="n">
        <f aca="false">J24+L24</f>
        <v>0.49</v>
      </c>
      <c r="L24" s="16" t="n">
        <f aca="false">RANDBETWEEN(-30,90)/1000</f>
        <v>0.05</v>
      </c>
      <c r="M24" s="16" t="n">
        <f aca="false">+Chạy!N25</f>
        <v>12.7</v>
      </c>
      <c r="N24" s="16" t="n">
        <f aca="false">+M24+O24</f>
        <v>12.7045</v>
      </c>
      <c r="O24" s="16" t="n">
        <f aca="false">RANDBETWEEN(-105,115)/10000</f>
        <v>0.0045</v>
      </c>
      <c r="P24" s="16" t="n">
        <f aca="false">+Chạy!O25</f>
        <v>0.35</v>
      </c>
      <c r="Q24" s="16" t="n">
        <f aca="false">P24+R24</f>
        <v>0.34</v>
      </c>
      <c r="R24" s="16" t="n">
        <f aca="false">RANDBETWEEN(-30,90)/1000</f>
        <v>-0.01</v>
      </c>
      <c r="S24" s="17"/>
      <c r="T24" s="1" t="n">
        <v>17.18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53.98</v>
      </c>
      <c r="D25" s="16" t="n">
        <f aca="false">+Chạy!F34</f>
        <v>-12.7</v>
      </c>
      <c r="E25" s="16" t="n">
        <f aca="false">+D25+F25</f>
        <v>-12.6973</v>
      </c>
      <c r="F25" s="16" t="n">
        <f aca="false">RANDBETWEEN(-105,115)/10000</f>
        <v>0.0027</v>
      </c>
      <c r="G25" s="16" t="n">
        <f aca="false">+Chạy!G34</f>
        <v>0.36</v>
      </c>
      <c r="H25" s="16" t="n">
        <f aca="false">G25+I25</f>
        <v>0.361</v>
      </c>
      <c r="I25" s="16" t="n">
        <f aca="false">RANDBETWEEN(-30,90)/1000</f>
        <v>0.001</v>
      </c>
      <c r="J25" s="16" t="n">
        <f aca="false">+Chạy!K34</f>
        <v>0.44</v>
      </c>
      <c r="K25" s="16" t="n">
        <f aca="false">J25+L25</f>
        <v>0.45</v>
      </c>
      <c r="L25" s="16" t="n">
        <f aca="false">RANDBETWEEN(-30,90)/1000</f>
        <v>0.01</v>
      </c>
      <c r="M25" s="16" t="n">
        <f aca="false">+Chạy!N34</f>
        <v>12.7</v>
      </c>
      <c r="N25" s="16" t="n">
        <f aca="false">+M25+O25</f>
        <v>12.7097</v>
      </c>
      <c r="O25" s="16" t="n">
        <f aca="false">RANDBETWEEN(-105,115)/10000</f>
        <v>0.0097</v>
      </c>
      <c r="P25" s="16" t="n">
        <f aca="false">+Chạy!O34</f>
        <v>0.36</v>
      </c>
      <c r="Q25" s="16" t="n">
        <f aca="false">P25+R25</f>
        <v>0.383</v>
      </c>
      <c r="R25" s="16" t="n">
        <f aca="false">RANDBETWEEN(-30,90)/1000</f>
        <v>0.023</v>
      </c>
      <c r="S25" s="17"/>
      <c r="T25" s="1" t="n">
        <v>12.97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66.95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1" t="n">
        <v>10.68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77.63</v>
      </c>
      <c r="D27" s="16" t="n">
        <f aca="false">+Chạy!F52</f>
        <v>-6.82</v>
      </c>
      <c r="E27" s="16" t="n">
        <f aca="false">+D27+F27</f>
        <v>-6.8276</v>
      </c>
      <c r="F27" s="16" t="n">
        <f aca="false">RANDBETWEEN(-105,115)/10000</f>
        <v>-0.0076</v>
      </c>
      <c r="G27" s="16" t="n">
        <f aca="false">+Chạy!G52</f>
        <v>0.37</v>
      </c>
      <c r="H27" s="16" t="n">
        <f aca="false">G27+I27</f>
        <v>0.419</v>
      </c>
      <c r="I27" s="16" t="n">
        <f aca="false">RANDBETWEEN(-30,90)/1000</f>
        <v>0.049</v>
      </c>
      <c r="J27" s="16" t="n">
        <f aca="false">+Chạy!K52</f>
        <v>0.46</v>
      </c>
      <c r="K27" s="16" t="n">
        <f aca="false">J27+L27</f>
        <v>0.483</v>
      </c>
      <c r="L27" s="16" t="n">
        <f aca="false">RANDBETWEEN(-30,90)/1000</f>
        <v>0.023</v>
      </c>
      <c r="M27" s="16" t="n">
        <f aca="false">+Chạy!N52</f>
        <v>12.7</v>
      </c>
      <c r="N27" s="16" t="n">
        <f aca="false">+M27+O27</f>
        <v>12.7088</v>
      </c>
      <c r="O27" s="16" t="n">
        <f aca="false">RANDBETWEEN(-105,115)/10000</f>
        <v>0.0088</v>
      </c>
      <c r="P27" s="16" t="n">
        <f aca="false">+Chạy!O52</f>
        <v>0.37</v>
      </c>
      <c r="Q27" s="16" t="n">
        <f aca="false">P27+R27</f>
        <v>0.451</v>
      </c>
      <c r="R27" s="16" t="n">
        <f aca="false">RANDBETWEEN(-30,90)/1000</f>
        <v>0.081</v>
      </c>
      <c r="S27" s="17"/>
      <c r="T27" s="1" t="n">
        <v>17.17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94.8</v>
      </c>
      <c r="D28" s="16" t="n">
        <f aca="false">+Chạy!F61</f>
        <v>-11.65</v>
      </c>
      <c r="E28" s="16" t="n">
        <f aca="false">+D28+F28</f>
        <v>-11.6539</v>
      </c>
      <c r="F28" s="16" t="n">
        <f aca="false">RANDBETWEEN(-105,115)/10000</f>
        <v>-0.0039</v>
      </c>
      <c r="G28" s="16" t="n">
        <f aca="false">+Chạy!G61</f>
        <v>0.38</v>
      </c>
      <c r="H28" s="16" t="n">
        <f aca="false">G28+I28</f>
        <v>0.373</v>
      </c>
      <c r="I28" s="16" t="n">
        <f aca="false">RANDBETWEEN(-30,90)/1000</f>
        <v>-0.007</v>
      </c>
      <c r="J28" s="16" t="n">
        <f aca="false">+Chạy!K61</f>
        <v>0.46</v>
      </c>
      <c r="K28" s="16" t="n">
        <f aca="false">J28+L28</f>
        <v>0.435</v>
      </c>
      <c r="L28" s="16" t="n">
        <f aca="false">RANDBETWEEN(-30,90)/1000</f>
        <v>-0.025</v>
      </c>
      <c r="M28" s="16" t="n">
        <f aca="false">+Chạy!N61</f>
        <v>12.7</v>
      </c>
      <c r="N28" s="16" t="n">
        <f aca="false">+M28+O28</f>
        <v>12.7106</v>
      </c>
      <c r="O28" s="16" t="n">
        <f aca="false">RANDBETWEEN(-105,115)/10000</f>
        <v>0.0106</v>
      </c>
      <c r="P28" s="16" t="n">
        <f aca="false">+Chạy!O61</f>
        <v>0.38</v>
      </c>
      <c r="Q28" s="16" t="n">
        <f aca="false">P28+R28</f>
        <v>0.432</v>
      </c>
      <c r="R28" s="16" t="n">
        <f aca="false">RANDBETWEEN(-30,90)/1000</f>
        <v>0.052</v>
      </c>
      <c r="S28" s="17"/>
      <c r="T28" s="1" t="n">
        <v>17.17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111.97</v>
      </c>
      <c r="D29" s="16" t="n">
        <f aca="false">+Chạy!F70</f>
        <v>-11.25</v>
      </c>
      <c r="E29" s="16" t="n">
        <f aca="false">+D29+F29</f>
        <v>-11.24</v>
      </c>
      <c r="F29" s="16" t="n">
        <f aca="false">RANDBETWEEN(-105,115)/10000</f>
        <v>0.01</v>
      </c>
      <c r="G29" s="16" t="n">
        <f aca="false">+Chạy!G70</f>
        <v>0.39</v>
      </c>
      <c r="H29" s="16" t="n">
        <f aca="false">G29+I29</f>
        <v>0.438</v>
      </c>
      <c r="I29" s="16" t="n">
        <f aca="false">RANDBETWEEN(-30,90)/1000</f>
        <v>0.048</v>
      </c>
      <c r="J29" s="16" t="n">
        <f aca="false">+Chạy!K70</f>
        <v>0.47</v>
      </c>
      <c r="K29" s="16" t="n">
        <f aca="false">J29+L29</f>
        <v>0.475</v>
      </c>
      <c r="L29" s="16" t="n">
        <f aca="false">RANDBETWEEN(-30,90)/1000</f>
        <v>0.005</v>
      </c>
      <c r="M29" s="16" t="n">
        <f aca="false">+Chạy!N70</f>
        <v>12.7</v>
      </c>
      <c r="N29" s="16" t="n">
        <f aca="false">+M29+O29</f>
        <v>12.7103</v>
      </c>
      <c r="O29" s="16" t="n">
        <f aca="false">RANDBETWEEN(-105,115)/10000</f>
        <v>0.0103</v>
      </c>
      <c r="P29" s="16" t="n">
        <f aca="false">+Chạy!O70</f>
        <v>0.39</v>
      </c>
      <c r="Q29" s="16" t="n">
        <f aca="false">P29+R29</f>
        <v>0.383</v>
      </c>
      <c r="R29" s="16" t="n">
        <f aca="false">RANDBETWEEN(-30,90)/1000</f>
        <v>-0.007</v>
      </c>
      <c r="S29" s="17"/>
      <c r="T29" s="1" t="n">
        <v>14.49</v>
      </c>
      <c r="W29" s="102"/>
      <c r="X29" s="103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126.46</v>
      </c>
      <c r="D30" s="16" t="n">
        <f aca="false">+Chạy!F79</f>
        <v>-10.87</v>
      </c>
      <c r="E30" s="16" t="n">
        <f aca="false">+D30+F30</f>
        <v>-10.8699</v>
      </c>
      <c r="F30" s="16" t="n">
        <f aca="false">RANDBETWEEN(-105,115)/10000</f>
        <v>0.0001</v>
      </c>
      <c r="G30" s="16" t="n">
        <f aca="false">+Chạy!G79</f>
        <v>0.39</v>
      </c>
      <c r="H30" s="16" t="n">
        <f aca="false">G30+I30</f>
        <v>0.375</v>
      </c>
      <c r="I30" s="16" t="n">
        <f aca="false">RANDBETWEEN(-30,90)/1000</f>
        <v>-0.015</v>
      </c>
      <c r="J30" s="16" t="n">
        <f aca="false">+Chạy!K79</f>
        <v>0.47</v>
      </c>
      <c r="K30" s="16" t="n">
        <f aca="false">J30+L30</f>
        <v>0.525</v>
      </c>
      <c r="L30" s="16" t="n">
        <f aca="false">RANDBETWEEN(-30,90)/1000</f>
        <v>0.055</v>
      </c>
      <c r="M30" s="16" t="n">
        <f aca="false">+Chạy!N79</f>
        <v>12.7</v>
      </c>
      <c r="N30" s="16" t="n">
        <f aca="false">+M30+O30</f>
        <v>12.7003</v>
      </c>
      <c r="O30" s="16" t="n">
        <f aca="false">RANDBETWEEN(-105,115)/10000</f>
        <v>0.0003</v>
      </c>
      <c r="P30" s="16" t="n">
        <f aca="false">+Chạy!O79</f>
        <v>0.39</v>
      </c>
      <c r="Q30" s="16" t="n">
        <f aca="false">P30+R30</f>
        <v>0.421</v>
      </c>
      <c r="R30" s="16" t="n">
        <f aca="false">RANDBETWEEN(-30,90)/1000</f>
        <v>0.031</v>
      </c>
      <c r="S30" s="17"/>
      <c r="W30" s="102"/>
      <c r="X30" s="103"/>
    </row>
    <row r="32" customFormat="false" ht="15" hidden="false" customHeight="false" outlineLevel="0" collapsed="false"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5" hidden="false" customHeight="false" outlineLevel="0" collapsed="false"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" hidden="false" customHeight="false" outlineLevel="0" collapsed="false"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" hidden="false" customHeight="false" outlineLevel="0" collapsed="false"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" hidden="false" customHeight="false" outlineLevel="0" collapsed="false"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5" hidden="false" customHeight="false" outlineLevel="0" collapsed="false"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">
        <v>51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11.NĐXB6A/CVXD ngày 30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11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4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D3</v>
      </c>
      <c r="C11" s="51" t="n">
        <f aca="false">'4.KTHH L4'!C22</f>
        <v>0</v>
      </c>
      <c r="D11" s="13" t="n">
        <f aca="false">'4.KTHH L4'!T22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7.6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150.66025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1</v>
      </c>
      <c r="C12" s="51" t="n">
        <f aca="false">'4.KTHH L4'!C23</f>
        <v>19.63</v>
      </c>
      <c r="D12" s="13" t="n">
        <f aca="false">'4.KTHH L4'!T23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7.75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133.15335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2</v>
      </c>
      <c r="C13" s="51" t="n">
        <f aca="false">'4.KTHH L4'!C24</f>
        <v>36.8</v>
      </c>
      <c r="D13" s="13" t="n">
        <f aca="false">'4.KTHH L4'!T24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7.76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133.3168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3</v>
      </c>
      <c r="C14" s="51" t="n">
        <f aca="false">'4.KTHH L4'!C25</f>
        <v>53.98</v>
      </c>
      <c r="D14" s="13" t="n">
        <f aca="false">'4.KTHH L4'!T25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7.76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50.3236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D2</v>
      </c>
      <c r="C15" s="51" t="n">
        <f aca="false">'4.KTHH L4'!C26</f>
        <v>66.95</v>
      </c>
      <c r="D15" s="13" t="n">
        <f aca="false">'4.KTHH L4'!T26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/>
      <c r="P15" s="53"/>
      <c r="Q15" s="53"/>
      <c r="R15" s="55"/>
      <c r="S15" s="55"/>
      <c r="T15" s="55"/>
      <c r="U15" s="55"/>
      <c r="V15" s="55"/>
      <c r="W15" s="55" t="n">
        <f aca="false">(O15+O16)*D15/2</f>
        <v>31.3992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4</v>
      </c>
      <c r="C16" s="51" t="n">
        <f aca="false">'4.KTHH L4'!C27</f>
        <v>77.63</v>
      </c>
      <c r="D16" s="13" t="n">
        <f aca="false">'4.KTHH L4'!T27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5.88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113.57955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5</v>
      </c>
      <c r="C17" s="51" t="n">
        <f aca="false">'4.KTHH L4'!C28</f>
        <v>94.8</v>
      </c>
      <c r="D17" s="13" t="n">
        <f aca="false">'4.KTHH L4'!T28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Chạy!E61</f>
        <v>7.35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125.25515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6</v>
      </c>
      <c r="C18" s="51" t="n">
        <f aca="false">'4.KTHH L4'!C29</f>
        <v>111.97</v>
      </c>
      <c r="D18" s="13" t="n">
        <f aca="false">'4.KTHH L4'!T29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Chạy!E70</f>
        <v>7.24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104.0382</v>
      </c>
      <c r="X18" s="55"/>
      <c r="Y18" s="55"/>
      <c r="Z18" s="55"/>
      <c r="AA18" s="55"/>
      <c r="AB18" s="56"/>
      <c r="AC18" s="55"/>
    </row>
    <row r="19" s="84" customFormat="true" ht="15" hidden="false" customHeight="true" outlineLevel="0" collapsed="false">
      <c r="A19" s="13" t="n">
        <v>9</v>
      </c>
      <c r="B19" s="13" t="str">
        <f aca="false">'4.KTHH L4'!B30</f>
        <v>D1</v>
      </c>
      <c r="C19" s="51" t="n">
        <f aca="false">'4.KTHH L4'!C30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Chạy!E79</f>
        <v>7.12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5"/>
    </row>
    <row r="20" customFormat="false" ht="14.2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841.7261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E20" s="71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9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/>
      <c r="DU20" s="69"/>
      <c r="DV20" s="69"/>
      <c r="DW20" s="69"/>
      <c r="DX20" s="69"/>
      <c r="DY20" s="69"/>
      <c r="DZ20" s="69"/>
      <c r="EA20" s="69"/>
      <c r="EB20" s="69"/>
      <c r="EC20" s="69"/>
      <c r="ED20" s="69"/>
      <c r="EE20" s="69"/>
      <c r="EF20" s="69"/>
      <c r="EG20" s="69"/>
      <c r="EH20" s="69"/>
      <c r="EI20" s="69"/>
      <c r="EJ20" s="69"/>
      <c r="EK20" s="69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  <c r="FK20" s="69"/>
      <c r="FL20" s="69"/>
      <c r="FM20" s="69"/>
      <c r="FN20" s="69"/>
      <c r="FO20" s="69"/>
      <c r="FP20" s="69"/>
      <c r="FQ20" s="69"/>
      <c r="FR20" s="69"/>
      <c r="FS20" s="69"/>
      <c r="FT20" s="69"/>
      <c r="FU20" s="69"/>
      <c r="FV20" s="69"/>
      <c r="FW20" s="69"/>
      <c r="FX20" s="69"/>
      <c r="FY20" s="69"/>
      <c r="FZ20" s="69"/>
      <c r="GA20" s="69"/>
      <c r="GB20" s="69"/>
      <c r="GC20" s="69"/>
      <c r="GD20" s="69"/>
      <c r="GE20" s="69"/>
      <c r="GF20" s="69"/>
      <c r="GG20" s="69"/>
      <c r="GH20" s="69"/>
      <c r="GI20" s="69"/>
      <c r="GJ20" s="69"/>
      <c r="GK20" s="69"/>
      <c r="GL20" s="69"/>
      <c r="GM20" s="69"/>
      <c r="GN20" s="69"/>
      <c r="GO20" s="69"/>
      <c r="GP20" s="69"/>
      <c r="GQ20" s="69"/>
      <c r="GR20" s="69"/>
      <c r="GS20" s="69"/>
      <c r="GT20" s="69"/>
      <c r="GU20" s="69"/>
      <c r="GV20" s="69"/>
      <c r="GW20" s="69"/>
      <c r="GX20" s="69"/>
      <c r="GY20" s="69"/>
      <c r="GZ20" s="69"/>
      <c r="HA20" s="69"/>
      <c r="HB20" s="69"/>
      <c r="HC20" s="69"/>
      <c r="HD20" s="69"/>
      <c r="HE20" s="69"/>
      <c r="HF20" s="69"/>
      <c r="HG20" s="69"/>
      <c r="HH20" s="69"/>
      <c r="HI20" s="69"/>
      <c r="HJ20" s="69"/>
      <c r="HK20" s="69"/>
      <c r="HL20" s="69"/>
      <c r="HM20" s="69"/>
      <c r="HN20" s="69"/>
      <c r="HO20" s="69"/>
      <c r="HP20" s="69"/>
      <c r="HQ20" s="69"/>
      <c r="HR20" s="69"/>
      <c r="HS20" s="69"/>
    </row>
    <row r="21" customFormat="false" ht="14.2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  <c r="FK21" s="69"/>
      <c r="FL21" s="69"/>
      <c r="FM21" s="69"/>
      <c r="FN21" s="69"/>
      <c r="FO21" s="69"/>
      <c r="FP21" s="69"/>
      <c r="FQ21" s="69"/>
      <c r="FR21" s="69"/>
      <c r="FS21" s="69"/>
      <c r="FT21" s="69"/>
      <c r="FU21" s="69"/>
      <c r="FV21" s="69"/>
      <c r="FW21" s="69"/>
      <c r="FX21" s="69"/>
      <c r="FY21" s="69"/>
      <c r="FZ21" s="69"/>
      <c r="GA21" s="69"/>
      <c r="GB21" s="69"/>
      <c r="GC21" s="69"/>
      <c r="GD21" s="69"/>
      <c r="GE21" s="69"/>
      <c r="GF21" s="69"/>
      <c r="GG21" s="69"/>
      <c r="GH21" s="69"/>
      <c r="GI21" s="69"/>
      <c r="GJ21" s="69"/>
      <c r="GK21" s="69"/>
      <c r="GL21" s="69"/>
      <c r="GM21" s="69"/>
      <c r="GN21" s="69"/>
      <c r="GO21" s="69"/>
      <c r="GP21" s="69"/>
      <c r="GQ21" s="69"/>
      <c r="GR21" s="69"/>
      <c r="GS21" s="69"/>
      <c r="GT21" s="69"/>
      <c r="GU21" s="69"/>
      <c r="GV21" s="69"/>
      <c r="GW21" s="69"/>
      <c r="GX21" s="69"/>
      <c r="GY21" s="69"/>
      <c r="GZ21" s="69"/>
      <c r="HA21" s="69"/>
      <c r="HB21" s="69"/>
      <c r="HC21" s="69"/>
      <c r="HD21" s="69"/>
      <c r="HE21" s="69"/>
      <c r="HF21" s="69"/>
      <c r="HG21" s="69"/>
      <c r="HH21" s="69"/>
      <c r="HI21" s="69"/>
      <c r="HJ21" s="69"/>
      <c r="HK21" s="69"/>
      <c r="HL21" s="69"/>
      <c r="HM21" s="69"/>
      <c r="HN21" s="69"/>
      <c r="HO21" s="69"/>
      <c r="HP21" s="69"/>
      <c r="HQ21" s="69"/>
      <c r="HR21" s="69"/>
      <c r="HS21" s="69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9"/>
      <c r="GU22" s="69"/>
      <c r="GV22" s="69"/>
      <c r="GW22" s="69"/>
      <c r="GX22" s="69"/>
      <c r="GY22" s="69"/>
      <c r="GZ22" s="69"/>
      <c r="HA22" s="69"/>
      <c r="HB22" s="69"/>
      <c r="HC22" s="69"/>
      <c r="HD22" s="69"/>
      <c r="HE22" s="69"/>
      <c r="HF22" s="69"/>
      <c r="HG22" s="69"/>
      <c r="HH22" s="69"/>
      <c r="HI22" s="69"/>
      <c r="HJ22" s="69"/>
      <c r="HK22" s="69"/>
      <c r="HL22" s="69"/>
      <c r="HM22" s="69"/>
      <c r="HN22" s="69"/>
      <c r="HO22" s="69"/>
      <c r="HP22" s="69"/>
      <c r="HQ22" s="69"/>
      <c r="HR22" s="69"/>
      <c r="HS22" s="69"/>
    </row>
    <row r="23" customFormat="false" ht="14.2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HT23" s="69"/>
    </row>
    <row r="24" customFormat="false" ht="1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Z24" s="69"/>
      <c r="AA24" s="69"/>
      <c r="AB24" s="69"/>
      <c r="AC24" s="69"/>
      <c r="AD24" s="69"/>
      <c r="AE24" s="69"/>
      <c r="AF24" s="108"/>
      <c r="AG24" s="69"/>
      <c r="AH24" s="69"/>
      <c r="AI24" s="69"/>
      <c r="AJ24" s="69"/>
      <c r="AK24" s="69"/>
      <c r="HT24" s="69"/>
    </row>
    <row r="25" customFormat="false" ht="14.2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HT25" s="69"/>
    </row>
    <row r="26" customFormat="false" ht="14.2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HT26" s="69"/>
    </row>
    <row r="27" customFormat="false" ht="14.2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HT27" s="69"/>
    </row>
    <row r="28" customFormat="false" ht="14.2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69"/>
      <c r="AD28" s="69"/>
      <c r="AE28" s="69"/>
      <c r="AF28" s="69"/>
      <c r="AG28" s="69"/>
      <c r="AH28" s="69"/>
      <c r="AI28" s="69"/>
      <c r="AJ28" s="69"/>
      <c r="AK28" s="69"/>
      <c r="HT28" s="69"/>
    </row>
    <row r="29" customFormat="false" ht="12.75" hidden="false" customHeight="false" outlineLevel="0" collapsed="false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12.NĐXB6A/CVXD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12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5 đoạn từ Km0+000,00 - Km0+126,46,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51.75" hidden="false" customHeight="true" outlineLevel="0" collapsed="false">
      <c r="A21" s="109"/>
      <c r="B21" s="109"/>
      <c r="C21" s="109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0</v>
      </c>
      <c r="D22" s="16" t="n">
        <f aca="false">+Chạy!F6</f>
        <v>-12.25</v>
      </c>
      <c r="E22" s="16" t="n">
        <f aca="false">+D22+F22</f>
        <v>-12.2394</v>
      </c>
      <c r="F22" s="16" t="n">
        <f aca="false">RANDBETWEEN(-105,115)/10000</f>
        <v>0.0106</v>
      </c>
      <c r="G22" s="16" t="n">
        <f aca="false">+Chạy!G6</f>
        <v>0.64</v>
      </c>
      <c r="H22" s="16" t="n">
        <f aca="false">G22+I22</f>
        <v>0.716</v>
      </c>
      <c r="I22" s="16" t="n">
        <f aca="false">RANDBETWEEN(-30,90)/1000</f>
        <v>0.076</v>
      </c>
      <c r="J22" s="16" t="n">
        <f aca="false">+Chạy!K6</f>
        <v>0.73</v>
      </c>
      <c r="K22" s="16" t="n">
        <f aca="false">J22+L22</f>
        <v>0.805</v>
      </c>
      <c r="L22" s="16" t="n">
        <f aca="false">RANDBETWEEN(-30,90)/1000</f>
        <v>0.075</v>
      </c>
      <c r="M22" s="16" t="n">
        <f aca="false">+Chạy!N6</f>
        <v>12.25</v>
      </c>
      <c r="N22" s="16" t="n">
        <f aca="false">+M22+O22</f>
        <v>12.2426</v>
      </c>
      <c r="O22" s="16" t="n">
        <f aca="false">RANDBETWEEN(-105,115)/10000</f>
        <v>-0.0074</v>
      </c>
      <c r="P22" s="16" t="n">
        <f aca="false">+Chạy!O6</f>
        <v>0.64</v>
      </c>
      <c r="Q22" s="16" t="n">
        <f aca="false">P22+R22</f>
        <v>0.729</v>
      </c>
      <c r="R22" s="16" t="n">
        <f aca="false">RANDBETWEEN(-30,90)/1000</f>
        <v>0.089</v>
      </c>
      <c r="S22" s="17"/>
      <c r="T22" s="0" t="n">
        <v>19.63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19.63</v>
      </c>
      <c r="D23" s="16" t="n">
        <f aca="false">+Chạy!F15</f>
        <v>-12.25</v>
      </c>
      <c r="E23" s="16" t="n">
        <f aca="false">+D23+F23</f>
        <v>-12.2529</v>
      </c>
      <c r="F23" s="16" t="n">
        <f aca="false">RANDBETWEEN(-105,115)/10000</f>
        <v>-0.0029</v>
      </c>
      <c r="G23" s="16" t="n">
        <f aca="false">+Chạy!G15</f>
        <v>0.64</v>
      </c>
      <c r="H23" s="16" t="n">
        <f aca="false">G23+I23</f>
        <v>0.613</v>
      </c>
      <c r="I23" s="16" t="n">
        <f aca="false">RANDBETWEEN(-30,90)/1000</f>
        <v>-0.027</v>
      </c>
      <c r="J23" s="16" t="n">
        <f aca="false">+Chạy!K15</f>
        <v>0.73</v>
      </c>
      <c r="K23" s="16" t="n">
        <f aca="false">J23+L23</f>
        <v>0.779</v>
      </c>
      <c r="L23" s="16" t="n">
        <f aca="false">RANDBETWEEN(-30,90)/1000</f>
        <v>0.049</v>
      </c>
      <c r="M23" s="16" t="n">
        <f aca="false">+Chạy!N15</f>
        <v>12.25</v>
      </c>
      <c r="N23" s="16" t="n">
        <f aca="false">+M23+O23</f>
        <v>12.2396</v>
      </c>
      <c r="O23" s="16" t="n">
        <f aca="false">RANDBETWEEN(-105,115)/10000</f>
        <v>-0.0104</v>
      </c>
      <c r="P23" s="16" t="n">
        <f aca="false">+Chạy!O15</f>
        <v>0.64</v>
      </c>
      <c r="Q23" s="16" t="n">
        <f aca="false">P23+R23</f>
        <v>0.648</v>
      </c>
      <c r="R23" s="16" t="n">
        <f aca="false">RANDBETWEEN(-30,90)/1000</f>
        <v>0.008</v>
      </c>
      <c r="S23" s="17"/>
      <c r="T23" s="0" t="n">
        <v>17.17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36.8</v>
      </c>
      <c r="D24" s="16" t="n">
        <f aca="false">+Chạy!F24</f>
        <v>-12.25</v>
      </c>
      <c r="E24" s="16" t="n">
        <f aca="false">+D24+F24</f>
        <v>-12.2431</v>
      </c>
      <c r="F24" s="16" t="n">
        <f aca="false">RANDBETWEEN(-105,115)/10000</f>
        <v>0.0069</v>
      </c>
      <c r="G24" s="16" t="n">
        <f aca="false">+Chạy!G24</f>
        <v>0.65</v>
      </c>
      <c r="H24" s="16" t="n">
        <f aca="false">G24+I24</f>
        <v>0.646</v>
      </c>
      <c r="I24" s="16" t="n">
        <f aca="false">RANDBETWEEN(-30,90)/1000</f>
        <v>-0.004</v>
      </c>
      <c r="J24" s="16" t="n">
        <f aca="false">+Chạy!K24</f>
        <v>0.74</v>
      </c>
      <c r="K24" s="16" t="n">
        <f aca="false">J24+L24</f>
        <v>0.766</v>
      </c>
      <c r="L24" s="16" t="n">
        <f aca="false">RANDBETWEEN(-30,90)/1000</f>
        <v>0.026</v>
      </c>
      <c r="M24" s="16" t="n">
        <f aca="false">+Chạy!N24</f>
        <v>12.25</v>
      </c>
      <c r="N24" s="16" t="n">
        <f aca="false">+M24+O24</f>
        <v>12.247</v>
      </c>
      <c r="O24" s="16" t="n">
        <f aca="false">RANDBETWEEN(-105,115)/10000</f>
        <v>-0.003</v>
      </c>
      <c r="P24" s="16" t="n">
        <f aca="false">+Chạy!O24</f>
        <v>0.65</v>
      </c>
      <c r="Q24" s="16" t="n">
        <f aca="false">P24+R24</f>
        <v>0.721</v>
      </c>
      <c r="R24" s="16" t="n">
        <f aca="false">RANDBETWEEN(-30,90)/1000</f>
        <v>0.071</v>
      </c>
      <c r="S24" s="17"/>
      <c r="T24" s="0" t="n">
        <v>17.18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53.98</v>
      </c>
      <c r="D25" s="16" t="n">
        <f aca="false">+Chạy!F33</f>
        <v>-12.25</v>
      </c>
      <c r="E25" s="16" t="n">
        <f aca="false">+D25+F25</f>
        <v>-12.2452</v>
      </c>
      <c r="F25" s="16" t="n">
        <f aca="false">RANDBETWEEN(-105,115)/10000</f>
        <v>0.0048</v>
      </c>
      <c r="G25" s="16" t="n">
        <f aca="false">+Chạy!G33</f>
        <v>0.66</v>
      </c>
      <c r="H25" s="16" t="n">
        <f aca="false">G25+I25</f>
        <v>0.728</v>
      </c>
      <c r="I25" s="16" t="n">
        <f aca="false">RANDBETWEEN(-30,90)/1000</f>
        <v>0.068</v>
      </c>
      <c r="J25" s="16" t="n">
        <f aca="false">+Chạy!K33</f>
        <v>0.74</v>
      </c>
      <c r="K25" s="16" t="n">
        <f aca="false">J25+L25</f>
        <v>0.83</v>
      </c>
      <c r="L25" s="16" t="n">
        <f aca="false">RANDBETWEEN(-30,90)/1000</f>
        <v>0.09</v>
      </c>
      <c r="M25" s="16" t="n">
        <f aca="false">+Chạy!N33</f>
        <v>12.25</v>
      </c>
      <c r="N25" s="16" t="n">
        <f aca="false">+M25+O25</f>
        <v>12.2593</v>
      </c>
      <c r="O25" s="16" t="n">
        <f aca="false">RANDBETWEEN(-105,115)/10000</f>
        <v>0.0093</v>
      </c>
      <c r="P25" s="16" t="n">
        <f aca="false">+Chạy!O33</f>
        <v>0.66</v>
      </c>
      <c r="Q25" s="16" t="n">
        <f aca="false">P25+R25</f>
        <v>0.75</v>
      </c>
      <c r="R25" s="16" t="n">
        <f aca="false">RANDBETWEEN(-30,90)/1000</f>
        <v>0.09</v>
      </c>
      <c r="S25" s="17"/>
      <c r="T25" s="0" t="n">
        <v>12.97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66.95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0" t="n">
        <v>10.68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77.63</v>
      </c>
      <c r="D27" s="16" t="n">
        <f aca="false">+Chạy!F51</f>
        <v>-7.12</v>
      </c>
      <c r="E27" s="16" t="n">
        <f aca="false">+D27+F27</f>
        <v>-7.1285</v>
      </c>
      <c r="F27" s="16" t="n">
        <f aca="false">RANDBETWEEN(-105,115)/10000</f>
        <v>-0.0085</v>
      </c>
      <c r="G27" s="16" t="n">
        <f aca="false">+Chạy!G51</f>
        <v>0.67</v>
      </c>
      <c r="H27" s="16" t="n">
        <f aca="false">G27+I27</f>
        <v>0.665</v>
      </c>
      <c r="I27" s="16" t="n">
        <f aca="false">RANDBETWEEN(-30,90)/1000</f>
        <v>-0.005</v>
      </c>
      <c r="J27" s="16" t="n">
        <f aca="false">+Chạy!K51</f>
        <v>0.76</v>
      </c>
      <c r="K27" s="16" t="n">
        <f aca="false">J27+L27</f>
        <v>0.814</v>
      </c>
      <c r="L27" s="16" t="n">
        <f aca="false">RANDBETWEEN(-30,90)/1000</f>
        <v>0.054</v>
      </c>
      <c r="M27" s="16" t="n">
        <f aca="false">+Chạy!N51</f>
        <v>12.25</v>
      </c>
      <c r="N27" s="16" t="n">
        <f aca="false">+M27+O27</f>
        <v>12.2547</v>
      </c>
      <c r="O27" s="16" t="n">
        <f aca="false">RANDBETWEEN(-105,115)/10000</f>
        <v>0.0047</v>
      </c>
      <c r="P27" s="16" t="n">
        <f aca="false">+Chạy!O51</f>
        <v>0.67</v>
      </c>
      <c r="Q27" s="16" t="n">
        <f aca="false">P27+R27</f>
        <v>0.753</v>
      </c>
      <c r="R27" s="16" t="n">
        <f aca="false">RANDBETWEEN(-30,90)/1000</f>
        <v>0.083</v>
      </c>
      <c r="S27" s="17"/>
      <c r="T27" s="0" t="n">
        <v>17.17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23</v>
      </c>
      <c r="C28" s="15" t="n">
        <f aca="false">+C27+T27</f>
        <v>94.8</v>
      </c>
      <c r="D28" s="16" t="n">
        <f aca="false">+Chạy!F60</f>
        <v>-11.76</v>
      </c>
      <c r="E28" s="16" t="n">
        <f aca="false">+D28+F28</f>
        <v>-11.7621</v>
      </c>
      <c r="F28" s="16" t="n">
        <f aca="false">RANDBETWEEN(-105,115)/10000</f>
        <v>-0.0021</v>
      </c>
      <c r="G28" s="16" t="n">
        <f aca="false">+Chạy!G60</f>
        <v>0.68</v>
      </c>
      <c r="H28" s="16" t="n">
        <f aca="false">G28+I28</f>
        <v>0.695</v>
      </c>
      <c r="I28" s="16" t="n">
        <f aca="false">RANDBETWEEN(-30,90)/1000</f>
        <v>0.015</v>
      </c>
      <c r="J28" s="16" t="n">
        <f aca="false">+Chạy!K60</f>
        <v>0.76</v>
      </c>
      <c r="K28" s="16" t="n">
        <f aca="false">J28+L28</f>
        <v>0.778</v>
      </c>
      <c r="L28" s="16" t="n">
        <f aca="false">RANDBETWEEN(-30,90)/1000</f>
        <v>0.018</v>
      </c>
      <c r="M28" s="16" t="n">
        <f aca="false">+Chạy!N60</f>
        <v>12.25</v>
      </c>
      <c r="N28" s="16" t="n">
        <f aca="false">+M28+O28</f>
        <v>12.2444</v>
      </c>
      <c r="O28" s="16" t="n">
        <f aca="false">RANDBETWEEN(-105,115)/10000</f>
        <v>-0.0056</v>
      </c>
      <c r="P28" s="16" t="n">
        <f aca="false">+Chạy!O60</f>
        <v>0.68</v>
      </c>
      <c r="Q28" s="16" t="n">
        <f aca="false">P28+R28</f>
        <v>0.751</v>
      </c>
      <c r="R28" s="16" t="n">
        <f aca="false">RANDBETWEEN(-30,90)/1000</f>
        <v>0.071</v>
      </c>
      <c r="S28" s="17"/>
      <c r="T28" s="0" t="n">
        <v>17.17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24</v>
      </c>
      <c r="C29" s="15" t="n">
        <f aca="false">+C28+T28</f>
        <v>111.97</v>
      </c>
      <c r="D29" s="16" t="n">
        <f aca="false">+Chạy!F69</f>
        <v>-11.37</v>
      </c>
      <c r="E29" s="16" t="n">
        <f aca="false">+D29+F29</f>
        <v>-11.3596</v>
      </c>
      <c r="F29" s="16" t="n">
        <f aca="false">RANDBETWEEN(-105,115)/10000</f>
        <v>0.0104</v>
      </c>
      <c r="G29" s="16" t="n">
        <f aca="false">+Chạy!G69</f>
        <v>0.69</v>
      </c>
      <c r="H29" s="16" t="n">
        <f aca="false">G29+I29</f>
        <v>0.77</v>
      </c>
      <c r="I29" s="16" t="n">
        <f aca="false">RANDBETWEEN(-30,90)/1000</f>
        <v>0.08</v>
      </c>
      <c r="J29" s="16" t="n">
        <f aca="false">+Chạy!K69</f>
        <v>0.77</v>
      </c>
      <c r="K29" s="16" t="n">
        <f aca="false">J29+L29</f>
        <v>0.845</v>
      </c>
      <c r="L29" s="16" t="n">
        <f aca="false">RANDBETWEEN(-30,90)/1000</f>
        <v>0.075</v>
      </c>
      <c r="M29" s="16" t="n">
        <f aca="false">+Chạy!N69</f>
        <v>12.25</v>
      </c>
      <c r="N29" s="16" t="n">
        <f aca="false">+M29+O29</f>
        <v>12.2423</v>
      </c>
      <c r="O29" s="16" t="n">
        <f aca="false">RANDBETWEEN(-105,115)/10000</f>
        <v>-0.0077</v>
      </c>
      <c r="P29" s="16" t="n">
        <f aca="false">+Chạy!O69</f>
        <v>0.69</v>
      </c>
      <c r="Q29" s="16" t="n">
        <f aca="false">P29+R29</f>
        <v>0.748</v>
      </c>
      <c r="R29" s="16" t="n">
        <f aca="false">RANDBETWEEN(-30,90)/1000</f>
        <v>0.058</v>
      </c>
      <c r="S29" s="17"/>
      <c r="T29" s="0" t="n">
        <v>14.49</v>
      </c>
      <c r="W29" s="102"/>
      <c r="X29" s="102"/>
    </row>
    <row r="30" customFormat="false" ht="16.5" hidden="false" customHeight="true" outlineLevel="0" collapsed="false">
      <c r="A30" s="110" t="n">
        <v>9</v>
      </c>
      <c r="B30" s="13" t="s">
        <v>25</v>
      </c>
      <c r="C30" s="15" t="n">
        <f aca="false">+C29+T29</f>
        <v>126.46</v>
      </c>
      <c r="D30" s="16" t="n">
        <f aca="false">+Chạy!F78</f>
        <v>-10.99</v>
      </c>
      <c r="E30" s="16" t="n">
        <f aca="false">+D30+F30</f>
        <v>-10.9983</v>
      </c>
      <c r="F30" s="16" t="n">
        <f aca="false">RANDBETWEEN(-105,115)/10000</f>
        <v>-0.0083</v>
      </c>
      <c r="G30" s="16" t="n">
        <f aca="false">+Chạy!G78</f>
        <v>0.69</v>
      </c>
      <c r="H30" s="16" t="n">
        <f aca="false">G30+I30</f>
        <v>0.756</v>
      </c>
      <c r="I30" s="16" t="n">
        <f aca="false">RANDBETWEEN(-30,90)/1000</f>
        <v>0.066</v>
      </c>
      <c r="J30" s="16" t="n">
        <f aca="false">+Chạy!K78</f>
        <v>0.77</v>
      </c>
      <c r="K30" s="16" t="n">
        <f aca="false">J30+L30</f>
        <v>0.828</v>
      </c>
      <c r="L30" s="16" t="n">
        <f aca="false">RANDBETWEEN(-30,90)/1000</f>
        <v>0.058</v>
      </c>
      <c r="M30" s="16" t="n">
        <f aca="false">+Chạy!N78</f>
        <v>12.25</v>
      </c>
      <c r="N30" s="16" t="n">
        <f aca="false">+M30+O30</f>
        <v>12.2472</v>
      </c>
      <c r="O30" s="16" t="n">
        <f aca="false">RANDBETWEEN(-105,115)/10000</f>
        <v>-0.0028</v>
      </c>
      <c r="P30" s="16" t="n">
        <f aca="false">+Chạy!O78</f>
        <v>0.69</v>
      </c>
      <c r="Q30" s="16" t="n">
        <f aca="false">P30+R30</f>
        <v>0.717</v>
      </c>
      <c r="R30" s="16" t="n">
        <f aca="false">RANDBETWEEN(-30,90)/1000</f>
        <v>0.027</v>
      </c>
      <c r="S30" s="17"/>
      <c r="W30" s="102"/>
      <c r="X30" s="102"/>
    </row>
    <row r="31" customFormat="false" ht="17.25" hidden="false" customHeight="true" outlineLevel="0" collapsed="false">
      <c r="A31" s="91"/>
    </row>
    <row r="32" customFormat="false" ht="17.25" hidden="false" customHeight="true" outlineLevel="0" collapsed="false">
      <c r="A32" s="91"/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7.25" hidden="false" customHeight="true" outlineLevel="0" collapsed="false">
      <c r="A33" s="91"/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7.25" hidden="false" customHeight="true" outlineLevel="0" collapsed="false">
      <c r="A34" s="91"/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7.25" hidden="false" customHeight="true" outlineLevel="0" collapsed="false">
      <c r="A35" s="91"/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7.25" hidden="false" customHeight="true" outlineLevel="0" collapsed="false">
      <c r="A36" s="91"/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7.25" hidden="false" customHeight="true" outlineLevel="0" collapsed="false">
      <c r="A37" s="91"/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">
        <v>51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12.NĐXB6A/CVXD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12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5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D3</v>
      </c>
      <c r="C11" s="51" t="n">
        <f aca="false">'5.KTHH L5'!C22</f>
        <v>0</v>
      </c>
      <c r="D11" s="13" t="n">
        <f aca="false">'5.KTHH L5'!T22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7.49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147.0287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1</v>
      </c>
      <c r="C12" s="51" t="n">
        <f aca="false">'5.KTHH L5'!C23</f>
        <v>19.63</v>
      </c>
      <c r="D12" s="13" t="n">
        <f aca="false">'5.KTHH L5'!T23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7.49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128.6033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2</v>
      </c>
      <c r="C13" s="51" t="n">
        <f aca="false">'5.KTHH L5'!C24</f>
        <v>36.8</v>
      </c>
      <c r="D13" s="13" t="n">
        <f aca="false">'5.KTHH L5'!T24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7.49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128.6782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3</v>
      </c>
      <c r="C14" s="51" t="n">
        <f aca="false">'5.KTHH L5'!C25</f>
        <v>53.98</v>
      </c>
      <c r="D14" s="13" t="n">
        <f aca="false">'5.KTHH L5'!T25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7.49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48.57265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D2</v>
      </c>
      <c r="C15" s="51" t="n">
        <f aca="false">'5.KTHH L5'!C26</f>
        <v>66.95</v>
      </c>
      <c r="D15" s="13" t="n">
        <f aca="false">'5.KTHH L5'!T26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/>
      <c r="P15" s="53"/>
      <c r="Q15" s="53"/>
      <c r="R15" s="55"/>
      <c r="S15" s="55"/>
      <c r="T15" s="55"/>
      <c r="U15" s="55"/>
      <c r="V15" s="55"/>
      <c r="W15" s="55" t="n">
        <f aca="false">(O15+O16)*D15/2</f>
        <v>31.1322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4</v>
      </c>
      <c r="C16" s="51" t="n">
        <f aca="false">'5.KTHH L5'!C27</f>
        <v>77.63</v>
      </c>
      <c r="D16" s="13" t="n">
        <f aca="false">'5.KTHH L5'!T27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5.83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112.2918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5</v>
      </c>
      <c r="C17" s="51" t="n">
        <f aca="false">'5.KTHH L5'!C28</f>
        <v>94.8</v>
      </c>
      <c r="D17" s="13" t="n">
        <f aca="false">'5.KTHH L5'!T28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Chạy!E60</f>
        <v>7.25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123.53815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6</v>
      </c>
      <c r="C18" s="51" t="n">
        <f aca="false">'5.KTHH L5'!C29</f>
        <v>111.97</v>
      </c>
      <c r="D18" s="13" t="n">
        <f aca="false">'5.KTHH L5'!T29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Chạy!E69</f>
        <v>7.14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102.5892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'5.KTHH L5'!B30</f>
        <v>D1</v>
      </c>
      <c r="C19" s="51" t="n">
        <f aca="false">'5.KTHH L5'!C30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Chạy!E78</f>
        <v>7.02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822.4342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E20" s="9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3.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5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5"/>
    </row>
    <row r="30" customFormat="false" ht="15" hidden="false" customHeight="true" outlineLevel="0" collapsed="false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7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13.NĐXB6A/CVXD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13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6 đoạn từ Km0+000,00 - Km0+126,46,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30" hidden="false" customHeight="true" outlineLevel="0" collapsed="false">
      <c r="A21" s="9"/>
      <c r="B21" s="9"/>
      <c r="C21" s="9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0</v>
      </c>
      <c r="D22" s="16" t="n">
        <f aca="false">+Chạy!F5</f>
        <v>-11.8</v>
      </c>
      <c r="E22" s="16" t="n">
        <f aca="false">+D22+F22</f>
        <v>-11.7974</v>
      </c>
      <c r="F22" s="16" t="n">
        <f aca="false">RANDBETWEEN(-105,115)/10000</f>
        <v>0.0026</v>
      </c>
      <c r="G22" s="16" t="n">
        <f aca="false">+Chạy!G5</f>
        <v>0.94</v>
      </c>
      <c r="H22" s="16" t="n">
        <f aca="false">G22+I22</f>
        <v>0.983</v>
      </c>
      <c r="I22" s="16" t="n">
        <f aca="false">RANDBETWEEN(-30,90)/1000</f>
        <v>0.043</v>
      </c>
      <c r="J22" s="16" t="n">
        <f aca="false">+Chạy!K5</f>
        <v>1.03</v>
      </c>
      <c r="K22" s="16" t="n">
        <f aca="false">J22+L22</f>
        <v>1.006</v>
      </c>
      <c r="L22" s="16" t="n">
        <f aca="false">RANDBETWEEN(-30,90)/1000</f>
        <v>-0.024</v>
      </c>
      <c r="M22" s="16" t="n">
        <f aca="false">+Chạy!N5</f>
        <v>11.8</v>
      </c>
      <c r="N22" s="16" t="n">
        <f aca="false">+M22+O22</f>
        <v>11.807</v>
      </c>
      <c r="O22" s="16" t="n">
        <f aca="false">RANDBETWEEN(-105,115)/10000</f>
        <v>0.007</v>
      </c>
      <c r="P22" s="16" t="n">
        <f aca="false">+Chạy!O5</f>
        <v>0.94</v>
      </c>
      <c r="Q22" s="16" t="n">
        <f aca="false">P22+R22</f>
        <v>1.021</v>
      </c>
      <c r="R22" s="16" t="n">
        <f aca="false">RANDBETWEEN(-30,90)/1000</f>
        <v>0.081</v>
      </c>
      <c r="S22" s="17"/>
      <c r="T22" s="0" t="n">
        <v>19.63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19.63</v>
      </c>
      <c r="D23" s="16" t="n">
        <f aca="false">+Chạy!F14</f>
        <v>-11.8</v>
      </c>
      <c r="E23" s="16" t="n">
        <f aca="false">+D23+F23</f>
        <v>-11.807</v>
      </c>
      <c r="F23" s="16" t="n">
        <f aca="false">RANDBETWEEN(-105,115)/10000</f>
        <v>-0.007</v>
      </c>
      <c r="G23" s="16" t="n">
        <f aca="false">+Chạy!G14</f>
        <v>0.94</v>
      </c>
      <c r="H23" s="16" t="n">
        <f aca="false">G23+I23</f>
        <v>0.932</v>
      </c>
      <c r="I23" s="16" t="n">
        <f aca="false">RANDBETWEEN(-30,90)/1000</f>
        <v>-0.008</v>
      </c>
      <c r="J23" s="16" t="n">
        <f aca="false">+Chạy!K14</f>
        <v>1.03</v>
      </c>
      <c r="K23" s="16" t="n">
        <f aca="false">J23+L23</f>
        <v>1.034</v>
      </c>
      <c r="L23" s="16" t="n">
        <f aca="false">RANDBETWEEN(-30,90)/1000</f>
        <v>0.004</v>
      </c>
      <c r="M23" s="16" t="n">
        <f aca="false">+Chạy!N14</f>
        <v>11.8</v>
      </c>
      <c r="N23" s="16" t="n">
        <f aca="false">+M23+O23</f>
        <v>11.8043</v>
      </c>
      <c r="O23" s="16" t="n">
        <f aca="false">RANDBETWEEN(-105,115)/10000</f>
        <v>0.0043</v>
      </c>
      <c r="P23" s="16" t="n">
        <f aca="false">+Chạy!O14</f>
        <v>0.94</v>
      </c>
      <c r="Q23" s="16" t="n">
        <f aca="false">P23+R23</f>
        <v>0.969</v>
      </c>
      <c r="R23" s="16" t="n">
        <f aca="false">RANDBETWEEN(-30,90)/1000</f>
        <v>0.029</v>
      </c>
      <c r="S23" s="17"/>
      <c r="T23" s="0" t="n">
        <v>17.17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36.8</v>
      </c>
      <c r="D24" s="16" t="n">
        <f aca="false">+Chạy!F23</f>
        <v>-11.8</v>
      </c>
      <c r="E24" s="16" t="n">
        <f aca="false">+D24+F24</f>
        <v>-11.8083</v>
      </c>
      <c r="F24" s="16" t="n">
        <f aca="false">RANDBETWEEN(-105,115)/10000</f>
        <v>-0.0083</v>
      </c>
      <c r="G24" s="16" t="n">
        <f aca="false">+Chạy!G23</f>
        <v>0.95</v>
      </c>
      <c r="H24" s="16" t="n">
        <f aca="false">G24+I24</f>
        <v>1.027</v>
      </c>
      <c r="I24" s="16" t="n">
        <f aca="false">RANDBETWEEN(-30,90)/1000</f>
        <v>0.077</v>
      </c>
      <c r="J24" s="16" t="n">
        <f aca="false">+Chạy!K23</f>
        <v>1.04</v>
      </c>
      <c r="K24" s="16" t="n">
        <f aca="false">J24+L24</f>
        <v>1.087</v>
      </c>
      <c r="L24" s="16" t="n">
        <f aca="false">RANDBETWEEN(-30,90)/1000</f>
        <v>0.047</v>
      </c>
      <c r="M24" s="16" t="n">
        <f aca="false">+Chạy!N23</f>
        <v>11.8</v>
      </c>
      <c r="N24" s="16" t="n">
        <f aca="false">+M24+O24</f>
        <v>11.8024</v>
      </c>
      <c r="O24" s="16" t="n">
        <f aca="false">RANDBETWEEN(-105,115)/10000</f>
        <v>0.0024</v>
      </c>
      <c r="P24" s="16" t="n">
        <f aca="false">+Chạy!O23</f>
        <v>0.95</v>
      </c>
      <c r="Q24" s="16" t="n">
        <f aca="false">P24+R24</f>
        <v>0.938</v>
      </c>
      <c r="R24" s="16" t="n">
        <f aca="false">RANDBETWEEN(-30,90)/1000</f>
        <v>-0.012</v>
      </c>
      <c r="S24" s="17"/>
      <c r="T24" s="0" t="n">
        <v>17.18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53.98</v>
      </c>
      <c r="D25" s="16" t="n">
        <f aca="false">+Chạy!F32</f>
        <v>-11.8</v>
      </c>
      <c r="E25" s="16" t="n">
        <f aca="false">+D25+F25</f>
        <v>-11.8087</v>
      </c>
      <c r="F25" s="16" t="n">
        <f aca="false">RANDBETWEEN(-105,115)/10000</f>
        <v>-0.0087</v>
      </c>
      <c r="G25" s="16" t="n">
        <f aca="false">+Chạy!G32</f>
        <v>0.96</v>
      </c>
      <c r="H25" s="16" t="n">
        <f aca="false">G25+I25</f>
        <v>1.045</v>
      </c>
      <c r="I25" s="16" t="n">
        <f aca="false">RANDBETWEEN(-30,90)/1000</f>
        <v>0.085</v>
      </c>
      <c r="J25" s="16" t="n">
        <f aca="false">+Chạy!K32</f>
        <v>1.04</v>
      </c>
      <c r="K25" s="16" t="n">
        <f aca="false">J25+L25</f>
        <v>1.106</v>
      </c>
      <c r="L25" s="16" t="n">
        <f aca="false">RANDBETWEEN(-30,90)/1000</f>
        <v>0.066</v>
      </c>
      <c r="M25" s="16" t="n">
        <f aca="false">+Chạy!N32</f>
        <v>11.8</v>
      </c>
      <c r="N25" s="16" t="n">
        <f aca="false">+M25+O25</f>
        <v>11.7993</v>
      </c>
      <c r="O25" s="16" t="n">
        <f aca="false">RANDBETWEEN(-105,115)/10000</f>
        <v>-0.0007</v>
      </c>
      <c r="P25" s="16" t="n">
        <f aca="false">+Chạy!O32</f>
        <v>0.96</v>
      </c>
      <c r="Q25" s="16" t="n">
        <f aca="false">P25+R25</f>
        <v>0.953</v>
      </c>
      <c r="R25" s="16" t="n">
        <f aca="false">RANDBETWEEN(-30,90)/1000</f>
        <v>-0.007</v>
      </c>
      <c r="S25" s="17"/>
      <c r="T25" s="0" t="n">
        <v>12.97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66.95</v>
      </c>
      <c r="D26" s="16" t="n">
        <f aca="false">+Chạy!F41</f>
        <v>-4.18</v>
      </c>
      <c r="E26" s="16" t="n">
        <f aca="false">+D26+F26</f>
        <v>-4.1866</v>
      </c>
      <c r="F26" s="16" t="n">
        <f aca="false">RANDBETWEEN(-105,115)/10000</f>
        <v>-0.0066</v>
      </c>
      <c r="G26" s="16" t="n">
        <f aca="false">+Chạy!G41</f>
        <v>0.96</v>
      </c>
      <c r="H26" s="16" t="n">
        <f aca="false">G26+I26</f>
        <v>1.017</v>
      </c>
      <c r="I26" s="16" t="n">
        <f aca="false">RANDBETWEEN(-30,90)/1000</f>
        <v>0.057</v>
      </c>
      <c r="J26" s="16" t="n">
        <f aca="false">+Chạy!K41</f>
        <v>1.05</v>
      </c>
      <c r="K26" s="16" t="n">
        <f aca="false">J26+L26</f>
        <v>1.091</v>
      </c>
      <c r="L26" s="16" t="n">
        <f aca="false">RANDBETWEEN(-30,90)/1000</f>
        <v>0.041</v>
      </c>
      <c r="M26" s="16" t="n">
        <f aca="false">+Chạy!N41</f>
        <v>6.85</v>
      </c>
      <c r="N26" s="16" t="n">
        <f aca="false">+M26+O26</f>
        <v>6.8583</v>
      </c>
      <c r="O26" s="16" t="n">
        <f aca="false">RANDBETWEEN(-105,115)/10000</f>
        <v>0.0083</v>
      </c>
      <c r="P26" s="16" t="n">
        <f aca="false">+Chạy!O41</f>
        <v>0.96</v>
      </c>
      <c r="Q26" s="16" t="n">
        <f aca="false">P26+R26</f>
        <v>0.948</v>
      </c>
      <c r="R26" s="16" t="n">
        <f aca="false">RANDBETWEEN(-30,90)/1000</f>
        <v>-0.012</v>
      </c>
      <c r="S26" s="17"/>
      <c r="T26" s="0" t="n">
        <v>10.68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77.63</v>
      </c>
      <c r="D27" s="16" t="n">
        <f aca="false">+Chạy!F50</f>
        <v>-7.42</v>
      </c>
      <c r="E27" s="16" t="n">
        <f aca="false">+D27+F27</f>
        <v>-7.4097</v>
      </c>
      <c r="F27" s="16" t="n">
        <f aca="false">RANDBETWEEN(-105,115)/10000</f>
        <v>0.0103</v>
      </c>
      <c r="G27" s="16" t="n">
        <f aca="false">+Chạy!G50</f>
        <v>0.97</v>
      </c>
      <c r="H27" s="16" t="n">
        <f aca="false">G27+I27</f>
        <v>1.029</v>
      </c>
      <c r="I27" s="16" t="n">
        <f aca="false">RANDBETWEEN(-30,90)/1000</f>
        <v>0.059</v>
      </c>
      <c r="J27" s="16" t="n">
        <f aca="false">+Chạy!K50</f>
        <v>1.06</v>
      </c>
      <c r="K27" s="16" t="n">
        <f aca="false">J27+L27</f>
        <v>1.04</v>
      </c>
      <c r="L27" s="16" t="n">
        <f aca="false">RANDBETWEEN(-30,90)/1000</f>
        <v>-0.02</v>
      </c>
      <c r="M27" s="16" t="n">
        <f aca="false">+Chạy!N50</f>
        <v>11.8</v>
      </c>
      <c r="N27" s="16" t="n">
        <f aca="false">+M27+O27</f>
        <v>11.8105</v>
      </c>
      <c r="O27" s="16" t="n">
        <f aca="false">RANDBETWEEN(-105,115)/10000</f>
        <v>0.0105</v>
      </c>
      <c r="P27" s="16" t="n">
        <f aca="false">+Chạy!O50</f>
        <v>0.97</v>
      </c>
      <c r="Q27" s="16" t="n">
        <f aca="false">P27+R27</f>
        <v>0.982</v>
      </c>
      <c r="R27" s="16" t="n">
        <f aca="false">RANDBETWEEN(-30,90)/1000</f>
        <v>0.012</v>
      </c>
      <c r="S27" s="17"/>
      <c r="T27" s="0" t="n">
        <v>17.17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94.8</v>
      </c>
      <c r="D28" s="16" t="n">
        <f aca="false">+Chạy!F59</f>
        <v>-11.8</v>
      </c>
      <c r="E28" s="16" t="n">
        <f aca="false">+D28+F28</f>
        <v>-11.8004</v>
      </c>
      <c r="F28" s="16" t="n">
        <f aca="false">RANDBETWEEN(-105,115)/10000</f>
        <v>-0.0004</v>
      </c>
      <c r="G28" s="16" t="n">
        <f aca="false">+Chạy!G59</f>
        <v>0.98</v>
      </c>
      <c r="H28" s="16" t="n">
        <f aca="false">G28+I28</f>
        <v>1.006</v>
      </c>
      <c r="I28" s="16" t="n">
        <f aca="false">RANDBETWEEN(-30,90)/1000</f>
        <v>0.026</v>
      </c>
      <c r="J28" s="16" t="n">
        <f aca="false">+Chạy!K59</f>
        <v>1.06</v>
      </c>
      <c r="K28" s="16" t="n">
        <f aca="false">J28+L28</f>
        <v>1.099</v>
      </c>
      <c r="L28" s="16" t="n">
        <f aca="false">RANDBETWEEN(-30,90)/1000</f>
        <v>0.039</v>
      </c>
      <c r="M28" s="16" t="n">
        <f aca="false">+Chạy!N59</f>
        <v>11.8</v>
      </c>
      <c r="N28" s="16" t="n">
        <f aca="false">+M28+O28</f>
        <v>11.8015</v>
      </c>
      <c r="O28" s="16" t="n">
        <f aca="false">RANDBETWEEN(-105,115)/10000</f>
        <v>0.0015</v>
      </c>
      <c r="P28" s="16" t="n">
        <f aca="false">+Chạy!O59</f>
        <v>0.98</v>
      </c>
      <c r="Q28" s="16" t="n">
        <f aca="false">P28+R28</f>
        <v>0.959</v>
      </c>
      <c r="R28" s="16" t="n">
        <f aca="false">RANDBETWEEN(-30,90)/1000</f>
        <v>-0.021</v>
      </c>
      <c r="S28" s="17"/>
      <c r="T28" s="0" t="n">
        <v>17.17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111.97</v>
      </c>
      <c r="D29" s="16" t="n">
        <f aca="false">+Chạy!F68</f>
        <v>-11.48</v>
      </c>
      <c r="E29" s="16" t="n">
        <f aca="false">+D29+F29</f>
        <v>-11.4822</v>
      </c>
      <c r="F29" s="16" t="n">
        <f aca="false">RANDBETWEEN(-105,115)/10000</f>
        <v>-0.0022</v>
      </c>
      <c r="G29" s="16" t="n">
        <f aca="false">+Chạy!G68</f>
        <v>0.99</v>
      </c>
      <c r="H29" s="16" t="n">
        <f aca="false">G29+I29</f>
        <v>1.05</v>
      </c>
      <c r="I29" s="16" t="n">
        <f aca="false">RANDBETWEEN(-30,90)/1000</f>
        <v>0.06</v>
      </c>
      <c r="J29" s="16" t="n">
        <f aca="false">+Chạy!K68</f>
        <v>1.07</v>
      </c>
      <c r="K29" s="16" t="n">
        <f aca="false">J29+L29</f>
        <v>1.121</v>
      </c>
      <c r="L29" s="16" t="n">
        <f aca="false">RANDBETWEEN(-30,90)/1000</f>
        <v>0.051</v>
      </c>
      <c r="M29" s="16" t="n">
        <f aca="false">+Chạy!N68</f>
        <v>11.8</v>
      </c>
      <c r="N29" s="16" t="n">
        <f aca="false">+M29+O29</f>
        <v>11.8013</v>
      </c>
      <c r="O29" s="16" t="n">
        <f aca="false">RANDBETWEEN(-105,115)/10000</f>
        <v>0.0013</v>
      </c>
      <c r="P29" s="16" t="n">
        <f aca="false">+Chạy!O68</f>
        <v>0.99</v>
      </c>
      <c r="Q29" s="16" t="n">
        <f aca="false">P29+R29</f>
        <v>0.984</v>
      </c>
      <c r="R29" s="16" t="n">
        <f aca="false">RANDBETWEEN(-30,90)/1000</f>
        <v>-0.006</v>
      </c>
      <c r="S29" s="17"/>
      <c r="T29" s="0" t="n">
        <v>14.49</v>
      </c>
      <c r="W29" s="102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126.46</v>
      </c>
      <c r="D30" s="16" t="n">
        <f aca="false">+Chạy!F77</f>
        <v>-11.11</v>
      </c>
      <c r="E30" s="16" t="n">
        <f aca="false">+D30+F30</f>
        <v>-11.1185</v>
      </c>
      <c r="F30" s="16" t="n">
        <f aca="false">RANDBETWEEN(-105,115)/10000</f>
        <v>-0.0085</v>
      </c>
      <c r="G30" s="16" t="n">
        <f aca="false">+Chạy!G77</f>
        <v>0.99</v>
      </c>
      <c r="H30" s="16" t="n">
        <f aca="false">G30+I30</f>
        <v>1.004</v>
      </c>
      <c r="I30" s="16" t="n">
        <f aca="false">RANDBETWEEN(-30,90)/1000</f>
        <v>0.014</v>
      </c>
      <c r="J30" s="16" t="n">
        <f aca="false">+Chạy!K77</f>
        <v>1.07</v>
      </c>
      <c r="K30" s="16" t="n">
        <f aca="false">J30+L30</f>
        <v>1.078</v>
      </c>
      <c r="L30" s="16" t="n">
        <f aca="false">RANDBETWEEN(-30,90)/1000</f>
        <v>0.008</v>
      </c>
      <c r="M30" s="16" t="n">
        <f aca="false">+Chạy!N77</f>
        <v>11.8</v>
      </c>
      <c r="N30" s="16" t="n">
        <f aca="false">+M30+O30</f>
        <v>11.799</v>
      </c>
      <c r="O30" s="16" t="n">
        <f aca="false">RANDBETWEEN(-105,115)/10000</f>
        <v>-0.001</v>
      </c>
      <c r="P30" s="16" t="n">
        <f aca="false">+Chạy!O77</f>
        <v>0.99</v>
      </c>
      <c r="Q30" s="16" t="n">
        <f aca="false">P30+R30</f>
        <v>1.019</v>
      </c>
      <c r="R30" s="16" t="n">
        <f aca="false">RANDBETWEEN(-30,90)/1000</f>
        <v>0.029</v>
      </c>
      <c r="S30" s="17"/>
      <c r="W30" s="102"/>
      <c r="X30" s="102"/>
    </row>
    <row r="32" customFormat="false" ht="15" hidden="false" customHeight="false" outlineLevel="0" collapsed="false"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5" hidden="false" customHeight="false" outlineLevel="0" collapsed="false"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" hidden="false" customHeight="false" outlineLevel="0" collapsed="false"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" hidden="false" customHeight="false" outlineLevel="0" collapsed="false"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" hidden="false" customHeight="false" outlineLevel="0" collapsed="false"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5" hidden="false" customHeight="false" outlineLevel="0" collapsed="false"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">
        <v>51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13.NĐXB6A/CVXD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13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6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D3</v>
      </c>
      <c r="C11" s="51" t="n">
        <f aca="false">'6.KTHH L6'!C22</f>
        <v>0</v>
      </c>
      <c r="D11" s="13" t="n">
        <f aca="false">'6.KTHH L6'!T22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7.22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141.7286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1</v>
      </c>
      <c r="C12" s="51" t="n">
        <f aca="false">'6.KTHH L6'!C23</f>
        <v>19.63</v>
      </c>
      <c r="D12" s="13" t="n">
        <f aca="false">'6.KTHH L6'!T23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7.22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123.9674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2</v>
      </c>
      <c r="C13" s="51" t="n">
        <f aca="false">'6.KTHH L6'!C24</f>
        <v>36.8</v>
      </c>
      <c r="D13" s="13" t="n">
        <f aca="false">'6.KTHH L6'!T24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7.22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124.0396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3</v>
      </c>
      <c r="C14" s="51" t="n">
        <f aca="false">'6.KTHH L6'!C25</f>
        <v>53.98</v>
      </c>
      <c r="D14" s="13" t="n">
        <f aca="false">'6.KTHH L6'!T25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7.22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59.662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D2</v>
      </c>
      <c r="C15" s="51" t="n">
        <f aca="false">'6.KTHH L6'!C26</f>
        <v>66.95</v>
      </c>
      <c r="D15" s="13" t="n">
        <f aca="false">'6.KTHH L6'!T26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1.98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41.4918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4</v>
      </c>
      <c r="C16" s="51" t="n">
        <f aca="false">'6.KTHH L6'!C27</f>
        <v>77.63</v>
      </c>
      <c r="D16" s="13" t="n">
        <f aca="false">'6.KTHH L6'!T27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5.79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111.0899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5</v>
      </c>
      <c r="C17" s="51" t="n">
        <f aca="false">'6.KTHH L6'!C28</f>
        <v>94.8</v>
      </c>
      <c r="D17" s="13" t="n">
        <f aca="false">'6.KTHH L6'!T28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Chạy!E59</f>
        <v>7.15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121.82115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6</v>
      </c>
      <c r="C18" s="51" t="n">
        <f aca="false">'6.KTHH L6'!C29</f>
        <v>111.97</v>
      </c>
      <c r="D18" s="13" t="n">
        <f aca="false">'6.KTHH L6'!T29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Chạy!E68</f>
        <v>7.04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101.1402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'6.KTHH L6'!B30</f>
        <v>D1</v>
      </c>
      <c r="C19" s="51" t="n">
        <f aca="false">'6.KTHH L6'!C30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Chạy!E77</f>
        <v>6.92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824.94065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E20" s="9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6.5" hidden="false" customHeight="true" outlineLevel="0" collapsed="false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7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14.NĐXB6A/CVXD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14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7 đoạn từ Km0+000,00 - Km0+126,46,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30" hidden="false" customHeight="true" outlineLevel="0" collapsed="false">
      <c r="A21" s="9"/>
      <c r="B21" s="9"/>
      <c r="C21" s="9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0</v>
      </c>
      <c r="D22" s="16" t="n">
        <f aca="false">+Chạy!F4</f>
        <v>-11.35</v>
      </c>
      <c r="E22" s="16" t="n">
        <f aca="false">+D22+F22</f>
        <v>-11.3458</v>
      </c>
      <c r="F22" s="16" t="n">
        <f aca="false">RANDBETWEEN(-105,115)/10000</f>
        <v>0.0042</v>
      </c>
      <c r="G22" s="16" t="n">
        <f aca="false">+Chạy!G4</f>
        <v>1.24</v>
      </c>
      <c r="H22" s="16" t="n">
        <f aca="false">G22+I22</f>
        <v>1.314</v>
      </c>
      <c r="I22" s="16" t="n">
        <f aca="false">RANDBETWEEN(-30,90)/1000</f>
        <v>0.074</v>
      </c>
      <c r="J22" s="16" t="n">
        <f aca="false">+Chạy!K4</f>
        <v>1.33</v>
      </c>
      <c r="K22" s="16" t="n">
        <f aca="false">J22+L22</f>
        <v>1.312</v>
      </c>
      <c r="L22" s="16" t="n">
        <f aca="false">RANDBETWEEN(-30,90)/1000</f>
        <v>-0.018</v>
      </c>
      <c r="M22" s="16" t="n">
        <f aca="false">+Chạy!N4</f>
        <v>11.35</v>
      </c>
      <c r="N22" s="16" t="n">
        <f aca="false">+M22+O22</f>
        <v>11.3478</v>
      </c>
      <c r="O22" s="16" t="n">
        <f aca="false">RANDBETWEEN(-105,115)/10000</f>
        <v>-0.0022</v>
      </c>
      <c r="P22" s="16" t="n">
        <f aca="false">+Chạy!O4</f>
        <v>1.24</v>
      </c>
      <c r="Q22" s="16" t="n">
        <f aca="false">P22+R22</f>
        <v>1.313</v>
      </c>
      <c r="R22" s="16" t="n">
        <f aca="false">RANDBETWEEN(-30,90)/1000</f>
        <v>0.073</v>
      </c>
      <c r="S22" s="17"/>
      <c r="T22" s="0" t="n">
        <v>19.63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19.63</v>
      </c>
      <c r="D23" s="16" t="n">
        <f aca="false">+Chạy!F13</f>
        <v>-11.35</v>
      </c>
      <c r="E23" s="16" t="n">
        <f aca="false">+D23+F23</f>
        <v>-11.3387</v>
      </c>
      <c r="F23" s="16" t="n">
        <f aca="false">RANDBETWEEN(-105,115)/10000</f>
        <v>0.0113</v>
      </c>
      <c r="G23" s="16" t="n">
        <f aca="false">+Chạy!G13</f>
        <v>1.24</v>
      </c>
      <c r="H23" s="16" t="n">
        <f aca="false">G23+I23</f>
        <v>1.316</v>
      </c>
      <c r="I23" s="16" t="n">
        <f aca="false">RANDBETWEEN(-30,90)/1000</f>
        <v>0.076</v>
      </c>
      <c r="J23" s="16" t="n">
        <f aca="false">+Chạy!K13</f>
        <v>1.33</v>
      </c>
      <c r="K23" s="16" t="n">
        <f aca="false">J23+L23</f>
        <v>1.391</v>
      </c>
      <c r="L23" s="16" t="n">
        <f aca="false">RANDBETWEEN(-30,90)/1000</f>
        <v>0.061</v>
      </c>
      <c r="M23" s="16" t="n">
        <f aca="false">+Chạy!N13</f>
        <v>11.35</v>
      </c>
      <c r="N23" s="16" t="n">
        <f aca="false">+M23+O23</f>
        <v>11.3416</v>
      </c>
      <c r="O23" s="16" t="n">
        <f aca="false">RANDBETWEEN(-105,115)/10000</f>
        <v>-0.0084</v>
      </c>
      <c r="P23" s="16" t="n">
        <f aca="false">+Chạy!O13</f>
        <v>1.24</v>
      </c>
      <c r="Q23" s="16" t="n">
        <f aca="false">P23+R23</f>
        <v>1.261</v>
      </c>
      <c r="R23" s="16" t="n">
        <f aca="false">RANDBETWEEN(-30,90)/1000</f>
        <v>0.021</v>
      </c>
      <c r="S23" s="17"/>
      <c r="T23" s="0" t="n">
        <v>17.17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36.8</v>
      </c>
      <c r="D24" s="16" t="n">
        <f aca="false">+Chạy!F22</f>
        <v>-11.35</v>
      </c>
      <c r="E24" s="16" t="n">
        <f aca="false">+D24+F24</f>
        <v>-11.3514</v>
      </c>
      <c r="F24" s="16" t="n">
        <f aca="false">RANDBETWEEN(-105,115)/10000</f>
        <v>-0.0014</v>
      </c>
      <c r="G24" s="16" t="n">
        <f aca="false">+Chạy!G22</f>
        <v>1.25</v>
      </c>
      <c r="H24" s="16" t="n">
        <f aca="false">G24+I24</f>
        <v>1.326</v>
      </c>
      <c r="I24" s="16" t="n">
        <f aca="false">RANDBETWEEN(-30,90)/1000</f>
        <v>0.076</v>
      </c>
      <c r="J24" s="16" t="n">
        <f aca="false">+Chạy!K22</f>
        <v>1.34</v>
      </c>
      <c r="K24" s="16" t="n">
        <f aca="false">J24+L24</f>
        <v>1.403</v>
      </c>
      <c r="L24" s="16" t="n">
        <f aca="false">RANDBETWEEN(-30,90)/1000</f>
        <v>0.063</v>
      </c>
      <c r="M24" s="16" t="n">
        <f aca="false">+Chạy!N22</f>
        <v>11.35</v>
      </c>
      <c r="N24" s="16" t="n">
        <f aca="false">+M24+O24</f>
        <v>11.3445</v>
      </c>
      <c r="O24" s="16" t="n">
        <f aca="false">RANDBETWEEN(-105,115)/10000</f>
        <v>-0.0055</v>
      </c>
      <c r="P24" s="16" t="n">
        <f aca="false">+Chạy!O22</f>
        <v>1.25</v>
      </c>
      <c r="Q24" s="16" t="n">
        <f aca="false">P24+R24</f>
        <v>1.299</v>
      </c>
      <c r="R24" s="16" t="n">
        <f aca="false">RANDBETWEEN(-30,90)/1000</f>
        <v>0.049</v>
      </c>
      <c r="S24" s="17"/>
      <c r="T24" s="0" t="n">
        <v>17.18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53.98</v>
      </c>
      <c r="D25" s="16" t="n">
        <f aca="false">+Chạy!F31</f>
        <v>-11.35</v>
      </c>
      <c r="E25" s="16" t="n">
        <f aca="false">+D25+F25</f>
        <v>-11.3429</v>
      </c>
      <c r="F25" s="16" t="n">
        <f aca="false">RANDBETWEEN(-105,115)/10000</f>
        <v>0.0071</v>
      </c>
      <c r="G25" s="16" t="n">
        <f aca="false">+Chạy!G31</f>
        <v>1.26</v>
      </c>
      <c r="H25" s="16" t="n">
        <f aca="false">G25+I25</f>
        <v>1.31</v>
      </c>
      <c r="I25" s="16" t="n">
        <f aca="false">RANDBETWEEN(-30,90)/1000</f>
        <v>0.05</v>
      </c>
      <c r="J25" s="16" t="n">
        <f aca="false">+Chạy!K31</f>
        <v>1.34</v>
      </c>
      <c r="K25" s="16" t="n">
        <f aca="false">J25+L25</f>
        <v>1.313</v>
      </c>
      <c r="L25" s="16" t="n">
        <f aca="false">RANDBETWEEN(-30,90)/1000</f>
        <v>-0.027</v>
      </c>
      <c r="M25" s="16" t="n">
        <f aca="false">+Chạy!N31</f>
        <v>11.35</v>
      </c>
      <c r="N25" s="16" t="n">
        <f aca="false">+M25+O25</f>
        <v>11.3444</v>
      </c>
      <c r="O25" s="16" t="n">
        <f aca="false">RANDBETWEEN(-105,115)/10000</f>
        <v>-0.0056</v>
      </c>
      <c r="P25" s="16" t="n">
        <f aca="false">+Chạy!O31</f>
        <v>1.26</v>
      </c>
      <c r="Q25" s="16" t="n">
        <f aca="false">P25+R25</f>
        <v>1.289</v>
      </c>
      <c r="R25" s="16" t="n">
        <f aca="false">RANDBETWEEN(-30,90)/1000</f>
        <v>0.029</v>
      </c>
      <c r="S25" s="17"/>
      <c r="T25" s="0" t="n">
        <v>12.97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66.95</v>
      </c>
      <c r="D26" s="16" t="n">
        <f aca="false">+Chạy!F40</f>
        <v>-4.42</v>
      </c>
      <c r="E26" s="16" t="n">
        <f aca="false">+D26+F26</f>
        <v>-4.4139</v>
      </c>
      <c r="F26" s="16" t="n">
        <f aca="false">RANDBETWEEN(-105,115)/10000</f>
        <v>0.0061</v>
      </c>
      <c r="G26" s="16" t="n">
        <f aca="false">+Chạy!G40</f>
        <v>1.26</v>
      </c>
      <c r="H26" s="16" t="n">
        <f aca="false">G26+I26</f>
        <v>1.235</v>
      </c>
      <c r="I26" s="16" t="n">
        <f aca="false">RANDBETWEEN(-30,90)/1000</f>
        <v>-0.025</v>
      </c>
      <c r="J26" s="16" t="n">
        <f aca="false">+Chạy!K40</f>
        <v>1.35</v>
      </c>
      <c r="K26" s="16" t="n">
        <f aca="false">J26+L26</f>
        <v>1.382</v>
      </c>
      <c r="L26" s="16" t="n">
        <f aca="false">RANDBETWEEN(-30,90)/1000</f>
        <v>0.032</v>
      </c>
      <c r="M26" s="16" t="n">
        <f aca="false">+Chạy!N40</f>
        <v>7.12</v>
      </c>
      <c r="N26" s="16" t="n">
        <f aca="false">+M26+O26</f>
        <v>7.1123</v>
      </c>
      <c r="O26" s="16" t="n">
        <f aca="false">RANDBETWEEN(-105,115)/10000</f>
        <v>-0.0077</v>
      </c>
      <c r="P26" s="16" t="n">
        <f aca="false">+Chạy!O40</f>
        <v>1.26</v>
      </c>
      <c r="Q26" s="16" t="n">
        <f aca="false">P26+R26</f>
        <v>1.314</v>
      </c>
      <c r="R26" s="16" t="n">
        <f aca="false">RANDBETWEEN(-30,90)/1000</f>
        <v>0.054</v>
      </c>
      <c r="S26" s="17"/>
      <c r="T26" s="0" t="n">
        <v>10.68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77.63</v>
      </c>
      <c r="D27" s="16" t="n">
        <f aca="false">+Chạy!F49</f>
        <v>-7.72</v>
      </c>
      <c r="E27" s="16" t="n">
        <f aca="false">+D27+F27</f>
        <v>-7.7207</v>
      </c>
      <c r="F27" s="16" t="n">
        <f aca="false">RANDBETWEEN(-105,115)/10000</f>
        <v>-0.0007</v>
      </c>
      <c r="G27" s="16" t="n">
        <f aca="false">+Chạy!G49</f>
        <v>1.27</v>
      </c>
      <c r="H27" s="16" t="n">
        <f aca="false">G27+I27</f>
        <v>1.24</v>
      </c>
      <c r="I27" s="16" t="n">
        <f aca="false">RANDBETWEEN(-30,90)/1000</f>
        <v>-0.03</v>
      </c>
      <c r="J27" s="16" t="n">
        <f aca="false">+Chạy!K49</f>
        <v>1.36</v>
      </c>
      <c r="K27" s="16" t="n">
        <f aca="false">J27+L27</f>
        <v>1.339</v>
      </c>
      <c r="L27" s="16" t="n">
        <f aca="false">RANDBETWEEN(-30,90)/1000</f>
        <v>-0.021</v>
      </c>
      <c r="M27" s="16" t="n">
        <f aca="false">+Chạy!N49</f>
        <v>11.35</v>
      </c>
      <c r="N27" s="16" t="n">
        <f aca="false">+M27+O27</f>
        <v>11.3407</v>
      </c>
      <c r="O27" s="16" t="n">
        <f aca="false">RANDBETWEEN(-105,115)/10000</f>
        <v>-0.0093</v>
      </c>
      <c r="P27" s="16" t="n">
        <f aca="false">+Chạy!O49</f>
        <v>1.27</v>
      </c>
      <c r="Q27" s="16" t="n">
        <f aca="false">P27+R27</f>
        <v>1.327</v>
      </c>
      <c r="R27" s="16" t="n">
        <f aca="false">RANDBETWEEN(-30,90)/1000</f>
        <v>0.057</v>
      </c>
      <c r="S27" s="17"/>
      <c r="T27" s="0" t="n">
        <v>17.17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94.8</v>
      </c>
      <c r="D28" s="16" t="n">
        <f aca="false">+Chạy!F58</f>
        <v>-11.35</v>
      </c>
      <c r="E28" s="16" t="n">
        <f aca="false">+D28+F28</f>
        <v>-11.3516</v>
      </c>
      <c r="F28" s="16" t="n">
        <f aca="false">RANDBETWEEN(-105,115)/10000</f>
        <v>-0.0016</v>
      </c>
      <c r="G28" s="16" t="n">
        <f aca="false">+Chạy!G58</f>
        <v>1.28</v>
      </c>
      <c r="H28" s="16" t="n">
        <f aca="false">G28+I28</f>
        <v>1.337</v>
      </c>
      <c r="I28" s="16" t="n">
        <f aca="false">RANDBETWEEN(-30,90)/1000</f>
        <v>0.057</v>
      </c>
      <c r="J28" s="16" t="n">
        <f aca="false">+Chạy!K58</f>
        <v>1.36</v>
      </c>
      <c r="K28" s="16" t="n">
        <f aca="false">J28+L28</f>
        <v>1.373</v>
      </c>
      <c r="L28" s="16" t="n">
        <f aca="false">RANDBETWEEN(-30,90)/1000</f>
        <v>0.013</v>
      </c>
      <c r="M28" s="16" t="n">
        <f aca="false">+Chạy!N58</f>
        <v>11.35</v>
      </c>
      <c r="N28" s="16" t="n">
        <f aca="false">+M28+O28</f>
        <v>11.3405</v>
      </c>
      <c r="O28" s="16" t="n">
        <f aca="false">RANDBETWEEN(-105,115)/10000</f>
        <v>-0.0095</v>
      </c>
      <c r="P28" s="16" t="n">
        <f aca="false">+Chạy!O58</f>
        <v>1.28</v>
      </c>
      <c r="Q28" s="16" t="n">
        <f aca="false">P28+R28</f>
        <v>1.366</v>
      </c>
      <c r="R28" s="16" t="n">
        <f aca="false">RANDBETWEEN(-30,90)/1000</f>
        <v>0.086</v>
      </c>
      <c r="S28" s="17"/>
      <c r="T28" s="0" t="n">
        <v>17.17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111.97</v>
      </c>
      <c r="D29" s="16" t="n">
        <f aca="false">+Chạy!F67</f>
        <v>-11.35</v>
      </c>
      <c r="E29" s="16" t="n">
        <f aca="false">+D29+F29</f>
        <v>-11.3476</v>
      </c>
      <c r="F29" s="16" t="n">
        <f aca="false">RANDBETWEEN(-105,115)/10000</f>
        <v>0.0024</v>
      </c>
      <c r="G29" s="16" t="n">
        <f aca="false">+Chạy!G67</f>
        <v>1.29</v>
      </c>
      <c r="H29" s="16" t="n">
        <f aca="false">G29+I29</f>
        <v>1.35</v>
      </c>
      <c r="I29" s="16" t="n">
        <f aca="false">RANDBETWEEN(-30,90)/1000</f>
        <v>0.06</v>
      </c>
      <c r="J29" s="16" t="n">
        <f aca="false">+Chạy!K67</f>
        <v>1.37</v>
      </c>
      <c r="K29" s="16" t="n">
        <f aca="false">J29+L29</f>
        <v>1.342</v>
      </c>
      <c r="L29" s="16" t="n">
        <f aca="false">RANDBETWEEN(-30,90)/1000</f>
        <v>-0.028</v>
      </c>
      <c r="M29" s="16" t="n">
        <f aca="false">+Chạy!N67</f>
        <v>11.35</v>
      </c>
      <c r="N29" s="16" t="n">
        <f aca="false">+M29+O29</f>
        <v>11.3552</v>
      </c>
      <c r="O29" s="16" t="n">
        <f aca="false">RANDBETWEEN(-105,115)/10000</f>
        <v>0.0052</v>
      </c>
      <c r="P29" s="16" t="n">
        <f aca="false">+Chạy!O67</f>
        <v>1.29</v>
      </c>
      <c r="Q29" s="16" t="n">
        <f aca="false">P29+R29</f>
        <v>1.353</v>
      </c>
      <c r="R29" s="16" t="n">
        <f aca="false">RANDBETWEEN(-30,90)/1000</f>
        <v>0.063</v>
      </c>
      <c r="S29" s="17"/>
      <c r="T29" s="0" t="n">
        <v>14.49</v>
      </c>
      <c r="W29" s="115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126.46</v>
      </c>
      <c r="D30" s="16" t="n">
        <f aca="false">+Chạy!F76</f>
        <v>-11.23</v>
      </c>
      <c r="E30" s="16" t="n">
        <f aca="false">+D30+F30</f>
        <v>-11.2342</v>
      </c>
      <c r="F30" s="16" t="n">
        <f aca="false">RANDBETWEEN(-105,115)/10000</f>
        <v>-0.0042</v>
      </c>
      <c r="G30" s="16" t="n">
        <f aca="false">+Chạy!G76</f>
        <v>1.29</v>
      </c>
      <c r="H30" s="16" t="n">
        <f aca="false">G30+I30</f>
        <v>1.316</v>
      </c>
      <c r="I30" s="16" t="n">
        <f aca="false">RANDBETWEEN(-30,90)/1000</f>
        <v>0.026</v>
      </c>
      <c r="J30" s="16" t="n">
        <f aca="false">+Chạy!K76</f>
        <v>1.37</v>
      </c>
      <c r="K30" s="16" t="n">
        <f aca="false">J30+L30</f>
        <v>1.411</v>
      </c>
      <c r="L30" s="16" t="n">
        <f aca="false">RANDBETWEEN(-30,90)/1000</f>
        <v>0.041</v>
      </c>
      <c r="M30" s="16" t="n">
        <f aca="false">+Chạy!N76</f>
        <v>11.35</v>
      </c>
      <c r="N30" s="16" t="n">
        <f aca="false">+M30+O30</f>
        <v>11.3431</v>
      </c>
      <c r="O30" s="16" t="n">
        <f aca="false">RANDBETWEEN(-105,115)/10000</f>
        <v>-0.0069</v>
      </c>
      <c r="P30" s="16" t="n">
        <f aca="false">+Chạy!O76</f>
        <v>1.29</v>
      </c>
      <c r="Q30" s="16" t="n">
        <f aca="false">P30+R30</f>
        <v>1.316</v>
      </c>
      <c r="R30" s="16" t="n">
        <f aca="false">RANDBETWEEN(-30,90)/1000</f>
        <v>0.026</v>
      </c>
      <c r="S30" s="17"/>
      <c r="W30" s="115"/>
      <c r="X30" s="102"/>
    </row>
    <row r="32" customFormat="false" ht="15" hidden="false" customHeight="false" outlineLevel="0" collapsed="false"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5" hidden="false" customHeight="false" outlineLevel="0" collapsed="false"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" hidden="false" customHeight="false" outlineLevel="0" collapsed="false"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" hidden="false" customHeight="false" outlineLevel="0" collapsed="false"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" hidden="false" customHeight="false" outlineLevel="0" collapsed="false"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5" hidden="false" customHeight="false" outlineLevel="0" collapsed="false"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">
        <v>51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14.NĐXB6A/CVXD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14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7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D3</v>
      </c>
      <c r="C11" s="51" t="n">
        <f aca="false">'7.KTHH L7'!C22</f>
        <v>0</v>
      </c>
      <c r="D11" s="13" t="n">
        <f aca="false">'7.KTHH L7'!T22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6.95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136.4285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1</v>
      </c>
      <c r="C12" s="51" t="n">
        <f aca="false">'7.KTHH L7'!C23</f>
        <v>19.63</v>
      </c>
      <c r="D12" s="13" t="n">
        <f aca="false">'7.KTHH L7'!T23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6.95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119.3315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2</v>
      </c>
      <c r="C13" s="51" t="n">
        <f aca="false">'7.KTHH L7'!C24</f>
        <v>36.8</v>
      </c>
      <c r="D13" s="13" t="n">
        <f aca="false">'7.KTHH L7'!T24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6.95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119.401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3</v>
      </c>
      <c r="C14" s="51" t="n">
        <f aca="false">'7.KTHH L7'!C25</f>
        <v>53.98</v>
      </c>
      <c r="D14" s="13" t="n">
        <f aca="false">'7.KTHH L7'!T25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6.95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67.0549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D2</v>
      </c>
      <c r="C15" s="51" t="n">
        <f aca="false">'7.KTHH L7'!C26</f>
        <v>66.95</v>
      </c>
      <c r="D15" s="13" t="n">
        <f aca="false">'7.KTHH L7'!T26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3.39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48.7542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4</v>
      </c>
      <c r="C16" s="51" t="n">
        <f aca="false">'7.KTHH L7'!C27</f>
        <v>77.63</v>
      </c>
      <c r="D16" s="13" t="n">
        <f aca="false">'7.KTHH L7'!T27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5.74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108.94365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5</v>
      </c>
      <c r="C17" s="51" t="n">
        <f aca="false">'7.KTHH L7'!C28</f>
        <v>94.8</v>
      </c>
      <c r="D17" s="13" t="n">
        <f aca="false">'7.KTHH L7'!T28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Chạy!E58</f>
        <v>6.95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119.07395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6</v>
      </c>
      <c r="C18" s="51" t="n">
        <f aca="false">'7.KTHH L7'!C29</f>
        <v>111.97</v>
      </c>
      <c r="D18" s="13" t="n">
        <f aca="false">'7.KTHH L7'!T29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Chạy!E67</f>
        <v>6.92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99.61875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'7.KTHH L7'!B30</f>
        <v>D1</v>
      </c>
      <c r="C19" s="51" t="n">
        <f aca="false">'7.KTHH L7'!C30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Chạy!E76</f>
        <v>6.83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818.60645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E20" s="9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5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7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15.NĐXB6A/CVXD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15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8 đoạn từ Km0+000,00 - Km0+126,46,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51.75" hidden="false" customHeight="true" outlineLevel="0" collapsed="false">
      <c r="A21" s="116"/>
      <c r="B21" s="116"/>
      <c r="C21" s="116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0</v>
      </c>
      <c r="D22" s="16" t="n">
        <f aca="false">+Chạy!F3</f>
        <v>-10.9</v>
      </c>
      <c r="E22" s="16" t="n">
        <f aca="false">+D22+F22</f>
        <v>-10.9061</v>
      </c>
      <c r="F22" s="16" t="n">
        <f aca="false">RANDBETWEEN(-105,115)/10000</f>
        <v>-0.0061</v>
      </c>
      <c r="G22" s="16" t="n">
        <f aca="false">+Chạy!G3</f>
        <v>1.54</v>
      </c>
      <c r="H22" s="16" t="n">
        <f aca="false">G22+I22</f>
        <v>1.542</v>
      </c>
      <c r="I22" s="16" t="n">
        <f aca="false">RANDBETWEEN(-30,90)/1000</f>
        <v>0.002</v>
      </c>
      <c r="J22" s="16" t="n">
        <f aca="false">+Chạy!K3</f>
        <v>1.63</v>
      </c>
      <c r="K22" s="16" t="n">
        <f aca="false">J22+L22</f>
        <v>1.6</v>
      </c>
      <c r="L22" s="16" t="n">
        <f aca="false">RANDBETWEEN(-30,90)/1000</f>
        <v>-0.03</v>
      </c>
      <c r="M22" s="16" t="n">
        <f aca="false">+Chạy!N3</f>
        <v>10.9</v>
      </c>
      <c r="N22" s="16" t="n">
        <f aca="false">+M22+O22</f>
        <v>10.9018</v>
      </c>
      <c r="O22" s="16" t="n">
        <f aca="false">RANDBETWEEN(-105,115)/10000</f>
        <v>0.0018</v>
      </c>
      <c r="P22" s="16" t="n">
        <f aca="false">+Chạy!O3</f>
        <v>1.54</v>
      </c>
      <c r="Q22" s="16" t="n">
        <f aca="false">P22+R22</f>
        <v>1.536</v>
      </c>
      <c r="R22" s="16" t="n">
        <f aca="false">RANDBETWEEN(-30,90)/1000</f>
        <v>-0.004</v>
      </c>
      <c r="S22" s="17"/>
      <c r="T22" s="0" t="n">
        <v>19.63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19.63</v>
      </c>
      <c r="D23" s="16" t="n">
        <f aca="false">+Chạy!F12</f>
        <v>-10.9</v>
      </c>
      <c r="E23" s="16" t="n">
        <f aca="false">+D23+F23</f>
        <v>-10.9062</v>
      </c>
      <c r="F23" s="16" t="n">
        <f aca="false">RANDBETWEEN(-105,115)/10000</f>
        <v>-0.0062</v>
      </c>
      <c r="G23" s="16" t="n">
        <f aca="false">+Chạy!G12</f>
        <v>1.54</v>
      </c>
      <c r="H23" s="16" t="n">
        <f aca="false">G23+I23</f>
        <v>1.62</v>
      </c>
      <c r="I23" s="16" t="n">
        <f aca="false">RANDBETWEEN(-30,90)/1000</f>
        <v>0.08</v>
      </c>
      <c r="J23" s="16" t="n">
        <f aca="false">+Chạy!K12</f>
        <v>1.63</v>
      </c>
      <c r="K23" s="16" t="n">
        <f aca="false">J23+L23</f>
        <v>1.622</v>
      </c>
      <c r="L23" s="16" t="n">
        <f aca="false">RANDBETWEEN(-30,90)/1000</f>
        <v>-0.008</v>
      </c>
      <c r="M23" s="16" t="n">
        <f aca="false">+Chạy!N12</f>
        <v>10.9</v>
      </c>
      <c r="N23" s="16" t="n">
        <f aca="false">+M23+O23</f>
        <v>10.8993</v>
      </c>
      <c r="O23" s="16" t="n">
        <f aca="false">RANDBETWEEN(-105,115)/10000</f>
        <v>-0.0007</v>
      </c>
      <c r="P23" s="16" t="n">
        <f aca="false">+Chạy!O12</f>
        <v>1.54</v>
      </c>
      <c r="Q23" s="16" t="n">
        <f aca="false">P23+R23</f>
        <v>1.587</v>
      </c>
      <c r="R23" s="16" t="n">
        <f aca="false">RANDBETWEEN(-30,90)/1000</f>
        <v>0.047</v>
      </c>
      <c r="S23" s="17"/>
      <c r="T23" s="0" t="n">
        <v>17.17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36.8</v>
      </c>
      <c r="D24" s="16" t="n">
        <f aca="false">+Chạy!F21</f>
        <v>-10.9</v>
      </c>
      <c r="E24" s="16" t="n">
        <f aca="false">+D24+F24</f>
        <v>-10.9021</v>
      </c>
      <c r="F24" s="16" t="n">
        <f aca="false">RANDBETWEEN(-105,115)/10000</f>
        <v>-0.0021</v>
      </c>
      <c r="G24" s="16" t="n">
        <f aca="false">+Chạy!G21</f>
        <v>1.55</v>
      </c>
      <c r="H24" s="16" t="n">
        <f aca="false">G24+I24</f>
        <v>1.631</v>
      </c>
      <c r="I24" s="16" t="n">
        <f aca="false">RANDBETWEEN(-30,90)/1000</f>
        <v>0.081</v>
      </c>
      <c r="J24" s="16" t="n">
        <f aca="false">+Chạy!K21</f>
        <v>1.64</v>
      </c>
      <c r="K24" s="16" t="n">
        <f aca="false">J24+L24</f>
        <v>1.677</v>
      </c>
      <c r="L24" s="16" t="n">
        <f aca="false">RANDBETWEEN(-30,90)/1000</f>
        <v>0.037</v>
      </c>
      <c r="M24" s="16" t="n">
        <f aca="false">+Chạy!N21</f>
        <v>10.9</v>
      </c>
      <c r="N24" s="16" t="n">
        <f aca="false">+M24+O24</f>
        <v>10.8944</v>
      </c>
      <c r="O24" s="16" t="n">
        <f aca="false">RANDBETWEEN(-105,115)/10000</f>
        <v>-0.0056</v>
      </c>
      <c r="P24" s="16" t="n">
        <f aca="false">+Chạy!O21</f>
        <v>1.55</v>
      </c>
      <c r="Q24" s="16" t="n">
        <f aca="false">P24+R24</f>
        <v>1.521</v>
      </c>
      <c r="R24" s="16" t="n">
        <f aca="false">RANDBETWEEN(-30,90)/1000</f>
        <v>-0.029</v>
      </c>
      <c r="S24" s="17"/>
      <c r="T24" s="0" t="n">
        <v>17.18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53.98</v>
      </c>
      <c r="D25" s="16" t="n">
        <f aca="false">+Chạy!F30</f>
        <v>-10.9</v>
      </c>
      <c r="E25" s="16" t="n">
        <f aca="false">+D25+F25</f>
        <v>-10.9057</v>
      </c>
      <c r="F25" s="16" t="n">
        <f aca="false">RANDBETWEEN(-105,115)/10000</f>
        <v>-0.0057</v>
      </c>
      <c r="G25" s="16" t="n">
        <f aca="false">+Chạy!G30</f>
        <v>1.56</v>
      </c>
      <c r="H25" s="16" t="n">
        <f aca="false">G25+I25</f>
        <v>1.636</v>
      </c>
      <c r="I25" s="16" t="n">
        <f aca="false">RANDBETWEEN(-30,90)/1000</f>
        <v>0.076</v>
      </c>
      <c r="J25" s="16" t="n">
        <f aca="false">+Chạy!K30</f>
        <v>1.64</v>
      </c>
      <c r="K25" s="16" t="n">
        <f aca="false">J25+L25</f>
        <v>1.664</v>
      </c>
      <c r="L25" s="16" t="n">
        <f aca="false">RANDBETWEEN(-30,90)/1000</f>
        <v>0.024</v>
      </c>
      <c r="M25" s="16" t="n">
        <f aca="false">+Chạy!N30</f>
        <v>10.9</v>
      </c>
      <c r="N25" s="16" t="n">
        <f aca="false">+M25+O25</f>
        <v>10.9012</v>
      </c>
      <c r="O25" s="16" t="n">
        <f aca="false">RANDBETWEEN(-105,115)/10000</f>
        <v>0.0012</v>
      </c>
      <c r="P25" s="16" t="n">
        <f aca="false">+Chạy!O30</f>
        <v>1.56</v>
      </c>
      <c r="Q25" s="16" t="n">
        <f aca="false">P25+R25</f>
        <v>1.589</v>
      </c>
      <c r="R25" s="16" t="n">
        <f aca="false">RANDBETWEEN(-30,90)/1000</f>
        <v>0.029</v>
      </c>
      <c r="S25" s="17"/>
      <c r="T25" s="0" t="n">
        <v>12.97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66.95</v>
      </c>
      <c r="D26" s="16" t="n">
        <f aca="false">+Chạy!F39</f>
        <v>-4.67</v>
      </c>
      <c r="E26" s="16" t="n">
        <f aca="false">+D26+F26</f>
        <v>-4.6687</v>
      </c>
      <c r="F26" s="16" t="n">
        <f aca="false">RANDBETWEEN(-105,115)/10000</f>
        <v>0.0013</v>
      </c>
      <c r="G26" s="16" t="n">
        <f aca="false">+Chạy!G39</f>
        <v>1.56</v>
      </c>
      <c r="H26" s="16" t="n">
        <f aca="false">G26+I26</f>
        <v>1.563</v>
      </c>
      <c r="I26" s="16" t="n">
        <f aca="false">RANDBETWEEN(-30,90)/1000</f>
        <v>0.003</v>
      </c>
      <c r="J26" s="16" t="n">
        <f aca="false">+Chạy!K39</f>
        <v>1.65</v>
      </c>
      <c r="K26" s="16" t="n">
        <f aca="false">J26+L26</f>
        <v>1.691</v>
      </c>
      <c r="L26" s="16" t="n">
        <f aca="false">RANDBETWEEN(-30,90)/1000</f>
        <v>0.041</v>
      </c>
      <c r="M26" s="16" t="n">
        <f aca="false">+Chạy!N39</f>
        <v>10.9</v>
      </c>
      <c r="N26" s="16" t="n">
        <f aca="false">+M26+O26</f>
        <v>10.9024</v>
      </c>
      <c r="O26" s="16" t="n">
        <f aca="false">RANDBETWEEN(-105,115)/10000</f>
        <v>0.0024</v>
      </c>
      <c r="P26" s="16" t="n">
        <f aca="false">+Chạy!O39</f>
        <v>1.56</v>
      </c>
      <c r="Q26" s="16" t="n">
        <f aca="false">P26+R26</f>
        <v>1.629</v>
      </c>
      <c r="R26" s="16" t="n">
        <f aca="false">RANDBETWEEN(-30,90)/1000</f>
        <v>0.069</v>
      </c>
      <c r="S26" s="17"/>
      <c r="T26" s="0" t="n">
        <v>10.68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77.63</v>
      </c>
      <c r="D27" s="16" t="n">
        <f aca="false">+Chạy!F48</f>
        <v>-8.02</v>
      </c>
      <c r="E27" s="16" t="n">
        <f aca="false">+D27+F27</f>
        <v>-8.0188</v>
      </c>
      <c r="F27" s="16" t="n">
        <f aca="false">RANDBETWEEN(-105,115)/10000</f>
        <v>0.0012</v>
      </c>
      <c r="G27" s="16" t="n">
        <f aca="false">+Chạy!G48</f>
        <v>1.57</v>
      </c>
      <c r="H27" s="16" t="n">
        <f aca="false">G27+I27</f>
        <v>1.596</v>
      </c>
      <c r="I27" s="16" t="n">
        <f aca="false">RANDBETWEEN(-30,90)/1000</f>
        <v>0.026</v>
      </c>
      <c r="J27" s="16" t="n">
        <f aca="false">+Chạy!K48</f>
        <v>1.66</v>
      </c>
      <c r="K27" s="16" t="n">
        <f aca="false">J27+L27</f>
        <v>1.63</v>
      </c>
      <c r="L27" s="16" t="n">
        <f aca="false">RANDBETWEEN(-30,90)/1000</f>
        <v>-0.03</v>
      </c>
      <c r="M27" s="16" t="n">
        <f aca="false">+Chạy!N48</f>
        <v>10.9</v>
      </c>
      <c r="N27" s="16" t="n">
        <f aca="false">+M27+O27</f>
        <v>10.9029</v>
      </c>
      <c r="O27" s="16" t="n">
        <f aca="false">RANDBETWEEN(-105,115)/10000</f>
        <v>0.0029</v>
      </c>
      <c r="P27" s="16" t="n">
        <f aca="false">+Chạy!O48</f>
        <v>1.57</v>
      </c>
      <c r="Q27" s="16" t="n">
        <f aca="false">P27+R27</f>
        <v>1.604</v>
      </c>
      <c r="R27" s="16" t="n">
        <f aca="false">RANDBETWEEN(-30,90)/1000</f>
        <v>0.034</v>
      </c>
      <c r="S27" s="17"/>
      <c r="T27" s="0" t="n">
        <v>17.17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94.8</v>
      </c>
      <c r="D28" s="16" t="n">
        <f aca="false">+Chạy!F57</f>
        <v>-10.9</v>
      </c>
      <c r="E28" s="16" t="n">
        <f aca="false">+D28+F28</f>
        <v>-10.9025</v>
      </c>
      <c r="F28" s="16" t="n">
        <f aca="false">RANDBETWEEN(-105,115)/10000</f>
        <v>-0.0025</v>
      </c>
      <c r="G28" s="16" t="n">
        <f aca="false">+Chạy!G57</f>
        <v>1.58</v>
      </c>
      <c r="H28" s="16" t="n">
        <f aca="false">G28+I28</f>
        <v>1.634</v>
      </c>
      <c r="I28" s="16" t="n">
        <f aca="false">RANDBETWEEN(-30,90)/1000</f>
        <v>0.054</v>
      </c>
      <c r="J28" s="16" t="n">
        <f aca="false">+Chạy!K57</f>
        <v>1.66</v>
      </c>
      <c r="K28" s="16" t="n">
        <f aca="false">J28+L28</f>
        <v>1.75</v>
      </c>
      <c r="L28" s="16" t="n">
        <f aca="false">RANDBETWEEN(-30,90)/1000</f>
        <v>0.09</v>
      </c>
      <c r="M28" s="16" t="n">
        <f aca="false">+Chạy!N57</f>
        <v>10.9</v>
      </c>
      <c r="N28" s="16" t="n">
        <f aca="false">+M28+O28</f>
        <v>10.8942</v>
      </c>
      <c r="O28" s="16" t="n">
        <f aca="false">RANDBETWEEN(-105,115)/10000</f>
        <v>-0.0058</v>
      </c>
      <c r="P28" s="16" t="n">
        <f aca="false">+Chạy!O57</f>
        <v>1.58</v>
      </c>
      <c r="Q28" s="16" t="n">
        <f aca="false">P28+R28</f>
        <v>1.579</v>
      </c>
      <c r="R28" s="16" t="n">
        <f aca="false">RANDBETWEEN(-30,90)/1000</f>
        <v>-0.001</v>
      </c>
      <c r="S28" s="17"/>
      <c r="T28" s="0" t="n">
        <v>17.17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111.97</v>
      </c>
      <c r="D29" s="16" t="n">
        <f aca="false">+Chạy!F66</f>
        <v>-10.9</v>
      </c>
      <c r="E29" s="16" t="n">
        <f aca="false">+D29+F29</f>
        <v>-10.9062</v>
      </c>
      <c r="F29" s="16" t="n">
        <f aca="false">RANDBETWEEN(-105,115)/10000</f>
        <v>-0.0062</v>
      </c>
      <c r="G29" s="16" t="n">
        <f aca="false">+Chạy!G66</f>
        <v>1.59</v>
      </c>
      <c r="H29" s="16" t="n">
        <f aca="false">G29+I29</f>
        <v>1.621</v>
      </c>
      <c r="I29" s="16" t="n">
        <f aca="false">RANDBETWEEN(-30,90)/1000</f>
        <v>0.031</v>
      </c>
      <c r="J29" s="16" t="n">
        <f aca="false">+Chạy!K66</f>
        <v>1.67</v>
      </c>
      <c r="K29" s="16" t="n">
        <f aca="false">J29+L29</f>
        <v>1.682</v>
      </c>
      <c r="L29" s="16" t="n">
        <f aca="false">RANDBETWEEN(-30,90)/1000</f>
        <v>0.012</v>
      </c>
      <c r="M29" s="16" t="n">
        <f aca="false">+Chạy!N66</f>
        <v>10.9</v>
      </c>
      <c r="N29" s="16" t="n">
        <f aca="false">+M29+O29</f>
        <v>10.8915</v>
      </c>
      <c r="O29" s="16" t="n">
        <f aca="false">RANDBETWEEN(-105,115)/10000</f>
        <v>-0.0085</v>
      </c>
      <c r="P29" s="16" t="n">
        <f aca="false">+Chạy!O66</f>
        <v>1.59</v>
      </c>
      <c r="Q29" s="16" t="n">
        <f aca="false">P29+R29</f>
        <v>1.615</v>
      </c>
      <c r="R29" s="16" t="n">
        <f aca="false">RANDBETWEEN(-30,90)/1000</f>
        <v>0.025</v>
      </c>
      <c r="S29" s="17"/>
      <c r="T29" s="0" t="n">
        <v>14.49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126.46</v>
      </c>
      <c r="D30" s="16" t="n">
        <f aca="false">+Chạy!F75</f>
        <v>-10.9</v>
      </c>
      <c r="E30" s="16" t="n">
        <f aca="false">+D30+F30</f>
        <v>-10.8942</v>
      </c>
      <c r="F30" s="16" t="n">
        <f aca="false">RANDBETWEEN(-105,115)/10000</f>
        <v>0.0058</v>
      </c>
      <c r="G30" s="16" t="n">
        <f aca="false">+Chạy!G75</f>
        <v>1.59</v>
      </c>
      <c r="H30" s="16" t="n">
        <f aca="false">G30+I30</f>
        <v>1.579</v>
      </c>
      <c r="I30" s="16" t="n">
        <f aca="false">RANDBETWEEN(-30,90)/1000</f>
        <v>-0.011</v>
      </c>
      <c r="J30" s="16" t="n">
        <f aca="false">+Chạy!K75</f>
        <v>1.67</v>
      </c>
      <c r="K30" s="16" t="n">
        <f aca="false">J30+L30</f>
        <v>1.738</v>
      </c>
      <c r="L30" s="16" t="n">
        <f aca="false">RANDBETWEEN(-30,90)/1000</f>
        <v>0.068</v>
      </c>
      <c r="M30" s="16" t="n">
        <f aca="false">+Chạy!N75</f>
        <v>10.9</v>
      </c>
      <c r="N30" s="16" t="n">
        <f aca="false">+M30+O30</f>
        <v>10.9056</v>
      </c>
      <c r="O30" s="16" t="n">
        <f aca="false">RANDBETWEEN(-105,115)/10000</f>
        <v>0.0056</v>
      </c>
      <c r="P30" s="16" t="n">
        <f aca="false">+Chạy!O75</f>
        <v>1.59</v>
      </c>
      <c r="Q30" s="16" t="n">
        <f aca="false">P30+R30</f>
        <v>1.633</v>
      </c>
      <c r="R30" s="16" t="n">
        <f aca="false">RANDBETWEEN(-30,90)/1000</f>
        <v>0.043</v>
      </c>
      <c r="S30" s="17"/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88"/>
    </row>
    <row r="32" customFormat="false" ht="15.75" hidden="false" customHeight="true" outlineLevel="0" collapsed="false">
      <c r="A32" s="88"/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5.75" hidden="false" customHeight="true" outlineLevel="0" collapsed="false">
      <c r="A33" s="88"/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.75" hidden="false" customHeight="true" outlineLevel="0" collapsed="false">
      <c r="A34" s="88"/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.75" hidden="false" customHeight="true" outlineLevel="0" collapsed="false">
      <c r="A35" s="88"/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.75" hidden="false" customHeight="true" outlineLevel="0" collapsed="false">
      <c r="A36" s="88"/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5.75" hidden="false" customHeight="true" outlineLevel="0" collapsed="false">
      <c r="A37" s="88"/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tr">
        <f aca="false">+'1.KTHH L1'!O36:R36</f>
        <v>Lê Quốc Huy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15.NĐXB6A/CVXD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15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8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D3</v>
      </c>
      <c r="C11" s="51" t="n">
        <f aca="false">'8.KTHH L8'!C22</f>
        <v>0</v>
      </c>
      <c r="D11" s="13" t="n">
        <f aca="false">'8.KTHH L8'!T22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6.68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131.1284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1</v>
      </c>
      <c r="C12" s="51" t="n">
        <f aca="false">'8.KTHH L8'!C23</f>
        <v>19.63</v>
      </c>
      <c r="D12" s="13" t="n">
        <f aca="false">'8.KTHH L8'!T23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6.68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114.6956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2</v>
      </c>
      <c r="C13" s="51" t="n">
        <f aca="false">'8.KTHH L8'!C24</f>
        <v>36.8</v>
      </c>
      <c r="D13" s="13" t="n">
        <f aca="false">'8.KTHH L8'!T24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6.68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114.7624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3</v>
      </c>
      <c r="C14" s="51" t="n">
        <f aca="false">'8.KTHH L8'!C25</f>
        <v>53.98</v>
      </c>
      <c r="D14" s="13" t="n">
        <f aca="false">'8.KTHH L8'!T25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6.68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67.11975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D2</v>
      </c>
      <c r="C15" s="51" t="n">
        <f aca="false">'8.KTHH L8'!C26</f>
        <v>66.95</v>
      </c>
      <c r="D15" s="13" t="n">
        <f aca="false">'8.KTHH L8'!T26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3.67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50.0358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4</v>
      </c>
      <c r="C16" s="51" t="n">
        <f aca="false">'8.KTHH L8'!C27</f>
        <v>77.63</v>
      </c>
      <c r="D16" s="13" t="n">
        <f aca="false">'8.KTHH L8'!T27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5.7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106.2823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5</v>
      </c>
      <c r="C17" s="51" t="n">
        <f aca="false">'8.KTHH L8'!C28</f>
        <v>94.8</v>
      </c>
      <c r="D17" s="13" t="n">
        <f aca="false">'8.KTHH L8'!T28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6.68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114.6956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6</v>
      </c>
      <c r="C18" s="51" t="n">
        <f aca="false">'8.KTHH L8'!C29</f>
        <v>111.97</v>
      </c>
      <c r="D18" s="13" t="n">
        <f aca="false">'8.KTHH L8'!T29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Chạy!E66</f>
        <v>6.68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96.72075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'8.KTHH L8'!B30</f>
        <v>D1</v>
      </c>
      <c r="C19" s="51" t="n">
        <f aca="false">'8.KTHH L8'!C30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Chạy!E75</f>
        <v>6.67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795.4406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E20" s="9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5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16.NĐXB6A/CVXD ngày 05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16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32</v>
      </c>
      <c r="C7" s="7"/>
      <c r="D7" s="7"/>
      <c r="F7" s="7"/>
      <c r="G7" s="7" t="str">
        <f>VLOOKUP(AZ2,'[1]Tuyến XB6A'!$A$2:$B$60,2,0)</f>
        <v xml:space="preserve">Đắp đất nền đường lớp 9 đoạn từ Km0+000,00 - Km0+126,46,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35</v>
      </c>
      <c r="B20" s="9" t="s">
        <v>36</v>
      </c>
      <c r="C20" s="9" t="s">
        <v>37</v>
      </c>
      <c r="D20" s="10" t="s">
        <v>38</v>
      </c>
      <c r="E20" s="10"/>
      <c r="F20" s="10"/>
      <c r="G20" s="10"/>
      <c r="H20" s="10"/>
      <c r="I20" s="10"/>
      <c r="J20" s="10" t="s">
        <v>39</v>
      </c>
      <c r="K20" s="10"/>
      <c r="L20" s="10"/>
      <c r="M20" s="10" t="s">
        <v>40</v>
      </c>
      <c r="N20" s="10"/>
      <c r="O20" s="10"/>
      <c r="P20" s="10"/>
      <c r="Q20" s="10"/>
      <c r="R20" s="10"/>
      <c r="S20" s="9" t="s">
        <v>41</v>
      </c>
    </row>
    <row r="21" customFormat="false" ht="51.75" hidden="false" customHeight="true" outlineLevel="0" collapsed="false">
      <c r="A21" s="116"/>
      <c r="B21" s="116"/>
      <c r="C21" s="116"/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  <c r="I21" s="11" t="s">
        <v>47</v>
      </c>
      <c r="J21" s="11" t="s">
        <v>45</v>
      </c>
      <c r="K21" s="11" t="s">
        <v>46</v>
      </c>
      <c r="L21" s="11" t="s">
        <v>47</v>
      </c>
      <c r="M21" s="11" t="s">
        <v>42</v>
      </c>
      <c r="N21" s="11" t="s">
        <v>43</v>
      </c>
      <c r="O21" s="11" t="s">
        <v>44</v>
      </c>
      <c r="P21" s="11" t="s">
        <v>45</v>
      </c>
      <c r="Q21" s="11" t="s">
        <v>46</v>
      </c>
      <c r="R21" s="11" t="s">
        <v>47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0</v>
      </c>
      <c r="D22" s="16" t="n">
        <f aca="false">+Chạy!F2</f>
        <v>-10.45</v>
      </c>
      <c r="E22" s="16" t="n">
        <f aca="false">+D22+F22</f>
        <v>-10.4401</v>
      </c>
      <c r="F22" s="16" t="n">
        <f aca="false">RANDBETWEEN(-105,115)/10000</f>
        <v>0.0099</v>
      </c>
      <c r="G22" s="16" t="n">
        <f aca="false">+Chạy!G2</f>
        <v>1.84</v>
      </c>
      <c r="H22" s="16" t="n">
        <f aca="false">G22+I22</f>
        <v>1.863</v>
      </c>
      <c r="I22" s="16" t="n">
        <f aca="false">RANDBETWEEN(-30,90)/1000</f>
        <v>0.023</v>
      </c>
      <c r="J22" s="16" t="n">
        <f aca="false">+Chạy!K2</f>
        <v>1.93</v>
      </c>
      <c r="K22" s="16" t="n">
        <f aca="false">J22+L22</f>
        <v>1.934</v>
      </c>
      <c r="L22" s="16" t="n">
        <f aca="false">RANDBETWEEN(-30,90)/1000</f>
        <v>0.004</v>
      </c>
      <c r="M22" s="16" t="n">
        <f aca="false">+Chạy!N2</f>
        <v>10.45</v>
      </c>
      <c r="N22" s="16" t="n">
        <f aca="false">+M22+O22</f>
        <v>10.4491</v>
      </c>
      <c r="O22" s="16" t="n">
        <f aca="false">RANDBETWEEN(-105,115)/10000</f>
        <v>-0.0009</v>
      </c>
      <c r="P22" s="16" t="n">
        <f aca="false">+Chạy!O2</f>
        <v>1.84</v>
      </c>
      <c r="Q22" s="16" t="n">
        <f aca="false">P22+R22</f>
        <v>1.816</v>
      </c>
      <c r="R22" s="16" t="n">
        <f aca="false">RANDBETWEEN(-30,90)/1000</f>
        <v>-0.024</v>
      </c>
      <c r="S22" s="17"/>
      <c r="T22" s="0" t="n">
        <v>19.63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19.63</v>
      </c>
      <c r="D23" s="16" t="n">
        <f aca="false">+Chạy!F11</f>
        <v>-10.45</v>
      </c>
      <c r="E23" s="16" t="n">
        <f aca="false">+D23+F23</f>
        <v>-10.4557</v>
      </c>
      <c r="F23" s="16" t="n">
        <f aca="false">RANDBETWEEN(-105,115)/10000</f>
        <v>-0.0057</v>
      </c>
      <c r="G23" s="16" t="n">
        <f aca="false">+Chạy!G11</f>
        <v>1.84</v>
      </c>
      <c r="H23" s="16" t="n">
        <f aca="false">G23+I23</f>
        <v>1.841</v>
      </c>
      <c r="I23" s="16" t="n">
        <f aca="false">RANDBETWEEN(-30,90)/1000</f>
        <v>0.001</v>
      </c>
      <c r="J23" s="16" t="n">
        <f aca="false">+Chạy!K11</f>
        <v>1.93</v>
      </c>
      <c r="K23" s="16" t="n">
        <f aca="false">J23+L23</f>
        <v>2.014</v>
      </c>
      <c r="L23" s="16" t="n">
        <f aca="false">RANDBETWEEN(-30,90)/1000</f>
        <v>0.084</v>
      </c>
      <c r="M23" s="16" t="n">
        <f aca="false">+Chạy!N11</f>
        <v>10.45</v>
      </c>
      <c r="N23" s="16" t="n">
        <f aca="false">+M23+O23</f>
        <v>10.4579</v>
      </c>
      <c r="O23" s="16" t="n">
        <f aca="false">RANDBETWEEN(-105,115)/10000</f>
        <v>0.0079</v>
      </c>
      <c r="P23" s="16" t="n">
        <f aca="false">+Chạy!O11</f>
        <v>1.84</v>
      </c>
      <c r="Q23" s="16" t="n">
        <f aca="false">P23+R23</f>
        <v>1.853</v>
      </c>
      <c r="R23" s="16" t="n">
        <f aca="false">RANDBETWEEN(-30,90)/1000</f>
        <v>0.013</v>
      </c>
      <c r="S23" s="17"/>
      <c r="T23" s="0" t="n">
        <v>17.17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36.8</v>
      </c>
      <c r="D24" s="16" t="n">
        <f aca="false">+Chạy!F20</f>
        <v>-10.45</v>
      </c>
      <c r="E24" s="16" t="n">
        <f aca="false">+D24+F24</f>
        <v>-10.4467</v>
      </c>
      <c r="F24" s="16" t="n">
        <f aca="false">RANDBETWEEN(-105,115)/10000</f>
        <v>0.0033</v>
      </c>
      <c r="G24" s="16" t="n">
        <f aca="false">+Chạy!G20</f>
        <v>1.85</v>
      </c>
      <c r="H24" s="16" t="n">
        <f aca="false">G24+I24</f>
        <v>1.93</v>
      </c>
      <c r="I24" s="16" t="n">
        <f aca="false">RANDBETWEEN(-30,90)/1000</f>
        <v>0.08</v>
      </c>
      <c r="J24" s="16" t="n">
        <f aca="false">+Chạy!K20</f>
        <v>1.94</v>
      </c>
      <c r="K24" s="16" t="n">
        <f aca="false">J24+L24</f>
        <v>1.939</v>
      </c>
      <c r="L24" s="16" t="n">
        <f aca="false">RANDBETWEEN(-30,90)/1000</f>
        <v>-0.001</v>
      </c>
      <c r="M24" s="16" t="n">
        <f aca="false">+Chạy!N20</f>
        <v>10.45</v>
      </c>
      <c r="N24" s="16" t="n">
        <f aca="false">+M24+O24</f>
        <v>10.4488</v>
      </c>
      <c r="O24" s="16" t="n">
        <f aca="false">RANDBETWEEN(-105,115)/10000</f>
        <v>-0.0012</v>
      </c>
      <c r="P24" s="16" t="n">
        <f aca="false">+Chạy!O20</f>
        <v>1.85</v>
      </c>
      <c r="Q24" s="16" t="n">
        <f aca="false">P24+R24</f>
        <v>1.906</v>
      </c>
      <c r="R24" s="16" t="n">
        <f aca="false">RANDBETWEEN(-30,90)/1000</f>
        <v>0.056</v>
      </c>
      <c r="S24" s="17"/>
      <c r="T24" s="0" t="n">
        <v>17.18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53.98</v>
      </c>
      <c r="D25" s="16" t="n">
        <f aca="false">+Chạy!F29</f>
        <v>-10.45</v>
      </c>
      <c r="E25" s="16" t="n">
        <f aca="false">+D25+F25</f>
        <v>-10.4487</v>
      </c>
      <c r="F25" s="16" t="n">
        <f aca="false">RANDBETWEEN(-105,115)/10000</f>
        <v>0.0013</v>
      </c>
      <c r="G25" s="16" t="n">
        <f aca="false">+Chạy!G29</f>
        <v>1.86</v>
      </c>
      <c r="H25" s="16" t="n">
        <f aca="false">G25+I25</f>
        <v>1.834</v>
      </c>
      <c r="I25" s="16" t="n">
        <f aca="false">RANDBETWEEN(-30,90)/1000</f>
        <v>-0.026</v>
      </c>
      <c r="J25" s="16" t="n">
        <f aca="false">+Chạy!K29</f>
        <v>1.94</v>
      </c>
      <c r="K25" s="16" t="n">
        <f aca="false">J25+L25</f>
        <v>1.975</v>
      </c>
      <c r="L25" s="16" t="n">
        <f aca="false">RANDBETWEEN(-30,90)/1000</f>
        <v>0.035</v>
      </c>
      <c r="M25" s="16" t="n">
        <f aca="false">+Chạy!N29</f>
        <v>10.45</v>
      </c>
      <c r="N25" s="16" t="n">
        <f aca="false">+M25+O25</f>
        <v>10.4609</v>
      </c>
      <c r="O25" s="16" t="n">
        <f aca="false">RANDBETWEEN(-105,115)/10000</f>
        <v>0.0109</v>
      </c>
      <c r="P25" s="16" t="n">
        <f aca="false">+Chạy!O29</f>
        <v>1.86</v>
      </c>
      <c r="Q25" s="16" t="n">
        <f aca="false">P25+R25</f>
        <v>1.866</v>
      </c>
      <c r="R25" s="16" t="n">
        <f aca="false">RANDBETWEEN(-30,90)/1000</f>
        <v>0.006</v>
      </c>
      <c r="S25" s="17"/>
      <c r="T25" s="0" t="n">
        <v>12.97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66.95</v>
      </c>
      <c r="D26" s="16" t="n">
        <f aca="false">+Chạy!F38</f>
        <v>-10.45</v>
      </c>
      <c r="E26" s="16" t="n">
        <f aca="false">+D26+F26</f>
        <v>-10.4584</v>
      </c>
      <c r="F26" s="16" t="n">
        <f aca="false">RANDBETWEEN(-105,115)/10000</f>
        <v>-0.0084</v>
      </c>
      <c r="G26" s="16" t="n">
        <f aca="false">+Chạy!G38</f>
        <v>1.86</v>
      </c>
      <c r="H26" s="16" t="n">
        <f aca="false">G26+I26</f>
        <v>1.925</v>
      </c>
      <c r="I26" s="16" t="n">
        <f aca="false">RANDBETWEEN(-30,90)/1000</f>
        <v>0.065</v>
      </c>
      <c r="J26" s="16" t="n">
        <f aca="false">+Chạy!K38</f>
        <v>1.95</v>
      </c>
      <c r="K26" s="16" t="n">
        <f aca="false">J26+L26</f>
        <v>1.934</v>
      </c>
      <c r="L26" s="16" t="n">
        <f aca="false">RANDBETWEEN(-30,90)/1000</f>
        <v>-0.016</v>
      </c>
      <c r="M26" s="16" t="n">
        <f aca="false">+Chạy!N38</f>
        <v>10.45</v>
      </c>
      <c r="N26" s="16" t="n">
        <f aca="false">+M26+O26</f>
        <v>10.4511</v>
      </c>
      <c r="O26" s="16" t="n">
        <f aca="false">RANDBETWEEN(-105,115)/10000</f>
        <v>0.0011</v>
      </c>
      <c r="P26" s="16" t="n">
        <f aca="false">+Chạy!O38</f>
        <v>1.86</v>
      </c>
      <c r="Q26" s="16" t="n">
        <f aca="false">P26+R26</f>
        <v>1.912</v>
      </c>
      <c r="R26" s="16" t="n">
        <f aca="false">RANDBETWEEN(-30,90)/1000</f>
        <v>0.052</v>
      </c>
      <c r="S26" s="17"/>
      <c r="T26" s="0" t="n">
        <v>10.68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77.63</v>
      </c>
      <c r="D27" s="16" t="n">
        <f aca="false">+Chạy!F47</f>
        <v>-10.45</v>
      </c>
      <c r="E27" s="16" t="n">
        <f aca="false">+D27+F27</f>
        <v>-10.445</v>
      </c>
      <c r="F27" s="16" t="n">
        <f aca="false">RANDBETWEEN(-105,115)/10000</f>
        <v>0.005</v>
      </c>
      <c r="G27" s="16" t="n">
        <f aca="false">+Chạy!G47</f>
        <v>1.87</v>
      </c>
      <c r="H27" s="16" t="n">
        <f aca="false">G27+I27</f>
        <v>1.922</v>
      </c>
      <c r="I27" s="16" t="n">
        <f aca="false">RANDBETWEEN(-30,90)/1000</f>
        <v>0.052</v>
      </c>
      <c r="J27" s="16" t="n">
        <f aca="false">+Chạy!K47</f>
        <v>1.96</v>
      </c>
      <c r="K27" s="16" t="n">
        <f aca="false">J27+L27</f>
        <v>1.953</v>
      </c>
      <c r="L27" s="16" t="n">
        <f aca="false">RANDBETWEEN(-30,90)/1000</f>
        <v>-0.007</v>
      </c>
      <c r="M27" s="16" t="n">
        <f aca="false">+Chạy!N47</f>
        <v>10.45</v>
      </c>
      <c r="N27" s="16" t="n">
        <f aca="false">+M27+O27</f>
        <v>10.4497</v>
      </c>
      <c r="O27" s="16" t="n">
        <f aca="false">RANDBETWEEN(-105,115)/10000</f>
        <v>-0.0003</v>
      </c>
      <c r="P27" s="16" t="n">
        <f aca="false">+Chạy!O47</f>
        <v>1.87</v>
      </c>
      <c r="Q27" s="16" t="n">
        <f aca="false">P27+R27</f>
        <v>1.938</v>
      </c>
      <c r="R27" s="16" t="n">
        <f aca="false">RANDBETWEEN(-30,90)/1000</f>
        <v>0.068</v>
      </c>
      <c r="S27" s="17"/>
      <c r="T27" s="0" t="n">
        <v>17.17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94.8</v>
      </c>
      <c r="D28" s="16" t="n">
        <f aca="false">+Chạy!F56</f>
        <v>-10.45</v>
      </c>
      <c r="E28" s="16" t="n">
        <f aca="false">+D28+F28</f>
        <v>-10.4449</v>
      </c>
      <c r="F28" s="16" t="n">
        <f aca="false">RANDBETWEEN(-105,115)/10000</f>
        <v>0.0051</v>
      </c>
      <c r="G28" s="16" t="n">
        <f aca="false">+Chạy!G56</f>
        <v>1.88</v>
      </c>
      <c r="H28" s="16" t="n">
        <f aca="false">G28+I28</f>
        <v>1.858</v>
      </c>
      <c r="I28" s="16" t="n">
        <f aca="false">RANDBETWEEN(-30,90)/1000</f>
        <v>-0.022</v>
      </c>
      <c r="J28" s="16" t="n">
        <f aca="false">+Chạy!K56</f>
        <v>1.96</v>
      </c>
      <c r="K28" s="16" t="n">
        <f aca="false">J28+L28</f>
        <v>1.973</v>
      </c>
      <c r="L28" s="16" t="n">
        <f aca="false">RANDBETWEEN(-30,90)/1000</f>
        <v>0.013</v>
      </c>
      <c r="M28" s="16" t="n">
        <f aca="false">+Chạy!N56</f>
        <v>10.45</v>
      </c>
      <c r="N28" s="16" t="n">
        <f aca="false">+M28+O28</f>
        <v>10.442</v>
      </c>
      <c r="O28" s="16" t="n">
        <f aca="false">RANDBETWEEN(-105,115)/10000</f>
        <v>-0.008</v>
      </c>
      <c r="P28" s="16" t="n">
        <f aca="false">+Chạy!O56</f>
        <v>1.88</v>
      </c>
      <c r="Q28" s="16" t="n">
        <f aca="false">P28+R28</f>
        <v>1.961</v>
      </c>
      <c r="R28" s="16" t="n">
        <f aca="false">RANDBETWEEN(-30,90)/1000</f>
        <v>0.081</v>
      </c>
      <c r="S28" s="17"/>
      <c r="T28" s="0" t="n">
        <v>17.17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111.97</v>
      </c>
      <c r="D29" s="16" t="n">
        <f aca="false">+Chạy!F65</f>
        <v>-10.45</v>
      </c>
      <c r="E29" s="16" t="n">
        <f aca="false">+D29+F29</f>
        <v>-10.4568</v>
      </c>
      <c r="F29" s="16" t="n">
        <f aca="false">RANDBETWEEN(-105,115)/10000</f>
        <v>-0.0068</v>
      </c>
      <c r="G29" s="16" t="n">
        <f aca="false">+Chạy!G65</f>
        <v>1.89</v>
      </c>
      <c r="H29" s="16" t="n">
        <f aca="false">G29+I29</f>
        <v>1.979</v>
      </c>
      <c r="I29" s="16" t="n">
        <f aca="false">RANDBETWEEN(-30,90)/1000</f>
        <v>0.089</v>
      </c>
      <c r="J29" s="16" t="n">
        <f aca="false">+Chạy!K65</f>
        <v>1.97</v>
      </c>
      <c r="K29" s="16" t="n">
        <f aca="false">J29+L29</f>
        <v>1.964</v>
      </c>
      <c r="L29" s="16" t="n">
        <f aca="false">RANDBETWEEN(-30,90)/1000</f>
        <v>-0.006</v>
      </c>
      <c r="M29" s="16" t="n">
        <f aca="false">+Chạy!N65</f>
        <v>10.45</v>
      </c>
      <c r="N29" s="16" t="n">
        <f aca="false">+M29+O29</f>
        <v>10.4429</v>
      </c>
      <c r="O29" s="16" t="n">
        <f aca="false">RANDBETWEEN(-105,115)/10000</f>
        <v>-0.0071</v>
      </c>
      <c r="P29" s="16" t="n">
        <f aca="false">+Chạy!O65</f>
        <v>1.89</v>
      </c>
      <c r="Q29" s="16" t="n">
        <f aca="false">P29+R29</f>
        <v>1.918</v>
      </c>
      <c r="R29" s="16" t="n">
        <f aca="false">RANDBETWEEN(-30,90)/1000</f>
        <v>0.028</v>
      </c>
      <c r="S29" s="17"/>
      <c r="T29" s="0" t="n">
        <v>14.49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126.46</v>
      </c>
      <c r="D30" s="16" t="n">
        <f aca="false">+Chạy!F74</f>
        <v>-10.45</v>
      </c>
      <c r="E30" s="16" t="n">
        <f aca="false">+D30+F30</f>
        <v>-10.4475</v>
      </c>
      <c r="F30" s="16" t="n">
        <f aca="false">RANDBETWEEN(-105,115)/10000</f>
        <v>0.0025</v>
      </c>
      <c r="G30" s="16" t="n">
        <f aca="false">+Chạy!G74</f>
        <v>1.89</v>
      </c>
      <c r="H30" s="16" t="n">
        <f aca="false">G30+I30</f>
        <v>1.969</v>
      </c>
      <c r="I30" s="16" t="n">
        <f aca="false">RANDBETWEEN(-30,90)/1000</f>
        <v>0.079</v>
      </c>
      <c r="J30" s="16" t="n">
        <f aca="false">+Chạy!K74</f>
        <v>1.97</v>
      </c>
      <c r="K30" s="16" t="n">
        <f aca="false">J30+L30</f>
        <v>2.018</v>
      </c>
      <c r="L30" s="16" t="n">
        <f aca="false">RANDBETWEEN(-30,90)/1000</f>
        <v>0.048</v>
      </c>
      <c r="M30" s="16" t="n">
        <f aca="false">+Chạy!N74</f>
        <v>10.45</v>
      </c>
      <c r="N30" s="16" t="n">
        <f aca="false">+M30+O30</f>
        <v>10.4521</v>
      </c>
      <c r="O30" s="16" t="n">
        <f aca="false">RANDBETWEEN(-105,115)/10000</f>
        <v>0.0021</v>
      </c>
      <c r="P30" s="16" t="n">
        <f aca="false">+Chạy!O74</f>
        <v>1.89</v>
      </c>
      <c r="Q30" s="16" t="n">
        <f aca="false">P30+R30</f>
        <v>1.979</v>
      </c>
      <c r="R30" s="16" t="n">
        <f aca="false">RANDBETWEEN(-30,90)/1000</f>
        <v>0.089</v>
      </c>
      <c r="S30" s="17"/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88"/>
    </row>
    <row r="32" customFormat="false" ht="15.75" hidden="false" customHeight="true" outlineLevel="0" collapsed="false">
      <c r="A32" s="88"/>
      <c r="C32" s="19" t="s">
        <v>48</v>
      </c>
      <c r="D32" s="19"/>
      <c r="E32" s="19"/>
      <c r="F32" s="19"/>
      <c r="G32" s="19"/>
      <c r="H32" s="19"/>
      <c r="I32" s="19"/>
      <c r="K32" s="20"/>
      <c r="L32" s="20"/>
      <c r="M32" s="20"/>
      <c r="N32" s="20"/>
      <c r="O32" s="19" t="s">
        <v>49</v>
      </c>
      <c r="P32" s="19"/>
      <c r="Q32" s="19"/>
      <c r="R32" s="19"/>
    </row>
    <row r="33" customFormat="false" ht="15.75" hidden="false" customHeight="true" outlineLevel="0" collapsed="false">
      <c r="A33" s="88"/>
      <c r="E33" s="21"/>
      <c r="F33" s="21"/>
      <c r="G33" s="21"/>
      <c r="H33" s="21"/>
      <c r="K33" s="21"/>
      <c r="L33" s="21"/>
      <c r="M33" s="21"/>
      <c r="N33" s="21"/>
      <c r="O33" s="21"/>
      <c r="P33" s="21"/>
      <c r="Q33" s="21"/>
      <c r="R33" s="21"/>
    </row>
    <row r="34" customFormat="false" ht="15.75" hidden="false" customHeight="true" outlineLevel="0" collapsed="false">
      <c r="A34" s="88"/>
      <c r="E34" s="21"/>
      <c r="F34" s="21"/>
      <c r="G34" s="21"/>
      <c r="H34" s="21"/>
      <c r="K34" s="21"/>
      <c r="L34" s="21"/>
      <c r="M34" s="21"/>
      <c r="N34" s="21"/>
      <c r="O34" s="21"/>
      <c r="P34" s="21"/>
      <c r="Q34" s="21"/>
      <c r="R34" s="21"/>
    </row>
    <row r="35" customFormat="false" ht="15.75" hidden="false" customHeight="true" outlineLevel="0" collapsed="false">
      <c r="A35" s="88"/>
      <c r="E35" s="21"/>
      <c r="F35" s="21"/>
      <c r="G35" s="21"/>
      <c r="H35" s="21"/>
      <c r="K35" s="21"/>
      <c r="L35" s="21"/>
      <c r="M35" s="21"/>
      <c r="N35" s="21"/>
      <c r="O35" s="21"/>
      <c r="P35" s="21"/>
      <c r="Q35" s="21"/>
      <c r="R35" s="21"/>
    </row>
    <row r="36" customFormat="false" ht="15.75" hidden="false" customHeight="true" outlineLevel="0" collapsed="false">
      <c r="A36" s="88"/>
      <c r="E36" s="21"/>
      <c r="F36" s="21"/>
      <c r="G36" s="21"/>
      <c r="H36" s="21"/>
      <c r="K36" s="21"/>
      <c r="L36" s="21"/>
      <c r="M36" s="21"/>
      <c r="N36" s="21"/>
      <c r="O36" s="21"/>
      <c r="P36" s="21"/>
      <c r="Q36" s="21"/>
      <c r="R36" s="21"/>
    </row>
    <row r="37" customFormat="false" ht="15.75" hidden="false" customHeight="true" outlineLevel="0" collapsed="false">
      <c r="A37" s="88"/>
      <c r="C37" s="19" t="s">
        <v>50</v>
      </c>
      <c r="D37" s="19"/>
      <c r="E37" s="19"/>
      <c r="F37" s="19"/>
      <c r="G37" s="19"/>
      <c r="H37" s="19"/>
      <c r="I37" s="19"/>
      <c r="K37" s="20"/>
      <c r="L37" s="20"/>
      <c r="M37" s="20"/>
      <c r="N37" s="20"/>
      <c r="O37" s="19" t="str">
        <f aca="false">+'1.KTHH L1'!O36:R36</f>
        <v>Lê Quốc Huy</v>
      </c>
      <c r="P37" s="19"/>
      <c r="Q37" s="19"/>
      <c r="R37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32:I32"/>
    <mergeCell ref="O32:R32"/>
    <mergeCell ref="C37:I37"/>
    <mergeCell ref="O37:R37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XB6A'!$A$2:$G$60,7,0)&amp;VLOOKUP(AZ2,'[1]Tuyến XB6A'!$A$2:$G$60,4,0)</f>
        <v xml:space="preserve">Kèm theo BBNT số: 16.NĐXB6A/CVXD ngày 05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16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32</v>
      </c>
      <c r="B7" s="34"/>
      <c r="D7" s="35" t="str">
        <f>VLOOKUP(AZ2,'[1]Tuyến XB6A'!$A$2:$B$60,2,0)</f>
        <v xml:space="preserve">Đắp đất nền đường lớp 9 đoạn từ Km0+000,00 - Km0+126,46,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36</v>
      </c>
      <c r="C9" s="37" t="s">
        <v>37</v>
      </c>
      <c r="D9" s="38" t="s">
        <v>53</v>
      </c>
      <c r="E9" s="39"/>
      <c r="F9" s="39"/>
      <c r="G9" s="38"/>
      <c r="H9" s="39"/>
      <c r="I9" s="39"/>
      <c r="J9" s="39"/>
      <c r="K9" s="39"/>
      <c r="L9" s="39"/>
      <c r="M9" s="40" t="s">
        <v>54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41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55</v>
      </c>
      <c r="O10" s="40" t="s">
        <v>56</v>
      </c>
      <c r="P10" s="40" t="s">
        <v>55</v>
      </c>
      <c r="Q10" s="40" t="s">
        <v>55</v>
      </c>
      <c r="R10" s="40"/>
      <c r="S10" s="40"/>
      <c r="T10" s="40"/>
      <c r="U10" s="40" t="s">
        <v>57</v>
      </c>
      <c r="V10" s="40" t="s">
        <v>57</v>
      </c>
      <c r="W10" s="40" t="s">
        <v>58</v>
      </c>
      <c r="X10" s="40" t="s">
        <v>57</v>
      </c>
      <c r="Y10" s="40" t="s">
        <v>57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D3</v>
      </c>
      <c r="C11" s="51" t="n">
        <f aca="false">'9.KTHH L9'!C22</f>
        <v>0</v>
      </c>
      <c r="D11" s="13" t="n">
        <f aca="false">'9.KTHH L9'!T22</f>
        <v>19.63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6.41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125.8283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1</v>
      </c>
      <c r="C12" s="51" t="n">
        <f aca="false">'9.KTHH L9'!C23</f>
        <v>19.63</v>
      </c>
      <c r="D12" s="13" t="n">
        <f aca="false">'9.KTHH L9'!T23</f>
        <v>17.17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6.41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110.0597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2</v>
      </c>
      <c r="C13" s="51" t="n">
        <f aca="false">'9.KTHH L9'!C24</f>
        <v>36.8</v>
      </c>
      <c r="D13" s="13" t="n">
        <f aca="false">'9.KTHH L9'!T24</f>
        <v>17.18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6.41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110.1238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3</v>
      </c>
      <c r="C14" s="51" t="n">
        <f aca="false">'9.KTHH L9'!C25</f>
        <v>53.98</v>
      </c>
      <c r="D14" s="13" t="n">
        <f aca="false">'9.KTHH L9'!T25</f>
        <v>12.97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6.41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80.6734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D2</v>
      </c>
      <c r="C15" s="51" t="n">
        <f aca="false">'9.KTHH L9'!C26</f>
        <v>66.95</v>
      </c>
      <c r="D15" s="13" t="n">
        <f aca="false">'9.KTHH L9'!T26</f>
        <v>10.68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6.03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63.5994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4</v>
      </c>
      <c r="C16" s="51" t="n">
        <f aca="false">'9.KTHH L9'!C27</f>
        <v>77.63</v>
      </c>
      <c r="D16" s="13" t="n">
        <f aca="false">'9.KTHH L9'!T27</f>
        <v>17.17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5.88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105.50965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'9.KTHH L9'!B28</f>
        <v>5</v>
      </c>
      <c r="C17" s="51" t="n">
        <f aca="false">'9.KTHH L9'!C28</f>
        <v>94.8</v>
      </c>
      <c r="D17" s="13" t="n">
        <f aca="false">'9.KTHH L9'!T28</f>
        <v>17.17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6.41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110.0597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'9.KTHH L9'!B29</f>
        <v>6</v>
      </c>
      <c r="C18" s="51" t="n">
        <f aca="false">'9.KTHH L9'!C29</f>
        <v>111.97</v>
      </c>
      <c r="D18" s="13" t="n">
        <f aca="false">'9.KTHH L9'!T29</f>
        <v>14.49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6.41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92.8809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'9.KTHH L9'!B30</f>
        <v>D1</v>
      </c>
      <c r="C19" s="51" t="n">
        <f aca="false">'9.KTHH L9'!C30</f>
        <v>126.46</v>
      </c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Chạy!E74</f>
        <v>6.41</v>
      </c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customFormat="false" ht="16.5" hidden="false" customHeight="true" outlineLevel="0" collapsed="false">
      <c r="A20" s="61" t="s">
        <v>59</v>
      </c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4" t="n">
        <f aca="false">SUM(R11:R19)</f>
        <v>0</v>
      </c>
      <c r="S20" s="64" t="n">
        <f aca="false">SUM(S11:S19)</f>
        <v>0</v>
      </c>
      <c r="T20" s="64"/>
      <c r="U20" s="65" t="n">
        <f aca="false">SUM(U11:U19)</f>
        <v>0</v>
      </c>
      <c r="V20" s="65" t="n">
        <f aca="false">SUM(V11:V19)</f>
        <v>0</v>
      </c>
      <c r="W20" s="66" t="n">
        <f aca="false">SUM(W11:W19)</f>
        <v>798.73485</v>
      </c>
      <c r="X20" s="65" t="n">
        <f aca="false">SUM(X11:X19)</f>
        <v>0</v>
      </c>
      <c r="Y20" s="65" t="n">
        <f aca="false">SUM(Y11:Y19)</f>
        <v>0</v>
      </c>
      <c r="Z20" s="65" t="n">
        <f aca="false">SUM(Z11:Z19)</f>
        <v>0</v>
      </c>
      <c r="AA20" s="65" t="n">
        <f aca="false">SUM(AA11:AA19)</f>
        <v>0</v>
      </c>
      <c r="AB20" s="65"/>
      <c r="AE20" s="9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customFormat="false" ht="15" hidden="false" customHeight="true" outlineLevel="0" collapsed="false">
      <c r="A21" s="68"/>
      <c r="B21" s="68"/>
      <c r="C21" s="6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71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</row>
    <row r="22" customFormat="false" ht="15" hidden="false" customHeight="true" outlineLevel="0" collapsed="false">
      <c r="A22" s="19" t="s">
        <v>48</v>
      </c>
      <c r="B22" s="19"/>
      <c r="C22" s="19"/>
      <c r="D22" s="77" t="s">
        <v>60</v>
      </c>
      <c r="E22" s="19" t="s">
        <v>49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</row>
    <row r="23" customFormat="false" ht="15" hidden="false" customHeight="true" outlineLevel="0" collapsed="false">
      <c r="A23" s="78"/>
      <c r="B23" s="78"/>
      <c r="C23" s="78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69"/>
      <c r="Y23" s="69"/>
      <c r="Z23" s="69"/>
      <c r="AA23" s="69"/>
      <c r="AB23" s="69"/>
      <c r="AC23" s="76"/>
      <c r="AD23" s="76"/>
      <c r="AE23" s="76"/>
      <c r="AF23" s="76"/>
      <c r="AG23" s="76"/>
      <c r="AH23" s="76"/>
      <c r="AI23" s="76"/>
      <c r="AJ23" s="76"/>
      <c r="AK23" s="76"/>
      <c r="HT23" s="76"/>
    </row>
    <row r="24" customFormat="false" ht="15.75" hidden="false" customHeight="true" outlineLevel="0" collapsed="false">
      <c r="A24" s="78"/>
      <c r="B24" s="78"/>
      <c r="C24" s="81"/>
      <c r="D24" s="8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69"/>
      <c r="Y24" s="69"/>
      <c r="Z24" s="69"/>
      <c r="AA24" s="69"/>
      <c r="AB24" s="69"/>
      <c r="AC24" s="76"/>
      <c r="AD24" s="76"/>
      <c r="AE24" s="76"/>
      <c r="AF24" s="74"/>
      <c r="AG24" s="76"/>
      <c r="AH24" s="76"/>
      <c r="AI24" s="76"/>
      <c r="AJ24" s="76"/>
      <c r="AK24" s="76"/>
      <c r="HT24" s="76"/>
    </row>
    <row r="25" customFormat="false" ht="15" hidden="false" customHeight="true" outlineLevel="0" collapsed="false">
      <c r="A25" s="78"/>
      <c r="B25" s="78"/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69"/>
      <c r="Y25" s="69"/>
      <c r="Z25" s="69"/>
      <c r="AA25" s="69"/>
      <c r="AB25" s="69"/>
      <c r="AC25" s="76"/>
      <c r="AD25" s="76"/>
      <c r="AE25" s="76"/>
      <c r="AF25" s="76"/>
      <c r="AG25" s="76"/>
      <c r="AH25" s="76"/>
      <c r="AI25" s="76"/>
      <c r="AJ25" s="76"/>
      <c r="AK25" s="76"/>
      <c r="HT25" s="76"/>
    </row>
    <row r="26" customFormat="false" ht="15" hidden="false" customHeight="true" outlineLevel="0" collapsed="false">
      <c r="A26" s="78"/>
      <c r="B26" s="78"/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69"/>
      <c r="Y26" s="69"/>
      <c r="Z26" s="69"/>
      <c r="AA26" s="69"/>
      <c r="AB26" s="69"/>
      <c r="AC26" s="76"/>
      <c r="AD26" s="76"/>
      <c r="AE26" s="76"/>
      <c r="AF26" s="76"/>
      <c r="AG26" s="76"/>
      <c r="AH26" s="76"/>
      <c r="AI26" s="76"/>
      <c r="AJ26" s="76"/>
      <c r="AK26" s="76"/>
      <c r="HT26" s="76"/>
    </row>
    <row r="27" customFormat="false" ht="15" hidden="false" customHeight="true" outlineLevel="0" collapsed="false">
      <c r="A27" s="78"/>
      <c r="B27" s="78"/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69"/>
      <c r="Y27" s="69"/>
      <c r="Z27" s="69"/>
      <c r="AA27" s="69"/>
      <c r="AB27" s="69"/>
      <c r="AC27" s="76"/>
      <c r="AD27" s="76"/>
      <c r="AE27" s="76"/>
      <c r="AF27" s="76"/>
      <c r="AG27" s="76"/>
      <c r="AH27" s="76"/>
      <c r="AI27" s="76"/>
      <c r="AJ27" s="76"/>
      <c r="AK27" s="76"/>
      <c r="HT27" s="76"/>
    </row>
    <row r="28" customFormat="false" ht="15" hidden="false" customHeight="true" outlineLevel="0" collapsed="false">
      <c r="A28" s="19" t="s">
        <v>50</v>
      </c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19" t="s">
        <v>51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76"/>
      <c r="AD28" s="76"/>
      <c r="AE28" s="76"/>
      <c r="AF28" s="76"/>
      <c r="AG28" s="76"/>
      <c r="AH28" s="76"/>
      <c r="AI28" s="76"/>
      <c r="AJ28" s="76"/>
      <c r="AK28" s="76"/>
      <c r="HT28" s="76"/>
    </row>
    <row r="29" customFormat="false" ht="15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5"/>
    </row>
    <row r="30" customFormat="false" ht="12.75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customFormat="false" ht="12.75" hidden="false" customHeight="fals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customFormat="false" ht="12.75" hidden="false" customHeight="fals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customFormat="false" ht="12.75" hidden="false" customHeight="fals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customFormat="false" ht="12.75" hidden="false" customHeight="fals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customFormat="false" ht="12.75" hidden="false" customHeight="fals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customFormat="false" ht="12.75" hidden="false" customHeight="fals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customFormat="false" ht="12.75" hidden="false" customHeight="fals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customFormat="false" ht="12.75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customFormat="false" ht="12.75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customFormat="false" ht="12.75" hidden="false" customHeight="fals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customFormat="false" ht="12.75" hidden="false" customHeight="fals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 customFormat="false" ht="12.75" hidden="false" customHeight="fals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customFormat="false" ht="12.75" hidden="false" customHeight="fals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customFormat="false" ht="12.75" hidden="false" customHeight="fals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customFormat="false" ht="12.75" hidden="false" customHeight="fals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customFormat="false" ht="12.75" hidden="false" customHeight="fals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customFormat="false" ht="12.75" hidden="false" customHeight="fals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customFormat="false" ht="12.75" hidden="false" customHeight="fals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customFormat="false" ht="12.75" hidden="false" customHeight="fals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customFormat="false" ht="12.75" hidden="false" customHeight="fals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customFormat="false" ht="12.75" hidden="false" customHeight="fals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customFormat="false" ht="12.75" hidden="false" customHeight="fals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customFormat="false" ht="12.75" hidden="false" customHeight="fals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customFormat="false" ht="12.75" hidden="false" customHeight="fals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customFormat="false" ht="12.75" hidden="false" customHeight="fals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customFormat="false" ht="12.7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customFormat="false" ht="12.75" hidden="false" customHeight="fals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customFormat="false" ht="12.75" hidden="false" customHeight="fals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customFormat="false" ht="12.75" hidden="false" customHeight="fals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20:D20"/>
    <mergeCell ref="A22:C22"/>
    <mergeCell ref="E22:AB22"/>
    <mergeCell ref="A28:C28"/>
    <mergeCell ref="M28:AB28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2026-10-14T03:17:30Z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