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KTHH L1" sheetId="2" state="visible" r:id="rId4"/>
    <sheet name="1.KL lớp 1" sheetId="3" state="visible" r:id="rId5"/>
    <sheet name="2.KTHH L2" sheetId="4" state="visible" r:id="rId6"/>
    <sheet name="2.KL lớp 2" sheetId="5" state="visible" r:id="rId7"/>
    <sheet name="3.KTHH L3" sheetId="6" state="visible" r:id="rId8"/>
    <sheet name="3.KL lớp 3" sheetId="7" state="visible" r:id="rId9"/>
    <sheet name="4.KTHH L4" sheetId="8" state="visible" r:id="rId10"/>
    <sheet name="4.KL lớp 4" sheetId="9" state="visible" r:id="rId11"/>
  </sheets>
  <externalReferences>
    <externalReference r:id="rIdExt1"/>
  </externalReferences>
  <definedNames>
    <definedName function="false" hidden="false" localSheetId="2" name="_xlnm.Print_Area" vbProcedure="false">'1.KL lớp 1'!$A$1:$AB$29</definedName>
    <definedName function="false" hidden="false" localSheetId="1" name="_xlnm.Print_Area" vbProcedure="false">'1.KTHH L1'!$A$1:$S$40</definedName>
    <definedName function="false" hidden="false" localSheetId="1" name="_xlnm.Print_Titles" vbProcedure="false">'1.KTHH L1'!$21:$22</definedName>
    <definedName function="false" hidden="false" localSheetId="4" name="_xlnm.Print_Area" vbProcedure="false">'2.KL lớp 2'!$A$1:$AB$29</definedName>
    <definedName function="false" hidden="false" localSheetId="3" name="_xlnm.Print_Area" vbProcedure="false">'2.KTHH L2'!$A$1:$S$40</definedName>
    <definedName function="false" hidden="false" localSheetId="3" name="_xlnm.Print_Titles" vbProcedure="false">'2.KTHH L2'!$21:$22</definedName>
    <definedName function="false" hidden="false" localSheetId="6" name="_xlnm.Print_Area" vbProcedure="false">'3.KL lớp 3'!$A$1:$AB$29</definedName>
    <definedName function="false" hidden="false" localSheetId="5" name="_xlnm.Print_Area" vbProcedure="false">'3.KTHH L3'!$A$1:$S$39</definedName>
    <definedName function="false" hidden="false" localSheetId="5" name="_xlnm.Print_Titles" vbProcedure="false">'3.KTHH L3'!$20:$21</definedName>
    <definedName function="false" hidden="false" localSheetId="8" name="_xlnm.Print_Area" vbProcedure="false">'4.KL lớp 4'!$A$1:$AB$29</definedName>
    <definedName function="false" hidden="false" localSheetId="7" name="_xlnm.Print_Area" vbProcedure="false">'4.KTHH L4'!$A$1:$S$40</definedName>
    <definedName function="false" hidden="false" localSheetId="7" name="_xlnm.Print_Titles" vbProcedure="false">'4.KTHH L4'!$21:$22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<sst xmlns="http://schemas.openxmlformats.org/spreadsheetml/2006/main" count="318" uniqueCount="67">
  <si>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</si>
  <si>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</si>
  <si>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</si>
  <si>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</si>
  <si>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</si>
  <si>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</si>
  <si>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</si>
  <si>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</si>
  <si>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</si>
  <si>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</si>
  <si>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</si>
  <si>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</si>
  <si>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</si>
  <si>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</si>
  <si>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</si>
  <si>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</si>
  <si>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</si>
  <si>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D3</t>
  </si>
  <si>
    <t xml:space="preserve">1</t>
  </si>
  <si>
    <t xml:space="preserve">2</t>
  </si>
  <si>
    <t xml:space="preserve">3</t>
  </si>
  <si>
    <t xml:space="preserve">D2</t>
  </si>
  <si>
    <t xml:space="preserve">4</t>
  </si>
  <si>
    <t xml:space="preserve">5</t>
  </si>
  <si>
    <t xml:space="preserve">6</t>
  </si>
  <si>
    <t xml:space="preserve">D1</t>
  </si>
  <si>
    <t xml:space="preserve">PHỤ LỤC KIỂM TRA CAO ĐỘ, KÍCH THƯỚC HÌNH HỌC ĐẮP CÁT</t>
  </si>
  <si>
    <t xml:space="preserve">Kèm theo BBNT số: 04.NĐXB6A/CVXD ngày 25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</si>
  <si>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</si>
  <si>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</si>
  <si>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</si>
  <si>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XB6A</t>
  </si>
  <si>
    <t xml:space="preserve">- Đối tượng nghiệm thu:</t>
  </si>
  <si>
    <t xml:space="preserve">Đắp cát nền đường lớp 1 đoạn từ Km0+000,00 - Km0+126,46,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</si>
  <si>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</si>
  <si>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</si>
  <si>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</si>
  <si>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</si>
  <si>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</si>
  <si>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</si>
  <si>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</si>
  <si>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</si>
  <si>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</si>
  <si>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</si>
  <si>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</si>
  <si>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</si>
  <si>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</si>
  <si>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</si>
  <si>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</si>
  <si>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</si>
  <si>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</si>
  <si>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</si>
  <si>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</si>
  <si>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K/c lẻ</t>
  </si>
  <si>
    <t xml:space="preserve">Khối lượng đắp cát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</si>
  <si>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</si>
  <si>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</si>
  <si>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</si>
  <si>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</si>
  <si>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</si>
  <si>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</si>
  <si>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05.NĐXB6A/CVXD ngày 26 tháng 08 năm 2026</t>
  </si>
  <si>
    <t xml:space="preserve">Đắp cát nền đường lớp 2 đoạn từ Km0+000,00 - Km0+126,46, độ chặt K&gt;=0,95</t>
  </si>
  <si>
    <t xml:space="preserve">Kèm theo BBNT số: 06.NĐXB6A/CVXD ngày 27 tháng 08 năm 2026</t>
  </si>
  <si>
    <t xml:space="preserve">Đắp cát nền đường lớp 3 đoạn từ Km0+000,00 - Km0+126,46, độ chặt K&gt;=0,95</t>
  </si>
  <si>
    <t xml:space="preserve">Kèm theo BBNT số: 07.NĐXB6A/CVXD ngày 28 tháng 08 năm 2026</t>
  </si>
  <si>
    <t xml:space="preserve">Đắp cát nền đường lớp 4 đoạn từ Km0+000,00 - Km0+126,46, độ chặt K&gt;=0,95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</si>
</sst>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3"/>
      <color theme="1"/>
      <name val="Calibri"/>
      <family val="2"/>
      <charset val="163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color theme="1"/>
      <name val="Times New Roman"/>
      <family val="1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.5"/>
      <name val="Times New Roman"/>
      <family val="1"/>
      <charset val="1"/>
    </font>
    <font>
      <sz val="14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851760</xdr:colOff>
      <xdr:row>7</xdr:row>
      <xdr:rowOff>190440</xdr:rowOff>
    </xdr:from>
    <xdr:to>
      <xdr:col>15</xdr:col>
      <xdr:colOff>380880</xdr:colOff>
      <xdr:row>18</xdr:row>
      <xdr:rowOff>73080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67600" y="1876320"/>
          <a:ext cx="568008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224280</xdr:rowOff>
    </xdr:from>
    <xdr:to>
      <xdr:col>15</xdr:col>
      <xdr:colOff>358200</xdr:colOff>
      <xdr:row>18</xdr:row>
      <xdr:rowOff>107280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1682640" y="1910160"/>
          <a:ext cx="5793120" cy="202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481680</xdr:colOff>
      <xdr:row>7</xdr:row>
      <xdr:rowOff>201600</xdr:rowOff>
    </xdr:from>
    <xdr:to>
      <xdr:col>15</xdr:col>
      <xdr:colOff>402840</xdr:colOff>
      <xdr:row>18</xdr:row>
      <xdr:rowOff>42120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1467720" y="1887480"/>
          <a:ext cx="573156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134640</xdr:rowOff>
    </xdr:from>
    <xdr:to>
      <xdr:col>15</xdr:col>
      <xdr:colOff>639360</xdr:colOff>
      <xdr:row>18</xdr:row>
      <xdr:rowOff>33480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602000" y="1820520"/>
          <a:ext cx="6174000" cy="20419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B6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B6A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Km0+000,00 -:- Km0+126,46</v>
          </cell>
          <cell r="D3" t="str">
            <v xml:space="preserve">ngày 20 tháng 08 năm 2026</v>
          </cell>
          <cell r="G3" t="str">
            <v xml:space="preserve">01.NĐXB6A/CVXD </v>
          </cell>
        </row>
        <row r="4">
          <cell r="A4">
            <v>2</v>
          </cell>
          <cell r="B4" t="str">
            <v xml:space="preserve">Đào đất xử lý nền đường đoạn từ Km0+000,00 - Km0+126,46</v>
          </cell>
          <cell r="D4" t="str">
            <v xml:space="preserve">ngày 24 tháng 08 năm 2026</v>
          </cell>
          <cell r="G4" t="str">
            <v xml:space="preserve">02.NĐXB6A/CVXD </v>
          </cell>
        </row>
        <row r="5">
          <cell r="A5">
            <v>3</v>
          </cell>
          <cell r="B5" t="str">
            <v xml:space="preserve">Rải vải địa kỹ thuật đoạn từ Km0+000,00 - Km0+126,46</v>
          </cell>
          <cell r="D5" t="str">
            <v xml:space="preserve">ngày 24 tháng 08 năm 2026</v>
          </cell>
          <cell r="G5" t="str">
            <v xml:space="preserve">03.NĐXB6A/CVXD </v>
          </cell>
        </row>
        <row r="6">
          <cell r="A6">
            <v>4</v>
          </cell>
          <cell r="B6" t="str">
            <v xml:space="preserve">Đắp cát nền đường lớp 1 đoạn từ Km0+000,00 - Km0+126,46, độ chặt K&gt;=0,95</v>
          </cell>
          <cell r="D6" t="str">
            <v xml:space="preserve">ngày 25 tháng 08 năm 2026</v>
          </cell>
          <cell r="G6" t="str">
            <v xml:space="preserve">04.NĐXB6A/CVXD </v>
          </cell>
        </row>
        <row r="7">
          <cell r="A7">
            <v>5</v>
          </cell>
          <cell r="B7" t="str">
            <v xml:space="preserve">Đắp cát nền đường lớp 2 đoạn từ Km0+000,00 - Km0+126,46, độ chặt K&gt;=0,95</v>
          </cell>
          <cell r="D7" t="str">
            <v xml:space="preserve">ngày 26 tháng 08 năm 2026</v>
          </cell>
          <cell r="G7" t="str">
            <v xml:space="preserve">05.NĐXB6A/CVXD </v>
          </cell>
        </row>
        <row r="8">
          <cell r="A8">
            <v>6</v>
          </cell>
          <cell r="B8" t="str">
            <v xml:space="preserve">Đắp cát nền đường lớp 3 đoạn từ Km0+000,00 - Km0+126,46, độ chặt K&gt;=0,95</v>
          </cell>
          <cell r="D8" t="str">
            <v xml:space="preserve">ngày 27 tháng 08 năm 2026</v>
          </cell>
          <cell r="G8" t="str">
            <v xml:space="preserve">06.NĐXB6A/CVXD </v>
          </cell>
        </row>
        <row r="9">
          <cell r="A9">
            <v>7</v>
          </cell>
          <cell r="B9" t="str">
            <v xml:space="preserve">Đắp cát nền đường lớp 4 đoạn từ Km0+000,00 - Km0+126,46, độ chặt K&gt;=0,95</v>
          </cell>
          <cell r="D9" t="str">
            <v xml:space="preserve">ngày 28 tháng 08 năm 2026</v>
          </cell>
          <cell r="G9" t="str">
            <v xml:space="preserve">07.NĐXB6A/CVXD </v>
          </cell>
        </row>
        <row r="10">
          <cell r="A10">
            <v>8</v>
          </cell>
          <cell r="B10" t="str">
            <v xml:space="preserve">Đắp đất nền đường lớp 1 đoạn từ Km0+000,00 - Km0+126,46, độ chặt K&gt;=0,95</v>
          </cell>
          <cell r="D10" t="str">
            <v xml:space="preserve">ngày 29 tháng 08 năm 2026</v>
          </cell>
          <cell r="G10" t="str">
            <v xml:space="preserve">08.NĐXB6A/CVXD </v>
          </cell>
        </row>
        <row r="11">
          <cell r="A11">
            <v>9</v>
          </cell>
          <cell r="B11" t="str">
            <v xml:space="preserve">Đắp đất nền đường lớp 2 đoạn từ Km0+000,00 - Km0+126,46, độ chặt K&gt;=0,95</v>
          </cell>
          <cell r="D11" t="str">
            <v xml:space="preserve">ngày 29 tháng 08 năm 2026</v>
          </cell>
          <cell r="G11" t="str">
            <v xml:space="preserve">09.NĐXB6A/CVXD </v>
          </cell>
        </row>
        <row r="12">
          <cell r="A12">
            <v>10</v>
          </cell>
          <cell r="B12" t="str">
            <v xml:space="preserve">Đắp đất nền đường lớp 3 đoạn từ Km0+000,00 - Km0+126,46, độ chặt K&gt;=0,95</v>
          </cell>
          <cell r="D12" t="str">
            <v xml:space="preserve">ngày 30 tháng 08 năm 2026</v>
          </cell>
          <cell r="G12" t="str">
            <v xml:space="preserve">10.NĐXB6A/CVXD </v>
          </cell>
        </row>
        <row r="13">
          <cell r="A13">
            <v>11</v>
          </cell>
          <cell r="B13" t="str">
            <v xml:space="preserve">Đắp đất nền đường lớp 4 đoạn từ Km0+000,00 - Km0+126,46, độ chặt K&gt;=0,95</v>
          </cell>
          <cell r="D13" t="str">
            <v xml:space="preserve">ngày 30 tháng 08 năm 2026</v>
          </cell>
          <cell r="G13" t="str">
            <v xml:space="preserve">11.NĐXB6A/CVXD </v>
          </cell>
        </row>
        <row r="14">
          <cell r="A14">
            <v>12</v>
          </cell>
          <cell r="B14" t="str">
            <v xml:space="preserve">Đắp đất nền đường lớp 5 đoạn từ Km0+000,00 - Km0+126,46, độ chặt K&gt;=0,95</v>
          </cell>
          <cell r="D14" t="str">
            <v xml:space="preserve">ngày 03 tháng 09 năm 2026</v>
          </cell>
          <cell r="G14" t="str">
            <v xml:space="preserve">12.NĐXB6A/CVXD </v>
          </cell>
        </row>
        <row r="15">
          <cell r="A15">
            <v>13</v>
          </cell>
          <cell r="B15" t="str">
            <v xml:space="preserve">Đắp đất nền đường lớp 6 đoạn từ Km0+000,00 - Km0+126,46, độ chặt K&gt;=0,95</v>
          </cell>
          <cell r="D15" t="str">
            <v xml:space="preserve">ngày 03 tháng 09 năm 2026</v>
          </cell>
          <cell r="G15" t="str">
            <v xml:space="preserve">13.NĐXB6A/CVXD </v>
          </cell>
        </row>
        <row r="16">
          <cell r="A16">
            <v>14</v>
          </cell>
          <cell r="B16" t="str">
            <v xml:space="preserve">Đắp đất nền đường lớp 7 đoạn từ Km0+000,00 - Km0+126,46, độ chặt K&gt;=0,95</v>
          </cell>
          <cell r="D16" t="str">
            <v xml:space="preserve">ngày 04 tháng 09 năm 2026</v>
          </cell>
          <cell r="G16" t="str">
            <v xml:space="preserve">14.NĐXB6A/CVXD </v>
          </cell>
        </row>
        <row r="17">
          <cell r="A17">
            <v>15</v>
          </cell>
          <cell r="B17" t="str">
            <v xml:space="preserve">Đắp đất nền đường lớp 8 đoạn từ Km0+000,00 - Km0+126,46, độ chặt K&gt;=0,95</v>
          </cell>
          <cell r="D17" t="str">
            <v xml:space="preserve">ngày 04 tháng 09 năm 2026</v>
          </cell>
          <cell r="G17" t="str">
            <v xml:space="preserve">15.NĐXB6A/CVXD </v>
          </cell>
        </row>
        <row r="18">
          <cell r="A18">
            <v>16</v>
          </cell>
          <cell r="B18" t="str">
            <v xml:space="preserve">Đắp đất nền đường lớp 9 đoạn từ Km0+000,00 - Km0+126,46, độ chặt K&gt;=0,95</v>
          </cell>
          <cell r="D18" t="str">
            <v xml:space="preserve">ngày 05 tháng 09 năm 2026</v>
          </cell>
          <cell r="G18" t="str">
            <v xml:space="preserve">16.NĐXB6A/CVXD </v>
          </cell>
        </row>
        <row r="19">
          <cell r="A19">
            <v>17</v>
          </cell>
          <cell r="B19" t="str">
            <v xml:space="preserve">Đắp đất nền đường lớp 1, độ chặt K&gt;=0,98 đoạn từ Km0+000,00 - Km0+126,46</v>
          </cell>
          <cell r="D19" t="str">
            <v xml:space="preserve">ngày 06 tháng 09 năm 2026</v>
          </cell>
          <cell r="G19" t="str">
            <v xml:space="preserve">17.NĐXB6A/CVXD </v>
          </cell>
        </row>
        <row r="20">
          <cell r="A20">
            <v>18</v>
          </cell>
          <cell r="B20" t="str">
            <v xml:space="preserve">Đắp đất lề đường lớp 1, độ chặt K&gt;=0,95 đoạn từ Km0+000,00 - Km0+126,46</v>
          </cell>
          <cell r="D20" t="str">
            <v xml:space="preserve">ngày 06 tháng 09 năm 2026</v>
          </cell>
          <cell r="G20" t="str">
            <v xml:space="preserve">18.NĐXB6A/CVXD </v>
          </cell>
        </row>
        <row r="21">
          <cell r="A21">
            <v>19</v>
          </cell>
          <cell r="B21" t="str">
            <v xml:space="preserve">Đắp đất nền đường lớp 2, độ chặt K&gt;=0,98 đoạn từ Km0+000,00 - Km0+126,46</v>
          </cell>
          <cell r="D21" t="str">
            <v xml:space="preserve">ngày 07 tháng 09 năm 2026</v>
          </cell>
          <cell r="G21" t="str">
            <v xml:space="preserve">19.NĐXB6A/CVXD </v>
          </cell>
        </row>
        <row r="22">
          <cell r="A22">
            <v>20</v>
          </cell>
          <cell r="B22" t="str">
            <v xml:space="preserve">Đắp đất lề đường lớp 2, độ chặt K&gt;=0,95 đoạn từ Km0+000,00 - Km0+126,46</v>
          </cell>
          <cell r="D22" t="str">
            <v xml:space="preserve">ngày 07 tháng 09 năm 2026</v>
          </cell>
          <cell r="G22" t="str">
            <v xml:space="preserve">20.NĐXB6A/CVXD </v>
          </cell>
        </row>
        <row r="23">
          <cell r="A23">
            <v>21</v>
          </cell>
          <cell r="B23" t="str">
            <v xml:space="preserve">Đắp cấp phối đá dăm loại 2 đoạn từ Km0+000,00 - Km0+126,46</v>
          </cell>
          <cell r="D23" t="str">
            <v xml:space="preserve">ngày 08 tháng 09 năm 2026</v>
          </cell>
          <cell r="G23" t="str">
            <v xml:space="preserve">21.NĐXB6A/CVXD </v>
          </cell>
        </row>
        <row r="24">
          <cell r="A24">
            <v>22</v>
          </cell>
          <cell r="B24" t="str">
            <v xml:space="preserve">Đắp đất lề đường lớp 3, độ chặt K&gt;=0,95 đoạn từ Km0+000,00 - Km0+126,46</v>
          </cell>
          <cell r="D24" t="str">
            <v xml:space="preserve">ngày 08 tháng 09 năm 2026</v>
          </cell>
          <cell r="G24" t="str">
            <v xml:space="preserve">22.NĐXB6A/CVXD </v>
          </cell>
        </row>
        <row r="25">
          <cell r="A25">
            <v>23</v>
          </cell>
          <cell r="B25" t="str">
            <v xml:space="preserve">Đắp đất lề đường lớp 4, độ chặt K&gt;=0,95 đoạn từ Km0+000,00 - Km0+126,46</v>
          </cell>
          <cell r="D25" t="str">
            <v xml:space="preserve">ngày 09 tháng 09 năm 2026</v>
          </cell>
          <cell r="G25" t="str">
            <v xml:space="preserve">23.NĐXB6A/CVXD </v>
          </cell>
        </row>
        <row r="26">
          <cell r="A26">
            <v>24</v>
          </cell>
          <cell r="B26" t="str">
            <v xml:space="preserve">Đắp cấp phối đá dăm loại 1 đoạn từ Km0+000,00 - Km0+126,46</v>
          </cell>
          <cell r="D26" t="str">
            <v xml:space="preserve">ngày 09 tháng 09 năm 2026</v>
          </cell>
          <cell r="G26" t="str">
            <v xml:space="preserve">24.NĐXB6A/CVXD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11 tháng 09 năm 2026</v>
          </cell>
          <cell r="G27" t="str">
            <v xml:space="preserve">25.NĐXB6A/CVXD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13 tháng 09 năm 2026</v>
          </cell>
          <cell r="G28" t="str">
            <v xml:space="preserve">26.NĐXB6A/CVXD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19 tháng 09 năm 2026</v>
          </cell>
          <cell r="G29" t="str">
            <v xml:space="preserve">27.NĐXB6A/CVXD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21 tháng 09 năm 2026</v>
          </cell>
          <cell r="G30" t="str">
            <v xml:space="preserve">28.NĐXB6A/CVXD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S92" activeCellId="0" sqref="S9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.57"/>
    <col collapsed="false" customWidth="true" hidden="true" outlineLevel="0" max="9" min="8" style="1" width="13"/>
    <col collapsed="false" customWidth="true" hidden="true" outlineLevel="0" max="13" min="12" style="1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0" t="n">
        <v>0</v>
      </c>
      <c r="D2" s="0" t="n">
        <v>4</v>
      </c>
      <c r="E2" s="0" t="n">
        <v>0</v>
      </c>
      <c r="P2" s="0" t="n">
        <v>0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0</v>
      </c>
    </row>
    <row r="4" customFormat="false" ht="15" hidden="false" customHeight="false" outlineLevel="0" collapsed="false">
      <c r="D4" s="0" t="n">
        <v>2</v>
      </c>
      <c r="E4" s="0" t="n">
        <v>0</v>
      </c>
    </row>
    <row r="5" customFormat="false" ht="15" hidden="false" customHeight="false" outlineLevel="0" collapsed="false">
      <c r="D5" s="0" t="n">
        <v>1</v>
      </c>
      <c r="E5" s="0" t="n">
        <v>0</v>
      </c>
    </row>
    <row r="6" customFormat="false" ht="15" hidden="false" customHeight="false" outlineLevel="0" collapsed="false">
      <c r="A6" s="1" t="n">
        <v>2</v>
      </c>
      <c r="B6" s="1" t="s">
        <v>18</v>
      </c>
      <c r="C6" s="0" t="n">
        <v>19.63</v>
      </c>
      <c r="D6" s="0" t="n">
        <v>4</v>
      </c>
      <c r="E6" s="0" t="n">
        <v>4.71</v>
      </c>
      <c r="F6" s="0" t="n">
        <v>-7.97</v>
      </c>
      <c r="G6" s="0" t="n">
        <v>-0.47</v>
      </c>
      <c r="H6" s="1" t="n">
        <v>0</v>
      </c>
      <c r="I6" s="1" t="n">
        <v>-0.47</v>
      </c>
      <c r="J6" s="0" t="n">
        <v>0</v>
      </c>
      <c r="K6" s="0" t="n">
        <v>-0.47</v>
      </c>
      <c r="L6" s="1" t="n">
        <v>0</v>
      </c>
      <c r="M6" s="1" t="n">
        <v>-0.47</v>
      </c>
      <c r="N6" s="0" t="n">
        <v>8.05</v>
      </c>
      <c r="O6" s="0" t="n">
        <v>-0.47</v>
      </c>
      <c r="P6" s="0" t="n">
        <v>15.02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4.53</v>
      </c>
      <c r="F7" s="0" t="n">
        <v>-7.67</v>
      </c>
      <c r="G7" s="0" t="n">
        <v>-0.77</v>
      </c>
      <c r="H7" s="1" t="n">
        <v>0</v>
      </c>
      <c r="I7" s="1" t="n">
        <v>-0.77</v>
      </c>
      <c r="J7" s="0" t="n">
        <v>0</v>
      </c>
      <c r="K7" s="0" t="n">
        <v>-0.77</v>
      </c>
      <c r="L7" s="1" t="n">
        <v>0</v>
      </c>
      <c r="M7" s="1" t="n">
        <v>-0.77</v>
      </c>
      <c r="N7" s="0" t="n">
        <v>7.75</v>
      </c>
      <c r="O7" s="0" t="n">
        <v>-0.77</v>
      </c>
    </row>
    <row r="8" customFormat="false" ht="15" hidden="false" customHeight="false" outlineLevel="0" collapsed="false">
      <c r="D8" s="0" t="n">
        <v>2</v>
      </c>
      <c r="E8" s="0" t="n">
        <v>4.35</v>
      </c>
      <c r="F8" s="0" t="n">
        <v>-7.37</v>
      </c>
      <c r="G8" s="0" t="n">
        <v>-1.07</v>
      </c>
      <c r="H8" s="1" t="n">
        <v>0</v>
      </c>
      <c r="I8" s="1" t="n">
        <v>-1.07</v>
      </c>
      <c r="J8" s="0" t="n">
        <v>0</v>
      </c>
      <c r="K8" s="0" t="n">
        <v>-1.07</v>
      </c>
      <c r="L8" s="1" t="n">
        <v>0</v>
      </c>
      <c r="M8" s="1" t="n">
        <v>-1.07</v>
      </c>
      <c r="N8" s="0" t="n">
        <v>7.45</v>
      </c>
      <c r="O8" s="0" t="n">
        <v>-1.07</v>
      </c>
    </row>
    <row r="9" customFormat="false" ht="15" hidden="false" customHeight="false" outlineLevel="0" collapsed="false">
      <c r="D9" s="0" t="n">
        <v>1</v>
      </c>
      <c r="E9" s="0" t="n">
        <v>1.41</v>
      </c>
      <c r="F9" s="0" t="n">
        <v>-7.07</v>
      </c>
      <c r="G9" s="0" t="n">
        <v>-1.37</v>
      </c>
      <c r="H9" s="1" t="n">
        <v>0</v>
      </c>
      <c r="I9" s="1" t="n">
        <v>-1.37</v>
      </c>
      <c r="J9" s="0" t="n">
        <v>0</v>
      </c>
      <c r="K9" s="0" t="n">
        <v>-1.37</v>
      </c>
      <c r="L9" s="1" t="n">
        <v>0</v>
      </c>
      <c r="M9" s="1" t="n">
        <v>-1.37</v>
      </c>
      <c r="N9" s="0" t="n">
        <v>7.15</v>
      </c>
      <c r="O9" s="0" t="n">
        <v>-1.37</v>
      </c>
    </row>
    <row r="10" customFormat="false" ht="15" hidden="false" customHeight="false" outlineLevel="0" collapsed="false">
      <c r="A10" s="1" t="n">
        <v>3</v>
      </c>
      <c r="B10" s="1" t="s">
        <v>19</v>
      </c>
      <c r="C10" s="0" t="n">
        <v>36.8</v>
      </c>
      <c r="D10" s="0" t="n">
        <v>4</v>
      </c>
      <c r="E10" s="0" t="n">
        <v>4.75</v>
      </c>
      <c r="F10" s="0" t="n">
        <v>-8.04</v>
      </c>
      <c r="G10" s="0" t="n">
        <v>-0.51</v>
      </c>
      <c r="H10" s="1" t="n">
        <v>0</v>
      </c>
      <c r="I10" s="1" t="n">
        <v>-0.51</v>
      </c>
      <c r="J10" s="0" t="n">
        <v>0</v>
      </c>
      <c r="K10" s="0" t="n">
        <v>-0.51</v>
      </c>
      <c r="L10" s="1" t="n">
        <v>0</v>
      </c>
      <c r="M10" s="1" t="n">
        <v>-0.51</v>
      </c>
      <c r="N10" s="0" t="n">
        <v>8.09</v>
      </c>
      <c r="O10" s="0" t="n">
        <v>-0.51</v>
      </c>
      <c r="P10" s="0" t="n">
        <v>15.13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4.57</v>
      </c>
      <c r="F11" s="0" t="n">
        <v>-7.74</v>
      </c>
      <c r="G11" s="0" t="n">
        <v>-0.81</v>
      </c>
      <c r="H11" s="1" t="n">
        <v>0</v>
      </c>
      <c r="I11" s="1" t="n">
        <v>-0.81</v>
      </c>
      <c r="J11" s="0" t="n">
        <v>0</v>
      </c>
      <c r="K11" s="0" t="n">
        <v>-0.81</v>
      </c>
      <c r="L11" s="1" t="n">
        <v>0</v>
      </c>
      <c r="M11" s="1" t="n">
        <v>-0.81</v>
      </c>
      <c r="N11" s="0" t="n">
        <v>7.79</v>
      </c>
      <c r="O11" s="0" t="n">
        <v>-0.81</v>
      </c>
    </row>
    <row r="12" customFormat="false" ht="15" hidden="false" customHeight="false" outlineLevel="0" collapsed="false">
      <c r="D12" s="0" t="n">
        <v>2</v>
      </c>
      <c r="E12" s="0" t="n">
        <v>4.39</v>
      </c>
      <c r="F12" s="0" t="n">
        <v>-7.44</v>
      </c>
      <c r="G12" s="0" t="n">
        <v>-1.11</v>
      </c>
      <c r="H12" s="1" t="n">
        <v>0</v>
      </c>
      <c r="I12" s="1" t="n">
        <v>-1.11</v>
      </c>
      <c r="J12" s="0" t="n">
        <v>0</v>
      </c>
      <c r="K12" s="0" t="n">
        <v>-1.11</v>
      </c>
      <c r="L12" s="1" t="n">
        <v>0</v>
      </c>
      <c r="M12" s="1" t="n">
        <v>-1.11</v>
      </c>
      <c r="N12" s="0" t="n">
        <v>7.49</v>
      </c>
      <c r="O12" s="0" t="n">
        <v>-1.11</v>
      </c>
    </row>
    <row r="13" customFormat="false" ht="15" hidden="false" customHeight="false" outlineLevel="0" collapsed="false">
      <c r="D13" s="0" t="n">
        <v>1</v>
      </c>
      <c r="E13" s="0" t="n">
        <v>1.42</v>
      </c>
      <c r="F13" s="0" t="n">
        <v>-7.14</v>
      </c>
      <c r="G13" s="0" t="n">
        <v>-1.41</v>
      </c>
      <c r="H13" s="1" t="n">
        <v>0</v>
      </c>
      <c r="I13" s="1" t="n">
        <v>-1.41</v>
      </c>
      <c r="J13" s="0" t="n">
        <v>0</v>
      </c>
      <c r="K13" s="0" t="n">
        <v>-1.41</v>
      </c>
      <c r="L13" s="1" t="n">
        <v>0</v>
      </c>
      <c r="M13" s="1" t="n">
        <v>-1.41</v>
      </c>
      <c r="N13" s="0" t="n">
        <v>7.19</v>
      </c>
      <c r="O13" s="0" t="n">
        <v>-1.41</v>
      </c>
    </row>
    <row r="14" customFormat="false" ht="15" hidden="false" customHeight="false" outlineLevel="0" collapsed="false">
      <c r="A14" s="1" t="n">
        <v>4</v>
      </c>
      <c r="B14" s="1" t="s">
        <v>20</v>
      </c>
      <c r="C14" s="0" t="n">
        <v>53.98</v>
      </c>
      <c r="D14" s="0" t="n">
        <v>4</v>
      </c>
      <c r="E14" s="0" t="n">
        <v>4.87</v>
      </c>
      <c r="F14" s="0" t="n">
        <v>-8.28</v>
      </c>
      <c r="G14" s="0" t="n">
        <v>-0.56</v>
      </c>
      <c r="H14" s="1" t="n">
        <v>0</v>
      </c>
      <c r="I14" s="1" t="n">
        <v>-0.56</v>
      </c>
      <c r="J14" s="0" t="n">
        <v>0</v>
      </c>
      <c r="K14" s="0" t="n">
        <v>-0.56</v>
      </c>
      <c r="L14" s="1" t="n">
        <v>0</v>
      </c>
      <c r="M14" s="1" t="n">
        <v>-0.56</v>
      </c>
      <c r="N14" s="0" t="n">
        <v>8.26</v>
      </c>
      <c r="O14" s="0" t="n">
        <v>-0.56</v>
      </c>
      <c r="P14" s="0" t="n">
        <v>15.54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4.69</v>
      </c>
      <c r="F15" s="0" t="n">
        <v>-7.98</v>
      </c>
      <c r="G15" s="0" t="n">
        <v>-0.86</v>
      </c>
      <c r="H15" s="1" t="n">
        <v>0</v>
      </c>
      <c r="I15" s="1" t="n">
        <v>-0.86</v>
      </c>
      <c r="J15" s="0" t="n">
        <v>0</v>
      </c>
      <c r="K15" s="0" t="n">
        <v>-0.86</v>
      </c>
      <c r="L15" s="1" t="n">
        <v>0</v>
      </c>
      <c r="M15" s="1" t="n">
        <v>-0.86</v>
      </c>
      <c r="N15" s="0" t="n">
        <v>7.96</v>
      </c>
      <c r="O15" s="0" t="n">
        <v>-0.86</v>
      </c>
    </row>
    <row r="16" customFormat="false" ht="15" hidden="false" customHeight="false" outlineLevel="0" collapsed="false">
      <c r="D16" s="0" t="n">
        <v>2</v>
      </c>
      <c r="E16" s="0" t="n">
        <v>4.51</v>
      </c>
      <c r="F16" s="0" t="n">
        <v>-7.68</v>
      </c>
      <c r="G16" s="0" t="n">
        <v>-1.16</v>
      </c>
      <c r="H16" s="1" t="n">
        <v>0</v>
      </c>
      <c r="I16" s="1" t="n">
        <v>-1.16</v>
      </c>
      <c r="J16" s="0" t="n">
        <v>0</v>
      </c>
      <c r="K16" s="0" t="n">
        <v>-1.16</v>
      </c>
      <c r="L16" s="1" t="n">
        <v>0</v>
      </c>
      <c r="M16" s="1" t="n">
        <v>-1.16</v>
      </c>
      <c r="N16" s="0" t="n">
        <v>7.66</v>
      </c>
      <c r="O16" s="0" t="n">
        <v>-1.16</v>
      </c>
    </row>
    <row r="17" customFormat="false" ht="15" hidden="false" customHeight="false" outlineLevel="0" collapsed="false">
      <c r="D17" s="0" t="n">
        <v>1</v>
      </c>
      <c r="E17" s="0" t="n">
        <v>1.47</v>
      </c>
      <c r="F17" s="0" t="n">
        <v>-7.38</v>
      </c>
      <c r="G17" s="0" t="n">
        <v>-1.46</v>
      </c>
      <c r="H17" s="1" t="n">
        <v>0</v>
      </c>
      <c r="I17" s="1" t="n">
        <v>-1.46</v>
      </c>
      <c r="J17" s="0" t="n">
        <v>0</v>
      </c>
      <c r="K17" s="0" t="n">
        <v>-1.46</v>
      </c>
      <c r="L17" s="1" t="n">
        <v>0</v>
      </c>
      <c r="M17" s="1" t="n">
        <v>-1.46</v>
      </c>
      <c r="N17" s="0" t="n">
        <v>7.36</v>
      </c>
      <c r="O17" s="0" t="n">
        <v>-1.46</v>
      </c>
    </row>
    <row r="18" customFormat="false" ht="15" hidden="false" customHeight="false" outlineLevel="0" collapsed="false">
      <c r="A18" s="1" t="n">
        <v>5</v>
      </c>
      <c r="B18" s="1" t="s">
        <v>21</v>
      </c>
      <c r="C18" s="0" t="n">
        <v>66.95</v>
      </c>
      <c r="D18" s="0" t="n">
        <v>4</v>
      </c>
      <c r="E18" s="0" t="n">
        <v>0</v>
      </c>
      <c r="P18" s="0" t="n">
        <v>0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0</v>
      </c>
    </row>
    <row r="20" customFormat="false" ht="15" hidden="false" customHeight="false" outlineLevel="0" collapsed="false">
      <c r="D20" s="0" t="n">
        <v>2</v>
      </c>
      <c r="E20" s="0" t="n">
        <v>0</v>
      </c>
    </row>
    <row r="21" customFormat="false" ht="15" hidden="false" customHeight="false" outlineLevel="0" collapsed="false">
      <c r="D21" s="0" t="n">
        <v>1</v>
      </c>
      <c r="E21" s="0" t="n">
        <v>0</v>
      </c>
    </row>
    <row r="22" customFormat="false" ht="15" hidden="false" customHeight="false" outlineLevel="0" collapsed="false">
      <c r="A22" s="1" t="n">
        <v>6</v>
      </c>
      <c r="B22" s="1" t="s">
        <v>22</v>
      </c>
      <c r="C22" s="0" t="n">
        <v>77.63</v>
      </c>
      <c r="D22" s="0" t="n">
        <v>4</v>
      </c>
      <c r="E22" s="0" t="n">
        <v>4.26</v>
      </c>
      <c r="F22" s="0" t="n">
        <v>-5.82</v>
      </c>
      <c r="G22" s="0" t="n">
        <v>-0.63</v>
      </c>
      <c r="H22" s="1" t="n">
        <v>0</v>
      </c>
      <c r="I22" s="1" t="n">
        <v>-0.63</v>
      </c>
      <c r="J22" s="0" t="n">
        <v>0</v>
      </c>
      <c r="K22" s="0" t="n">
        <v>-0.63</v>
      </c>
      <c r="L22" s="1" t="n">
        <v>0</v>
      </c>
      <c r="M22" s="1" t="n">
        <v>-0.63</v>
      </c>
      <c r="N22" s="0" t="n">
        <v>8.68</v>
      </c>
      <c r="O22" s="0" t="n">
        <v>-0.63</v>
      </c>
      <c r="P22" s="0" t="n">
        <v>13.5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4.08</v>
      </c>
      <c r="F23" s="0" t="n">
        <v>-5.52</v>
      </c>
      <c r="G23" s="0" t="n">
        <v>-0.93</v>
      </c>
      <c r="H23" s="1" t="n">
        <v>0</v>
      </c>
      <c r="I23" s="1" t="n">
        <v>-0.93</v>
      </c>
      <c r="J23" s="0" t="n">
        <v>0</v>
      </c>
      <c r="K23" s="0" t="n">
        <v>-0.93</v>
      </c>
      <c r="L23" s="1" t="n">
        <v>0</v>
      </c>
      <c r="M23" s="1" t="n">
        <v>-0.93</v>
      </c>
      <c r="N23" s="0" t="n">
        <v>8.38</v>
      </c>
      <c r="O23" s="0" t="n">
        <v>-0.93</v>
      </c>
    </row>
    <row r="24" customFormat="false" ht="15" hidden="false" customHeight="false" outlineLevel="0" collapsed="false">
      <c r="D24" s="0" t="n">
        <v>2</v>
      </c>
      <c r="E24" s="0" t="n">
        <v>3.9</v>
      </c>
      <c r="F24" s="0" t="n">
        <v>-5.22</v>
      </c>
      <c r="G24" s="0" t="n">
        <v>-1.23</v>
      </c>
      <c r="H24" s="1" t="n">
        <v>0</v>
      </c>
      <c r="I24" s="1" t="n">
        <v>-1.23</v>
      </c>
      <c r="J24" s="0" t="n">
        <v>0</v>
      </c>
      <c r="K24" s="0" t="n">
        <v>-1.23</v>
      </c>
      <c r="L24" s="1" t="n">
        <v>0</v>
      </c>
      <c r="M24" s="1" t="n">
        <v>-1.23</v>
      </c>
      <c r="N24" s="0" t="n">
        <v>8.08</v>
      </c>
      <c r="O24" s="0" t="n">
        <v>-1.23</v>
      </c>
    </row>
    <row r="25" customFormat="false" ht="15" hidden="false" customHeight="false" outlineLevel="0" collapsed="false">
      <c r="D25" s="0" t="n">
        <v>1</v>
      </c>
      <c r="E25" s="0" t="n">
        <v>1.26</v>
      </c>
      <c r="F25" s="0" t="n">
        <v>-4.92</v>
      </c>
      <c r="G25" s="0" t="n">
        <v>-1.53</v>
      </c>
      <c r="H25" s="1" t="n">
        <v>0</v>
      </c>
      <c r="I25" s="1" t="n">
        <v>-1.53</v>
      </c>
      <c r="J25" s="0" t="n">
        <v>0</v>
      </c>
      <c r="K25" s="0" t="n">
        <v>-1.53</v>
      </c>
      <c r="L25" s="1" t="n">
        <v>0</v>
      </c>
      <c r="M25" s="1" t="n">
        <v>-1.53</v>
      </c>
      <c r="N25" s="0" t="n">
        <v>7.78</v>
      </c>
      <c r="O25" s="0" t="n">
        <v>-1.53</v>
      </c>
    </row>
    <row r="26" customFormat="false" ht="15" hidden="false" customHeight="false" outlineLevel="0" collapsed="false">
      <c r="A26" s="1" t="n">
        <v>7</v>
      </c>
      <c r="B26" s="1" t="s">
        <v>23</v>
      </c>
      <c r="C26" s="0" t="n">
        <v>94.8</v>
      </c>
      <c r="D26" s="0" t="n">
        <v>4</v>
      </c>
      <c r="E26" s="0" t="n">
        <v>5</v>
      </c>
      <c r="F26" s="0" t="n">
        <v>-8.65</v>
      </c>
      <c r="G26" s="0" t="n">
        <v>-0.68</v>
      </c>
      <c r="H26" s="1" t="n">
        <v>0</v>
      </c>
      <c r="I26" s="1" t="n">
        <v>-0.68</v>
      </c>
      <c r="J26" s="0" t="n">
        <v>0</v>
      </c>
      <c r="K26" s="0" t="n">
        <v>-0.68</v>
      </c>
      <c r="L26" s="1" t="n">
        <v>0</v>
      </c>
      <c r="M26" s="1" t="n">
        <v>-0.68</v>
      </c>
      <c r="N26" s="0" t="n">
        <v>8.32</v>
      </c>
      <c r="O26" s="0" t="n">
        <v>-0.68</v>
      </c>
      <c r="P26" s="0" t="n">
        <v>15.97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4.82</v>
      </c>
      <c r="F27" s="0" t="n">
        <v>-8.35</v>
      </c>
      <c r="G27" s="0" t="n">
        <v>-0.98</v>
      </c>
      <c r="H27" s="1" t="n">
        <v>0</v>
      </c>
      <c r="I27" s="1" t="n">
        <v>-0.98</v>
      </c>
      <c r="J27" s="0" t="n">
        <v>0</v>
      </c>
      <c r="K27" s="0" t="n">
        <v>-0.98</v>
      </c>
      <c r="L27" s="1" t="n">
        <v>0</v>
      </c>
      <c r="M27" s="1" t="n">
        <v>-0.98</v>
      </c>
      <c r="N27" s="0" t="n">
        <v>8.02</v>
      </c>
      <c r="O27" s="0" t="n">
        <v>-0.98</v>
      </c>
    </row>
    <row r="28" customFormat="false" ht="15" hidden="false" customHeight="false" outlineLevel="0" collapsed="false">
      <c r="D28" s="0" t="n">
        <v>2</v>
      </c>
      <c r="E28" s="0" t="n">
        <v>4.64</v>
      </c>
      <c r="F28" s="0" t="n">
        <v>-8.05</v>
      </c>
      <c r="G28" s="0" t="n">
        <v>-1.28</v>
      </c>
      <c r="H28" s="1" t="n">
        <v>0</v>
      </c>
      <c r="I28" s="1" t="n">
        <v>-1.28</v>
      </c>
      <c r="J28" s="0" t="n">
        <v>0</v>
      </c>
      <c r="K28" s="0" t="n">
        <v>-1.28</v>
      </c>
      <c r="L28" s="1" t="n">
        <v>0</v>
      </c>
      <c r="M28" s="1" t="n">
        <v>-1.28</v>
      </c>
      <c r="N28" s="0" t="n">
        <v>7.72</v>
      </c>
      <c r="O28" s="0" t="n">
        <v>-1.28</v>
      </c>
    </row>
    <row r="29" customFormat="false" ht="15" hidden="false" customHeight="false" outlineLevel="0" collapsed="false">
      <c r="D29" s="0" t="n">
        <v>1</v>
      </c>
      <c r="E29" s="0" t="n">
        <v>1.51</v>
      </c>
      <c r="F29" s="0" t="n">
        <v>-7.75</v>
      </c>
      <c r="G29" s="0" t="n">
        <v>-1.58</v>
      </c>
      <c r="H29" s="1" t="n">
        <v>0</v>
      </c>
      <c r="I29" s="1" t="n">
        <v>-1.58</v>
      </c>
      <c r="J29" s="0" t="n">
        <v>0</v>
      </c>
      <c r="K29" s="0" t="n">
        <v>-1.58</v>
      </c>
      <c r="L29" s="1" t="n">
        <v>0</v>
      </c>
      <c r="M29" s="1" t="n">
        <v>-1.58</v>
      </c>
      <c r="N29" s="0" t="n">
        <v>7.42</v>
      </c>
      <c r="O29" s="0" t="n">
        <v>-1.58</v>
      </c>
    </row>
    <row r="30" customFormat="false" ht="15" hidden="false" customHeight="false" outlineLevel="0" collapsed="false">
      <c r="A30" s="1" t="n">
        <v>8</v>
      </c>
      <c r="B30" s="1" t="s">
        <v>24</v>
      </c>
      <c r="C30" s="0" t="n">
        <v>111.97</v>
      </c>
      <c r="D30" s="0" t="n">
        <v>4</v>
      </c>
      <c r="E30" s="0" t="n">
        <v>4.94</v>
      </c>
      <c r="F30" s="0" t="n">
        <v>-8.63</v>
      </c>
      <c r="G30" s="0" t="n">
        <v>-0.73</v>
      </c>
      <c r="H30" s="1" t="n">
        <v>0</v>
      </c>
      <c r="I30" s="1" t="n">
        <v>-0.73</v>
      </c>
      <c r="J30" s="0" t="n">
        <v>0</v>
      </c>
      <c r="K30" s="0" t="n">
        <v>-0.73</v>
      </c>
      <c r="L30" s="1" t="n">
        <v>0</v>
      </c>
      <c r="M30" s="1" t="n">
        <v>-0.73</v>
      </c>
      <c r="N30" s="0" t="n">
        <v>8.15</v>
      </c>
      <c r="O30" s="0" t="n">
        <v>-0.73</v>
      </c>
      <c r="P30" s="0" t="n">
        <v>15.78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4.76</v>
      </c>
      <c r="F31" s="0" t="n">
        <v>-8.33</v>
      </c>
      <c r="G31" s="0" t="n">
        <v>-1.03</v>
      </c>
      <c r="H31" s="1" t="n">
        <v>0</v>
      </c>
      <c r="I31" s="1" t="n">
        <v>-1.03</v>
      </c>
      <c r="J31" s="0" t="n">
        <v>0</v>
      </c>
      <c r="K31" s="0" t="n">
        <v>-1.03</v>
      </c>
      <c r="L31" s="1" t="n">
        <v>0</v>
      </c>
      <c r="M31" s="1" t="n">
        <v>-1.03</v>
      </c>
      <c r="N31" s="0" t="n">
        <v>7.85</v>
      </c>
      <c r="O31" s="0" t="n">
        <v>-1.03</v>
      </c>
    </row>
    <row r="32" customFormat="false" ht="15" hidden="false" customHeight="false" outlineLevel="0" collapsed="false">
      <c r="D32" s="0" t="n">
        <v>2</v>
      </c>
      <c r="E32" s="0" t="n">
        <v>4.58</v>
      </c>
      <c r="F32" s="0" t="n">
        <v>-8.03</v>
      </c>
      <c r="G32" s="0" t="n">
        <v>-1.33</v>
      </c>
      <c r="H32" s="1" t="n">
        <v>0</v>
      </c>
      <c r="I32" s="1" t="n">
        <v>-1.33</v>
      </c>
      <c r="J32" s="0" t="n">
        <v>0</v>
      </c>
      <c r="K32" s="0" t="n">
        <v>-1.33</v>
      </c>
      <c r="L32" s="1" t="n">
        <v>0</v>
      </c>
      <c r="M32" s="1" t="n">
        <v>-1.33</v>
      </c>
      <c r="N32" s="0" t="n">
        <v>7.55</v>
      </c>
      <c r="O32" s="0" t="n">
        <v>-1.33</v>
      </c>
    </row>
    <row r="33" customFormat="false" ht="15" hidden="false" customHeight="false" outlineLevel="0" collapsed="false">
      <c r="D33" s="0" t="n">
        <v>1</v>
      </c>
      <c r="E33" s="0" t="n">
        <v>1.49</v>
      </c>
      <c r="F33" s="0" t="n">
        <v>-7.73</v>
      </c>
      <c r="G33" s="0" t="n">
        <v>-1.63</v>
      </c>
      <c r="H33" s="1" t="n">
        <v>0</v>
      </c>
      <c r="I33" s="1" t="n">
        <v>-1.63</v>
      </c>
      <c r="J33" s="0" t="n">
        <v>0</v>
      </c>
      <c r="K33" s="0" t="n">
        <v>-1.63</v>
      </c>
      <c r="L33" s="1" t="n">
        <v>0</v>
      </c>
      <c r="M33" s="1" t="n">
        <v>-1.63</v>
      </c>
      <c r="N33" s="0" t="n">
        <v>7.25</v>
      </c>
      <c r="O33" s="0" t="n">
        <v>-1.63</v>
      </c>
    </row>
    <row r="34" customFormat="false" ht="15" hidden="false" customHeight="false" outlineLevel="0" collapsed="false">
      <c r="A34" s="1" t="n">
        <v>9</v>
      </c>
      <c r="B34" s="1" t="s">
        <v>25</v>
      </c>
      <c r="C34" s="0" t="n">
        <v>126.46</v>
      </c>
      <c r="D34" s="0" t="n">
        <v>4</v>
      </c>
      <c r="E34" s="0" t="n">
        <v>0</v>
      </c>
      <c r="P34" s="0" t="n">
        <v>0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0</v>
      </c>
    </row>
    <row r="36" customFormat="false" ht="15" hidden="false" customHeight="false" outlineLevel="0" collapsed="false">
      <c r="D36" s="0" t="n">
        <v>2</v>
      </c>
      <c r="E36" s="0" t="n">
        <v>0</v>
      </c>
    </row>
    <row r="37" customFormat="false" ht="15" hidden="false" customHeight="false" outlineLevel="0" collapsed="false">
      <c r="D37" s="0" t="n">
        <v>1</v>
      </c>
      <c r="E3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3" colorId="64" zoomScale="55" zoomScaleNormal="55" zoomScalePageLayoutView="100" workbookViewId="0">
      <selection pane="topLeft" activeCell="K46" activeCellId="0" sqref="K4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04.NĐXB6A/CVXD ngày 25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4</v>
      </c>
    </row>
    <row r="3" customFormat="false" ht="18.75" hidden="false" customHeight="true" outlineLevel="0" collapsed="false">
      <c r="A3" s="8" t="s">
        <v>28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32</v>
      </c>
      <c r="C7" s="8"/>
      <c r="D7" s="8"/>
      <c r="E7" s="8"/>
      <c r="F7" s="8"/>
      <c r="G7" s="8" t="str">
        <f>VLOOKUP(AZ2,'[1]Tuyến XB6A'!$A$2:$B$60,2,0)</f>
        <v xml:space="preserve">Đắp cát nền đường lớp 1 đoạn từ Km0+000,00 - Km0+126,46,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35</v>
      </c>
      <c r="B21" s="10" t="s">
        <v>36</v>
      </c>
      <c r="C21" s="10" t="s">
        <v>37</v>
      </c>
      <c r="D21" s="11" t="s">
        <v>38</v>
      </c>
      <c r="E21" s="11"/>
      <c r="F21" s="11"/>
      <c r="G21" s="11"/>
      <c r="H21" s="11"/>
      <c r="I21" s="11"/>
      <c r="J21" s="11" t="s">
        <v>39</v>
      </c>
      <c r="K21" s="11"/>
      <c r="L21" s="11"/>
      <c r="M21" s="11" t="s">
        <v>40</v>
      </c>
      <c r="N21" s="11"/>
      <c r="O21" s="11"/>
      <c r="P21" s="11"/>
      <c r="Q21" s="11"/>
      <c r="R21" s="11"/>
      <c r="S21" s="10" t="s">
        <v>41</v>
      </c>
    </row>
    <row r="22" customFormat="false" ht="30" hidden="false" customHeight="true" outlineLevel="0" collapsed="false">
      <c r="A22" s="10"/>
      <c r="B22" s="10"/>
      <c r="C22" s="10"/>
      <c r="D22" s="12" t="s">
        <v>42</v>
      </c>
      <c r="E22" s="12" t="s">
        <v>43</v>
      </c>
      <c r="F22" s="12" t="s">
        <v>44</v>
      </c>
      <c r="G22" s="12" t="s">
        <v>45</v>
      </c>
      <c r="H22" s="12" t="s">
        <v>46</v>
      </c>
      <c r="I22" s="12" t="s">
        <v>47</v>
      </c>
      <c r="J22" s="12" t="s">
        <v>45</v>
      </c>
      <c r="K22" s="12" t="s">
        <v>46</v>
      </c>
      <c r="L22" s="12" t="s">
        <v>47</v>
      </c>
      <c r="M22" s="12" t="s">
        <v>42</v>
      </c>
      <c r="N22" s="12" t="s">
        <v>43</v>
      </c>
      <c r="O22" s="12" t="s">
        <v>44</v>
      </c>
      <c r="P22" s="12" t="s">
        <v>45</v>
      </c>
      <c r="Q22" s="12" t="s">
        <v>46</v>
      </c>
      <c r="R22" s="12" t="s">
        <v>47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9" t="n">
        <v>19.63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19.63</v>
      </c>
      <c r="D24" s="17" t="n">
        <f aca="false">+Chạy!F9</f>
        <v>-7.07</v>
      </c>
      <c r="E24" s="17" t="n">
        <f aca="false">+D24+F24</f>
        <v>-7.0667</v>
      </c>
      <c r="F24" s="17" t="n">
        <f aca="false">RANDBETWEEN(-105,115)/10000</f>
        <v>0.0033</v>
      </c>
      <c r="G24" s="17" t="n">
        <f aca="false">+Chạy!G9</f>
        <v>-1.37</v>
      </c>
      <c r="H24" s="17" t="n">
        <f aca="false">G24+I24</f>
        <v>-1.355</v>
      </c>
      <c r="I24" s="17" t="n">
        <f aca="false">RANDBETWEEN(-30,90)/1000</f>
        <v>0.015</v>
      </c>
      <c r="J24" s="17" t="n">
        <f aca="false">+Chạy!K9</f>
        <v>-1.37</v>
      </c>
      <c r="K24" s="17" t="n">
        <f aca="false">J24+L24</f>
        <v>-1.341</v>
      </c>
      <c r="L24" s="17" t="n">
        <f aca="false">RANDBETWEEN(-30,90)/1000</f>
        <v>0.029</v>
      </c>
      <c r="M24" s="17" t="n">
        <f aca="false">+Chạy!N9</f>
        <v>7.15</v>
      </c>
      <c r="N24" s="17" t="n">
        <f aca="false">+M24+O24</f>
        <v>7.1411</v>
      </c>
      <c r="O24" s="17" t="n">
        <f aca="false">RANDBETWEEN(-105,115)/10000</f>
        <v>-0.0089</v>
      </c>
      <c r="P24" s="17" t="n">
        <f aca="false">+Chạy!O9</f>
        <v>-1.37</v>
      </c>
      <c r="Q24" s="17" t="n">
        <f aca="false">P24+R24</f>
        <v>-1.3</v>
      </c>
      <c r="R24" s="17" t="n">
        <f aca="false">RANDBETWEEN(-30,90)/1000</f>
        <v>0.07</v>
      </c>
      <c r="S24" s="18"/>
      <c r="T24" s="19" t="n">
        <v>17.17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36.8</v>
      </c>
      <c r="D25" s="17" t="n">
        <f aca="false">+Chạy!F13</f>
        <v>-7.14</v>
      </c>
      <c r="E25" s="17" t="n">
        <f aca="false">+D25+F25</f>
        <v>-7.1489</v>
      </c>
      <c r="F25" s="17" t="n">
        <f aca="false">RANDBETWEEN(-105,115)/10000</f>
        <v>-0.0089</v>
      </c>
      <c r="G25" s="17" t="n">
        <f aca="false">+Chạy!G13</f>
        <v>-1.41</v>
      </c>
      <c r="H25" s="17" t="n">
        <f aca="false">G25+I25</f>
        <v>-1.336</v>
      </c>
      <c r="I25" s="17" t="n">
        <f aca="false">RANDBETWEEN(-30,90)/1000</f>
        <v>0.074</v>
      </c>
      <c r="J25" s="17" t="n">
        <f aca="false">+Chạy!K13</f>
        <v>-1.41</v>
      </c>
      <c r="K25" s="17" t="n">
        <f aca="false">J25+L25</f>
        <v>-1.38</v>
      </c>
      <c r="L25" s="17" t="n">
        <f aca="false">RANDBETWEEN(-30,90)/1000</f>
        <v>0.03</v>
      </c>
      <c r="M25" s="17" t="n">
        <f aca="false">+Chạy!N13</f>
        <v>7.19</v>
      </c>
      <c r="N25" s="17" t="n">
        <f aca="false">+M25+O25</f>
        <v>7.1818</v>
      </c>
      <c r="O25" s="17" t="n">
        <f aca="false">RANDBETWEEN(-105,115)/10000</f>
        <v>-0.0082</v>
      </c>
      <c r="P25" s="17" t="n">
        <f aca="false">+Chạy!O13</f>
        <v>-1.41</v>
      </c>
      <c r="Q25" s="17" t="n">
        <f aca="false">P25+R25</f>
        <v>-1.391</v>
      </c>
      <c r="R25" s="17" t="n">
        <f aca="false">RANDBETWEEN(-30,90)/1000</f>
        <v>0.019</v>
      </c>
      <c r="S25" s="18"/>
      <c r="T25" s="19" t="n">
        <v>17.18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53.98</v>
      </c>
      <c r="D26" s="17" t="n">
        <f aca="false">+Chạy!F17</f>
        <v>-7.38</v>
      </c>
      <c r="E26" s="17" t="n">
        <f aca="false">+D26+F26</f>
        <v>-7.3807</v>
      </c>
      <c r="F26" s="17" t="n">
        <f aca="false">RANDBETWEEN(-105,115)/10000</f>
        <v>-0.0007</v>
      </c>
      <c r="G26" s="17" t="n">
        <f aca="false">+Chạy!G17</f>
        <v>-1.46</v>
      </c>
      <c r="H26" s="17" t="n">
        <f aca="false">G26+I26</f>
        <v>-1.405</v>
      </c>
      <c r="I26" s="17" t="n">
        <f aca="false">RANDBETWEEN(-30,90)/1000</f>
        <v>0.055</v>
      </c>
      <c r="J26" s="17" t="n">
        <f aca="false">+Chạy!K17</f>
        <v>-1.46</v>
      </c>
      <c r="K26" s="17" t="n">
        <f aca="false">J26+L26</f>
        <v>-1.471</v>
      </c>
      <c r="L26" s="17" t="n">
        <f aca="false">RANDBETWEEN(-30,90)/1000</f>
        <v>-0.011</v>
      </c>
      <c r="M26" s="17" t="n">
        <f aca="false">+Chạy!N17</f>
        <v>7.36</v>
      </c>
      <c r="N26" s="17" t="n">
        <f aca="false">+M26+O26</f>
        <v>7.3518</v>
      </c>
      <c r="O26" s="17" t="n">
        <f aca="false">RANDBETWEEN(-105,115)/10000</f>
        <v>-0.0082</v>
      </c>
      <c r="P26" s="17" t="n">
        <f aca="false">+Chạy!O17</f>
        <v>-1.46</v>
      </c>
      <c r="Q26" s="17" t="n">
        <f aca="false">P26+R26</f>
        <v>-1.392</v>
      </c>
      <c r="R26" s="17" t="n">
        <f aca="false">RANDBETWEEN(-30,90)/1000</f>
        <v>0.068</v>
      </c>
      <c r="S26" s="18"/>
      <c r="T26" s="19" t="n">
        <v>12.97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66.95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19" t="n">
        <v>10.68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77.63</v>
      </c>
      <c r="D28" s="17" t="n">
        <f aca="false">+Chạy!F25</f>
        <v>-4.92</v>
      </c>
      <c r="E28" s="17" t="n">
        <f aca="false">+D28+F28</f>
        <v>-4.9164</v>
      </c>
      <c r="F28" s="17" t="n">
        <f aca="false">RANDBETWEEN(-105,115)/10000</f>
        <v>0.0036</v>
      </c>
      <c r="G28" s="17" t="n">
        <f aca="false">+Chạy!G25</f>
        <v>-1.53</v>
      </c>
      <c r="H28" s="17" t="n">
        <f aca="false">G28+I28</f>
        <v>-1.514</v>
      </c>
      <c r="I28" s="17" t="n">
        <f aca="false">RANDBETWEEN(-30,90)/1000</f>
        <v>0.016</v>
      </c>
      <c r="J28" s="17" t="n">
        <f aca="false">+Chạy!K25</f>
        <v>-1.53</v>
      </c>
      <c r="K28" s="17" t="n">
        <f aca="false">J28+L28</f>
        <v>-1.521</v>
      </c>
      <c r="L28" s="17" t="n">
        <f aca="false">RANDBETWEEN(-30,90)/1000</f>
        <v>0.009</v>
      </c>
      <c r="M28" s="17" t="n">
        <f aca="false">+Chạy!N25</f>
        <v>7.78</v>
      </c>
      <c r="N28" s="17" t="n">
        <f aca="false">+M28+O28</f>
        <v>7.7813</v>
      </c>
      <c r="O28" s="17" t="n">
        <f aca="false">RANDBETWEEN(-105,115)/10000</f>
        <v>0.0013</v>
      </c>
      <c r="P28" s="17" t="n">
        <f aca="false">+Chạy!O25</f>
        <v>-1.53</v>
      </c>
      <c r="Q28" s="17" t="n">
        <f aca="false">P28+R28</f>
        <v>-1.524</v>
      </c>
      <c r="R28" s="17" t="n">
        <f aca="false">RANDBETWEEN(-30,90)/1000</f>
        <v>0.006</v>
      </c>
      <c r="S28" s="18"/>
      <c r="T28" s="19" t="n">
        <v>17.17</v>
      </c>
    </row>
    <row r="29" customFormat="false" ht="15" hidden="false" customHeight="false" outlineLevel="0" collapsed="false">
      <c r="A29" s="14" t="n">
        <v>7</v>
      </c>
      <c r="B29" s="15" t="s">
        <v>23</v>
      </c>
      <c r="C29" s="16" t="n">
        <f aca="false">+C28+T28</f>
        <v>94.8</v>
      </c>
      <c r="D29" s="17" t="n">
        <f aca="false">+Chạy!F29</f>
        <v>-7.75</v>
      </c>
      <c r="E29" s="17" t="n">
        <f aca="false">+D29+F29</f>
        <v>-7.7523</v>
      </c>
      <c r="F29" s="17" t="n">
        <f aca="false">RANDBETWEEN(-105,115)/10000</f>
        <v>-0.0023</v>
      </c>
      <c r="G29" s="17" t="n">
        <f aca="false">+Chạy!G29</f>
        <v>-1.58</v>
      </c>
      <c r="H29" s="17" t="n">
        <f aca="false">G29+I29</f>
        <v>-1.533</v>
      </c>
      <c r="I29" s="17" t="n">
        <f aca="false">RANDBETWEEN(-30,90)/1000</f>
        <v>0.047</v>
      </c>
      <c r="J29" s="17" t="n">
        <f aca="false">+Chạy!K29</f>
        <v>-1.58</v>
      </c>
      <c r="K29" s="17" t="n">
        <f aca="false">J29+L29</f>
        <v>-1.55</v>
      </c>
      <c r="L29" s="17" t="n">
        <f aca="false">RANDBETWEEN(-30,90)/1000</f>
        <v>0.03</v>
      </c>
      <c r="M29" s="17" t="n">
        <f aca="false">+Chạy!N29</f>
        <v>7.42</v>
      </c>
      <c r="N29" s="17" t="n">
        <f aca="false">+M29+O29</f>
        <v>7.4237</v>
      </c>
      <c r="O29" s="17" t="n">
        <f aca="false">RANDBETWEEN(-105,115)/10000</f>
        <v>0.0037</v>
      </c>
      <c r="P29" s="17" t="n">
        <f aca="false">+Chạy!O29</f>
        <v>-1.58</v>
      </c>
      <c r="Q29" s="17" t="n">
        <f aca="false">P29+R29</f>
        <v>-1.554</v>
      </c>
      <c r="R29" s="17" t="n">
        <f aca="false">RANDBETWEEN(-30,90)/1000</f>
        <v>0.026</v>
      </c>
      <c r="S29" s="18"/>
      <c r="T29" s="19" t="n">
        <v>17.17</v>
      </c>
    </row>
    <row r="30" customFormat="false" ht="15" hidden="false" customHeight="false" outlineLevel="0" collapsed="false">
      <c r="A30" s="14" t="n">
        <v>8</v>
      </c>
      <c r="B30" s="15" t="s">
        <v>24</v>
      </c>
      <c r="C30" s="16" t="n">
        <f aca="false">+C29+T29</f>
        <v>111.97</v>
      </c>
      <c r="D30" s="17" t="n">
        <f aca="false">+Chạy!F33</f>
        <v>-7.73</v>
      </c>
      <c r="E30" s="17" t="n">
        <f aca="false">+D30+F30</f>
        <v>-7.7339</v>
      </c>
      <c r="F30" s="17" t="n">
        <f aca="false">RANDBETWEEN(-105,115)/10000</f>
        <v>-0.0039</v>
      </c>
      <c r="G30" s="17" t="n">
        <f aca="false">+Chạy!G33</f>
        <v>-1.63</v>
      </c>
      <c r="H30" s="17" t="n">
        <f aca="false">G30+I30</f>
        <v>-1.566</v>
      </c>
      <c r="I30" s="17" t="n">
        <f aca="false">RANDBETWEEN(-30,90)/1000</f>
        <v>0.064</v>
      </c>
      <c r="J30" s="17" t="n">
        <f aca="false">+Chạy!K33</f>
        <v>-1.63</v>
      </c>
      <c r="K30" s="17" t="n">
        <f aca="false">J30+L30</f>
        <v>-1.627</v>
      </c>
      <c r="L30" s="17" t="n">
        <f aca="false">RANDBETWEEN(-30,90)/1000</f>
        <v>0.003</v>
      </c>
      <c r="M30" s="17" t="n">
        <f aca="false">+Chạy!N33</f>
        <v>7.25</v>
      </c>
      <c r="N30" s="17" t="n">
        <f aca="false">+M30+O30</f>
        <v>7.2415</v>
      </c>
      <c r="O30" s="17" t="n">
        <f aca="false">RANDBETWEEN(-105,115)/10000</f>
        <v>-0.0085</v>
      </c>
      <c r="P30" s="17" t="n">
        <f aca="false">+Chạy!O33</f>
        <v>-1.63</v>
      </c>
      <c r="Q30" s="17" t="n">
        <f aca="false">P30+R30</f>
        <v>-1.572</v>
      </c>
      <c r="R30" s="17" t="n">
        <f aca="false">RANDBETWEEN(-30,90)/1000</f>
        <v>0.058</v>
      </c>
      <c r="S30" s="18"/>
      <c r="T30" s="19" t="n">
        <v>14.49</v>
      </c>
    </row>
    <row r="31" customFormat="false" ht="15" hidden="false" customHeight="false" outlineLevel="0" collapsed="false">
      <c r="A31" s="14" t="n">
        <v>9</v>
      </c>
      <c r="B31" s="15" t="s">
        <v>25</v>
      </c>
      <c r="C31" s="16" t="n">
        <f aca="false">+C30+T30</f>
        <v>126.46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19"/>
    </row>
    <row r="33" customFormat="false" ht="15" hidden="false" customHeight="false" outlineLevel="0" collapsed="false">
      <c r="C33" s="20" t="s">
        <v>48</v>
      </c>
      <c r="D33" s="20"/>
      <c r="E33" s="20"/>
      <c r="F33" s="20"/>
      <c r="G33" s="20"/>
      <c r="H33" s="20"/>
      <c r="I33" s="20"/>
      <c r="K33" s="21"/>
      <c r="L33" s="21"/>
      <c r="M33" s="21"/>
      <c r="N33" s="21"/>
      <c r="O33" s="20" t="s">
        <v>49</v>
      </c>
      <c r="P33" s="20"/>
      <c r="Q33" s="20"/>
      <c r="R33" s="20"/>
    </row>
    <row r="34" customFormat="false" ht="15" hidden="false" customHeight="false" outlineLevel="0" collapsed="false">
      <c r="E34" s="22"/>
      <c r="F34" s="22"/>
      <c r="G34" s="22"/>
      <c r="H34" s="22"/>
      <c r="K34" s="22"/>
      <c r="L34" s="22"/>
      <c r="M34" s="22"/>
      <c r="N34" s="22"/>
      <c r="O34" s="22"/>
      <c r="P34" s="22"/>
      <c r="Q34" s="22"/>
      <c r="R34" s="22"/>
    </row>
    <row r="35" customFormat="false" ht="15" hidden="false" customHeight="false" outlineLevel="0" collapsed="false">
      <c r="E35" s="22"/>
      <c r="F35" s="22"/>
      <c r="G35" s="22"/>
      <c r="H35" s="22"/>
      <c r="K35" s="22"/>
      <c r="L35" s="22"/>
      <c r="M35" s="22"/>
      <c r="N35" s="22"/>
      <c r="O35" s="22"/>
      <c r="P35" s="22"/>
      <c r="Q35" s="22"/>
      <c r="R35" s="22"/>
    </row>
    <row r="36" customFormat="false" ht="15" hidden="false" customHeight="false" outlineLevel="0" collapsed="false">
      <c r="E36" s="22"/>
      <c r="F36" s="22"/>
      <c r="G36" s="22"/>
      <c r="H36" s="22"/>
      <c r="K36" s="22"/>
      <c r="L36" s="22"/>
      <c r="M36" s="22"/>
      <c r="N36" s="22"/>
      <c r="O36" s="22"/>
      <c r="P36" s="22"/>
      <c r="Q36" s="22"/>
      <c r="R36" s="22"/>
    </row>
    <row r="37" customFormat="false" ht="15" hidden="false" customHeight="false" outlineLevel="0" collapsed="false">
      <c r="E37" s="22"/>
      <c r="F37" s="22"/>
      <c r="G37" s="22"/>
      <c r="H37" s="22"/>
      <c r="K37" s="22"/>
      <c r="L37" s="22"/>
      <c r="M37" s="22"/>
      <c r="N37" s="22"/>
      <c r="O37" s="22"/>
      <c r="P37" s="22"/>
      <c r="Q37" s="22"/>
      <c r="R37" s="22"/>
    </row>
    <row r="38" customFormat="false" ht="15" hidden="false" customHeight="false" outlineLevel="0" collapsed="false">
      <c r="C38" s="20" t="s">
        <v>50</v>
      </c>
      <c r="D38" s="20"/>
      <c r="E38" s="20"/>
      <c r="F38" s="20"/>
      <c r="G38" s="20"/>
      <c r="H38" s="20"/>
      <c r="I38" s="20"/>
      <c r="K38" s="21"/>
      <c r="L38" s="21"/>
      <c r="M38" s="21"/>
      <c r="N38" s="21"/>
      <c r="O38" s="20" t="s">
        <v>51</v>
      </c>
      <c r="P38" s="20"/>
      <c r="Q38" s="20"/>
      <c r="R38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33:I33"/>
    <mergeCell ref="O33:R33"/>
    <mergeCell ref="C38:I38"/>
    <mergeCell ref="O38:R38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20" activeCellId="0" sqref="O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XB6A'!$A$2:$G$60,7,0)&amp;VLOOKUP(AZ2,'[1]Tuyến XB6A'!$A$2:$G$60,4,0)</f>
        <v xml:space="preserve">Kèm theo BBNT số: 04.NĐXB6A/CVXD ngày 25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  <c r="AZ2">
        <v>4</v>
      </c>
    </row>
    <row r="3" s="30" customFormat="true" ht="37.5" hidden="false" customHeight="true" outlineLevel="0" collapsed="false">
      <c r="A3" s="28" t="s">
        <v>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32</v>
      </c>
      <c r="B7" s="32"/>
      <c r="D7" s="33" t="str">
        <f>VLOOKUP(AZ2,'[1]Tuyến XB6A'!$A$2:$B$60,2,0)</f>
        <v xml:space="preserve">Đắp cát nền đường lớp 1 đoạn từ Km0+000,00 - Km0+126,46,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36</v>
      </c>
      <c r="C9" s="35" t="s">
        <v>37</v>
      </c>
      <c r="D9" s="36" t="s">
        <v>53</v>
      </c>
      <c r="E9" s="37"/>
      <c r="F9" s="37"/>
      <c r="G9" s="36"/>
      <c r="H9" s="37"/>
      <c r="I9" s="37"/>
      <c r="J9" s="37"/>
      <c r="K9" s="37"/>
      <c r="L9" s="37"/>
      <c r="M9" s="38" t="s">
        <v>54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41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55</v>
      </c>
      <c r="O10" s="38" t="s">
        <v>56</v>
      </c>
      <c r="P10" s="38" t="s">
        <v>55</v>
      </c>
      <c r="Q10" s="38" t="s">
        <v>55</v>
      </c>
      <c r="R10" s="38"/>
      <c r="S10" s="38"/>
      <c r="T10" s="38"/>
      <c r="U10" s="38" t="s">
        <v>57</v>
      </c>
      <c r="V10" s="38" t="s">
        <v>57</v>
      </c>
      <c r="W10" s="38" t="s">
        <v>58</v>
      </c>
      <c r="X10" s="38" t="s">
        <v>57</v>
      </c>
      <c r="Y10" s="38" t="s">
        <v>57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'1.KTHH L1'!B23</f>
        <v>D3</v>
      </c>
      <c r="C11" s="16" t="n">
        <f aca="false">'1.KTHH L1'!C23</f>
        <v>0</v>
      </c>
      <c r="D11" s="14" t="n">
        <f aca="false">'1.KTHH L1'!T23</f>
        <v>19.63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/>
      <c r="P11" s="47"/>
      <c r="Q11" s="47"/>
      <c r="R11" s="50"/>
      <c r="S11" s="50"/>
      <c r="T11" s="50"/>
      <c r="U11" s="50"/>
      <c r="V11" s="50"/>
      <c r="W11" s="50" t="n">
        <f aca="false">(O11+O12)*D11/2</f>
        <v>13.83915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'1.KTHH L1'!B24</f>
        <v>1</v>
      </c>
      <c r="C12" s="16" t="n">
        <f aca="false">'1.KTHH L1'!C24</f>
        <v>19.63</v>
      </c>
      <c r="D12" s="14" t="n">
        <f aca="false">'1.KTHH L1'!T24</f>
        <v>17.17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Chạy!E9</f>
        <v>1.41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24.29555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'1.KTHH L1'!B25</f>
        <v>2</v>
      </c>
      <c r="C13" s="16" t="n">
        <f aca="false">'1.KTHH L1'!C25</f>
        <v>36.8</v>
      </c>
      <c r="D13" s="14" t="n">
        <f aca="false">'1.KTHH L1'!T25</f>
        <v>17.18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Chạy!E13</f>
        <v>1.42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24.8251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'1.KTHH L1'!B26</f>
        <v>3</v>
      </c>
      <c r="C14" s="16" t="n">
        <f aca="false">'1.KTHH L1'!C26</f>
        <v>53.98</v>
      </c>
      <c r="D14" s="14" t="n">
        <f aca="false">'1.KTHH L1'!T26</f>
        <v>12.97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Chạy!E17</f>
        <v>1.47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9.53295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'1.KTHH L1'!B27</f>
        <v>D2</v>
      </c>
      <c r="C15" s="16" t="n">
        <f aca="false">'1.KTHH L1'!C27</f>
        <v>66.95</v>
      </c>
      <c r="D15" s="14" t="n">
        <f aca="false">'1.KTHH L1'!T27</f>
        <v>10.68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/>
      <c r="P15" s="47"/>
      <c r="Q15" s="47"/>
      <c r="R15" s="50"/>
      <c r="S15" s="50"/>
      <c r="T15" s="50"/>
      <c r="U15" s="50"/>
      <c r="V15" s="50"/>
      <c r="W15" s="50" t="n">
        <f aca="false">(O15+O16)*D15/2</f>
        <v>6.7284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'1.KTHH L1'!B28</f>
        <v>4</v>
      </c>
      <c r="C16" s="16" t="n">
        <f aca="false">'1.KTHH L1'!C28</f>
        <v>77.63</v>
      </c>
      <c r="D16" s="14" t="n">
        <f aca="false">'1.KTHH L1'!T28</f>
        <v>17.17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Chạy!E25</f>
        <v>1.26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23.78045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'1.KTHH L1'!B29</f>
        <v>5</v>
      </c>
      <c r="C17" s="16" t="n">
        <f aca="false">'1.KTHH L1'!C29</f>
        <v>94.8</v>
      </c>
      <c r="D17" s="14" t="n">
        <f aca="false">'1.KTHH L1'!T29</f>
        <v>17.17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Chạy!E29</f>
        <v>1.51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25.755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'1.KTHH L1'!B30</f>
        <v>6</v>
      </c>
      <c r="C18" s="16" t="n">
        <f aca="false">'1.KTHH L1'!C30</f>
        <v>111.97</v>
      </c>
      <c r="D18" s="14" t="n">
        <f aca="false">'1.KTHH L1'!T30</f>
        <v>14.49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Chạy!E33</f>
        <v>1.49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10.79505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'1.KTHH L1'!B31</f>
        <v>D1</v>
      </c>
      <c r="C19" s="16" t="n">
        <f aca="false">'1.KTHH L1'!C31</f>
        <v>126.46</v>
      </c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customFormat="false" ht="15" hidden="false" customHeight="true" outlineLevel="0" collapsed="false">
      <c r="A20" s="53" t="s">
        <v>59</v>
      </c>
      <c r="B20" s="53"/>
      <c r="C20" s="53"/>
      <c r="D20" s="53"/>
      <c r="E20" s="54"/>
      <c r="F20" s="54"/>
      <c r="G20" s="54"/>
      <c r="H20" s="54"/>
      <c r="I20" s="54"/>
      <c r="J20" s="54"/>
      <c r="K20" s="54"/>
      <c r="L20" s="54"/>
      <c r="M20" s="55"/>
      <c r="N20" s="55"/>
      <c r="O20" s="56"/>
      <c r="P20" s="56"/>
      <c r="Q20" s="56"/>
      <c r="R20" s="57" t="n">
        <f aca="false">SUM(R11:R19)</f>
        <v>0</v>
      </c>
      <c r="S20" s="57" t="n">
        <f aca="false">SUM(S11:S19)</f>
        <v>0</v>
      </c>
      <c r="T20" s="57"/>
      <c r="U20" s="58" t="n">
        <f aca="false">SUM(U11:U19)</f>
        <v>0</v>
      </c>
      <c r="V20" s="58" t="n">
        <f aca="false">SUM(V11:V19)</f>
        <v>0</v>
      </c>
      <c r="W20" s="59" t="n">
        <f aca="false">SUM(W11:W19)</f>
        <v>139.55165</v>
      </c>
      <c r="X20" s="58" t="n">
        <f aca="false">SUM(X11:X19)</f>
        <v>0</v>
      </c>
      <c r="Y20" s="58" t="n">
        <f aca="false">SUM(Y11:Y19)</f>
        <v>0</v>
      </c>
      <c r="Z20" s="58" t="n">
        <f aca="false">SUM(Z11:Z19)</f>
        <v>0</v>
      </c>
      <c r="AA20" s="58" t="n">
        <f aca="false">SUM(AA11:AA19)</f>
        <v>0</v>
      </c>
      <c r="AB20" s="58"/>
      <c r="AE20" s="60"/>
      <c r="AF20" s="61"/>
      <c r="AG20" s="61"/>
      <c r="AH20" s="62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1"/>
      <c r="HK20" s="61"/>
      <c r="HL20" s="61"/>
      <c r="HM20" s="61"/>
      <c r="HN20" s="61"/>
      <c r="HO20" s="61"/>
      <c r="HP20" s="61"/>
      <c r="HQ20" s="61"/>
      <c r="HR20" s="61"/>
      <c r="HS20" s="61"/>
    </row>
    <row r="21" customFormat="false" ht="14.25" hidden="false" customHeight="true" outlineLevel="0" collapsed="false">
      <c r="A21" s="63"/>
      <c r="B21" s="63"/>
      <c r="C21" s="63"/>
      <c r="D21" s="63"/>
      <c r="E21" s="61"/>
      <c r="F21" s="61"/>
      <c r="G21" s="61"/>
      <c r="H21" s="61"/>
      <c r="I21" s="61"/>
      <c r="J21" s="61"/>
      <c r="R21" s="64"/>
      <c r="S21" s="64"/>
      <c r="T21" s="64"/>
      <c r="U21" s="60"/>
      <c r="V21" s="60"/>
      <c r="W21" s="60"/>
      <c r="X21" s="60"/>
      <c r="Y21" s="60"/>
      <c r="Z21" s="60"/>
      <c r="AA21" s="60"/>
      <c r="AB21" s="60"/>
      <c r="AH21" s="61"/>
      <c r="AI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</row>
    <row r="22" customFormat="false" ht="15" hidden="false" customHeight="true" outlineLevel="0" collapsed="false">
      <c r="A22" s="20" t="s">
        <v>48</v>
      </c>
      <c r="B22" s="20"/>
      <c r="C22" s="20"/>
      <c r="D22" s="65" t="s">
        <v>60</v>
      </c>
      <c r="E22" s="20" t="s">
        <v>49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H22" s="60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</row>
    <row r="23" customFormat="false" ht="14.25" hidden="false" customHeight="true" outlineLevel="0" collapsed="false">
      <c r="A23" s="66"/>
      <c r="B23" s="66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HT23" s="61"/>
    </row>
    <row r="24" customFormat="false" ht="15" hidden="false" customHeight="true" outlineLevel="0" collapsed="false">
      <c r="A24" s="66"/>
      <c r="B24" s="66"/>
      <c r="C24" s="68"/>
      <c r="D24" s="68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Z24" s="61"/>
      <c r="AA24" s="61"/>
      <c r="AB24" s="61"/>
      <c r="AC24" s="61"/>
      <c r="AD24" s="61"/>
      <c r="AE24" s="61"/>
      <c r="AF24" s="69"/>
      <c r="AG24" s="61"/>
      <c r="AH24" s="61"/>
      <c r="AI24" s="61"/>
      <c r="AJ24" s="61"/>
      <c r="AK24" s="61"/>
      <c r="HT24" s="61"/>
    </row>
    <row r="25" customFormat="false" ht="14.25" hidden="false" customHeight="true" outlineLevel="0" collapsed="false">
      <c r="A25" s="66"/>
      <c r="B25" s="66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HT25" s="61"/>
    </row>
    <row r="26" customFormat="false" ht="14.25" hidden="false" customHeight="true" outlineLevel="0" collapsed="false">
      <c r="A26" s="66"/>
      <c r="B26" s="66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HT26" s="61"/>
    </row>
    <row r="27" customFormat="false" ht="14.25" hidden="false" customHeight="true" outlineLevel="0" collapsed="false">
      <c r="A27" s="66"/>
      <c r="B27" s="66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HT27" s="61"/>
    </row>
    <row r="28" customFormat="false" ht="14.25" hidden="false" customHeight="true" outlineLevel="0" collapsed="false">
      <c r="A28" s="20" t="s">
        <v>50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0" t="s">
        <v>51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61"/>
      <c r="AD28" s="61"/>
      <c r="AE28" s="61"/>
      <c r="AF28" s="61"/>
      <c r="AG28" s="61"/>
      <c r="AH28" s="61"/>
      <c r="AI28" s="61"/>
      <c r="AJ28" s="61"/>
      <c r="AK28" s="61"/>
      <c r="HT28" s="61"/>
    </row>
    <row r="29" customFormat="false" ht="12.75" hidden="false" customHeight="false" outlineLevel="0" collapsed="false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</row>
    <row r="30" customFormat="false" ht="12.75" hidden="false" customHeight="false" outlineLevel="0" collapsed="false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 customFormat="false" ht="12.75" hidden="false" customHeight="false" outlineLevel="0" collapsed="false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 customFormat="false" ht="12.75" hidden="false" customHeight="false" outlineLevel="0" collapsed="false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 customFormat="false" ht="12.75" hidden="false" customHeight="false" outlineLevel="0" collapsed="false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 customFormat="false" ht="12.75" hidden="false" customHeight="false" outlineLevel="0" collapsed="false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 customFormat="false" ht="12.75" hidden="false" customHeight="false" outlineLevel="0" collapsed="false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 customFormat="false" ht="12.75" hidden="false" customHeight="fals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 customFormat="false" ht="12.75" hidden="false" customHeight="fals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 customFormat="false" ht="12.75" hidden="false" customHeight="false" outlineLevel="0" collapsed="false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customFormat="false" ht="12.75" hidden="false" customHeight="false" outlineLevel="0" collapsed="false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 customFormat="false" ht="12.75" hidden="false" customHeight="false" outlineLevel="0" collapsed="false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 customFormat="false" ht="12.75" hidden="false" customHeight="false" outlineLevel="0" collapsed="false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 customFormat="false" ht="12.75" hidden="false" customHeight="false" outlineLevel="0" collapsed="false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 customFormat="false" ht="12.75" hidden="false" customHeight="false" outlineLevel="0" collapsed="false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 customFormat="false" ht="12.75" hidden="false" customHeight="false" outlineLevel="0" collapsed="false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 customFormat="false" ht="12.75" hidden="false" customHeight="false" outlineLevel="0" collapsed="false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J32" activeCellId="0" sqref="J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86"/>
    <col collapsed="false" customWidth="true" hidden="false" outlineLevel="0" max="3" min="3" style="1" width="16.85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05.NĐXB6A/CVXD ngày 26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5</v>
      </c>
    </row>
    <row r="3" customFormat="false" ht="18.75" hidden="false" customHeight="true" outlineLevel="0" collapsed="false">
      <c r="A3" s="8" t="s">
        <v>28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32</v>
      </c>
      <c r="C7" s="8"/>
      <c r="D7" s="8"/>
      <c r="E7" s="8"/>
      <c r="F7" s="8"/>
      <c r="G7" s="8" t="str">
        <f>VLOOKUP(AZ2,'[1]Tuyến XB6A'!$A$2:$B$60,2,0)</f>
        <v xml:space="preserve">Đắp cát nền đường lớp 2 đoạn từ Km0+000,00 - Km0+126,46,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1" customFormat="false" ht="15" hidden="false" customHeight="true" outlineLevel="0" collapsed="false">
      <c r="A21" s="10" t="s">
        <v>35</v>
      </c>
      <c r="B21" s="10" t="s">
        <v>36</v>
      </c>
      <c r="C21" s="10" t="s">
        <v>37</v>
      </c>
      <c r="D21" s="11" t="s">
        <v>38</v>
      </c>
      <c r="E21" s="11"/>
      <c r="F21" s="11"/>
      <c r="G21" s="11"/>
      <c r="H21" s="11"/>
      <c r="I21" s="11"/>
      <c r="J21" s="11" t="s">
        <v>39</v>
      </c>
      <c r="K21" s="11"/>
      <c r="L21" s="11"/>
      <c r="M21" s="11" t="s">
        <v>40</v>
      </c>
      <c r="N21" s="11"/>
      <c r="O21" s="11"/>
      <c r="P21" s="11"/>
      <c r="Q21" s="11"/>
      <c r="R21" s="11"/>
      <c r="S21" s="10" t="s">
        <v>41</v>
      </c>
    </row>
    <row r="22" customFormat="false" ht="30" hidden="false" customHeight="true" outlineLevel="0" collapsed="false">
      <c r="A22" s="10"/>
      <c r="B22" s="10"/>
      <c r="C22" s="10"/>
      <c r="D22" s="12" t="s">
        <v>42</v>
      </c>
      <c r="E22" s="12" t="s">
        <v>43</v>
      </c>
      <c r="F22" s="12" t="s">
        <v>44</v>
      </c>
      <c r="G22" s="12" t="s">
        <v>45</v>
      </c>
      <c r="H22" s="12" t="s">
        <v>46</v>
      </c>
      <c r="I22" s="12" t="s">
        <v>47</v>
      </c>
      <c r="J22" s="12" t="s">
        <v>45</v>
      </c>
      <c r="K22" s="12" t="s">
        <v>46</v>
      </c>
      <c r="L22" s="12" t="s">
        <v>47</v>
      </c>
      <c r="M22" s="12" t="s">
        <v>42</v>
      </c>
      <c r="N22" s="12" t="s">
        <v>43</v>
      </c>
      <c r="O22" s="12" t="s">
        <v>44</v>
      </c>
      <c r="P22" s="12" t="s">
        <v>45</v>
      </c>
      <c r="Q22" s="12" t="s">
        <v>46</v>
      </c>
      <c r="R22" s="12" t="s">
        <v>47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0" t="n">
        <v>19.63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19.63</v>
      </c>
      <c r="D24" s="17" t="n">
        <f aca="false">+Chạy!F8</f>
        <v>-7.37</v>
      </c>
      <c r="E24" s="17" t="n">
        <f aca="false">+D24+F24</f>
        <v>-7.3647</v>
      </c>
      <c r="F24" s="17" t="n">
        <f aca="false">RANDBETWEEN(-105,115)/10000</f>
        <v>0.0053</v>
      </c>
      <c r="G24" s="17" t="n">
        <f aca="false">+Chạy!G8</f>
        <v>-1.07</v>
      </c>
      <c r="H24" s="17" t="n">
        <f aca="false">G24+I24</f>
        <v>-1.052</v>
      </c>
      <c r="I24" s="17" t="n">
        <f aca="false">RANDBETWEEN(-30,90)/1000</f>
        <v>0.018</v>
      </c>
      <c r="J24" s="17" t="n">
        <f aca="false">+Chạy!K8</f>
        <v>-1.07</v>
      </c>
      <c r="K24" s="17" t="n">
        <f aca="false">J24+L24</f>
        <v>-0.995</v>
      </c>
      <c r="L24" s="17" t="n">
        <f aca="false">RANDBETWEEN(-30,90)/1000</f>
        <v>0.075</v>
      </c>
      <c r="M24" s="17" t="n">
        <f aca="false">+Chạy!N8</f>
        <v>7.45</v>
      </c>
      <c r="N24" s="17" t="n">
        <f aca="false">+M24+O24</f>
        <v>7.4492</v>
      </c>
      <c r="O24" s="17" t="n">
        <f aca="false">RANDBETWEEN(-105,115)/10000</f>
        <v>-0.0008</v>
      </c>
      <c r="P24" s="17" t="n">
        <f aca="false">+Chạy!O8</f>
        <v>-1.07</v>
      </c>
      <c r="Q24" s="17" t="n">
        <f aca="false">P24+R24</f>
        <v>-1.092</v>
      </c>
      <c r="R24" s="17" t="n">
        <f aca="false">RANDBETWEEN(-30,90)/1000</f>
        <v>-0.022</v>
      </c>
      <c r="S24" s="18"/>
      <c r="T24" s="0" t="n">
        <v>17.17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36.8</v>
      </c>
      <c r="D25" s="17" t="n">
        <f aca="false">+Chạy!F12</f>
        <v>-7.44</v>
      </c>
      <c r="E25" s="17" t="n">
        <f aca="false">+D25+F25</f>
        <v>-7.4321</v>
      </c>
      <c r="F25" s="17" t="n">
        <f aca="false">RANDBETWEEN(-105,115)/10000</f>
        <v>0.0079</v>
      </c>
      <c r="G25" s="17" t="n">
        <f aca="false">+Chạy!G12</f>
        <v>-1.11</v>
      </c>
      <c r="H25" s="17" t="n">
        <f aca="false">G25+I25</f>
        <v>-1.053</v>
      </c>
      <c r="I25" s="17" t="n">
        <f aca="false">RANDBETWEEN(-30,90)/1000</f>
        <v>0.057</v>
      </c>
      <c r="J25" s="17" t="n">
        <f aca="false">+Chạy!K12</f>
        <v>-1.11</v>
      </c>
      <c r="K25" s="17" t="n">
        <f aca="false">J25+L25</f>
        <v>-1.039</v>
      </c>
      <c r="L25" s="17" t="n">
        <f aca="false">RANDBETWEEN(-30,90)/1000</f>
        <v>0.071</v>
      </c>
      <c r="M25" s="17" t="n">
        <f aca="false">+Chạy!N12</f>
        <v>7.49</v>
      </c>
      <c r="N25" s="17" t="n">
        <f aca="false">+M25+O25</f>
        <v>7.4801</v>
      </c>
      <c r="O25" s="17" t="n">
        <f aca="false">RANDBETWEEN(-105,115)/10000</f>
        <v>-0.0099</v>
      </c>
      <c r="P25" s="17" t="n">
        <f aca="false">+Chạy!O12</f>
        <v>-1.11</v>
      </c>
      <c r="Q25" s="17" t="n">
        <f aca="false">P25+R25</f>
        <v>-1.03</v>
      </c>
      <c r="R25" s="17" t="n">
        <f aca="false">RANDBETWEEN(-30,90)/1000</f>
        <v>0.08</v>
      </c>
      <c r="S25" s="18"/>
      <c r="T25" s="0" t="n">
        <v>17.18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53.98</v>
      </c>
      <c r="D26" s="17" t="n">
        <f aca="false">+Chạy!F16</f>
        <v>-7.68</v>
      </c>
      <c r="E26" s="17" t="n">
        <f aca="false">+D26+F26</f>
        <v>-7.6775</v>
      </c>
      <c r="F26" s="17" t="n">
        <f aca="false">RANDBETWEEN(-105,115)/10000</f>
        <v>0.0025</v>
      </c>
      <c r="G26" s="17" t="n">
        <f aca="false">+Chạy!G16</f>
        <v>-1.16</v>
      </c>
      <c r="H26" s="17" t="n">
        <f aca="false">G26+I26</f>
        <v>-1.085</v>
      </c>
      <c r="I26" s="17" t="n">
        <f aca="false">RANDBETWEEN(-30,90)/1000</f>
        <v>0.075</v>
      </c>
      <c r="J26" s="17" t="n">
        <f aca="false">+Chạy!K16</f>
        <v>-1.16</v>
      </c>
      <c r="K26" s="17" t="n">
        <f aca="false">J26+L26</f>
        <v>-1.089</v>
      </c>
      <c r="L26" s="17" t="n">
        <f aca="false">RANDBETWEEN(-30,90)/1000</f>
        <v>0.071</v>
      </c>
      <c r="M26" s="17" t="n">
        <f aca="false">+Chạy!N16</f>
        <v>7.66</v>
      </c>
      <c r="N26" s="17" t="n">
        <f aca="false">+M26+O26</f>
        <v>7.6527</v>
      </c>
      <c r="O26" s="17" t="n">
        <f aca="false">RANDBETWEEN(-105,115)/10000</f>
        <v>-0.0073</v>
      </c>
      <c r="P26" s="17" t="n">
        <f aca="false">+Chạy!O16</f>
        <v>-1.16</v>
      </c>
      <c r="Q26" s="17" t="n">
        <f aca="false">P26+R26</f>
        <v>-1.092</v>
      </c>
      <c r="R26" s="17" t="n">
        <f aca="false">RANDBETWEEN(-30,90)/1000</f>
        <v>0.068</v>
      </c>
      <c r="S26" s="18"/>
      <c r="T26" s="0" t="n">
        <v>12.97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66.95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0" t="n">
        <v>10.68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77.63</v>
      </c>
      <c r="D28" s="17" t="n">
        <f aca="false">+Chạy!F24</f>
        <v>-5.22</v>
      </c>
      <c r="E28" s="17" t="n">
        <f aca="false">+D28+F28</f>
        <v>-5.2131</v>
      </c>
      <c r="F28" s="17" t="n">
        <f aca="false">RANDBETWEEN(-105,115)/10000</f>
        <v>0.0069</v>
      </c>
      <c r="G28" s="17" t="n">
        <f aca="false">+Chạy!G24</f>
        <v>-1.23</v>
      </c>
      <c r="H28" s="17" t="n">
        <f aca="false">G28+I28</f>
        <v>-1.178</v>
      </c>
      <c r="I28" s="17" t="n">
        <f aca="false">RANDBETWEEN(-30,90)/1000</f>
        <v>0.052</v>
      </c>
      <c r="J28" s="17" t="n">
        <f aca="false">+Chạy!K24</f>
        <v>-1.23</v>
      </c>
      <c r="K28" s="17" t="n">
        <f aca="false">J28+L28</f>
        <v>-1.211</v>
      </c>
      <c r="L28" s="17" t="n">
        <f aca="false">RANDBETWEEN(-30,90)/1000</f>
        <v>0.019</v>
      </c>
      <c r="M28" s="17" t="n">
        <f aca="false">+Chạy!N24</f>
        <v>8.08</v>
      </c>
      <c r="N28" s="17" t="n">
        <f aca="false">+M28+O28</f>
        <v>8.0849</v>
      </c>
      <c r="O28" s="17" t="n">
        <f aca="false">RANDBETWEEN(-105,115)/10000</f>
        <v>0.0049</v>
      </c>
      <c r="P28" s="17" t="n">
        <f aca="false">+Chạy!O24</f>
        <v>-1.23</v>
      </c>
      <c r="Q28" s="17" t="n">
        <f aca="false">P28+R28</f>
        <v>-1.193</v>
      </c>
      <c r="R28" s="17" t="n">
        <f aca="false">RANDBETWEEN(-30,90)/1000</f>
        <v>0.037</v>
      </c>
      <c r="S28" s="18"/>
      <c r="T28" s="0" t="n">
        <v>17.17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94.8</v>
      </c>
      <c r="D29" s="17" t="n">
        <f aca="false">+Chạy!F28</f>
        <v>-8.05</v>
      </c>
      <c r="E29" s="17" t="n">
        <f aca="false">+D29+F29</f>
        <v>-8.0518</v>
      </c>
      <c r="F29" s="17" t="n">
        <f aca="false">RANDBETWEEN(-105,115)/10000</f>
        <v>-0.0018</v>
      </c>
      <c r="G29" s="17" t="n">
        <f aca="false">+Chạy!G28</f>
        <v>-1.28</v>
      </c>
      <c r="H29" s="17" t="n">
        <f aca="false">G29+I29</f>
        <v>-1.208</v>
      </c>
      <c r="I29" s="17" t="n">
        <f aca="false">RANDBETWEEN(-30,90)/1000</f>
        <v>0.072</v>
      </c>
      <c r="J29" s="17" t="n">
        <f aca="false">+Chạy!K28</f>
        <v>-1.28</v>
      </c>
      <c r="K29" s="17" t="n">
        <f aca="false">J29+L29</f>
        <v>-1.231</v>
      </c>
      <c r="L29" s="17" t="n">
        <f aca="false">RANDBETWEEN(-30,90)/1000</f>
        <v>0.049</v>
      </c>
      <c r="M29" s="17" t="n">
        <f aca="false">+Chạy!N28</f>
        <v>7.72</v>
      </c>
      <c r="N29" s="17" t="n">
        <f aca="false">+M29+O29</f>
        <v>7.7253</v>
      </c>
      <c r="O29" s="17" t="n">
        <f aca="false">RANDBETWEEN(-105,115)/10000</f>
        <v>0.0053</v>
      </c>
      <c r="P29" s="17" t="n">
        <f aca="false">+Chạy!O28</f>
        <v>-1.28</v>
      </c>
      <c r="Q29" s="17" t="n">
        <f aca="false">P29+R29</f>
        <v>-1.297</v>
      </c>
      <c r="R29" s="17" t="n">
        <f aca="false">RANDBETWEEN(-30,90)/1000</f>
        <v>-0.017</v>
      </c>
      <c r="S29" s="18"/>
      <c r="T29" s="0" t="n">
        <v>17.17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111.97</v>
      </c>
      <c r="D30" s="17" t="n">
        <f aca="false">+Chạy!F32</f>
        <v>-8.03</v>
      </c>
      <c r="E30" s="17" t="n">
        <f aca="false">+D30+F30</f>
        <v>-8.0247</v>
      </c>
      <c r="F30" s="17" t="n">
        <f aca="false">RANDBETWEEN(-105,115)/10000</f>
        <v>0.0053</v>
      </c>
      <c r="G30" s="17" t="n">
        <f aca="false">+Chạy!G32</f>
        <v>-1.33</v>
      </c>
      <c r="H30" s="17" t="n">
        <f aca="false">G30+I30</f>
        <v>-1.25</v>
      </c>
      <c r="I30" s="17" t="n">
        <f aca="false">RANDBETWEEN(-30,90)/1000</f>
        <v>0.08</v>
      </c>
      <c r="J30" s="17" t="n">
        <f aca="false">+Chạy!K32</f>
        <v>-1.33</v>
      </c>
      <c r="K30" s="17" t="n">
        <f aca="false">J30+L30</f>
        <v>-1.294</v>
      </c>
      <c r="L30" s="17" t="n">
        <f aca="false">RANDBETWEEN(-30,90)/1000</f>
        <v>0.036</v>
      </c>
      <c r="M30" s="17" t="n">
        <f aca="false">+Chạy!N32</f>
        <v>7.55</v>
      </c>
      <c r="N30" s="17" t="n">
        <f aca="false">+M30+O30</f>
        <v>7.554</v>
      </c>
      <c r="O30" s="17" t="n">
        <f aca="false">RANDBETWEEN(-105,115)/10000</f>
        <v>0.004</v>
      </c>
      <c r="P30" s="17" t="n">
        <f aca="false">+Chạy!O32</f>
        <v>-1.33</v>
      </c>
      <c r="Q30" s="17" t="n">
        <f aca="false">P30+R30</f>
        <v>-1.316</v>
      </c>
      <c r="R30" s="17" t="n">
        <f aca="false">RANDBETWEEN(-30,90)/1000</f>
        <v>0.014</v>
      </c>
      <c r="S30" s="18"/>
      <c r="T30" s="0" t="n">
        <v>14.49</v>
      </c>
    </row>
    <row r="31" customFormat="false" ht="15" hidden="false" customHeight="false" outlineLevel="0" collapsed="false">
      <c r="A31" s="14" t="n">
        <v>9</v>
      </c>
      <c r="B31" s="14" t="s">
        <v>25</v>
      </c>
      <c r="C31" s="71" t="n">
        <f aca="false">+C30+T30</f>
        <v>126.46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3" customFormat="false" ht="15" hidden="false" customHeight="false" outlineLevel="0" collapsed="false">
      <c r="C33" s="20" t="s">
        <v>48</v>
      </c>
      <c r="D33" s="20"/>
      <c r="E33" s="20"/>
      <c r="F33" s="20"/>
      <c r="G33" s="20"/>
      <c r="H33" s="20"/>
      <c r="I33" s="20"/>
      <c r="K33" s="21"/>
      <c r="L33" s="21"/>
      <c r="M33" s="21"/>
      <c r="N33" s="21"/>
      <c r="O33" s="20" t="s">
        <v>49</v>
      </c>
      <c r="P33" s="20"/>
      <c r="Q33" s="20"/>
      <c r="R33" s="20"/>
    </row>
    <row r="34" customFormat="false" ht="15" hidden="false" customHeight="false" outlineLevel="0" collapsed="false">
      <c r="E34" s="22"/>
      <c r="F34" s="22"/>
      <c r="G34" s="22"/>
      <c r="H34" s="22"/>
      <c r="K34" s="22"/>
      <c r="L34" s="22"/>
      <c r="M34" s="22"/>
      <c r="N34" s="22"/>
      <c r="O34" s="22"/>
      <c r="P34" s="22"/>
      <c r="Q34" s="22"/>
      <c r="R34" s="22"/>
    </row>
    <row r="35" customFormat="false" ht="15" hidden="false" customHeight="false" outlineLevel="0" collapsed="false">
      <c r="E35" s="22"/>
      <c r="F35" s="22"/>
      <c r="G35" s="22"/>
      <c r="H35" s="22"/>
      <c r="K35" s="22"/>
      <c r="L35" s="22"/>
      <c r="M35" s="22"/>
      <c r="N35" s="22"/>
      <c r="O35" s="22"/>
      <c r="P35" s="22"/>
      <c r="Q35" s="22"/>
      <c r="R35" s="22"/>
    </row>
    <row r="36" customFormat="false" ht="15" hidden="false" customHeight="false" outlineLevel="0" collapsed="false">
      <c r="E36" s="22"/>
      <c r="F36" s="22"/>
      <c r="G36" s="22"/>
      <c r="H36" s="22"/>
      <c r="K36" s="22"/>
      <c r="L36" s="22"/>
      <c r="M36" s="22"/>
      <c r="N36" s="22"/>
      <c r="O36" s="22"/>
      <c r="P36" s="22"/>
      <c r="Q36" s="22"/>
      <c r="R36" s="22"/>
    </row>
    <row r="37" customFormat="false" ht="15" hidden="false" customHeight="false" outlineLevel="0" collapsed="false">
      <c r="E37" s="22"/>
      <c r="F37" s="22"/>
      <c r="G37" s="22"/>
      <c r="H37" s="22"/>
      <c r="K37" s="22"/>
      <c r="L37" s="22"/>
      <c r="M37" s="22"/>
      <c r="N37" s="22"/>
      <c r="O37" s="22"/>
      <c r="P37" s="22"/>
      <c r="Q37" s="22"/>
      <c r="R37" s="22"/>
    </row>
    <row r="38" customFormat="false" ht="15" hidden="false" customHeight="false" outlineLevel="0" collapsed="false">
      <c r="C38" s="20" t="s">
        <v>50</v>
      </c>
      <c r="D38" s="20"/>
      <c r="E38" s="20"/>
      <c r="F38" s="20"/>
      <c r="G38" s="20"/>
      <c r="H38" s="20"/>
      <c r="I38" s="20"/>
      <c r="K38" s="21"/>
      <c r="L38" s="21"/>
      <c r="M38" s="21"/>
      <c r="N38" s="21"/>
      <c r="O38" s="20" t="s">
        <v>51</v>
      </c>
      <c r="P38" s="20"/>
      <c r="Q38" s="20"/>
      <c r="R38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33:I33"/>
    <mergeCell ref="O33:R33"/>
    <mergeCell ref="C38:I38"/>
    <mergeCell ref="O38:R38"/>
  </mergeCells>
  <printOptions headings="false" gridLines="false" gridLinesSet="true" horizontalCentered="true" verticalCentered="false"/>
  <pageMargins left="0.196527777777778" right="0.157638888888889" top="0.511805555555556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16" activeCellId="0" sqref="O1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XB6A'!$A$2:$G$60,7,0)&amp;VLOOKUP(AZ2,'[1]Tuyến XB6A'!$A$2:$G$60,4,0)</f>
        <v xml:space="preserve">Kèm theo BBNT số: 05.NĐXB6A/CVXD ngày 26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5</v>
      </c>
    </row>
    <row r="3" s="30" customFormat="true" ht="37.5" hidden="false" customHeight="true" outlineLevel="0" collapsed="false">
      <c r="A3" s="28" t="s">
        <v>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32</v>
      </c>
      <c r="B7" s="32"/>
      <c r="D7" s="33" t="str">
        <f>VLOOKUP(AZ2,'[1]Tuyến XB6A'!$A$2:$B$60,2,0)</f>
        <v xml:space="preserve">Đắp cát nền đường lớp 2 đoạn từ Km0+000,00 - Km0+126,46,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36</v>
      </c>
      <c r="C9" s="35" t="s">
        <v>37</v>
      </c>
      <c r="D9" s="36" t="s">
        <v>53</v>
      </c>
      <c r="E9" s="37"/>
      <c r="F9" s="37"/>
      <c r="G9" s="36"/>
      <c r="H9" s="37"/>
      <c r="I9" s="37"/>
      <c r="J9" s="37"/>
      <c r="K9" s="37"/>
      <c r="L9" s="37"/>
      <c r="M9" s="38" t="s">
        <v>54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41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55</v>
      </c>
      <c r="O10" s="38" t="s">
        <v>56</v>
      </c>
      <c r="P10" s="38" t="s">
        <v>55</v>
      </c>
      <c r="Q10" s="38" t="s">
        <v>55</v>
      </c>
      <c r="R10" s="38"/>
      <c r="S10" s="38"/>
      <c r="T10" s="38"/>
      <c r="U10" s="38" t="s">
        <v>57</v>
      </c>
      <c r="V10" s="38" t="s">
        <v>57</v>
      </c>
      <c r="W10" s="38" t="s">
        <v>58</v>
      </c>
      <c r="X10" s="38" t="s">
        <v>57</v>
      </c>
      <c r="Y10" s="38" t="s">
        <v>57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'2.KTHH L2'!B23</f>
        <v>D3</v>
      </c>
      <c r="C11" s="16" t="n">
        <f aca="false">'2.KTHH L2'!C23</f>
        <v>0</v>
      </c>
      <c r="D11" s="14" t="n">
        <f aca="false">'2.KTHH L2'!T23</f>
        <v>19.63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/>
      <c r="P11" s="47"/>
      <c r="Q11" s="47"/>
      <c r="R11" s="50"/>
      <c r="S11" s="50"/>
      <c r="T11" s="50"/>
      <c r="U11" s="50"/>
      <c r="V11" s="50"/>
      <c r="W11" s="50" t="n">
        <f aca="false">(O11+O12)*D11/2</f>
        <v>42.69525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'2.KTHH L2'!B24</f>
        <v>1</v>
      </c>
      <c r="C12" s="16" t="n">
        <f aca="false">'2.KTHH L2'!C24</f>
        <v>19.63</v>
      </c>
      <c r="D12" s="14" t="n">
        <f aca="false">'2.KTHH L2'!T24</f>
        <v>17.17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Chạy!E8</f>
        <v>4.35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75.0329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'2.KTHH L2'!B25</f>
        <v>2</v>
      </c>
      <c r="C13" s="16" t="n">
        <f aca="false">'2.KTHH L2'!C25</f>
        <v>36.8</v>
      </c>
      <c r="D13" s="14" t="n">
        <f aca="false">'2.KTHH L2'!T25</f>
        <v>17.18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Chạy!E12</f>
        <v>4.39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76.451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'2.KTHH L2'!B26</f>
        <v>3</v>
      </c>
      <c r="C14" s="16" t="n">
        <f aca="false">'2.KTHH L2'!C26</f>
        <v>53.98</v>
      </c>
      <c r="D14" s="14" t="n">
        <f aca="false">'2.KTHH L2'!T26</f>
        <v>12.97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Chạy!E16</f>
        <v>4.51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29.24735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'2.KTHH L2'!B27</f>
        <v>D2</v>
      </c>
      <c r="C15" s="16" t="n">
        <f aca="false">'2.KTHH L2'!C27</f>
        <v>66.95</v>
      </c>
      <c r="D15" s="14" t="n">
        <f aca="false">'2.KTHH L2'!T27</f>
        <v>10.68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/>
      <c r="P15" s="47"/>
      <c r="Q15" s="47"/>
      <c r="R15" s="50"/>
      <c r="S15" s="50"/>
      <c r="T15" s="50"/>
      <c r="U15" s="50"/>
      <c r="V15" s="50"/>
      <c r="W15" s="50" t="n">
        <f aca="false">(O15+O16)*D15/2</f>
        <v>20.826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'2.KTHH L2'!B28</f>
        <v>4</v>
      </c>
      <c r="C16" s="16" t="n">
        <f aca="false">'2.KTHH L2'!C28</f>
        <v>77.63</v>
      </c>
      <c r="D16" s="14" t="n">
        <f aca="false">'2.KTHH L2'!T28</f>
        <v>17.17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Chạy!E24</f>
        <v>3.9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73.3159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'2.KTHH L2'!B29</f>
        <v>5</v>
      </c>
      <c r="C17" s="16" t="n">
        <f aca="false">'2.KTHH L2'!C29</f>
        <v>94.8</v>
      </c>
      <c r="D17" s="14" t="n">
        <f aca="false">'2.KTHH L2'!T29</f>
        <v>17.17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Chạy!E28</f>
        <v>4.64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79.1537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'2.KTHH L2'!B30</f>
        <v>6</v>
      </c>
      <c r="C18" s="16" t="n">
        <f aca="false">'2.KTHH L2'!C30</f>
        <v>111.97</v>
      </c>
      <c r="D18" s="14" t="n">
        <f aca="false">'2.KTHH L2'!T30</f>
        <v>14.49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Chạy!E32</f>
        <v>4.58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33.1821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'2.KTHH L2'!B31</f>
        <v>D1</v>
      </c>
      <c r="C19" s="16" t="n">
        <f aca="false">'2.KTHH L2'!C31</f>
        <v>126.46</v>
      </c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customFormat="false" ht="14.25" hidden="false" customHeight="true" outlineLevel="0" collapsed="false">
      <c r="A20" s="35" t="s">
        <v>59</v>
      </c>
      <c r="B20" s="35"/>
      <c r="C20" s="35"/>
      <c r="D20" s="35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7" t="n">
        <f aca="false">SUM(R11:R19)</f>
        <v>0</v>
      </c>
      <c r="S20" s="57" t="n">
        <f aca="false">SUM(S11:S19)</f>
        <v>0</v>
      </c>
      <c r="T20" s="57"/>
      <c r="U20" s="58" t="n">
        <f aca="false">SUM(U11:U19)</f>
        <v>0</v>
      </c>
      <c r="V20" s="58" t="n">
        <f aca="false">SUM(V11:V19)</f>
        <v>0</v>
      </c>
      <c r="W20" s="59" t="n">
        <f aca="false">SUM(W11:W19)</f>
        <v>429.9042</v>
      </c>
      <c r="X20" s="58" t="n">
        <f aca="false">SUM(X11:X19)</f>
        <v>0</v>
      </c>
      <c r="Y20" s="58" t="n">
        <f aca="false">SUM(Y11:Y19)</f>
        <v>0</v>
      </c>
      <c r="Z20" s="58" t="n">
        <f aca="false">SUM(Z11:Z19)</f>
        <v>0</v>
      </c>
      <c r="AA20" s="58" t="n">
        <f aca="false">SUM(AA11:AA19)</f>
        <v>0</v>
      </c>
      <c r="AB20" s="58"/>
      <c r="AE20" s="60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1"/>
      <c r="HK20" s="61"/>
      <c r="HL20" s="61"/>
      <c r="HM20" s="61"/>
      <c r="HN20" s="61"/>
      <c r="HO20" s="61"/>
      <c r="HP20" s="61"/>
      <c r="HQ20" s="61"/>
      <c r="HR20" s="61"/>
      <c r="HS20" s="61"/>
    </row>
    <row r="21" customFormat="false" ht="14.25" hidden="false" customHeight="true" outlineLevel="0" collapsed="false">
      <c r="A21" s="63"/>
      <c r="B21" s="63"/>
      <c r="C21" s="63"/>
      <c r="D21" s="63"/>
      <c r="E21" s="61"/>
      <c r="F21" s="61"/>
      <c r="G21" s="61"/>
      <c r="H21" s="61"/>
      <c r="I21" s="61"/>
      <c r="J21" s="61"/>
      <c r="R21" s="64"/>
      <c r="S21" s="64"/>
      <c r="T21" s="64"/>
      <c r="U21" s="60"/>
      <c r="V21" s="60"/>
      <c r="W21" s="60"/>
      <c r="X21" s="60"/>
      <c r="Y21" s="60"/>
      <c r="Z21" s="60"/>
      <c r="AA21" s="60"/>
      <c r="AB21" s="60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</row>
    <row r="22" customFormat="false" ht="15" hidden="false" customHeight="true" outlineLevel="0" collapsed="false">
      <c r="A22" s="20" t="s">
        <v>48</v>
      </c>
      <c r="B22" s="20"/>
      <c r="C22" s="20"/>
      <c r="D22" s="65" t="s">
        <v>60</v>
      </c>
      <c r="E22" s="20" t="s">
        <v>49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</row>
    <row r="23" customFormat="false" ht="14.25" hidden="false" customHeight="true" outlineLevel="0" collapsed="false">
      <c r="A23" s="66"/>
      <c r="B23" s="66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HT23" s="61"/>
    </row>
    <row r="24" customFormat="false" ht="15" hidden="false" customHeight="true" outlineLevel="0" collapsed="false">
      <c r="A24" s="66"/>
      <c r="B24" s="66"/>
      <c r="C24" s="68"/>
      <c r="D24" s="68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Z24" s="61"/>
      <c r="AA24" s="61"/>
      <c r="AB24" s="61"/>
      <c r="AC24" s="61"/>
      <c r="AD24" s="61"/>
      <c r="AE24" s="61"/>
      <c r="AF24" s="69"/>
      <c r="AG24" s="61"/>
      <c r="AH24" s="61"/>
      <c r="AI24" s="61"/>
      <c r="AJ24" s="61"/>
      <c r="AK24" s="61"/>
      <c r="HT24" s="61"/>
    </row>
    <row r="25" customFormat="false" ht="14.25" hidden="false" customHeight="true" outlineLevel="0" collapsed="false">
      <c r="A25" s="66"/>
      <c r="B25" s="66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HT25" s="61"/>
    </row>
    <row r="26" customFormat="false" ht="14.25" hidden="false" customHeight="true" outlineLevel="0" collapsed="false">
      <c r="A26" s="66"/>
      <c r="B26" s="66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HT26" s="61"/>
    </row>
    <row r="27" customFormat="false" ht="14.25" hidden="false" customHeight="true" outlineLevel="0" collapsed="false">
      <c r="A27" s="66"/>
      <c r="B27" s="66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HT27" s="61"/>
    </row>
    <row r="28" customFormat="false" ht="14.25" hidden="false" customHeight="true" outlineLevel="0" collapsed="false">
      <c r="A28" s="20" t="s">
        <v>50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0" t="s">
        <v>51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61"/>
      <c r="AD28" s="61"/>
      <c r="AE28" s="61"/>
      <c r="AF28" s="61"/>
      <c r="AG28" s="61"/>
      <c r="AH28" s="61"/>
      <c r="AI28" s="61"/>
      <c r="AJ28" s="61"/>
      <c r="AK28" s="61"/>
      <c r="HT28" s="61"/>
    </row>
    <row r="29" customFormat="false" ht="16.5" hidden="false" customHeight="true" outlineLevel="0" collapsed="false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0"/>
    </row>
    <row r="30" customFormat="false" ht="16.5" hidden="false" customHeight="true" outlineLevel="0" collapsed="false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0"/>
    </row>
    <row r="31" customFormat="false" ht="16.5" hidden="false" customHeight="true" outlineLevel="0" collapsed="false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0"/>
    </row>
    <row r="32" customFormat="false" ht="16.5" hidden="false" customHeight="true" outlineLevel="0" collapsed="false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0"/>
    </row>
    <row r="33" customFormat="false" ht="16.5" hidden="false" customHeight="true" outlineLevel="0" collapsed="false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0"/>
    </row>
    <row r="34" customFormat="false" ht="16.5" hidden="false" customHeight="true" outlineLevel="0" collapsed="false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0"/>
    </row>
    <row r="35" customFormat="false" ht="16.5" hidden="false" customHeight="true" outlineLevel="0" collapsed="false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0"/>
    </row>
    <row r="36" customFormat="false" ht="16.5" hidden="false" customHeight="true" outlineLevel="0" collapsed="false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0"/>
    </row>
    <row r="37" customFormat="false" ht="16.5" hidden="false" customHeight="true" outlineLevel="0" collapsed="false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0"/>
    </row>
    <row r="38" customFormat="false" ht="16.5" hidden="false" customHeight="true" outlineLevel="0" collapsed="false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0"/>
    </row>
    <row r="39" customFormat="false" ht="16.5" hidden="false" customHeight="true" outlineLevel="0" collapsed="false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0"/>
    </row>
    <row r="40" customFormat="false" ht="16.5" hidden="false" customHeight="true" outlineLevel="0" collapsed="false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0"/>
    </row>
    <row r="41" customFormat="false" ht="16.5" hidden="false" customHeight="true" outlineLevel="0" collapsed="false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0"/>
    </row>
    <row r="42" customFormat="false" ht="16.5" hidden="false" customHeight="true" outlineLevel="0" collapsed="false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0"/>
    </row>
    <row r="43" customFormat="false" ht="16.5" hidden="false" customHeight="true" outlineLevel="0" collapsed="false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0"/>
    </row>
    <row r="44" customFormat="false" ht="16.5" hidden="false" customHeight="true" outlineLevel="0" collapsed="false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0"/>
    </row>
    <row r="45" customFormat="false" ht="16.5" hidden="false" customHeight="true" outlineLevel="0" collapsed="false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0"/>
    </row>
    <row r="46" customFormat="false" ht="16.5" hidden="false" customHeight="true" outlineLevel="0" collapsed="false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0"/>
    </row>
    <row r="47" customFormat="false" ht="16.5" hidden="false" customHeight="true" outlineLevel="0" collapsed="false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0"/>
    </row>
    <row r="48" customFormat="false" ht="16.5" hidden="false" customHeight="true" outlineLevel="0" collapsed="false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0"/>
    </row>
    <row r="49" customFormat="false" ht="16.5" hidden="false" customHeight="true" outlineLevel="0" collapsed="false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0"/>
    </row>
    <row r="50" customFormat="false" ht="16.5" hidden="false" customHeight="true" outlineLevel="0" collapsed="false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0"/>
    </row>
    <row r="51" customFormat="false" ht="16.5" hidden="false" customHeight="true" outlineLevel="0" collapsed="false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0"/>
    </row>
    <row r="52" customFormat="false" ht="16.5" hidden="false" customHeight="true" outlineLevel="0" collapsed="false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0"/>
    </row>
    <row r="53" customFormat="false" ht="16.5" hidden="false" customHeight="true" outlineLevel="0" collapsed="false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0"/>
    </row>
    <row r="54" customFormat="false" ht="16.5" hidden="false" customHeight="true" outlineLevel="0" collapsed="false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0"/>
    </row>
    <row r="55" customFormat="false" ht="16.5" hidden="false" customHeight="true" outlineLevel="0" collapsed="false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0"/>
    </row>
    <row r="56" customFormat="false" ht="16.5" hidden="false" customHeight="true" outlineLevel="0" collapsed="false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0"/>
    </row>
    <row r="57" customFormat="false" ht="16.5" hidden="false" customHeight="true" outlineLevel="0" collapsed="false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0"/>
    </row>
    <row r="58" customFormat="false" ht="16.5" hidden="false" customHeight="true" outlineLevel="0" collapsed="false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0"/>
    </row>
    <row r="59" customFormat="false" ht="16.5" hidden="false" customHeight="true" outlineLevel="0" collapsed="false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0"/>
    </row>
    <row r="60" customFormat="false" ht="16.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0"/>
    </row>
    <row r="61" customFormat="false" ht="16.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0"/>
    </row>
    <row r="62" customFormat="false" ht="16.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0"/>
    </row>
    <row r="63" customFormat="false" ht="16.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0"/>
    </row>
    <row r="64" customFormat="false" ht="16.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0"/>
    </row>
    <row r="65" customFormat="false" ht="16.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0"/>
    </row>
    <row r="66" customFormat="false" ht="16.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0"/>
    </row>
    <row r="67" customFormat="false" ht="16.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0"/>
    </row>
    <row r="68" customFormat="false" ht="16.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0"/>
    </row>
    <row r="69" customFormat="false" ht="16.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0"/>
    </row>
    <row r="70" customFormat="false" ht="16.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</row>
    <row r="71" customFormat="false" ht="16.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0"/>
    </row>
    <row r="72" customFormat="false" ht="16.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0"/>
    </row>
    <row r="73" customFormat="false" ht="16.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0"/>
    </row>
    <row r="74" customFormat="false" ht="16.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0"/>
    </row>
    <row r="75" customFormat="false" ht="16.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0"/>
    </row>
    <row r="76" customFormat="false" ht="16.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0"/>
    </row>
    <row r="77" customFormat="false" ht="16.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0"/>
    </row>
    <row r="78" customFormat="false" ht="16.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0"/>
    </row>
    <row r="79" customFormat="false" ht="16.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0"/>
    </row>
    <row r="80" customFormat="false" ht="16.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0"/>
    </row>
    <row r="81" customFormat="false" ht="16.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7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I32" activeCellId="0" sqref="I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57"/>
    <col collapsed="false" customWidth="true" hidden="false" outlineLevel="0" max="3" min="3" style="1" width="15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7.15"/>
  </cols>
  <sheetData>
    <row r="1" customFormat="false" ht="20.2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06.NĐXB6A/CVXD ngày 27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7"/>
      <c r="V2" s="7"/>
      <c r="W2" s="7"/>
      <c r="AZ2">
        <v>6</v>
      </c>
    </row>
    <row r="3" customFormat="false" ht="18.75" hidden="false" customHeight="true" outlineLevel="0" collapsed="false">
      <c r="A3" s="8" t="s">
        <v>28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32</v>
      </c>
      <c r="C7" s="8"/>
      <c r="D7" s="8"/>
      <c r="E7" s="8"/>
      <c r="F7" s="8"/>
      <c r="G7" s="8" t="str">
        <f>VLOOKUP(AZ2,'[1]Tuyến XB6A'!$A$2:$B$60,2,0)</f>
        <v xml:space="preserve">Đắp cát nền đường lớp 3 đoạn từ Km0+000,00 - Km0+126,46,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15" hidden="false" customHeight="true" outlineLevel="0" collapsed="false">
      <c r="A20" s="10" t="s">
        <v>35</v>
      </c>
      <c r="B20" s="10" t="s">
        <v>36</v>
      </c>
      <c r="C20" s="10" t="s">
        <v>37</v>
      </c>
      <c r="D20" s="11" t="s">
        <v>38</v>
      </c>
      <c r="E20" s="11"/>
      <c r="F20" s="11"/>
      <c r="G20" s="11"/>
      <c r="H20" s="11"/>
      <c r="I20" s="11"/>
      <c r="J20" s="11" t="s">
        <v>39</v>
      </c>
      <c r="K20" s="11"/>
      <c r="L20" s="11"/>
      <c r="M20" s="11" t="s">
        <v>40</v>
      </c>
      <c r="N20" s="11"/>
      <c r="O20" s="11"/>
      <c r="P20" s="11"/>
      <c r="Q20" s="11"/>
      <c r="R20" s="11"/>
      <c r="S20" s="10" t="s">
        <v>41</v>
      </c>
    </row>
    <row r="21" customFormat="false" ht="30" hidden="false" customHeight="true" outlineLevel="0" collapsed="false">
      <c r="A21" s="10"/>
      <c r="B21" s="10"/>
      <c r="C21" s="10"/>
      <c r="D21" s="12" t="s">
        <v>42</v>
      </c>
      <c r="E21" s="12" t="s">
        <v>43</v>
      </c>
      <c r="F21" s="12" t="s">
        <v>44</v>
      </c>
      <c r="G21" s="12" t="s">
        <v>45</v>
      </c>
      <c r="H21" s="12" t="s">
        <v>46</v>
      </c>
      <c r="I21" s="12" t="s">
        <v>47</v>
      </c>
      <c r="J21" s="12" t="s">
        <v>45</v>
      </c>
      <c r="K21" s="12" t="s">
        <v>46</v>
      </c>
      <c r="L21" s="12" t="s">
        <v>47</v>
      </c>
      <c r="M21" s="12" t="s">
        <v>42</v>
      </c>
      <c r="N21" s="12" t="s">
        <v>43</v>
      </c>
      <c r="O21" s="12" t="s">
        <v>44</v>
      </c>
      <c r="P21" s="12" t="s">
        <v>45</v>
      </c>
      <c r="Q21" s="12" t="s">
        <v>46</v>
      </c>
      <c r="R21" s="12" t="s">
        <v>47</v>
      </c>
      <c r="S21" s="10"/>
      <c r="T21" s="13"/>
    </row>
    <row r="22" customFormat="false" ht="15" hidden="false" customHeight="false" outlineLevel="0" collapsed="false">
      <c r="A22" s="14" t="n">
        <v>1</v>
      </c>
      <c r="B22" s="14" t="s">
        <v>17</v>
      </c>
      <c r="C22" s="71" t="n"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/>
      <c r="T22" s="0" t="n">
        <v>19.63</v>
      </c>
    </row>
    <row r="23" customFormat="false" ht="15" hidden="false" customHeight="false" outlineLevel="0" collapsed="false">
      <c r="A23" s="14" t="n">
        <v>2</v>
      </c>
      <c r="B23" s="14" t="s">
        <v>18</v>
      </c>
      <c r="C23" s="71" t="n">
        <f aca="false">+C22+T22</f>
        <v>19.63</v>
      </c>
      <c r="D23" s="17" t="n">
        <f aca="false">+Chạy!F7</f>
        <v>-7.67</v>
      </c>
      <c r="E23" s="17" t="n">
        <f aca="false">+D23+F23</f>
        <v>-7.6715</v>
      </c>
      <c r="F23" s="17" t="n">
        <f aca="false">RANDBETWEEN(-105,115)/10000</f>
        <v>-0.0015</v>
      </c>
      <c r="G23" s="17" t="n">
        <f aca="false">+Chạy!G7</f>
        <v>-0.77</v>
      </c>
      <c r="H23" s="17" t="n">
        <f aca="false">G23+I23</f>
        <v>-0.772</v>
      </c>
      <c r="I23" s="17" t="n">
        <f aca="false">RANDBETWEEN(-30,90)/1000</f>
        <v>-0.002</v>
      </c>
      <c r="J23" s="17" t="n">
        <f aca="false">+Chạy!K7</f>
        <v>-0.77</v>
      </c>
      <c r="K23" s="17" t="n">
        <f aca="false">J23+L23</f>
        <v>-0.688</v>
      </c>
      <c r="L23" s="17" t="n">
        <f aca="false">RANDBETWEEN(-30,90)/1000</f>
        <v>0.082</v>
      </c>
      <c r="M23" s="17" t="n">
        <f aca="false">+Chạy!N7</f>
        <v>7.75</v>
      </c>
      <c r="N23" s="17" t="n">
        <f aca="false">+M23+O23</f>
        <v>7.7401</v>
      </c>
      <c r="O23" s="17" t="n">
        <f aca="false">RANDBETWEEN(-105,115)/10000</f>
        <v>-0.0099</v>
      </c>
      <c r="P23" s="17" t="n">
        <f aca="false">+Chạy!O7</f>
        <v>-0.77</v>
      </c>
      <c r="Q23" s="17" t="n">
        <f aca="false">P23+R23</f>
        <v>-0.776</v>
      </c>
      <c r="R23" s="17" t="n">
        <f aca="false">RANDBETWEEN(-30,90)/1000</f>
        <v>-0.006</v>
      </c>
      <c r="S23" s="18"/>
      <c r="T23" s="0" t="n">
        <v>17.17</v>
      </c>
    </row>
    <row r="24" customFormat="false" ht="15" hidden="false" customHeight="false" outlineLevel="0" collapsed="false">
      <c r="A24" s="14" t="n">
        <v>3</v>
      </c>
      <c r="B24" s="14" t="s">
        <v>19</v>
      </c>
      <c r="C24" s="71" t="n">
        <f aca="false">+C23+T23</f>
        <v>36.8</v>
      </c>
      <c r="D24" s="17" t="n">
        <f aca="false">+Chạy!F11</f>
        <v>-7.74</v>
      </c>
      <c r="E24" s="17" t="n">
        <f aca="false">+D24+F24</f>
        <v>-7.7306</v>
      </c>
      <c r="F24" s="17" t="n">
        <f aca="false">RANDBETWEEN(-105,115)/10000</f>
        <v>0.0094</v>
      </c>
      <c r="G24" s="17" t="n">
        <f aca="false">+Chạy!G11</f>
        <v>-0.81</v>
      </c>
      <c r="H24" s="17" t="n">
        <f aca="false">G24+I24</f>
        <v>-0.74</v>
      </c>
      <c r="I24" s="17" t="n">
        <f aca="false">RANDBETWEEN(-30,90)/1000</f>
        <v>0.07</v>
      </c>
      <c r="J24" s="17" t="n">
        <f aca="false">+Chạy!K11</f>
        <v>-0.81</v>
      </c>
      <c r="K24" s="17" t="n">
        <f aca="false">J24+L24</f>
        <v>-0.826</v>
      </c>
      <c r="L24" s="17" t="n">
        <f aca="false">RANDBETWEEN(-30,90)/1000</f>
        <v>-0.016</v>
      </c>
      <c r="M24" s="17" t="n">
        <f aca="false">+Chạy!N11</f>
        <v>7.79</v>
      </c>
      <c r="N24" s="17" t="n">
        <f aca="false">+M24+O24</f>
        <v>7.7939</v>
      </c>
      <c r="O24" s="17" t="n">
        <f aca="false">RANDBETWEEN(-105,115)/10000</f>
        <v>0.0039</v>
      </c>
      <c r="P24" s="17" t="n">
        <f aca="false">+Chạy!O11</f>
        <v>-0.81</v>
      </c>
      <c r="Q24" s="17" t="n">
        <f aca="false">P24+R24</f>
        <v>-0.787</v>
      </c>
      <c r="R24" s="17" t="n">
        <f aca="false">RANDBETWEEN(-30,90)/1000</f>
        <v>0.023</v>
      </c>
      <c r="S24" s="18"/>
      <c r="T24" s="0" t="n">
        <v>17.18</v>
      </c>
    </row>
    <row r="25" customFormat="false" ht="15" hidden="false" customHeight="false" outlineLevel="0" collapsed="false">
      <c r="A25" s="14" t="n">
        <v>4</v>
      </c>
      <c r="B25" s="14" t="s">
        <v>20</v>
      </c>
      <c r="C25" s="71" t="n">
        <f aca="false">+C24+T24</f>
        <v>53.98</v>
      </c>
      <c r="D25" s="17" t="n">
        <f aca="false">+Chạy!F15</f>
        <v>-7.98</v>
      </c>
      <c r="E25" s="17" t="n">
        <f aca="false">+D25+F25</f>
        <v>-7.9897</v>
      </c>
      <c r="F25" s="17" t="n">
        <f aca="false">RANDBETWEEN(-105,115)/10000</f>
        <v>-0.0097</v>
      </c>
      <c r="G25" s="17" t="n">
        <f aca="false">+Chạy!G15</f>
        <v>-0.86</v>
      </c>
      <c r="H25" s="17" t="n">
        <f aca="false">G25+I25</f>
        <v>-0.773</v>
      </c>
      <c r="I25" s="17" t="n">
        <f aca="false">RANDBETWEEN(-30,90)/1000</f>
        <v>0.087</v>
      </c>
      <c r="J25" s="17" t="n">
        <f aca="false">+Chạy!K15</f>
        <v>-0.86</v>
      </c>
      <c r="K25" s="17" t="n">
        <f aca="false">J25+L25</f>
        <v>-0.873</v>
      </c>
      <c r="L25" s="17" t="n">
        <f aca="false">RANDBETWEEN(-30,90)/1000</f>
        <v>-0.013</v>
      </c>
      <c r="M25" s="17" t="n">
        <f aca="false">+Chạy!N15</f>
        <v>7.96</v>
      </c>
      <c r="N25" s="17" t="n">
        <f aca="false">+M25+O25</f>
        <v>7.9662</v>
      </c>
      <c r="O25" s="17" t="n">
        <f aca="false">RANDBETWEEN(-105,115)/10000</f>
        <v>0.0062</v>
      </c>
      <c r="P25" s="17" t="n">
        <f aca="false">+Chạy!O15</f>
        <v>-0.86</v>
      </c>
      <c r="Q25" s="17" t="n">
        <f aca="false">P25+R25</f>
        <v>-0.86</v>
      </c>
      <c r="R25" s="17" t="n">
        <f aca="false">RANDBETWEEN(-30,90)/1000</f>
        <v>0</v>
      </c>
      <c r="S25" s="18"/>
      <c r="T25" s="0" t="n">
        <v>12.97</v>
      </c>
    </row>
    <row r="26" customFormat="false" ht="15" hidden="false" customHeight="false" outlineLevel="0" collapsed="false">
      <c r="A26" s="14" t="n">
        <v>5</v>
      </c>
      <c r="B26" s="14" t="s">
        <v>21</v>
      </c>
      <c r="C26" s="71" t="n">
        <f aca="false">+C25+T25</f>
        <v>66.95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0" t="n">
        <v>10.68</v>
      </c>
    </row>
    <row r="27" customFormat="false" ht="15" hidden="false" customHeight="false" outlineLevel="0" collapsed="false">
      <c r="A27" s="14" t="n">
        <v>6</v>
      </c>
      <c r="B27" s="14" t="s">
        <v>22</v>
      </c>
      <c r="C27" s="71" t="n">
        <f aca="false">+C26+T26</f>
        <v>77.63</v>
      </c>
      <c r="D27" s="17" t="n">
        <f aca="false">+Chạy!F23</f>
        <v>-5.52</v>
      </c>
      <c r="E27" s="17" t="n">
        <f aca="false">+D27+F27</f>
        <v>-5.5262</v>
      </c>
      <c r="F27" s="17" t="n">
        <f aca="false">RANDBETWEEN(-105,115)/10000</f>
        <v>-0.0062</v>
      </c>
      <c r="G27" s="17" t="n">
        <f aca="false">+Chạy!G23</f>
        <v>-0.93</v>
      </c>
      <c r="H27" s="17" t="n">
        <f aca="false">G27+I27</f>
        <v>-0.868</v>
      </c>
      <c r="I27" s="17" t="n">
        <f aca="false">RANDBETWEEN(-30,90)/1000</f>
        <v>0.062</v>
      </c>
      <c r="J27" s="17" t="n">
        <f aca="false">+Chạy!K23</f>
        <v>-0.93</v>
      </c>
      <c r="K27" s="17" t="n">
        <f aca="false">J27+L27</f>
        <v>-0.868</v>
      </c>
      <c r="L27" s="17" t="n">
        <f aca="false">RANDBETWEEN(-30,90)/1000</f>
        <v>0.062</v>
      </c>
      <c r="M27" s="17" t="n">
        <f aca="false">+Chạy!N23</f>
        <v>8.38</v>
      </c>
      <c r="N27" s="17" t="n">
        <f aca="false">+M27+O27</f>
        <v>8.3745</v>
      </c>
      <c r="O27" s="17" t="n">
        <f aca="false">RANDBETWEEN(-105,115)/10000</f>
        <v>-0.0055</v>
      </c>
      <c r="P27" s="17" t="n">
        <f aca="false">+Chạy!O23</f>
        <v>-0.93</v>
      </c>
      <c r="Q27" s="17" t="n">
        <f aca="false">P27+R27</f>
        <v>-0.931</v>
      </c>
      <c r="R27" s="17" t="n">
        <f aca="false">RANDBETWEEN(-30,90)/1000</f>
        <v>-0.001</v>
      </c>
      <c r="S27" s="18"/>
      <c r="T27" s="0" t="n">
        <v>17.17</v>
      </c>
    </row>
    <row r="28" customFormat="false" ht="15" hidden="false" customHeight="false" outlineLevel="0" collapsed="false">
      <c r="A28" s="14" t="n">
        <v>7</v>
      </c>
      <c r="B28" s="14" t="s">
        <v>23</v>
      </c>
      <c r="C28" s="71" t="n">
        <f aca="false">+C27+T27</f>
        <v>94.8</v>
      </c>
      <c r="D28" s="17" t="n">
        <f aca="false">+Chạy!F27</f>
        <v>-8.35</v>
      </c>
      <c r="E28" s="17" t="n">
        <f aca="false">+D28+F28</f>
        <v>-8.3537</v>
      </c>
      <c r="F28" s="17" t="n">
        <f aca="false">RANDBETWEEN(-105,115)/10000</f>
        <v>-0.0037</v>
      </c>
      <c r="G28" s="17" t="n">
        <f aca="false">+Chạy!G27</f>
        <v>-0.98</v>
      </c>
      <c r="H28" s="17" t="n">
        <f aca="false">G28+I28</f>
        <v>-0.967</v>
      </c>
      <c r="I28" s="17" t="n">
        <f aca="false">RANDBETWEEN(-30,90)/1000</f>
        <v>0.013</v>
      </c>
      <c r="J28" s="17" t="n">
        <f aca="false">+Chạy!K27</f>
        <v>-0.98</v>
      </c>
      <c r="K28" s="17" t="n">
        <f aca="false">J28+L28</f>
        <v>-0.937</v>
      </c>
      <c r="L28" s="17" t="n">
        <f aca="false">RANDBETWEEN(-30,90)/1000</f>
        <v>0.043</v>
      </c>
      <c r="M28" s="17" t="n">
        <f aca="false">+Chạy!N27</f>
        <v>8.02</v>
      </c>
      <c r="N28" s="17" t="n">
        <f aca="false">+M28+O28</f>
        <v>8.0164</v>
      </c>
      <c r="O28" s="17" t="n">
        <f aca="false">RANDBETWEEN(-105,115)/10000</f>
        <v>-0.0036</v>
      </c>
      <c r="P28" s="17" t="n">
        <f aca="false">+Chạy!O27</f>
        <v>-0.98</v>
      </c>
      <c r="Q28" s="17" t="n">
        <f aca="false">P28+R28</f>
        <v>-0.911</v>
      </c>
      <c r="R28" s="17" t="n">
        <f aca="false">RANDBETWEEN(-30,90)/1000</f>
        <v>0.069</v>
      </c>
      <c r="S28" s="18"/>
      <c r="T28" s="0" t="n">
        <v>17.17</v>
      </c>
    </row>
    <row r="29" customFormat="false" ht="15" hidden="false" customHeight="false" outlineLevel="0" collapsed="false">
      <c r="A29" s="14" t="n">
        <v>8</v>
      </c>
      <c r="B29" s="14" t="s">
        <v>24</v>
      </c>
      <c r="C29" s="71" t="n">
        <f aca="false">+C28+T28</f>
        <v>111.97</v>
      </c>
      <c r="D29" s="17" t="n">
        <f aca="false">+Chạy!F31</f>
        <v>-8.33</v>
      </c>
      <c r="E29" s="17" t="n">
        <f aca="false">+D29+F29</f>
        <v>-8.3198</v>
      </c>
      <c r="F29" s="17" t="n">
        <f aca="false">RANDBETWEEN(-105,115)/10000</f>
        <v>0.0102</v>
      </c>
      <c r="G29" s="17" t="n">
        <f aca="false">+Chạy!G31</f>
        <v>-1.03</v>
      </c>
      <c r="H29" s="17" t="n">
        <f aca="false">G29+I29</f>
        <v>-0.993</v>
      </c>
      <c r="I29" s="17" t="n">
        <f aca="false">RANDBETWEEN(-30,90)/1000</f>
        <v>0.037</v>
      </c>
      <c r="J29" s="17" t="n">
        <f aca="false">+Chạy!K31</f>
        <v>-1.03</v>
      </c>
      <c r="K29" s="17" t="n">
        <f aca="false">J29+L29</f>
        <v>-0.954</v>
      </c>
      <c r="L29" s="17" t="n">
        <f aca="false">RANDBETWEEN(-30,90)/1000</f>
        <v>0.076</v>
      </c>
      <c r="M29" s="17" t="n">
        <f aca="false">+Chạy!N31</f>
        <v>7.85</v>
      </c>
      <c r="N29" s="17" t="n">
        <f aca="false">+M29+O29</f>
        <v>7.8434</v>
      </c>
      <c r="O29" s="17" t="n">
        <f aca="false">RANDBETWEEN(-105,115)/10000</f>
        <v>-0.0066</v>
      </c>
      <c r="P29" s="17" t="n">
        <f aca="false">+Chạy!O31</f>
        <v>-1.03</v>
      </c>
      <c r="Q29" s="17" t="n">
        <f aca="false">P29+R29</f>
        <v>-0.956</v>
      </c>
      <c r="R29" s="17" t="n">
        <f aca="false">RANDBETWEEN(-30,90)/1000</f>
        <v>0.074</v>
      </c>
      <c r="S29" s="18"/>
      <c r="T29" s="0" t="n">
        <v>14.49</v>
      </c>
    </row>
    <row r="30" customFormat="false" ht="15" hidden="false" customHeight="false" outlineLevel="0" collapsed="false">
      <c r="A30" s="14" t="n">
        <v>9</v>
      </c>
      <c r="B30" s="14" t="s">
        <v>25</v>
      </c>
      <c r="C30" s="71" t="n">
        <f aca="false">+C29+T29</f>
        <v>126.46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2" customFormat="false" ht="15" hidden="false" customHeight="false" outlineLevel="0" collapsed="false">
      <c r="C32" s="20" t="s">
        <v>48</v>
      </c>
      <c r="D32" s="20"/>
      <c r="E32" s="20"/>
      <c r="F32" s="20"/>
      <c r="G32" s="20"/>
      <c r="H32" s="20"/>
      <c r="I32" s="20"/>
      <c r="K32" s="21"/>
      <c r="L32" s="21"/>
      <c r="M32" s="21"/>
      <c r="N32" s="21"/>
      <c r="O32" s="20" t="s">
        <v>49</v>
      </c>
      <c r="P32" s="20"/>
      <c r="Q32" s="20"/>
      <c r="R32" s="20"/>
    </row>
    <row r="33" customFormat="false" ht="15" hidden="false" customHeight="false" outlineLevel="0" collapsed="false">
      <c r="E33" s="22"/>
      <c r="F33" s="22"/>
      <c r="G33" s="22"/>
      <c r="H33" s="22"/>
      <c r="K33" s="22"/>
      <c r="L33" s="22"/>
      <c r="M33" s="22"/>
      <c r="N33" s="22"/>
      <c r="O33" s="22"/>
      <c r="P33" s="22"/>
      <c r="Q33" s="22"/>
      <c r="R33" s="22"/>
    </row>
    <row r="34" customFormat="false" ht="15" hidden="false" customHeight="false" outlineLevel="0" collapsed="false">
      <c r="E34" s="22"/>
      <c r="F34" s="22"/>
      <c r="G34" s="22"/>
      <c r="H34" s="22"/>
      <c r="K34" s="22"/>
      <c r="L34" s="22"/>
      <c r="M34" s="22"/>
      <c r="N34" s="22"/>
      <c r="O34" s="22"/>
      <c r="P34" s="22"/>
      <c r="Q34" s="22"/>
      <c r="R34" s="22"/>
    </row>
    <row r="35" customFormat="false" ht="15" hidden="false" customHeight="false" outlineLevel="0" collapsed="false">
      <c r="E35" s="22"/>
      <c r="F35" s="22"/>
      <c r="G35" s="22"/>
      <c r="H35" s="22"/>
      <c r="K35" s="22"/>
      <c r="L35" s="22"/>
      <c r="M35" s="22"/>
      <c r="N35" s="22"/>
      <c r="O35" s="22"/>
      <c r="P35" s="22"/>
      <c r="Q35" s="22"/>
      <c r="R35" s="22"/>
    </row>
    <row r="36" customFormat="false" ht="15" hidden="false" customHeight="false" outlineLevel="0" collapsed="false">
      <c r="E36" s="22"/>
      <c r="F36" s="22"/>
      <c r="G36" s="22"/>
      <c r="H36" s="22"/>
      <c r="K36" s="22"/>
      <c r="L36" s="22"/>
      <c r="M36" s="22"/>
      <c r="N36" s="22"/>
      <c r="O36" s="22"/>
      <c r="P36" s="22"/>
      <c r="Q36" s="22"/>
      <c r="R36" s="22"/>
    </row>
    <row r="37" customFormat="false" ht="15" hidden="false" customHeight="false" outlineLevel="0" collapsed="false">
      <c r="C37" s="20" t="s">
        <v>50</v>
      </c>
      <c r="D37" s="20"/>
      <c r="E37" s="20"/>
      <c r="F37" s="20"/>
      <c r="G37" s="20"/>
      <c r="H37" s="20"/>
      <c r="I37" s="20"/>
      <c r="K37" s="21"/>
      <c r="L37" s="21"/>
      <c r="M37" s="21"/>
      <c r="N37" s="21"/>
      <c r="O37" s="20" t="s">
        <v>51</v>
      </c>
      <c r="P37" s="20"/>
      <c r="Q37" s="20"/>
      <c r="R37" s="20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32:I32"/>
    <mergeCell ref="O32:R32"/>
    <mergeCell ref="C37:I37"/>
    <mergeCell ref="O37:R37"/>
  </mergeCells>
  <printOptions headings="false" gridLines="false" gridLinesSet="true" horizontalCentered="true" verticalCentered="false"/>
  <pageMargins left="0.157638888888889" right="0.157638888888889" top="0.472222222222222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B20" activeCellId="0" sqref="AB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XB6A'!$A$2:$G$60,7,0)&amp;VLOOKUP(AZ2,'[1]Tuyến XB6A'!$A$2:$G$60,4,0)</f>
        <v xml:space="preserve">Kèm theo BBNT số: 06.NĐXB6A/CVXD ngày 27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E2" s="7"/>
      <c r="AZ2">
        <v>6</v>
      </c>
    </row>
    <row r="3" s="30" customFormat="true" ht="37.5" hidden="false" customHeight="true" outlineLevel="0" collapsed="false">
      <c r="A3" s="28" t="s">
        <v>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32</v>
      </c>
      <c r="B7" s="32"/>
      <c r="D7" s="33" t="str">
        <f>VLOOKUP(AZ2,'[1]Tuyến XB6A'!$A$2:$B$60,2,0)</f>
        <v xml:space="preserve">Đắp cát nền đường lớp 3 đoạn từ Km0+000,00 - Km0+126,46,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36</v>
      </c>
      <c r="C9" s="35" t="s">
        <v>37</v>
      </c>
      <c r="D9" s="36" t="s">
        <v>53</v>
      </c>
      <c r="E9" s="37"/>
      <c r="F9" s="37"/>
      <c r="G9" s="36"/>
      <c r="H9" s="37"/>
      <c r="I9" s="37"/>
      <c r="J9" s="37"/>
      <c r="K9" s="37"/>
      <c r="L9" s="37"/>
      <c r="M9" s="38" t="s">
        <v>54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41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55</v>
      </c>
      <c r="O10" s="38" t="s">
        <v>56</v>
      </c>
      <c r="P10" s="38" t="s">
        <v>55</v>
      </c>
      <c r="Q10" s="38" t="s">
        <v>55</v>
      </c>
      <c r="R10" s="38"/>
      <c r="S10" s="38"/>
      <c r="T10" s="38"/>
      <c r="U10" s="38" t="s">
        <v>57</v>
      </c>
      <c r="V10" s="38" t="s">
        <v>57</v>
      </c>
      <c r="W10" s="38" t="s">
        <v>58</v>
      </c>
      <c r="X10" s="38" t="s">
        <v>57</v>
      </c>
      <c r="Y10" s="38" t="s">
        <v>57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'3.KTHH L3'!B22</f>
        <v>D3</v>
      </c>
      <c r="C11" s="16" t="n">
        <f aca="false">'3.KTHH L3'!C22</f>
        <v>0</v>
      </c>
      <c r="D11" s="14" t="n">
        <f aca="false">'3.KTHH L3'!T22</f>
        <v>19.63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/>
      <c r="P11" s="47"/>
      <c r="Q11" s="47"/>
      <c r="R11" s="50"/>
      <c r="S11" s="50"/>
      <c r="T11" s="50"/>
      <c r="U11" s="50"/>
      <c r="V11" s="50"/>
      <c r="W11" s="50" t="n">
        <f aca="false">(O11+O12)*D11/2</f>
        <v>44.46195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'3.KTHH L3'!B23</f>
        <v>1</v>
      </c>
      <c r="C12" s="16" t="n">
        <f aca="false">'3.KTHH L3'!C23</f>
        <v>19.63</v>
      </c>
      <c r="D12" s="14" t="n">
        <f aca="false">'3.KTHH L3'!T23</f>
        <v>17.17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Chạy!E7</f>
        <v>4.53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78.1235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'3.KTHH L3'!B24</f>
        <v>2</v>
      </c>
      <c r="C13" s="16" t="n">
        <f aca="false">'3.KTHH L3'!C24</f>
        <v>36.8</v>
      </c>
      <c r="D13" s="14" t="n">
        <f aca="false">'3.KTHH L3'!T24</f>
        <v>17.18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Chạy!E11</f>
        <v>4.57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79.5434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'3.KTHH L3'!B25</f>
        <v>3</v>
      </c>
      <c r="C14" s="16" t="n">
        <f aca="false">'3.KTHH L3'!C25</f>
        <v>53.98</v>
      </c>
      <c r="D14" s="14" t="n">
        <f aca="false">'3.KTHH L3'!T25</f>
        <v>12.97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Chạy!E15</f>
        <v>4.69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30.41465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'3.KTHH L3'!B26</f>
        <v>D2</v>
      </c>
      <c r="C15" s="16" t="n">
        <f aca="false">'3.KTHH L3'!C26</f>
        <v>66.95</v>
      </c>
      <c r="D15" s="14" t="n">
        <f aca="false">'3.KTHH L3'!T26</f>
        <v>10.68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/>
      <c r="P15" s="47"/>
      <c r="Q15" s="47"/>
      <c r="R15" s="50"/>
      <c r="S15" s="50"/>
      <c r="T15" s="50"/>
      <c r="U15" s="50"/>
      <c r="V15" s="50"/>
      <c r="W15" s="50" t="n">
        <f aca="false">(O15+O16)*D15/2</f>
        <v>21.7872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'3.KTHH L3'!B27</f>
        <v>4</v>
      </c>
      <c r="C16" s="16" t="n">
        <f aca="false">'3.KTHH L3'!C27</f>
        <v>77.63</v>
      </c>
      <c r="D16" s="14" t="n">
        <f aca="false">'3.KTHH L3'!T27</f>
        <v>17.17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Chạy!E23</f>
        <v>4.08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76.4065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'3.KTHH L3'!B28</f>
        <v>5</v>
      </c>
      <c r="C17" s="16" t="n">
        <f aca="false">'3.KTHH L3'!C28</f>
        <v>94.8</v>
      </c>
      <c r="D17" s="14" t="n">
        <f aca="false">'3.KTHH L3'!T28</f>
        <v>17.17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Chạy!E27</f>
        <v>4.82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82.2443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'3.KTHH L3'!B29</f>
        <v>6</v>
      </c>
      <c r="C18" s="16" t="n">
        <f aca="false">'3.KTHH L3'!C29</f>
        <v>111.97</v>
      </c>
      <c r="D18" s="14" t="n">
        <f aca="false">'3.KTHH L3'!T29</f>
        <v>14.49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Chạy!E31</f>
        <v>4.76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34.4862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'3.KTHH L3'!B30</f>
        <v>D1</v>
      </c>
      <c r="C19" s="16" t="n">
        <f aca="false">'3.KTHH L3'!C30</f>
        <v>126.46</v>
      </c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customFormat="false" ht="14.25" hidden="false" customHeight="true" outlineLevel="0" collapsed="false">
      <c r="A20" s="35" t="s">
        <v>59</v>
      </c>
      <c r="B20" s="35"/>
      <c r="C20" s="35"/>
      <c r="D20" s="35"/>
      <c r="E20" s="73"/>
      <c r="F20" s="73"/>
      <c r="G20" s="73"/>
      <c r="H20" s="73"/>
      <c r="I20" s="73"/>
      <c r="J20" s="73"/>
      <c r="K20" s="73"/>
      <c r="L20" s="73"/>
      <c r="M20" s="56"/>
      <c r="N20" s="56"/>
      <c r="O20" s="56"/>
      <c r="P20" s="56"/>
      <c r="Q20" s="56"/>
      <c r="R20" s="57" t="n">
        <f aca="false">SUM(R11:R14)</f>
        <v>0</v>
      </c>
      <c r="S20" s="57" t="n">
        <f aca="false">SUM(S11:S14)</f>
        <v>0</v>
      </c>
      <c r="T20" s="57"/>
      <c r="U20" s="58" t="n">
        <f aca="false">SUM(U11:U14)</f>
        <v>0</v>
      </c>
      <c r="V20" s="58" t="n">
        <f aca="false">SUM(V11:V14)</f>
        <v>0</v>
      </c>
      <c r="W20" s="59" t="n">
        <f aca="false">SUM(W11:W19)</f>
        <v>447.4677</v>
      </c>
      <c r="X20" s="58" t="n">
        <f aca="false">SUM(X11:X14)</f>
        <v>0</v>
      </c>
      <c r="Y20" s="58" t="n">
        <f aca="false">SUM(Y11:Y14)</f>
        <v>0</v>
      </c>
      <c r="Z20" s="58" t="n">
        <f aca="false">SUM(Z11:Z14)</f>
        <v>0</v>
      </c>
      <c r="AA20" s="58" t="n">
        <f aca="false">SUM(AA11:AA14)</f>
        <v>0</v>
      </c>
      <c r="AB20" s="58"/>
      <c r="AE20" s="60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1"/>
      <c r="HK20" s="61"/>
      <c r="HL20" s="61"/>
      <c r="HM20" s="61"/>
      <c r="HN20" s="61"/>
      <c r="HO20" s="61"/>
      <c r="HP20" s="61"/>
      <c r="HQ20" s="61"/>
      <c r="HR20" s="61"/>
      <c r="HS20" s="61"/>
    </row>
    <row r="21" customFormat="false" ht="10.5" hidden="false" customHeight="true" outlineLevel="0" collapsed="false">
      <c r="A21" s="63"/>
      <c r="B21" s="63"/>
      <c r="C21" s="63"/>
      <c r="D21" s="63"/>
      <c r="E21" s="61"/>
      <c r="F21" s="61"/>
      <c r="G21" s="61"/>
      <c r="H21" s="61"/>
      <c r="I21" s="61"/>
      <c r="J21" s="61"/>
      <c r="R21" s="64"/>
      <c r="S21" s="64"/>
      <c r="T21" s="64"/>
      <c r="U21" s="60"/>
      <c r="V21" s="60"/>
      <c r="W21" s="60"/>
      <c r="X21" s="60"/>
      <c r="Y21" s="60"/>
      <c r="Z21" s="60"/>
      <c r="AA21" s="60"/>
      <c r="AB21" s="60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</row>
    <row r="22" customFormat="false" ht="15" hidden="false" customHeight="true" outlineLevel="0" collapsed="false">
      <c r="A22" s="20" t="s">
        <v>48</v>
      </c>
      <c r="B22" s="20"/>
      <c r="C22" s="20"/>
      <c r="D22" s="65" t="s">
        <v>60</v>
      </c>
      <c r="E22" s="20" t="s">
        <v>49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</row>
    <row r="23" customFormat="false" ht="14.25" hidden="false" customHeight="true" outlineLevel="0" collapsed="false">
      <c r="A23" s="66"/>
      <c r="B23" s="66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HT23" s="61"/>
    </row>
    <row r="24" customFormat="false" ht="15" hidden="false" customHeight="true" outlineLevel="0" collapsed="false">
      <c r="A24" s="66"/>
      <c r="B24" s="66"/>
      <c r="C24" s="68"/>
      <c r="D24" s="68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Z24" s="61"/>
      <c r="AA24" s="61"/>
      <c r="AB24" s="61"/>
      <c r="AC24" s="61"/>
      <c r="AD24" s="61"/>
      <c r="AE24" s="61"/>
      <c r="AF24" s="69"/>
      <c r="AG24" s="61"/>
      <c r="AH24" s="61"/>
      <c r="AI24" s="61"/>
      <c r="AJ24" s="61"/>
      <c r="AK24" s="61"/>
      <c r="HT24" s="61"/>
    </row>
    <row r="25" customFormat="false" ht="14.25" hidden="false" customHeight="true" outlineLevel="0" collapsed="false">
      <c r="A25" s="66"/>
      <c r="B25" s="66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HT25" s="61"/>
    </row>
    <row r="26" customFormat="false" ht="14.25" hidden="false" customHeight="true" outlineLevel="0" collapsed="false">
      <c r="A26" s="66"/>
      <c r="B26" s="66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HT26" s="61"/>
    </row>
    <row r="27" customFormat="false" ht="14.25" hidden="false" customHeight="true" outlineLevel="0" collapsed="false">
      <c r="A27" s="66"/>
      <c r="B27" s="66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HT27" s="61"/>
    </row>
    <row r="28" customFormat="false" ht="14.25" hidden="false" customHeight="true" outlineLevel="0" collapsed="false">
      <c r="A28" s="20" t="s">
        <v>50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0" t="s">
        <v>51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61"/>
      <c r="AD28" s="61"/>
      <c r="AE28" s="61"/>
      <c r="AF28" s="61"/>
      <c r="AG28" s="61"/>
      <c r="AH28" s="61"/>
      <c r="AI28" s="61"/>
      <c r="AJ28" s="61"/>
      <c r="AK28" s="61"/>
      <c r="HT28" s="61"/>
    </row>
    <row r="29" customFormat="false" ht="15" hidden="false" customHeight="true" outlineLevel="0" collapsed="false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customFormat="false" ht="15" hidden="false" customHeight="true" outlineLevel="0" collapsed="false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</row>
    <row r="31" customFormat="false" ht="15" hidden="false" customHeight="true" outlineLevel="0" collapsed="false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</row>
    <row r="32" customFormat="false" ht="15" hidden="false" customHeight="true" outlineLevel="0" collapsed="false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 customFormat="false" ht="15" hidden="false" customHeight="true" outlineLevel="0" collapsed="false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 customFormat="false" ht="15" hidden="false" customHeight="true" outlineLevel="0" collapsed="false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 customFormat="false" ht="15" hidden="false" customHeight="true" outlineLevel="0" collapsed="false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 customFormat="false" ht="15" hidden="false" customHeight="true" outlineLevel="0" collapsed="false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customFormat="false" ht="15" hidden="false" customHeight="true" outlineLevel="0" collapsed="false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customFormat="false" ht="15" hidden="false" customHeight="true" outlineLevel="0" collapsed="false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</row>
    <row r="39" customFormat="false" ht="15" hidden="false" customHeight="true" outlineLevel="0" collapsed="false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 customFormat="false" ht="15" hidden="false" customHeight="true" outlineLevel="0" collapsed="false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 customFormat="false" ht="15" hidden="false" customHeight="true" outlineLevel="0" collapsed="false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 customFormat="false" ht="15" hidden="false" customHeight="true" outlineLevel="0" collapsed="false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 customFormat="false" ht="15" hidden="false" customHeight="true" outlineLevel="0" collapsed="false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 customFormat="false" ht="15" hidden="false" customHeight="true" outlineLevel="0" collapsed="false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</row>
    <row r="45" customFormat="false" ht="1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209722222222222" top="0.459722222222222" bottom="0.3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9"/>
  <sheetViews>
    <sheetView showFormulas="false" showGridLines="true" showRowColHeaders="true" showZeros="true" rightToLeft="false" tabSelected="false" showOutlineSymbols="true" defaultGridColor="true" view="normal" topLeftCell="A15" colorId="64" zoomScale="55" zoomScaleNormal="55" zoomScalePageLayoutView="100" workbookViewId="0">
      <selection pane="topLeft" activeCell="P47" activeCellId="0" sqref="P4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7.29"/>
    <col collapsed="false" customWidth="true" hidden="false" outlineLevel="0" max="3" min="3" style="1" width="20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6.85"/>
  </cols>
  <sheetData>
    <row r="1" customFormat="false" ht="20.2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07.NĐXB6A/CVXD ngày 28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4"/>
      <c r="U2" s="74"/>
      <c r="V2" s="7"/>
      <c r="W2" s="7"/>
      <c r="AZ2">
        <v>7</v>
      </c>
    </row>
    <row r="3" customFormat="false" ht="18.75" hidden="false" customHeight="true" outlineLevel="0" collapsed="false">
      <c r="A3" s="8" t="s">
        <v>28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32</v>
      </c>
      <c r="C7" s="8"/>
      <c r="D7" s="8"/>
      <c r="E7" s="8"/>
      <c r="F7" s="8"/>
      <c r="G7" s="8" t="str">
        <f>VLOOKUP(AZ2,'[1]Tuyến XB6A'!$A$2:$B$60,2,0)</f>
        <v xml:space="preserve">Đắp cát nền đường lớp 4 đoạn từ Km0+000,00 - Km0+126,46,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6.75" hidden="false" customHeight="true" outlineLevel="0" collapsed="false"/>
    <row r="21" customFormat="false" ht="17.25" hidden="false" customHeight="true" outlineLevel="0" collapsed="false">
      <c r="A21" s="10" t="s">
        <v>35</v>
      </c>
      <c r="B21" s="10" t="s">
        <v>36</v>
      </c>
      <c r="C21" s="10" t="s">
        <v>37</v>
      </c>
      <c r="D21" s="11" t="s">
        <v>38</v>
      </c>
      <c r="E21" s="11"/>
      <c r="F21" s="11"/>
      <c r="G21" s="11"/>
      <c r="H21" s="11"/>
      <c r="I21" s="11"/>
      <c r="J21" s="11" t="s">
        <v>39</v>
      </c>
      <c r="K21" s="11"/>
      <c r="L21" s="11"/>
      <c r="M21" s="11" t="s">
        <v>40</v>
      </c>
      <c r="N21" s="11"/>
      <c r="O21" s="11"/>
      <c r="P21" s="11"/>
      <c r="Q21" s="11"/>
      <c r="R21" s="11"/>
      <c r="S21" s="10" t="s">
        <v>41</v>
      </c>
    </row>
    <row r="22" customFormat="false" ht="30" hidden="false" customHeight="true" outlineLevel="0" collapsed="false">
      <c r="A22" s="10"/>
      <c r="B22" s="10"/>
      <c r="C22" s="10"/>
      <c r="D22" s="12" t="s">
        <v>42</v>
      </c>
      <c r="E22" s="12" t="s">
        <v>43</v>
      </c>
      <c r="F22" s="12" t="s">
        <v>44</v>
      </c>
      <c r="G22" s="12" t="s">
        <v>45</v>
      </c>
      <c r="H22" s="12" t="s">
        <v>46</v>
      </c>
      <c r="I22" s="12" t="s">
        <v>47</v>
      </c>
      <c r="J22" s="12" t="s">
        <v>45</v>
      </c>
      <c r="K22" s="12" t="s">
        <v>46</v>
      </c>
      <c r="L22" s="12" t="s">
        <v>47</v>
      </c>
      <c r="M22" s="12" t="s">
        <v>42</v>
      </c>
      <c r="N22" s="12" t="s">
        <v>43</v>
      </c>
      <c r="O22" s="12" t="s">
        <v>44</v>
      </c>
      <c r="P22" s="12" t="s">
        <v>45</v>
      </c>
      <c r="Q22" s="12" t="s">
        <v>46</v>
      </c>
      <c r="R22" s="12" t="s">
        <v>47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0" t="n">
        <v>19.63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19.63</v>
      </c>
      <c r="D24" s="17" t="n">
        <f aca="false">+Chạy!F6</f>
        <v>-7.97</v>
      </c>
      <c r="E24" s="17" t="n">
        <f aca="false">+D24+F24</f>
        <v>-7.9799</v>
      </c>
      <c r="F24" s="17" t="n">
        <f aca="false">RANDBETWEEN(-105,115)/10000</f>
        <v>-0.0099</v>
      </c>
      <c r="G24" s="17" t="n">
        <f aca="false">+Chạy!G6</f>
        <v>-0.47</v>
      </c>
      <c r="H24" s="17" t="n">
        <f aca="false">G24+I24</f>
        <v>-0.405</v>
      </c>
      <c r="I24" s="17" t="n">
        <f aca="false">RANDBETWEEN(-30,90)/1000</f>
        <v>0.065</v>
      </c>
      <c r="J24" s="17" t="n">
        <f aca="false">+Chạy!K6</f>
        <v>-0.47</v>
      </c>
      <c r="K24" s="17" t="n">
        <f aca="false">J24+L24</f>
        <v>-0.397</v>
      </c>
      <c r="L24" s="17" t="n">
        <f aca="false">RANDBETWEEN(-30,90)/1000</f>
        <v>0.073</v>
      </c>
      <c r="M24" s="17" t="n">
        <f aca="false">+Chạy!N6</f>
        <v>8.05</v>
      </c>
      <c r="N24" s="17" t="n">
        <f aca="false">+M24+O24</f>
        <v>8.0475</v>
      </c>
      <c r="O24" s="17" t="n">
        <f aca="false">RANDBETWEEN(-105,115)/10000</f>
        <v>-0.0025</v>
      </c>
      <c r="P24" s="17" t="n">
        <f aca="false">+Chạy!O6</f>
        <v>-0.47</v>
      </c>
      <c r="Q24" s="17" t="n">
        <f aca="false">P24+R24</f>
        <v>-0.382</v>
      </c>
      <c r="R24" s="17" t="n">
        <f aca="false">RANDBETWEEN(-30,90)/1000</f>
        <v>0.088</v>
      </c>
      <c r="S24" s="18"/>
      <c r="T24" s="0" t="n">
        <v>17.17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36.8</v>
      </c>
      <c r="D25" s="17" t="n">
        <f aca="false">+Chạy!F10</f>
        <v>-8.04</v>
      </c>
      <c r="E25" s="17" t="n">
        <f aca="false">+D25+F25</f>
        <v>-8.0406</v>
      </c>
      <c r="F25" s="17" t="n">
        <f aca="false">RANDBETWEEN(-105,115)/10000</f>
        <v>-0.0006</v>
      </c>
      <c r="G25" s="17" t="n">
        <f aca="false">+Chạy!G10</f>
        <v>-0.51</v>
      </c>
      <c r="H25" s="17" t="n">
        <f aca="false">G25+I25</f>
        <v>-0.503</v>
      </c>
      <c r="I25" s="17" t="n">
        <f aca="false">RANDBETWEEN(-30,90)/1000</f>
        <v>0.007</v>
      </c>
      <c r="J25" s="17" t="n">
        <f aca="false">+Chạy!K10</f>
        <v>-0.51</v>
      </c>
      <c r="K25" s="17" t="n">
        <f aca="false">J25+L25</f>
        <v>-0.454</v>
      </c>
      <c r="L25" s="17" t="n">
        <f aca="false">RANDBETWEEN(-30,90)/1000</f>
        <v>0.056</v>
      </c>
      <c r="M25" s="17" t="n">
        <f aca="false">+Chạy!N10</f>
        <v>8.09</v>
      </c>
      <c r="N25" s="17" t="n">
        <f aca="false">+M25+O25</f>
        <v>8.0874</v>
      </c>
      <c r="O25" s="17" t="n">
        <f aca="false">RANDBETWEEN(-105,115)/10000</f>
        <v>-0.0026</v>
      </c>
      <c r="P25" s="17" t="n">
        <f aca="false">+Chạy!O10</f>
        <v>-0.51</v>
      </c>
      <c r="Q25" s="17" t="n">
        <f aca="false">P25+R25</f>
        <v>-0.473</v>
      </c>
      <c r="R25" s="17" t="n">
        <f aca="false">RANDBETWEEN(-30,90)/1000</f>
        <v>0.037</v>
      </c>
      <c r="S25" s="18"/>
      <c r="T25" s="0" t="n">
        <v>17.18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53.98</v>
      </c>
      <c r="D26" s="17" t="n">
        <f aca="false">+Chạy!F14</f>
        <v>-8.28</v>
      </c>
      <c r="E26" s="17" t="n">
        <f aca="false">+D26+F26</f>
        <v>-8.2722</v>
      </c>
      <c r="F26" s="17" t="n">
        <f aca="false">RANDBETWEEN(-105,115)/10000</f>
        <v>0.0078</v>
      </c>
      <c r="G26" s="17" t="n">
        <f aca="false">+Chạy!G14</f>
        <v>-0.56</v>
      </c>
      <c r="H26" s="17" t="n">
        <f aca="false">G26+I26</f>
        <v>-0.522</v>
      </c>
      <c r="I26" s="17" t="n">
        <f aca="false">RANDBETWEEN(-30,90)/1000</f>
        <v>0.038</v>
      </c>
      <c r="J26" s="17" t="n">
        <f aca="false">+Chạy!K14</f>
        <v>-0.56</v>
      </c>
      <c r="K26" s="17" t="n">
        <f aca="false">J26+L26</f>
        <v>-0.587</v>
      </c>
      <c r="L26" s="17" t="n">
        <f aca="false">RANDBETWEEN(-30,90)/1000</f>
        <v>-0.027</v>
      </c>
      <c r="M26" s="17" t="n">
        <f aca="false">+Chạy!N14</f>
        <v>8.26</v>
      </c>
      <c r="N26" s="17" t="n">
        <f aca="false">+M26+O26</f>
        <v>8.251</v>
      </c>
      <c r="O26" s="17" t="n">
        <f aca="false">RANDBETWEEN(-105,115)/10000</f>
        <v>-0.009</v>
      </c>
      <c r="P26" s="17" t="n">
        <f aca="false">+Chạy!O14</f>
        <v>-0.56</v>
      </c>
      <c r="Q26" s="17" t="n">
        <f aca="false">P26+R26</f>
        <v>-0.564</v>
      </c>
      <c r="R26" s="17" t="n">
        <f aca="false">RANDBETWEEN(-30,90)/1000</f>
        <v>-0.004</v>
      </c>
      <c r="S26" s="18"/>
      <c r="T26" s="0" t="n">
        <v>12.97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66.95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0" t="n">
        <v>10.68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77.63</v>
      </c>
      <c r="D28" s="17" t="n">
        <f aca="false">+Chạy!F22</f>
        <v>-5.82</v>
      </c>
      <c r="E28" s="17" t="n">
        <f aca="false">+D28+F28</f>
        <v>-5.8177</v>
      </c>
      <c r="F28" s="17" t="n">
        <f aca="false">RANDBETWEEN(-105,115)/10000</f>
        <v>0.0023</v>
      </c>
      <c r="G28" s="17" t="n">
        <f aca="false">+Chạy!G22</f>
        <v>-0.63</v>
      </c>
      <c r="H28" s="17" t="n">
        <f aca="false">G28+I28</f>
        <v>-0.618</v>
      </c>
      <c r="I28" s="17" t="n">
        <f aca="false">RANDBETWEEN(-30,90)/1000</f>
        <v>0.012</v>
      </c>
      <c r="J28" s="17" t="n">
        <f aca="false">+Chạy!K22</f>
        <v>-0.63</v>
      </c>
      <c r="K28" s="17" t="n">
        <f aca="false">J28+L28</f>
        <v>-0.652</v>
      </c>
      <c r="L28" s="17" t="n">
        <f aca="false">RANDBETWEEN(-30,90)/1000</f>
        <v>-0.022</v>
      </c>
      <c r="M28" s="17" t="n">
        <f aca="false">+Chạy!N22</f>
        <v>8.68</v>
      </c>
      <c r="N28" s="17" t="n">
        <f aca="false">+M28+O28</f>
        <v>8.6803</v>
      </c>
      <c r="O28" s="17" t="n">
        <f aca="false">RANDBETWEEN(-105,115)/10000</f>
        <v>0.0003</v>
      </c>
      <c r="P28" s="17" t="n">
        <f aca="false">+Chạy!O22</f>
        <v>-0.63</v>
      </c>
      <c r="Q28" s="17" t="n">
        <f aca="false">P28+R28</f>
        <v>-0.544</v>
      </c>
      <c r="R28" s="17" t="n">
        <f aca="false">RANDBETWEEN(-30,90)/1000</f>
        <v>0.086</v>
      </c>
      <c r="S28" s="18"/>
      <c r="T28" s="0" t="n">
        <v>17.17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94.8</v>
      </c>
      <c r="D29" s="17" t="n">
        <f aca="false">+Chạy!F26</f>
        <v>-8.65</v>
      </c>
      <c r="E29" s="17" t="n">
        <f aca="false">+D29+F29</f>
        <v>-8.6598</v>
      </c>
      <c r="F29" s="17" t="n">
        <f aca="false">RANDBETWEEN(-105,115)/10000</f>
        <v>-0.0098</v>
      </c>
      <c r="G29" s="17" t="n">
        <f aca="false">+Chạy!G26</f>
        <v>-0.68</v>
      </c>
      <c r="H29" s="17" t="n">
        <f aca="false">G29+I29</f>
        <v>-0.694</v>
      </c>
      <c r="I29" s="17" t="n">
        <f aca="false">RANDBETWEEN(-30,90)/1000</f>
        <v>-0.014</v>
      </c>
      <c r="J29" s="17" t="n">
        <f aca="false">+Chạy!K26</f>
        <v>-0.68</v>
      </c>
      <c r="K29" s="17" t="n">
        <f aca="false">J29+L29</f>
        <v>-0.614</v>
      </c>
      <c r="L29" s="17" t="n">
        <f aca="false">RANDBETWEEN(-30,90)/1000</f>
        <v>0.066</v>
      </c>
      <c r="M29" s="17" t="n">
        <f aca="false">+Chạy!N26</f>
        <v>8.32</v>
      </c>
      <c r="N29" s="17" t="n">
        <f aca="false">+M29+O29</f>
        <v>8.3196</v>
      </c>
      <c r="O29" s="17" t="n">
        <f aca="false">RANDBETWEEN(-105,115)/10000</f>
        <v>-0.0004</v>
      </c>
      <c r="P29" s="17" t="n">
        <f aca="false">+Chạy!O26</f>
        <v>-0.68</v>
      </c>
      <c r="Q29" s="17" t="n">
        <f aca="false">P29+R29</f>
        <v>-0.599</v>
      </c>
      <c r="R29" s="17" t="n">
        <f aca="false">RANDBETWEEN(-30,90)/1000</f>
        <v>0.081</v>
      </c>
      <c r="S29" s="18"/>
      <c r="T29" s="0" t="n">
        <v>17.17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111.97</v>
      </c>
      <c r="D30" s="17" t="n">
        <f aca="false">+Chạy!F30</f>
        <v>-8.63</v>
      </c>
      <c r="E30" s="17" t="n">
        <f aca="false">+D30+F30</f>
        <v>-8.6359</v>
      </c>
      <c r="F30" s="17" t="n">
        <f aca="false">RANDBETWEEN(-105,115)/10000</f>
        <v>-0.0059</v>
      </c>
      <c r="G30" s="17" t="n">
        <f aca="false">+Chạy!G30</f>
        <v>-0.73</v>
      </c>
      <c r="H30" s="17" t="n">
        <f aca="false">G30+I30</f>
        <v>-0.719</v>
      </c>
      <c r="I30" s="17" t="n">
        <f aca="false">RANDBETWEEN(-30,90)/1000</f>
        <v>0.011</v>
      </c>
      <c r="J30" s="17" t="n">
        <f aca="false">+Chạy!K30</f>
        <v>-0.73</v>
      </c>
      <c r="K30" s="17" t="n">
        <f aca="false">J30+L30</f>
        <v>-0.644</v>
      </c>
      <c r="L30" s="17" t="n">
        <f aca="false">RANDBETWEEN(-30,90)/1000</f>
        <v>0.086</v>
      </c>
      <c r="M30" s="17" t="n">
        <f aca="false">+Chạy!N30</f>
        <v>8.15</v>
      </c>
      <c r="N30" s="17" t="n">
        <f aca="false">+M30+O30</f>
        <v>8.1428</v>
      </c>
      <c r="O30" s="17" t="n">
        <f aca="false">RANDBETWEEN(-105,115)/10000</f>
        <v>-0.0072</v>
      </c>
      <c r="P30" s="17" t="n">
        <f aca="false">+Chạy!O30</f>
        <v>-0.73</v>
      </c>
      <c r="Q30" s="17" t="n">
        <f aca="false">P30+R30</f>
        <v>-0.691</v>
      </c>
      <c r="R30" s="17" t="n">
        <f aca="false">RANDBETWEEN(-30,90)/1000</f>
        <v>0.039</v>
      </c>
      <c r="S30" s="18"/>
      <c r="T30" s="0" t="n">
        <v>14.49</v>
      </c>
    </row>
    <row r="31" customFormat="false" ht="15" hidden="false" customHeight="false" outlineLevel="0" collapsed="false">
      <c r="A31" s="14" t="n">
        <v>9</v>
      </c>
      <c r="B31" s="14" t="s">
        <v>25</v>
      </c>
      <c r="C31" s="71" t="n">
        <f aca="false">+C30+T30</f>
        <v>126.46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3" customFormat="false" ht="15" hidden="false" customHeight="false" outlineLevel="0" collapsed="false">
      <c r="C33" s="20" t="s">
        <v>48</v>
      </c>
      <c r="D33" s="20"/>
      <c r="E33" s="20"/>
      <c r="F33" s="20"/>
      <c r="G33" s="20"/>
      <c r="H33" s="20"/>
      <c r="I33" s="20"/>
      <c r="K33" s="21"/>
      <c r="L33" s="21"/>
      <c r="M33" s="21"/>
      <c r="N33" s="21"/>
      <c r="O33" s="20" t="s">
        <v>49</v>
      </c>
      <c r="P33" s="20"/>
      <c r="Q33" s="20"/>
      <c r="R33" s="20"/>
    </row>
    <row r="34" customFormat="false" ht="15" hidden="false" customHeight="false" outlineLevel="0" collapsed="false">
      <c r="E34" s="22"/>
      <c r="F34" s="22"/>
      <c r="G34" s="22"/>
      <c r="H34" s="22"/>
      <c r="K34" s="22"/>
      <c r="L34" s="22"/>
      <c r="M34" s="22"/>
      <c r="N34" s="22"/>
      <c r="O34" s="22"/>
      <c r="P34" s="22"/>
      <c r="Q34" s="22"/>
      <c r="R34" s="22"/>
    </row>
    <row r="35" customFormat="false" ht="15" hidden="false" customHeight="false" outlineLevel="0" collapsed="false">
      <c r="E35" s="22"/>
      <c r="F35" s="22"/>
      <c r="G35" s="22"/>
      <c r="H35" s="22"/>
      <c r="K35" s="22"/>
      <c r="L35" s="22"/>
      <c r="M35" s="22"/>
      <c r="N35" s="22"/>
      <c r="O35" s="22"/>
      <c r="P35" s="22"/>
      <c r="Q35" s="22"/>
      <c r="R35" s="22"/>
    </row>
    <row r="36" customFormat="false" ht="15" hidden="false" customHeight="false" outlineLevel="0" collapsed="false">
      <c r="E36" s="22"/>
      <c r="F36" s="22"/>
      <c r="G36" s="22"/>
      <c r="H36" s="22"/>
      <c r="K36" s="22"/>
      <c r="L36" s="22"/>
      <c r="M36" s="22"/>
      <c r="N36" s="22"/>
      <c r="O36" s="22"/>
      <c r="P36" s="22"/>
      <c r="Q36" s="22"/>
      <c r="R36" s="22"/>
    </row>
    <row r="37" customFormat="false" ht="15" hidden="false" customHeight="false" outlineLevel="0" collapsed="false">
      <c r="E37" s="22"/>
      <c r="F37" s="22"/>
      <c r="G37" s="22"/>
      <c r="H37" s="22"/>
      <c r="K37" s="22"/>
      <c r="L37" s="22"/>
      <c r="M37" s="22"/>
      <c r="N37" s="22"/>
      <c r="O37" s="22"/>
      <c r="P37" s="22"/>
      <c r="Q37" s="22"/>
      <c r="R37" s="22"/>
    </row>
    <row r="38" customFormat="false" ht="15" hidden="false" customHeight="false" outlineLevel="0" collapsed="false">
      <c r="C38" s="20" t="s">
        <v>50</v>
      </c>
      <c r="D38" s="20"/>
      <c r="E38" s="20"/>
      <c r="F38" s="20"/>
      <c r="G38" s="20"/>
      <c r="H38" s="20"/>
      <c r="I38" s="20"/>
      <c r="K38" s="21"/>
      <c r="L38" s="21"/>
      <c r="M38" s="21"/>
      <c r="N38" s="21"/>
      <c r="O38" s="20" t="s">
        <v>51</v>
      </c>
      <c r="P38" s="20"/>
      <c r="Q38" s="20"/>
      <c r="R38" s="20"/>
    </row>
    <row r="39" customFormat="false" ht="15.75" hidden="false" customHeight="true" outlineLevel="0" collapsed="false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33:I33"/>
    <mergeCell ref="O33:R33"/>
    <mergeCell ref="C38:I38"/>
    <mergeCell ref="O38:R38"/>
  </mergeCells>
  <printOptions headings="false" gridLines="false" gridLinesSet="true" horizontalCentered="true" verticalCentered="false"/>
  <pageMargins left="0.157638888888889" right="0.196527777777778" top="0.511805555555556" bottom="0.433333333333333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7" activeCellId="0" sqref="AD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XB6A'!$A$2:$G$60,7,0)&amp;VLOOKUP(AZ2,'[1]Tuyến XB6A'!$A$2:$G$60,4,0)</f>
        <v xml:space="preserve">Kèm theo BBNT số: 07.NĐXB6A/CVXD ngày 28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7</v>
      </c>
    </row>
    <row r="3" s="30" customFormat="true" ht="37.5" hidden="false" customHeight="true" outlineLevel="0" collapsed="false">
      <c r="A3" s="28" t="s">
        <v>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32</v>
      </c>
      <c r="B7" s="32"/>
      <c r="D7" s="33" t="str">
        <f>VLOOKUP(AZ2,'[1]Tuyến XB6A'!$A$2:$B$60,2,0)</f>
        <v xml:space="preserve">Đắp cát nền đường lớp 4 đoạn từ Km0+000,00 - Km0+126,46,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13.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36</v>
      </c>
      <c r="C9" s="35" t="s">
        <v>37</v>
      </c>
      <c r="D9" s="36" t="s">
        <v>53</v>
      </c>
      <c r="E9" s="37"/>
      <c r="F9" s="37"/>
      <c r="G9" s="36"/>
      <c r="H9" s="37"/>
      <c r="I9" s="37"/>
      <c r="J9" s="37"/>
      <c r="K9" s="37"/>
      <c r="L9" s="37"/>
      <c r="M9" s="38" t="s">
        <v>54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41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55</v>
      </c>
      <c r="O10" s="38" t="s">
        <v>56</v>
      </c>
      <c r="P10" s="38" t="s">
        <v>55</v>
      </c>
      <c r="Q10" s="38" t="s">
        <v>55</v>
      </c>
      <c r="R10" s="38"/>
      <c r="S10" s="38"/>
      <c r="T10" s="38"/>
      <c r="U10" s="38" t="s">
        <v>57</v>
      </c>
      <c r="V10" s="38" t="s">
        <v>57</v>
      </c>
      <c r="W10" s="38" t="s">
        <v>58</v>
      </c>
      <c r="X10" s="38" t="s">
        <v>57</v>
      </c>
      <c r="Y10" s="38" t="s">
        <v>57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'4.KTHH L4'!B23</f>
        <v>D3</v>
      </c>
      <c r="C11" s="16" t="n">
        <f aca="false">'4.KTHH L4'!C23</f>
        <v>0</v>
      </c>
      <c r="D11" s="14" t="n">
        <f aca="false">'4.KTHH L4'!T23</f>
        <v>19.63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/>
      <c r="P11" s="47"/>
      <c r="Q11" s="47"/>
      <c r="R11" s="50"/>
      <c r="S11" s="50"/>
      <c r="T11" s="50"/>
      <c r="U11" s="50"/>
      <c r="V11" s="50"/>
      <c r="W11" s="50" t="n">
        <f aca="false">(O11+O12)*D11/2</f>
        <v>46.22865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'4.KTHH L4'!B24</f>
        <v>1</v>
      </c>
      <c r="C12" s="16" t="n">
        <f aca="false">'4.KTHH L4'!C24</f>
        <v>19.63</v>
      </c>
      <c r="D12" s="14" t="n">
        <f aca="false">'4.KTHH L4'!T24</f>
        <v>17.17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Chạy!E6</f>
        <v>4.71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81.2141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'4.KTHH L4'!B25</f>
        <v>2</v>
      </c>
      <c r="C13" s="16" t="n">
        <f aca="false">'4.KTHH L4'!C25</f>
        <v>36.8</v>
      </c>
      <c r="D13" s="14" t="n">
        <f aca="false">'4.KTHH L4'!T25</f>
        <v>17.18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Chạy!E10</f>
        <v>4.75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82.6358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'4.KTHH L4'!B26</f>
        <v>3</v>
      </c>
      <c r="C14" s="16" t="n">
        <f aca="false">'4.KTHH L4'!C26</f>
        <v>53.98</v>
      </c>
      <c r="D14" s="14" t="n">
        <f aca="false">'4.KTHH L4'!T26</f>
        <v>12.97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Chạy!E14</f>
        <v>4.87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31.58195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'4.KTHH L4'!B27</f>
        <v>D2</v>
      </c>
      <c r="C15" s="16" t="n">
        <f aca="false">'4.KTHH L4'!C27</f>
        <v>66.95</v>
      </c>
      <c r="D15" s="14" t="n">
        <f aca="false">'4.KTHH L4'!T27</f>
        <v>10.68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/>
      <c r="P15" s="47"/>
      <c r="Q15" s="47"/>
      <c r="R15" s="50"/>
      <c r="S15" s="50"/>
      <c r="T15" s="50"/>
      <c r="U15" s="50"/>
      <c r="V15" s="50"/>
      <c r="W15" s="50" t="n">
        <f aca="false">(O15+O16)*D15/2</f>
        <v>22.7484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'4.KTHH L4'!B28</f>
        <v>4</v>
      </c>
      <c r="C16" s="16" t="n">
        <f aca="false">'4.KTHH L4'!C28</f>
        <v>77.63</v>
      </c>
      <c r="D16" s="14" t="n">
        <f aca="false">'4.KTHH L4'!T28</f>
        <v>17.17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Chạy!E22</f>
        <v>4.26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79.4971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'4.KTHH L4'!B29</f>
        <v>5</v>
      </c>
      <c r="C17" s="16" t="n">
        <f aca="false">'4.KTHH L4'!C29</f>
        <v>94.8</v>
      </c>
      <c r="D17" s="14" t="n">
        <f aca="false">'4.KTHH L4'!T29</f>
        <v>17.17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Chạy!E26</f>
        <v>5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85.3349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'4.KTHH L4'!B30</f>
        <v>6</v>
      </c>
      <c r="C18" s="16" t="n">
        <f aca="false">'4.KTHH L4'!C30</f>
        <v>111.97</v>
      </c>
      <c r="D18" s="14" t="n">
        <f aca="false">'4.KTHH L4'!T30</f>
        <v>14.49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Chạy!E30</f>
        <v>4.94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35.7903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'4.KTHH L4'!B31</f>
        <v>D1</v>
      </c>
      <c r="C19" s="16" t="n">
        <f aca="false">'4.KTHH L4'!C31</f>
        <v>126.46</v>
      </c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customFormat="false" ht="14.25" hidden="false" customHeight="true" outlineLevel="0" collapsed="false">
      <c r="A20" s="35" t="s">
        <v>59</v>
      </c>
      <c r="B20" s="35"/>
      <c r="C20" s="35"/>
      <c r="D20" s="35"/>
      <c r="E20" s="73"/>
      <c r="F20" s="73"/>
      <c r="G20" s="73"/>
      <c r="H20" s="73"/>
      <c r="I20" s="73"/>
      <c r="J20" s="73"/>
      <c r="K20" s="73"/>
      <c r="L20" s="73"/>
      <c r="M20" s="56"/>
      <c r="N20" s="56"/>
      <c r="O20" s="56"/>
      <c r="P20" s="56"/>
      <c r="Q20" s="56"/>
      <c r="R20" s="57" t="n">
        <f aca="false">SUM(R11:R14)</f>
        <v>0</v>
      </c>
      <c r="S20" s="57" t="n">
        <f aca="false">SUM(S11:S14)</f>
        <v>0</v>
      </c>
      <c r="T20" s="57"/>
      <c r="U20" s="58" t="n">
        <f aca="false">SUM(U11:U14)</f>
        <v>0</v>
      </c>
      <c r="V20" s="58" t="n">
        <f aca="false">SUM(V11:V14)</f>
        <v>0</v>
      </c>
      <c r="W20" s="59" t="n">
        <f aca="false">SUM(W11:W19)</f>
        <v>465.0312</v>
      </c>
      <c r="X20" s="58" t="n">
        <f aca="false">SUM(X11:X14)</f>
        <v>0</v>
      </c>
      <c r="Y20" s="58" t="n">
        <f aca="false">SUM(Y11:Y14)</f>
        <v>0</v>
      </c>
      <c r="Z20" s="58" t="n">
        <f aca="false">SUM(Z11:Z14)</f>
        <v>0</v>
      </c>
      <c r="AA20" s="58" t="n">
        <f aca="false">SUM(AA11:AA14)</f>
        <v>0</v>
      </c>
      <c r="AB20" s="58"/>
      <c r="AE20" s="60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1"/>
      <c r="HK20" s="61"/>
      <c r="HL20" s="61"/>
      <c r="HM20" s="61"/>
      <c r="HN20" s="61"/>
      <c r="HO20" s="61"/>
      <c r="HP20" s="61"/>
      <c r="HQ20" s="61"/>
      <c r="HR20" s="61"/>
      <c r="HS20" s="61"/>
    </row>
    <row r="21" customFormat="false" ht="14.25" hidden="false" customHeight="true" outlineLevel="0" collapsed="false">
      <c r="A21" s="63"/>
      <c r="B21" s="63"/>
      <c r="C21" s="63"/>
      <c r="D21" s="63"/>
      <c r="E21" s="61"/>
      <c r="F21" s="61"/>
      <c r="G21" s="61"/>
      <c r="H21" s="61"/>
      <c r="I21" s="61"/>
      <c r="J21" s="61"/>
      <c r="R21" s="64"/>
      <c r="S21" s="64"/>
      <c r="T21" s="64"/>
      <c r="U21" s="60"/>
      <c r="V21" s="60"/>
      <c r="W21" s="60"/>
      <c r="X21" s="60"/>
      <c r="Y21" s="60"/>
      <c r="Z21" s="60"/>
      <c r="AA21" s="60"/>
      <c r="AB21" s="60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</row>
    <row r="22" customFormat="false" ht="15" hidden="false" customHeight="true" outlineLevel="0" collapsed="false">
      <c r="A22" s="20" t="s">
        <v>48</v>
      </c>
      <c r="B22" s="20"/>
      <c r="C22" s="20"/>
      <c r="D22" s="65" t="s">
        <v>60</v>
      </c>
      <c r="E22" s="20" t="s">
        <v>49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</row>
    <row r="23" customFormat="false" ht="14.25" hidden="false" customHeight="true" outlineLevel="0" collapsed="false">
      <c r="A23" s="66"/>
      <c r="B23" s="66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HT23" s="61"/>
    </row>
    <row r="24" customFormat="false" ht="14.25" hidden="false" customHeight="true" outlineLevel="0" collapsed="false">
      <c r="A24" s="66"/>
      <c r="B24" s="66"/>
      <c r="C24" s="68"/>
      <c r="D24" s="68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Z24" s="61"/>
      <c r="AA24" s="61"/>
      <c r="AB24" s="61"/>
      <c r="AC24" s="61"/>
      <c r="AD24" s="61"/>
      <c r="AE24" s="61"/>
      <c r="AF24" s="69"/>
      <c r="AG24" s="61"/>
      <c r="AH24" s="61"/>
      <c r="AI24" s="61"/>
      <c r="AJ24" s="61"/>
      <c r="AK24" s="61"/>
      <c r="HT24" s="61"/>
    </row>
    <row r="25" customFormat="false" ht="14.25" hidden="false" customHeight="true" outlineLevel="0" collapsed="false">
      <c r="A25" s="66"/>
      <c r="B25" s="66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HT25" s="61"/>
    </row>
    <row r="26" customFormat="false" ht="14.25" hidden="false" customHeight="true" outlineLevel="0" collapsed="false">
      <c r="A26" s="66"/>
      <c r="B26" s="66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HT26" s="61"/>
    </row>
    <row r="27" customFormat="false" ht="14.25" hidden="false" customHeight="true" outlineLevel="0" collapsed="false">
      <c r="A27" s="66"/>
      <c r="B27" s="66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HT27" s="61"/>
    </row>
    <row r="28" customFormat="false" ht="14.25" hidden="false" customHeight="true" outlineLevel="0" collapsed="false">
      <c r="A28" s="20" t="s">
        <v>50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0" t="s">
        <v>51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61"/>
      <c r="AD28" s="61"/>
      <c r="AE28" s="61"/>
      <c r="AF28" s="61"/>
      <c r="AG28" s="61"/>
      <c r="AH28" s="61"/>
      <c r="AI28" s="61"/>
      <c r="AJ28" s="61"/>
      <c r="AK28" s="61"/>
      <c r="HT28" s="61"/>
    </row>
    <row r="29" customFormat="false" ht="15.75" hidden="false" customHeight="true" outlineLevel="0" collapsed="false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0"/>
    </row>
    <row r="30" customFormat="false" ht="12.75" hidden="false" customHeight="false" outlineLevel="0" collapsed="false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 customFormat="false" ht="12.75" hidden="false" customHeight="false" outlineLevel="0" collapsed="false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 customFormat="false" ht="12.75" hidden="false" customHeight="false" outlineLevel="0" collapsed="false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 customFormat="false" ht="12.75" hidden="false" customHeight="false" outlineLevel="0" collapsed="false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 customFormat="false" ht="12.75" hidden="false" customHeight="false" outlineLevel="0" collapsed="false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 customFormat="false" ht="12.75" hidden="false" customHeight="false" outlineLevel="0" collapsed="false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 customFormat="false" ht="12.75" hidden="false" customHeight="fals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 customFormat="false" ht="12.75" hidden="false" customHeight="fals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 customFormat="false" ht="12.75" hidden="false" customHeight="false" outlineLevel="0" collapsed="false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customFormat="false" ht="12.75" hidden="false" customHeight="false" outlineLevel="0" collapsed="false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 customFormat="false" ht="12.75" hidden="false" customHeight="false" outlineLevel="0" collapsed="false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 customFormat="false" ht="12.75" hidden="false" customHeight="false" outlineLevel="0" collapsed="false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 customFormat="false" ht="12.75" hidden="false" customHeight="false" outlineLevel="0" collapsed="false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 customFormat="false" ht="12.75" hidden="false" customHeight="false" outlineLevel="0" collapsed="false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 customFormat="false" ht="12.75" hidden="false" customHeight="false" outlineLevel="0" collapsed="false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 customFormat="false" ht="12.75" hidden="false" customHeight="false" outlineLevel="0" collapsed="false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340277777777778" bottom="0.3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2024-09-12T03:39:04Z</dcterms:created>
  <dc:creator>Microsoft Cop.</dc:creator>
  <dc:description/>
  <dc:language>en-US</dc:language>
  <cp:lastModifiedBy>Microsoft Cop.</cp:lastModifiedBy>
  <cp:lastPrinted>2025-01-03T10:09:51Z</cp:lastPrinted>
  <dcterms:modified xsi:type="dcterms:W3CDTF">2026-10-14T03:17:29Z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