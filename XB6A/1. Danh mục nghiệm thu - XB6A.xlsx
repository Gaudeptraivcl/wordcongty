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B6A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đen'!$A$1:$S$29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nền'!$A$1:$V$41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nền'!$A$1:$M$29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lọc'!$A$1:$M$29</definedName>
    <definedName function="false" hidden="false" localSheetId="5" name="_xlnm.Print_Area" vbProcedure="false">'3. KTHH vải lọc'!$A$1:$V$41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đường'!$A$1:$S$39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BTN'!$A$1:$K$29</definedName>
    <definedName function="false" hidden="false" localSheetId="8" name="_xlnm.Print_Area" vbProcedure="false">'KL tưới nhựa'!$A$1:$K$29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<sst xmlns="http://schemas.openxmlformats.org/spreadsheetml/2006/main" count="476" uniqueCount="149">
  <si>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</si>
  <si>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</si>
  <si>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</si>
  <si>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</si>
  <si>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XB6A đoạn từ Km0+000,00-:-Km0+126,46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</si>
  <si>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</si>
  <si>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</si>
  <si>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</si>
  <si>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</si>
  <si>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</si>
  <si>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</si>
  <si>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</si>
  <si>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</si>
  <si>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</si>
  <si>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</si>
  <si>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</si>
  <si>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</si>
  <si>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</si>
  <si>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</si>
  <si>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</si>
  <si>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</si>
  <si>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</si>
  <si>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</si>
  <si>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</si>
  <si>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</si>
  <si>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</si>
  <si>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Km0+000,00 -:- Km0+126,46</t>
  </si>
  <si>
    <t xml:space="preserve">Tuyến XB6A</t>
  </si>
  <si>
    <t xml:space="preserve">00</t>
  </si>
  <si>
    <t xml:space="preserve">Nguyễn Xuân Hưng</t>
  </si>
  <si>
    <t xml:space="preserve">Lê Quốc Huy</t>
  </si>
  <si>
    <t xml:space="preserve">Đào đất xử lý nền đường đoạn từ Km0+000,00 - Km0+126,46</t>
  </si>
  <si>
    <t xml:space="preserve">TCVN 4447-2012: Công tác đất. Thi công và nghiệm thu.</t>
  </si>
  <si>
    <t xml:space="preserve">Rải vải địa kỹ thuật đoạn từ Km0+000,00 - Km0+126,46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</si>
  <si>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</si>
  <si>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Km0+000,00 - Km0+126,46, độ chặt K&gt;=0,95</t>
  </si>
  <si>
    <t xml:space="preserve">Đắp cát nền đường lớp 2 đoạn từ Km0+000,00 - Km0+126,46, độ chặt K&gt;=0,95</t>
  </si>
  <si>
    <t xml:space="preserve">Đắp cát nền đường lớp 3 đoạn từ Km0+000,00 - Km0+126,46, độ chặt K&gt;=0,95</t>
  </si>
  <si>
    <t xml:space="preserve">Đắp cát nền đường lớp 4 đoạn từ Km0+000,00 - Km0+126,46, độ chặt K&gt;=0,95</t>
  </si>
  <si>
    <t xml:space="preserve">Đắp đất nền đường lớp 1 đoạn từ Km0+000,00 - Km0+126,46, độ chặt K&gt;=0,95</t>
  </si>
  <si>
    <t xml:space="preserve">Đắp đất nền đường lớp 2 đoạn từ Km0+000,00 - Km0+126,46, độ chặt K&gt;=0,95</t>
  </si>
  <si>
    <t xml:space="preserve">Đắp đất nền đường lớp 3 đoạn từ Km0+000,00 - Km0+126,46, độ chặt K&gt;=0,95</t>
  </si>
  <si>
    <t xml:space="preserve">Đắp đất nền đường lớp 4 đoạn từ Km0+000,00 - Km0+126,46, độ chặt K&gt;=0,95</t>
  </si>
  <si>
    <t xml:space="preserve">Đắp đất nền đường lớp 5 đoạn từ Km0+000,00 - Km0+126,46, độ chặt K&gt;=0,95</t>
  </si>
  <si>
    <t xml:space="preserve">Đắp đất nền đường lớp 6 đoạn từ Km0+000,00 - Km0+126,46, độ chặt K&gt;=0,95</t>
  </si>
  <si>
    <t xml:space="preserve">Đắp đất nền đường lớp 7 đoạn từ Km0+000,00 - Km0+126,46, độ chặt K&gt;=0,95</t>
  </si>
  <si>
    <t xml:space="preserve">Đắp đất nền đường lớp 8 đoạn từ Km0+000,00 - Km0+126,46, độ chặt K&gt;=0,95</t>
  </si>
  <si>
    <t xml:space="preserve">Đắp đất nền đường lớp 9 đoạn từ Km0+000,00 - Km0+126,46, độ chặt K&gt;=0,95</t>
  </si>
  <si>
    <t xml:space="preserve">Đắp đất nền đường lớp 1, độ chặt K&gt;=0,98 đoạn từ Km0+000,00 - Km0+126,46</t>
  </si>
  <si>
    <t xml:space="preserve">Đắp đất lề đường lớp 1, độ chặt K&gt;=0,95 đoạn từ Km0+000,00 - Km0+126,46</t>
  </si>
  <si>
    <t xml:space="preserve">Đắp đất nền đường lớp 2, độ chặt K&gt;=0,98 đoạn từ Km0+000,00 - Km0+126,46</t>
  </si>
  <si>
    <t xml:space="preserve">Đắp đất lề đường lớp 2, độ chặt K&gt;=0,95 đoạn từ Km0+000,00 - Km0+126,46</t>
  </si>
  <si>
    <t xml:space="preserve">Đắp cấp phối đá dăm loại 2 đoạn từ Km0+000,00 - Km0+126,46</t>
  </si>
  <si>
    <t xml:space="preserve">TCVN 8859:2023 Lớp móng cấp phối đá dăm trong kết cấu áo đường</t>
  </si>
  <si>
    <t xml:space="preserve">Đắp đất lề đường lớp 3, độ chặt K&gt;=0,95 đoạn từ Km0+000,00 - Km0+126,46</t>
  </si>
  <si>
    <t xml:space="preserve">Đắp đất lề đường lớp 4, độ chặt K&gt;=0,95 đoạn từ Km0+000,00 - Km0+126,46</t>
  </si>
  <si>
    <t xml:space="preserve">Đắp cấp phối đá dăm loại 1 đoạn từ Km0+000,00 - Km0+126,46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</si>
  <si>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</si>
  <si>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</si>
  <si>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</si>
  <si>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</si>
  <si>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</si>
  <si>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</si>
  <si>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</si>
  <si>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</si>
  <si>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</si>
  <si>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XB6A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</si>
  <si>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</si>
  <si>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</si>
  <si>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</si>
  <si>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</si>
  <si>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</si>
  <si>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</si>
  <si>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</si>
  <si>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</si>
  <si>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</si>
  <si>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</si>
  <si>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</si>
  <si>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</si>
  <si>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</si>
  <si>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</si>
  <si>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D3</t>
  </si>
  <si>
    <t xml:space="preserve">1</t>
  </si>
  <si>
    <t xml:space="preserve">2</t>
  </si>
  <si>
    <t xml:space="preserve">3</t>
  </si>
  <si>
    <t xml:space="preserve">D2</t>
  </si>
  <si>
    <t xml:space="preserve">4</t>
  </si>
  <si>
    <t xml:space="preserve">5</t>
  </si>
  <si>
    <t xml:space="preserve">6</t>
  </si>
  <si>
    <t xml:space="preserve">D1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</si>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</sst>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6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0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XB6A'!H2</f>
        <v>0</v>
      </c>
      <c r="E8" s="14" t="n">
        <f aca="false">'Tuyến XB6A'!I2</f>
        <v>0</v>
      </c>
      <c r="F8" s="15" t="n">
        <f aca="false">'Tuyến XB6A'!K2</f>
        <v>0</v>
      </c>
      <c r="G8" s="15" t="n">
        <f aca="false">'Tuyến XB6A'!L2</f>
        <v>0</v>
      </c>
    </row>
    <row r="9" s="10" customFormat="true" ht="47.25" hidden="false" customHeight="true" outlineLevel="0" collapsed="false">
      <c r="A9" s="16" t="n">
        <f aca="false">'Tuyến XB6A'!A3</f>
        <v>1</v>
      </c>
      <c r="B9" s="17" t="str">
        <f aca="false">'Tuyến XB6A'!B3</f>
        <v>Kiểm tra cao độ đường đen đoạn từ Km0+000,00 -:- Km0+126,46</v>
      </c>
      <c r="C9" s="18" t="n">
        <f aca="false">'Tuyến XB6A'!C3</f>
        <v>46254</v>
      </c>
      <c r="D9" s="19" t="n">
        <f aca="false">'Tuyến XB6A'!H3</f>
        <v>9</v>
      </c>
      <c r="E9" s="20" t="str">
        <f aca="false">'Tuyến XB6A'!I3</f>
        <v>00</v>
      </c>
      <c r="F9" s="19" t="n">
        <f aca="false">'Tuyến XB6A'!K3</f>
        <v>9</v>
      </c>
      <c r="G9" s="20" t="n">
        <f aca="false">'Tuyến XB6A'!L3</f>
        <v>30</v>
      </c>
    </row>
    <row r="10" s="10" customFormat="true" ht="36" hidden="false" customHeight="true" outlineLevel="0" collapsed="false">
      <c r="A10" s="21" t="n">
        <f aca="false">'Tuyến XB6A'!A4</f>
        <v>2</v>
      </c>
      <c r="B10" s="22" t="str">
        <f aca="false">'Tuyến XB6A'!B4</f>
        <v>Đào đất xử lý nền đường đoạn từ Km0+000,00 - Km0+126,46</v>
      </c>
      <c r="C10" s="23" t="n">
        <f aca="false">'Tuyến XB6A'!C4</f>
        <v>46258</v>
      </c>
      <c r="D10" s="24" t="n">
        <f aca="false">'Tuyến XB6A'!H4</f>
        <v>9</v>
      </c>
      <c r="E10" s="25" t="str">
        <f aca="false">'Tuyến XB6A'!I4</f>
        <v>00</v>
      </c>
      <c r="F10" s="24" t="n">
        <f aca="false">'Tuyến XB6A'!K4</f>
        <v>9</v>
      </c>
      <c r="G10" s="25" t="n">
        <f aca="false">'Tuyến XB6A'!L4</f>
        <v>30</v>
      </c>
    </row>
    <row r="11" s="10" customFormat="true" ht="36" hidden="false" customHeight="true" outlineLevel="0" collapsed="false">
      <c r="A11" s="21" t="n">
        <f aca="false">'Tuyến XB6A'!A5</f>
        <v>3</v>
      </c>
      <c r="B11" s="22" t="str">
        <f aca="false">'Tuyến XB6A'!B5</f>
        <v>Rải vải địa kỹ thuật đoạn từ Km0+000,00 - Km0+126,46</v>
      </c>
      <c r="C11" s="23" t="n">
        <f aca="false">'Tuyến XB6A'!C5</f>
        <v>46258</v>
      </c>
      <c r="D11" s="24" t="n">
        <f aca="false">'Tuyến XB6A'!H5</f>
        <v>15</v>
      </c>
      <c r="E11" s="25" t="str">
        <f aca="false">'Tuyến XB6A'!I5</f>
        <v>00</v>
      </c>
      <c r="F11" s="24" t="n">
        <f aca="false">'Tuyến XB6A'!K5</f>
        <v>15</v>
      </c>
      <c r="G11" s="25" t="n">
        <f aca="false">'Tuyến XB6A'!L5</f>
        <v>30</v>
      </c>
    </row>
    <row r="12" s="10" customFormat="true" ht="36" hidden="false" customHeight="true" outlineLevel="0" collapsed="false">
      <c r="A12" s="21" t="n">
        <f aca="false">'Tuyến XB6A'!A6</f>
        <v>4</v>
      </c>
      <c r="B12" s="22" t="str">
        <f aca="false">'Tuyến XB6A'!B6</f>
        <v>Đắp cát nền đường lớp 1 đoạn từ Km0+000,00 - Km0+126,46, độ chặt K&gt;=0,95</v>
      </c>
      <c r="C12" s="23" t="n">
        <f aca="false">'Tuyến XB6A'!C6</f>
        <v>46259</v>
      </c>
      <c r="D12" s="24" t="n">
        <f aca="false">'Tuyến XB6A'!H6</f>
        <v>9</v>
      </c>
      <c r="E12" s="25" t="str">
        <f aca="false">'Tuyến XB6A'!I6</f>
        <v>00</v>
      </c>
      <c r="F12" s="24" t="n">
        <f aca="false">'Tuyến XB6A'!K6</f>
        <v>9</v>
      </c>
      <c r="G12" s="25" t="n">
        <f aca="false">'Tuyến XB6A'!L6</f>
        <v>30</v>
      </c>
    </row>
    <row r="13" s="10" customFormat="true" ht="36" hidden="false" customHeight="true" outlineLevel="0" collapsed="false">
      <c r="A13" s="21" t="n">
        <f aca="false">'Tuyến XB6A'!A7</f>
        <v>5</v>
      </c>
      <c r="B13" s="22" t="str">
        <f aca="false">'Tuyến XB6A'!B7</f>
        <v>Đắp cát nền đường lớp 2 đoạn từ Km0+000,00 - Km0+126,46, độ chặt K&gt;=0,95</v>
      </c>
      <c r="C13" s="23" t="n">
        <f aca="false">'Tuyến XB6A'!C7</f>
        <v>46260</v>
      </c>
      <c r="D13" s="24" t="n">
        <f aca="false">'Tuyến XB6A'!H7</f>
        <v>9</v>
      </c>
      <c r="E13" s="25" t="str">
        <f aca="false">'Tuyến XB6A'!I7</f>
        <v>00</v>
      </c>
      <c r="F13" s="24" t="n">
        <f aca="false">'Tuyến XB6A'!K7</f>
        <v>9</v>
      </c>
      <c r="G13" s="25" t="n">
        <f aca="false">'Tuyến XB6A'!L7</f>
        <v>30</v>
      </c>
    </row>
    <row r="14" s="10" customFormat="true" ht="36" hidden="false" customHeight="true" outlineLevel="0" collapsed="false">
      <c r="A14" s="21" t="n">
        <f aca="false">'Tuyến XB6A'!A8</f>
        <v>6</v>
      </c>
      <c r="B14" s="22" t="str">
        <f aca="false">'Tuyến XB6A'!B8</f>
        <v>Đắp cát nền đường lớp 3 đoạn từ Km0+000,00 - Km0+126,46, độ chặt K&gt;=0,95</v>
      </c>
      <c r="C14" s="23" t="n">
        <f aca="false">'Tuyến XB6A'!C8</f>
        <v>46261</v>
      </c>
      <c r="D14" s="24" t="n">
        <f aca="false">'Tuyến XB6A'!H8</f>
        <v>9</v>
      </c>
      <c r="E14" s="25" t="str">
        <f aca="false">'Tuyến XB6A'!I8</f>
        <v>00</v>
      </c>
      <c r="F14" s="24" t="n">
        <f aca="false">'Tuyến XB6A'!K8</f>
        <v>9</v>
      </c>
      <c r="G14" s="25" t="n">
        <f aca="false">'Tuyến XB6A'!L8</f>
        <v>30</v>
      </c>
    </row>
    <row r="15" s="10" customFormat="true" ht="36" hidden="false" customHeight="true" outlineLevel="0" collapsed="false">
      <c r="A15" s="21" t="n">
        <f aca="false">'Tuyến XB6A'!A9</f>
        <v>7</v>
      </c>
      <c r="B15" s="22" t="str">
        <f aca="false">'Tuyến XB6A'!B9</f>
        <v>Đắp cát nền đường lớp 4 đoạn từ Km0+000,00 - Km0+126,46, độ chặt K&gt;=0,95</v>
      </c>
      <c r="C15" s="23" t="n">
        <f aca="false">'Tuyến XB6A'!C9</f>
        <v>46262</v>
      </c>
      <c r="D15" s="24" t="n">
        <f aca="false">'Tuyến XB6A'!H9</f>
        <v>9</v>
      </c>
      <c r="E15" s="25" t="str">
        <f aca="false">'Tuyến XB6A'!I9</f>
        <v>00</v>
      </c>
      <c r="F15" s="24" t="n">
        <f aca="false">'Tuyến XB6A'!K9</f>
        <v>9</v>
      </c>
      <c r="G15" s="25" t="n">
        <f aca="false">'Tuyến XB6A'!L9</f>
        <v>30</v>
      </c>
    </row>
    <row r="16" s="10" customFormat="true" ht="36" hidden="false" customHeight="true" outlineLevel="0" collapsed="false">
      <c r="A16" s="21" t="n">
        <f aca="false">'Tuyến XB6A'!A10</f>
        <v>8</v>
      </c>
      <c r="B16" s="22" t="str">
        <f aca="false">'Tuyến XB6A'!B10</f>
        <v>Đắp đất nền đường lớp 1 đoạn từ Km0+000,00 - Km0+126,46, độ chặt K&gt;=0,95</v>
      </c>
      <c r="C16" s="23" t="n">
        <f aca="false">'Tuyến XB6A'!C10</f>
        <v>46263</v>
      </c>
      <c r="D16" s="24" t="n">
        <f aca="false">'Tuyến XB6A'!H10</f>
        <v>9</v>
      </c>
      <c r="E16" s="25" t="str">
        <f aca="false">'Tuyến XB6A'!I10</f>
        <v>00</v>
      </c>
      <c r="F16" s="24" t="n">
        <f aca="false">'Tuyến XB6A'!K10</f>
        <v>9</v>
      </c>
      <c r="G16" s="25" t="n">
        <f aca="false">'Tuyến XB6A'!L10</f>
        <v>30</v>
      </c>
    </row>
    <row r="17" s="10" customFormat="true" ht="36" hidden="false" customHeight="true" outlineLevel="0" collapsed="false">
      <c r="A17" s="21" t="n">
        <f aca="false">'Tuyến XB6A'!A11</f>
        <v>9</v>
      </c>
      <c r="B17" s="22" t="str">
        <f aca="false">'Tuyến XB6A'!B11</f>
        <v>Đắp đất nền đường lớp 2 đoạn từ Km0+000,00 - Km0+126,46, độ chặt K&gt;=0,95</v>
      </c>
      <c r="C17" s="23" t="n">
        <f aca="false">'Tuyến XB6A'!C11</f>
        <v>46263</v>
      </c>
      <c r="D17" s="24" t="n">
        <f aca="false">'Tuyến XB6A'!H11</f>
        <v>15</v>
      </c>
      <c r="E17" s="25" t="str">
        <f aca="false">'Tuyến XB6A'!I11</f>
        <v>00</v>
      </c>
      <c r="F17" s="24" t="n">
        <f aca="false">'Tuyến XB6A'!K11</f>
        <v>15</v>
      </c>
      <c r="G17" s="25" t="n">
        <f aca="false">'Tuyến XB6A'!L11</f>
        <v>30</v>
      </c>
    </row>
    <row r="18" s="10" customFormat="true" ht="36" hidden="false" customHeight="true" outlineLevel="0" collapsed="false">
      <c r="A18" s="21" t="n">
        <f aca="false">'Tuyến XB6A'!A12</f>
        <v>10</v>
      </c>
      <c r="B18" s="22" t="str">
        <f aca="false">'Tuyến XB6A'!B12</f>
        <v>Đắp đất nền đường lớp 3 đoạn từ Km0+000,00 - Km0+126,46, độ chặt K&gt;=0,95</v>
      </c>
      <c r="C18" s="23" t="n">
        <f aca="false">'Tuyến XB6A'!C12</f>
        <v>46264</v>
      </c>
      <c r="D18" s="24" t="n">
        <f aca="false">'Tuyến XB6A'!H12</f>
        <v>9</v>
      </c>
      <c r="E18" s="25" t="str">
        <f aca="false">'Tuyến XB6A'!I12</f>
        <v>00</v>
      </c>
      <c r="F18" s="24" t="n">
        <f aca="false">'Tuyến XB6A'!K12</f>
        <v>9</v>
      </c>
      <c r="G18" s="25" t="n">
        <f aca="false">'Tuyến XB6A'!L12</f>
        <v>30</v>
      </c>
    </row>
    <row r="19" s="10" customFormat="true" ht="36" hidden="false" customHeight="true" outlineLevel="0" collapsed="false">
      <c r="A19" s="21" t="n">
        <f aca="false">'Tuyến XB6A'!A13</f>
        <v>11</v>
      </c>
      <c r="B19" s="22" t="str">
        <f aca="false">'Tuyến XB6A'!B13</f>
        <v>Đắp đất nền đường lớp 4 đoạn từ Km0+000,00 - Km0+126,46, độ chặt K&gt;=0,95</v>
      </c>
      <c r="C19" s="23" t="n">
        <f aca="false">'Tuyến XB6A'!C13</f>
        <v>46264</v>
      </c>
      <c r="D19" s="24" t="n">
        <f aca="false">'Tuyến XB6A'!H13</f>
        <v>15</v>
      </c>
      <c r="E19" s="25" t="str">
        <f aca="false">'Tuyến XB6A'!I13</f>
        <v>00</v>
      </c>
      <c r="F19" s="24" t="n">
        <f aca="false">'Tuyến XB6A'!K13</f>
        <v>15</v>
      </c>
      <c r="G19" s="25" t="n">
        <f aca="false">'Tuyến XB6A'!L13</f>
        <v>30</v>
      </c>
    </row>
    <row r="20" s="10" customFormat="true" ht="36" hidden="false" customHeight="true" outlineLevel="0" collapsed="false">
      <c r="A20" s="21" t="n">
        <f aca="false">'Tuyến XB6A'!A14</f>
        <v>12</v>
      </c>
      <c r="B20" s="22" t="str">
        <f aca="false">'Tuyến XB6A'!B14</f>
        <v>Đắp đất nền đường lớp 5 đoạn từ Km0+000,00 - Km0+126,46, độ chặt K&gt;=0,95</v>
      </c>
      <c r="C20" s="23" t="n">
        <f aca="false">'Tuyến XB6A'!C14</f>
        <v>46268</v>
      </c>
      <c r="D20" s="24" t="n">
        <f aca="false">'Tuyến XB6A'!H14</f>
        <v>9</v>
      </c>
      <c r="E20" s="25" t="str">
        <f aca="false">'Tuyến XB6A'!I14</f>
        <v>00</v>
      </c>
      <c r="F20" s="24" t="n">
        <f aca="false">'Tuyến XB6A'!K14</f>
        <v>9</v>
      </c>
      <c r="G20" s="25" t="n">
        <f aca="false">'Tuyến XB6A'!L14</f>
        <v>30</v>
      </c>
    </row>
    <row r="21" s="10" customFormat="true" ht="36" hidden="false" customHeight="true" outlineLevel="0" collapsed="false">
      <c r="A21" s="21" t="n">
        <f aca="false">'Tuyến XB6A'!A15</f>
        <v>13</v>
      </c>
      <c r="B21" s="22" t="str">
        <f aca="false">'Tuyến XB6A'!B15</f>
        <v>Đắp đất nền đường lớp 6 đoạn từ Km0+000,00 - Km0+126,46, độ chặt K&gt;=0,95</v>
      </c>
      <c r="C21" s="23" t="n">
        <f aca="false">'Tuyến XB6A'!C15</f>
        <v>46268</v>
      </c>
      <c r="D21" s="24" t="n">
        <f aca="false">'Tuyến XB6A'!H15</f>
        <v>15</v>
      </c>
      <c r="E21" s="25" t="str">
        <f aca="false">'Tuyến XB6A'!I15</f>
        <v>00</v>
      </c>
      <c r="F21" s="24" t="n">
        <f aca="false">'Tuyến XB6A'!K15</f>
        <v>15</v>
      </c>
      <c r="G21" s="25" t="n">
        <f aca="false">'Tuyến XB6A'!L15</f>
        <v>30</v>
      </c>
    </row>
    <row r="22" s="10" customFormat="true" ht="36" hidden="false" customHeight="true" outlineLevel="0" collapsed="false">
      <c r="A22" s="21" t="n">
        <f aca="false">'Tuyến XB6A'!A16</f>
        <v>14</v>
      </c>
      <c r="B22" s="22" t="str">
        <f aca="false">'Tuyến XB6A'!B16</f>
        <v>Đắp đất nền đường lớp 7 đoạn từ Km0+000,00 - Km0+126,46, độ chặt K&gt;=0,95</v>
      </c>
      <c r="C22" s="23" t="n">
        <f aca="false">'Tuyến XB6A'!C16</f>
        <v>46269</v>
      </c>
      <c r="D22" s="24" t="n">
        <f aca="false">'Tuyến XB6A'!H16</f>
        <v>9</v>
      </c>
      <c r="E22" s="25" t="str">
        <f aca="false">'Tuyến XB6A'!I16</f>
        <v>00</v>
      </c>
      <c r="F22" s="24" t="n">
        <f aca="false">'Tuyến XB6A'!K16</f>
        <v>9</v>
      </c>
      <c r="G22" s="25" t="n">
        <f aca="false">'Tuyến XB6A'!L16</f>
        <v>30</v>
      </c>
    </row>
    <row r="23" s="26" customFormat="true" ht="36" hidden="false" customHeight="true" outlineLevel="0" collapsed="false">
      <c r="A23" s="21" t="n">
        <f aca="false">'Tuyến XB6A'!A17</f>
        <v>15</v>
      </c>
      <c r="B23" s="22" t="str">
        <f aca="false">'Tuyến XB6A'!B17</f>
        <v>Đắp đất nền đường lớp 8 đoạn từ Km0+000,00 - Km0+126,46, độ chặt K&gt;=0,95</v>
      </c>
      <c r="C23" s="23" t="n">
        <f aca="false">'Tuyến XB6A'!C17</f>
        <v>46269</v>
      </c>
      <c r="D23" s="24" t="n">
        <f aca="false">'Tuyến XB6A'!H17</f>
        <v>15</v>
      </c>
      <c r="E23" s="25" t="str">
        <f aca="false">'Tuyến XB6A'!I17</f>
        <v>00</v>
      </c>
      <c r="F23" s="24" t="n">
        <f aca="false">'Tuyến XB6A'!K17</f>
        <v>15</v>
      </c>
      <c r="G23" s="25" t="n">
        <f aca="false">'Tuyến XB6A'!L17</f>
        <v>30</v>
      </c>
    </row>
    <row r="24" s="10" customFormat="true" ht="36" hidden="false" customHeight="true" outlineLevel="0" collapsed="false">
      <c r="A24" s="21" t="n">
        <f aca="false">'Tuyến XB6A'!A18</f>
        <v>16</v>
      </c>
      <c r="B24" s="22" t="str">
        <f aca="false">'Tuyến XB6A'!B18</f>
        <v>Đắp đất nền đường lớp 9 đoạn từ Km0+000,00 - Km0+126,46, độ chặt K&gt;=0,95</v>
      </c>
      <c r="C24" s="23" t="n">
        <f aca="false">'Tuyến XB6A'!C18</f>
        <v>46270</v>
      </c>
      <c r="D24" s="24" t="n">
        <f aca="false">'Tuyến XB6A'!H18</f>
        <v>9</v>
      </c>
      <c r="E24" s="25" t="str">
        <f aca="false">'Tuyến XB6A'!I18</f>
        <v>00</v>
      </c>
      <c r="F24" s="24" t="n">
        <f aca="false">'Tuyến XB6A'!K18</f>
        <v>9</v>
      </c>
      <c r="G24" s="25" t="n">
        <f aca="false">'Tuyến XB6A'!L18</f>
        <v>30</v>
      </c>
    </row>
    <row r="25" s="10" customFormat="true" ht="36" hidden="false" customHeight="true" outlineLevel="0" collapsed="false">
      <c r="A25" s="21" t="n">
        <f aca="false">'Tuyến XB6A'!A19</f>
        <v>17</v>
      </c>
      <c r="B25" s="22" t="str">
        <f aca="false">'Tuyến XB6A'!B19</f>
        <v>Đắp đất nền đường lớp 1, độ chặt K&gt;=0,98 đoạn từ Km0+000,00 - Km0+126,46</v>
      </c>
      <c r="C25" s="23" t="n">
        <f aca="false">'Tuyến XB6A'!C19</f>
        <v>46271</v>
      </c>
      <c r="D25" s="24" t="n">
        <f aca="false">'Tuyến XB6A'!H19</f>
        <v>9</v>
      </c>
      <c r="E25" s="25" t="str">
        <f aca="false">'Tuyến XB6A'!I19</f>
        <v>00</v>
      </c>
      <c r="F25" s="24" t="n">
        <f aca="false">'Tuyến XB6A'!K19</f>
        <v>9</v>
      </c>
      <c r="G25" s="25" t="n">
        <f aca="false">'Tuyến XB6A'!L19</f>
        <v>30</v>
      </c>
    </row>
    <row r="26" s="10" customFormat="true" ht="36" hidden="false" customHeight="true" outlineLevel="0" collapsed="false">
      <c r="A26" s="21" t="n">
        <f aca="false">'Tuyến XB6A'!A20</f>
        <v>18</v>
      </c>
      <c r="B26" s="22" t="str">
        <f aca="false">'Tuyến XB6A'!B20</f>
        <v>Đắp đất lề đường lớp 1, độ chặt K&gt;=0,95 đoạn từ Km0+000,00 - Km0+126,46</v>
      </c>
      <c r="C26" s="23" t="n">
        <f aca="false">'Tuyến XB6A'!C20</f>
        <v>46271</v>
      </c>
      <c r="D26" s="24" t="n">
        <f aca="false">'Tuyến XB6A'!H20</f>
        <v>15</v>
      </c>
      <c r="E26" s="25" t="str">
        <f aca="false">'Tuyến XB6A'!I20</f>
        <v>00</v>
      </c>
      <c r="F26" s="24" t="n">
        <f aca="false">'Tuyến XB6A'!K20</f>
        <v>15</v>
      </c>
      <c r="G26" s="25" t="n">
        <f aca="false">'Tuyến XB6A'!L20</f>
        <v>30</v>
      </c>
    </row>
    <row r="27" s="10" customFormat="true" ht="36" hidden="false" customHeight="true" outlineLevel="0" collapsed="false">
      <c r="A27" s="21" t="n">
        <f aca="false">'Tuyến XB6A'!A21</f>
        <v>19</v>
      </c>
      <c r="B27" s="22" t="str">
        <f aca="false">'Tuyến XB6A'!B21</f>
        <v>Đắp đất nền đường lớp 2, độ chặt K&gt;=0,98 đoạn từ Km0+000,00 - Km0+126,46</v>
      </c>
      <c r="C27" s="23" t="n">
        <f aca="false">'Tuyến XB6A'!C21</f>
        <v>46272</v>
      </c>
      <c r="D27" s="24" t="n">
        <f aca="false">'Tuyến XB6A'!H21</f>
        <v>9</v>
      </c>
      <c r="E27" s="25" t="str">
        <f aca="false">'Tuyến XB6A'!I21</f>
        <v>00</v>
      </c>
      <c r="F27" s="24" t="n">
        <f aca="false">'Tuyến XB6A'!K21</f>
        <v>9</v>
      </c>
      <c r="G27" s="25" t="n">
        <f aca="false">'Tuyến XB6A'!L21</f>
        <v>30</v>
      </c>
    </row>
    <row r="28" s="10" customFormat="true" ht="36" hidden="false" customHeight="true" outlineLevel="0" collapsed="false">
      <c r="A28" s="21" t="n">
        <f aca="false">'Tuyến XB6A'!A22</f>
        <v>20</v>
      </c>
      <c r="B28" s="22" t="str">
        <f aca="false">'Tuyến XB6A'!B22</f>
        <v>Đắp đất lề đường lớp 2, độ chặt K&gt;=0,95 đoạn từ Km0+000,00 - Km0+126,46</v>
      </c>
      <c r="C28" s="23" t="n">
        <f aca="false">'Tuyến XB6A'!C22</f>
        <v>46272</v>
      </c>
      <c r="D28" s="24" t="n">
        <f aca="false">'Tuyến XB6A'!H22</f>
        <v>15</v>
      </c>
      <c r="E28" s="25" t="str">
        <f aca="false">'Tuyến XB6A'!I22</f>
        <v>00</v>
      </c>
      <c r="F28" s="24" t="n">
        <f aca="false">'Tuyến XB6A'!K22</f>
        <v>15</v>
      </c>
      <c r="G28" s="25" t="n">
        <f aca="false">'Tuyến XB6A'!L22</f>
        <v>30</v>
      </c>
    </row>
    <row r="29" s="10" customFormat="true" ht="36" hidden="false" customHeight="true" outlineLevel="0" collapsed="false">
      <c r="A29" s="21" t="n">
        <f aca="false">'Tuyến XB6A'!A23</f>
        <v>21</v>
      </c>
      <c r="B29" s="22" t="str">
        <f aca="false">'Tuyến XB6A'!B23</f>
        <v>Đắp cấp phối đá dăm loại 2 đoạn từ Km0+000,00 - Km0+126,46</v>
      </c>
      <c r="C29" s="23" t="n">
        <f aca="false">'Tuyến XB6A'!C23</f>
        <v>46273</v>
      </c>
      <c r="D29" s="24" t="n">
        <f aca="false">'Tuyến XB6A'!H23</f>
        <v>9</v>
      </c>
      <c r="E29" s="25" t="str">
        <f aca="false">'Tuyến XB6A'!I23</f>
        <v>00</v>
      </c>
      <c r="F29" s="24" t="n">
        <f aca="false">'Tuyến XB6A'!K23</f>
        <v>9</v>
      </c>
      <c r="G29" s="25" t="n">
        <f aca="false">'Tuyến XB6A'!L23</f>
        <v>30</v>
      </c>
    </row>
    <row r="30" s="10" customFormat="true" ht="36" hidden="false" customHeight="true" outlineLevel="0" collapsed="false">
      <c r="A30" s="21" t="n">
        <f aca="false">'Tuyến XB6A'!A24</f>
        <v>22</v>
      </c>
      <c r="B30" s="22" t="str">
        <f aca="false">'Tuyến XB6A'!B24</f>
        <v>Đắp đất lề đường lớp 3, độ chặt K&gt;=0,95 đoạn từ Km0+000,00 - Km0+126,46</v>
      </c>
      <c r="C30" s="23" t="n">
        <f aca="false">'Tuyến XB6A'!C24</f>
        <v>46273</v>
      </c>
      <c r="D30" s="24" t="n">
        <f aca="false">'Tuyến XB6A'!H24</f>
        <v>15</v>
      </c>
      <c r="E30" s="25" t="str">
        <f aca="false">'Tuyến XB6A'!I24</f>
        <v>00</v>
      </c>
      <c r="F30" s="24" t="n">
        <f aca="false">'Tuyến XB6A'!K24</f>
        <v>15</v>
      </c>
      <c r="G30" s="25" t="n">
        <f aca="false">'Tuyến XB6A'!L24</f>
        <v>30</v>
      </c>
    </row>
    <row r="31" customFormat="false" ht="31.5" hidden="false" customHeight="true" outlineLevel="0" collapsed="false">
      <c r="A31" s="21" t="n">
        <f aca="false">'Tuyến XB6A'!A25</f>
        <v>23</v>
      </c>
      <c r="B31" s="22" t="str">
        <f aca="false">'Tuyến XB6A'!B25</f>
        <v>Đắp đất lề đường lớp 4, độ chặt K&gt;=0,95 đoạn từ Km0+000,00 - Km0+126,46</v>
      </c>
      <c r="C31" s="23" t="n">
        <f aca="false">'Tuyến XB6A'!C25</f>
        <v>46274</v>
      </c>
      <c r="D31" s="24" t="n">
        <f aca="false">'Tuyến XB6A'!H25</f>
        <v>9</v>
      </c>
      <c r="E31" s="25" t="str">
        <f aca="false">'Tuyến XB6A'!I25</f>
        <v>00</v>
      </c>
      <c r="F31" s="24" t="n">
        <f aca="false">'Tuyến XB6A'!K25</f>
        <v>9</v>
      </c>
      <c r="G31" s="25" t="n">
        <f aca="false">'Tuyến XB6A'!L25</f>
        <v>30</v>
      </c>
    </row>
    <row r="32" customFormat="false" ht="31.5" hidden="false" customHeight="true" outlineLevel="0" collapsed="false">
      <c r="A32" s="21" t="n">
        <f aca="false">'Tuyến XB6A'!A26</f>
        <v>24</v>
      </c>
      <c r="B32" s="22" t="str">
        <f aca="false">'Tuyến XB6A'!B26</f>
        <v>Đắp cấp phối đá dăm loại 1 đoạn từ Km0+000,00 - Km0+126,46</v>
      </c>
      <c r="C32" s="23" t="n">
        <f aca="false">'Tuyến XB6A'!C26</f>
        <v>46274</v>
      </c>
      <c r="D32" s="24" t="n">
        <f aca="false">'Tuyến XB6A'!H26</f>
        <v>15</v>
      </c>
      <c r="E32" s="25" t="str">
        <f aca="false">'Tuyến XB6A'!I26</f>
        <v>00</v>
      </c>
      <c r="F32" s="24" t="n">
        <f aca="false">'Tuyến XB6A'!K26</f>
        <v>15</v>
      </c>
      <c r="G32" s="25" t="n">
        <f aca="false">'Tuyến XB6A'!L26</f>
        <v>30</v>
      </c>
    </row>
    <row r="33" customFormat="false" ht="31.5" hidden="false" customHeight="true" outlineLevel="0" collapsed="false">
      <c r="A33" s="21" t="n">
        <f aca="false">'Tuyến XB6A'!A27</f>
        <v>25</v>
      </c>
      <c r="B33" s="22" t="str">
        <f aca="false">'Tuyến XB6A'!B27</f>
        <v>Vệ sinh, thổi bụi mặt đường </v>
      </c>
      <c r="C33" s="23" t="n">
        <f aca="false">'Tuyến XB6A'!C27</f>
        <v>46276</v>
      </c>
      <c r="D33" s="24" t="n">
        <f aca="false">'Tuyến XB6A'!H27</f>
        <v>9</v>
      </c>
      <c r="E33" s="25" t="str">
        <f aca="false">'Tuyến XB6A'!I27</f>
        <v>00</v>
      </c>
      <c r="F33" s="24" t="n">
        <f aca="false">'Tuyến XB6A'!K27</f>
        <v>9</v>
      </c>
      <c r="G33" s="25" t="n">
        <f aca="false">'Tuyến XB6A'!L27</f>
        <v>30</v>
      </c>
    </row>
    <row r="34" customFormat="false" ht="31.5" hidden="false" customHeight="true" outlineLevel="0" collapsed="false">
      <c r="A34" s="21" t="n">
        <f aca="false">'Tuyến XB6A'!A28</f>
        <v>26</v>
      </c>
      <c r="B34" s="22" t="str">
        <f aca="false">'Tuyến XB6A'!B28</f>
        <v>Tưới lớp thấm bám mặt đường, nhựa MC70, lượng nhựa 1kg/m2</v>
      </c>
      <c r="C34" s="23" t="n">
        <f aca="false">'Tuyến XB6A'!C28</f>
        <v>46278</v>
      </c>
      <c r="D34" s="24" t="n">
        <f aca="false">'Tuyến XB6A'!H28</f>
        <v>9</v>
      </c>
      <c r="E34" s="25" t="str">
        <f aca="false">'Tuyến XB6A'!I28</f>
        <v>00</v>
      </c>
      <c r="F34" s="24" t="n">
        <f aca="false">'Tuyến XB6A'!K28</f>
        <v>9</v>
      </c>
      <c r="G34" s="25" t="n">
        <f aca="false">'Tuyến XB6A'!L28</f>
        <v>30</v>
      </c>
    </row>
    <row r="35" customFormat="false" ht="31.5" hidden="false" customHeight="true" outlineLevel="0" collapsed="false">
      <c r="A35" s="27" t="n">
        <f aca="false">'Tuyến XB6A'!A29</f>
        <v>27</v>
      </c>
      <c r="B35" s="28" t="str">
        <f aca="false">'Tuyến XB6A'!B29</f>
        <v>Rải thảm mặt đường bê tông nhựa C16 - Chiều dày mặt đường đã lèn ép 6cm</v>
      </c>
      <c r="C35" s="29" t="n">
        <f aca="false">'Tuyến XB6A'!C29</f>
        <v>46284</v>
      </c>
      <c r="D35" s="30" t="n">
        <f aca="false">'Tuyến XB6A'!H29</f>
        <v>9</v>
      </c>
      <c r="E35" s="31" t="str">
        <f aca="false">'Tuyến XB6A'!I29</f>
        <v>00</v>
      </c>
      <c r="F35" s="30" t="n">
        <f aca="false">'Tuyến XB6A'!K29</f>
        <v>9</v>
      </c>
      <c r="G35" s="31" t="n">
        <f aca="false">'Tuyến XB6A'!L29</f>
        <v>30</v>
      </c>
    </row>
    <row r="36" customFormat="false" ht="31.5" hidden="false" customHeight="true" outlineLevel="0" collapsed="false">
      <c r="A36" s="21" t="n">
        <f aca="false">'Tuyến XB6A'!A30</f>
        <v>28</v>
      </c>
      <c r="B36" s="22" t="str">
        <f aca="false">'Tuyến XB6A'!B30</f>
        <v>Bê tông nhựa C16 - Chiều dày mặt đường đã lèn ép 6cm</v>
      </c>
      <c r="C36" s="23" t="n">
        <f aca="false">'Tuyến XB6A'!C30</f>
        <v>46286</v>
      </c>
      <c r="D36" s="24" t="n">
        <f aca="false">'Tuyến XB6A'!H30</f>
        <v>9</v>
      </c>
      <c r="E36" s="25" t="str">
        <f aca="false">'Tuyến XB6A'!I30</f>
        <v>00</v>
      </c>
      <c r="F36" s="24" t="n">
        <f aca="false">'Tuyến XB6A'!K30</f>
        <v>9</v>
      </c>
      <c r="G36" s="25" t="n">
        <f aca="false">'Tuyến XB6A'!L30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1</v>
      </c>
      <c r="B3" s="37" t="s">
        <v>26</v>
      </c>
      <c r="C3" s="44" t="n">
        <v>46254</v>
      </c>
      <c r="D3" s="39" t="str">
        <f aca="false">CONCATENATE("ngày ",TEXT(C3,"dd")," tháng ",TEXT(C3,"mm")," năm ",TEXT(C3,"yyyy"))</f>
        <v>ngày 20 tháng 08 năm 2026</v>
      </c>
      <c r="E3" s="38" t="s">
        <v>27</v>
      </c>
      <c r="F3" s="40" t="str">
        <f aca="false">TEXT(A3,"00") &amp; ".NĐ/YCNT"</f>
        <v>01.NĐ/YCNT</v>
      </c>
      <c r="G3" s="41" t="str">
        <f aca="false">TEXT(A3,"00") &amp; ".NĐXB6A/CVXD "</f>
        <v>01.NĐXB6A/CVXD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20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2</v>
      </c>
      <c r="B4" s="37" t="s">
        <v>31</v>
      </c>
      <c r="C4" s="44" t="n">
        <f aca="false">+C3+4</f>
        <v>46258</v>
      </c>
      <c r="D4" s="39" t="str">
        <f aca="false">CONCATENATE("ngày ",TEXT(C4,"dd")," tháng ",TEXT(C4,"mm")," năm ",TEXT(C4,"yyyy"))</f>
        <v>ngày 24 tháng 08 năm 2026</v>
      </c>
      <c r="E4" s="38" t="s">
        <v>27</v>
      </c>
      <c r="F4" s="40" t="str">
        <f aca="false">TEXT(A4,"00") &amp; ".NĐ/YCNT"</f>
        <v>02.NĐ/YCNT</v>
      </c>
      <c r="G4" s="41" t="str">
        <f aca="false">TEXT(A4,"00") &amp; ".NĐXB6A/CVXD "</f>
        <v>02.NĐXB6A/CVXD </v>
      </c>
      <c r="H4" s="42" t="n">
        <v>9</v>
      </c>
      <c r="I4" s="45" t="s">
        <v>28</v>
      </c>
      <c r="J4" s="37" t="s">
        <v>32</v>
      </c>
      <c r="K4" s="42" t="n">
        <f aca="false">+H4</f>
        <v>9</v>
      </c>
      <c r="L4" s="45" t="n">
        <v>30</v>
      </c>
      <c r="M4" s="39" t="str">
        <f aca="false">CONCATENATE(TEXT(C4,"dd"))</f>
        <v>24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</v>
      </c>
      <c r="B5" s="37" t="s">
        <v>33</v>
      </c>
      <c r="C5" s="44" t="n">
        <f aca="false">+C4</f>
        <v>46258</v>
      </c>
      <c r="D5" s="39" t="str">
        <f aca="false">CONCATENATE("ngày ",TEXT(C5,"dd")," tháng ",TEXT(C5,"mm")," năm ",TEXT(C5,"yyyy"))</f>
        <v>ngày 24 tháng 08 năm 2026</v>
      </c>
      <c r="E5" s="38" t="s">
        <v>27</v>
      </c>
      <c r="F5" s="40" t="str">
        <f aca="false">TEXT(A5,"00") &amp; ".NĐ/YCNT"</f>
        <v>03.NĐ/YCNT</v>
      </c>
      <c r="G5" s="41" t="str">
        <f aca="false">TEXT(A5,"00") &amp; ".NĐXB6A/CVXD "</f>
        <v>03.NĐXB6A/CVXD </v>
      </c>
      <c r="H5" s="42" t="n">
        <v>15</v>
      </c>
      <c r="I5" s="45" t="s">
        <v>28</v>
      </c>
      <c r="J5" s="37" t="s">
        <v>34</v>
      </c>
      <c r="K5" s="42" t="n">
        <f aca="false">+H5</f>
        <v>15</v>
      </c>
      <c r="L5" s="45" t="n">
        <v>30</v>
      </c>
      <c r="M5" s="39" t="str">
        <f aca="false">CONCATENATE(TEXT(C5,"dd"))</f>
        <v>24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4</v>
      </c>
      <c r="B6" s="37" t="s">
        <v>35</v>
      </c>
      <c r="C6" s="44" t="n">
        <f aca="false">+C5+1</f>
        <v>46259</v>
      </c>
      <c r="D6" s="39" t="str">
        <f aca="false">CONCATENATE("ngày ",TEXT(C6,"dd")," tháng ",TEXT(C6,"mm")," năm ",TEXT(C6,"yyyy"))</f>
        <v>ngày 25 tháng 08 năm 2026</v>
      </c>
      <c r="E6" s="38" t="s">
        <v>27</v>
      </c>
      <c r="F6" s="40" t="str">
        <f aca="false">TEXT(A6,"00") &amp; ".NĐ/YCNT"</f>
        <v>04.NĐ/YCNT</v>
      </c>
      <c r="G6" s="41" t="str">
        <f aca="false">TEXT(A6,"00") &amp; ".NĐXB6A/CVXD "</f>
        <v>04.NĐXB6A/CVXD </v>
      </c>
      <c r="H6" s="42" t="n">
        <v>9</v>
      </c>
      <c r="I6" s="45" t="s">
        <v>28</v>
      </c>
      <c r="J6" s="37" t="s">
        <v>32</v>
      </c>
      <c r="K6" s="42" t="n">
        <f aca="false">+H6</f>
        <v>9</v>
      </c>
      <c r="L6" s="45" t="n">
        <v>30</v>
      </c>
      <c r="M6" s="39" t="str">
        <f aca="false">CONCATENATE(TEXT(C6,"dd"))</f>
        <v>25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5</v>
      </c>
      <c r="B7" s="37" t="s">
        <v>36</v>
      </c>
      <c r="C7" s="44" t="n">
        <f aca="false">+C6+1</f>
        <v>46260</v>
      </c>
      <c r="D7" s="39" t="str">
        <f aca="false">CONCATENATE("ngày ",TEXT(C7,"dd")," tháng ",TEXT(C7,"mm")," năm ",TEXT(C7,"yyyy"))</f>
        <v>ngày 26 tháng 08 năm 2026</v>
      </c>
      <c r="E7" s="38" t="s">
        <v>27</v>
      </c>
      <c r="F7" s="40" t="str">
        <f aca="false">TEXT(A7,"00") &amp; ".NĐ/YCNT"</f>
        <v>05.NĐ/YCNT</v>
      </c>
      <c r="G7" s="41" t="str">
        <f aca="false">TEXT(A7,"00") &amp; ".NĐXB6A/CVXD "</f>
        <v>05.NĐXB6A/CVXD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26</v>
      </c>
      <c r="N7" s="39" t="str">
        <f aca="false">CONCATENATE(TEXT(C7,"mm"))</f>
        <v>08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</v>
      </c>
      <c r="B8" s="37" t="s">
        <v>37</v>
      </c>
      <c r="C8" s="44" t="n">
        <f aca="false">+C7+1</f>
        <v>46261</v>
      </c>
      <c r="D8" s="39" t="str">
        <f aca="false">CONCATENATE("ngày ",TEXT(C8,"dd")," tháng ",TEXT(C8,"mm")," năm ",TEXT(C8,"yyyy"))</f>
        <v>ngày 27 tháng 08 năm 2026</v>
      </c>
      <c r="E8" s="38" t="s">
        <v>27</v>
      </c>
      <c r="F8" s="40" t="str">
        <f aca="false">TEXT(A8,"00") &amp; ".NĐ/YCNT"</f>
        <v>06.NĐ/YCNT</v>
      </c>
      <c r="G8" s="41" t="str">
        <f aca="false">TEXT(A8,"00") &amp; ".NĐXB6A/CVXD "</f>
        <v>06.NĐXB6A/CVXD </v>
      </c>
      <c r="H8" s="42" t="n">
        <v>9</v>
      </c>
      <c r="I8" s="45" t="s">
        <v>28</v>
      </c>
      <c r="J8" s="37" t="s">
        <v>32</v>
      </c>
      <c r="K8" s="42" t="n">
        <f aca="false">+H8</f>
        <v>9</v>
      </c>
      <c r="L8" s="45" t="n">
        <v>30</v>
      </c>
      <c r="M8" s="39" t="str">
        <f aca="false">CONCATENATE(TEXT(C8,"dd"))</f>
        <v>27</v>
      </c>
      <c r="N8" s="39" t="str">
        <f aca="false">CONCATENATE(TEXT(C8,"mm"))</f>
        <v>08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7</v>
      </c>
      <c r="B9" s="37" t="s">
        <v>38</v>
      </c>
      <c r="C9" s="44" t="n">
        <f aca="false">+C8+1</f>
        <v>46262</v>
      </c>
      <c r="D9" s="39" t="str">
        <f aca="false">CONCATENATE("ngày ",TEXT(C9,"dd")," tháng ",TEXT(C9,"mm")," năm ",TEXT(C9,"yyyy"))</f>
        <v>ngày 28 tháng 08 năm 2026</v>
      </c>
      <c r="E9" s="38" t="s">
        <v>27</v>
      </c>
      <c r="F9" s="40" t="str">
        <f aca="false">TEXT(A9,"00") &amp; ".NĐ/YCNT"</f>
        <v>07.NĐ/YCNT</v>
      </c>
      <c r="G9" s="41" t="str">
        <f aca="false">TEXT(A9,"00") &amp; ".NĐXB6A/CVXD "</f>
        <v>07.NĐXB6A/CVXD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28</v>
      </c>
      <c r="N9" s="39" t="str">
        <f aca="false">CONCATENATE(TEXT(C9,"mm"))</f>
        <v>08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8</v>
      </c>
      <c r="B10" s="37" t="s">
        <v>39</v>
      </c>
      <c r="C10" s="44" t="n">
        <f aca="false">+C9+1</f>
        <v>46263</v>
      </c>
      <c r="D10" s="39" t="str">
        <f aca="false">CONCATENATE("ngày ",TEXT(C10,"dd")," tháng ",TEXT(C10,"mm")," năm ",TEXT(C10,"yyyy"))</f>
        <v>ngày 29 tháng 08 năm 2026</v>
      </c>
      <c r="E10" s="38" t="s">
        <v>27</v>
      </c>
      <c r="F10" s="40" t="str">
        <f aca="false">TEXT(A10,"00") &amp; ".NĐ/YCNT"</f>
        <v>08.NĐ/YCNT</v>
      </c>
      <c r="G10" s="41" t="str">
        <f aca="false">TEXT(A10,"00") &amp; ".NĐXB6A/CVXD "</f>
        <v>08.NĐXB6A/CVXD </v>
      </c>
      <c r="H10" s="42" t="n">
        <v>9</v>
      </c>
      <c r="I10" s="45" t="s">
        <v>28</v>
      </c>
      <c r="J10" s="37" t="s">
        <v>32</v>
      </c>
      <c r="K10" s="42" t="n">
        <f aca="false">+H10</f>
        <v>9</v>
      </c>
      <c r="L10" s="45" t="n">
        <v>30</v>
      </c>
      <c r="M10" s="39" t="str">
        <f aca="false">CONCATENATE(TEXT(C10,"dd"))</f>
        <v>29</v>
      </c>
      <c r="N10" s="39" t="str">
        <f aca="false">CONCATENATE(TEXT(C10,"mm"))</f>
        <v>08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9</v>
      </c>
      <c r="B11" s="37" t="s">
        <v>40</v>
      </c>
      <c r="C11" s="44" t="n">
        <f aca="false">+C10</f>
        <v>46263</v>
      </c>
      <c r="D11" s="39" t="str">
        <f aca="false">CONCATENATE("ngày ",TEXT(C11,"dd")," tháng ",TEXT(C11,"mm")," năm ",TEXT(C11,"yyyy"))</f>
        <v>ngày 29 tháng 08 năm 2026</v>
      </c>
      <c r="E11" s="38" t="s">
        <v>27</v>
      </c>
      <c r="F11" s="40" t="str">
        <f aca="false">TEXT(A11,"00") &amp; ".NĐ/YCNT"</f>
        <v>09.NĐ/YCNT</v>
      </c>
      <c r="G11" s="41" t="str">
        <f aca="false">TEXT(A11,"00") &amp; ".NĐXB6A/CVXD "</f>
        <v>09.NĐXB6A/CVXD </v>
      </c>
      <c r="H11" s="42" t="n">
        <v>15</v>
      </c>
      <c r="I11" s="45" t="s">
        <v>28</v>
      </c>
      <c r="J11" s="37" t="s">
        <v>32</v>
      </c>
      <c r="K11" s="42" t="n">
        <f aca="false">+H11</f>
        <v>15</v>
      </c>
      <c r="L11" s="45" t="n">
        <v>30</v>
      </c>
      <c r="M11" s="39" t="str">
        <f aca="false">CONCATENATE(TEXT(C11,"dd"))</f>
        <v>29</v>
      </c>
      <c r="N11" s="39" t="str">
        <f aca="false">CONCATENATE(TEXT(C11,"mm"))</f>
        <v>08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10</v>
      </c>
      <c r="B12" s="37" t="s">
        <v>41</v>
      </c>
      <c r="C12" s="44" t="n">
        <f aca="false">+C11+1</f>
        <v>46264</v>
      </c>
      <c r="D12" s="39" t="str">
        <f aca="false">CONCATENATE("ngày ",TEXT(C12,"dd")," tháng ",TEXT(C12,"mm")," năm ",TEXT(C12,"yyyy"))</f>
        <v>ngày 30 tháng 08 năm 2026</v>
      </c>
      <c r="E12" s="38" t="s">
        <v>27</v>
      </c>
      <c r="F12" s="40" t="str">
        <f aca="false">TEXT(A12,"00") &amp; ".NĐ/YCNT"</f>
        <v>10.NĐ/YCNT</v>
      </c>
      <c r="G12" s="41" t="str">
        <f aca="false">TEXT(A12,"00") &amp; ".NĐXB6A/CVXD "</f>
        <v>10.NĐXB6A/CVXD </v>
      </c>
      <c r="H12" s="42" t="n">
        <v>9</v>
      </c>
      <c r="I12" s="45" t="s">
        <v>28</v>
      </c>
      <c r="J12" s="37" t="s">
        <v>32</v>
      </c>
      <c r="K12" s="42" t="n">
        <f aca="false">+H12</f>
        <v>9</v>
      </c>
      <c r="L12" s="45" t="n">
        <v>30</v>
      </c>
      <c r="M12" s="39" t="str">
        <f aca="false">CONCATENATE(TEXT(C12,"dd"))</f>
        <v>30</v>
      </c>
      <c r="N12" s="39" t="str">
        <f aca="false">CONCATENATE(TEXT(C12,"mm"))</f>
        <v>08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11</v>
      </c>
      <c r="B13" s="37" t="s">
        <v>42</v>
      </c>
      <c r="C13" s="44" t="n">
        <f aca="false">+C12</f>
        <v>46264</v>
      </c>
      <c r="D13" s="39" t="str">
        <f aca="false">CONCATENATE("ngày ",TEXT(C13,"dd")," tháng ",TEXT(C13,"mm")," năm ",TEXT(C13,"yyyy"))</f>
        <v>ngày 30 tháng 08 năm 2026</v>
      </c>
      <c r="E13" s="38" t="s">
        <v>27</v>
      </c>
      <c r="F13" s="40" t="str">
        <f aca="false">TEXT(A13,"00") &amp; ".NĐ/YCNT"</f>
        <v>11.NĐ/YCNT</v>
      </c>
      <c r="G13" s="41" t="str">
        <f aca="false">TEXT(A13,"00") &amp; ".NĐXB6A/CVXD "</f>
        <v>11.NĐXB6A/CVXD </v>
      </c>
      <c r="H13" s="42" t="n">
        <v>15</v>
      </c>
      <c r="I13" s="45" t="s">
        <v>28</v>
      </c>
      <c r="J13" s="37" t="s">
        <v>32</v>
      </c>
      <c r="K13" s="42" t="n">
        <f aca="false">+H13</f>
        <v>15</v>
      </c>
      <c r="L13" s="45" t="n">
        <v>30</v>
      </c>
      <c r="M13" s="39" t="str">
        <f aca="false">CONCATENATE(TEXT(C13,"dd"))</f>
        <v>30</v>
      </c>
      <c r="N13" s="39" t="str">
        <f aca="false">CONCATENATE(TEXT(C13,"mm"))</f>
        <v>08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12</v>
      </c>
      <c r="B14" s="37" t="s">
        <v>43</v>
      </c>
      <c r="C14" s="44" t="n">
        <f aca="false">+C13+4</f>
        <v>46268</v>
      </c>
      <c r="D14" s="39" t="str">
        <f aca="false">CONCATENATE("ngày ",TEXT(C14,"dd")," tháng ",TEXT(C14,"mm")," năm ",TEXT(C14,"yyyy"))</f>
        <v>ngày 03 tháng 09 năm 2026</v>
      </c>
      <c r="E14" s="38" t="s">
        <v>27</v>
      </c>
      <c r="F14" s="40" t="str">
        <f aca="false">TEXT(A14,"00") &amp; ".NĐ/YCNT"</f>
        <v>12.NĐ/YCNT</v>
      </c>
      <c r="G14" s="41" t="str">
        <f aca="false">TEXT(A14,"00") &amp; ".NĐXB6A/CVXD "</f>
        <v>12.NĐXB6A/CVXD </v>
      </c>
      <c r="H14" s="42" t="n">
        <v>9</v>
      </c>
      <c r="I14" s="45" t="s">
        <v>28</v>
      </c>
      <c r="J14" s="37" t="s">
        <v>32</v>
      </c>
      <c r="K14" s="42" t="n">
        <f aca="false">+H14</f>
        <v>9</v>
      </c>
      <c r="L14" s="45" t="n">
        <v>30</v>
      </c>
      <c r="M14" s="39" t="str">
        <f aca="false">CONCATENATE(TEXT(C14,"dd"))</f>
        <v>03</v>
      </c>
      <c r="N14" s="39" t="str">
        <f aca="false">CONCATENATE(TEXT(C14,"mm"))</f>
        <v>09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13</v>
      </c>
      <c r="B15" s="37" t="s">
        <v>44</v>
      </c>
      <c r="C15" s="44" t="n">
        <f aca="false">+C14</f>
        <v>46268</v>
      </c>
      <c r="D15" s="39" t="str">
        <f aca="false">CONCATENATE("ngày ",TEXT(C15,"dd")," tháng ",TEXT(C15,"mm")," năm ",TEXT(C15,"yyyy"))</f>
        <v>ngày 03 tháng 09 năm 2026</v>
      </c>
      <c r="E15" s="38" t="s">
        <v>27</v>
      </c>
      <c r="F15" s="40" t="str">
        <f aca="false">TEXT(A15,"00") &amp; ".NĐ/YCNT"</f>
        <v>13.NĐ/YCNT</v>
      </c>
      <c r="G15" s="41" t="str">
        <f aca="false">TEXT(A15,"00") &amp; ".NĐXB6A/CVXD "</f>
        <v>13.NĐXB6A/CVXD </v>
      </c>
      <c r="H15" s="42" t="n">
        <v>15</v>
      </c>
      <c r="I15" s="45" t="s">
        <v>28</v>
      </c>
      <c r="J15" s="37" t="s">
        <v>32</v>
      </c>
      <c r="K15" s="42" t="n">
        <f aca="false">+H15</f>
        <v>15</v>
      </c>
      <c r="L15" s="45" t="n">
        <v>30</v>
      </c>
      <c r="M15" s="39" t="str">
        <f aca="false">CONCATENATE(TEXT(C15,"dd"))</f>
        <v>03</v>
      </c>
      <c r="N15" s="39" t="str">
        <f aca="false">CONCATENATE(TEXT(C15,"mm"))</f>
        <v>09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14</v>
      </c>
      <c r="B16" s="37" t="s">
        <v>45</v>
      </c>
      <c r="C16" s="44" t="n">
        <f aca="false">+C15+1</f>
        <v>46269</v>
      </c>
      <c r="D16" s="39" t="str">
        <f aca="false">CONCATENATE("ngày ",TEXT(C16,"dd")," tháng ",TEXT(C16,"mm")," năm ",TEXT(C16,"yyyy"))</f>
        <v>ngày 04 tháng 09 năm 2026</v>
      </c>
      <c r="E16" s="38" t="s">
        <v>27</v>
      </c>
      <c r="F16" s="40" t="str">
        <f aca="false">TEXT(A16,"00") &amp; ".NĐ/YCNT"</f>
        <v>14.NĐ/YCNT</v>
      </c>
      <c r="G16" s="41" t="str">
        <f aca="false">TEXT(A16,"00") &amp; ".NĐXB6A/CVXD "</f>
        <v>14.NĐXB6A/CVXD </v>
      </c>
      <c r="H16" s="42" t="n">
        <v>9</v>
      </c>
      <c r="I16" s="45" t="s">
        <v>28</v>
      </c>
      <c r="J16" s="37" t="s">
        <v>32</v>
      </c>
      <c r="K16" s="42" t="n">
        <f aca="false">+H16</f>
        <v>9</v>
      </c>
      <c r="L16" s="45" t="n">
        <v>30</v>
      </c>
      <c r="M16" s="39" t="str">
        <f aca="false">CONCATENATE(TEXT(C16,"dd"))</f>
        <v>04</v>
      </c>
      <c r="N16" s="39" t="str">
        <f aca="false">CONCATENATE(TEXT(C16,"mm"))</f>
        <v>09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15</v>
      </c>
      <c r="B17" s="37" t="s">
        <v>46</v>
      </c>
      <c r="C17" s="44" t="n">
        <f aca="false">+C16</f>
        <v>46269</v>
      </c>
      <c r="D17" s="39" t="str">
        <f aca="false">CONCATENATE("ngày ",TEXT(C17,"dd")," tháng ",TEXT(C17,"mm")," năm ",TEXT(C17,"yyyy"))</f>
        <v>ngày 04 tháng 09 năm 2026</v>
      </c>
      <c r="E17" s="38" t="s">
        <v>27</v>
      </c>
      <c r="F17" s="40" t="str">
        <f aca="false">TEXT(A17,"00") &amp; ".NĐ/YCNT"</f>
        <v>15.NĐ/YCNT</v>
      </c>
      <c r="G17" s="41" t="str">
        <f aca="false">TEXT(A17,"00") &amp; ".NĐXB6A/CVXD "</f>
        <v>15.NĐXB6A/CVXD </v>
      </c>
      <c r="H17" s="42" t="n">
        <v>15</v>
      </c>
      <c r="I17" s="45" t="s">
        <v>28</v>
      </c>
      <c r="J17" s="37" t="s">
        <v>32</v>
      </c>
      <c r="K17" s="42" t="n">
        <f aca="false">+H17</f>
        <v>15</v>
      </c>
      <c r="L17" s="45" t="n">
        <v>30</v>
      </c>
      <c r="M17" s="39" t="str">
        <f aca="false">CONCATENATE(TEXT(C17,"dd"))</f>
        <v>04</v>
      </c>
      <c r="N17" s="39" t="str">
        <f aca="false">CONCATENATE(TEXT(C17,"mm"))</f>
        <v>09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16</v>
      </c>
      <c r="B18" s="37" t="s">
        <v>47</v>
      </c>
      <c r="C18" s="44" t="n">
        <f aca="false">+C17+1</f>
        <v>46270</v>
      </c>
      <c r="D18" s="39" t="str">
        <f aca="false">CONCATENATE("ngày ",TEXT(C18,"dd")," tháng ",TEXT(C18,"mm")," năm ",TEXT(C18,"yyyy"))</f>
        <v>ngày 05 tháng 09 năm 2026</v>
      </c>
      <c r="E18" s="38" t="s">
        <v>27</v>
      </c>
      <c r="F18" s="40" t="str">
        <f aca="false">TEXT(A18,"00") &amp; ".NĐ/YCNT"</f>
        <v>16.NĐ/YCNT</v>
      </c>
      <c r="G18" s="41" t="str">
        <f aca="false">TEXT(A18,"00") &amp; ".NĐXB6A/CVXD "</f>
        <v>16.NĐXB6A/CVXD </v>
      </c>
      <c r="H18" s="42" t="n">
        <v>9</v>
      </c>
      <c r="I18" s="45" t="s">
        <v>28</v>
      </c>
      <c r="J18" s="37" t="s">
        <v>32</v>
      </c>
      <c r="K18" s="42" t="n">
        <f aca="false">+H18</f>
        <v>9</v>
      </c>
      <c r="L18" s="45" t="n">
        <v>30</v>
      </c>
      <c r="M18" s="39" t="str">
        <f aca="false">CONCATENATE(TEXT(C18,"dd"))</f>
        <v>05</v>
      </c>
      <c r="N18" s="39" t="str">
        <f aca="false">CONCATENATE(TEXT(C18,"mm"))</f>
        <v>09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17</v>
      </c>
      <c r="B19" s="37" t="s">
        <v>48</v>
      </c>
      <c r="C19" s="44" t="n">
        <f aca="false">+C18+1</f>
        <v>46271</v>
      </c>
      <c r="D19" s="39" t="str">
        <f aca="false">CONCATENATE("ngày ",TEXT(C19,"dd")," tháng ",TEXT(C19,"mm")," năm ",TEXT(C19,"yyyy"))</f>
        <v>ngày 06 tháng 09 năm 2026</v>
      </c>
      <c r="E19" s="38" t="s">
        <v>27</v>
      </c>
      <c r="F19" s="40" t="str">
        <f aca="false">TEXT(A19,"00") &amp; ".NĐ/YCNT"</f>
        <v>17.NĐ/YCNT</v>
      </c>
      <c r="G19" s="41" t="str">
        <f aca="false">TEXT(A19,"00") &amp; ".NĐXB6A/CVXD "</f>
        <v>17.NĐXB6A/CVXD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06</v>
      </c>
      <c r="N19" s="39" t="str">
        <f aca="false">CONCATENATE(TEXT(C19,"mm"))</f>
        <v>09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18</v>
      </c>
      <c r="B20" s="37" t="s">
        <v>49</v>
      </c>
      <c r="C20" s="44" t="n">
        <f aca="false">+C19</f>
        <v>46271</v>
      </c>
      <c r="D20" s="39" t="str">
        <f aca="false">CONCATENATE("ngày ",TEXT(C20,"dd")," tháng ",TEXT(C20,"mm")," năm ",TEXT(C20,"yyyy"))</f>
        <v>ngày 06 tháng 09 năm 2026</v>
      </c>
      <c r="E20" s="38" t="s">
        <v>27</v>
      </c>
      <c r="F20" s="40" t="str">
        <f aca="false">TEXT(A20,"00") &amp; ".NĐ/YCNT"</f>
        <v>18.NĐ/YCNT</v>
      </c>
      <c r="G20" s="41" t="str">
        <f aca="false">TEXT(A20,"00") &amp; ".NĐXB6A/CVXD "</f>
        <v>18.NĐXB6A/CVXD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06</v>
      </c>
      <c r="N20" s="39" t="str">
        <f aca="false">CONCATENATE(TEXT(C20,"mm"))</f>
        <v>09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19</v>
      </c>
      <c r="B21" s="37" t="s">
        <v>50</v>
      </c>
      <c r="C21" s="44" t="n">
        <f aca="false">+C20+1</f>
        <v>46272</v>
      </c>
      <c r="D21" s="39" t="str">
        <f aca="false">CONCATENATE("ngày ",TEXT(C21,"dd")," tháng ",TEXT(C21,"mm")," năm ",TEXT(C21,"yyyy"))</f>
        <v>ngày 07 tháng 09 năm 2026</v>
      </c>
      <c r="E21" s="38" t="s">
        <v>27</v>
      </c>
      <c r="F21" s="40" t="str">
        <f aca="false">TEXT(A21,"00") &amp; ".NĐ/YCNT"</f>
        <v>19.NĐ/YCNT</v>
      </c>
      <c r="G21" s="41" t="str">
        <f aca="false">TEXT(A21,"00") &amp; ".NĐXB6A/CVXD "</f>
        <v>19.NĐXB6A/CVXD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07</v>
      </c>
      <c r="N21" s="39" t="str">
        <f aca="false">CONCATENATE(TEXT(C21,"mm"))</f>
        <v>09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20</v>
      </c>
      <c r="B22" s="37" t="s">
        <v>51</v>
      </c>
      <c r="C22" s="44" t="n">
        <f aca="false">+C21</f>
        <v>46272</v>
      </c>
      <c r="D22" s="39" t="str">
        <f aca="false">CONCATENATE("ngày ",TEXT(C22,"dd")," tháng ",TEXT(C22,"mm")," năm ",TEXT(C22,"yyyy"))</f>
        <v>ngày 07 tháng 09 năm 2026</v>
      </c>
      <c r="E22" s="38" t="s">
        <v>27</v>
      </c>
      <c r="F22" s="40" t="str">
        <f aca="false">TEXT(A22,"00") &amp; ".NĐ/YCNT"</f>
        <v>20.NĐ/YCNT</v>
      </c>
      <c r="G22" s="41" t="str">
        <f aca="false">TEXT(A22,"00") &amp; ".NĐXB6A/CVXD "</f>
        <v>20.NĐXB6A/CVXD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07</v>
      </c>
      <c r="N22" s="39" t="str">
        <f aca="false">CONCATENATE(TEXT(C22,"mm"))</f>
        <v>09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21</v>
      </c>
      <c r="B23" s="37" t="s">
        <v>52</v>
      </c>
      <c r="C23" s="44" t="n">
        <f aca="false">+C22+1</f>
        <v>46273</v>
      </c>
      <c r="D23" s="39" t="str">
        <f aca="false">CONCATENATE("ngày ",TEXT(C23,"dd")," tháng ",TEXT(C23,"mm")," năm ",TEXT(C23,"yyyy"))</f>
        <v>ngày 08 tháng 09 năm 2026</v>
      </c>
      <c r="E23" s="38" t="s">
        <v>27</v>
      </c>
      <c r="F23" s="40" t="str">
        <f aca="false">TEXT(A23,"00") &amp; ".NĐ/YCNT"</f>
        <v>21.NĐ/YCNT</v>
      </c>
      <c r="G23" s="41" t="str">
        <f aca="false">TEXT(A23,"00") &amp; ".NĐXB6A/CVXD "</f>
        <v>21.NĐXB6A/CVXD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08</v>
      </c>
      <c r="N23" s="39" t="str">
        <f aca="false">CONCATENATE(TEXT(C23,"mm"))</f>
        <v>09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22</v>
      </c>
      <c r="B24" s="37" t="s">
        <v>54</v>
      </c>
      <c r="C24" s="44" t="n">
        <f aca="false">+C23</f>
        <v>46273</v>
      </c>
      <c r="D24" s="39" t="str">
        <f aca="false">CONCATENATE("ngày ",TEXT(C24,"dd")," tháng ",TEXT(C24,"mm")," năm ",TEXT(C24,"yyyy"))</f>
        <v>ngày 08 tháng 09 năm 2026</v>
      </c>
      <c r="E24" s="38" t="s">
        <v>27</v>
      </c>
      <c r="F24" s="40" t="str">
        <f aca="false">TEXT(A24,"00") &amp; ".NĐ/YCNT"</f>
        <v>22.NĐ/YCNT</v>
      </c>
      <c r="G24" s="41" t="str">
        <f aca="false">TEXT(A24,"00") &amp; ".NĐXB6A/CVXD "</f>
        <v>22.NĐXB6A/CVXD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08</v>
      </c>
      <c r="N24" s="39" t="str">
        <f aca="false">CONCATENATE(TEXT(C24,"mm"))</f>
        <v>09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23</v>
      </c>
      <c r="B25" s="37" t="s">
        <v>55</v>
      </c>
      <c r="C25" s="44" t="n">
        <f aca="false">+C24+1</f>
        <v>46274</v>
      </c>
      <c r="D25" s="39" t="str">
        <f aca="false">CONCATENATE("ngày ",TEXT(C25,"dd")," tháng ",TEXT(C25,"mm")," năm ",TEXT(C25,"yyyy"))</f>
        <v>ngày 09 tháng 09 năm 2026</v>
      </c>
      <c r="E25" s="38" t="s">
        <v>27</v>
      </c>
      <c r="F25" s="40" t="str">
        <f aca="false">TEXT(A25,"00") &amp; ".NĐ/YCNT"</f>
        <v>23.NĐ/YCNT</v>
      </c>
      <c r="G25" s="41" t="str">
        <f aca="false">TEXT(A25,"00") &amp; ".NĐXB6A/CVXD "</f>
        <v>23.NĐXB6A/CVXD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09</v>
      </c>
      <c r="N25" s="39" t="str">
        <f aca="false">CONCATENATE(TEXT(C25,"mm"))</f>
        <v>09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24</v>
      </c>
      <c r="B26" s="37" t="s">
        <v>56</v>
      </c>
      <c r="C26" s="44" t="n">
        <f aca="false">+C25</f>
        <v>46274</v>
      </c>
      <c r="D26" s="39" t="str">
        <f aca="false">CONCATENATE("ngày ",TEXT(C26,"dd")," tháng ",TEXT(C26,"mm")," năm ",TEXT(C26,"yyyy"))</f>
        <v>ngày 09 tháng 09 năm 2026</v>
      </c>
      <c r="E26" s="38" t="s">
        <v>27</v>
      </c>
      <c r="F26" s="40" t="str">
        <f aca="false">TEXT(A26,"00") &amp; ".NĐ/YCNT"</f>
        <v>24.NĐ/YCNT</v>
      </c>
      <c r="G26" s="41" t="str">
        <f aca="false">TEXT(A26,"00") &amp; ".NĐXB6A/CVXD "</f>
        <v>24.NĐXB6A/CVXD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09</v>
      </c>
      <c r="N26" s="39" t="str">
        <f aca="false">CONCATENATE(TEXT(C26,"mm"))</f>
        <v>09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25</v>
      </c>
      <c r="B27" s="37" t="s">
        <v>57</v>
      </c>
      <c r="C27" s="44" t="n">
        <f aca="false">+C26+2</f>
        <v>46276</v>
      </c>
      <c r="D27" s="39" t="str">
        <f aca="false">CONCATENATE("ngày ",TEXT(C27,"dd")," tháng ",TEXT(C27,"mm")," năm ",TEXT(C27,"yyyy"))</f>
        <v>ngày 11 tháng 09 năm 2026</v>
      </c>
      <c r="E27" s="38" t="s">
        <v>27</v>
      </c>
      <c r="F27" s="40" t="str">
        <f aca="false">TEXT(A27,"00") &amp; ".NĐ/YCNT"</f>
        <v>25.NĐ/YCNT</v>
      </c>
      <c r="G27" s="41" t="str">
        <f aca="false">TEXT(A27,"00") &amp; ".NĐXB6A/CVXD "</f>
        <v>25.NĐXB6A/CVXD </v>
      </c>
      <c r="H27" s="42" t="n">
        <v>9</v>
      </c>
      <c r="I27" s="45" t="s">
        <v>28</v>
      </c>
      <c r="J27" s="37"/>
      <c r="K27" s="42" t="n">
        <f aca="false">+H27</f>
        <v>9</v>
      </c>
      <c r="L27" s="45" t="n">
        <v>30</v>
      </c>
      <c r="M27" s="39" t="str">
        <f aca="false">CONCATENATE(TEXT(C27,"dd"))</f>
        <v>11</v>
      </c>
      <c r="N27" s="39" t="str">
        <f aca="false">CONCATENATE(TEXT(C27,"mm"))</f>
        <v>09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26</v>
      </c>
      <c r="B28" s="37" t="s">
        <v>58</v>
      </c>
      <c r="C28" s="44" t="n">
        <f aca="false">+C27+2</f>
        <v>46278</v>
      </c>
      <c r="D28" s="39" t="str">
        <f aca="false">CONCATENATE("ngày ",TEXT(C28,"dd")," tháng ",TEXT(C28,"mm")," năm ",TEXT(C28,"yyyy"))</f>
        <v>ngày 13 tháng 09 năm 2026</v>
      </c>
      <c r="E28" s="38" t="s">
        <v>27</v>
      </c>
      <c r="F28" s="40" t="str">
        <f aca="false">TEXT(A28,"00") &amp; ".NĐ/YCNT"</f>
        <v>26.NĐ/YCNT</v>
      </c>
      <c r="G28" s="41" t="str">
        <f aca="false">TEXT(A28,"00") &amp; ".NĐXB6A/CVXD "</f>
        <v>26.NĐXB6A/CVXD </v>
      </c>
      <c r="H28" s="42" t="n">
        <v>9</v>
      </c>
      <c r="I28" s="45" t="s">
        <v>28</v>
      </c>
      <c r="J28" s="37" t="s">
        <v>59</v>
      </c>
      <c r="K28" s="42" t="n">
        <f aca="false">+H28</f>
        <v>9</v>
      </c>
      <c r="L28" s="45" t="n">
        <v>30</v>
      </c>
      <c r="M28" s="39" t="str">
        <f aca="false">CONCATENATE(TEXT(C28,"dd"))</f>
        <v>13</v>
      </c>
      <c r="N28" s="39" t="str">
        <f aca="false">CONCATENATE(TEXT(C28,"mm"))</f>
        <v>09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27</v>
      </c>
      <c r="B29" s="37" t="s">
        <v>60</v>
      </c>
      <c r="C29" s="44" t="n">
        <f aca="false">+C28+6</f>
        <v>46284</v>
      </c>
      <c r="D29" s="39" t="str">
        <f aca="false">CONCATENATE("ngày ",TEXT(C29,"dd")," tháng ",TEXT(C29,"mm")," năm ",TEXT(C29,"yyyy"))</f>
        <v>ngày 19 tháng 09 năm 2026</v>
      </c>
      <c r="E29" s="38" t="s">
        <v>27</v>
      </c>
      <c r="F29" s="40" t="str">
        <f aca="false">TEXT(A29,"00") &amp; ".NĐ/YCNT"</f>
        <v>27.NĐ/YCNT</v>
      </c>
      <c r="G29" s="41" t="str">
        <f aca="false">TEXT(A29,"00") &amp; ".NĐXB6A/CVXD "</f>
        <v>27.NĐXB6A/CVXD </v>
      </c>
      <c r="H29" s="42" t="n">
        <v>9</v>
      </c>
      <c r="I29" s="45" t="s">
        <v>28</v>
      </c>
      <c r="J29" s="37" t="s">
        <v>59</v>
      </c>
      <c r="K29" s="42" t="n">
        <f aca="false">+H29</f>
        <v>9</v>
      </c>
      <c r="L29" s="45" t="n">
        <v>30</v>
      </c>
      <c r="M29" s="39" t="str">
        <f aca="false">CONCATENATE(TEXT(C29,"dd"))</f>
        <v>19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28</v>
      </c>
      <c r="B30" s="37" t="s">
        <v>61</v>
      </c>
      <c r="C30" s="44" t="n">
        <f aca="false">+C29+2</f>
        <v>46286</v>
      </c>
      <c r="D30" s="39" t="str">
        <f aca="false">CONCATENATE("ngày ",TEXT(C30,"dd")," tháng ",TEXT(C30,"mm")," năm ",TEXT(C30,"yyyy"))</f>
        <v>ngày 21 tháng 09 năm 2026</v>
      </c>
      <c r="E30" s="38" t="s">
        <v>27</v>
      </c>
      <c r="F30" s="40" t="str">
        <f aca="false">TEXT(A30,"00") &amp; ".NĐ/YCNT"</f>
        <v>28.NĐ/YCNT</v>
      </c>
      <c r="G30" s="41" t="str">
        <f aca="false">TEXT(A30,"00") &amp; ".NĐXB6A/CVXD "</f>
        <v>28.NĐXB6A/CVXD </v>
      </c>
      <c r="H30" s="42" t="n">
        <v>9</v>
      </c>
      <c r="I30" s="45" t="s">
        <v>28</v>
      </c>
      <c r="J30" s="37" t="s">
        <v>59</v>
      </c>
      <c r="K30" s="42" t="n">
        <f aca="false">+H30</f>
        <v>9</v>
      </c>
      <c r="L30" s="45" t="n">
        <v>30</v>
      </c>
      <c r="M30" s="39" t="str">
        <f aca="false">CONCATENATE(TEXT(C30,"dd"))</f>
        <v>21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8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XB6A'!$A$2:$G$29,7,0)&amp;VLOOKUP(T2,'Tuyến XB6A'!$A$2:$G$29,4,0)</f>
        <v>Kèm theo BBNT số: 01.NĐXB6A/CVXD ngày 20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1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XB6A'!$A$2:$B$29,2,0)</f>
        <v>Kiểm tra cao độ đường đen đoạn từ Km0+000,00 -:- Km0+126,46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0</v>
      </c>
      <c r="D12" s="66" t="n">
        <v>0.05</v>
      </c>
      <c r="E12" s="66" t="n">
        <f aca="false">D12+F12</f>
        <v>-0.02</v>
      </c>
      <c r="F12" s="67" t="n">
        <f aca="false">RANDBETWEEN(-105,125)/1000</f>
        <v>-0.07</v>
      </c>
      <c r="G12" s="66" t="n">
        <v>0.07</v>
      </c>
      <c r="H12" s="66" t="n">
        <f aca="false">G12+I12</f>
        <v>0.031</v>
      </c>
      <c r="I12" s="67" t="n">
        <f aca="false">RANDBETWEEN(-105,125)/1000</f>
        <v>-0.039</v>
      </c>
      <c r="J12" s="66" t="n">
        <v>0.09</v>
      </c>
      <c r="K12" s="66" t="n">
        <f aca="false">J12+L12</f>
        <v>0.029</v>
      </c>
      <c r="L12" s="67" t="n">
        <f aca="false">RANDBETWEEN(-105,125)/1000</f>
        <v>-0.061</v>
      </c>
      <c r="M12" s="66" t="n">
        <v>0.06</v>
      </c>
      <c r="N12" s="66" t="n">
        <f aca="false">M12+O12</f>
        <v>-0.005</v>
      </c>
      <c r="O12" s="67" t="n">
        <f aca="false">RANDBETWEEN(-105,125)/1000</f>
        <v>-0.065</v>
      </c>
      <c r="P12" s="66" t="n">
        <v>0.02</v>
      </c>
      <c r="Q12" s="66" t="n">
        <f aca="false">P12+R12</f>
        <v>0.034</v>
      </c>
      <c r="R12" s="67" t="n">
        <f aca="false">RANDBETWEEN(-105,125)/1000</f>
        <v>0.014</v>
      </c>
      <c r="S12" s="66"/>
      <c r="T12" s="52" t="n">
        <v>19.63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19.63</v>
      </c>
      <c r="D13" s="66" t="n">
        <v>0.04</v>
      </c>
      <c r="E13" s="66" t="n">
        <f aca="false">D13+F13</f>
        <v>0.029</v>
      </c>
      <c r="F13" s="67" t="n">
        <f aca="false">RANDBETWEEN(-105,125)/1000</f>
        <v>-0.011</v>
      </c>
      <c r="G13" s="66" t="n">
        <v>0.05</v>
      </c>
      <c r="H13" s="66" t="n">
        <f aca="false">G13+I13</f>
        <v>-0.04</v>
      </c>
      <c r="I13" s="67" t="n">
        <f aca="false">RANDBETWEEN(-105,125)/1000</f>
        <v>-0.09</v>
      </c>
      <c r="J13" s="66" t="n">
        <v>0.05</v>
      </c>
      <c r="K13" s="66" t="n">
        <f aca="false">J13+L13</f>
        <v>0.15</v>
      </c>
      <c r="L13" s="67" t="n">
        <f aca="false">RANDBETWEEN(-105,125)/1000</f>
        <v>0.1</v>
      </c>
      <c r="M13" s="66" t="n">
        <v>0.03</v>
      </c>
      <c r="N13" s="66" t="n">
        <f aca="false">M13+O13</f>
        <v>0.117</v>
      </c>
      <c r="O13" s="67" t="n">
        <f aca="false">RANDBETWEEN(-105,125)/1000</f>
        <v>0.087</v>
      </c>
      <c r="P13" s="66" t="n">
        <v>0.01</v>
      </c>
      <c r="Q13" s="66" t="n">
        <f aca="false">P13+R13</f>
        <v>0.039</v>
      </c>
      <c r="R13" s="67" t="n">
        <f aca="false">RANDBETWEEN(-105,125)/1000</f>
        <v>0.029</v>
      </c>
      <c r="S13" s="66"/>
      <c r="T13" s="52" t="n">
        <v>17.17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36.8</v>
      </c>
      <c r="D14" s="66" t="n">
        <v>0</v>
      </c>
      <c r="E14" s="66" t="n">
        <f aca="false">D14+F14</f>
        <v>0.027</v>
      </c>
      <c r="F14" s="67" t="n">
        <f aca="false">RANDBETWEEN(-105,125)/1000</f>
        <v>0.027</v>
      </c>
      <c r="G14" s="66" t="n">
        <v>0.02</v>
      </c>
      <c r="H14" s="66" t="n">
        <f aca="false">G14+I14</f>
        <v>-0.043</v>
      </c>
      <c r="I14" s="67" t="n">
        <f aca="false">RANDBETWEEN(-105,125)/1000</f>
        <v>-0.063</v>
      </c>
      <c r="J14" s="66" t="n">
        <v>0.03</v>
      </c>
      <c r="K14" s="66" t="n">
        <f aca="false">J14+L14</f>
        <v>-0.07</v>
      </c>
      <c r="L14" s="67" t="n">
        <f aca="false">RANDBETWEEN(-105,125)/1000</f>
        <v>-0.1</v>
      </c>
      <c r="M14" s="66" t="n">
        <v>0.01</v>
      </c>
      <c r="N14" s="66" t="n">
        <f aca="false">M14+O14</f>
        <v>0.122</v>
      </c>
      <c r="O14" s="67" t="n">
        <f aca="false">RANDBETWEEN(-105,125)/1000</f>
        <v>0.112</v>
      </c>
      <c r="P14" s="66" t="n">
        <v>-0.01</v>
      </c>
      <c r="Q14" s="66" t="n">
        <f aca="false">P14+R14</f>
        <v>0.026</v>
      </c>
      <c r="R14" s="67" t="n">
        <f aca="false">RANDBETWEEN(-105,125)/1000</f>
        <v>0.036</v>
      </c>
      <c r="S14" s="66"/>
      <c r="T14" s="52" t="n">
        <v>17.18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53.98</v>
      </c>
      <c r="D15" s="66" t="n">
        <v>-0.1</v>
      </c>
      <c r="E15" s="66" t="n">
        <f aca="false">D15+F15</f>
        <v>-0.111</v>
      </c>
      <c r="F15" s="67" t="n">
        <f aca="false">RANDBETWEEN(-105,125)/1000</f>
        <v>-0.011</v>
      </c>
      <c r="G15" s="66" t="n">
        <v>-0.16</v>
      </c>
      <c r="H15" s="66" t="n">
        <f aca="false">G15+I15</f>
        <v>-0.052</v>
      </c>
      <c r="I15" s="67" t="n">
        <f aca="false">RANDBETWEEN(-105,125)/1000</f>
        <v>0.108</v>
      </c>
      <c r="J15" s="66" t="n">
        <v>-0.21</v>
      </c>
      <c r="K15" s="66" t="n">
        <f aca="false">J15+L15</f>
        <v>-0.221</v>
      </c>
      <c r="L15" s="67" t="n">
        <f aca="false">RANDBETWEEN(-105,125)/1000</f>
        <v>-0.011</v>
      </c>
      <c r="M15" s="66" t="n">
        <v>-0.16</v>
      </c>
      <c r="N15" s="66" t="n">
        <f aca="false">M15+O15</f>
        <v>-0.14</v>
      </c>
      <c r="O15" s="67" t="n">
        <f aca="false">RANDBETWEEN(-105,125)/1000</f>
        <v>0.02</v>
      </c>
      <c r="P15" s="66" t="n">
        <v>-0.09</v>
      </c>
      <c r="Q15" s="66" t="n">
        <f aca="false">P15+R15</f>
        <v>-0.117</v>
      </c>
      <c r="R15" s="67" t="n">
        <f aca="false">RANDBETWEEN(-105,125)/1000</f>
        <v>-0.027</v>
      </c>
      <c r="S15" s="66"/>
      <c r="T15" s="52" t="n">
        <v>12.97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66.95</v>
      </c>
      <c r="D16" s="66" t="n">
        <v>1.63</v>
      </c>
      <c r="E16" s="66" t="n">
        <f aca="false">D16+F16</f>
        <v>1.645</v>
      </c>
      <c r="F16" s="67" t="n">
        <f aca="false">RANDBETWEEN(-105,125)/1000</f>
        <v>0.015</v>
      </c>
      <c r="G16" s="66" t="n">
        <v>0.76</v>
      </c>
      <c r="H16" s="66" t="n">
        <f aca="false">G16+I16</f>
        <v>0.794</v>
      </c>
      <c r="I16" s="67" t="n">
        <f aca="false">RANDBETWEEN(-105,125)/1000</f>
        <v>0.034</v>
      </c>
      <c r="J16" s="66" t="n">
        <v>0.85</v>
      </c>
      <c r="K16" s="66" t="n">
        <f aca="false">J16+L16</f>
        <v>0.975</v>
      </c>
      <c r="L16" s="67" t="n">
        <f aca="false">RANDBETWEEN(-105,125)/1000</f>
        <v>0.125</v>
      </c>
      <c r="M16" s="66" t="n">
        <v>0.82</v>
      </c>
      <c r="N16" s="66" t="n">
        <f aca="false">M16+O16</f>
        <v>0.743</v>
      </c>
      <c r="O16" s="67" t="n">
        <f aca="false">RANDBETWEEN(-105,125)/1000</f>
        <v>-0.077</v>
      </c>
      <c r="P16" s="66" t="n">
        <v>1.54</v>
      </c>
      <c r="Q16" s="66" t="n">
        <f aca="false">P16+R16</f>
        <v>1.51</v>
      </c>
      <c r="R16" s="67" t="n">
        <f aca="false">RANDBETWEEN(-105,125)/1000</f>
        <v>-0.03</v>
      </c>
      <c r="S16" s="66"/>
      <c r="T16" s="52" t="n">
        <v>10.68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77.63</v>
      </c>
      <c r="D17" s="66" t="n">
        <v>1.76</v>
      </c>
      <c r="E17" s="66" t="n">
        <f aca="false">D17+F17</f>
        <v>1.846</v>
      </c>
      <c r="F17" s="67" t="n">
        <f aca="false">RANDBETWEEN(-105,125)/1000</f>
        <v>0.086</v>
      </c>
      <c r="G17" s="66" t="n">
        <v>-0.25</v>
      </c>
      <c r="H17" s="66" t="n">
        <f aca="false">G17+I17</f>
        <v>-0.125</v>
      </c>
      <c r="I17" s="67" t="n">
        <f aca="false">RANDBETWEEN(-105,125)/1000</f>
        <v>0.125</v>
      </c>
      <c r="J17" s="66" t="n">
        <v>-0.24</v>
      </c>
      <c r="K17" s="66" t="n">
        <f aca="false">J17+L17</f>
        <v>-0.288</v>
      </c>
      <c r="L17" s="67" t="n">
        <f aca="false">RANDBETWEEN(-105,125)/1000</f>
        <v>-0.048</v>
      </c>
      <c r="M17" s="66" t="n">
        <v>-0.25</v>
      </c>
      <c r="N17" s="66" t="n">
        <f aca="false">M17+O17</f>
        <v>-0.247</v>
      </c>
      <c r="O17" s="67" t="n">
        <f aca="false">RANDBETWEEN(-105,125)/1000</f>
        <v>0.003</v>
      </c>
      <c r="P17" s="66" t="n">
        <v>-0.26</v>
      </c>
      <c r="Q17" s="66" t="n">
        <f aca="false">P17+R17</f>
        <v>-0.181</v>
      </c>
      <c r="R17" s="67" t="n">
        <f aca="false">RANDBETWEEN(-105,125)/1000</f>
        <v>0.079</v>
      </c>
      <c r="S17" s="66"/>
      <c r="T17" s="52" t="n">
        <v>17.17</v>
      </c>
    </row>
    <row r="18" customFormat="false" ht="19.5" hidden="false" customHeight="true" outlineLevel="0" collapsed="false">
      <c r="A18" s="64" t="n">
        <v>7</v>
      </c>
      <c r="B18" s="64" t="s">
        <v>87</v>
      </c>
      <c r="C18" s="65" t="n">
        <f aca="false">C17+T17</f>
        <v>94.8</v>
      </c>
      <c r="D18" s="66" t="n">
        <v>-0.26</v>
      </c>
      <c r="E18" s="66" t="n">
        <f aca="false">D18+F18</f>
        <v>-0.319</v>
      </c>
      <c r="F18" s="67" t="n">
        <f aca="false">RANDBETWEEN(-105,125)/1000</f>
        <v>-0.059</v>
      </c>
      <c r="G18" s="66" t="n">
        <v>-0.24</v>
      </c>
      <c r="H18" s="66" t="n">
        <f aca="false">G18+I18</f>
        <v>-0.169</v>
      </c>
      <c r="I18" s="67" t="n">
        <f aca="false">RANDBETWEEN(-105,125)/1000</f>
        <v>0.071</v>
      </c>
      <c r="J18" s="66" t="n">
        <v>-0.23</v>
      </c>
      <c r="K18" s="66" t="n">
        <f aca="false">J18+L18</f>
        <v>-0.311</v>
      </c>
      <c r="L18" s="67" t="n">
        <f aca="false">RANDBETWEEN(-105,125)/1000</f>
        <v>-0.081</v>
      </c>
      <c r="M18" s="66" t="n">
        <v>-0.19</v>
      </c>
      <c r="N18" s="66" t="n">
        <f aca="false">M18+O18</f>
        <v>-0.101</v>
      </c>
      <c r="O18" s="67" t="n">
        <f aca="false">RANDBETWEEN(-105,125)/1000</f>
        <v>0.089</v>
      </c>
      <c r="P18" s="66" t="n">
        <v>-0.14</v>
      </c>
      <c r="Q18" s="66" t="n">
        <f aca="false">P18+R18</f>
        <v>-0.096</v>
      </c>
      <c r="R18" s="67" t="n">
        <f aca="false">RANDBETWEEN(-105,125)/1000</f>
        <v>0.044</v>
      </c>
      <c r="S18" s="66"/>
      <c r="T18" s="52" t="n">
        <v>17.17</v>
      </c>
    </row>
    <row r="19" customFormat="false" ht="19.5" hidden="false" customHeight="true" outlineLevel="0" collapsed="false">
      <c r="A19" s="64" t="n">
        <v>8</v>
      </c>
      <c r="B19" s="64" t="s">
        <v>88</v>
      </c>
      <c r="C19" s="65" t="n">
        <f aca="false">C18+T18</f>
        <v>111.97</v>
      </c>
      <c r="D19" s="66" t="n">
        <v>-0.26</v>
      </c>
      <c r="E19" s="66" t="n">
        <f aca="false">D19+F19</f>
        <v>-0.34</v>
      </c>
      <c r="F19" s="67" t="n">
        <f aca="false">RANDBETWEEN(-105,125)/1000</f>
        <v>-0.08</v>
      </c>
      <c r="G19" s="66" t="n">
        <v>-0.23</v>
      </c>
      <c r="H19" s="66" t="n">
        <f aca="false">G19+I19</f>
        <v>-0.213</v>
      </c>
      <c r="I19" s="67" t="n">
        <f aca="false">RANDBETWEEN(-105,125)/1000</f>
        <v>0.017</v>
      </c>
      <c r="J19" s="66" t="n">
        <v>-0.2</v>
      </c>
      <c r="K19" s="66" t="n">
        <f aca="false">J19+L19</f>
        <v>-0.125</v>
      </c>
      <c r="L19" s="67" t="n">
        <f aca="false">RANDBETWEEN(-105,125)/1000</f>
        <v>0.075</v>
      </c>
      <c r="M19" s="66" t="n">
        <v>-0.15</v>
      </c>
      <c r="N19" s="66" t="n">
        <f aca="false">M19+O19</f>
        <v>-0.164</v>
      </c>
      <c r="O19" s="67" t="n">
        <f aca="false">RANDBETWEEN(-105,125)/1000</f>
        <v>-0.014</v>
      </c>
      <c r="P19" s="66" t="n">
        <v>-0.09</v>
      </c>
      <c r="Q19" s="66" t="n">
        <f aca="false">P19+R19</f>
        <v>-0.052</v>
      </c>
      <c r="R19" s="67" t="n">
        <f aca="false">RANDBETWEEN(-105,125)/1000</f>
        <v>0.038</v>
      </c>
      <c r="S19" s="66"/>
      <c r="T19" s="52" t="n">
        <v>14.49</v>
      </c>
    </row>
    <row r="20" customFormat="false" ht="19.5" hidden="false" customHeight="true" outlineLevel="0" collapsed="false">
      <c r="A20" s="64" t="n">
        <v>9</v>
      </c>
      <c r="B20" s="64" t="s">
        <v>89</v>
      </c>
      <c r="C20" s="65" t="n">
        <f aca="false">C19+T19</f>
        <v>126.46</v>
      </c>
      <c r="D20" s="66" t="n">
        <v>-0.29</v>
      </c>
      <c r="E20" s="66" t="n">
        <f aca="false">D20+F20</f>
        <v>-0.192</v>
      </c>
      <c r="F20" s="67" t="n">
        <f aca="false">RANDBETWEEN(-105,125)/1000</f>
        <v>0.098</v>
      </c>
      <c r="G20" s="66" t="n">
        <v>-0.28</v>
      </c>
      <c r="H20" s="66" t="n">
        <f aca="false">G20+I20</f>
        <v>-0.272</v>
      </c>
      <c r="I20" s="67" t="n">
        <f aca="false">RANDBETWEEN(-105,125)/1000</f>
        <v>0.008</v>
      </c>
      <c r="J20" s="66" t="n">
        <v>-0.27</v>
      </c>
      <c r="K20" s="66" t="n">
        <f aca="false">J20+L20</f>
        <v>-0.283</v>
      </c>
      <c r="L20" s="67" t="n">
        <f aca="false">RANDBETWEEN(-105,125)/1000</f>
        <v>-0.013</v>
      </c>
      <c r="M20" s="66" t="n">
        <v>-0.2</v>
      </c>
      <c r="N20" s="66" t="n">
        <f aca="false">M20+O20</f>
        <v>-0.282</v>
      </c>
      <c r="O20" s="67" t="n">
        <f aca="false">RANDBETWEEN(-105,125)/1000</f>
        <v>-0.082</v>
      </c>
      <c r="P20" s="66" t="n">
        <v>-0.11</v>
      </c>
      <c r="Q20" s="66" t="n">
        <f aca="false">P20+R20</f>
        <v>-0.09</v>
      </c>
      <c r="R20" s="67" t="n">
        <f aca="false">RANDBETWEEN(-105,125)/1000</f>
        <v>0.02</v>
      </c>
      <c r="S20" s="66"/>
    </row>
    <row r="21" customFormat="false" ht="15" hidden="false" customHeight="false" outlineLevel="0" collapsed="false">
      <c r="A21" s="68"/>
      <c r="B21" s="68"/>
      <c r="C21" s="69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</row>
    <row r="22" customFormat="false" ht="15" hidden="false" customHeight="false" outlineLevel="0" collapsed="false">
      <c r="A22" s="71" t="s">
        <v>90</v>
      </c>
      <c r="B22" s="71"/>
      <c r="C22" s="71"/>
      <c r="D22" s="71"/>
      <c r="E22" s="71"/>
      <c r="F22" s="71"/>
      <c r="G22" s="71"/>
      <c r="H22" s="71"/>
      <c r="I22" s="71"/>
      <c r="J22" s="71"/>
      <c r="K22" s="71" t="s">
        <v>91</v>
      </c>
      <c r="L22" s="71"/>
      <c r="M22" s="71"/>
      <c r="N22" s="71"/>
      <c r="O22" s="71"/>
      <c r="P22" s="71"/>
      <c r="Q22" s="71"/>
      <c r="R22" s="71"/>
      <c r="S22" s="71"/>
    </row>
    <row r="23" customFormat="false" ht="21" hidden="false" customHeight="true" outlineLevel="0" collapsed="false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</row>
    <row r="24" customFormat="false" ht="21" hidden="false" customHeight="true" outlineLevel="0" collapsed="false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</row>
    <row r="25" customFormat="false" ht="21" hidden="false" customHeight="true" outlineLevel="0" collapsed="false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</row>
    <row r="26" customFormat="false" ht="15" hidden="false" customHeight="false" outlineLevel="0" collapsed="false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 t="str">
        <f aca="false">'Tuyến XB6A'!Q3</f>
        <v>Lê Quốc Huy</v>
      </c>
      <c r="L26" s="71"/>
      <c r="M26" s="71"/>
      <c r="N26" s="71"/>
      <c r="O26" s="71"/>
      <c r="P26" s="71"/>
      <c r="Q26" s="71"/>
      <c r="R26" s="71"/>
      <c r="S26" s="71"/>
    </row>
    <row r="33" customFormat="false" ht="15" hidden="false" customHeight="false" outlineLevel="0" collapsed="false">
      <c r="B33" s="73"/>
    </row>
    <row r="34" customFormat="false" ht="15" hidden="false" customHeight="false" outlineLevel="0" collapsed="false">
      <c r="B34" s="73"/>
    </row>
    <row r="35" customFormat="false" ht="15" hidden="false" customHeight="false" outlineLevel="0" collapsed="false">
      <c r="B35" s="73"/>
    </row>
    <row r="36" customFormat="false" ht="15" hidden="false" customHeight="false" outlineLevel="0" collapsed="false">
      <c r="B36" s="73"/>
    </row>
    <row r="37" customFormat="false" ht="15" hidden="false" customHeight="false" outlineLevel="0" collapsed="false">
      <c r="B37" s="73"/>
    </row>
    <row r="38" customFormat="false" ht="15" hidden="false" customHeight="false" outlineLevel="0" collapsed="false">
      <c r="B38" s="73"/>
    </row>
    <row r="39" customFormat="false" ht="15" hidden="false" customHeight="false" outlineLevel="0" collapsed="false">
      <c r="B39" s="73"/>
    </row>
    <row r="40" customFormat="false" ht="15" hidden="false" customHeight="false" outlineLevel="0" collapsed="false">
      <c r="B40" s="73"/>
    </row>
    <row r="41" customFormat="false" ht="15" hidden="false" customHeight="false" outlineLevel="0" collapsed="false">
      <c r="B41" s="73"/>
    </row>
    <row r="42" customFormat="false" ht="15" hidden="false" customHeight="false" outlineLevel="0" collapsed="false">
      <c r="B42" s="73"/>
    </row>
    <row r="43" customFormat="false" ht="15" hidden="false" customHeight="false" outlineLevel="0" collapsed="false">
      <c r="B43" s="73"/>
    </row>
    <row r="44" customFormat="false" ht="15" hidden="false" customHeight="false" outlineLevel="0" collapsed="false">
      <c r="B44" s="73"/>
    </row>
    <row r="45" customFormat="false" ht="15" hidden="false" customHeight="false" outlineLevel="0" collapsed="false">
      <c r="B45" s="73"/>
    </row>
    <row r="46" customFormat="false" ht="15" hidden="false" customHeight="false" outlineLevel="0" collapsed="false">
      <c r="B46" s="73"/>
    </row>
    <row r="47" customFormat="false" ht="15" hidden="false" customHeight="false" outlineLevel="0" collapsed="false">
      <c r="B47" s="73"/>
    </row>
    <row r="48" customFormat="false" ht="15" hidden="false" customHeight="false" outlineLevel="0" collapsed="false">
      <c r="B48" s="73"/>
    </row>
    <row r="49" customFormat="false" ht="15" hidden="false" customHeight="false" outlineLevel="0" collapsed="false">
      <c r="B49" s="73"/>
    </row>
    <row r="50" customFormat="false" ht="15" hidden="false" customHeight="false" outlineLevel="0" collapsed="false">
      <c r="B50" s="73"/>
    </row>
    <row r="51" customFormat="false" ht="15" hidden="false" customHeight="false" outlineLevel="0" collapsed="false">
      <c r="B51" s="73"/>
    </row>
    <row r="52" customFormat="false" ht="15" hidden="false" customHeight="false" outlineLevel="0" collapsed="false">
      <c r="B52" s="73"/>
    </row>
    <row r="53" customFormat="false" ht="15" hidden="false" customHeight="false" outlineLevel="0" collapsed="false">
      <c r="B53" s="73"/>
    </row>
    <row r="54" customFormat="false" ht="15" hidden="false" customHeight="false" outlineLevel="0" collapsed="false">
      <c r="B54" s="73"/>
    </row>
    <row r="55" customFormat="false" ht="15" hidden="false" customHeight="false" outlineLevel="0" collapsed="false">
      <c r="B55" s="73"/>
    </row>
    <row r="56" customFormat="false" ht="15" hidden="false" customHeight="false" outlineLevel="0" collapsed="false">
      <c r="B56" s="73"/>
    </row>
    <row r="57" customFormat="false" ht="15" hidden="false" customHeight="false" outlineLevel="0" collapsed="false">
      <c r="B57" s="73"/>
    </row>
    <row r="58" customFormat="false" ht="15" hidden="false" customHeight="false" outlineLevel="0" collapsed="false">
      <c r="B58" s="73"/>
    </row>
    <row r="59" customFormat="false" ht="15" hidden="false" customHeight="false" outlineLevel="0" collapsed="false">
      <c r="B59" s="73"/>
    </row>
    <row r="60" customFormat="false" ht="15" hidden="false" customHeight="false" outlineLevel="0" collapsed="false">
      <c r="B60" s="73"/>
    </row>
    <row r="61" customFormat="false" ht="15" hidden="false" customHeight="false" outlineLevel="0" collapsed="false">
      <c r="B61" s="73"/>
    </row>
    <row r="62" customFormat="false" ht="15" hidden="false" customHeight="false" outlineLevel="0" collapsed="false">
      <c r="B62" s="73"/>
    </row>
    <row r="63" customFormat="false" ht="15" hidden="false" customHeight="false" outlineLevel="0" collapsed="false">
      <c r="B63" s="73"/>
    </row>
    <row r="64" customFormat="false" ht="15" hidden="false" customHeight="false" outlineLevel="0" collapsed="false">
      <c r="B64" s="73"/>
    </row>
    <row r="65" customFormat="false" ht="15" hidden="false" customHeight="false" outlineLevel="0" collapsed="false">
      <c r="B65" s="73"/>
    </row>
    <row r="66" customFormat="false" ht="15" hidden="false" customHeight="false" outlineLevel="0" collapsed="false">
      <c r="B66" s="73"/>
    </row>
    <row r="67" customFormat="false" ht="15" hidden="false" customHeight="false" outlineLevel="0" collapsed="false">
      <c r="B67" s="73"/>
    </row>
    <row r="68" customFormat="false" ht="15" hidden="false" customHeight="false" outlineLevel="0" collapsed="false">
      <c r="B68" s="73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22:J22"/>
    <mergeCell ref="K22:S22"/>
    <mergeCell ref="A26:J26"/>
    <mergeCell ref="K26:S26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9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4" t="s">
        <v>92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  <c r="X1" s="75"/>
      <c r="Y1" s="75"/>
      <c r="Z1" s="75"/>
    </row>
    <row r="2" customFormat="false" ht="18.75" hidden="false" customHeight="true" outlineLevel="0" collapsed="false">
      <c r="A2" s="54" t="str">
        <f aca="false">"Kèm theo BBNT số: "&amp;VLOOKUP(W2,'Tuyến XB6A'!$A$2:$G$31,7,0)&amp;VLOOKUP(W2,'Tuyến XB6A'!$A$2:$G$31,4,0)</f>
        <v>Kèm theo BBNT số: 02.NĐXB6A/CVXD ngày 24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2</v>
      </c>
      <c r="X2" s="76"/>
      <c r="Y2" s="76"/>
      <c r="Z2" s="76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XB6A'!$A$2:$B$31,2,0)</f>
        <v>Đào đất xử lý nền đường đoạn từ Km0+000,00 - Km0+126,46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7" t="s">
        <v>69</v>
      </c>
      <c r="B20" s="77" t="s">
        <v>70</v>
      </c>
      <c r="C20" s="77" t="s">
        <v>71</v>
      </c>
      <c r="D20" s="78" t="s">
        <v>72</v>
      </c>
      <c r="E20" s="78"/>
      <c r="F20" s="78"/>
      <c r="G20" s="78"/>
      <c r="H20" s="78"/>
      <c r="I20" s="78"/>
      <c r="J20" s="78" t="s">
        <v>93</v>
      </c>
      <c r="K20" s="78"/>
      <c r="L20" s="78"/>
      <c r="M20" s="78" t="s">
        <v>94</v>
      </c>
      <c r="N20" s="78"/>
      <c r="O20" s="78"/>
      <c r="P20" s="78"/>
      <c r="Q20" s="78"/>
      <c r="R20" s="78"/>
      <c r="S20" s="78" t="s">
        <v>95</v>
      </c>
      <c r="T20" s="78"/>
      <c r="U20" s="78"/>
      <c r="V20" s="77" t="s">
        <v>77</v>
      </c>
    </row>
    <row r="21" customFormat="false" ht="30" hidden="false" customHeight="true" outlineLevel="0" collapsed="false">
      <c r="A21" s="77"/>
      <c r="B21" s="77"/>
      <c r="C21" s="77"/>
      <c r="D21" s="62" t="s">
        <v>96</v>
      </c>
      <c r="E21" s="62" t="s">
        <v>97</v>
      </c>
      <c r="F21" s="62" t="s">
        <v>98</v>
      </c>
      <c r="G21" s="62" t="s">
        <v>99</v>
      </c>
      <c r="H21" s="62" t="s">
        <v>100</v>
      </c>
      <c r="I21" s="62" t="s">
        <v>101</v>
      </c>
      <c r="J21" s="62" t="s">
        <v>99</v>
      </c>
      <c r="K21" s="62" t="s">
        <v>100</v>
      </c>
      <c r="L21" s="62" t="s">
        <v>101</v>
      </c>
      <c r="M21" s="62" t="s">
        <v>96</v>
      </c>
      <c r="N21" s="62" t="s">
        <v>97</v>
      </c>
      <c r="O21" s="62" t="s">
        <v>98</v>
      </c>
      <c r="P21" s="62" t="s">
        <v>99</v>
      </c>
      <c r="Q21" s="62" t="s">
        <v>100</v>
      </c>
      <c r="R21" s="62" t="s">
        <v>101</v>
      </c>
      <c r="S21" s="62" t="s">
        <v>102</v>
      </c>
      <c r="T21" s="62" t="s">
        <v>103</v>
      </c>
      <c r="U21" s="62" t="s">
        <v>104</v>
      </c>
      <c r="V21" s="77"/>
    </row>
    <row r="22" customFormat="false" ht="15" hidden="true" customHeight="false" outlineLevel="0" collapsed="false">
      <c r="A22" s="79"/>
      <c r="B22" s="79"/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2"/>
    </row>
    <row r="23" customFormat="false" ht="15" hidden="true" customHeight="false" outlineLevel="0" collapsed="false">
      <c r="A23" s="83"/>
      <c r="B23" s="83"/>
      <c r="C23" s="84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5"/>
    </row>
    <row r="24" customFormat="false" ht="20.25" hidden="false" customHeight="true" outlineLevel="0" collapsed="false">
      <c r="A24" s="83" t="n">
        <f aca="false">+'1. PL đường đen'!A12</f>
        <v>1</v>
      </c>
      <c r="B24" s="83" t="str">
        <f aca="false">+'1. PL đường đen'!B12</f>
        <v>D3</v>
      </c>
      <c r="C24" s="84" t="n">
        <f aca="false">+'1. PL đường đen'!C12</f>
        <v>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85"/>
    </row>
    <row r="25" customFormat="false" ht="20.25" hidden="false" customHeight="true" outlineLevel="0" collapsed="false">
      <c r="A25" s="83" t="n">
        <f aca="false">+'1. PL đường đen'!A13</f>
        <v>2</v>
      </c>
      <c r="B25" s="83" t="str">
        <f aca="false">+'1. PL đường đen'!B13</f>
        <v>1</v>
      </c>
      <c r="C25" s="84" t="n">
        <f aca="false">+'1. PL đường đen'!C13</f>
        <v>19.63</v>
      </c>
      <c r="D25" s="67" t="n">
        <v>-6.97</v>
      </c>
      <c r="E25" s="67" t="n">
        <f aca="false">D25+F25</f>
        <v>-6.968</v>
      </c>
      <c r="F25" s="67" t="n">
        <f aca="false">RANDBETWEEN(-105,115)/1000</f>
        <v>0.002</v>
      </c>
      <c r="G25" s="67" t="n">
        <v>-1.47</v>
      </c>
      <c r="H25" s="67" t="n">
        <f aca="false">G25+I25</f>
        <v>-1.477</v>
      </c>
      <c r="I25" s="67" t="n">
        <f aca="false">RANDBETWEEN(-105,115)/1000</f>
        <v>-0.007</v>
      </c>
      <c r="J25" s="67" t="n">
        <v>-1.47</v>
      </c>
      <c r="K25" s="67" t="n">
        <f aca="false">J25+L25</f>
        <v>-1.44</v>
      </c>
      <c r="L25" s="67" t="n">
        <f aca="false">RANDBETWEEN(-105,115)/1000</f>
        <v>0.03</v>
      </c>
      <c r="M25" s="67" t="n">
        <v>7.05</v>
      </c>
      <c r="N25" s="67" t="n">
        <f aca="false">M25+O25</f>
        <v>6.947</v>
      </c>
      <c r="O25" s="67" t="n">
        <f aca="false">RANDBETWEEN(-105,115)/1000</f>
        <v>-0.103</v>
      </c>
      <c r="P25" s="67" t="n">
        <v>-1.47</v>
      </c>
      <c r="Q25" s="67" t="n">
        <f aca="false">P25+R25</f>
        <v>-1.51</v>
      </c>
      <c r="R25" s="67" t="n">
        <f aca="false">RANDBETWEEN(-105,115)/1000</f>
        <v>-0.04</v>
      </c>
      <c r="S25" s="67" t="n">
        <f aca="false">ABS(D25)+ABS(M25)</f>
        <v>14.02</v>
      </c>
      <c r="T25" s="67" t="n">
        <f aca="false">S25+U25</f>
        <v>14.084</v>
      </c>
      <c r="U25" s="67" t="n">
        <f aca="false">RANDBETWEEN(-105,135)/1000</f>
        <v>0.064</v>
      </c>
      <c r="V25" s="85"/>
    </row>
    <row r="26" customFormat="false" ht="20.25" hidden="false" customHeight="true" outlineLevel="0" collapsed="false">
      <c r="A26" s="83" t="n">
        <f aca="false">+'1. PL đường đen'!A14</f>
        <v>3</v>
      </c>
      <c r="B26" s="83" t="str">
        <f aca="false">+'1. PL đường đen'!B14</f>
        <v>2</v>
      </c>
      <c r="C26" s="84" t="n">
        <f aca="false">+'1. PL đường đen'!C14</f>
        <v>36.8</v>
      </c>
      <c r="D26" s="67" t="n">
        <v>-7.04</v>
      </c>
      <c r="E26" s="67" t="n">
        <f aca="false">D26+F26</f>
        <v>-6.962</v>
      </c>
      <c r="F26" s="67" t="n">
        <f aca="false">RANDBETWEEN(-105,115)/1000</f>
        <v>0.078</v>
      </c>
      <c r="G26" s="67" t="n">
        <v>-1.51</v>
      </c>
      <c r="H26" s="67" t="n">
        <f aca="false">G26+I26</f>
        <v>-1.455</v>
      </c>
      <c r="I26" s="67" t="n">
        <f aca="false">RANDBETWEEN(-105,115)/1000</f>
        <v>0.055</v>
      </c>
      <c r="J26" s="67" t="n">
        <v>-1.51</v>
      </c>
      <c r="K26" s="67" t="n">
        <f aca="false">J26+L26</f>
        <v>-1.477</v>
      </c>
      <c r="L26" s="67" t="n">
        <f aca="false">RANDBETWEEN(-105,115)/1000</f>
        <v>0.033</v>
      </c>
      <c r="M26" s="67" t="n">
        <v>7.09</v>
      </c>
      <c r="N26" s="67" t="n">
        <f aca="false">M26+O26</f>
        <v>7.091</v>
      </c>
      <c r="O26" s="67" t="n">
        <f aca="false">RANDBETWEEN(-105,115)/1000</f>
        <v>0.001</v>
      </c>
      <c r="P26" s="67" t="n">
        <v>-1.51</v>
      </c>
      <c r="Q26" s="67" t="n">
        <f aca="false">P26+R26</f>
        <v>-1.467</v>
      </c>
      <c r="R26" s="67" t="n">
        <f aca="false">RANDBETWEEN(-105,115)/1000</f>
        <v>0.043</v>
      </c>
      <c r="S26" s="67" t="n">
        <f aca="false">ABS(D26)+ABS(M26)</f>
        <v>14.13</v>
      </c>
      <c r="T26" s="67" t="n">
        <f aca="false">S26+U26</f>
        <v>14.233</v>
      </c>
      <c r="U26" s="67" t="n">
        <f aca="false">RANDBETWEEN(-105,135)/1000</f>
        <v>0.103</v>
      </c>
      <c r="V26" s="85"/>
    </row>
    <row r="27" customFormat="false" ht="20.25" hidden="false" customHeight="true" outlineLevel="0" collapsed="false">
      <c r="A27" s="83" t="n">
        <f aca="false">+'1. PL đường đen'!A15</f>
        <v>4</v>
      </c>
      <c r="B27" s="83" t="str">
        <f aca="false">+'1. PL đường đen'!B15</f>
        <v>3</v>
      </c>
      <c r="C27" s="84" t="n">
        <f aca="false">+'1. PL đường đen'!C15</f>
        <v>53.98</v>
      </c>
      <c r="D27" s="67" t="n">
        <v>-7.28</v>
      </c>
      <c r="E27" s="67" t="n">
        <f aca="false">D27+F27</f>
        <v>-7.211</v>
      </c>
      <c r="F27" s="67" t="n">
        <f aca="false">RANDBETWEEN(-105,115)/1000</f>
        <v>0.069</v>
      </c>
      <c r="G27" s="67" t="n">
        <v>-1.56</v>
      </c>
      <c r="H27" s="67" t="n">
        <f aca="false">G27+I27</f>
        <v>-1.538</v>
      </c>
      <c r="I27" s="67" t="n">
        <f aca="false">RANDBETWEEN(-105,115)/1000</f>
        <v>0.022</v>
      </c>
      <c r="J27" s="67" t="n">
        <v>-1.56</v>
      </c>
      <c r="K27" s="67" t="n">
        <f aca="false">J27+L27</f>
        <v>-1.643</v>
      </c>
      <c r="L27" s="67" t="n">
        <f aca="false">RANDBETWEEN(-105,115)/1000</f>
        <v>-0.083</v>
      </c>
      <c r="M27" s="67" t="n">
        <v>7.26</v>
      </c>
      <c r="N27" s="67" t="n">
        <f aca="false">M27+O27</f>
        <v>7.23</v>
      </c>
      <c r="O27" s="67" t="n">
        <f aca="false">RANDBETWEEN(-105,115)/1000</f>
        <v>-0.03</v>
      </c>
      <c r="P27" s="67" t="n">
        <v>-1.56</v>
      </c>
      <c r="Q27" s="67" t="n">
        <f aca="false">P27+R27</f>
        <v>-1.571</v>
      </c>
      <c r="R27" s="67" t="n">
        <f aca="false">RANDBETWEEN(-105,115)/1000</f>
        <v>-0.011</v>
      </c>
      <c r="S27" s="67" t="n">
        <f aca="false">ABS(D27)+ABS(M27)</f>
        <v>14.54</v>
      </c>
      <c r="T27" s="67" t="n">
        <f aca="false">S27+U27</f>
        <v>14.559</v>
      </c>
      <c r="U27" s="67" t="n">
        <f aca="false">RANDBETWEEN(-105,135)/1000</f>
        <v>0.019</v>
      </c>
      <c r="V27" s="85"/>
    </row>
    <row r="28" customFormat="false" ht="20.25" hidden="false" customHeight="true" outlineLevel="0" collapsed="false">
      <c r="A28" s="83" t="n">
        <f aca="false">+'1. PL đường đen'!A16</f>
        <v>5</v>
      </c>
      <c r="B28" s="83" t="str">
        <f aca="false">+'1. PL đường đen'!B16</f>
        <v>D2</v>
      </c>
      <c r="C28" s="84" t="n">
        <f aca="false">+'1. PL đường đen'!C16</f>
        <v>66.95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85"/>
    </row>
    <row r="29" customFormat="false" ht="20.25" hidden="false" customHeight="true" outlineLevel="0" collapsed="false">
      <c r="A29" s="83" t="n">
        <f aca="false">+'1. PL đường đen'!A17</f>
        <v>6</v>
      </c>
      <c r="B29" s="83" t="str">
        <f aca="false">+'1. PL đường đen'!B17</f>
        <v>4</v>
      </c>
      <c r="C29" s="84" t="n">
        <f aca="false">+'1. PL đường đen'!C17</f>
        <v>77.63</v>
      </c>
      <c r="D29" s="67" t="n">
        <v>-4.82</v>
      </c>
      <c r="E29" s="67" t="n">
        <f aca="false">D29+F29</f>
        <v>-4.836</v>
      </c>
      <c r="F29" s="67" t="n">
        <f aca="false">RANDBETWEEN(-105,115)/1000</f>
        <v>-0.016</v>
      </c>
      <c r="G29" s="67" t="n">
        <v>-1.63</v>
      </c>
      <c r="H29" s="67" t="n">
        <f aca="false">G29+I29</f>
        <v>-1.669</v>
      </c>
      <c r="I29" s="67" t="n">
        <f aca="false">RANDBETWEEN(-105,115)/1000</f>
        <v>-0.039</v>
      </c>
      <c r="J29" s="67" t="n">
        <v>-1.63</v>
      </c>
      <c r="K29" s="67" t="n">
        <f aca="false">J29+L29</f>
        <v>-1.522</v>
      </c>
      <c r="L29" s="67" t="n">
        <f aca="false">RANDBETWEEN(-105,115)/1000</f>
        <v>0.108</v>
      </c>
      <c r="M29" s="67" t="n">
        <v>7.68</v>
      </c>
      <c r="N29" s="67" t="n">
        <f aca="false">M29+O29</f>
        <v>7.692</v>
      </c>
      <c r="O29" s="67" t="n">
        <f aca="false">RANDBETWEEN(-105,115)/1000</f>
        <v>0.012</v>
      </c>
      <c r="P29" s="67" t="n">
        <v>-1.63</v>
      </c>
      <c r="Q29" s="67" t="n">
        <f aca="false">P29+R29</f>
        <v>-1.697</v>
      </c>
      <c r="R29" s="67" t="n">
        <f aca="false">RANDBETWEEN(-105,115)/1000</f>
        <v>-0.067</v>
      </c>
      <c r="S29" s="67" t="n">
        <f aca="false">ABS(D29)+ABS(M29)</f>
        <v>12.5</v>
      </c>
      <c r="T29" s="67" t="n">
        <f aca="false">S29+U29</f>
        <v>12.56</v>
      </c>
      <c r="U29" s="67" t="n">
        <f aca="false">RANDBETWEEN(-105,135)/1000</f>
        <v>0.06</v>
      </c>
      <c r="V29" s="85"/>
    </row>
    <row r="30" customFormat="false" ht="20.25" hidden="false" customHeight="true" outlineLevel="0" collapsed="false">
      <c r="A30" s="83" t="n">
        <f aca="false">+'1. PL đường đen'!A18</f>
        <v>7</v>
      </c>
      <c r="B30" s="83" t="str">
        <f aca="false">+'1. PL đường đen'!B18</f>
        <v>5</v>
      </c>
      <c r="C30" s="84" t="n">
        <f aca="false">+'1. PL đường đen'!C18</f>
        <v>94.8</v>
      </c>
      <c r="D30" s="67" t="n">
        <v>-7.65</v>
      </c>
      <c r="E30" s="67" t="n">
        <f aca="false">D30+F30</f>
        <v>-7.748</v>
      </c>
      <c r="F30" s="67" t="n">
        <f aca="false">RANDBETWEEN(-105,115)/1000</f>
        <v>-0.098</v>
      </c>
      <c r="G30" s="67" t="n">
        <v>-1.68</v>
      </c>
      <c r="H30" s="67" t="n">
        <f aca="false">G30+I30</f>
        <v>-1.752</v>
      </c>
      <c r="I30" s="67" t="n">
        <f aca="false">RANDBETWEEN(-105,115)/1000</f>
        <v>-0.072</v>
      </c>
      <c r="J30" s="67" t="n">
        <v>-1.68</v>
      </c>
      <c r="K30" s="67" t="n">
        <f aca="false">J30+L30</f>
        <v>-1.709</v>
      </c>
      <c r="L30" s="67" t="n">
        <f aca="false">RANDBETWEEN(-105,115)/1000</f>
        <v>-0.029</v>
      </c>
      <c r="M30" s="67" t="n">
        <v>7.32</v>
      </c>
      <c r="N30" s="67" t="n">
        <f aca="false">M30+O30</f>
        <v>7.276</v>
      </c>
      <c r="O30" s="67" t="n">
        <f aca="false">RANDBETWEEN(-105,115)/1000</f>
        <v>-0.044</v>
      </c>
      <c r="P30" s="67" t="n">
        <v>-1.68</v>
      </c>
      <c r="Q30" s="67" t="n">
        <f aca="false">P30+R30</f>
        <v>-1.65</v>
      </c>
      <c r="R30" s="67" t="n">
        <f aca="false">RANDBETWEEN(-105,115)/1000</f>
        <v>0.03</v>
      </c>
      <c r="S30" s="67" t="n">
        <f aca="false">ABS(D30)+ABS(M30)</f>
        <v>14.97</v>
      </c>
      <c r="T30" s="67" t="n">
        <f aca="false">S30+U30</f>
        <v>14.865</v>
      </c>
      <c r="U30" s="67" t="n">
        <f aca="false">RANDBETWEEN(-105,135)/1000</f>
        <v>-0.105</v>
      </c>
      <c r="V30" s="85"/>
    </row>
    <row r="31" customFormat="false" ht="20.25" hidden="false" customHeight="true" outlineLevel="0" collapsed="false">
      <c r="A31" s="83" t="n">
        <f aca="false">+'1. PL đường đen'!A19</f>
        <v>8</v>
      </c>
      <c r="B31" s="83" t="str">
        <f aca="false">+'1. PL đường đen'!B19</f>
        <v>6</v>
      </c>
      <c r="C31" s="84" t="n">
        <f aca="false">+'1. PL đường đen'!C19</f>
        <v>111.97</v>
      </c>
      <c r="D31" s="67" t="n">
        <v>-7.63</v>
      </c>
      <c r="E31" s="67" t="n">
        <f aca="false">D31+F31</f>
        <v>-7.698</v>
      </c>
      <c r="F31" s="67" t="n">
        <f aca="false">RANDBETWEEN(-105,115)/1000</f>
        <v>-0.068</v>
      </c>
      <c r="G31" s="67" t="n">
        <v>-1.73</v>
      </c>
      <c r="H31" s="67" t="n">
        <f aca="false">G31+I31</f>
        <v>-1.804</v>
      </c>
      <c r="I31" s="67" t="n">
        <f aca="false">RANDBETWEEN(-105,115)/1000</f>
        <v>-0.074</v>
      </c>
      <c r="J31" s="67" t="n">
        <v>-1.73</v>
      </c>
      <c r="K31" s="67" t="n">
        <f aca="false">J31+L31</f>
        <v>-1.757</v>
      </c>
      <c r="L31" s="67" t="n">
        <f aca="false">RANDBETWEEN(-105,115)/1000</f>
        <v>-0.027</v>
      </c>
      <c r="M31" s="67" t="n">
        <v>7.15</v>
      </c>
      <c r="N31" s="67" t="n">
        <f aca="false">M31+O31</f>
        <v>7.239</v>
      </c>
      <c r="O31" s="67" t="n">
        <f aca="false">RANDBETWEEN(-105,115)/1000</f>
        <v>0.089</v>
      </c>
      <c r="P31" s="67" t="n">
        <v>-1.73</v>
      </c>
      <c r="Q31" s="67" t="n">
        <f aca="false">P31+R31</f>
        <v>-1.762</v>
      </c>
      <c r="R31" s="67" t="n">
        <f aca="false">RANDBETWEEN(-105,115)/1000</f>
        <v>-0.032</v>
      </c>
      <c r="S31" s="67" t="n">
        <f aca="false">ABS(D31)+ABS(M31)</f>
        <v>14.78</v>
      </c>
      <c r="T31" s="67" t="n">
        <f aca="false">S31+U31</f>
        <v>14.899</v>
      </c>
      <c r="U31" s="67" t="n">
        <f aca="false">RANDBETWEEN(-105,135)/1000</f>
        <v>0.119</v>
      </c>
      <c r="V31" s="85"/>
    </row>
    <row r="32" customFormat="false" ht="20.25" hidden="false" customHeight="true" outlineLevel="0" collapsed="false">
      <c r="A32" s="83" t="n">
        <f aca="false">+'1. PL đường đen'!A20</f>
        <v>9</v>
      </c>
      <c r="B32" s="83" t="str">
        <f aca="false">+'1. PL đường đen'!B20</f>
        <v>D1</v>
      </c>
      <c r="C32" s="84" t="n">
        <f aca="false">+'1. PL đường đen'!C20</f>
        <v>126.46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5"/>
    </row>
    <row r="33" customFormat="false" ht="21" hidden="false" customHeight="true" outlineLevel="0" collapsed="false"/>
    <row r="34" customFormat="false" ht="15" hidden="false" customHeight="false" outlineLevel="0" collapsed="false">
      <c r="E34" s="71" t="s">
        <v>90</v>
      </c>
      <c r="F34" s="71"/>
      <c r="G34" s="71"/>
      <c r="H34" s="71"/>
      <c r="K34" s="86"/>
      <c r="L34" s="86"/>
      <c r="M34" s="86"/>
      <c r="N34" s="86"/>
      <c r="O34" s="71" t="s">
        <v>91</v>
      </c>
      <c r="P34" s="71"/>
      <c r="Q34" s="71"/>
      <c r="R34" s="71"/>
      <c r="S34" s="71"/>
    </row>
    <row r="35" customFormat="false" ht="15" hidden="false" customHeight="false" outlineLevel="0" collapsed="false">
      <c r="E35" s="72"/>
      <c r="F35" s="72"/>
      <c r="G35" s="72"/>
      <c r="H35" s="72"/>
      <c r="K35" s="72"/>
      <c r="L35" s="72"/>
      <c r="M35" s="72"/>
      <c r="N35" s="72"/>
      <c r="O35" s="72"/>
      <c r="P35" s="72"/>
      <c r="Q35" s="72"/>
      <c r="R35" s="72"/>
      <c r="S35" s="72"/>
    </row>
    <row r="36" customFormat="false" ht="15" hidden="false" customHeight="false" outlineLevel="0" collapsed="false">
      <c r="E36" s="72"/>
      <c r="F36" s="72"/>
      <c r="G36" s="72"/>
      <c r="H36" s="72"/>
      <c r="K36" s="72"/>
      <c r="L36" s="72"/>
      <c r="M36" s="72"/>
      <c r="N36" s="72"/>
      <c r="O36" s="72"/>
      <c r="P36" s="72"/>
      <c r="Q36" s="72"/>
      <c r="R36" s="72"/>
      <c r="S36" s="72"/>
    </row>
    <row r="37" customFormat="false" ht="15" hidden="false" customHeight="false" outlineLevel="0" collapsed="false">
      <c r="E37" s="72"/>
      <c r="F37" s="72"/>
      <c r="G37" s="72"/>
      <c r="H37" s="72"/>
      <c r="K37" s="72"/>
      <c r="L37" s="72"/>
      <c r="M37" s="72"/>
      <c r="N37" s="72"/>
      <c r="O37" s="72"/>
      <c r="P37" s="72"/>
      <c r="Q37" s="72"/>
      <c r="R37" s="72"/>
      <c r="S37" s="72"/>
    </row>
    <row r="38" customFormat="false" ht="15" hidden="false" customHeight="false" outlineLevel="0" collapsed="false">
      <c r="E38" s="72"/>
      <c r="F38" s="72"/>
      <c r="G38" s="72"/>
      <c r="H38" s="72"/>
      <c r="K38" s="72"/>
      <c r="L38" s="72"/>
      <c r="M38" s="72"/>
      <c r="N38" s="72"/>
      <c r="O38" s="72"/>
      <c r="P38" s="72"/>
      <c r="Q38" s="72"/>
      <c r="R38" s="72"/>
      <c r="S38" s="72"/>
    </row>
    <row r="39" customFormat="false" ht="15" hidden="false" customHeight="false" outlineLevel="0" collapsed="false">
      <c r="E39" s="71" t="s">
        <v>29</v>
      </c>
      <c r="F39" s="71"/>
      <c r="G39" s="71"/>
      <c r="H39" s="71"/>
      <c r="K39" s="86"/>
      <c r="L39" s="86"/>
      <c r="M39" s="86"/>
      <c r="N39" s="86"/>
      <c r="O39" s="71" t="str">
        <f aca="false">'1. PL đường đen'!K26</f>
        <v>Lê Quốc Huy</v>
      </c>
      <c r="P39" s="71"/>
      <c r="Q39" s="71"/>
      <c r="R39" s="71"/>
      <c r="S39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34:H34"/>
    <mergeCell ref="O34:S34"/>
    <mergeCell ref="E39:H39"/>
    <mergeCell ref="O39:S39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06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7" width="5.29"/>
    <col collapsed="false" customWidth="true" hidden="false" outlineLevel="0" max="2" min="2" style="87" width="8.42"/>
    <col collapsed="false" customWidth="true" hidden="false" outlineLevel="0" max="3" min="3" style="87" width="11.85"/>
    <col collapsed="false" customWidth="true" hidden="false" outlineLevel="0" max="4" min="4" style="88" width="6.71"/>
    <col collapsed="false" customWidth="true" hidden="true" outlineLevel="0" max="5" min="5" style="88" width="8.42"/>
    <col collapsed="false" customWidth="true" hidden="true" outlineLevel="0" max="6" min="6" style="88" width="14.29"/>
    <col collapsed="false" customWidth="true" hidden="false" outlineLevel="0" max="7" min="7" style="88" width="7.71"/>
    <col collapsed="false" customWidth="true" hidden="false" outlineLevel="0" max="8" min="8" style="88" width="10"/>
    <col collapsed="false" customWidth="true" hidden="false" outlineLevel="0" max="9" min="9" style="88" width="6.85"/>
    <col collapsed="false" customWidth="true" hidden="false" outlineLevel="0" max="10" min="10" style="88" width="10.42"/>
    <col collapsed="false" customWidth="true" hidden="false" outlineLevel="0" max="11" min="11" style="88" width="9.42"/>
    <col collapsed="false" customWidth="true" hidden="false" outlineLevel="0" max="12" min="12" style="88" width="9"/>
    <col collapsed="false" customWidth="true" hidden="false" outlineLevel="0" max="13" min="13" style="88" width="4.57"/>
    <col collapsed="false" customWidth="true" hidden="false" outlineLevel="0" max="14" min="14" style="87" width="11.85"/>
    <col collapsed="false" customWidth="true" hidden="false" outlineLevel="0" max="15" min="15" style="87" width="13.15"/>
    <col collapsed="false" customWidth="true" hidden="false" outlineLevel="0" max="16" min="16" style="87" width="24.57"/>
    <col collapsed="false" customWidth="false" hidden="false" outlineLevel="0" max="16384" min="17" style="87" width="9.29"/>
  </cols>
  <sheetData>
    <row r="1" s="90" customFormat="true" ht="18.75" hidden="false" customHeight="true" outlineLevel="0" collapsed="false">
      <c r="A1" s="89" t="s">
        <v>105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="90" customFormat="true" ht="16.5" hidden="false" customHeight="true" outlineLevel="0" collapsed="false">
      <c r="A2" s="91" t="str">
        <f aca="false">"Kèm theo BBNT số: "&amp;VLOOKUP(N2,'Tuyến XB6A'!$A$2:$G$29,7,0)&amp;VLOOKUP(N2,'Tuyến XB6A'!$A$2:$G$29,4,0)</f>
        <v>Kèm theo BBNT số: 02.NĐXB6A/CVXD ngày 24 tháng 08 năm 2026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0" t="n">
        <v>2</v>
      </c>
    </row>
    <row r="3" s="94" customFormat="true" ht="37.5" hidden="false" customHeight="true" outlineLevel="0" collapsed="false">
      <c r="A3" s="92" t="str">
        <f aca="false">'2. Cao độ đào nền'!A3</f>
        <v>Dự án: Xây dựng HTKT Khu tái định cư phục vụ di dân xã Hải Hà, thị xã Nghi Sơn, tỉnh Thanh Hóa.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</row>
    <row r="4" s="94" customFormat="true" ht="37.5" hidden="false" customHeight="true" outlineLevel="0" collapsed="false">
      <c r="A4" s="92" t="str">
        <f aca="false">'2. Cao độ đào nền'!A4</f>
        <v>Gói thầu số 12: Xây dựng HTKT khu vực Hải Bình và Xuân Lâm (bao gồm cả bảo hiểm xây dựng công trình)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</row>
    <row r="5" s="94" customFormat="true" ht="16.5" hidden="false" customHeight="true" outlineLevel="0" collapsed="false">
      <c r="A5" s="92" t="s">
        <v>65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</row>
    <row r="6" s="94" customFormat="true" ht="16.5" hidden="false" customHeight="true" outlineLevel="0" collapsed="false">
      <c r="A6" s="92" t="str">
        <f aca="false">'2. Cao độ đào nền'!A6</f>
        <v>Hạng mục:  Nền đường tuyến XB6A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</row>
    <row r="7" s="94" customFormat="true" ht="36" hidden="false" customHeight="true" outlineLevel="0" collapsed="false">
      <c r="A7" s="95" t="s">
        <v>67</v>
      </c>
      <c r="B7" s="96"/>
      <c r="D7" s="97" t="str">
        <f aca="false">VLOOKUP(N2,'Tuyến XB6A'!$A$2:$B$29,2,0)</f>
        <v>Đào đất xử lý nền đường đoạn từ Km0+000,00 - Km0+126,46</v>
      </c>
      <c r="E7" s="97"/>
      <c r="F7" s="97"/>
      <c r="G7" s="97"/>
      <c r="H7" s="97"/>
      <c r="I7" s="97"/>
      <c r="J7" s="97"/>
      <c r="K7" s="97"/>
      <c r="L7" s="97"/>
      <c r="M7" s="97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</row>
    <row r="8" s="93" customFormat="true" ht="13.5" hidden="false" customHeight="true" outlineLevel="0" collapsed="false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="105" customFormat="true" ht="22.5" hidden="false" customHeight="true" outlineLevel="0" collapsed="false">
      <c r="A9" s="99" t="s">
        <v>5</v>
      </c>
      <c r="B9" s="99" t="s">
        <v>70</v>
      </c>
      <c r="C9" s="99" t="s">
        <v>71</v>
      </c>
      <c r="D9" s="100" t="s">
        <v>106</v>
      </c>
      <c r="E9" s="101"/>
      <c r="F9" s="102" t="s">
        <v>107</v>
      </c>
      <c r="G9" s="103" t="s">
        <v>108</v>
      </c>
      <c r="H9" s="103"/>
      <c r="I9" s="103"/>
      <c r="J9" s="103" t="s">
        <v>109</v>
      </c>
      <c r="K9" s="103"/>
      <c r="L9" s="103"/>
      <c r="M9" s="104" t="s">
        <v>110</v>
      </c>
    </row>
    <row r="10" s="107" customFormat="true" ht="36.75" hidden="false" customHeight="true" outlineLevel="0" collapsed="false">
      <c r="A10" s="99"/>
      <c r="B10" s="99"/>
      <c r="C10" s="99"/>
      <c r="D10" s="99"/>
      <c r="E10" s="104"/>
      <c r="F10" s="104" t="s">
        <v>111</v>
      </c>
      <c r="G10" s="104" t="s">
        <v>112</v>
      </c>
      <c r="H10" s="104" t="s">
        <v>113</v>
      </c>
      <c r="I10" s="104" t="s">
        <v>114</v>
      </c>
      <c r="J10" s="104" t="s">
        <v>112</v>
      </c>
      <c r="K10" s="104" t="s">
        <v>113</v>
      </c>
      <c r="L10" s="104" t="s">
        <v>115</v>
      </c>
      <c r="M10" s="104"/>
      <c r="N10" s="106"/>
      <c r="O10" s="106"/>
    </row>
    <row r="11" s="107" customFormat="true" ht="15" hidden="false" customHeight="true" outlineLevel="0" collapsed="false">
      <c r="A11" s="83" t="n">
        <v>1</v>
      </c>
      <c r="B11" s="83" t="str">
        <f aca="false">'1. PL đường đen'!B12</f>
        <v>D3</v>
      </c>
      <c r="C11" s="65" t="n">
        <f aca="false">'1. PL đường đen'!C12</f>
        <v>0</v>
      </c>
      <c r="D11" s="83" t="n">
        <f aca="false">'1. PL đường đen'!T12</f>
        <v>19.63</v>
      </c>
      <c r="E11" s="67"/>
      <c r="F11" s="108"/>
      <c r="G11" s="108" t="n">
        <v>0</v>
      </c>
      <c r="H11" s="108"/>
      <c r="I11" s="108"/>
      <c r="J11" s="109" t="n">
        <f aca="false">(G11+G12)*D11/2</f>
        <v>229.76915</v>
      </c>
      <c r="K11" s="109"/>
      <c r="L11" s="109"/>
      <c r="M11" s="110"/>
      <c r="O11" s="111"/>
    </row>
    <row r="12" s="107" customFormat="true" ht="15" hidden="false" customHeight="true" outlineLevel="0" collapsed="false">
      <c r="A12" s="83" t="n">
        <v>2</v>
      </c>
      <c r="B12" s="83" t="str">
        <f aca="false">'1. PL đường đen'!B13</f>
        <v>1</v>
      </c>
      <c r="C12" s="65" t="n">
        <f aca="false">'1. PL đường đen'!C13</f>
        <v>19.63</v>
      </c>
      <c r="D12" s="83" t="n">
        <f aca="false">'1. PL đường đen'!T13</f>
        <v>17.17</v>
      </c>
      <c r="E12" s="67" t="n">
        <f aca="false">RANDBETWEEN(1,7)/100</f>
        <v>0.05</v>
      </c>
      <c r="F12" s="108" t="n">
        <v>23.36</v>
      </c>
      <c r="G12" s="108" t="n">
        <f aca="false">+F12+E12</f>
        <v>23.41</v>
      </c>
      <c r="H12" s="108"/>
      <c r="I12" s="108"/>
      <c r="J12" s="109" t="n">
        <f aca="false">(G12+G13)*D12/2</f>
        <v>406.67145</v>
      </c>
      <c r="K12" s="109"/>
      <c r="L12" s="109"/>
      <c r="M12" s="110"/>
      <c r="O12" s="111"/>
    </row>
    <row r="13" s="107" customFormat="true" ht="15" hidden="false" customHeight="true" outlineLevel="0" collapsed="false">
      <c r="A13" s="83" t="n">
        <v>3</v>
      </c>
      <c r="B13" s="83" t="str">
        <f aca="false">'1. PL đường đen'!B14</f>
        <v>2</v>
      </c>
      <c r="C13" s="65" t="n">
        <f aca="false">'1. PL đường đen'!C14</f>
        <v>36.8</v>
      </c>
      <c r="D13" s="83" t="n">
        <f aca="false">'1. PL đường đen'!T14</f>
        <v>17.18</v>
      </c>
      <c r="E13" s="67" t="n">
        <f aca="false">RANDBETWEEN(1,7)/100</f>
        <v>0.05</v>
      </c>
      <c r="F13" s="108" t="n">
        <v>23.91</v>
      </c>
      <c r="G13" s="108" t="n">
        <f aca="false">+F13+E13</f>
        <v>23.96</v>
      </c>
      <c r="H13" s="108"/>
      <c r="I13" s="108"/>
      <c r="J13" s="109" t="n">
        <f aca="false">(G13+G14)*D13/2</f>
        <v>399.7786</v>
      </c>
      <c r="K13" s="109"/>
      <c r="L13" s="109"/>
      <c r="M13" s="110"/>
      <c r="O13" s="111"/>
    </row>
    <row r="14" s="107" customFormat="true" ht="15" hidden="false" customHeight="true" outlineLevel="0" collapsed="false">
      <c r="A14" s="83" t="n">
        <v>4</v>
      </c>
      <c r="B14" s="83" t="str">
        <f aca="false">'1. PL đường đen'!B15</f>
        <v>3</v>
      </c>
      <c r="C14" s="65" t="n">
        <f aca="false">'1. PL đường đen'!C15</f>
        <v>53.98</v>
      </c>
      <c r="D14" s="83" t="n">
        <f aca="false">'1. PL đường đen'!T15</f>
        <v>12.97</v>
      </c>
      <c r="E14" s="67" t="n">
        <f aca="false">RANDBETWEEN(1,7)/100</f>
        <v>0.05</v>
      </c>
      <c r="F14" s="108" t="n">
        <v>22.53</v>
      </c>
      <c r="G14" s="108" t="n">
        <f aca="false">+F14+E14</f>
        <v>22.58</v>
      </c>
      <c r="H14" s="108"/>
      <c r="I14" s="108"/>
      <c r="J14" s="109" t="n">
        <f aca="false">(G14+G15)*D14/2</f>
        <v>146.4313</v>
      </c>
      <c r="K14" s="109"/>
      <c r="L14" s="109"/>
      <c r="M14" s="110"/>
      <c r="O14" s="111"/>
    </row>
    <row r="15" s="107" customFormat="true" ht="15" hidden="false" customHeight="true" outlineLevel="0" collapsed="false">
      <c r="A15" s="83" t="n">
        <v>5</v>
      </c>
      <c r="B15" s="83" t="str">
        <f aca="false">'1. PL đường đen'!B16</f>
        <v>D2</v>
      </c>
      <c r="C15" s="65" t="n">
        <f aca="false">'1. PL đường đen'!C16</f>
        <v>66.95</v>
      </c>
      <c r="D15" s="83" t="n">
        <f aca="false">'1. PL đường đen'!T16</f>
        <v>10.68</v>
      </c>
      <c r="E15" s="67"/>
      <c r="F15" s="108"/>
      <c r="G15" s="108" t="n">
        <v>0</v>
      </c>
      <c r="H15" s="108"/>
      <c r="I15" s="108"/>
      <c r="J15" s="109" t="n">
        <f aca="false">(G15+G16)*D15/2</f>
        <v>109.6302</v>
      </c>
      <c r="K15" s="109"/>
      <c r="L15" s="109"/>
      <c r="M15" s="110"/>
      <c r="O15" s="111"/>
    </row>
    <row r="16" s="107" customFormat="true" ht="15" hidden="false" customHeight="true" outlineLevel="0" collapsed="false">
      <c r="A16" s="83" t="n">
        <v>6</v>
      </c>
      <c r="B16" s="83" t="str">
        <f aca="false">'1. PL đường đen'!B17</f>
        <v>4</v>
      </c>
      <c r="C16" s="65" t="n">
        <f aca="false">'1. PL đường đen'!C17</f>
        <v>77.63</v>
      </c>
      <c r="D16" s="83" t="n">
        <f aca="false">'1. PL đường đen'!T17</f>
        <v>17.17</v>
      </c>
      <c r="E16" s="67" t="n">
        <f aca="false">RANDBETWEEN(1,7)/100</f>
        <v>0.02</v>
      </c>
      <c r="F16" s="108" t="n">
        <v>20.51</v>
      </c>
      <c r="G16" s="108" t="n">
        <f aca="false">+F16+E16</f>
        <v>20.53</v>
      </c>
      <c r="H16" s="108"/>
      <c r="I16" s="108"/>
      <c r="J16" s="109" t="n">
        <f aca="false">(G16+G17)*D16/2</f>
        <v>382.97685</v>
      </c>
      <c r="K16" s="109"/>
      <c r="L16" s="109"/>
      <c r="M16" s="110"/>
      <c r="O16" s="111"/>
    </row>
    <row r="17" s="107" customFormat="true" ht="15" hidden="false" customHeight="true" outlineLevel="0" collapsed="false">
      <c r="A17" s="83" t="n">
        <v>7</v>
      </c>
      <c r="B17" s="83" t="str">
        <f aca="false">'1. PL đường đen'!B18</f>
        <v>5</v>
      </c>
      <c r="C17" s="65" t="n">
        <f aca="false">'1. PL đường đen'!C18</f>
        <v>94.8</v>
      </c>
      <c r="D17" s="83" t="n">
        <f aca="false">'1. PL đường đen'!T18</f>
        <v>17.17</v>
      </c>
      <c r="E17" s="67" t="n">
        <f aca="false">RANDBETWEEN(1,7)/100</f>
        <v>0.02</v>
      </c>
      <c r="F17" s="108" t="n">
        <v>24.06</v>
      </c>
      <c r="G17" s="108" t="n">
        <f aca="false">+F17+E17</f>
        <v>24.08</v>
      </c>
      <c r="H17" s="108"/>
      <c r="I17" s="108"/>
      <c r="J17" s="109" t="n">
        <f aca="false">(G17+G18)*D17/2</f>
        <v>422.382</v>
      </c>
      <c r="K17" s="109"/>
      <c r="L17" s="109"/>
      <c r="M17" s="110"/>
      <c r="O17" s="111"/>
    </row>
    <row r="18" s="107" customFormat="true" ht="15" hidden="false" customHeight="true" outlineLevel="0" collapsed="false">
      <c r="A18" s="83" t="n">
        <v>8</v>
      </c>
      <c r="B18" s="83" t="str">
        <f aca="false">'1. PL đường đen'!B19</f>
        <v>6</v>
      </c>
      <c r="C18" s="65" t="n">
        <f aca="false">'1. PL đường đen'!C19</f>
        <v>111.97</v>
      </c>
      <c r="D18" s="83" t="n">
        <f aca="false">'1. PL đường đen'!T19</f>
        <v>14.49</v>
      </c>
      <c r="E18" s="67" t="n">
        <f aca="false">RANDBETWEEN(1,7)/100</f>
        <v>0.01</v>
      </c>
      <c r="F18" s="108" t="n">
        <v>25.11</v>
      </c>
      <c r="G18" s="108" t="n">
        <f aca="false">+F18+E18</f>
        <v>25.12</v>
      </c>
      <c r="H18" s="108"/>
      <c r="I18" s="108"/>
      <c r="J18" s="109" t="n">
        <f aca="false">(G18+G19)*D18/2</f>
        <v>181.9944</v>
      </c>
      <c r="K18" s="109"/>
      <c r="L18" s="109"/>
      <c r="M18" s="110"/>
      <c r="O18" s="111"/>
    </row>
    <row r="19" s="107" customFormat="true" ht="15" hidden="false" customHeight="true" outlineLevel="0" collapsed="false">
      <c r="A19" s="83" t="n">
        <v>9</v>
      </c>
      <c r="B19" s="83" t="str">
        <f aca="false">'1. PL đường đen'!B20</f>
        <v>D1</v>
      </c>
      <c r="C19" s="65" t="n">
        <f aca="false">'1. PL đường đen'!C20</f>
        <v>126.46</v>
      </c>
      <c r="D19" s="83"/>
      <c r="E19" s="67"/>
      <c r="F19" s="108"/>
      <c r="G19" s="108" t="n">
        <v>0</v>
      </c>
      <c r="H19" s="108"/>
      <c r="I19" s="108"/>
      <c r="J19" s="109"/>
      <c r="K19" s="109"/>
      <c r="L19" s="109"/>
      <c r="M19" s="110"/>
      <c r="O19" s="111"/>
    </row>
    <row r="20" customFormat="false" ht="14.25" hidden="false" customHeight="true" outlineLevel="0" collapsed="false">
      <c r="A20" s="99" t="s">
        <v>116</v>
      </c>
      <c r="B20" s="99"/>
      <c r="C20" s="99"/>
      <c r="D20" s="99"/>
      <c r="E20" s="112"/>
      <c r="F20" s="113"/>
      <c r="G20" s="113"/>
      <c r="H20" s="113"/>
      <c r="I20" s="113"/>
      <c r="J20" s="114" t="n">
        <f aca="false">SUM(J11:J19)</f>
        <v>2279.63395</v>
      </c>
      <c r="K20" s="114"/>
      <c r="L20" s="114"/>
      <c r="M20" s="115"/>
      <c r="N20" s="116"/>
      <c r="O20" s="117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</row>
    <row r="21" customFormat="false" ht="14.25" hidden="false" customHeight="true" outlineLevel="0" collapsed="false">
      <c r="A21" s="118"/>
      <c r="B21" s="118"/>
      <c r="C21" s="118"/>
      <c r="D21" s="118"/>
      <c r="J21" s="117"/>
      <c r="K21" s="117"/>
      <c r="L21" s="117"/>
      <c r="M21" s="117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</row>
    <row r="22" customFormat="false" ht="15" hidden="false" customHeight="true" outlineLevel="0" collapsed="false">
      <c r="A22" s="71" t="s">
        <v>90</v>
      </c>
      <c r="B22" s="71"/>
      <c r="C22" s="71"/>
      <c r="D22" s="119" t="s">
        <v>117</v>
      </c>
      <c r="E22" s="71" t="s">
        <v>91</v>
      </c>
      <c r="F22" s="71"/>
      <c r="G22" s="71"/>
      <c r="H22" s="71"/>
      <c r="I22" s="71"/>
      <c r="J22" s="71"/>
      <c r="K22" s="71"/>
      <c r="L22" s="71"/>
      <c r="M22" s="71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</row>
    <row r="23" customFormat="false" ht="15" hidden="false" customHeight="true" outlineLevel="0" collapsed="false">
      <c r="A23" s="120"/>
      <c r="B23" s="120"/>
      <c r="C23" s="120"/>
      <c r="D23" s="121"/>
      <c r="E23" s="72"/>
      <c r="F23" s="72"/>
      <c r="G23" s="72"/>
      <c r="H23" s="72"/>
      <c r="I23" s="72"/>
      <c r="J23" s="72"/>
      <c r="K23" s="72"/>
      <c r="L23" s="72"/>
      <c r="M23" s="72"/>
      <c r="N23" s="116"/>
      <c r="O23" s="116"/>
      <c r="P23" s="116"/>
      <c r="Q23" s="116"/>
      <c r="R23" s="116"/>
      <c r="S23" s="116"/>
      <c r="T23" s="116"/>
      <c r="U23" s="116"/>
      <c r="HD23" s="116"/>
    </row>
    <row r="24" customFormat="false" ht="15" hidden="false" customHeight="true" outlineLevel="0" collapsed="false">
      <c r="A24" s="120"/>
      <c r="B24" s="120"/>
      <c r="C24" s="122"/>
      <c r="D24" s="122"/>
      <c r="E24" s="72"/>
      <c r="F24" s="72"/>
      <c r="G24" s="72"/>
      <c r="H24" s="72"/>
      <c r="I24" s="72"/>
      <c r="J24" s="72"/>
      <c r="K24" s="72"/>
      <c r="L24" s="72"/>
      <c r="M24" s="72"/>
      <c r="N24" s="116"/>
      <c r="O24" s="116"/>
      <c r="P24" s="116"/>
      <c r="Q24" s="116"/>
      <c r="R24" s="116"/>
      <c r="S24" s="116"/>
      <c r="T24" s="116"/>
      <c r="U24" s="116"/>
      <c r="HD24" s="116"/>
    </row>
    <row r="25" customFormat="false" ht="15" hidden="false" customHeight="true" outlineLevel="0" collapsed="false">
      <c r="A25" s="120"/>
      <c r="B25" s="120"/>
      <c r="C25" s="123"/>
      <c r="D25" s="123"/>
      <c r="E25" s="72"/>
      <c r="F25" s="72"/>
      <c r="G25" s="72"/>
      <c r="H25" s="72"/>
      <c r="I25" s="72"/>
      <c r="J25" s="72"/>
      <c r="K25" s="72"/>
      <c r="L25" s="72"/>
      <c r="M25" s="72"/>
      <c r="N25" s="116"/>
      <c r="O25" s="116"/>
      <c r="P25" s="116"/>
      <c r="Q25" s="116"/>
      <c r="R25" s="116"/>
      <c r="S25" s="116"/>
      <c r="T25" s="116"/>
      <c r="U25" s="116"/>
      <c r="HD25" s="116"/>
    </row>
    <row r="26" customFormat="false" ht="15" hidden="false" customHeight="true" outlineLevel="0" collapsed="false">
      <c r="A26" s="120"/>
      <c r="B26" s="120"/>
      <c r="C26" s="120"/>
      <c r="D26" s="121"/>
      <c r="E26" s="72"/>
      <c r="F26" s="72"/>
      <c r="G26" s="72"/>
      <c r="H26" s="72"/>
      <c r="I26" s="72"/>
      <c r="J26" s="72"/>
      <c r="K26" s="72"/>
      <c r="L26" s="72"/>
      <c r="M26" s="72"/>
      <c r="N26" s="116"/>
      <c r="O26" s="116"/>
      <c r="P26" s="116"/>
      <c r="Q26" s="116"/>
      <c r="R26" s="116"/>
      <c r="S26" s="116"/>
      <c r="T26" s="116"/>
      <c r="U26" s="116"/>
      <c r="HD26" s="116"/>
    </row>
    <row r="27" customFormat="false" ht="14.25" hidden="false" customHeight="true" outlineLevel="0" collapsed="false">
      <c r="A27" s="71" t="str">
        <f aca="false">'2. Cao độ đào nền'!E39</f>
        <v>Nguyễn Xuân Hưng</v>
      </c>
      <c r="B27" s="71"/>
      <c r="C27" s="71"/>
      <c r="D27" s="121"/>
      <c r="E27" s="71" t="str">
        <f aca="false">+'2. Cao độ đào nền'!O39</f>
        <v>Lê Quốc Huy</v>
      </c>
      <c r="F27" s="71"/>
      <c r="G27" s="71"/>
      <c r="H27" s="71"/>
      <c r="I27" s="71"/>
      <c r="J27" s="71"/>
      <c r="K27" s="71"/>
      <c r="L27" s="71"/>
      <c r="M27" s="71"/>
      <c r="N27" s="116"/>
      <c r="O27" s="116"/>
      <c r="P27" s="116"/>
      <c r="Q27" s="116"/>
      <c r="R27" s="116"/>
      <c r="S27" s="116"/>
      <c r="T27" s="116"/>
      <c r="U27" s="116"/>
      <c r="HD27" s="116"/>
    </row>
    <row r="28" customFormat="false" ht="15" hidden="false" customHeight="true" outlineLevel="0" collapsed="false">
      <c r="A28" s="124"/>
      <c r="B28" s="124"/>
      <c r="C28" s="124"/>
      <c r="D28" s="125"/>
      <c r="E28" s="125"/>
      <c r="F28" s="125"/>
      <c r="G28" s="125"/>
      <c r="H28" s="125"/>
      <c r="I28" s="125"/>
      <c r="J28" s="125"/>
      <c r="K28" s="125"/>
      <c r="L28" s="125"/>
      <c r="M28" s="126"/>
      <c r="N28" s="126"/>
      <c r="O28" s="126"/>
      <c r="P28" s="126"/>
      <c r="Q28" s="126"/>
      <c r="R28" s="126"/>
      <c r="S28" s="126"/>
      <c r="T28" s="126"/>
      <c r="U28" s="126"/>
      <c r="HD28" s="126"/>
    </row>
    <row r="29" customFormat="false" ht="16.5" hidden="false" customHeight="true" outlineLevel="0" collapsed="false">
      <c r="D29" s="127"/>
      <c r="E29" s="127"/>
      <c r="F29" s="128"/>
      <c r="G29" s="128"/>
      <c r="H29" s="128"/>
      <c r="I29" s="128"/>
      <c r="J29" s="128"/>
      <c r="K29" s="128"/>
      <c r="L29" s="128"/>
      <c r="M29" s="128"/>
      <c r="N29" s="126"/>
      <c r="O29" s="126"/>
      <c r="P29" s="126"/>
      <c r="Q29" s="126"/>
      <c r="R29" s="126"/>
      <c r="S29" s="126"/>
      <c r="T29" s="126"/>
      <c r="U29" s="126"/>
      <c r="HD29" s="126"/>
    </row>
    <row r="30" customFormat="false" ht="12.75" hidden="false" customHeight="false" outlineLevel="0" collapsed="false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</row>
    <row r="31" customFormat="false" ht="12.75" hidden="false" customHeight="fals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</row>
    <row r="32" customFormat="false" ht="12.75" hidden="false" customHeight="fals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</row>
    <row r="33" customFormat="false" ht="18.75" hidden="false" customHeight="tru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</row>
    <row r="34" customFormat="false" ht="16.5" hidden="false" customHeight="tru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</row>
    <row r="35" customFormat="false" ht="12.75" hidden="false" customHeight="fals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</row>
    <row r="36" customFormat="false" ht="16.5" hidden="false" customHeight="true" outlineLevel="0" collapsed="false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</row>
    <row r="37" customFormat="false" ht="16.5" hidden="false" customHeight="true" outlineLevel="0" collapsed="false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</row>
    <row r="38" customFormat="false" ht="16.5" hidden="false" customHeight="tru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</row>
    <row r="39" customFormat="false" ht="12.75" hidden="false" customHeight="fals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</row>
    <row r="40" customFormat="false" ht="12.75" hidden="false" customHeight="fals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</row>
    <row r="41" customFormat="false" ht="16.5" hidden="false" customHeight="tru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</row>
    <row r="42" customFormat="false" ht="12.75" hidden="false" customHeight="fals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</row>
    <row r="43" customFormat="false" ht="12.75" hidden="false" customHeight="fals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</row>
    <row r="44" customFormat="false" ht="12.75" hidden="false" customHeight="false" outlineLevel="0" collapsed="false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</row>
    <row r="45" customFormat="false" ht="12.75" hidden="false" customHeight="false" outlineLevel="0" collapsed="false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</row>
    <row r="46" customFormat="false" ht="12.75" hidden="false" customHeight="fals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</row>
    <row r="47" customFormat="false" ht="12.75" hidden="false" customHeight="false" outlineLevel="0" collapsed="false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</row>
    <row r="48" customFormat="false" ht="12.75" hidden="false" customHeight="false" outlineLevel="0" collapsed="false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</row>
    <row r="49" customFormat="false" ht="12.75" hidden="false" customHeight="false" outlineLevel="0" collapsed="false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</row>
    <row r="50" customFormat="false" ht="12.75" hidden="false" customHeight="false" outlineLevel="0" collapsed="false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</row>
    <row r="51" customFormat="false" ht="12.75" hidden="false" customHeight="false" outlineLevel="0" collapsed="false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</row>
    <row r="52" customFormat="false" ht="12.75" hidden="false" customHeight="false" outlineLevel="0" collapsed="false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</row>
    <row r="53" customFormat="false" ht="12.75" hidden="false" customHeight="false" outlineLevel="0" collapsed="false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</row>
    <row r="54" customFormat="false" ht="12.75" hidden="false" customHeight="fals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</row>
    <row r="55" customFormat="false" ht="12.75" hidden="false" customHeight="false" outlineLevel="0" collapsed="false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</row>
    <row r="56" customFormat="false" ht="12.75" hidden="false" customHeight="false" outlineLevel="0" collapsed="false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</row>
    <row r="57" customFormat="false" ht="12.75" hidden="false" customHeight="false" outlineLevel="0" collapsed="false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</row>
    <row r="58" customFormat="false" ht="12.75" hidden="false" customHeight="false" outlineLevel="0" collapsed="false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</row>
    <row r="59" customFormat="false" ht="12.75" hidden="false" customHeight="false" outlineLevel="0" collapsed="false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</row>
    <row r="60" customFormat="false" ht="12.75" hidden="false" customHeight="false" outlineLevel="0" collapsed="false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</row>
    <row r="62" customFormat="false" ht="12.75" hidden="false" customHeight="false" outlineLevel="0" collapsed="false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</row>
    <row r="63" customFormat="false" ht="12.75" hidden="false" customHeight="false" outlineLevel="0" collapsed="false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</row>
    <row r="64" customFormat="false" ht="12.75" hidden="false" customHeight="false" outlineLevel="0" collapsed="false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</row>
    <row r="65" customFormat="false" ht="12.75" hidden="false" customHeight="false" outlineLevel="0" collapsed="false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</row>
    <row r="66" customFormat="false" ht="12.75" hidden="false" customHeight="false" outlineLevel="0" collapsed="false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</row>
    <row r="67" customFormat="false" ht="12.75" hidden="false" customHeight="false" outlineLevel="0" collapsed="false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</row>
    <row r="68" customFormat="false" ht="12.75" hidden="false" customHeight="false" outlineLevel="0" collapsed="false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</row>
    <row r="69" customFormat="false" ht="12.75" hidden="false" customHeight="false" outlineLevel="0" collapsed="false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customFormat="false" ht="12.75" hidden="false" customHeight="false" outlineLevel="0" collapsed="false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customFormat="false" ht="12.75" hidden="false" customHeight="false" outlineLevel="0" collapsed="false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2" customFormat="false" ht="12.75" hidden="false" customHeight="false" outlineLevel="0" collapsed="false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3" customFormat="false" ht="12.75" hidden="false" customHeight="false" outlineLevel="0" collapsed="false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 customFormat="false" ht="12.75" hidden="false" customHeight="false" outlineLevel="0" collapsed="false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customFormat="false" ht="12.75" hidden="false" customHeight="false" outlineLevel="0" collapsed="false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 customFormat="false" ht="12.75" hidden="false" customHeight="false" outlineLevel="0" collapsed="false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</row>
    <row r="77" customFormat="false" ht="12.75" hidden="false" customHeight="false" outlineLevel="0" collapsed="false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  <row r="78" customFormat="false" ht="12.75" hidden="false" customHeight="false" outlineLevel="0" collapsed="false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</row>
    <row r="79" customFormat="false" ht="12.75" hidden="false" customHeight="false" outlineLevel="0" collapsed="false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</row>
    <row r="80" customFormat="false" ht="12.75" hidden="false" customHeight="false" outlineLevel="0" collapsed="false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</row>
    <row r="81" customFormat="false" ht="12.75" hidden="false" customHeight="false" outlineLevel="0" collapsed="false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</row>
    <row r="82" customFormat="false" ht="12.75" hidden="false" customHeight="false" outlineLevel="0" collapsed="false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</row>
    <row r="83" customFormat="false" ht="12.75" hidden="false" customHeight="false" outlineLevel="0" collapsed="false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</row>
    <row r="84" customFormat="false" ht="12.75" hidden="false" customHeight="false" outlineLevel="0" collapsed="false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</row>
    <row r="85" customFormat="false" ht="12.75" hidden="false" customHeight="false" outlineLevel="0" collapsed="false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</row>
    <row r="86" customFormat="false" ht="12.75" hidden="false" customHeight="false" outlineLevel="0" collapsed="false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</row>
    <row r="87" customFormat="false" ht="12.75" hidden="false" customHeight="false" outlineLevel="0" collapsed="false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</row>
    <row r="88" customFormat="false" ht="12.75" hidden="false" customHeight="false" outlineLevel="0" collapsed="false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</row>
    <row r="89" customFormat="false" ht="12.75" hidden="false" customHeight="false" outlineLevel="0" collapsed="false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</row>
    <row r="90" customFormat="false" ht="12.75" hidden="false" customHeight="false" outlineLevel="0" collapsed="false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</row>
    <row r="91" customFormat="false" ht="12.75" hidden="false" customHeight="false" outlineLevel="0" collapsed="false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</row>
    <row r="92" customFormat="false" ht="12.75" hidden="false" customHeight="false" outlineLevel="0" collapsed="false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</row>
    <row r="93" customFormat="false" ht="12.75" hidden="false" customHeight="false" outlineLevel="0" collapsed="false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</row>
    <row r="94" customFormat="false" ht="12.75" hidden="false" customHeight="false" outlineLevel="0" collapsed="false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</row>
    <row r="95" customFormat="false" ht="12.75" hidden="false" customHeight="false" outlineLevel="0" collapsed="false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</row>
    <row r="96" customFormat="false" ht="12.75" hidden="false" customHeight="false" outlineLevel="0" collapsed="false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</row>
    <row r="97" customFormat="false" ht="12.75" hidden="false" customHeight="false" outlineLevel="0" collapsed="false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</row>
    <row r="98" customFormat="false" ht="12.75" hidden="false" customHeight="false" outlineLevel="0" collapsed="false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</row>
    <row r="99" customFormat="false" ht="12.75" hidden="false" customHeight="false" outlineLevel="0" collapsed="false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</row>
    <row r="100" customFormat="false" ht="12.75" hidden="false" customHeight="false" outlineLevel="0" collapsed="false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</row>
    <row r="101" customFormat="false" ht="12.75" hidden="false" customHeight="false" outlineLevel="0" collapsed="false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</row>
    <row r="102" customFormat="false" ht="12.75" hidden="false" customHeight="false" outlineLevel="0" collapsed="false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 customFormat="false" ht="12.75" hidden="false" customHeight="false" outlineLevel="0" collapsed="false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</row>
    <row r="104" customFormat="false" ht="12.75" hidden="false" customHeight="false" outlineLevel="0" collapsed="false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</row>
    <row r="105" customFormat="false" ht="12.75" hidden="false" customHeight="false" outlineLevel="0" collapsed="false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</row>
    <row r="106" customFormat="false" ht="12.75" hidden="false" customHeight="false" outlineLevel="0" collapsed="false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20:D20"/>
    <mergeCell ref="A22:C22"/>
    <mergeCell ref="E22:M22"/>
    <mergeCell ref="C24:D24"/>
    <mergeCell ref="A27:C27"/>
    <mergeCell ref="E27:M27"/>
    <mergeCell ref="F29:M29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9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4" t="s">
        <v>118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90"/>
      <c r="X1" s="90"/>
      <c r="Y1" s="75"/>
      <c r="Z1" s="75"/>
    </row>
    <row r="2" customFormat="false" ht="18.75" hidden="false" customHeight="true" outlineLevel="0" collapsed="false">
      <c r="A2" s="54" t="str">
        <f aca="false">"Kèm theo BBNT số: "&amp;VLOOKUP(W2,'Tuyến XB6A'!$A$2:$G$31,7,0)&amp;VLOOKUP(W2,'Tuyến XB6A'!$A$2:$G$31,4,0)</f>
        <v>Kèm theo BBNT số: 03.NĐXB6A/CVXD ngày 24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</v>
      </c>
      <c r="X2" s="76"/>
      <c r="Y2" s="76"/>
      <c r="Z2" s="76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XB6A'!$A$2:$B$31,2,0)</f>
        <v>Rải vải địa kỹ thuật đoạn từ Km0+000,00 - Km0+126,46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7" t="s">
        <v>69</v>
      </c>
      <c r="B20" s="77" t="s">
        <v>70</v>
      </c>
      <c r="C20" s="77" t="s">
        <v>71</v>
      </c>
      <c r="D20" s="78" t="s">
        <v>119</v>
      </c>
      <c r="E20" s="78"/>
      <c r="F20" s="78"/>
      <c r="G20" s="78" t="s">
        <v>120</v>
      </c>
      <c r="H20" s="78"/>
      <c r="I20" s="78"/>
      <c r="J20" s="78" t="s">
        <v>121</v>
      </c>
      <c r="K20" s="78"/>
      <c r="L20" s="78"/>
      <c r="M20" s="78" t="s">
        <v>122</v>
      </c>
      <c r="N20" s="78"/>
      <c r="O20" s="78"/>
      <c r="P20" s="78" t="s">
        <v>123</v>
      </c>
      <c r="Q20" s="78"/>
      <c r="R20" s="78"/>
      <c r="S20" s="78" t="s">
        <v>124</v>
      </c>
      <c r="T20" s="78"/>
      <c r="U20" s="78"/>
      <c r="V20" s="77" t="s">
        <v>77</v>
      </c>
    </row>
    <row r="21" customFormat="false" ht="45" hidden="false" customHeight="true" outlineLevel="0" collapsed="false">
      <c r="A21" s="77"/>
      <c r="B21" s="77"/>
      <c r="C21" s="77"/>
      <c r="D21" s="62" t="s">
        <v>125</v>
      </c>
      <c r="E21" s="62" t="s">
        <v>126</v>
      </c>
      <c r="F21" s="62" t="s">
        <v>127</v>
      </c>
      <c r="G21" s="62" t="s">
        <v>125</v>
      </c>
      <c r="H21" s="62" t="s">
        <v>126</v>
      </c>
      <c r="I21" s="62" t="s">
        <v>127</v>
      </c>
      <c r="J21" s="62" t="s">
        <v>125</v>
      </c>
      <c r="K21" s="62" t="s">
        <v>126</v>
      </c>
      <c r="L21" s="62" t="s">
        <v>127</v>
      </c>
      <c r="M21" s="62" t="s">
        <v>125</v>
      </c>
      <c r="N21" s="62" t="s">
        <v>126</v>
      </c>
      <c r="O21" s="62" t="s">
        <v>127</v>
      </c>
      <c r="P21" s="62" t="s">
        <v>125</v>
      </c>
      <c r="Q21" s="62" t="s">
        <v>126</v>
      </c>
      <c r="R21" s="62" t="s">
        <v>127</v>
      </c>
      <c r="S21" s="62" t="s">
        <v>125</v>
      </c>
      <c r="T21" s="62" t="s">
        <v>126</v>
      </c>
      <c r="U21" s="62" t="s">
        <v>127</v>
      </c>
      <c r="V21" s="77"/>
    </row>
    <row r="22" customFormat="false" ht="15" hidden="false" customHeight="false" outlineLevel="0" collapsed="false">
      <c r="A22" s="79"/>
      <c r="B22" s="79"/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2"/>
    </row>
    <row r="23" customFormat="false" ht="15" hidden="false" customHeight="false" outlineLevel="0" collapsed="false">
      <c r="A23" s="83"/>
      <c r="B23" s="83"/>
      <c r="C23" s="84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5"/>
    </row>
    <row r="24" customFormat="false" ht="15" hidden="false" customHeight="false" outlineLevel="0" collapsed="false">
      <c r="A24" s="83" t="n">
        <f aca="false">+'1. PL đường đen'!A12</f>
        <v>1</v>
      </c>
      <c r="B24" s="83" t="str">
        <f aca="false">+'1. PL đường đen'!B12</f>
        <v>D3</v>
      </c>
      <c r="C24" s="84" t="n">
        <f aca="false">+'1. PL đường đen'!C12</f>
        <v>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85"/>
    </row>
    <row r="25" customFormat="false" ht="15" hidden="false" customHeight="false" outlineLevel="0" collapsed="false">
      <c r="A25" s="83" t="n">
        <f aca="false">+'1. PL đường đen'!A13</f>
        <v>2</v>
      </c>
      <c r="B25" s="83" t="str">
        <f aca="false">+'1. PL đường đen'!B13</f>
        <v>1</v>
      </c>
      <c r="C25" s="84" t="n">
        <f aca="false">+'1. PL đường đen'!C13</f>
        <v>19.63</v>
      </c>
      <c r="D25" s="67" t="n">
        <v>2</v>
      </c>
      <c r="E25" s="67" t="n">
        <f aca="false">+D25+F25</f>
        <v>2.09</v>
      </c>
      <c r="F25" s="67" t="n">
        <f aca="false">RANDBETWEEN(5,10)/100</f>
        <v>0.09</v>
      </c>
      <c r="G25" s="67" t="n">
        <v>1.41</v>
      </c>
      <c r="H25" s="67" t="n">
        <f aca="false">+G25+I25</f>
        <v>1.51</v>
      </c>
      <c r="I25" s="67" t="n">
        <f aca="false">RANDBETWEEN(5,10)/100</f>
        <v>0.1</v>
      </c>
      <c r="J25" s="67" t="n">
        <v>6.97</v>
      </c>
      <c r="K25" s="67" t="n">
        <f aca="false">+J25+L25</f>
        <v>7.05</v>
      </c>
      <c r="L25" s="67" t="n">
        <f aca="false">RANDBETWEEN(5,10)/100</f>
        <v>0.08</v>
      </c>
      <c r="M25" s="67" t="n">
        <v>7.05</v>
      </c>
      <c r="N25" s="67" t="n">
        <f aca="false">+M25+O25</f>
        <v>7.1</v>
      </c>
      <c r="O25" s="67" t="n">
        <f aca="false">RANDBETWEEN(5,10)/100</f>
        <v>0.05</v>
      </c>
      <c r="P25" s="67" t="n">
        <v>1.41</v>
      </c>
      <c r="Q25" s="67" t="n">
        <f aca="false">+P25+R25</f>
        <v>1.47</v>
      </c>
      <c r="R25" s="67" t="n">
        <f aca="false">RANDBETWEEN(5,10)/100</f>
        <v>0.06</v>
      </c>
      <c r="S25" s="67" t="n">
        <v>2</v>
      </c>
      <c r="T25" s="67" t="n">
        <f aca="false">+S25+U25</f>
        <v>2.07</v>
      </c>
      <c r="U25" s="67" t="n">
        <f aca="false">RANDBETWEEN(5,10)/100</f>
        <v>0.07</v>
      </c>
      <c r="V25" s="85"/>
    </row>
    <row r="26" customFormat="false" ht="15" hidden="false" customHeight="false" outlineLevel="0" collapsed="false">
      <c r="A26" s="83" t="n">
        <f aca="false">+'1. PL đường đen'!A14</f>
        <v>3</v>
      </c>
      <c r="B26" s="83" t="str">
        <f aca="false">+'1. PL đường đen'!B14</f>
        <v>2</v>
      </c>
      <c r="C26" s="84" t="n">
        <f aca="false">+'1. PL đường đen'!C14</f>
        <v>36.8</v>
      </c>
      <c r="D26" s="67" t="n">
        <v>2</v>
      </c>
      <c r="E26" s="67" t="n">
        <f aca="false">+D26+F26</f>
        <v>2.05</v>
      </c>
      <c r="F26" s="67" t="n">
        <f aca="false">RANDBETWEEN(5,10)/100</f>
        <v>0.05</v>
      </c>
      <c r="G26" s="67" t="n">
        <v>1.41</v>
      </c>
      <c r="H26" s="67" t="n">
        <f aca="false">+G26+I26</f>
        <v>1.5</v>
      </c>
      <c r="I26" s="67" t="n">
        <f aca="false">RANDBETWEEN(5,10)/100</f>
        <v>0.09</v>
      </c>
      <c r="J26" s="67" t="n">
        <v>7.04</v>
      </c>
      <c r="K26" s="67" t="n">
        <f aca="false">+J26+L26</f>
        <v>7.13</v>
      </c>
      <c r="L26" s="67" t="n">
        <f aca="false">RANDBETWEEN(5,10)/100</f>
        <v>0.09</v>
      </c>
      <c r="M26" s="67" t="n">
        <v>7.09</v>
      </c>
      <c r="N26" s="67" t="n">
        <f aca="false">+M26+O26</f>
        <v>7.15</v>
      </c>
      <c r="O26" s="67" t="n">
        <f aca="false">RANDBETWEEN(5,10)/100</f>
        <v>0.06</v>
      </c>
      <c r="P26" s="67" t="n">
        <v>1.41</v>
      </c>
      <c r="Q26" s="67" t="n">
        <f aca="false">+P26+R26</f>
        <v>1.46</v>
      </c>
      <c r="R26" s="67" t="n">
        <f aca="false">RANDBETWEEN(5,10)/100</f>
        <v>0.05</v>
      </c>
      <c r="S26" s="67" t="n">
        <v>2</v>
      </c>
      <c r="T26" s="67" t="n">
        <f aca="false">+S26+U26</f>
        <v>2.07</v>
      </c>
      <c r="U26" s="67" t="n">
        <f aca="false">RANDBETWEEN(5,10)/100</f>
        <v>0.07</v>
      </c>
      <c r="V26" s="85"/>
    </row>
    <row r="27" customFormat="false" ht="15" hidden="false" customHeight="false" outlineLevel="0" collapsed="false">
      <c r="A27" s="83" t="n">
        <f aca="false">+'1. PL đường đen'!A15</f>
        <v>4</v>
      </c>
      <c r="B27" s="83" t="str">
        <f aca="false">+'1. PL đường đen'!B15</f>
        <v>3</v>
      </c>
      <c r="C27" s="84" t="n">
        <f aca="false">+'1. PL đường đen'!C15</f>
        <v>53.98</v>
      </c>
      <c r="D27" s="67" t="n">
        <v>2</v>
      </c>
      <c r="E27" s="67" t="n">
        <f aca="false">+D27+F27</f>
        <v>2.1</v>
      </c>
      <c r="F27" s="67" t="n">
        <f aca="false">RANDBETWEEN(5,10)/100</f>
        <v>0.1</v>
      </c>
      <c r="G27" s="67" t="n">
        <v>1.41</v>
      </c>
      <c r="H27" s="67" t="n">
        <f aca="false">+G27+I27</f>
        <v>1.47</v>
      </c>
      <c r="I27" s="67" t="n">
        <f aca="false">RANDBETWEEN(5,10)/100</f>
        <v>0.06</v>
      </c>
      <c r="J27" s="67" t="n">
        <v>7.28</v>
      </c>
      <c r="K27" s="67" t="n">
        <f aca="false">+J27+L27</f>
        <v>7.33</v>
      </c>
      <c r="L27" s="67" t="n">
        <f aca="false">RANDBETWEEN(5,10)/100</f>
        <v>0.05</v>
      </c>
      <c r="M27" s="67" t="n">
        <v>7.26</v>
      </c>
      <c r="N27" s="67" t="n">
        <f aca="false">+M27+O27</f>
        <v>7.32</v>
      </c>
      <c r="O27" s="67" t="n">
        <f aca="false">RANDBETWEEN(5,10)/100</f>
        <v>0.06</v>
      </c>
      <c r="P27" s="67" t="n">
        <v>1.41</v>
      </c>
      <c r="Q27" s="67" t="n">
        <f aca="false">+P27+R27</f>
        <v>1.49</v>
      </c>
      <c r="R27" s="67" t="n">
        <f aca="false">RANDBETWEEN(5,10)/100</f>
        <v>0.08</v>
      </c>
      <c r="S27" s="67" t="n">
        <v>2</v>
      </c>
      <c r="T27" s="67" t="n">
        <f aca="false">+S27+U27</f>
        <v>2.09</v>
      </c>
      <c r="U27" s="67" t="n">
        <f aca="false">RANDBETWEEN(5,10)/100</f>
        <v>0.09</v>
      </c>
      <c r="V27" s="85"/>
    </row>
    <row r="28" customFormat="false" ht="15" hidden="false" customHeight="false" outlineLevel="0" collapsed="false">
      <c r="A28" s="83" t="n">
        <f aca="false">+'1. PL đường đen'!A16</f>
        <v>5</v>
      </c>
      <c r="B28" s="83" t="str">
        <f aca="false">+'1. PL đường đen'!B16</f>
        <v>D2</v>
      </c>
      <c r="C28" s="84" t="n">
        <f aca="false">+'1. PL đường đen'!C16</f>
        <v>66.95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85"/>
    </row>
    <row r="29" customFormat="false" ht="15" hidden="false" customHeight="false" outlineLevel="0" collapsed="false">
      <c r="A29" s="83" t="n">
        <f aca="false">+'1. PL đường đen'!A17</f>
        <v>6</v>
      </c>
      <c r="B29" s="83" t="str">
        <f aca="false">+'1. PL đường đen'!B17</f>
        <v>4</v>
      </c>
      <c r="C29" s="84" t="n">
        <f aca="false">+'1. PL đường đen'!C17</f>
        <v>77.63</v>
      </c>
      <c r="D29" s="67" t="n">
        <v>2</v>
      </c>
      <c r="E29" s="67" t="n">
        <f aca="false">+D29+F29</f>
        <v>2.09</v>
      </c>
      <c r="F29" s="67" t="n">
        <f aca="false">RANDBETWEEN(5,10)/100</f>
        <v>0.09</v>
      </c>
      <c r="G29" s="67" t="n">
        <v>1.41</v>
      </c>
      <c r="H29" s="67" t="n">
        <f aca="false">+G29+I29</f>
        <v>1.47</v>
      </c>
      <c r="I29" s="67" t="n">
        <f aca="false">RANDBETWEEN(5,10)/100</f>
        <v>0.06</v>
      </c>
      <c r="J29" s="67" t="n">
        <v>4.82</v>
      </c>
      <c r="K29" s="67" t="n">
        <f aca="false">+J29+L29</f>
        <v>4.89</v>
      </c>
      <c r="L29" s="67" t="n">
        <f aca="false">RANDBETWEEN(5,10)/100</f>
        <v>0.07</v>
      </c>
      <c r="M29" s="67" t="n">
        <v>7.68</v>
      </c>
      <c r="N29" s="67" t="n">
        <f aca="false">+M29+O29</f>
        <v>7.77</v>
      </c>
      <c r="O29" s="67" t="n">
        <f aca="false">RANDBETWEEN(5,10)/100</f>
        <v>0.09</v>
      </c>
      <c r="P29" s="67" t="n">
        <v>1.41</v>
      </c>
      <c r="Q29" s="67" t="n">
        <f aca="false">+P29+R29</f>
        <v>1.51</v>
      </c>
      <c r="R29" s="67" t="n">
        <f aca="false">RANDBETWEEN(5,10)/100</f>
        <v>0.1</v>
      </c>
      <c r="S29" s="67" t="n">
        <v>2</v>
      </c>
      <c r="T29" s="67" t="n">
        <f aca="false">+S29+U29</f>
        <v>2.05</v>
      </c>
      <c r="U29" s="67" t="n">
        <f aca="false">RANDBETWEEN(5,10)/100</f>
        <v>0.05</v>
      </c>
      <c r="V29" s="85"/>
    </row>
    <row r="30" customFormat="false" ht="15" hidden="false" customHeight="false" outlineLevel="0" collapsed="false">
      <c r="A30" s="83" t="n">
        <f aca="false">+'1. PL đường đen'!A18</f>
        <v>7</v>
      </c>
      <c r="B30" s="83" t="str">
        <f aca="false">+'1. PL đường đen'!B18</f>
        <v>5</v>
      </c>
      <c r="C30" s="84" t="n">
        <f aca="false">+'1. PL đường đen'!C18</f>
        <v>94.8</v>
      </c>
      <c r="D30" s="67" t="n">
        <v>2</v>
      </c>
      <c r="E30" s="67" t="n">
        <f aca="false">+D30+F30</f>
        <v>2.05</v>
      </c>
      <c r="F30" s="67" t="n">
        <f aca="false">RANDBETWEEN(5,10)/100</f>
        <v>0.05</v>
      </c>
      <c r="G30" s="67" t="n">
        <v>1.41</v>
      </c>
      <c r="H30" s="67" t="n">
        <f aca="false">+G30+I30</f>
        <v>1.48</v>
      </c>
      <c r="I30" s="67" t="n">
        <f aca="false">RANDBETWEEN(5,10)/100</f>
        <v>0.07</v>
      </c>
      <c r="J30" s="67" t="n">
        <v>7.65</v>
      </c>
      <c r="K30" s="67" t="n">
        <f aca="false">+J30+L30</f>
        <v>7.74</v>
      </c>
      <c r="L30" s="67" t="n">
        <f aca="false">RANDBETWEEN(5,10)/100</f>
        <v>0.09</v>
      </c>
      <c r="M30" s="67" t="n">
        <v>7.32</v>
      </c>
      <c r="N30" s="67" t="n">
        <f aca="false">+M30+O30</f>
        <v>7.42</v>
      </c>
      <c r="O30" s="67" t="n">
        <f aca="false">RANDBETWEEN(5,10)/100</f>
        <v>0.1</v>
      </c>
      <c r="P30" s="67" t="n">
        <v>1.41</v>
      </c>
      <c r="Q30" s="67" t="n">
        <f aca="false">+P30+R30</f>
        <v>1.48</v>
      </c>
      <c r="R30" s="67" t="n">
        <f aca="false">RANDBETWEEN(5,10)/100</f>
        <v>0.07</v>
      </c>
      <c r="S30" s="67" t="n">
        <v>2</v>
      </c>
      <c r="T30" s="67" t="n">
        <f aca="false">+S30+U30</f>
        <v>2.06</v>
      </c>
      <c r="U30" s="67" t="n">
        <f aca="false">RANDBETWEEN(5,10)/100</f>
        <v>0.06</v>
      </c>
      <c r="V30" s="85"/>
    </row>
    <row r="31" customFormat="false" ht="15" hidden="false" customHeight="false" outlineLevel="0" collapsed="false">
      <c r="A31" s="83" t="n">
        <f aca="false">+'1. PL đường đen'!A19</f>
        <v>8</v>
      </c>
      <c r="B31" s="83" t="str">
        <f aca="false">+'1. PL đường đen'!B19</f>
        <v>6</v>
      </c>
      <c r="C31" s="84" t="n">
        <f aca="false">+'1. PL đường đen'!C19</f>
        <v>111.97</v>
      </c>
      <c r="D31" s="67" t="n">
        <v>2</v>
      </c>
      <c r="E31" s="67" t="n">
        <f aca="false">+D31+F31</f>
        <v>2.05</v>
      </c>
      <c r="F31" s="67" t="n">
        <f aca="false">RANDBETWEEN(5,10)/100</f>
        <v>0.05</v>
      </c>
      <c r="G31" s="67" t="n">
        <v>1.41</v>
      </c>
      <c r="H31" s="67" t="n">
        <f aca="false">+G31+I31</f>
        <v>1.49</v>
      </c>
      <c r="I31" s="67" t="n">
        <f aca="false">RANDBETWEEN(5,10)/100</f>
        <v>0.08</v>
      </c>
      <c r="J31" s="67" t="n">
        <v>7.63</v>
      </c>
      <c r="K31" s="67" t="n">
        <f aca="false">+J31+L31</f>
        <v>7.71</v>
      </c>
      <c r="L31" s="67" t="n">
        <f aca="false">RANDBETWEEN(5,10)/100</f>
        <v>0.08</v>
      </c>
      <c r="M31" s="67" t="n">
        <v>7.15</v>
      </c>
      <c r="N31" s="67" t="n">
        <f aca="false">+M31+O31</f>
        <v>7.2</v>
      </c>
      <c r="O31" s="67" t="n">
        <f aca="false">RANDBETWEEN(5,10)/100</f>
        <v>0.05</v>
      </c>
      <c r="P31" s="67" t="n">
        <v>1.41</v>
      </c>
      <c r="Q31" s="67" t="n">
        <f aca="false">+P31+R31</f>
        <v>1.5</v>
      </c>
      <c r="R31" s="67" t="n">
        <f aca="false">RANDBETWEEN(5,10)/100</f>
        <v>0.09</v>
      </c>
      <c r="S31" s="67" t="n">
        <v>2</v>
      </c>
      <c r="T31" s="67" t="n">
        <f aca="false">+S31+U31</f>
        <v>2.06</v>
      </c>
      <c r="U31" s="67" t="n">
        <f aca="false">RANDBETWEEN(5,10)/100</f>
        <v>0.06</v>
      </c>
      <c r="V31" s="85"/>
    </row>
    <row r="32" customFormat="false" ht="15" hidden="false" customHeight="false" outlineLevel="0" collapsed="false">
      <c r="A32" s="83" t="n">
        <f aca="false">+'1. PL đường đen'!A20</f>
        <v>9</v>
      </c>
      <c r="B32" s="83" t="str">
        <f aca="false">+'1. PL đường đen'!B20</f>
        <v>D1</v>
      </c>
      <c r="C32" s="84" t="n">
        <f aca="false">+'1. PL đường đen'!C20</f>
        <v>126.46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85"/>
    </row>
    <row r="33" customFormat="false" ht="15" hidden="false" customHeight="false" outlineLevel="0" collapsed="false">
      <c r="A33" s="105"/>
      <c r="B33" s="105"/>
      <c r="C33" s="130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</row>
    <row r="34" customFormat="false" ht="15" hidden="false" customHeight="false" outlineLevel="0" collapsed="false">
      <c r="E34" s="71" t="s">
        <v>90</v>
      </c>
      <c r="F34" s="71"/>
      <c r="G34" s="71"/>
      <c r="H34" s="71"/>
      <c r="K34" s="86"/>
      <c r="L34" s="86"/>
      <c r="M34" s="86"/>
      <c r="N34" s="86"/>
      <c r="O34" s="71" t="s">
        <v>91</v>
      </c>
      <c r="P34" s="71"/>
      <c r="Q34" s="71"/>
      <c r="R34" s="71"/>
      <c r="S34" s="71"/>
      <c r="T34" s="131"/>
      <c r="U34" s="131"/>
      <c r="V34" s="131"/>
    </row>
    <row r="35" customFormat="false" ht="15" hidden="false" customHeight="false" outlineLevel="0" collapsed="false">
      <c r="E35" s="72"/>
      <c r="F35" s="72"/>
      <c r="G35" s="72"/>
      <c r="H35" s="72"/>
      <c r="K35" s="72"/>
      <c r="L35" s="72"/>
      <c r="M35" s="72"/>
      <c r="N35" s="72"/>
      <c r="O35" s="72"/>
      <c r="P35" s="72"/>
      <c r="Q35" s="72"/>
      <c r="R35" s="72"/>
      <c r="S35" s="72"/>
      <c r="T35" s="131"/>
      <c r="U35" s="131"/>
      <c r="V35" s="131"/>
    </row>
    <row r="36" customFormat="false" ht="15" hidden="false" customHeight="false" outlineLevel="0" collapsed="false">
      <c r="E36" s="72"/>
      <c r="F36" s="72"/>
      <c r="G36" s="72"/>
      <c r="H36" s="72"/>
      <c r="K36" s="72"/>
      <c r="L36" s="72"/>
      <c r="M36" s="72"/>
      <c r="N36" s="72"/>
      <c r="O36" s="72"/>
      <c r="P36" s="72"/>
      <c r="Q36" s="72"/>
      <c r="R36" s="72"/>
      <c r="S36" s="72"/>
    </row>
    <row r="37" customFormat="false" ht="15" hidden="false" customHeight="false" outlineLevel="0" collapsed="false">
      <c r="E37" s="72"/>
      <c r="F37" s="72"/>
      <c r="G37" s="72"/>
      <c r="H37" s="72"/>
      <c r="K37" s="72"/>
      <c r="L37" s="72"/>
      <c r="M37" s="72"/>
      <c r="N37" s="72"/>
      <c r="O37" s="72"/>
      <c r="P37" s="72"/>
      <c r="Q37" s="72"/>
      <c r="R37" s="72"/>
      <c r="S37" s="72"/>
    </row>
    <row r="38" customFormat="false" ht="15" hidden="false" customHeight="false" outlineLevel="0" collapsed="false">
      <c r="E38" s="72"/>
      <c r="F38" s="72"/>
      <c r="G38" s="72"/>
      <c r="H38" s="72"/>
      <c r="K38" s="72"/>
      <c r="L38" s="72"/>
      <c r="M38" s="72"/>
      <c r="N38" s="72"/>
      <c r="O38" s="72"/>
      <c r="P38" s="72"/>
      <c r="Q38" s="72"/>
      <c r="R38" s="72"/>
      <c r="S38" s="72"/>
    </row>
    <row r="39" customFormat="false" ht="15" hidden="false" customHeight="false" outlineLevel="0" collapsed="false">
      <c r="E39" s="71" t="s">
        <v>29</v>
      </c>
      <c r="F39" s="71"/>
      <c r="G39" s="71"/>
      <c r="H39" s="71"/>
      <c r="K39" s="86"/>
      <c r="L39" s="86"/>
      <c r="M39" s="86"/>
      <c r="N39" s="86"/>
      <c r="O39" s="71" t="s">
        <v>30</v>
      </c>
      <c r="P39" s="71"/>
      <c r="Q39" s="71"/>
      <c r="R39" s="71"/>
      <c r="S39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34:H34"/>
    <mergeCell ref="O34:S34"/>
    <mergeCell ref="E39:H39"/>
    <mergeCell ref="O39:S39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7" width="6.71"/>
    <col collapsed="false" customWidth="true" hidden="false" outlineLevel="0" max="2" min="2" style="87" width="12.29"/>
    <col collapsed="false" customWidth="true" hidden="false" outlineLevel="0" max="3" min="3" style="87" width="19.57"/>
    <col collapsed="false" customWidth="true" hidden="false" outlineLevel="0" max="4" min="4" style="88" width="12.71"/>
    <col collapsed="false" customWidth="true" hidden="true" outlineLevel="0" max="6" min="5" style="88" width="8.42"/>
    <col collapsed="false" customWidth="true" hidden="true" outlineLevel="0" max="7" min="7" style="88" width="11"/>
    <col collapsed="false" customWidth="true" hidden="true" outlineLevel="0" max="10" min="8" style="88" width="8.42"/>
    <col collapsed="false" customWidth="true" hidden="false" outlineLevel="0" max="11" min="11" style="88" width="15.42"/>
    <col collapsed="false" customWidth="true" hidden="false" outlineLevel="0" max="12" min="12" style="88" width="15.29"/>
    <col collapsed="false" customWidth="true" hidden="false" outlineLevel="0" max="13" min="13" style="88" width="10.29"/>
    <col collapsed="false" customWidth="false" hidden="false" outlineLevel="0" max="14" min="14" style="87" width="9.29"/>
    <col collapsed="false" customWidth="true" hidden="false" outlineLevel="0" max="15" min="15" style="87" width="11.85"/>
    <col collapsed="false" customWidth="true" hidden="false" outlineLevel="0" max="16" min="16" style="87" width="14.42"/>
    <col collapsed="false" customWidth="false" hidden="false" outlineLevel="0" max="16384" min="17" style="87" width="9.29"/>
  </cols>
  <sheetData>
    <row r="1" s="90" customFormat="true" ht="16.5" hidden="false" customHeight="true" outlineLevel="0" collapsed="false">
      <c r="A1" s="132" t="s">
        <v>105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="90" customFormat="true" ht="16.5" hidden="false" customHeight="true" outlineLevel="0" collapsed="false">
      <c r="A2" s="91" t="str">
        <f aca="false">"Kèm theo BBNT số: "&amp;VLOOKUP(O2,'Tuyến XB6A'!$A$2:$G$29,7,0)&amp;VLOOKUP(O2,'Tuyến XB6A'!$A$2:$G$29,4,0)</f>
        <v>Kèm theo BBNT số: 03.NĐXB6A/CVXD ngày 24 tháng 08 năm 2026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O2" s="90" t="n">
        <v>3</v>
      </c>
    </row>
    <row r="3" s="94" customFormat="true" ht="37.5" hidden="false" customHeight="true" outlineLevel="0" collapsed="false">
      <c r="A3" s="92" t="str">
        <f aca="false">'2. Cao độ đào nền'!A3</f>
        <v>Dự án: Xây dựng HTKT Khu tái định cư phục vụ di dân xã Hải Hà, thị xã Nghi Sơn, tỉnh Thanh Hóa.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</row>
    <row r="4" s="94" customFormat="true" ht="37.5" hidden="false" customHeight="true" outlineLevel="0" collapsed="false">
      <c r="A4" s="92" t="str">
        <f aca="false">'2. Cao độ đào nền'!A4</f>
        <v>Gói thầu số 12: Xây dựng HTKT khu vực Hải Bình và Xuân Lâm (bao gồm cả bảo hiểm xây dựng công trình)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3"/>
      <c r="HA4" s="93"/>
      <c r="HB4" s="93"/>
      <c r="HC4" s="93"/>
      <c r="HD4" s="93"/>
      <c r="HE4" s="93"/>
      <c r="HF4" s="93"/>
      <c r="HG4" s="93"/>
    </row>
    <row r="5" s="94" customFormat="true" ht="16.5" hidden="false" customHeight="true" outlineLevel="0" collapsed="false">
      <c r="A5" s="92" t="s">
        <v>65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3"/>
      <c r="FK5" s="93"/>
      <c r="FL5" s="93"/>
      <c r="FM5" s="93"/>
      <c r="FN5" s="93"/>
      <c r="FO5" s="93"/>
      <c r="FP5" s="93"/>
      <c r="FQ5" s="93"/>
      <c r="FR5" s="93"/>
      <c r="FS5" s="93"/>
      <c r="FT5" s="93"/>
      <c r="FU5" s="93"/>
      <c r="FV5" s="93"/>
      <c r="FW5" s="93"/>
      <c r="FX5" s="93"/>
      <c r="FY5" s="93"/>
      <c r="FZ5" s="93"/>
      <c r="GA5" s="93"/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  <c r="GS5" s="93"/>
      <c r="GT5" s="93"/>
      <c r="GU5" s="93"/>
      <c r="GV5" s="93"/>
      <c r="GW5" s="93"/>
      <c r="GX5" s="93"/>
      <c r="GY5" s="93"/>
      <c r="GZ5" s="93"/>
      <c r="HA5" s="93"/>
      <c r="HB5" s="93"/>
      <c r="HC5" s="93"/>
      <c r="HD5" s="93"/>
      <c r="HE5" s="93"/>
      <c r="HF5" s="93"/>
      <c r="HG5" s="93"/>
    </row>
    <row r="6" s="94" customFormat="true" ht="16.5" hidden="false" customHeight="true" outlineLevel="0" collapsed="false">
      <c r="A6" s="92" t="str">
        <f aca="false">'2. Cao độ đào nền'!A6</f>
        <v>Hạng mục:  Nền đường tuyến XB6A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9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9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93"/>
      <c r="FU6" s="93"/>
      <c r="FV6" s="93"/>
      <c r="FW6" s="93"/>
      <c r="FX6" s="93"/>
      <c r="FY6" s="93"/>
      <c r="FZ6" s="93"/>
      <c r="GA6" s="93"/>
      <c r="GB6" s="93"/>
      <c r="GC6" s="93"/>
      <c r="GD6" s="93"/>
      <c r="GE6" s="93"/>
      <c r="GF6" s="93"/>
      <c r="GG6" s="93"/>
      <c r="GH6" s="93"/>
      <c r="GI6" s="93"/>
      <c r="GJ6" s="93"/>
      <c r="GK6" s="93"/>
      <c r="GL6" s="93"/>
      <c r="GM6" s="93"/>
      <c r="GN6" s="93"/>
      <c r="GO6" s="93"/>
      <c r="GP6" s="93"/>
      <c r="GQ6" s="93"/>
      <c r="GR6" s="93"/>
      <c r="GS6" s="93"/>
      <c r="GT6" s="93"/>
      <c r="GU6" s="93"/>
      <c r="GV6" s="93"/>
      <c r="GW6" s="93"/>
      <c r="GX6" s="93"/>
      <c r="GY6" s="93"/>
      <c r="GZ6" s="93"/>
      <c r="HA6" s="93"/>
      <c r="HB6" s="93"/>
      <c r="HC6" s="93"/>
      <c r="HD6" s="93"/>
      <c r="HE6" s="93"/>
      <c r="HF6" s="93"/>
      <c r="HG6" s="93"/>
    </row>
    <row r="7" s="94" customFormat="true" ht="31.5" hidden="false" customHeight="true" outlineLevel="0" collapsed="false">
      <c r="A7" s="95" t="s">
        <v>67</v>
      </c>
      <c r="B7" s="96"/>
      <c r="D7" s="97" t="str">
        <f aca="false">VLOOKUP(O2,'Tuyến XB6A'!$A$2:$B$29,2,0)</f>
        <v>Rải vải địa kỹ thuật đoạn từ Km0+000,00 - Km0+126,46</v>
      </c>
      <c r="E7" s="97"/>
      <c r="F7" s="97"/>
      <c r="G7" s="97"/>
      <c r="H7" s="97"/>
      <c r="I7" s="97"/>
      <c r="J7" s="97"/>
      <c r="K7" s="97"/>
      <c r="L7" s="97"/>
      <c r="M7" s="97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</row>
    <row r="8" s="93" customFormat="true" ht="13.5" hidden="false" customHeight="true" outlineLevel="0" collapsed="false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="105" customFormat="true" ht="22.5" hidden="false" customHeight="true" outlineLevel="0" collapsed="false">
      <c r="A9" s="99" t="s">
        <v>5</v>
      </c>
      <c r="B9" s="99" t="s">
        <v>70</v>
      </c>
      <c r="C9" s="99" t="s">
        <v>71</v>
      </c>
      <c r="D9" s="100" t="s">
        <v>106</v>
      </c>
      <c r="E9" s="133"/>
      <c r="F9" s="133"/>
      <c r="G9" s="100"/>
      <c r="H9" s="133"/>
      <c r="I9" s="133"/>
      <c r="J9" s="133"/>
      <c r="K9" s="104" t="s">
        <v>128</v>
      </c>
      <c r="L9" s="104"/>
      <c r="M9" s="100" t="s">
        <v>77</v>
      </c>
    </row>
    <row r="10" s="107" customFormat="true" ht="36" hidden="false" customHeight="true" outlineLevel="0" collapsed="false">
      <c r="A10" s="99"/>
      <c r="B10" s="99"/>
      <c r="C10" s="99"/>
      <c r="D10" s="99"/>
      <c r="E10" s="104" t="s">
        <v>129</v>
      </c>
      <c r="F10" s="104"/>
      <c r="G10" s="104"/>
      <c r="H10" s="104"/>
      <c r="I10" s="104"/>
      <c r="J10" s="104"/>
      <c r="K10" s="104" t="s">
        <v>130</v>
      </c>
      <c r="L10" s="104" t="s">
        <v>108</v>
      </c>
      <c r="M10" s="100"/>
      <c r="N10" s="106"/>
      <c r="O10" s="106"/>
    </row>
    <row r="11" s="107" customFormat="true" ht="15" hidden="false" customHeight="true" outlineLevel="0" collapsed="false">
      <c r="A11" s="83" t="n">
        <v>1</v>
      </c>
      <c r="B11" s="83" t="str">
        <f aca="false">'1. PL đường đen'!B12</f>
        <v>D3</v>
      </c>
      <c r="C11" s="65" t="n">
        <f aca="false">'1. PL đường đen'!C12</f>
        <v>0</v>
      </c>
      <c r="D11" s="83" t="n">
        <f aca="false">'1. PL đường đen'!T12</f>
        <v>19.63</v>
      </c>
      <c r="E11" s="134"/>
      <c r="F11" s="134"/>
      <c r="G11" s="134"/>
      <c r="H11" s="134"/>
      <c r="I11" s="134"/>
      <c r="J11" s="134"/>
      <c r="K11" s="135" t="n">
        <f aca="false">SUM(E11:J11)</f>
        <v>0</v>
      </c>
      <c r="L11" s="109" t="n">
        <f aca="false">(K11+K12)*D11/2</f>
        <v>208.96135</v>
      </c>
      <c r="M11" s="110"/>
      <c r="O11" s="136"/>
      <c r="P11" s="137"/>
    </row>
    <row r="12" s="107" customFormat="true" ht="15" hidden="false" customHeight="true" outlineLevel="0" collapsed="false">
      <c r="A12" s="83" t="n">
        <v>2</v>
      </c>
      <c r="B12" s="83" t="str">
        <f aca="false">'1. PL đường đen'!B13</f>
        <v>1</v>
      </c>
      <c r="C12" s="65" t="n">
        <f aca="false">'1. PL đường đen'!C13</f>
        <v>19.63</v>
      </c>
      <c r="D12" s="83" t="n">
        <f aca="false">'1. PL đường đen'!T13</f>
        <v>17.17</v>
      </c>
      <c r="E12" s="134" t="n">
        <f aca="false">'3. KTHH vải lọc'!E25</f>
        <v>2.09</v>
      </c>
      <c r="F12" s="134" t="n">
        <f aca="false">'3. KTHH vải lọc'!H25</f>
        <v>1.51</v>
      </c>
      <c r="G12" s="134" t="n">
        <f aca="false">'3. KTHH vải lọc'!K25</f>
        <v>7.05</v>
      </c>
      <c r="H12" s="134" t="n">
        <f aca="false">'3. KTHH vải lọc'!N25</f>
        <v>7.1</v>
      </c>
      <c r="I12" s="134" t="n">
        <f aca="false">'3. KTHH vải lọc'!Q25</f>
        <v>1.47</v>
      </c>
      <c r="J12" s="134" t="n">
        <f aca="false">'3. KTHH vải lọc'!T25</f>
        <v>2.07</v>
      </c>
      <c r="K12" s="135" t="n">
        <f aca="false">SUM(E12:J12)</f>
        <v>21.29</v>
      </c>
      <c r="L12" s="109" t="n">
        <f aca="false">(K12+K13)*D12/2</f>
        <v>366.15025</v>
      </c>
      <c r="M12" s="110"/>
      <c r="O12" s="136"/>
      <c r="P12" s="137"/>
    </row>
    <row r="13" s="107" customFormat="true" ht="15" hidden="false" customHeight="true" outlineLevel="0" collapsed="false">
      <c r="A13" s="83" t="n">
        <v>3</v>
      </c>
      <c r="B13" s="83" t="str">
        <f aca="false">'1. PL đường đen'!B14</f>
        <v>2</v>
      </c>
      <c r="C13" s="65" t="n">
        <f aca="false">'1. PL đường đen'!C14</f>
        <v>36.8</v>
      </c>
      <c r="D13" s="83" t="n">
        <f aca="false">'1. PL đường đen'!T14</f>
        <v>17.18</v>
      </c>
      <c r="E13" s="134" t="n">
        <f aca="false">'3. KTHH vải lọc'!E26</f>
        <v>2.05</v>
      </c>
      <c r="F13" s="134" t="n">
        <f aca="false">'3. KTHH vải lọc'!H26</f>
        <v>1.5</v>
      </c>
      <c r="G13" s="134" t="n">
        <f aca="false">'3. KTHH vải lọc'!K26</f>
        <v>7.13</v>
      </c>
      <c r="H13" s="134" t="n">
        <f aca="false">'3. KTHH vải lọc'!N26</f>
        <v>7.15</v>
      </c>
      <c r="I13" s="134" t="n">
        <f aca="false">'3. KTHH vải lọc'!Q26</f>
        <v>1.46</v>
      </c>
      <c r="J13" s="134" t="n">
        <f aca="false">'3. KTHH vải lọc'!T26</f>
        <v>2.07</v>
      </c>
      <c r="K13" s="135" t="n">
        <f aca="false">SUM(E13:J13)</f>
        <v>21.36</v>
      </c>
      <c r="L13" s="109" t="n">
        <f aca="false">(K13+K14)*D13/2</f>
        <v>370.7444</v>
      </c>
      <c r="M13" s="110"/>
      <c r="O13" s="136"/>
      <c r="P13" s="137"/>
    </row>
    <row r="14" s="107" customFormat="true" ht="15" hidden="false" customHeight="true" outlineLevel="0" collapsed="false">
      <c r="A14" s="83" t="n">
        <v>4</v>
      </c>
      <c r="B14" s="83" t="str">
        <f aca="false">'1. PL đường đen'!B15</f>
        <v>3</v>
      </c>
      <c r="C14" s="65" t="n">
        <f aca="false">'1. PL đường đen'!C15</f>
        <v>53.98</v>
      </c>
      <c r="D14" s="83" t="n">
        <f aca="false">'1. PL đường đen'!T15</f>
        <v>12.97</v>
      </c>
      <c r="E14" s="134" t="n">
        <f aca="false">'3. KTHH vải lọc'!E27</f>
        <v>2.1</v>
      </c>
      <c r="F14" s="134" t="n">
        <f aca="false">'3. KTHH vải lọc'!H27</f>
        <v>1.47</v>
      </c>
      <c r="G14" s="134" t="n">
        <f aca="false">'3. KTHH vải lọc'!K27</f>
        <v>7.33</v>
      </c>
      <c r="H14" s="134" t="n">
        <f aca="false">'3. KTHH vải lọc'!N27</f>
        <v>7.32</v>
      </c>
      <c r="I14" s="134" t="n">
        <f aca="false">'3. KTHH vải lọc'!Q27</f>
        <v>1.49</v>
      </c>
      <c r="J14" s="134" t="n">
        <f aca="false">'3. KTHH vải lọc'!T27</f>
        <v>2.09</v>
      </c>
      <c r="K14" s="135" t="n">
        <f aca="false">SUM(E14:J14)</f>
        <v>21.8</v>
      </c>
      <c r="L14" s="109" t="n">
        <f aca="false">(K14+K15)*D14/2</f>
        <v>141.373</v>
      </c>
      <c r="M14" s="110"/>
      <c r="O14" s="136"/>
      <c r="P14" s="137"/>
    </row>
    <row r="15" s="107" customFormat="true" ht="15" hidden="false" customHeight="true" outlineLevel="0" collapsed="false">
      <c r="A15" s="83" t="n">
        <v>5</v>
      </c>
      <c r="B15" s="83" t="str">
        <f aca="false">'1. PL đường đen'!B16</f>
        <v>D2</v>
      </c>
      <c r="C15" s="65" t="n">
        <f aca="false">'1. PL đường đen'!C16</f>
        <v>66.95</v>
      </c>
      <c r="D15" s="83" t="n">
        <f aca="false">'1. PL đường đen'!T16</f>
        <v>10.68</v>
      </c>
      <c r="E15" s="134"/>
      <c r="F15" s="134"/>
      <c r="G15" s="134"/>
      <c r="H15" s="134"/>
      <c r="I15" s="134"/>
      <c r="J15" s="134"/>
      <c r="K15" s="135" t="n">
        <f aca="false">SUM(E15:J15)</f>
        <v>0</v>
      </c>
      <c r="L15" s="109" t="n">
        <f aca="false">(K15+K16)*D15/2</f>
        <v>105.6252</v>
      </c>
      <c r="M15" s="110"/>
      <c r="O15" s="136"/>
      <c r="P15" s="137"/>
    </row>
    <row r="16" s="107" customFormat="true" ht="15" hidden="false" customHeight="true" outlineLevel="0" collapsed="false">
      <c r="A16" s="83" t="n">
        <v>6</v>
      </c>
      <c r="B16" s="83" t="str">
        <f aca="false">'1. PL đường đen'!B17</f>
        <v>4</v>
      </c>
      <c r="C16" s="65" t="n">
        <f aca="false">'1. PL đường đen'!C17</f>
        <v>77.63</v>
      </c>
      <c r="D16" s="83" t="n">
        <f aca="false">'1. PL đường đen'!T17</f>
        <v>17.17</v>
      </c>
      <c r="E16" s="134" t="n">
        <f aca="false">'3. KTHH vải lọc'!E29</f>
        <v>2.09</v>
      </c>
      <c r="F16" s="134" t="n">
        <f aca="false">'3. KTHH vải lọc'!H29</f>
        <v>1.47</v>
      </c>
      <c r="G16" s="134" t="n">
        <f aca="false">'3. KTHH vải lọc'!K29</f>
        <v>4.89</v>
      </c>
      <c r="H16" s="134" t="n">
        <f aca="false">'3. KTHH vải lọc'!N29</f>
        <v>7.77</v>
      </c>
      <c r="I16" s="134" t="n">
        <f aca="false">'3. KTHH vải lọc'!Q29</f>
        <v>1.51</v>
      </c>
      <c r="J16" s="134" t="n">
        <f aca="false">'3. KTHH vải lọc'!T29</f>
        <v>2.05</v>
      </c>
      <c r="K16" s="135" t="n">
        <f aca="false">SUM(E16:J16)</f>
        <v>19.78</v>
      </c>
      <c r="L16" s="109" t="n">
        <f aca="false">(K16+K17)*D16/2</f>
        <v>360.65585</v>
      </c>
      <c r="M16" s="110"/>
      <c r="O16" s="136"/>
      <c r="P16" s="137"/>
    </row>
    <row r="17" s="107" customFormat="true" ht="15" hidden="false" customHeight="true" outlineLevel="0" collapsed="false">
      <c r="A17" s="83" t="n">
        <v>7</v>
      </c>
      <c r="B17" s="83" t="str">
        <f aca="false">'1. PL đường đen'!B18</f>
        <v>5</v>
      </c>
      <c r="C17" s="65" t="n">
        <f aca="false">'1. PL đường đen'!C18</f>
        <v>94.8</v>
      </c>
      <c r="D17" s="83" t="n">
        <f aca="false">'1. PL đường đen'!T18</f>
        <v>17.17</v>
      </c>
      <c r="E17" s="134" t="n">
        <f aca="false">'3. KTHH vải lọc'!E30</f>
        <v>2.05</v>
      </c>
      <c r="F17" s="134" t="n">
        <f aca="false">'3. KTHH vải lọc'!H30</f>
        <v>1.48</v>
      </c>
      <c r="G17" s="134" t="n">
        <f aca="false">'3. KTHH vải lọc'!K30</f>
        <v>7.74</v>
      </c>
      <c r="H17" s="134" t="n">
        <f aca="false">'3. KTHH vải lọc'!N30</f>
        <v>7.42</v>
      </c>
      <c r="I17" s="134" t="n">
        <f aca="false">'3. KTHH vải lọc'!Q30</f>
        <v>1.48</v>
      </c>
      <c r="J17" s="134" t="n">
        <f aca="false">'3. KTHH vải lọc'!T30</f>
        <v>2.06</v>
      </c>
      <c r="K17" s="135" t="n">
        <f aca="false">SUM(E17:J17)</f>
        <v>22.23</v>
      </c>
      <c r="L17" s="109" t="n">
        <f aca="false">(K17+K18)*D17/2</f>
        <v>379.8004</v>
      </c>
      <c r="M17" s="110"/>
      <c r="O17" s="136"/>
      <c r="P17" s="137"/>
    </row>
    <row r="18" s="107" customFormat="true" ht="15" hidden="false" customHeight="true" outlineLevel="0" collapsed="false">
      <c r="A18" s="83" t="n">
        <v>8</v>
      </c>
      <c r="B18" s="83" t="str">
        <f aca="false">'1. PL đường đen'!B19</f>
        <v>6</v>
      </c>
      <c r="C18" s="65" t="n">
        <f aca="false">'1. PL đường đen'!C19</f>
        <v>111.97</v>
      </c>
      <c r="D18" s="83" t="n">
        <f aca="false">'1. PL đường đen'!T19</f>
        <v>14.49</v>
      </c>
      <c r="E18" s="134" t="n">
        <f aca="false">'3. KTHH vải lọc'!E31</f>
        <v>2.05</v>
      </c>
      <c r="F18" s="134" t="n">
        <f aca="false">'3. KTHH vải lọc'!H31</f>
        <v>1.49</v>
      </c>
      <c r="G18" s="134" t="n">
        <f aca="false">'3. KTHH vải lọc'!K31</f>
        <v>7.71</v>
      </c>
      <c r="H18" s="134" t="n">
        <f aca="false">'3. KTHH vải lọc'!N31</f>
        <v>7.2</v>
      </c>
      <c r="I18" s="134" t="n">
        <f aca="false">'3. KTHH vải lọc'!Q31</f>
        <v>1.5</v>
      </c>
      <c r="J18" s="134" t="n">
        <f aca="false">'3. KTHH vải lọc'!T31</f>
        <v>2.06</v>
      </c>
      <c r="K18" s="135" t="n">
        <f aca="false">SUM(E18:J18)</f>
        <v>22.01</v>
      </c>
      <c r="L18" s="109" t="n">
        <f aca="false">(K18+K19)*D18/2</f>
        <v>159.46245</v>
      </c>
      <c r="M18" s="110"/>
      <c r="O18" s="136"/>
      <c r="P18" s="137"/>
    </row>
    <row r="19" s="107" customFormat="true" ht="15" hidden="false" customHeight="true" outlineLevel="0" collapsed="false">
      <c r="A19" s="83" t="n">
        <v>9</v>
      </c>
      <c r="B19" s="83" t="str">
        <f aca="false">'1. PL đường đen'!B20</f>
        <v>D1</v>
      </c>
      <c r="C19" s="65" t="n">
        <f aca="false">'1. PL đường đen'!C20</f>
        <v>126.46</v>
      </c>
      <c r="D19" s="83"/>
      <c r="E19" s="134"/>
      <c r="F19" s="134"/>
      <c r="G19" s="134"/>
      <c r="H19" s="134"/>
      <c r="I19" s="134"/>
      <c r="J19" s="134"/>
      <c r="K19" s="135" t="n">
        <f aca="false">SUM(E19:J19)</f>
        <v>0</v>
      </c>
      <c r="L19" s="109"/>
      <c r="M19" s="110"/>
      <c r="O19" s="136"/>
      <c r="P19" s="137"/>
    </row>
    <row r="20" customFormat="false" ht="15" hidden="false" customHeight="true" outlineLevel="0" collapsed="false">
      <c r="A20" s="99" t="s">
        <v>116</v>
      </c>
      <c r="B20" s="99"/>
      <c r="C20" s="99"/>
      <c r="D20" s="99"/>
      <c r="E20" s="113"/>
      <c r="F20" s="113"/>
      <c r="G20" s="113"/>
      <c r="H20" s="113"/>
      <c r="I20" s="113"/>
      <c r="J20" s="113"/>
      <c r="K20" s="113"/>
      <c r="L20" s="114" t="n">
        <f aca="false">SUM(L11:L19)</f>
        <v>2092.7729</v>
      </c>
      <c r="M20" s="115"/>
      <c r="O20" s="138"/>
      <c r="P20" s="137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</row>
    <row r="21" customFormat="false" ht="6" hidden="false" customHeight="true" outlineLevel="0" collapsed="false">
      <c r="A21" s="118"/>
      <c r="B21" s="118"/>
      <c r="C21" s="118"/>
      <c r="D21" s="118"/>
      <c r="E21" s="116"/>
      <c r="F21" s="116"/>
      <c r="G21" s="116"/>
      <c r="H21" s="116"/>
      <c r="I21" s="116"/>
      <c r="J21" s="116"/>
      <c r="L21" s="117"/>
      <c r="M21" s="117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</row>
    <row r="22" customFormat="false" ht="15" hidden="false" customHeight="true" outlineLevel="0" collapsed="false">
      <c r="A22" s="71" t="s">
        <v>90</v>
      </c>
      <c r="B22" s="71"/>
      <c r="C22" s="71"/>
      <c r="D22" s="119" t="s">
        <v>117</v>
      </c>
      <c r="E22" s="71" t="s">
        <v>91</v>
      </c>
      <c r="F22" s="71"/>
      <c r="G22" s="71"/>
      <c r="H22" s="71"/>
      <c r="I22" s="71"/>
      <c r="J22" s="71"/>
      <c r="K22" s="71"/>
      <c r="L22" s="71"/>
      <c r="M22" s="71"/>
      <c r="O22" s="139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</row>
    <row r="23" customFormat="false" ht="9.75" hidden="false" customHeight="true" outlineLevel="0" collapsed="false">
      <c r="A23" s="120"/>
      <c r="B23" s="120"/>
      <c r="C23" s="120"/>
      <c r="D23" s="121"/>
      <c r="E23" s="121"/>
      <c r="F23" s="121"/>
      <c r="G23" s="121"/>
      <c r="H23" s="121"/>
      <c r="I23" s="121"/>
      <c r="J23" s="121"/>
      <c r="K23" s="121"/>
      <c r="L23" s="121"/>
      <c r="M23" s="116"/>
      <c r="N23" s="116"/>
      <c r="P23" s="116"/>
      <c r="Q23" s="116"/>
      <c r="R23" s="116"/>
      <c r="S23" s="116"/>
      <c r="T23" s="116"/>
      <c r="U23" s="116"/>
      <c r="HD23" s="116"/>
    </row>
    <row r="24" customFormat="false" ht="14.25" hidden="false" customHeight="true" outlineLevel="0" collapsed="false">
      <c r="A24" s="120"/>
      <c r="B24" s="120"/>
      <c r="C24" s="122"/>
      <c r="D24" s="122"/>
      <c r="E24" s="121"/>
      <c r="F24" s="121"/>
      <c r="G24" s="121"/>
      <c r="H24" s="121"/>
      <c r="I24" s="121"/>
      <c r="J24" s="121"/>
      <c r="K24" s="121"/>
      <c r="L24" s="121"/>
      <c r="M24" s="116"/>
      <c r="N24" s="116"/>
      <c r="O24" s="116"/>
      <c r="P24" s="116"/>
      <c r="Q24" s="116"/>
      <c r="R24" s="116"/>
      <c r="S24" s="116"/>
      <c r="T24" s="116"/>
      <c r="U24" s="116"/>
      <c r="HD24" s="116"/>
    </row>
    <row r="25" customFormat="false" ht="15" hidden="false" customHeight="true" outlineLevel="0" collapsed="false">
      <c r="A25" s="120"/>
      <c r="B25" s="120"/>
      <c r="C25" s="123"/>
      <c r="D25" s="123"/>
      <c r="E25" s="121"/>
      <c r="F25" s="121"/>
      <c r="G25" s="121"/>
      <c r="H25" s="121"/>
      <c r="I25" s="121"/>
      <c r="J25" s="121"/>
      <c r="K25" s="121"/>
      <c r="L25" s="121"/>
      <c r="M25" s="116"/>
      <c r="N25" s="116"/>
      <c r="O25" s="116"/>
      <c r="P25" s="140"/>
      <c r="Q25" s="116"/>
      <c r="R25" s="116"/>
      <c r="S25" s="116"/>
      <c r="T25" s="116"/>
      <c r="U25" s="116"/>
      <c r="HD25" s="116"/>
    </row>
    <row r="26" customFormat="false" ht="14.25" hidden="false" customHeight="true" outlineLevel="0" collapsed="false">
      <c r="A26" s="120"/>
      <c r="B26" s="120"/>
      <c r="C26" s="120"/>
      <c r="D26" s="121"/>
      <c r="E26" s="121"/>
      <c r="F26" s="121"/>
      <c r="G26" s="121"/>
      <c r="H26" s="121"/>
      <c r="I26" s="121"/>
      <c r="J26" s="121"/>
      <c r="K26" s="121"/>
      <c r="L26" s="121"/>
      <c r="M26" s="116"/>
      <c r="N26" s="116"/>
      <c r="O26" s="116"/>
      <c r="P26" s="116"/>
      <c r="Q26" s="116"/>
      <c r="R26" s="116"/>
      <c r="S26" s="116"/>
      <c r="T26" s="116"/>
      <c r="U26" s="116"/>
      <c r="HD26" s="116"/>
    </row>
    <row r="27" customFormat="false" ht="14.25" hidden="false" customHeight="true" outlineLevel="0" collapsed="false">
      <c r="A27" s="120"/>
      <c r="B27" s="120"/>
      <c r="C27" s="120"/>
      <c r="D27" s="121"/>
      <c r="E27" s="121"/>
      <c r="F27" s="121"/>
      <c r="G27" s="121"/>
      <c r="H27" s="121"/>
      <c r="I27" s="121"/>
      <c r="J27" s="121"/>
      <c r="K27" s="121"/>
      <c r="L27" s="121"/>
      <c r="M27" s="116"/>
      <c r="N27" s="116"/>
      <c r="O27" s="116"/>
      <c r="P27" s="116"/>
      <c r="Q27" s="116"/>
      <c r="R27" s="116"/>
      <c r="S27" s="116"/>
      <c r="T27" s="116"/>
      <c r="U27" s="116"/>
      <c r="HD27" s="116"/>
    </row>
    <row r="28" customFormat="false" ht="14.25" hidden="false" customHeight="true" outlineLevel="0" collapsed="false">
      <c r="A28" s="120"/>
      <c r="B28" s="120"/>
      <c r="C28" s="120"/>
      <c r="D28" s="121"/>
      <c r="E28" s="121"/>
      <c r="F28" s="121"/>
      <c r="G28" s="121"/>
      <c r="H28" s="121"/>
      <c r="I28" s="121"/>
      <c r="J28" s="121"/>
      <c r="K28" s="121"/>
      <c r="L28" s="121"/>
      <c r="M28" s="116"/>
      <c r="N28" s="116"/>
      <c r="O28" s="116"/>
      <c r="P28" s="116"/>
      <c r="Q28" s="116"/>
      <c r="R28" s="116"/>
      <c r="S28" s="116"/>
      <c r="T28" s="116"/>
      <c r="U28" s="116"/>
      <c r="HD28" s="116"/>
    </row>
    <row r="29" customFormat="false" ht="14.25" hidden="false" customHeight="true" outlineLevel="0" collapsed="false">
      <c r="A29" s="71" t="str">
        <f aca="false">'2. Cao độ đào nền'!E39</f>
        <v>Nguyễn Xuân Hưng</v>
      </c>
      <c r="B29" s="71"/>
      <c r="C29" s="71"/>
      <c r="D29" s="86"/>
      <c r="E29" s="86"/>
      <c r="F29" s="86"/>
      <c r="G29" s="86"/>
      <c r="H29" s="86"/>
      <c r="I29" s="86"/>
      <c r="J29" s="86"/>
      <c r="K29" s="71" t="s">
        <v>30</v>
      </c>
      <c r="L29" s="71"/>
      <c r="M29" s="71"/>
      <c r="N29" s="116"/>
      <c r="O29" s="116"/>
      <c r="P29" s="116"/>
      <c r="Q29" s="116"/>
      <c r="R29" s="116"/>
      <c r="S29" s="116"/>
      <c r="T29" s="116"/>
      <c r="U29" s="116"/>
      <c r="HD29" s="116"/>
    </row>
    <row r="30" customFormat="false" ht="12.75" hidden="false" customHeight="false" outlineLevel="0" collapsed="false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</row>
    <row r="31" customFormat="false" ht="12.75" hidden="false" customHeight="fals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</row>
    <row r="32" customFormat="false" ht="12.75" hidden="false" customHeight="fals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</row>
    <row r="33" customFormat="false" ht="12.75" hidden="false" customHeight="fals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</row>
    <row r="34" customFormat="false" ht="12.75" hidden="false" customHeight="fals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</row>
    <row r="35" customFormat="false" ht="12.75" hidden="false" customHeight="fals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</row>
    <row r="36" customFormat="false" ht="12.75" hidden="false" customHeight="false" outlineLevel="0" collapsed="false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</row>
    <row r="37" customFormat="false" ht="12.75" hidden="false" customHeight="false" outlineLevel="0" collapsed="false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</row>
    <row r="38" customFormat="false" ht="12.75" hidden="false" customHeight="fals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</row>
    <row r="39" customFormat="false" ht="12.75" hidden="false" customHeight="fals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</row>
    <row r="40" customFormat="false" ht="12.75" hidden="false" customHeight="fals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</row>
    <row r="41" customFormat="false" ht="12.75" hidden="false" customHeight="fals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</row>
    <row r="42" customFormat="false" ht="12.75" hidden="false" customHeight="fals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</row>
    <row r="43" customFormat="false" ht="12.75" hidden="false" customHeight="fals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</row>
    <row r="44" customFormat="false" ht="12.75" hidden="false" customHeight="false" outlineLevel="0" collapsed="false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</row>
    <row r="45" customFormat="false" ht="12.75" hidden="false" customHeight="false" outlineLevel="0" collapsed="false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</row>
    <row r="46" customFormat="false" ht="12.75" hidden="false" customHeight="fals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</row>
    <row r="47" customFormat="false" ht="12.75" hidden="false" customHeight="false" outlineLevel="0" collapsed="false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</row>
    <row r="48" customFormat="false" ht="12.75" hidden="false" customHeight="false" outlineLevel="0" collapsed="false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</row>
    <row r="49" customFormat="false" ht="12.75" hidden="false" customHeight="false" outlineLevel="0" collapsed="false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</row>
    <row r="50" customFormat="false" ht="12.75" hidden="false" customHeight="false" outlineLevel="0" collapsed="false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</row>
    <row r="51" customFormat="false" ht="12.75" hidden="false" customHeight="false" outlineLevel="0" collapsed="false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</row>
    <row r="52" customFormat="false" ht="12.75" hidden="false" customHeight="false" outlineLevel="0" collapsed="false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</row>
    <row r="53" customFormat="false" ht="12.75" hidden="false" customHeight="false" outlineLevel="0" collapsed="false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</row>
    <row r="54" customFormat="false" ht="12.75" hidden="false" customHeight="fals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</row>
    <row r="55" customFormat="false" ht="12.75" hidden="false" customHeight="false" outlineLevel="0" collapsed="false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</row>
    <row r="56" customFormat="false" ht="12.75" hidden="false" customHeight="false" outlineLevel="0" collapsed="false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</row>
    <row r="57" customFormat="false" ht="12.75" hidden="false" customHeight="false" outlineLevel="0" collapsed="false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</row>
    <row r="58" customFormat="false" ht="12.75" hidden="false" customHeight="false" outlineLevel="0" collapsed="false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</row>
    <row r="59" customFormat="false" ht="12.75" hidden="false" customHeight="false" outlineLevel="0" collapsed="false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</row>
    <row r="60" customFormat="false" ht="12.75" hidden="false" customHeight="false" outlineLevel="0" collapsed="false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</row>
    <row r="62" customFormat="false" ht="12.75" hidden="false" customHeight="false" outlineLevel="0" collapsed="false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</row>
    <row r="63" customFormat="false" ht="12.75" hidden="false" customHeight="false" outlineLevel="0" collapsed="false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</row>
    <row r="64" customFormat="false" ht="12.75" hidden="false" customHeight="false" outlineLevel="0" collapsed="false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</row>
    <row r="65" customFormat="false" ht="12.75" hidden="false" customHeight="false" outlineLevel="0" collapsed="false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</row>
    <row r="66" customFormat="false" ht="12.75" hidden="false" customHeight="false" outlineLevel="0" collapsed="false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</row>
    <row r="67" customFormat="false" ht="12.75" hidden="false" customHeight="false" outlineLevel="0" collapsed="false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</row>
    <row r="68" customFormat="false" ht="12.75" hidden="false" customHeight="false" outlineLevel="0" collapsed="false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</row>
    <row r="69" customFormat="false" ht="12.75" hidden="false" customHeight="false" outlineLevel="0" collapsed="false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customFormat="false" ht="12.75" hidden="false" customHeight="false" outlineLevel="0" collapsed="false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customFormat="false" ht="12.75" hidden="false" customHeight="false" outlineLevel="0" collapsed="false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2" customFormat="false" ht="12.75" hidden="false" customHeight="false" outlineLevel="0" collapsed="false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3" customFormat="false" ht="12.75" hidden="false" customHeight="false" outlineLevel="0" collapsed="false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 customFormat="false" ht="12.75" hidden="false" customHeight="false" outlineLevel="0" collapsed="false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customFormat="false" ht="12.75" hidden="false" customHeight="false" outlineLevel="0" collapsed="false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 customFormat="false" ht="12.75" hidden="false" customHeight="false" outlineLevel="0" collapsed="false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</row>
    <row r="77" customFormat="false" ht="12.75" hidden="false" customHeight="false" outlineLevel="0" collapsed="false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  <row r="78" customFormat="false" ht="12.75" hidden="false" customHeight="false" outlineLevel="0" collapsed="false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</row>
    <row r="79" customFormat="false" ht="12.75" hidden="false" customHeight="false" outlineLevel="0" collapsed="false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</row>
    <row r="80" customFormat="false" ht="12.75" hidden="false" customHeight="false" outlineLevel="0" collapsed="false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</row>
    <row r="81" customFormat="false" ht="12.75" hidden="false" customHeight="false" outlineLevel="0" collapsed="false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</row>
    <row r="82" customFormat="false" ht="12.75" hidden="false" customHeight="false" outlineLevel="0" collapsed="false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</row>
    <row r="83" customFormat="false" ht="12.75" hidden="false" customHeight="false" outlineLevel="0" collapsed="false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</row>
    <row r="84" customFormat="false" ht="12.75" hidden="false" customHeight="false" outlineLevel="0" collapsed="false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</row>
    <row r="85" customFormat="false" ht="12.75" hidden="false" customHeight="false" outlineLevel="0" collapsed="false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</row>
    <row r="86" customFormat="false" ht="12.75" hidden="false" customHeight="false" outlineLevel="0" collapsed="false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</row>
    <row r="87" customFormat="false" ht="12.75" hidden="false" customHeight="false" outlineLevel="0" collapsed="false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</row>
    <row r="88" customFormat="false" ht="12.75" hidden="false" customHeight="false" outlineLevel="0" collapsed="false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</row>
    <row r="89" customFormat="false" ht="12.75" hidden="false" customHeight="false" outlineLevel="0" collapsed="false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</row>
    <row r="90" customFormat="false" ht="12.75" hidden="false" customHeight="false" outlineLevel="0" collapsed="false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</row>
    <row r="91" customFormat="false" ht="12.75" hidden="false" customHeight="false" outlineLevel="0" collapsed="false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</row>
    <row r="92" customFormat="false" ht="12.75" hidden="false" customHeight="false" outlineLevel="0" collapsed="false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</row>
    <row r="93" customFormat="false" ht="12.75" hidden="false" customHeight="false" outlineLevel="0" collapsed="false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</row>
    <row r="94" customFormat="false" ht="12.75" hidden="false" customHeight="false" outlineLevel="0" collapsed="false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</row>
    <row r="95" customFormat="false" ht="12.75" hidden="false" customHeight="false" outlineLevel="0" collapsed="false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</row>
    <row r="96" customFormat="false" ht="12.75" hidden="false" customHeight="false" outlineLevel="0" collapsed="false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</row>
    <row r="97" customFormat="false" ht="12.75" hidden="false" customHeight="false" outlineLevel="0" collapsed="false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</row>
    <row r="98" customFormat="false" ht="12.75" hidden="false" customHeight="false" outlineLevel="0" collapsed="false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</row>
    <row r="99" customFormat="false" ht="12.75" hidden="false" customHeight="false" outlineLevel="0" collapsed="false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</row>
    <row r="100" customFormat="false" ht="12.75" hidden="false" customHeight="false" outlineLevel="0" collapsed="false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</row>
    <row r="101" customFormat="false" ht="12.75" hidden="false" customHeight="false" outlineLevel="0" collapsed="false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</row>
    <row r="102" customFormat="false" ht="12.75" hidden="false" customHeight="false" outlineLevel="0" collapsed="false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 customFormat="false" ht="12.75" hidden="false" customHeight="false" outlineLevel="0" collapsed="false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</row>
    <row r="104" customFormat="false" ht="12.75" hidden="false" customHeight="false" outlineLevel="0" collapsed="false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</row>
    <row r="105" customFormat="false" ht="12.75" hidden="false" customHeight="false" outlineLevel="0" collapsed="false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</row>
    <row r="106" customFormat="false" ht="12.75" hidden="false" customHeight="false" outlineLevel="0" collapsed="false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20:D20"/>
    <mergeCell ref="A22:C22"/>
    <mergeCell ref="E22:M22"/>
    <mergeCell ref="C24:D24"/>
    <mergeCell ref="A29:C29"/>
    <mergeCell ref="K29:M29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1" width="9.14"/>
  </cols>
  <sheetData>
    <row r="1" customFormat="false" ht="14.25" hidden="false" customHeight="false" outlineLevel="0" collapsed="false">
      <c r="A1" s="142" t="s">
        <v>5</v>
      </c>
      <c r="B1" s="142" t="s">
        <v>70</v>
      </c>
      <c r="C1" s="142" t="s">
        <v>71</v>
      </c>
      <c r="D1" s="142" t="s">
        <v>131</v>
      </c>
      <c r="E1" s="142" t="s">
        <v>132</v>
      </c>
      <c r="F1" s="142" t="s">
        <v>133</v>
      </c>
      <c r="G1" s="142" t="s">
        <v>134</v>
      </c>
    </row>
    <row r="2" customFormat="false" ht="14.25" hidden="false" customHeight="false" outlineLevel="0" collapsed="false">
      <c r="A2" s="141" t="n">
        <v>1</v>
      </c>
      <c r="B2" s="141" t="s">
        <v>81</v>
      </c>
      <c r="C2" s="141" t="n">
        <v>0</v>
      </c>
      <c r="D2" s="141" t="n">
        <v>1</v>
      </c>
      <c r="E2" s="141" t="s">
        <v>135</v>
      </c>
      <c r="F2" s="141" t="n">
        <v>0</v>
      </c>
      <c r="G2" s="141" t="n">
        <v>0</v>
      </c>
    </row>
    <row r="3" customFormat="false" ht="14.25" hidden="false" customHeight="false" outlineLevel="0" collapsed="false">
      <c r="D3" s="141" t="n">
        <v>1</v>
      </c>
      <c r="E3" s="141" t="s">
        <v>136</v>
      </c>
      <c r="F3" s="141" t="n">
        <v>0</v>
      </c>
      <c r="G3" s="141" t="n">
        <v>0</v>
      </c>
    </row>
    <row r="4" customFormat="false" ht="14.25" hidden="false" customHeight="false" outlineLevel="0" collapsed="false">
      <c r="D4" s="141" t="n">
        <v>1</v>
      </c>
      <c r="E4" s="141" t="s">
        <v>137</v>
      </c>
      <c r="F4" s="141" t="n">
        <v>0</v>
      </c>
      <c r="G4" s="141" t="n">
        <v>0</v>
      </c>
    </row>
    <row r="5" customFormat="false" ht="14.25" hidden="false" customHeight="false" outlineLevel="0" collapsed="false">
      <c r="A5" s="141" t="n">
        <v>2</v>
      </c>
      <c r="B5" s="141" t="s">
        <v>82</v>
      </c>
      <c r="C5" s="141" t="n">
        <v>19.63</v>
      </c>
      <c r="D5" s="141" t="n">
        <v>1</v>
      </c>
      <c r="E5" s="141" t="s">
        <v>135</v>
      </c>
      <c r="F5" s="141" t="n">
        <v>2</v>
      </c>
      <c r="G5" s="141" t="n">
        <v>2</v>
      </c>
    </row>
    <row r="6" customFormat="false" ht="14.25" hidden="false" customHeight="false" outlineLevel="0" collapsed="false">
      <c r="D6" s="141" t="n">
        <v>1</v>
      </c>
      <c r="E6" s="141" t="s">
        <v>136</v>
      </c>
      <c r="F6" s="141" t="n">
        <v>1.41</v>
      </c>
      <c r="G6" s="141" t="n">
        <v>1.41</v>
      </c>
    </row>
    <row r="7" customFormat="false" ht="14.25" hidden="false" customHeight="false" outlineLevel="0" collapsed="false">
      <c r="D7" s="141" t="n">
        <v>1</v>
      </c>
      <c r="E7" s="141" t="s">
        <v>137</v>
      </c>
      <c r="F7" s="141" t="n">
        <v>6.97</v>
      </c>
      <c r="G7" s="141" t="n">
        <v>7.05</v>
      </c>
    </row>
    <row r="8" customFormat="false" ht="14.25" hidden="false" customHeight="false" outlineLevel="0" collapsed="false">
      <c r="A8" s="141" t="n">
        <v>3</v>
      </c>
      <c r="B8" s="141" t="s">
        <v>83</v>
      </c>
      <c r="C8" s="141" t="n">
        <v>36.8</v>
      </c>
      <c r="D8" s="141" t="n">
        <v>1</v>
      </c>
      <c r="E8" s="141" t="s">
        <v>135</v>
      </c>
      <c r="F8" s="141" t="n">
        <v>2</v>
      </c>
      <c r="G8" s="141" t="n">
        <v>2</v>
      </c>
    </row>
    <row r="9" customFormat="false" ht="14.25" hidden="false" customHeight="false" outlineLevel="0" collapsed="false">
      <c r="D9" s="141" t="n">
        <v>1</v>
      </c>
      <c r="E9" s="141" t="s">
        <v>136</v>
      </c>
      <c r="F9" s="141" t="n">
        <v>1.41</v>
      </c>
      <c r="G9" s="141" t="n">
        <v>1.41</v>
      </c>
    </row>
    <row r="10" customFormat="false" ht="14.25" hidden="false" customHeight="false" outlineLevel="0" collapsed="false">
      <c r="D10" s="141" t="n">
        <v>1</v>
      </c>
      <c r="E10" s="141" t="s">
        <v>137</v>
      </c>
      <c r="F10" s="141" t="n">
        <v>7.04</v>
      </c>
      <c r="G10" s="141" t="n">
        <v>7.09</v>
      </c>
    </row>
    <row r="11" customFormat="false" ht="14.25" hidden="false" customHeight="false" outlineLevel="0" collapsed="false">
      <c r="A11" s="141" t="n">
        <v>4</v>
      </c>
      <c r="B11" s="141" t="s">
        <v>84</v>
      </c>
      <c r="C11" s="141" t="n">
        <v>53.98</v>
      </c>
      <c r="D11" s="141" t="n">
        <v>1</v>
      </c>
      <c r="E11" s="141" t="s">
        <v>135</v>
      </c>
      <c r="F11" s="141" t="n">
        <v>2</v>
      </c>
      <c r="G11" s="141" t="n">
        <v>2</v>
      </c>
    </row>
    <row r="12" customFormat="false" ht="14.25" hidden="false" customHeight="false" outlineLevel="0" collapsed="false">
      <c r="D12" s="141" t="n">
        <v>1</v>
      </c>
      <c r="E12" s="141" t="s">
        <v>136</v>
      </c>
      <c r="F12" s="141" t="n">
        <v>1.41</v>
      </c>
      <c r="G12" s="141" t="n">
        <v>1.41</v>
      </c>
    </row>
    <row r="13" customFormat="false" ht="14.25" hidden="false" customHeight="false" outlineLevel="0" collapsed="false">
      <c r="D13" s="141" t="n">
        <v>1</v>
      </c>
      <c r="E13" s="141" t="s">
        <v>137</v>
      </c>
      <c r="F13" s="141" t="n">
        <v>7.28</v>
      </c>
      <c r="G13" s="141" t="n">
        <v>7.26</v>
      </c>
    </row>
    <row r="14" customFormat="false" ht="14.25" hidden="false" customHeight="false" outlineLevel="0" collapsed="false">
      <c r="A14" s="141" t="n">
        <v>5</v>
      </c>
      <c r="B14" s="141" t="s">
        <v>85</v>
      </c>
      <c r="C14" s="141" t="n">
        <v>66.95</v>
      </c>
      <c r="D14" s="141" t="n">
        <v>1</v>
      </c>
      <c r="E14" s="141" t="s">
        <v>135</v>
      </c>
      <c r="F14" s="141" t="n">
        <v>0</v>
      </c>
      <c r="G14" s="141" t="n">
        <v>0</v>
      </c>
    </row>
    <row r="15" customFormat="false" ht="14.25" hidden="false" customHeight="false" outlineLevel="0" collapsed="false">
      <c r="D15" s="141" t="n">
        <v>1</v>
      </c>
      <c r="E15" s="141" t="s">
        <v>136</v>
      </c>
      <c r="F15" s="141" t="n">
        <v>0</v>
      </c>
      <c r="G15" s="141" t="n">
        <v>0</v>
      </c>
    </row>
    <row r="16" customFormat="false" ht="14.25" hidden="false" customHeight="false" outlineLevel="0" collapsed="false">
      <c r="D16" s="141" t="n">
        <v>1</v>
      </c>
      <c r="E16" s="141" t="s">
        <v>137</v>
      </c>
      <c r="F16" s="141" t="n">
        <v>0</v>
      </c>
      <c r="G16" s="141" t="n">
        <v>0</v>
      </c>
    </row>
    <row r="17" customFormat="false" ht="14.25" hidden="false" customHeight="false" outlineLevel="0" collapsed="false">
      <c r="A17" s="141" t="n">
        <v>6</v>
      </c>
      <c r="B17" s="141" t="s">
        <v>86</v>
      </c>
      <c r="C17" s="141" t="n">
        <v>77.63</v>
      </c>
      <c r="D17" s="141" t="n">
        <v>1</v>
      </c>
      <c r="E17" s="141" t="s">
        <v>135</v>
      </c>
      <c r="F17" s="141" t="n">
        <v>2</v>
      </c>
      <c r="G17" s="141" t="n">
        <v>2</v>
      </c>
    </row>
    <row r="18" customFormat="false" ht="14.25" hidden="false" customHeight="false" outlineLevel="0" collapsed="false">
      <c r="D18" s="141" t="n">
        <v>1</v>
      </c>
      <c r="E18" s="141" t="s">
        <v>136</v>
      </c>
      <c r="F18" s="141" t="n">
        <v>1.41</v>
      </c>
      <c r="G18" s="141" t="n">
        <v>1.41</v>
      </c>
    </row>
    <row r="19" customFormat="false" ht="14.25" hidden="false" customHeight="false" outlineLevel="0" collapsed="false">
      <c r="D19" s="141" t="n">
        <v>1</v>
      </c>
      <c r="E19" s="141" t="s">
        <v>137</v>
      </c>
      <c r="F19" s="141" t="n">
        <v>4.82</v>
      </c>
      <c r="G19" s="141" t="n">
        <v>7.68</v>
      </c>
    </row>
    <row r="20" customFormat="false" ht="14.25" hidden="false" customHeight="false" outlineLevel="0" collapsed="false">
      <c r="A20" s="141" t="n">
        <v>7</v>
      </c>
      <c r="B20" s="141" t="s">
        <v>87</v>
      </c>
      <c r="C20" s="141" t="n">
        <v>94.8</v>
      </c>
      <c r="D20" s="141" t="n">
        <v>1</v>
      </c>
      <c r="E20" s="141" t="s">
        <v>135</v>
      </c>
      <c r="F20" s="141" t="n">
        <v>2</v>
      </c>
      <c r="G20" s="141" t="n">
        <v>2</v>
      </c>
    </row>
    <row r="21" customFormat="false" ht="14.25" hidden="false" customHeight="false" outlineLevel="0" collapsed="false">
      <c r="D21" s="141" t="n">
        <v>1</v>
      </c>
      <c r="E21" s="141" t="s">
        <v>136</v>
      </c>
      <c r="F21" s="141" t="n">
        <v>1.41</v>
      </c>
      <c r="G21" s="141" t="n">
        <v>1.41</v>
      </c>
    </row>
    <row r="22" customFormat="false" ht="14.25" hidden="false" customHeight="false" outlineLevel="0" collapsed="false">
      <c r="D22" s="141" t="n">
        <v>1</v>
      </c>
      <c r="E22" s="141" t="s">
        <v>137</v>
      </c>
      <c r="F22" s="141" t="n">
        <v>7.65</v>
      </c>
      <c r="G22" s="141" t="n">
        <v>7.32</v>
      </c>
    </row>
    <row r="23" customFormat="false" ht="14.25" hidden="false" customHeight="false" outlineLevel="0" collapsed="false">
      <c r="A23" s="141" t="n">
        <v>8</v>
      </c>
      <c r="B23" s="141" t="s">
        <v>88</v>
      </c>
      <c r="C23" s="141" t="n">
        <v>111.97</v>
      </c>
      <c r="D23" s="141" t="n">
        <v>1</v>
      </c>
      <c r="E23" s="141" t="s">
        <v>135</v>
      </c>
      <c r="F23" s="141" t="n">
        <v>2</v>
      </c>
      <c r="G23" s="141" t="n">
        <v>2</v>
      </c>
    </row>
    <row r="24" customFormat="false" ht="14.25" hidden="false" customHeight="false" outlineLevel="0" collapsed="false">
      <c r="D24" s="141" t="n">
        <v>1</v>
      </c>
      <c r="E24" s="141" t="s">
        <v>136</v>
      </c>
      <c r="F24" s="141" t="n">
        <v>1.41</v>
      </c>
      <c r="G24" s="141" t="n">
        <v>1.41</v>
      </c>
    </row>
    <row r="25" customFormat="false" ht="14.25" hidden="false" customHeight="false" outlineLevel="0" collapsed="false">
      <c r="D25" s="141" t="n">
        <v>1</v>
      </c>
      <c r="E25" s="141" t="s">
        <v>137</v>
      </c>
      <c r="F25" s="141" t="n">
        <v>7.63</v>
      </c>
      <c r="G25" s="141" t="n">
        <v>7.15</v>
      </c>
    </row>
    <row r="26" customFormat="false" ht="14.25" hidden="false" customHeight="false" outlineLevel="0" collapsed="false">
      <c r="A26" s="141" t="n">
        <v>9</v>
      </c>
      <c r="B26" s="141" t="s">
        <v>89</v>
      </c>
      <c r="C26" s="141" t="n">
        <v>126.46</v>
      </c>
      <c r="D26" s="141" t="n">
        <v>1</v>
      </c>
      <c r="E26" s="141" t="s">
        <v>135</v>
      </c>
      <c r="F26" s="141" t="n">
        <v>0</v>
      </c>
      <c r="G26" s="141" t="n">
        <v>0</v>
      </c>
    </row>
    <row r="27" customFormat="false" ht="14.25" hidden="false" customHeight="false" outlineLevel="0" collapsed="false">
      <c r="D27" s="141" t="n">
        <v>1</v>
      </c>
      <c r="E27" s="141" t="s">
        <v>136</v>
      </c>
      <c r="F27" s="141" t="n">
        <v>0</v>
      </c>
      <c r="G27" s="141" t="n">
        <v>0</v>
      </c>
    </row>
    <row r="28" customFormat="false" ht="14.25" hidden="false" customHeight="false" outlineLevel="0" collapsed="false">
      <c r="D28" s="141" t="n">
        <v>1</v>
      </c>
      <c r="E28" s="141" t="s">
        <v>137</v>
      </c>
      <c r="F28" s="141" t="n">
        <v>0</v>
      </c>
      <c r="G28" s="141" t="n">
        <v>0</v>
      </c>
    </row>
    <row r="33" customFormat="false" ht="14.25" hidden="false" customHeight="false" outlineLevel="0" collapsed="false">
      <c r="F33" s="143"/>
      <c r="G33" s="1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0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7" width="4.57"/>
    <col collapsed="false" customWidth="true" hidden="false" outlineLevel="0" max="2" min="2" style="87" width="5.71"/>
    <col collapsed="false" customWidth="true" hidden="false" outlineLevel="0" max="3" min="3" style="87" width="13.57"/>
    <col collapsed="false" customWidth="true" hidden="false" outlineLevel="0" max="4" min="4" style="88" width="6.85"/>
    <col collapsed="false" customWidth="true" hidden="false" outlineLevel="0" max="6" min="5" style="88" width="9"/>
    <col collapsed="false" customWidth="true" hidden="false" outlineLevel="0" max="7" min="7" style="88" width="8.29"/>
    <col collapsed="false" customWidth="true" hidden="false" outlineLevel="0" max="9" min="8" style="88" width="10.42"/>
    <col collapsed="false" customWidth="true" hidden="false" outlineLevel="0" max="10" min="10" style="88" width="8"/>
    <col collapsed="false" customWidth="true" hidden="false" outlineLevel="0" max="11" min="11" style="88" width="4.42"/>
    <col collapsed="false" customWidth="false" hidden="false" outlineLevel="0" max="12" min="12" style="87" width="9.29"/>
    <col collapsed="false" customWidth="true" hidden="false" outlineLevel="0" max="13" min="13" style="87" width="11.85"/>
    <col collapsed="false" customWidth="true" hidden="false" outlineLevel="0" max="14" min="14" style="87" width="6.71"/>
    <col collapsed="false" customWidth="true" hidden="false" outlineLevel="0" max="16" min="15" style="87" width="10.42"/>
    <col collapsed="false" customWidth="false" hidden="false" outlineLevel="0" max="16384" min="17" style="87" width="9.29"/>
  </cols>
  <sheetData>
    <row r="1" s="90" customFormat="true" ht="16.5" hidden="false" customHeight="true" outlineLevel="0" collapsed="false">
      <c r="A1" s="132" t="s">
        <v>138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="145" customFormat="true" ht="15.75" hidden="false" customHeight="true" outlineLevel="0" collapsed="false">
      <c r="A2" s="144" t="str">
        <f aca="false">"Kèm theo BBNT số: "&amp;VLOOKUP(L2,'Tuyến XB6A'!$A$2:$G$31,7,0)&amp;VLOOKUP(L2,'Tuyến XB6A'!$A$2:$G$31,4,0)</f>
        <v>Kèm theo BBNT số: 26.NĐXB6A/CVXD ngày 13 tháng 09 năm 2026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5" t="n">
        <v>26</v>
      </c>
    </row>
    <row r="3" s="116" customFormat="true" ht="15.75" hidden="false" customHeight="true" outlineLevel="0" collapsed="false">
      <c r="A3" s="146" t="s">
        <v>63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47"/>
      <c r="GH3" s="147"/>
      <c r="GI3" s="147"/>
      <c r="GJ3" s="147"/>
      <c r="GK3" s="147"/>
      <c r="GL3" s="147"/>
      <c r="GM3" s="147"/>
      <c r="GN3" s="147"/>
      <c r="GO3" s="147"/>
      <c r="GP3" s="147"/>
      <c r="GQ3" s="147"/>
      <c r="GR3" s="147"/>
      <c r="GS3" s="147"/>
      <c r="GT3" s="147"/>
      <c r="GU3" s="147"/>
      <c r="GV3" s="147"/>
      <c r="GW3" s="147"/>
      <c r="GX3" s="147"/>
      <c r="GY3" s="147"/>
      <c r="GZ3" s="147"/>
      <c r="HA3" s="147"/>
      <c r="HB3" s="147"/>
      <c r="HC3" s="147"/>
      <c r="HD3" s="147"/>
      <c r="HE3" s="147"/>
    </row>
    <row r="4" s="116" customFormat="true" ht="33.75" hidden="false" customHeight="true" outlineLevel="0" collapsed="false">
      <c r="A4" s="146" t="s">
        <v>64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</row>
    <row r="5" s="116" customFormat="true" ht="15.75" hidden="false" customHeight="true" outlineLevel="0" collapsed="false">
      <c r="A5" s="146" t="s">
        <v>65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</row>
    <row r="6" s="116" customFormat="true" ht="15.75" hidden="false" customHeight="true" outlineLevel="0" collapsed="false">
      <c r="A6" s="146" t="s">
        <v>66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47"/>
      <c r="GH6" s="147"/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  <c r="HB6" s="147"/>
      <c r="HC6" s="147"/>
      <c r="HD6" s="147"/>
      <c r="HE6" s="147"/>
    </row>
    <row r="7" s="116" customFormat="true" ht="15.75" hidden="false" customHeight="true" outlineLevel="0" collapsed="false">
      <c r="A7" s="95" t="s">
        <v>67</v>
      </c>
      <c r="B7" s="96"/>
      <c r="C7" s="126"/>
      <c r="E7" s="97" t="str">
        <f aca="false">VLOOKUP(L2,'Tuyến XB6A'!$A$2:$B$31,2,0)</f>
        <v>Tưới lớp thấm bám mặt đường, nhựa MC70, lượng nhựa 1kg/m2</v>
      </c>
      <c r="F7" s="97"/>
      <c r="G7" s="97"/>
      <c r="H7" s="97"/>
      <c r="I7" s="97"/>
      <c r="J7" s="97"/>
      <c r="K7" s="9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</row>
    <row r="8" s="147" customFormat="true" ht="18" hidden="false" customHeight="true" outlineLevel="0" collapsed="false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 s="105" customFormat="true" ht="22.5" hidden="false" customHeight="true" outlineLevel="0" collapsed="false">
      <c r="A9" s="99" t="s">
        <v>5</v>
      </c>
      <c r="B9" s="149" t="s">
        <v>139</v>
      </c>
      <c r="C9" s="99" t="s">
        <v>71</v>
      </c>
      <c r="D9" s="100" t="s">
        <v>106</v>
      </c>
      <c r="E9" s="100" t="s">
        <v>140</v>
      </c>
      <c r="F9" s="100"/>
      <c r="G9" s="100"/>
      <c r="H9" s="100" t="s">
        <v>141</v>
      </c>
      <c r="I9" s="100"/>
      <c r="J9" s="100"/>
      <c r="K9" s="104" t="s">
        <v>110</v>
      </c>
    </row>
    <row r="10" s="107" customFormat="true" ht="36" hidden="false" customHeight="true" outlineLevel="0" collapsed="false">
      <c r="A10" s="99"/>
      <c r="B10" s="99"/>
      <c r="C10" s="99"/>
      <c r="D10" s="99"/>
      <c r="E10" s="104" t="s">
        <v>142</v>
      </c>
      <c r="F10" s="104" t="s">
        <v>143</v>
      </c>
      <c r="G10" s="104" t="s">
        <v>144</v>
      </c>
      <c r="H10" s="104" t="s">
        <v>142</v>
      </c>
      <c r="I10" s="104" t="s">
        <v>143</v>
      </c>
      <c r="J10" s="104" t="s">
        <v>145</v>
      </c>
      <c r="K10" s="104"/>
      <c r="L10" s="106"/>
      <c r="M10" s="106"/>
    </row>
    <row r="11" s="107" customFormat="true" ht="15" hidden="false" customHeight="true" outlineLevel="0" collapsed="false">
      <c r="A11" s="83" t="n">
        <v>1</v>
      </c>
      <c r="B11" s="83" t="str">
        <f aca="false">'1. PL đường đen'!B12</f>
        <v>D3</v>
      </c>
      <c r="C11" s="65" t="n">
        <v>0</v>
      </c>
      <c r="D11" s="83" t="n">
        <f aca="false">'1. PL đường đen'!T12</f>
        <v>19.63</v>
      </c>
      <c r="E11" s="134" t="n">
        <v>7.5</v>
      </c>
      <c r="F11" s="134" t="n">
        <f aca="false">+E11+G11</f>
        <v>7.507</v>
      </c>
      <c r="G11" s="67" t="n">
        <f aca="false">RANDBETWEEN(-30,110)/1000</f>
        <v>0.007</v>
      </c>
      <c r="H11" s="109" t="n">
        <f aca="false">+(E11+E12)/2*D11</f>
        <v>147.225</v>
      </c>
      <c r="I11" s="109" t="n">
        <f aca="false">+(F11+F12)/2*D11</f>
        <v>147.077775</v>
      </c>
      <c r="J11" s="109" t="n">
        <f aca="false">+I11-H11</f>
        <v>-0.14722500000002</v>
      </c>
      <c r="K11" s="110"/>
      <c r="L11" s="136"/>
    </row>
    <row r="12" s="107" customFormat="true" ht="15" hidden="false" customHeight="true" outlineLevel="0" collapsed="false">
      <c r="A12" s="83" t="n">
        <v>2</v>
      </c>
      <c r="B12" s="83" t="str">
        <f aca="false">'1. PL đường đen'!B13</f>
        <v>1</v>
      </c>
      <c r="C12" s="65" t="n">
        <f aca="false">C11+D11</f>
        <v>19.63</v>
      </c>
      <c r="D12" s="83" t="n">
        <f aca="false">'1. PL đường đen'!T13</f>
        <v>17.17</v>
      </c>
      <c r="E12" s="134" t="n">
        <v>7.5</v>
      </c>
      <c r="F12" s="134" t="n">
        <f aca="false">+E12+G12</f>
        <v>7.478</v>
      </c>
      <c r="G12" s="67" t="n">
        <f aca="false">RANDBETWEEN(-30,110)/1000</f>
        <v>-0.022</v>
      </c>
      <c r="H12" s="109" t="n">
        <f aca="false">+(E12+E13)/2*D12</f>
        <v>128.775</v>
      </c>
      <c r="I12" s="109" t="n">
        <f aca="false">+(F12+F13)/2*D12</f>
        <v>128.886605</v>
      </c>
      <c r="J12" s="109" t="n">
        <f aca="false">+I12-H12</f>
        <v>0.111604999999997</v>
      </c>
      <c r="K12" s="110"/>
      <c r="L12" s="136"/>
    </row>
    <row r="13" s="107" customFormat="true" ht="15" hidden="false" customHeight="true" outlineLevel="0" collapsed="false">
      <c r="A13" s="83" t="n">
        <v>3</v>
      </c>
      <c r="B13" s="83" t="str">
        <f aca="false">'1. PL đường đen'!B14</f>
        <v>2</v>
      </c>
      <c r="C13" s="65" t="n">
        <f aca="false">C12+D12</f>
        <v>36.8</v>
      </c>
      <c r="D13" s="83" t="n">
        <f aca="false">'1. PL đường đen'!T14</f>
        <v>17.18</v>
      </c>
      <c r="E13" s="134" t="n">
        <v>7.5</v>
      </c>
      <c r="F13" s="134" t="n">
        <f aca="false">+E13+G13</f>
        <v>7.535</v>
      </c>
      <c r="G13" s="67" t="n">
        <f aca="false">RANDBETWEEN(-30,110)/1000</f>
        <v>0.035</v>
      </c>
      <c r="H13" s="109" t="n">
        <f aca="false">+(E13+E14)/2*D13</f>
        <v>128.85</v>
      </c>
      <c r="I13" s="109" t="n">
        <f aca="false">+(F13+F14)/2*D13</f>
        <v>129.93234</v>
      </c>
      <c r="J13" s="109" t="n">
        <f aca="false">+I13-H13</f>
        <v>1.08234000000002</v>
      </c>
      <c r="K13" s="110"/>
      <c r="L13" s="136"/>
    </row>
    <row r="14" s="107" customFormat="true" ht="15" hidden="false" customHeight="true" outlineLevel="0" collapsed="false">
      <c r="A14" s="83" t="n">
        <v>4</v>
      </c>
      <c r="B14" s="83" t="str">
        <f aca="false">'1. PL đường đen'!B15</f>
        <v>3</v>
      </c>
      <c r="C14" s="65" t="n">
        <f aca="false">C13+D13</f>
        <v>53.98</v>
      </c>
      <c r="D14" s="83" t="n">
        <f aca="false">'1. PL đường đen'!T15</f>
        <v>12.97</v>
      </c>
      <c r="E14" s="134" t="n">
        <v>7.5</v>
      </c>
      <c r="F14" s="134" t="n">
        <f aca="false">+E14+G14</f>
        <v>7.591</v>
      </c>
      <c r="G14" s="67" t="n">
        <f aca="false">RANDBETWEEN(-30,110)/1000</f>
        <v>0.091</v>
      </c>
      <c r="H14" s="109" t="n">
        <f aca="false">+(E14+E15)/2*D14</f>
        <v>97.275</v>
      </c>
      <c r="I14" s="109" t="n">
        <f aca="false">+(F14+F15)/2*D14</f>
        <v>98.396905</v>
      </c>
      <c r="J14" s="109" t="n">
        <f aca="false">+I14-H14</f>
        <v>1.121905</v>
      </c>
      <c r="K14" s="110"/>
      <c r="L14" s="136"/>
    </row>
    <row r="15" s="107" customFormat="true" ht="15" hidden="false" customHeight="true" outlineLevel="0" collapsed="false">
      <c r="A15" s="83" t="n">
        <v>5</v>
      </c>
      <c r="B15" s="83" t="str">
        <f aca="false">'1. PL đường đen'!B16</f>
        <v>D2</v>
      </c>
      <c r="C15" s="65" t="n">
        <f aca="false">C14+D14</f>
        <v>66.95</v>
      </c>
      <c r="D15" s="83" t="n">
        <f aca="false">'1. PL đường đen'!T16</f>
        <v>10.68</v>
      </c>
      <c r="E15" s="134" t="n">
        <v>7.5</v>
      </c>
      <c r="F15" s="134" t="n">
        <f aca="false">+E15+G15</f>
        <v>7.582</v>
      </c>
      <c r="G15" s="67" t="n">
        <f aca="false">RANDBETWEEN(-30,110)/1000</f>
        <v>0.082</v>
      </c>
      <c r="H15" s="109" t="n">
        <f aca="false">+(E15+E16)/2*D15</f>
        <v>80.1</v>
      </c>
      <c r="I15" s="109" t="n">
        <f aca="false">+(F15+F16)/2*D15</f>
        <v>80.80488</v>
      </c>
      <c r="J15" s="109" t="n">
        <f aca="false">+I15-H15</f>
        <v>0.704880000000003</v>
      </c>
      <c r="K15" s="110"/>
      <c r="L15" s="136"/>
    </row>
    <row r="16" s="107" customFormat="true" ht="15" hidden="false" customHeight="true" outlineLevel="0" collapsed="false">
      <c r="A16" s="83" t="n">
        <v>6</v>
      </c>
      <c r="B16" s="83" t="str">
        <f aca="false">'1. PL đường đen'!B17</f>
        <v>4</v>
      </c>
      <c r="C16" s="65" t="n">
        <f aca="false">C15+D15</f>
        <v>77.63</v>
      </c>
      <c r="D16" s="83" t="n">
        <f aca="false">'1. PL đường đen'!T17</f>
        <v>17.17</v>
      </c>
      <c r="E16" s="134" t="n">
        <v>7.5</v>
      </c>
      <c r="F16" s="134" t="n">
        <f aca="false">+E16+G16</f>
        <v>7.55</v>
      </c>
      <c r="G16" s="67" t="n">
        <f aca="false">RANDBETWEEN(-30,110)/1000</f>
        <v>0.05</v>
      </c>
      <c r="H16" s="109" t="n">
        <f aca="false">+(E16+E17)/2*D16</f>
        <v>128.775</v>
      </c>
      <c r="I16" s="109" t="n">
        <f aca="false">+(F16+F17)/2*D16</f>
        <v>129.03255</v>
      </c>
      <c r="J16" s="109" t="n">
        <f aca="false">+I16-H16</f>
        <v>0.257550000000009</v>
      </c>
      <c r="K16" s="110"/>
      <c r="L16" s="136"/>
    </row>
    <row r="17" s="107" customFormat="true" ht="15" hidden="false" customHeight="true" outlineLevel="0" collapsed="false">
      <c r="A17" s="83" t="n">
        <v>7</v>
      </c>
      <c r="B17" s="83" t="str">
        <f aca="false">'1. PL đường đen'!B18</f>
        <v>5</v>
      </c>
      <c r="C17" s="65" t="n">
        <f aca="false">C16+D16</f>
        <v>94.8</v>
      </c>
      <c r="D17" s="83" t="n">
        <f aca="false">'1. PL đường đen'!T18</f>
        <v>17.17</v>
      </c>
      <c r="E17" s="134" t="n">
        <v>7.5</v>
      </c>
      <c r="F17" s="134" t="n">
        <f aca="false">+E17+G17</f>
        <v>7.48</v>
      </c>
      <c r="G17" s="67" t="n">
        <f aca="false">RANDBETWEEN(-30,110)/1000</f>
        <v>-0.02</v>
      </c>
      <c r="H17" s="109" t="n">
        <f aca="false">+(E17+E18)/2*D17</f>
        <v>128.775</v>
      </c>
      <c r="I17" s="109" t="n">
        <f aca="false">+(F17+F18)/2*D17</f>
        <v>128.75783</v>
      </c>
      <c r="J17" s="109" t="n">
        <f aca="false">+I17-H17</f>
        <v>-0.017169999999993</v>
      </c>
      <c r="K17" s="110"/>
      <c r="L17" s="136"/>
    </row>
    <row r="18" s="107" customFormat="true" ht="15" hidden="false" customHeight="true" outlineLevel="0" collapsed="false">
      <c r="A18" s="83" t="n">
        <v>8</v>
      </c>
      <c r="B18" s="83" t="str">
        <f aca="false">'1. PL đường đen'!B19</f>
        <v>6</v>
      </c>
      <c r="C18" s="65" t="n">
        <f aca="false">C17+D17</f>
        <v>111.97</v>
      </c>
      <c r="D18" s="83" t="n">
        <f aca="false">'1. PL đường đen'!T19</f>
        <v>14.49</v>
      </c>
      <c r="E18" s="134" t="n">
        <v>7.5</v>
      </c>
      <c r="F18" s="134" t="n">
        <f aca="false">+E18+G18</f>
        <v>7.518</v>
      </c>
      <c r="G18" s="67" t="n">
        <f aca="false">RANDBETWEEN(-30,110)/1000</f>
        <v>0.018</v>
      </c>
      <c r="H18" s="109" t="n">
        <f aca="false">+(E18+E19)/2*D18</f>
        <v>108.675</v>
      </c>
      <c r="I18" s="109" t="n">
        <f aca="false">+(F18+F19)/2*D18</f>
        <v>109.232865</v>
      </c>
      <c r="J18" s="109" t="n">
        <f aca="false">+I18-H18</f>
        <v>0.557865000000007</v>
      </c>
      <c r="K18" s="110"/>
      <c r="L18" s="136"/>
    </row>
    <row r="19" s="107" customFormat="true" ht="15" hidden="false" customHeight="true" outlineLevel="0" collapsed="false">
      <c r="A19" s="83" t="n">
        <v>9</v>
      </c>
      <c r="B19" s="83" t="str">
        <f aca="false">'1. PL đường đen'!B20</f>
        <v>D1</v>
      </c>
      <c r="C19" s="65" t="n">
        <f aca="false">C18+D18</f>
        <v>126.46</v>
      </c>
      <c r="D19" s="83"/>
      <c r="E19" s="134" t="n">
        <v>7.5</v>
      </c>
      <c r="F19" s="134" t="n">
        <f aca="false">+E19+G19</f>
        <v>7.559</v>
      </c>
      <c r="G19" s="67" t="n">
        <f aca="false">RANDBETWEEN(-30,110)/1000</f>
        <v>0.059</v>
      </c>
      <c r="H19" s="109"/>
      <c r="I19" s="109"/>
      <c r="J19" s="109"/>
      <c r="K19" s="110"/>
      <c r="L19" s="136"/>
    </row>
    <row r="20" customFormat="false" ht="15" hidden="false" customHeight="true" outlineLevel="0" collapsed="false">
      <c r="A20" s="99" t="s">
        <v>116</v>
      </c>
      <c r="B20" s="99"/>
      <c r="C20" s="99"/>
      <c r="D20" s="99"/>
      <c r="E20" s="99"/>
      <c r="F20" s="99"/>
      <c r="G20" s="99"/>
      <c r="H20" s="150" t="n">
        <f aca="false">SUM(H11:H19)</f>
        <v>948.45</v>
      </c>
      <c r="I20" s="150" t="n">
        <f aca="false">SUM(I11:I19)</f>
        <v>952.12175</v>
      </c>
      <c r="J20" s="114" t="n">
        <f aca="false">+I20-H20</f>
        <v>3.67175000000009</v>
      </c>
      <c r="K20" s="115"/>
      <c r="M20" s="117"/>
      <c r="N20" s="116"/>
      <c r="O20" s="151"/>
      <c r="P20" s="152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</row>
    <row r="21" customFormat="false" ht="14.25" hidden="false" customHeight="true" outlineLevel="0" collapsed="false">
      <c r="A21" s="118"/>
      <c r="B21" s="118"/>
      <c r="C21" s="118"/>
      <c r="D21" s="118"/>
      <c r="E21" s="116"/>
      <c r="F21" s="116"/>
      <c r="G21" s="116"/>
      <c r="H21" s="117"/>
      <c r="I21" s="117"/>
      <c r="J21" s="117"/>
      <c r="K21" s="117"/>
      <c r="P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</row>
    <row r="22" customFormat="false" ht="14.25" hidden="false" customHeight="true" outlineLevel="0" collapsed="false">
      <c r="A22" s="71" t="s">
        <v>90</v>
      </c>
      <c r="B22" s="71"/>
      <c r="C22" s="71"/>
      <c r="D22" s="71"/>
      <c r="F22" s="86"/>
      <c r="G22" s="71" t="s">
        <v>91</v>
      </c>
      <c r="H22" s="71"/>
      <c r="I22" s="71"/>
      <c r="J22" s="71"/>
      <c r="K22" s="8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</row>
    <row r="23" customFormat="false" ht="15" hidden="false" customHeight="true" outlineLevel="0" collapsed="false">
      <c r="A23" s="120"/>
      <c r="B23" s="120"/>
      <c r="C23" s="123"/>
      <c r="D23" s="123"/>
      <c r="E23" s="121"/>
      <c r="F23" s="121"/>
      <c r="G23" s="121"/>
      <c r="H23" s="121"/>
      <c r="I23" s="121"/>
      <c r="J23" s="121"/>
      <c r="K23" s="116"/>
      <c r="L23" s="116"/>
      <c r="M23" s="116"/>
      <c r="N23" s="140"/>
      <c r="O23" s="116"/>
      <c r="P23" s="116"/>
      <c r="Q23" s="116"/>
      <c r="R23" s="116"/>
      <c r="S23" s="116"/>
      <c r="HB23" s="116"/>
    </row>
    <row r="24" customFormat="false" ht="14.25" hidden="false" customHeight="true" outlineLevel="0" collapsed="false">
      <c r="A24" s="120"/>
      <c r="B24" s="120"/>
      <c r="C24" s="120"/>
      <c r="D24" s="121"/>
      <c r="E24" s="121"/>
      <c r="F24" s="121"/>
      <c r="G24" s="121"/>
      <c r="H24" s="121"/>
      <c r="I24" s="121"/>
      <c r="J24" s="121"/>
      <c r="K24" s="116"/>
      <c r="L24" s="116"/>
      <c r="M24" s="116"/>
      <c r="N24" s="116"/>
      <c r="O24" s="116"/>
      <c r="P24" s="116"/>
      <c r="Q24" s="116"/>
      <c r="R24" s="116"/>
      <c r="S24" s="116"/>
      <c r="HB24" s="116"/>
    </row>
    <row r="25" customFormat="false" ht="14.25" hidden="false" customHeight="true" outlineLevel="0" collapsed="false">
      <c r="A25" s="120"/>
      <c r="B25" s="120"/>
      <c r="C25" s="120"/>
      <c r="D25" s="121"/>
      <c r="E25" s="121"/>
      <c r="F25" s="121"/>
      <c r="G25" s="121"/>
      <c r="H25" s="121"/>
      <c r="I25" s="121"/>
      <c r="J25" s="121"/>
      <c r="K25" s="116"/>
      <c r="L25" s="116"/>
      <c r="M25" s="116"/>
      <c r="N25" s="116"/>
      <c r="O25" s="116"/>
      <c r="P25" s="116"/>
      <c r="Q25" s="116"/>
      <c r="R25" s="116"/>
      <c r="S25" s="116"/>
      <c r="HB25" s="116"/>
    </row>
    <row r="26" customFormat="false" ht="14.25" hidden="false" customHeight="true" outlineLevel="0" collapsed="false">
      <c r="A26" s="120"/>
      <c r="B26" s="120"/>
      <c r="C26" s="120"/>
      <c r="D26" s="121"/>
      <c r="E26" s="121"/>
      <c r="F26" s="121"/>
      <c r="G26" s="121"/>
      <c r="H26" s="121"/>
      <c r="I26" s="121"/>
      <c r="J26" s="121"/>
      <c r="K26" s="116"/>
      <c r="L26" s="116"/>
      <c r="M26" s="116"/>
      <c r="N26" s="116"/>
      <c r="O26" s="116"/>
      <c r="P26" s="116"/>
      <c r="Q26" s="116"/>
      <c r="R26" s="116"/>
      <c r="S26" s="116"/>
      <c r="HB26" s="116"/>
    </row>
    <row r="27" customFormat="false" ht="14.25" hidden="false" customHeight="true" outlineLevel="0" collapsed="false">
      <c r="A27" s="71" t="s">
        <v>29</v>
      </c>
      <c r="B27" s="71"/>
      <c r="C27" s="71"/>
      <c r="D27" s="71"/>
      <c r="F27" s="86"/>
      <c r="G27" s="71" t="s">
        <v>146</v>
      </c>
      <c r="H27" s="71"/>
      <c r="I27" s="71"/>
      <c r="J27" s="71"/>
      <c r="K27" s="86"/>
      <c r="L27" s="116"/>
      <c r="M27" s="116"/>
      <c r="N27" s="116"/>
      <c r="O27" s="116"/>
      <c r="P27" s="116"/>
      <c r="Q27" s="116"/>
      <c r="R27" s="116"/>
      <c r="S27" s="116"/>
      <c r="HB27" s="116"/>
    </row>
    <row r="28" customFormat="false" ht="15" hidden="false" customHeight="true" outlineLevel="0" collapsed="false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</row>
    <row r="29" customFormat="false" ht="15" hidden="false" customHeight="true" outlineLevel="0" collapsed="false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</row>
    <row r="30" customFormat="false" ht="12.75" hidden="false" customHeight="false" outlineLevel="0" collapsed="false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customFormat="false" ht="12.75" hidden="false" customHeight="fals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  <row r="32" customFormat="false" ht="12.75" hidden="false" customHeight="fals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</row>
    <row r="33" customFormat="false" ht="12.75" hidden="false" customHeight="fals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</row>
    <row r="34" customFormat="false" ht="12.75" hidden="false" customHeight="fals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</row>
    <row r="35" customFormat="false" ht="12.75" hidden="false" customHeight="fals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</row>
    <row r="36" customFormat="false" ht="12.75" hidden="false" customHeight="false" outlineLevel="0" collapsed="false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</row>
    <row r="37" customFormat="false" ht="12.75" hidden="false" customHeight="false" outlineLevel="0" collapsed="false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</row>
    <row r="38" customFormat="false" ht="12.75" hidden="false" customHeight="fals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</row>
    <row r="39" customFormat="false" ht="12.75" hidden="false" customHeight="fals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</row>
    <row r="40" customFormat="false" ht="12.75" hidden="false" customHeight="fals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</row>
    <row r="41" customFormat="false" ht="12.75" hidden="false" customHeight="fals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</row>
    <row r="42" customFormat="false" ht="12.75" hidden="false" customHeight="fals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</row>
    <row r="43" customFormat="false" ht="12.75" hidden="false" customHeight="fals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</row>
    <row r="44" customFormat="false" ht="12.75" hidden="false" customHeight="false" outlineLevel="0" collapsed="false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</row>
    <row r="45" customFormat="false" ht="12.75" hidden="false" customHeight="false" outlineLevel="0" collapsed="false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</row>
    <row r="46" customFormat="false" ht="12.75" hidden="false" customHeight="fals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</row>
    <row r="47" customFormat="false" ht="12.75" hidden="false" customHeight="false" outlineLevel="0" collapsed="false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</row>
    <row r="48" customFormat="false" ht="12.75" hidden="false" customHeight="false" outlineLevel="0" collapsed="false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</row>
    <row r="49" customFormat="false" ht="12.75" hidden="false" customHeight="false" outlineLevel="0" collapsed="false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</row>
    <row r="50" customFormat="false" ht="12.75" hidden="false" customHeight="false" outlineLevel="0" collapsed="false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</row>
    <row r="51" customFormat="false" ht="12.75" hidden="false" customHeight="false" outlineLevel="0" collapsed="false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</row>
    <row r="52" customFormat="false" ht="12.75" hidden="false" customHeight="false" outlineLevel="0" collapsed="false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</row>
    <row r="53" customFormat="false" ht="12.75" hidden="false" customHeight="false" outlineLevel="0" collapsed="false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</row>
    <row r="54" customFormat="false" ht="12.75" hidden="false" customHeight="fals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</row>
    <row r="55" customFormat="false" ht="12.75" hidden="false" customHeight="false" outlineLevel="0" collapsed="false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</row>
    <row r="56" customFormat="false" ht="12.75" hidden="false" customHeight="false" outlineLevel="0" collapsed="false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</row>
    <row r="57" customFormat="false" ht="12.75" hidden="false" customHeight="false" outlineLevel="0" collapsed="false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</row>
    <row r="58" customFormat="false" ht="12.75" hidden="false" customHeight="false" outlineLevel="0" collapsed="false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</row>
    <row r="59" customFormat="false" ht="12.75" hidden="false" customHeight="false" outlineLevel="0" collapsed="false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</row>
    <row r="60" customFormat="false" ht="12.75" hidden="false" customHeight="false" outlineLevel="0" collapsed="false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</row>
    <row r="61" customFormat="false" ht="12.75" hidden="false" customHeight="false" outlineLevel="0" collapsed="false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</row>
    <row r="62" customFormat="false" ht="12.75" hidden="false" customHeight="false" outlineLevel="0" collapsed="false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</row>
    <row r="63" customFormat="false" ht="12.75" hidden="false" customHeight="false" outlineLevel="0" collapsed="false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</row>
    <row r="64" customFormat="false" ht="12.75" hidden="false" customHeight="false" outlineLevel="0" collapsed="false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</row>
    <row r="65" customFormat="false" ht="12.75" hidden="false" customHeight="false" outlineLevel="0" collapsed="false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</row>
    <row r="66" customFormat="false" ht="12.75" hidden="false" customHeight="false" outlineLevel="0" collapsed="false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</row>
    <row r="67" customFormat="false" ht="12.75" hidden="false" customHeight="false" outlineLevel="0" collapsed="false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</row>
    <row r="68" customFormat="false" ht="12.75" hidden="false" customHeight="false" outlineLevel="0" collapsed="false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</row>
    <row r="69" customFormat="false" ht="12.75" hidden="false" customHeight="false" outlineLevel="0" collapsed="false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</row>
    <row r="70" customFormat="false" ht="12.75" hidden="false" customHeight="false" outlineLevel="0" collapsed="false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</row>
    <row r="71" customFormat="false" ht="12.75" hidden="false" customHeight="false" outlineLevel="0" collapsed="false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</row>
    <row r="72" customFormat="false" ht="12.75" hidden="false" customHeight="false" outlineLevel="0" collapsed="false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</row>
    <row r="73" customFormat="false" ht="12.75" hidden="false" customHeight="false" outlineLevel="0" collapsed="false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</row>
    <row r="74" customFormat="false" ht="12.75" hidden="false" customHeight="false" outlineLevel="0" collapsed="false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</row>
    <row r="75" customFormat="false" ht="12.75" hidden="false" customHeight="false" outlineLevel="0" collapsed="false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</row>
    <row r="76" customFormat="false" ht="12.75" hidden="false" customHeight="false" outlineLevel="0" collapsed="false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</row>
    <row r="77" customFormat="false" ht="12.75" hidden="false" customHeight="false" outlineLevel="0" collapsed="false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</row>
    <row r="78" customFormat="false" ht="12.75" hidden="false" customHeight="false" outlineLevel="0" collapsed="false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</row>
    <row r="79" customFormat="false" ht="12.75" hidden="false" customHeight="false" outlineLevel="0" collapsed="false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</row>
    <row r="80" customFormat="false" ht="12.75" hidden="false" customHeight="false" outlineLevel="0" collapsed="false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</row>
    <row r="81" customFormat="false" ht="12.75" hidden="false" customHeight="false" outlineLevel="0" collapsed="false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</row>
    <row r="82" customFormat="false" ht="12.75" hidden="false" customHeight="false" outlineLevel="0" collapsed="false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</row>
    <row r="83" customFormat="false" ht="12.75" hidden="false" customHeight="false" outlineLevel="0" collapsed="false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</row>
    <row r="84" customFormat="false" ht="12.75" hidden="false" customHeight="false" outlineLevel="0" collapsed="false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</row>
    <row r="85" customFormat="false" ht="12.75" hidden="false" customHeight="false" outlineLevel="0" collapsed="false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</row>
    <row r="86" customFormat="false" ht="12.75" hidden="false" customHeight="false" outlineLevel="0" collapsed="false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</row>
    <row r="87" customFormat="false" ht="12.75" hidden="false" customHeight="false" outlineLevel="0" collapsed="false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</row>
    <row r="88" customFormat="false" ht="12.75" hidden="false" customHeight="false" outlineLevel="0" collapsed="false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</row>
    <row r="89" customFormat="false" ht="12.75" hidden="false" customHeight="false" outlineLevel="0" collapsed="false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</row>
    <row r="90" customFormat="false" ht="12.75" hidden="false" customHeight="false" outlineLevel="0" collapsed="false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</row>
    <row r="91" customFormat="false" ht="12.75" hidden="false" customHeight="false" outlineLevel="0" collapsed="false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</row>
    <row r="92" customFormat="false" ht="12.75" hidden="false" customHeight="false" outlineLevel="0" collapsed="false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</row>
    <row r="93" customFormat="false" ht="12.75" hidden="false" customHeight="false" outlineLevel="0" collapsed="false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</row>
    <row r="94" customFormat="false" ht="12.75" hidden="false" customHeight="false" outlineLevel="0" collapsed="false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</row>
    <row r="95" customFormat="false" ht="12.75" hidden="false" customHeight="false" outlineLevel="0" collapsed="false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</row>
    <row r="96" customFormat="false" ht="12.75" hidden="false" customHeight="false" outlineLevel="0" collapsed="false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</row>
    <row r="97" customFormat="false" ht="12.75" hidden="false" customHeight="false" outlineLevel="0" collapsed="false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</row>
    <row r="98" customFormat="false" ht="12.75" hidden="false" customHeight="false" outlineLevel="0" collapsed="false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</row>
    <row r="99" customFormat="false" ht="12.75" hidden="false" customHeight="false" outlineLevel="0" collapsed="false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</row>
    <row r="100" customFormat="false" ht="12.75" hidden="false" customHeight="false" outlineLevel="0" collapsed="false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</row>
    <row r="101" customFormat="false" ht="12.75" hidden="false" customHeight="false" outlineLevel="0" collapsed="false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</row>
    <row r="102" customFormat="false" ht="12.75" hidden="false" customHeight="false" outlineLevel="0" collapsed="false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</row>
    <row r="103" customFormat="false" ht="12.75" hidden="false" customHeight="false" outlineLevel="0" collapsed="false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</row>
    <row r="104" customFormat="false" ht="12.75" hidden="false" customHeight="false" outlineLevel="0" collapsed="false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20:G20"/>
    <mergeCell ref="A22:D22"/>
    <mergeCell ref="G22:J22"/>
    <mergeCell ref="A27:D27"/>
    <mergeCell ref="G27:J27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7" width="4.57"/>
    <col collapsed="false" customWidth="true" hidden="false" outlineLevel="0" max="2" min="2" style="87" width="6.57"/>
    <col collapsed="false" customWidth="true" hidden="false" outlineLevel="0" max="3" min="3" style="87" width="16.14"/>
    <col collapsed="false" customWidth="false" hidden="false" outlineLevel="0" max="4" min="4" style="88" width="9.29"/>
    <col collapsed="false" customWidth="true" hidden="false" outlineLevel="0" max="10" min="5" style="88" width="10.29"/>
    <col collapsed="false" customWidth="true" hidden="false" outlineLevel="0" max="11" min="11" style="88" width="8.15"/>
    <col collapsed="false" customWidth="false" hidden="false" outlineLevel="0" max="12" min="12" style="87" width="9.29"/>
    <col collapsed="false" customWidth="true" hidden="false" outlineLevel="0" max="13" min="13" style="87" width="11.71"/>
    <col collapsed="false" customWidth="true" hidden="false" outlineLevel="0" max="14" min="14" style="87" width="8.29"/>
    <col collapsed="false" customWidth="true" hidden="false" outlineLevel="0" max="15" min="15" style="87" width="10.42"/>
    <col collapsed="false" customWidth="false" hidden="false" outlineLevel="0" max="18" min="16" style="87" width="9.29"/>
    <col collapsed="false" customWidth="true" hidden="false" outlineLevel="0" max="19" min="19" style="87" width="5.57"/>
    <col collapsed="false" customWidth="false" hidden="false" outlineLevel="0" max="16384" min="20" style="87" width="9.29"/>
  </cols>
  <sheetData>
    <row r="1" s="90" customFormat="true" ht="16.5" hidden="false" customHeight="true" outlineLevel="0" collapsed="false">
      <c r="A1" s="132" t="s">
        <v>147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="145" customFormat="true" ht="18.75" hidden="false" customHeight="true" outlineLevel="0" collapsed="false">
      <c r="A2" s="144" t="str">
        <f aca="false">"Kèm theo BBNT số: "&amp;VLOOKUP(T2,'Tuyến XB6A'!$A$2:$G$31,7,0)&amp;VLOOKUP(T2,'Tuyến XB6A'!$A$2:$G$31,4,0)</f>
        <v>Kèm theo BBNT số: 27.NĐXB6A/CVXD ngày 19 tháng 09 năm 2026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 t="n">
        <v>27</v>
      </c>
    </row>
    <row r="3" s="116" customFormat="true" ht="17.25" hidden="false" customHeight="true" outlineLevel="0" collapsed="false">
      <c r="A3" s="146" t="s">
        <v>63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47"/>
      <c r="GH3" s="147"/>
      <c r="GI3" s="147"/>
      <c r="GJ3" s="147"/>
      <c r="GK3" s="147"/>
      <c r="GL3" s="147"/>
      <c r="GM3" s="147"/>
      <c r="GN3" s="147"/>
      <c r="GO3" s="147"/>
      <c r="GP3" s="147"/>
      <c r="GQ3" s="147"/>
      <c r="GR3" s="147"/>
      <c r="GS3" s="147"/>
      <c r="GT3" s="147"/>
      <c r="GU3" s="147"/>
      <c r="GV3" s="147"/>
      <c r="GW3" s="147"/>
      <c r="GX3" s="147"/>
      <c r="GY3" s="147"/>
      <c r="GZ3" s="147"/>
      <c r="HA3" s="147"/>
      <c r="HB3" s="147"/>
    </row>
    <row r="4" s="116" customFormat="true" ht="17.25" hidden="false" customHeight="true" outlineLevel="0" collapsed="false">
      <c r="A4" s="146" t="s">
        <v>64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</row>
    <row r="5" s="116" customFormat="true" ht="17.25" hidden="false" customHeight="true" outlineLevel="0" collapsed="false">
      <c r="A5" s="146" t="s">
        <v>65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</row>
    <row r="6" s="116" customFormat="true" ht="17.25" hidden="false" customHeight="true" outlineLevel="0" collapsed="false">
      <c r="A6" s="146" t="s">
        <v>66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47"/>
      <c r="GH6" s="147"/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  <c r="HB6" s="147"/>
    </row>
    <row r="7" s="116" customFormat="true" ht="17.25" hidden="false" customHeight="true" outlineLevel="0" collapsed="false">
      <c r="A7" s="95" t="s">
        <v>67</v>
      </c>
      <c r="B7" s="96"/>
      <c r="C7" s="126"/>
      <c r="D7" s="97" t="str">
        <f aca="false">VLOOKUP(T2,'Tuyến XB6A'!$A$2:$B$31,2,0)</f>
        <v>Rải thảm mặt đường bê tông nhựa C16 - Chiều dày mặt đường đã lèn ép 6cm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</row>
    <row r="8" s="116" customFormat="true" ht="17.25" hidden="false" customHeight="true" outlineLevel="0" collapsed="false">
      <c r="A8" s="95" t="s">
        <v>148</v>
      </c>
      <c r="B8" s="96"/>
      <c r="C8" s="126"/>
      <c r="E8" s="153"/>
      <c r="F8" s="153"/>
      <c r="G8" s="153"/>
      <c r="H8" s="153"/>
      <c r="I8" s="153"/>
      <c r="J8" s="153"/>
      <c r="K8" s="153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  <c r="GF8" s="147"/>
      <c r="GG8" s="147"/>
      <c r="GH8" s="147"/>
      <c r="GI8" s="147"/>
      <c r="GJ8" s="147"/>
      <c r="GK8" s="147"/>
      <c r="GL8" s="147"/>
      <c r="GM8" s="147"/>
      <c r="GN8" s="147"/>
      <c r="GO8" s="147"/>
      <c r="GP8" s="147"/>
      <c r="GQ8" s="147"/>
      <c r="GR8" s="147"/>
      <c r="GS8" s="147"/>
      <c r="GT8" s="147"/>
      <c r="GU8" s="147"/>
      <c r="GV8" s="147"/>
      <c r="GW8" s="147"/>
      <c r="GX8" s="147"/>
      <c r="GY8" s="147"/>
      <c r="GZ8" s="147"/>
      <c r="HA8" s="147"/>
      <c r="HB8" s="147"/>
    </row>
    <row r="9" s="116" customFormat="true" ht="15.75" hidden="false" customHeight="true" outlineLevel="0" collapsed="false">
      <c r="A9" s="95"/>
      <c r="B9" s="96"/>
      <c r="C9" s="126"/>
      <c r="E9" s="153"/>
      <c r="F9" s="153"/>
      <c r="G9" s="153"/>
      <c r="H9" s="153"/>
      <c r="I9" s="153"/>
      <c r="J9" s="153"/>
      <c r="K9" s="153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147"/>
      <c r="FG9" s="147"/>
      <c r="FH9" s="147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47"/>
      <c r="GG9" s="147"/>
      <c r="GH9" s="147"/>
      <c r="GI9" s="147"/>
      <c r="GJ9" s="147"/>
      <c r="GK9" s="147"/>
      <c r="GL9" s="147"/>
      <c r="GM9" s="147"/>
      <c r="GN9" s="147"/>
      <c r="GO9" s="147"/>
      <c r="GP9" s="147"/>
      <c r="GQ9" s="147"/>
      <c r="GR9" s="147"/>
      <c r="GS9" s="147"/>
      <c r="GT9" s="147"/>
      <c r="GU9" s="147"/>
      <c r="GV9" s="147"/>
      <c r="GW9" s="147"/>
      <c r="GX9" s="147"/>
      <c r="GY9" s="147"/>
      <c r="GZ9" s="147"/>
      <c r="HA9" s="147"/>
      <c r="HB9" s="147"/>
    </row>
    <row r="10" s="116" customFormat="true" ht="15.75" hidden="false" customHeight="true" outlineLevel="0" collapsed="false">
      <c r="A10" s="95"/>
      <c r="B10" s="96"/>
      <c r="C10" s="126"/>
      <c r="E10" s="153"/>
      <c r="F10" s="153"/>
      <c r="G10" s="153"/>
      <c r="H10" s="153"/>
      <c r="I10" s="153"/>
      <c r="J10" s="153"/>
      <c r="K10" s="153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47"/>
      <c r="GG10" s="147"/>
      <c r="GH10" s="147"/>
      <c r="GI10" s="147"/>
      <c r="GJ10" s="147"/>
      <c r="GK10" s="147"/>
      <c r="GL10" s="147"/>
      <c r="GM10" s="147"/>
      <c r="GN10" s="147"/>
      <c r="GO10" s="147"/>
      <c r="GP10" s="147"/>
      <c r="GQ10" s="147"/>
      <c r="GR10" s="147"/>
      <c r="GS10" s="147"/>
      <c r="GT10" s="147"/>
      <c r="GU10" s="147"/>
      <c r="GV10" s="147"/>
      <c r="GW10" s="147"/>
      <c r="GX10" s="147"/>
      <c r="GY10" s="147"/>
      <c r="GZ10" s="147"/>
      <c r="HA10" s="147"/>
      <c r="HB10" s="147"/>
    </row>
    <row r="11" s="116" customFormat="true" ht="15.75" hidden="false" customHeight="true" outlineLevel="0" collapsed="false">
      <c r="A11" s="95"/>
      <c r="B11" s="96"/>
      <c r="C11" s="126"/>
      <c r="E11" s="153"/>
      <c r="F11" s="153"/>
      <c r="G11" s="153"/>
      <c r="H11" s="153"/>
      <c r="I11" s="153"/>
      <c r="J11" s="153"/>
      <c r="K11" s="153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  <c r="GF11" s="147"/>
      <c r="GG11" s="147"/>
      <c r="GH11" s="147"/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</row>
    <row r="12" s="116" customFormat="true" ht="15.75" hidden="false" customHeight="true" outlineLevel="0" collapsed="false">
      <c r="A12" s="95"/>
      <c r="B12" s="96"/>
      <c r="C12" s="126"/>
      <c r="E12" s="153"/>
      <c r="F12" s="153"/>
      <c r="G12" s="153"/>
      <c r="H12" s="153"/>
      <c r="I12" s="153"/>
      <c r="J12" s="153"/>
      <c r="K12" s="153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  <c r="GF12" s="147"/>
      <c r="GG12" s="147"/>
      <c r="GH12" s="147"/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</row>
    <row r="13" s="116" customFormat="true" ht="15.75" hidden="false" customHeight="true" outlineLevel="0" collapsed="false">
      <c r="A13" s="95"/>
      <c r="B13" s="96"/>
      <c r="C13" s="126"/>
      <c r="E13" s="153"/>
      <c r="F13" s="153"/>
      <c r="G13" s="153"/>
      <c r="H13" s="153"/>
      <c r="I13" s="153"/>
      <c r="J13" s="153"/>
      <c r="K13" s="153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  <c r="GF13" s="147"/>
      <c r="GG13" s="147"/>
      <c r="GH13" s="147"/>
      <c r="GI13" s="147"/>
      <c r="GJ13" s="147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  <c r="HB13" s="147"/>
    </row>
    <row r="14" s="116" customFormat="true" ht="15.75" hidden="false" customHeight="true" outlineLevel="0" collapsed="false">
      <c r="A14" s="95"/>
      <c r="B14" s="96"/>
      <c r="C14" s="126"/>
      <c r="E14" s="153"/>
      <c r="F14" s="153"/>
      <c r="G14" s="153"/>
      <c r="H14" s="153"/>
      <c r="I14" s="153"/>
      <c r="J14" s="153"/>
      <c r="K14" s="153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</row>
    <row r="15" s="116" customFormat="true" ht="15.75" hidden="false" customHeight="true" outlineLevel="0" collapsed="false">
      <c r="A15" s="95"/>
      <c r="B15" s="96"/>
      <c r="C15" s="126"/>
      <c r="E15" s="153"/>
      <c r="F15" s="153"/>
      <c r="G15" s="153"/>
      <c r="H15" s="153"/>
      <c r="I15" s="153"/>
      <c r="J15" s="153"/>
      <c r="K15" s="153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</row>
    <row r="16" s="116" customFormat="true" ht="15.75" hidden="false" customHeight="true" outlineLevel="0" collapsed="false">
      <c r="A16" s="95"/>
      <c r="B16" s="96"/>
      <c r="C16" s="126"/>
      <c r="E16" s="153"/>
      <c r="F16" s="153"/>
      <c r="G16" s="153"/>
      <c r="H16" s="153"/>
      <c r="I16" s="153"/>
      <c r="J16" s="153"/>
      <c r="K16" s="153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</row>
    <row r="17" s="116" customFormat="true" ht="15.75" hidden="false" customHeight="true" outlineLevel="0" collapsed="false">
      <c r="A17" s="95"/>
      <c r="B17" s="96"/>
      <c r="C17" s="126"/>
      <c r="E17" s="153"/>
      <c r="F17" s="153"/>
      <c r="G17" s="153"/>
      <c r="H17" s="153"/>
      <c r="I17" s="153"/>
      <c r="J17" s="153"/>
      <c r="K17" s="153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  <c r="GF17" s="147"/>
      <c r="GG17" s="147"/>
      <c r="GH17" s="147"/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</row>
    <row r="18" s="116" customFormat="true" ht="15.75" hidden="false" customHeight="true" outlineLevel="0" collapsed="false">
      <c r="A18" s="95"/>
      <c r="B18" s="96"/>
      <c r="C18" s="126"/>
      <c r="E18" s="153"/>
      <c r="F18" s="153"/>
      <c r="G18" s="153"/>
      <c r="H18" s="153"/>
      <c r="I18" s="153"/>
      <c r="J18" s="153"/>
      <c r="K18" s="153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  <c r="GF18" s="147"/>
      <c r="GG18" s="147"/>
      <c r="GH18" s="147"/>
      <c r="GI18" s="147"/>
      <c r="GJ18" s="147"/>
      <c r="GK18" s="147"/>
      <c r="GL18" s="147"/>
      <c r="GM18" s="147"/>
      <c r="GN18" s="147"/>
      <c r="GO18" s="147"/>
      <c r="GP18" s="147"/>
      <c r="GQ18" s="147"/>
      <c r="GR18" s="147"/>
      <c r="GS18" s="147"/>
      <c r="GT18" s="147"/>
      <c r="GU18" s="147"/>
      <c r="GV18" s="147"/>
      <c r="GW18" s="147"/>
      <c r="GX18" s="147"/>
      <c r="GY18" s="147"/>
      <c r="GZ18" s="147"/>
      <c r="HA18" s="147"/>
      <c r="HB18" s="147"/>
    </row>
    <row r="19" s="116" customFormat="true" ht="9" hidden="false" customHeight="true" outlineLevel="0" collapsed="false">
      <c r="A19" s="95"/>
      <c r="B19" s="96"/>
      <c r="C19" s="126"/>
      <c r="E19" s="153"/>
      <c r="F19" s="153"/>
      <c r="G19" s="153"/>
      <c r="H19" s="153"/>
      <c r="I19" s="153"/>
      <c r="J19" s="153"/>
      <c r="K19" s="153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7"/>
      <c r="DZ19" s="147"/>
      <c r="EA19" s="147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7"/>
      <c r="GF19" s="147"/>
      <c r="GG19" s="147"/>
      <c r="GH19" s="147"/>
      <c r="GI19" s="147"/>
      <c r="GJ19" s="147"/>
      <c r="GK19" s="147"/>
      <c r="GL19" s="147"/>
      <c r="GM19" s="147"/>
      <c r="GN19" s="147"/>
      <c r="GO19" s="147"/>
      <c r="GP19" s="147"/>
      <c r="GQ19" s="147"/>
      <c r="GR19" s="147"/>
      <c r="GS19" s="147"/>
      <c r="GT19" s="147"/>
      <c r="GU19" s="147"/>
      <c r="GV19" s="147"/>
      <c r="GW19" s="147"/>
      <c r="GX19" s="147"/>
      <c r="GY19" s="147"/>
      <c r="GZ19" s="147"/>
      <c r="HA19" s="147"/>
      <c r="HB19" s="147"/>
    </row>
    <row r="20" customFormat="false" ht="17.25" hidden="false" customHeight="true" outlineLevel="0" collapsed="false">
      <c r="A20" s="77" t="s">
        <v>69</v>
      </c>
      <c r="B20" s="77" t="s">
        <v>70</v>
      </c>
      <c r="C20" s="77" t="s">
        <v>71</v>
      </c>
      <c r="D20" s="78" t="s">
        <v>72</v>
      </c>
      <c r="E20" s="78"/>
      <c r="F20" s="78"/>
      <c r="G20" s="78"/>
      <c r="H20" s="78"/>
      <c r="I20" s="78"/>
      <c r="J20" s="78" t="s">
        <v>93</v>
      </c>
      <c r="K20" s="78"/>
      <c r="L20" s="78"/>
      <c r="M20" s="78" t="s">
        <v>94</v>
      </c>
      <c r="N20" s="78"/>
      <c r="O20" s="78"/>
      <c r="P20" s="78"/>
      <c r="Q20" s="78"/>
      <c r="R20" s="78"/>
      <c r="S20" s="77" t="s">
        <v>77</v>
      </c>
    </row>
    <row r="21" customFormat="false" ht="30" hidden="false" customHeight="true" outlineLevel="0" collapsed="false">
      <c r="A21" s="77"/>
      <c r="B21" s="77"/>
      <c r="C21" s="77"/>
      <c r="D21" s="62" t="s">
        <v>96</v>
      </c>
      <c r="E21" s="62" t="s">
        <v>97</v>
      </c>
      <c r="F21" s="62" t="s">
        <v>98</v>
      </c>
      <c r="G21" s="62" t="s">
        <v>99</v>
      </c>
      <c r="H21" s="62" t="s">
        <v>100</v>
      </c>
      <c r="I21" s="62" t="s">
        <v>101</v>
      </c>
      <c r="J21" s="62" t="s">
        <v>99</v>
      </c>
      <c r="K21" s="62" t="s">
        <v>100</v>
      </c>
      <c r="L21" s="62" t="s">
        <v>101</v>
      </c>
      <c r="M21" s="62" t="s">
        <v>96</v>
      </c>
      <c r="N21" s="62" t="s">
        <v>97</v>
      </c>
      <c r="O21" s="62" t="s">
        <v>98</v>
      </c>
      <c r="P21" s="62" t="s">
        <v>99</v>
      </c>
      <c r="Q21" s="62" t="s">
        <v>100</v>
      </c>
      <c r="R21" s="62" t="s">
        <v>101</v>
      </c>
      <c r="S21" s="77"/>
    </row>
    <row r="22" customFormat="false" ht="15.75" hidden="false" customHeight="true" outlineLevel="0" collapsed="false">
      <c r="A22" s="83" t="n">
        <f aca="false">'1. PL đường đen'!A12</f>
        <v>1</v>
      </c>
      <c r="B22" s="83" t="str">
        <f aca="false">'1. PL đường đen'!B12</f>
        <v>D3</v>
      </c>
      <c r="C22" s="84" t="n">
        <f aca="false">'1. PL đường đen'!C12</f>
        <v>0</v>
      </c>
      <c r="D22" s="67" t="n">
        <v>3.75</v>
      </c>
      <c r="E22" s="67" t="n">
        <f aca="false">+D22+F22</f>
        <v>3.763</v>
      </c>
      <c r="F22" s="67" t="n">
        <f aca="false">RANDBETWEEN(-20,20)/1000</f>
        <v>0.013</v>
      </c>
      <c r="G22" s="67" t="n">
        <f aca="false">+J22-3.45*2%-(D22-3.45)*6%</f>
        <v>2.732</v>
      </c>
      <c r="H22" s="67" t="n">
        <f aca="false">G22+I22</f>
        <v>2.757</v>
      </c>
      <c r="I22" s="67" t="n">
        <f aca="false">RANDBETWEEN(-30,70)/1000</f>
        <v>0.025</v>
      </c>
      <c r="J22" s="67" t="n">
        <v>2.819</v>
      </c>
      <c r="K22" s="67" t="n">
        <f aca="false">J22+L22</f>
        <v>2.814</v>
      </c>
      <c r="L22" s="67" t="n">
        <f aca="false">RANDBETWEEN(-30,70)/1000</f>
        <v>-0.005</v>
      </c>
      <c r="M22" s="67" t="n">
        <f aca="false">D22</f>
        <v>3.75</v>
      </c>
      <c r="N22" s="67" t="n">
        <f aca="false">+M22+O22</f>
        <v>3.731</v>
      </c>
      <c r="O22" s="67" t="n">
        <f aca="false">RANDBETWEEN(-20,20)/1000</f>
        <v>-0.019</v>
      </c>
      <c r="P22" s="67" t="n">
        <f aca="false">+J22-3.45*2%-(M22-3.45)*6%</f>
        <v>2.732</v>
      </c>
      <c r="Q22" s="67" t="n">
        <f aca="false">P22+R22</f>
        <v>2.745</v>
      </c>
      <c r="R22" s="67" t="n">
        <f aca="false">RANDBETWEEN(-20,20)/1000</f>
        <v>0.013</v>
      </c>
      <c r="S22" s="85"/>
      <c r="T22" s="136"/>
      <c r="V22" s="154"/>
    </row>
    <row r="23" customFormat="false" ht="15.75" hidden="false" customHeight="true" outlineLevel="0" collapsed="false">
      <c r="A23" s="83" t="n">
        <f aca="false">'1. PL đường đen'!A13</f>
        <v>2</v>
      </c>
      <c r="B23" s="83" t="str">
        <f aca="false">'1. PL đường đen'!B13</f>
        <v>1</v>
      </c>
      <c r="C23" s="84" t="n">
        <f aca="false">'1. PL đường đen'!C13</f>
        <v>19.63</v>
      </c>
      <c r="D23" s="67" t="n">
        <f aca="false">+D22</f>
        <v>3.75</v>
      </c>
      <c r="E23" s="67" t="n">
        <f aca="false">+D23+F23</f>
        <v>3.73</v>
      </c>
      <c r="F23" s="67" t="n">
        <f aca="false">RANDBETWEEN(-20,20)/1000</f>
        <v>-0.02</v>
      </c>
      <c r="G23" s="67" t="n">
        <f aca="false">+J23-3.45*2%-(D23-3.45)*6%</f>
        <v>2.732</v>
      </c>
      <c r="H23" s="67" t="n">
        <f aca="false">G23+I23</f>
        <v>2.754</v>
      </c>
      <c r="I23" s="67" t="n">
        <f aca="false">RANDBETWEEN(-30,70)/1000</f>
        <v>0.022</v>
      </c>
      <c r="J23" s="67" t="n">
        <v>2.819</v>
      </c>
      <c r="K23" s="67" t="n">
        <f aca="false">J23+L23</f>
        <v>2.866</v>
      </c>
      <c r="L23" s="67" t="n">
        <f aca="false">RANDBETWEEN(-30,70)/1000</f>
        <v>0.047</v>
      </c>
      <c r="M23" s="67" t="n">
        <f aca="false">D23</f>
        <v>3.75</v>
      </c>
      <c r="N23" s="67" t="n">
        <f aca="false">+M23+O23</f>
        <v>3.75</v>
      </c>
      <c r="O23" s="67" t="n">
        <f aca="false">RANDBETWEEN(-20,20)/1000</f>
        <v>0</v>
      </c>
      <c r="P23" s="67" t="n">
        <f aca="false">+J23-3.45*2%-(M23-3.45)*6%</f>
        <v>2.732</v>
      </c>
      <c r="Q23" s="67" t="n">
        <f aca="false">P23+R23</f>
        <v>2.744</v>
      </c>
      <c r="R23" s="67" t="n">
        <f aca="false">RANDBETWEEN(-20,20)/1000</f>
        <v>0.012</v>
      </c>
      <c r="S23" s="85"/>
      <c r="T23" s="136"/>
      <c r="V23" s="154"/>
    </row>
    <row r="24" customFormat="false" ht="15.75" hidden="false" customHeight="true" outlineLevel="0" collapsed="false">
      <c r="A24" s="83" t="n">
        <f aca="false">'1. PL đường đen'!A14</f>
        <v>3</v>
      </c>
      <c r="B24" s="83" t="str">
        <f aca="false">'1. PL đường đen'!B14</f>
        <v>2</v>
      </c>
      <c r="C24" s="84" t="n">
        <f aca="false">'1. PL đường đen'!C14</f>
        <v>36.8</v>
      </c>
      <c r="D24" s="67" t="n">
        <f aca="false">+D23</f>
        <v>3.75</v>
      </c>
      <c r="E24" s="67" t="n">
        <f aca="false">+D24+F24</f>
        <v>3.758</v>
      </c>
      <c r="F24" s="67" t="n">
        <f aca="false">RANDBETWEEN(-20,20)/1000</f>
        <v>0.008</v>
      </c>
      <c r="G24" s="67" t="n">
        <f aca="false">+J24-3.45*2%-(D24-3.45)*6%</f>
        <v>2.739</v>
      </c>
      <c r="H24" s="67" t="n">
        <f aca="false">G24+I24</f>
        <v>2.715</v>
      </c>
      <c r="I24" s="67" t="n">
        <f aca="false">RANDBETWEEN(-30,70)/1000</f>
        <v>-0.024</v>
      </c>
      <c r="J24" s="67" t="n">
        <v>2.826</v>
      </c>
      <c r="K24" s="67" t="n">
        <f aca="false">J24+L24</f>
        <v>2.822</v>
      </c>
      <c r="L24" s="67" t="n">
        <f aca="false">RANDBETWEEN(-30,70)/1000</f>
        <v>-0.004</v>
      </c>
      <c r="M24" s="67" t="n">
        <f aca="false">D24</f>
        <v>3.75</v>
      </c>
      <c r="N24" s="67" t="n">
        <f aca="false">+M24+O24</f>
        <v>3.732</v>
      </c>
      <c r="O24" s="67" t="n">
        <f aca="false">RANDBETWEEN(-20,20)/1000</f>
        <v>-0.018</v>
      </c>
      <c r="P24" s="67" t="n">
        <f aca="false">+J24-3.45*2%-(M24-3.45)*6%</f>
        <v>2.739</v>
      </c>
      <c r="Q24" s="67" t="n">
        <f aca="false">P24+R24</f>
        <v>2.739</v>
      </c>
      <c r="R24" s="67" t="n">
        <f aca="false">RANDBETWEEN(-20,20)/1000</f>
        <v>0</v>
      </c>
      <c r="S24" s="85"/>
      <c r="T24" s="136"/>
      <c r="V24" s="154"/>
    </row>
    <row r="25" customFormat="false" ht="15.75" hidden="false" customHeight="true" outlineLevel="0" collapsed="false">
      <c r="A25" s="83" t="n">
        <f aca="false">'1. PL đường đen'!A15</f>
        <v>4</v>
      </c>
      <c r="B25" s="83" t="str">
        <f aca="false">'1. PL đường đen'!B15</f>
        <v>3</v>
      </c>
      <c r="C25" s="84" t="n">
        <f aca="false">'1. PL đường đen'!C15</f>
        <v>53.98</v>
      </c>
      <c r="D25" s="67" t="n">
        <f aca="false">+D24</f>
        <v>3.75</v>
      </c>
      <c r="E25" s="67" t="n">
        <f aca="false">+D25+F25</f>
        <v>3.768</v>
      </c>
      <c r="F25" s="67" t="n">
        <f aca="false">RANDBETWEEN(-20,20)/1000</f>
        <v>0.018</v>
      </c>
      <c r="G25" s="67" t="n">
        <f aca="false">+J25-3.45*2%-(D25-3.45)*6%</f>
        <v>2.747</v>
      </c>
      <c r="H25" s="67" t="n">
        <f aca="false">G25+I25</f>
        <v>2.815</v>
      </c>
      <c r="I25" s="67" t="n">
        <f aca="false">RANDBETWEEN(-30,70)/1000</f>
        <v>0.068</v>
      </c>
      <c r="J25" s="67" t="n">
        <v>2.834</v>
      </c>
      <c r="K25" s="67" t="n">
        <f aca="false">J25+L25</f>
        <v>2.871</v>
      </c>
      <c r="L25" s="67" t="n">
        <f aca="false">RANDBETWEEN(-30,70)/1000</f>
        <v>0.037</v>
      </c>
      <c r="M25" s="67" t="n">
        <f aca="false">D25</f>
        <v>3.75</v>
      </c>
      <c r="N25" s="67" t="n">
        <f aca="false">+M25+O25</f>
        <v>3.74</v>
      </c>
      <c r="O25" s="67" t="n">
        <f aca="false">RANDBETWEEN(-20,20)/1000</f>
        <v>-0.01</v>
      </c>
      <c r="P25" s="67" t="n">
        <f aca="false">+J25-3.45*2%-(M25-3.45)*6%</f>
        <v>2.747</v>
      </c>
      <c r="Q25" s="67" t="n">
        <f aca="false">P25+R25</f>
        <v>2.732</v>
      </c>
      <c r="R25" s="67" t="n">
        <f aca="false">RANDBETWEEN(-20,20)/1000</f>
        <v>-0.015</v>
      </c>
      <c r="S25" s="85"/>
      <c r="T25" s="136"/>
      <c r="V25" s="154"/>
    </row>
    <row r="26" customFormat="false" ht="15.75" hidden="false" customHeight="true" outlineLevel="0" collapsed="false">
      <c r="A26" s="83" t="n">
        <f aca="false">'1. PL đường đen'!A16</f>
        <v>5</v>
      </c>
      <c r="B26" s="83" t="str">
        <f aca="false">'1. PL đường đen'!B16</f>
        <v>D2</v>
      </c>
      <c r="C26" s="84" t="n">
        <f aca="false">'1. PL đường đen'!C16</f>
        <v>66.95</v>
      </c>
      <c r="D26" s="67" t="n">
        <f aca="false">+D25</f>
        <v>3.75</v>
      </c>
      <c r="E26" s="67" t="n">
        <f aca="false">+D26+F26</f>
        <v>3.735</v>
      </c>
      <c r="F26" s="67" t="n">
        <f aca="false">RANDBETWEEN(-20,20)/1000</f>
        <v>-0.015</v>
      </c>
      <c r="G26" s="67" t="n">
        <f aca="false">+J26-3.45*2%-(D26-3.45)*6%</f>
        <v>2.753</v>
      </c>
      <c r="H26" s="67" t="n">
        <f aca="false">G26+I26</f>
        <v>2.772</v>
      </c>
      <c r="I26" s="67" t="n">
        <f aca="false">RANDBETWEEN(-30,70)/1000</f>
        <v>0.019</v>
      </c>
      <c r="J26" s="67" t="n">
        <v>2.84</v>
      </c>
      <c r="K26" s="67" t="n">
        <f aca="false">J26+L26</f>
        <v>2.885</v>
      </c>
      <c r="L26" s="67" t="n">
        <f aca="false">RANDBETWEEN(-30,70)/1000</f>
        <v>0.045</v>
      </c>
      <c r="M26" s="67" t="n">
        <f aca="false">D26</f>
        <v>3.75</v>
      </c>
      <c r="N26" s="67" t="n">
        <f aca="false">+M26+O26</f>
        <v>3.753</v>
      </c>
      <c r="O26" s="67" t="n">
        <f aca="false">RANDBETWEEN(-20,20)/1000</f>
        <v>0.003</v>
      </c>
      <c r="P26" s="67" t="n">
        <f aca="false">+J26-3.45*2%-(M26-3.45)*6%</f>
        <v>2.753</v>
      </c>
      <c r="Q26" s="67" t="n">
        <f aca="false">P26+R26</f>
        <v>2.74</v>
      </c>
      <c r="R26" s="67" t="n">
        <f aca="false">RANDBETWEEN(-20,20)/1000</f>
        <v>-0.013</v>
      </c>
      <c r="S26" s="85"/>
      <c r="T26" s="136"/>
      <c r="V26" s="154"/>
    </row>
    <row r="27" customFormat="false" ht="15.75" hidden="false" customHeight="true" outlineLevel="0" collapsed="false">
      <c r="A27" s="83" t="n">
        <f aca="false">'1. PL đường đen'!A17</f>
        <v>6</v>
      </c>
      <c r="B27" s="83" t="str">
        <f aca="false">'1. PL đường đen'!B17</f>
        <v>4</v>
      </c>
      <c r="C27" s="84" t="n">
        <f aca="false">'1. PL đường đen'!C17</f>
        <v>77.63</v>
      </c>
      <c r="D27" s="67" t="n">
        <f aca="false">+D26</f>
        <v>3.75</v>
      </c>
      <c r="E27" s="67" t="n">
        <f aca="false">+D27+F27</f>
        <v>3.733</v>
      </c>
      <c r="F27" s="67" t="n">
        <f aca="false">RANDBETWEEN(-20,20)/1000</f>
        <v>-0.017</v>
      </c>
      <c r="G27" s="67" t="n">
        <f aca="false">+J27-3.45*2%-(D27-3.45)*6%</f>
        <v>2.758</v>
      </c>
      <c r="H27" s="67" t="n">
        <f aca="false">G27+I27</f>
        <v>2.734</v>
      </c>
      <c r="I27" s="67" t="n">
        <f aca="false">RANDBETWEEN(-30,70)/1000</f>
        <v>-0.024</v>
      </c>
      <c r="J27" s="67" t="n">
        <v>2.845</v>
      </c>
      <c r="K27" s="67" t="n">
        <f aca="false">J27+L27</f>
        <v>2.88</v>
      </c>
      <c r="L27" s="67" t="n">
        <f aca="false">RANDBETWEEN(-30,70)/1000</f>
        <v>0.035</v>
      </c>
      <c r="M27" s="67" t="n">
        <f aca="false">D27</f>
        <v>3.75</v>
      </c>
      <c r="N27" s="67" t="n">
        <f aca="false">+M27+O27</f>
        <v>3.764</v>
      </c>
      <c r="O27" s="67" t="n">
        <f aca="false">RANDBETWEEN(-20,20)/1000</f>
        <v>0.014</v>
      </c>
      <c r="P27" s="67" t="n">
        <f aca="false">+J27-3.45*2%-(M27-3.45)*6%</f>
        <v>2.758</v>
      </c>
      <c r="Q27" s="67" t="n">
        <f aca="false">P27+R27</f>
        <v>2.764</v>
      </c>
      <c r="R27" s="67" t="n">
        <f aca="false">RANDBETWEEN(-20,20)/1000</f>
        <v>0.006</v>
      </c>
      <c r="S27" s="85"/>
      <c r="T27" s="136"/>
      <c r="V27" s="154"/>
    </row>
    <row r="28" customFormat="false" ht="15.75" hidden="false" customHeight="true" outlineLevel="0" collapsed="false">
      <c r="A28" s="83" t="n">
        <f aca="false">'1. PL đường đen'!A18</f>
        <v>7</v>
      </c>
      <c r="B28" s="83" t="str">
        <f aca="false">'1. PL đường đen'!B18</f>
        <v>5</v>
      </c>
      <c r="C28" s="84" t="n">
        <f aca="false">'1. PL đường đen'!C18</f>
        <v>94.8</v>
      </c>
      <c r="D28" s="67" t="n">
        <f aca="false">+D27</f>
        <v>3.75</v>
      </c>
      <c r="E28" s="67" t="n">
        <f aca="false">+D28+F28</f>
        <v>3.759</v>
      </c>
      <c r="F28" s="67" t="n">
        <f aca="false">RANDBETWEEN(-20,20)/1000</f>
        <v>0.009</v>
      </c>
      <c r="G28" s="67" t="n">
        <f aca="false">+J28-3.45*2%-(D28-3.45)*6%</f>
        <v>2.767</v>
      </c>
      <c r="H28" s="67" t="n">
        <f aca="false">G28+I28</f>
        <v>2.787</v>
      </c>
      <c r="I28" s="67" t="n">
        <f aca="false">RANDBETWEEN(-30,70)/1000</f>
        <v>0.02</v>
      </c>
      <c r="J28" s="67" t="n">
        <v>2.854</v>
      </c>
      <c r="K28" s="67" t="n">
        <f aca="false">J28+L28</f>
        <v>2.859</v>
      </c>
      <c r="L28" s="67" t="n">
        <f aca="false">RANDBETWEEN(-30,70)/1000</f>
        <v>0.005</v>
      </c>
      <c r="M28" s="67" t="n">
        <f aca="false">D28</f>
        <v>3.75</v>
      </c>
      <c r="N28" s="67" t="n">
        <f aca="false">+M28+O28</f>
        <v>3.764</v>
      </c>
      <c r="O28" s="67" t="n">
        <f aca="false">RANDBETWEEN(-20,20)/1000</f>
        <v>0.014</v>
      </c>
      <c r="P28" s="67" t="n">
        <f aca="false">+J28-3.45*2%-(M28-3.45)*6%</f>
        <v>2.767</v>
      </c>
      <c r="Q28" s="67" t="n">
        <f aca="false">P28+R28</f>
        <v>2.758</v>
      </c>
      <c r="R28" s="67" t="n">
        <f aca="false">RANDBETWEEN(-20,20)/1000</f>
        <v>-0.009</v>
      </c>
      <c r="S28" s="85"/>
      <c r="T28" s="136"/>
      <c r="V28" s="154"/>
    </row>
    <row r="29" customFormat="false" ht="15.75" hidden="false" customHeight="true" outlineLevel="0" collapsed="false">
      <c r="A29" s="83" t="n">
        <f aca="false">'1. PL đường đen'!A19</f>
        <v>8</v>
      </c>
      <c r="B29" s="83" t="str">
        <f aca="false">'1. PL đường đen'!B19</f>
        <v>6</v>
      </c>
      <c r="C29" s="84" t="n">
        <f aca="false">'1. PL đường đen'!C19</f>
        <v>111.97</v>
      </c>
      <c r="D29" s="67" t="n">
        <f aca="false">+D28</f>
        <v>3.75</v>
      </c>
      <c r="E29" s="67" t="n">
        <f aca="false">+D29+F29</f>
        <v>3.746</v>
      </c>
      <c r="F29" s="67" t="n">
        <f aca="false">RANDBETWEEN(-20,20)/1000</f>
        <v>-0.004</v>
      </c>
      <c r="G29" s="67" t="n">
        <f aca="false">+J29-3.45*2%-(D29-3.45)*6%</f>
        <v>2.776</v>
      </c>
      <c r="H29" s="67" t="n">
        <f aca="false">G29+I29</f>
        <v>2.777</v>
      </c>
      <c r="I29" s="67" t="n">
        <f aca="false">RANDBETWEEN(-30,70)/1000</f>
        <v>0.001</v>
      </c>
      <c r="J29" s="67" t="n">
        <v>2.863</v>
      </c>
      <c r="K29" s="67" t="n">
        <f aca="false">J29+L29</f>
        <v>2.866</v>
      </c>
      <c r="L29" s="67" t="n">
        <f aca="false">RANDBETWEEN(-30,70)/1000</f>
        <v>0.003</v>
      </c>
      <c r="M29" s="67" t="n">
        <f aca="false">D29</f>
        <v>3.75</v>
      </c>
      <c r="N29" s="67" t="n">
        <f aca="false">+M29+O29</f>
        <v>3.744</v>
      </c>
      <c r="O29" s="67" t="n">
        <f aca="false">RANDBETWEEN(-20,20)/1000</f>
        <v>-0.006</v>
      </c>
      <c r="P29" s="67" t="n">
        <f aca="false">+J29-3.45*2%-(M29-3.45)*6%</f>
        <v>2.776</v>
      </c>
      <c r="Q29" s="67" t="n">
        <f aca="false">P29+R29</f>
        <v>2.792</v>
      </c>
      <c r="R29" s="67" t="n">
        <f aca="false">RANDBETWEEN(-20,20)/1000</f>
        <v>0.016</v>
      </c>
      <c r="S29" s="85"/>
      <c r="T29" s="136"/>
      <c r="V29" s="154"/>
    </row>
    <row r="30" customFormat="false" ht="15.75" hidden="false" customHeight="true" outlineLevel="0" collapsed="false">
      <c r="A30" s="83" t="n">
        <f aca="false">'1. PL đường đen'!A20</f>
        <v>9</v>
      </c>
      <c r="B30" s="83" t="str">
        <f aca="false">'1. PL đường đen'!B20</f>
        <v>D1</v>
      </c>
      <c r="C30" s="84" t="n">
        <f aca="false">'1. PL đường đen'!C20</f>
        <v>126.46</v>
      </c>
      <c r="D30" s="67" t="n">
        <f aca="false">+D29</f>
        <v>3.75</v>
      </c>
      <c r="E30" s="67" t="n">
        <f aca="false">+D30+F30</f>
        <v>3.75</v>
      </c>
      <c r="F30" s="67" t="n">
        <f aca="false">RANDBETWEEN(-20,20)/1000</f>
        <v>0</v>
      </c>
      <c r="G30" s="67" t="n">
        <f aca="false">+J30-3.45*2%-(D30-3.45)*6%</f>
        <v>2.776</v>
      </c>
      <c r="H30" s="67" t="n">
        <f aca="false">G30+I30</f>
        <v>2.776</v>
      </c>
      <c r="I30" s="67" t="n">
        <f aca="false">RANDBETWEEN(-30,70)/1000</f>
        <v>0</v>
      </c>
      <c r="J30" s="67" t="n">
        <v>2.863</v>
      </c>
      <c r="K30" s="67" t="n">
        <f aca="false">J30+L30</f>
        <v>2.88</v>
      </c>
      <c r="L30" s="67" t="n">
        <f aca="false">RANDBETWEEN(-30,70)/1000</f>
        <v>0.017</v>
      </c>
      <c r="M30" s="67" t="n">
        <f aca="false">D30</f>
        <v>3.75</v>
      </c>
      <c r="N30" s="67" t="n">
        <f aca="false">+M30+O30</f>
        <v>3.74</v>
      </c>
      <c r="O30" s="67" t="n">
        <f aca="false">RANDBETWEEN(-20,20)/1000</f>
        <v>-0.01</v>
      </c>
      <c r="P30" s="67" t="n">
        <f aca="false">+J30-3.45*2%-(M30-3.45)*6%</f>
        <v>2.776</v>
      </c>
      <c r="Q30" s="67" t="n">
        <f aca="false">P30+R30</f>
        <v>2.783</v>
      </c>
      <c r="R30" s="67" t="n">
        <f aca="false">RANDBETWEEN(-20,20)/1000</f>
        <v>0.007</v>
      </c>
      <c r="S30" s="85"/>
      <c r="T30" s="136"/>
      <c r="V30" s="154"/>
    </row>
    <row r="31" customFormat="false" ht="12.75" hidden="false" customHeight="fals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  <row r="32" customFormat="false" ht="14.25" hidden="false" customHeight="true" outlineLevel="0" collapsed="false">
      <c r="A32" s="71" t="s">
        <v>90</v>
      </c>
      <c r="B32" s="71"/>
      <c r="C32" s="71"/>
      <c r="D32" s="71"/>
      <c r="E32" s="71"/>
      <c r="F32" s="71"/>
      <c r="G32" s="71"/>
      <c r="H32" s="71"/>
      <c r="I32" s="86"/>
      <c r="J32" s="71" t="s">
        <v>91</v>
      </c>
      <c r="K32" s="71"/>
      <c r="L32" s="71"/>
      <c r="M32" s="71"/>
      <c r="N32" s="71"/>
      <c r="O32" s="71"/>
      <c r="P32" s="71"/>
      <c r="Q32" s="71"/>
      <c r="R32" s="71"/>
      <c r="S32" s="71"/>
      <c r="T32" s="86"/>
      <c r="U32" s="86"/>
      <c r="V32" s="86"/>
      <c r="W32" s="86"/>
      <c r="X32" s="86"/>
      <c r="Y32" s="86"/>
    </row>
    <row r="33" customFormat="false" ht="15" hidden="false" customHeight="true" outlineLevel="0" collapsed="false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customFormat="false" ht="15" hidden="false" customHeight="true" outlineLevel="0" collapsed="false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customFormat="false" ht="15" hidden="false" customHeight="true" outlineLevel="0" collapsed="false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customFormat="false" ht="15" hidden="false" customHeight="true" outlineLevel="0" collapsed="false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customFormat="false" ht="14.25" hidden="false" customHeight="true" outlineLevel="0" collapsed="false">
      <c r="A37" s="71" t="s">
        <v>29</v>
      </c>
      <c r="B37" s="71"/>
      <c r="C37" s="71"/>
      <c r="D37" s="71"/>
      <c r="E37" s="71"/>
      <c r="F37" s="71"/>
      <c r="G37" s="71"/>
      <c r="H37" s="71"/>
      <c r="I37" s="86"/>
      <c r="J37" s="71" t="s">
        <v>146</v>
      </c>
      <c r="K37" s="71"/>
      <c r="L37" s="71"/>
      <c r="M37" s="71"/>
      <c r="N37" s="71"/>
      <c r="O37" s="71"/>
      <c r="P37" s="71"/>
      <c r="Q37" s="71"/>
      <c r="R37" s="71"/>
      <c r="S37" s="71"/>
      <c r="T37" s="86"/>
      <c r="U37" s="86"/>
      <c r="V37" s="86"/>
      <c r="W37" s="86"/>
      <c r="X37" s="86"/>
      <c r="Y37" s="86"/>
    </row>
    <row r="38" customFormat="false" ht="12.75" hidden="false" customHeight="fals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</row>
    <row r="39" customFormat="false" ht="12.75" hidden="false" customHeight="fals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</row>
    <row r="40" customFormat="false" ht="12.75" hidden="false" customHeight="fals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</row>
    <row r="41" customFormat="false" ht="12.75" hidden="false" customHeight="fals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</row>
    <row r="42" customFormat="false" ht="12.75" hidden="false" customHeight="fals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</row>
    <row r="43" customFormat="false" ht="12.75" hidden="false" customHeight="fals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32:H32"/>
    <mergeCell ref="J32:S32"/>
    <mergeCell ref="A37:H37"/>
    <mergeCell ref="J37:S37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7" width="4.57"/>
    <col collapsed="false" customWidth="true" hidden="false" outlineLevel="0" max="2" min="2" style="87" width="6.57"/>
    <col collapsed="false" customWidth="true" hidden="false" outlineLevel="0" max="3" min="3" style="87" width="11.71"/>
    <col collapsed="false" customWidth="true" hidden="false" outlineLevel="0" max="4" min="4" style="88" width="6.57"/>
    <col collapsed="false" customWidth="true" hidden="false" outlineLevel="0" max="5" min="5" style="88" width="10.29"/>
    <col collapsed="false" customWidth="true" hidden="false" outlineLevel="0" max="6" min="6" style="88" width="7.57"/>
    <col collapsed="false" customWidth="true" hidden="false" outlineLevel="0" max="7" min="7" style="88" width="9"/>
    <col collapsed="false" customWidth="true" hidden="false" outlineLevel="0" max="9" min="8" style="88" width="10.29"/>
    <col collapsed="false" customWidth="true" hidden="false" outlineLevel="0" max="10" min="10" style="88" width="8.71"/>
    <col collapsed="false" customWidth="true" hidden="false" outlineLevel="0" max="11" min="11" style="88" width="4.86"/>
    <col collapsed="false" customWidth="false" hidden="false" outlineLevel="0" max="12" min="12" style="87" width="9.29"/>
    <col collapsed="false" customWidth="true" hidden="false" outlineLevel="0" max="13" min="13" style="87" width="11.85"/>
    <col collapsed="false" customWidth="true" hidden="false" outlineLevel="0" max="14" min="14" style="87" width="6.71"/>
    <col collapsed="false" customWidth="true" hidden="false" outlineLevel="0" max="15" min="15" style="87" width="10.42"/>
    <col collapsed="false" customWidth="true" hidden="false" outlineLevel="0" max="16" min="16" style="87" width="12.15"/>
    <col collapsed="false" customWidth="false" hidden="false" outlineLevel="0" max="16384" min="17" style="87" width="9.29"/>
  </cols>
  <sheetData>
    <row r="1" s="90" customFormat="true" ht="16.5" hidden="false" customHeight="true" outlineLevel="0" collapsed="false">
      <c r="A1" s="132" t="s">
        <v>105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="145" customFormat="true" ht="15.75" hidden="false" customHeight="true" outlineLevel="0" collapsed="false">
      <c r="A2" s="144" t="str">
        <f aca="false">"Kèm theo BBNT số: "&amp;VLOOKUP(L2,'Tuyến XB6A'!$A$2:$G$31,7,0)&amp;VLOOKUP(L2,'Tuyến XB6A'!$A$2:$G$31,4,0)</f>
        <v>Kèm theo BBNT số: 28.NĐXB6A/CVXD ngày 21 tháng 09 năm 2026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5" t="n">
        <v>28</v>
      </c>
    </row>
    <row r="3" s="116" customFormat="true" ht="15.75" hidden="false" customHeight="true" outlineLevel="0" collapsed="false">
      <c r="A3" s="146" t="s">
        <v>63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47"/>
      <c r="GH3" s="147"/>
      <c r="GI3" s="147"/>
      <c r="GJ3" s="147"/>
      <c r="GK3" s="147"/>
      <c r="GL3" s="147"/>
      <c r="GM3" s="147"/>
      <c r="GN3" s="147"/>
      <c r="GO3" s="147"/>
      <c r="GP3" s="147"/>
      <c r="GQ3" s="147"/>
      <c r="GR3" s="147"/>
      <c r="GS3" s="147"/>
      <c r="GT3" s="147"/>
      <c r="GU3" s="147"/>
      <c r="GV3" s="147"/>
      <c r="GW3" s="147"/>
      <c r="GX3" s="147"/>
      <c r="GY3" s="147"/>
      <c r="GZ3" s="147"/>
      <c r="HA3" s="147"/>
      <c r="HB3" s="147"/>
      <c r="HC3" s="147"/>
      <c r="HD3" s="147"/>
      <c r="HE3" s="147"/>
    </row>
    <row r="4" s="116" customFormat="true" ht="33" hidden="false" customHeight="true" outlineLevel="0" collapsed="false">
      <c r="A4" s="146" t="s">
        <v>64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</row>
    <row r="5" s="116" customFormat="true" ht="15.75" hidden="false" customHeight="true" outlineLevel="0" collapsed="false">
      <c r="A5" s="146" t="s">
        <v>65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</row>
    <row r="6" s="116" customFormat="true" ht="15.75" hidden="false" customHeight="true" outlineLevel="0" collapsed="false">
      <c r="A6" s="146" t="s">
        <v>66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47"/>
      <c r="GH6" s="147"/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  <c r="HB6" s="147"/>
      <c r="HC6" s="147"/>
      <c r="HD6" s="147"/>
      <c r="HE6" s="147"/>
    </row>
    <row r="7" s="116" customFormat="true" ht="29.25" hidden="false" customHeight="true" outlineLevel="0" collapsed="false">
      <c r="A7" s="95" t="s">
        <v>67</v>
      </c>
      <c r="B7" s="96"/>
      <c r="C7" s="126"/>
      <c r="D7" s="97" t="str">
        <f aca="false">VLOOKUP(L2,'Tuyến XB6A'!$A$2:$B$31,2,0)</f>
        <v>Bê tông nhựa C16 - Chiều dày mặt đường đã lèn ép 6cm</v>
      </c>
      <c r="E7" s="97"/>
      <c r="F7" s="97"/>
      <c r="G7" s="97"/>
      <c r="H7" s="97"/>
      <c r="I7" s="97"/>
      <c r="J7" s="97"/>
      <c r="K7" s="9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</row>
    <row r="8" s="147" customFormat="true" ht="18" hidden="false" customHeight="true" outlineLevel="0" collapsed="false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 s="105" customFormat="true" ht="22.5" hidden="false" customHeight="true" outlineLevel="0" collapsed="false">
      <c r="A9" s="99" t="s">
        <v>5</v>
      </c>
      <c r="B9" s="149" t="s">
        <v>139</v>
      </c>
      <c r="C9" s="99" t="s">
        <v>71</v>
      </c>
      <c r="D9" s="100" t="s">
        <v>106</v>
      </c>
      <c r="E9" s="100" t="s">
        <v>140</v>
      </c>
      <c r="F9" s="100"/>
      <c r="G9" s="100"/>
      <c r="H9" s="100" t="s">
        <v>141</v>
      </c>
      <c r="I9" s="100"/>
      <c r="J9" s="100"/>
      <c r="K9" s="104" t="s">
        <v>110</v>
      </c>
    </row>
    <row r="10" s="107" customFormat="true" ht="36" hidden="false" customHeight="true" outlineLevel="0" collapsed="false">
      <c r="A10" s="99"/>
      <c r="B10" s="99"/>
      <c r="C10" s="99"/>
      <c r="D10" s="99"/>
      <c r="E10" s="104" t="s">
        <v>142</v>
      </c>
      <c r="F10" s="104" t="s">
        <v>143</v>
      </c>
      <c r="G10" s="104" t="s">
        <v>144</v>
      </c>
      <c r="H10" s="104" t="s">
        <v>142</v>
      </c>
      <c r="I10" s="104" t="s">
        <v>143</v>
      </c>
      <c r="J10" s="104" t="s">
        <v>145</v>
      </c>
      <c r="K10" s="104"/>
      <c r="L10" s="106"/>
      <c r="M10" s="106"/>
    </row>
    <row r="11" s="107" customFormat="true" ht="15" hidden="false" customHeight="true" outlineLevel="0" collapsed="false">
      <c r="A11" s="83" t="n">
        <v>1</v>
      </c>
      <c r="B11" s="83" t="str">
        <f aca="false">'1. PL đường đen'!B12</f>
        <v>D3</v>
      </c>
      <c r="C11" s="65" t="n">
        <v>0</v>
      </c>
      <c r="D11" s="83" t="n">
        <f aca="false">'1. PL đường đen'!T12</f>
        <v>19.63</v>
      </c>
      <c r="E11" s="134" t="n">
        <v>7.5</v>
      </c>
      <c r="F11" s="134" t="n">
        <f aca="false">+E11+G11</f>
        <v>7.527</v>
      </c>
      <c r="G11" s="67" t="n">
        <f aca="false">RANDBETWEEN(-30,110)/1000</f>
        <v>0.027</v>
      </c>
      <c r="H11" s="109" t="n">
        <f aca="false">+(E11+E12)/2*D11</f>
        <v>147.225</v>
      </c>
      <c r="I11" s="109" t="n">
        <f aca="false">+(F11+F12)/2*D11</f>
        <v>147.83353</v>
      </c>
      <c r="J11" s="109" t="n">
        <f aca="false">+I11-H11</f>
        <v>0.608530000000002</v>
      </c>
      <c r="K11" s="110"/>
      <c r="M11" s="111"/>
    </row>
    <row r="12" s="107" customFormat="true" ht="15" hidden="false" customHeight="true" outlineLevel="0" collapsed="false">
      <c r="A12" s="83" t="n">
        <v>2</v>
      </c>
      <c r="B12" s="83" t="str">
        <f aca="false">'1. PL đường đen'!B13</f>
        <v>1</v>
      </c>
      <c r="C12" s="65" t="n">
        <f aca="false">C11+D11</f>
        <v>19.63</v>
      </c>
      <c r="D12" s="83" t="n">
        <f aca="false">'1. PL đường đen'!T13</f>
        <v>17.17</v>
      </c>
      <c r="E12" s="134" t="n">
        <v>7.5</v>
      </c>
      <c r="F12" s="134" t="n">
        <f aca="false">+E12+G12</f>
        <v>7.535</v>
      </c>
      <c r="G12" s="67" t="n">
        <f aca="false">RANDBETWEEN(-30,110)/1000</f>
        <v>0.035</v>
      </c>
      <c r="H12" s="109" t="n">
        <f aca="false">+(E12+E13)/2*D12</f>
        <v>128.775</v>
      </c>
      <c r="I12" s="109" t="n">
        <f aca="false">+(F12+F13)/2*D12</f>
        <v>129.693595</v>
      </c>
      <c r="J12" s="109" t="n">
        <f aca="false">+I12-H12</f>
        <v>0.918595000000011</v>
      </c>
      <c r="K12" s="110"/>
      <c r="M12" s="111"/>
    </row>
    <row r="13" s="107" customFormat="true" ht="15" hidden="false" customHeight="true" outlineLevel="0" collapsed="false">
      <c r="A13" s="83" t="n">
        <v>3</v>
      </c>
      <c r="B13" s="83" t="str">
        <f aca="false">'1. PL đường đen'!B14</f>
        <v>2</v>
      </c>
      <c r="C13" s="65" t="n">
        <f aca="false">C12+D12</f>
        <v>36.8</v>
      </c>
      <c r="D13" s="83" t="n">
        <f aca="false">'1. PL đường đen'!T14</f>
        <v>17.18</v>
      </c>
      <c r="E13" s="134" t="n">
        <v>7.5</v>
      </c>
      <c r="F13" s="134" t="n">
        <f aca="false">+E13+G13</f>
        <v>7.572</v>
      </c>
      <c r="G13" s="67" t="n">
        <f aca="false">RANDBETWEEN(-30,110)/1000</f>
        <v>0.072</v>
      </c>
      <c r="H13" s="109" t="n">
        <f aca="false">+(E13+E14)/2*D13</f>
        <v>128.85</v>
      </c>
      <c r="I13" s="109" t="n">
        <f aca="false">+(F13+F14)/2*D13</f>
        <v>129.97529</v>
      </c>
      <c r="J13" s="109" t="n">
        <f aca="false">+I13-H13</f>
        <v>1.12529000000001</v>
      </c>
      <c r="K13" s="110"/>
      <c r="M13" s="111"/>
    </row>
    <row r="14" s="107" customFormat="true" ht="15" hidden="false" customHeight="true" outlineLevel="0" collapsed="false">
      <c r="A14" s="83" t="n">
        <v>4</v>
      </c>
      <c r="B14" s="83" t="str">
        <f aca="false">'1. PL đường đen'!B15</f>
        <v>3</v>
      </c>
      <c r="C14" s="65" t="n">
        <f aca="false">C13+D13</f>
        <v>53.98</v>
      </c>
      <c r="D14" s="83" t="n">
        <f aca="false">'1. PL đường đen'!T15</f>
        <v>12.97</v>
      </c>
      <c r="E14" s="134" t="n">
        <v>7.5</v>
      </c>
      <c r="F14" s="134" t="n">
        <f aca="false">+E14+G14</f>
        <v>7.559</v>
      </c>
      <c r="G14" s="67" t="n">
        <f aca="false">RANDBETWEEN(-30,110)/1000</f>
        <v>0.059</v>
      </c>
      <c r="H14" s="109" t="n">
        <f aca="false">+(E14+E15)/2*D14</f>
        <v>97.275</v>
      </c>
      <c r="I14" s="109" t="n">
        <f aca="false">+(F14+F15)/2*D14</f>
        <v>97.98835</v>
      </c>
      <c r="J14" s="109" t="n">
        <f aca="false">+I14-H14</f>
        <v>0.713349999999991</v>
      </c>
      <c r="K14" s="110"/>
      <c r="M14" s="111"/>
    </row>
    <row r="15" s="107" customFormat="true" ht="15" hidden="false" customHeight="true" outlineLevel="0" collapsed="false">
      <c r="A15" s="83" t="n">
        <v>5</v>
      </c>
      <c r="B15" s="83" t="str">
        <f aca="false">'1. PL đường đen'!B16</f>
        <v>D2</v>
      </c>
      <c r="C15" s="65" t="n">
        <f aca="false">C14+D14</f>
        <v>66.95</v>
      </c>
      <c r="D15" s="83" t="n">
        <f aca="false">'1. PL đường đen'!T16</f>
        <v>10.68</v>
      </c>
      <c r="E15" s="134" t="n">
        <v>7.5</v>
      </c>
      <c r="F15" s="134" t="n">
        <f aca="false">+E15+G15</f>
        <v>7.551</v>
      </c>
      <c r="G15" s="67" t="n">
        <f aca="false">RANDBETWEEN(-30,110)/1000</f>
        <v>0.051</v>
      </c>
      <c r="H15" s="109" t="n">
        <f aca="false">+(E15+E16)/2*D15</f>
        <v>80.1</v>
      </c>
      <c r="I15" s="109" t="n">
        <f aca="false">+(F15+F16)/2*D15</f>
        <v>80.90634</v>
      </c>
      <c r="J15" s="109" t="n">
        <f aca="false">+I15-H15</f>
        <v>0.806340000000006</v>
      </c>
      <c r="K15" s="110"/>
      <c r="M15" s="111"/>
    </row>
    <row r="16" s="107" customFormat="true" ht="15" hidden="false" customHeight="true" outlineLevel="0" collapsed="false">
      <c r="A16" s="83" t="n">
        <v>6</v>
      </c>
      <c r="B16" s="83" t="str">
        <f aca="false">'1. PL đường đen'!B17</f>
        <v>4</v>
      </c>
      <c r="C16" s="65" t="n">
        <f aca="false">C15+D15</f>
        <v>77.63</v>
      </c>
      <c r="D16" s="83" t="n">
        <f aca="false">'1. PL đường đen'!T17</f>
        <v>17.17</v>
      </c>
      <c r="E16" s="134" t="n">
        <v>7.5</v>
      </c>
      <c r="F16" s="134" t="n">
        <f aca="false">+E16+G16</f>
        <v>7.6</v>
      </c>
      <c r="G16" s="67" t="n">
        <f aca="false">RANDBETWEEN(-30,110)/1000</f>
        <v>0.1</v>
      </c>
      <c r="H16" s="109" t="n">
        <f aca="false">+(E16+E17)/2*D16</f>
        <v>128.775</v>
      </c>
      <c r="I16" s="109" t="n">
        <f aca="false">+(F16+F17)/2*D16</f>
        <v>129.693595</v>
      </c>
      <c r="J16" s="109" t="n">
        <f aca="false">+I16-H16</f>
        <v>0.918595000000011</v>
      </c>
      <c r="K16" s="110"/>
      <c r="M16" s="111"/>
    </row>
    <row r="17" s="107" customFormat="true" ht="15" hidden="false" customHeight="true" outlineLevel="0" collapsed="false">
      <c r="A17" s="83" t="n">
        <v>7</v>
      </c>
      <c r="B17" s="83" t="str">
        <f aca="false">'1. PL đường đen'!B18</f>
        <v>5</v>
      </c>
      <c r="C17" s="65" t="n">
        <f aca="false">C16+D16</f>
        <v>94.8</v>
      </c>
      <c r="D17" s="83" t="n">
        <f aca="false">'1. PL đường đen'!T18</f>
        <v>17.17</v>
      </c>
      <c r="E17" s="134" t="n">
        <v>7.5</v>
      </c>
      <c r="F17" s="134" t="n">
        <f aca="false">+E17+G17</f>
        <v>7.507</v>
      </c>
      <c r="G17" s="67" t="n">
        <f aca="false">RANDBETWEEN(-30,110)/1000</f>
        <v>0.007</v>
      </c>
      <c r="H17" s="109" t="n">
        <f aca="false">+(E17+E18)/2*D17</f>
        <v>128.775</v>
      </c>
      <c r="I17" s="109" t="n">
        <f aca="false">+(F17+F18)/2*D17</f>
        <v>128.9467</v>
      </c>
      <c r="J17" s="109" t="n">
        <f aca="false">+I17-H17</f>
        <v>0.171700000000016</v>
      </c>
      <c r="K17" s="110"/>
      <c r="M17" s="111"/>
    </row>
    <row r="18" s="107" customFormat="true" ht="15" hidden="false" customHeight="true" outlineLevel="0" collapsed="false">
      <c r="A18" s="83" t="n">
        <v>8</v>
      </c>
      <c r="B18" s="83" t="str">
        <f aca="false">'1. PL đường đen'!B19</f>
        <v>6</v>
      </c>
      <c r="C18" s="65" t="n">
        <f aca="false">C17+D17</f>
        <v>111.97</v>
      </c>
      <c r="D18" s="83" t="n">
        <f aca="false">'1. PL đường đen'!T19</f>
        <v>14.49</v>
      </c>
      <c r="E18" s="134" t="n">
        <v>7.5</v>
      </c>
      <c r="F18" s="134" t="n">
        <f aca="false">+E18+G18</f>
        <v>7.513</v>
      </c>
      <c r="G18" s="67" t="n">
        <f aca="false">RANDBETWEEN(-30,110)/1000</f>
        <v>0.013</v>
      </c>
      <c r="H18" s="109" t="n">
        <f aca="false">+(E18+E19)/2*D18</f>
        <v>108.675</v>
      </c>
      <c r="I18" s="109" t="n">
        <f aca="false">+(F18+F19)/2*D18</f>
        <v>108.63153</v>
      </c>
      <c r="J18" s="109" t="n">
        <f aca="false">+I18-H18</f>
        <v>-0.0434699999999992</v>
      </c>
      <c r="K18" s="110"/>
      <c r="M18" s="111"/>
    </row>
    <row r="19" s="107" customFormat="true" ht="15" hidden="false" customHeight="true" outlineLevel="0" collapsed="false">
      <c r="A19" s="83" t="n">
        <v>9</v>
      </c>
      <c r="B19" s="83" t="str">
        <f aca="false">'1. PL đường đen'!B20</f>
        <v>D1</v>
      </c>
      <c r="C19" s="65" t="n">
        <f aca="false">C18+D18</f>
        <v>126.46</v>
      </c>
      <c r="D19" s="83"/>
      <c r="E19" s="134" t="n">
        <v>7.5</v>
      </c>
      <c r="F19" s="134" t="n">
        <f aca="false">+E19+G19</f>
        <v>7.481</v>
      </c>
      <c r="G19" s="67" t="n">
        <f aca="false">RANDBETWEEN(-30,110)/1000</f>
        <v>-0.019</v>
      </c>
      <c r="H19" s="109"/>
      <c r="I19" s="109"/>
      <c r="J19" s="109"/>
      <c r="K19" s="110"/>
      <c r="M19" s="111"/>
    </row>
    <row r="20" customFormat="false" ht="15" hidden="false" customHeight="true" outlineLevel="0" collapsed="false">
      <c r="A20" s="99" t="s">
        <v>116</v>
      </c>
      <c r="B20" s="99"/>
      <c r="C20" s="99"/>
      <c r="D20" s="99"/>
      <c r="E20" s="99"/>
      <c r="F20" s="99"/>
      <c r="G20" s="99"/>
      <c r="H20" s="150" t="n">
        <f aca="false">SUM(H11:H19)</f>
        <v>948.45</v>
      </c>
      <c r="I20" s="150" t="n">
        <f aca="false">SUM(I11:I19)</f>
        <v>953.66893</v>
      </c>
      <c r="J20" s="114" t="n">
        <f aca="false">+I20-H20</f>
        <v>5.21893000000011</v>
      </c>
      <c r="K20" s="115"/>
      <c r="M20" s="117"/>
      <c r="N20" s="116"/>
      <c r="O20" s="151"/>
      <c r="P20" s="152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</row>
    <row r="21" customFormat="false" ht="14.25" hidden="false" customHeight="true" outlineLevel="0" collapsed="false">
      <c r="A21" s="118"/>
      <c r="B21" s="118"/>
      <c r="C21" s="118"/>
      <c r="D21" s="118"/>
      <c r="E21" s="116"/>
      <c r="F21" s="116"/>
      <c r="G21" s="116"/>
      <c r="H21" s="117"/>
      <c r="I21" s="117"/>
      <c r="J21" s="117"/>
      <c r="K21" s="117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</row>
    <row r="22" customFormat="false" ht="14.25" hidden="false" customHeight="true" outlineLevel="0" collapsed="false">
      <c r="A22" s="71" t="s">
        <v>90</v>
      </c>
      <c r="B22" s="71"/>
      <c r="C22" s="71"/>
      <c r="D22" s="71"/>
      <c r="F22" s="86"/>
      <c r="G22" s="71" t="s">
        <v>91</v>
      </c>
      <c r="H22" s="71"/>
      <c r="I22" s="71"/>
      <c r="J22" s="71"/>
      <c r="K22" s="8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</row>
    <row r="23" customFormat="false" ht="14.25" hidden="false" customHeight="true" outlineLevel="0" collapsed="false">
      <c r="A23" s="120"/>
      <c r="B23" s="120"/>
      <c r="C23" s="122"/>
      <c r="D23" s="122"/>
      <c r="E23" s="121"/>
      <c r="F23" s="121"/>
      <c r="G23" s="121"/>
      <c r="H23" s="121"/>
      <c r="I23" s="121"/>
      <c r="J23" s="121"/>
      <c r="K23" s="116"/>
      <c r="L23" s="116"/>
      <c r="M23" s="116"/>
      <c r="N23" s="116"/>
      <c r="O23" s="116"/>
      <c r="P23" s="116"/>
      <c r="Q23" s="116"/>
      <c r="R23" s="116"/>
      <c r="S23" s="116"/>
      <c r="HB23" s="116"/>
    </row>
    <row r="24" customFormat="false" ht="15" hidden="false" customHeight="true" outlineLevel="0" collapsed="false">
      <c r="A24" s="120"/>
      <c r="B24" s="120"/>
      <c r="C24" s="123"/>
      <c r="D24" s="123"/>
      <c r="E24" s="121"/>
      <c r="F24" s="121"/>
      <c r="G24" s="121"/>
      <c r="H24" s="121"/>
      <c r="I24" s="121"/>
      <c r="J24" s="121"/>
      <c r="K24" s="116"/>
      <c r="L24" s="116"/>
      <c r="M24" s="116"/>
      <c r="N24" s="140"/>
      <c r="O24" s="116"/>
      <c r="P24" s="116"/>
      <c r="Q24" s="116"/>
      <c r="R24" s="116"/>
      <c r="S24" s="116"/>
      <c r="HB24" s="116"/>
    </row>
    <row r="25" customFormat="false" ht="14.25" hidden="false" customHeight="true" outlineLevel="0" collapsed="false">
      <c r="A25" s="120"/>
      <c r="B25" s="120"/>
      <c r="C25" s="120"/>
      <c r="D25" s="121"/>
      <c r="E25" s="121"/>
      <c r="F25" s="121"/>
      <c r="G25" s="121"/>
      <c r="H25" s="121"/>
      <c r="I25" s="121"/>
      <c r="J25" s="121"/>
      <c r="K25" s="116"/>
      <c r="L25" s="116"/>
      <c r="M25" s="116"/>
      <c r="N25" s="116"/>
      <c r="O25" s="116"/>
      <c r="P25" s="116"/>
      <c r="Q25" s="116"/>
      <c r="R25" s="116"/>
      <c r="S25" s="116"/>
      <c r="HB25" s="116"/>
    </row>
    <row r="26" customFormat="false" ht="14.25" hidden="false" customHeight="true" outlineLevel="0" collapsed="false">
      <c r="A26" s="120"/>
      <c r="B26" s="120"/>
      <c r="C26" s="120"/>
      <c r="D26" s="121"/>
      <c r="E26" s="121"/>
      <c r="F26" s="121"/>
      <c r="G26" s="121"/>
      <c r="H26" s="121"/>
      <c r="I26" s="121"/>
      <c r="J26" s="121"/>
      <c r="K26" s="116"/>
      <c r="L26" s="116"/>
      <c r="M26" s="116"/>
      <c r="N26" s="116"/>
      <c r="O26" s="116"/>
      <c r="P26" s="116"/>
      <c r="Q26" s="116"/>
      <c r="R26" s="116"/>
      <c r="S26" s="116"/>
      <c r="HB26" s="116"/>
    </row>
    <row r="27" customFormat="false" ht="14.25" hidden="false" customHeight="true" outlineLevel="0" collapsed="false">
      <c r="A27" s="120"/>
      <c r="B27" s="120"/>
      <c r="C27" s="120"/>
      <c r="D27" s="121"/>
      <c r="E27" s="121"/>
      <c r="F27" s="121"/>
      <c r="G27" s="121"/>
      <c r="H27" s="121"/>
      <c r="I27" s="121"/>
      <c r="J27" s="121"/>
      <c r="K27" s="116"/>
      <c r="L27" s="116"/>
      <c r="M27" s="116"/>
      <c r="N27" s="116"/>
      <c r="O27" s="116"/>
      <c r="P27" s="116"/>
      <c r="Q27" s="116"/>
      <c r="R27" s="116"/>
      <c r="S27" s="116"/>
      <c r="HB27" s="116"/>
    </row>
    <row r="28" customFormat="false" ht="14.25" hidden="false" customHeight="true" outlineLevel="0" collapsed="false">
      <c r="A28" s="71" t="s">
        <v>29</v>
      </c>
      <c r="B28" s="71"/>
      <c r="C28" s="71"/>
      <c r="D28" s="71"/>
      <c r="F28" s="86"/>
      <c r="G28" s="71" t="s">
        <v>146</v>
      </c>
      <c r="H28" s="71"/>
      <c r="I28" s="71"/>
      <c r="J28" s="71"/>
      <c r="K28" s="86"/>
      <c r="L28" s="116"/>
      <c r="M28" s="116"/>
      <c r="N28" s="116"/>
      <c r="O28" s="116"/>
      <c r="P28" s="116"/>
      <c r="Q28" s="116"/>
      <c r="R28" s="116"/>
      <c r="S28" s="116"/>
      <c r="HB28" s="116"/>
    </row>
    <row r="29" customFormat="false" ht="15" hidden="false" customHeight="true" outlineLevel="0" collapsed="false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</row>
    <row r="30" customFormat="false" ht="15" hidden="false" customHeight="true" outlineLevel="0" collapsed="false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</row>
    <row r="31" customFormat="false" ht="12.75" hidden="false" customHeight="false" outlineLevel="0" collapsed="false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  <row r="32" customFormat="false" ht="12.75" hidden="false" customHeight="fals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</row>
    <row r="33" customFormat="false" ht="12.75" hidden="false" customHeight="fals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</row>
    <row r="34" customFormat="false" ht="12.75" hidden="false" customHeight="fals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</row>
    <row r="35" customFormat="false" ht="12.75" hidden="false" customHeight="fals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</row>
    <row r="36" customFormat="false" ht="12.75" hidden="false" customHeight="false" outlineLevel="0" collapsed="false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</row>
    <row r="37" customFormat="false" ht="12.75" hidden="false" customHeight="false" outlineLevel="0" collapsed="false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</row>
    <row r="38" customFormat="false" ht="12.75" hidden="false" customHeight="false" outlineLevel="0" collapsed="false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</row>
    <row r="39" customFormat="false" ht="12.75" hidden="false" customHeight="false" outlineLevel="0" collapsed="false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</row>
    <row r="40" customFormat="false" ht="12.75" hidden="false" customHeight="false" outlineLevel="0" collapsed="false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</row>
    <row r="41" customFormat="false" ht="12.75" hidden="false" customHeight="false" outlineLevel="0" collapsed="false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</row>
    <row r="42" customFormat="false" ht="12.75" hidden="false" customHeight="fals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</row>
    <row r="43" customFormat="false" ht="12.75" hidden="false" customHeight="false" outlineLevel="0" collapsed="false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</row>
    <row r="44" customFormat="false" ht="12.75" hidden="false" customHeight="false" outlineLevel="0" collapsed="false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</row>
    <row r="45" customFormat="false" ht="12.75" hidden="false" customHeight="false" outlineLevel="0" collapsed="false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</row>
    <row r="46" customFormat="false" ht="12.75" hidden="false" customHeight="fals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</row>
    <row r="47" customFormat="false" ht="12.75" hidden="false" customHeight="false" outlineLevel="0" collapsed="false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</row>
    <row r="48" customFormat="false" ht="12.75" hidden="false" customHeight="false" outlineLevel="0" collapsed="false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</row>
    <row r="49" customFormat="false" ht="12.75" hidden="false" customHeight="false" outlineLevel="0" collapsed="false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</row>
    <row r="50" customFormat="false" ht="12.75" hidden="false" customHeight="false" outlineLevel="0" collapsed="false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</row>
    <row r="51" customFormat="false" ht="12.75" hidden="false" customHeight="false" outlineLevel="0" collapsed="false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</row>
    <row r="52" customFormat="false" ht="12.75" hidden="false" customHeight="false" outlineLevel="0" collapsed="false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</row>
    <row r="53" customFormat="false" ht="12.75" hidden="false" customHeight="false" outlineLevel="0" collapsed="false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</row>
    <row r="54" customFormat="false" ht="12.75" hidden="false" customHeight="fals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</row>
    <row r="55" customFormat="false" ht="12.75" hidden="false" customHeight="false" outlineLevel="0" collapsed="false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</row>
    <row r="56" customFormat="false" ht="12.75" hidden="false" customHeight="false" outlineLevel="0" collapsed="false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</row>
    <row r="57" customFormat="false" ht="12.75" hidden="false" customHeight="false" outlineLevel="0" collapsed="false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</row>
    <row r="58" customFormat="false" ht="12.75" hidden="false" customHeight="false" outlineLevel="0" collapsed="false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</row>
    <row r="59" customFormat="false" ht="12.75" hidden="false" customHeight="false" outlineLevel="0" collapsed="false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</row>
    <row r="60" customFormat="false" ht="12.75" hidden="false" customHeight="false" outlineLevel="0" collapsed="false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</row>
    <row r="61" customFormat="false" ht="12.75" hidden="false" customHeight="false" outlineLevel="0" collapsed="false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</row>
    <row r="62" customFormat="false" ht="12.75" hidden="false" customHeight="false" outlineLevel="0" collapsed="false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</row>
    <row r="63" customFormat="false" ht="12.75" hidden="false" customHeight="false" outlineLevel="0" collapsed="false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</row>
    <row r="64" customFormat="false" ht="12.75" hidden="false" customHeight="false" outlineLevel="0" collapsed="false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</row>
    <row r="65" customFormat="false" ht="12.75" hidden="false" customHeight="false" outlineLevel="0" collapsed="false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</row>
    <row r="66" customFormat="false" ht="12.75" hidden="false" customHeight="false" outlineLevel="0" collapsed="false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</row>
    <row r="67" customFormat="false" ht="12.75" hidden="false" customHeight="false" outlineLevel="0" collapsed="false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</row>
    <row r="68" customFormat="false" ht="12.75" hidden="false" customHeight="false" outlineLevel="0" collapsed="false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</row>
    <row r="69" customFormat="false" ht="12.75" hidden="false" customHeight="false" outlineLevel="0" collapsed="false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</row>
    <row r="70" customFormat="false" ht="12.75" hidden="false" customHeight="false" outlineLevel="0" collapsed="false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</row>
    <row r="71" customFormat="false" ht="12.75" hidden="false" customHeight="false" outlineLevel="0" collapsed="false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</row>
    <row r="72" customFormat="false" ht="12.75" hidden="false" customHeight="false" outlineLevel="0" collapsed="false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</row>
    <row r="73" customFormat="false" ht="12.75" hidden="false" customHeight="false" outlineLevel="0" collapsed="false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</row>
    <row r="74" customFormat="false" ht="12.75" hidden="false" customHeight="false" outlineLevel="0" collapsed="false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</row>
    <row r="75" customFormat="false" ht="12.75" hidden="false" customHeight="false" outlineLevel="0" collapsed="false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</row>
    <row r="76" customFormat="false" ht="12.75" hidden="false" customHeight="false" outlineLevel="0" collapsed="false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</row>
    <row r="77" customFormat="false" ht="12.75" hidden="false" customHeight="false" outlineLevel="0" collapsed="false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</row>
    <row r="78" customFormat="false" ht="12.75" hidden="false" customHeight="false" outlineLevel="0" collapsed="false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</row>
    <row r="79" customFormat="false" ht="12.75" hidden="false" customHeight="false" outlineLevel="0" collapsed="false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</row>
    <row r="80" customFormat="false" ht="12.75" hidden="false" customHeight="false" outlineLevel="0" collapsed="false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</row>
    <row r="81" customFormat="false" ht="12.75" hidden="false" customHeight="false" outlineLevel="0" collapsed="false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</row>
    <row r="82" customFormat="false" ht="12.75" hidden="false" customHeight="false" outlineLevel="0" collapsed="false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</row>
    <row r="83" customFormat="false" ht="12.75" hidden="false" customHeight="false" outlineLevel="0" collapsed="false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</row>
    <row r="84" customFormat="false" ht="12.75" hidden="false" customHeight="false" outlineLevel="0" collapsed="false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</row>
    <row r="85" customFormat="false" ht="12.75" hidden="false" customHeight="false" outlineLevel="0" collapsed="false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</row>
    <row r="86" customFormat="false" ht="12.75" hidden="false" customHeight="false" outlineLevel="0" collapsed="false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</row>
    <row r="87" customFormat="false" ht="12.75" hidden="false" customHeight="false" outlineLevel="0" collapsed="false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</row>
    <row r="88" customFormat="false" ht="12.75" hidden="false" customHeight="false" outlineLevel="0" collapsed="false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</row>
    <row r="89" customFormat="false" ht="12.75" hidden="false" customHeight="false" outlineLevel="0" collapsed="false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</row>
    <row r="90" customFormat="false" ht="12.75" hidden="false" customHeight="false" outlineLevel="0" collapsed="false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</row>
    <row r="91" customFormat="false" ht="12.75" hidden="false" customHeight="false" outlineLevel="0" collapsed="false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</row>
    <row r="92" customFormat="false" ht="12.75" hidden="false" customHeight="false" outlineLevel="0" collapsed="false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</row>
    <row r="93" customFormat="false" ht="12.75" hidden="false" customHeight="false" outlineLevel="0" collapsed="false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</row>
    <row r="94" customFormat="false" ht="12.75" hidden="false" customHeight="false" outlineLevel="0" collapsed="false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</row>
    <row r="95" customFormat="false" ht="12.75" hidden="false" customHeight="false" outlineLevel="0" collapsed="false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</row>
    <row r="96" customFormat="false" ht="12.75" hidden="false" customHeight="false" outlineLevel="0" collapsed="false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</row>
    <row r="97" customFormat="false" ht="12.75" hidden="false" customHeight="false" outlineLevel="0" collapsed="false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</row>
    <row r="98" customFormat="false" ht="12.75" hidden="false" customHeight="false" outlineLevel="0" collapsed="false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</row>
    <row r="99" customFormat="false" ht="12.75" hidden="false" customHeight="false" outlineLevel="0" collapsed="false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</row>
    <row r="100" customFormat="false" ht="12.75" hidden="false" customHeight="false" outlineLevel="0" collapsed="false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</row>
    <row r="101" customFormat="false" ht="12.75" hidden="false" customHeight="false" outlineLevel="0" collapsed="false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</row>
    <row r="102" customFormat="false" ht="12.75" hidden="false" customHeight="false" outlineLevel="0" collapsed="false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</row>
    <row r="103" customFormat="false" ht="12.75" hidden="false" customHeight="false" outlineLevel="0" collapsed="false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</row>
    <row r="104" customFormat="false" ht="12.75" hidden="false" customHeight="false" outlineLevel="0" collapsed="false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</row>
    <row r="105" customFormat="false" ht="12.75" hidden="false" customHeight="false" outlineLevel="0" collapsed="false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20:G20"/>
    <mergeCell ref="A22:D22"/>
    <mergeCell ref="G22:J22"/>
    <mergeCell ref="C23:D23"/>
    <mergeCell ref="A28:D28"/>
    <mergeCell ref="G28:J28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2026-10-14T03:17:28Z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